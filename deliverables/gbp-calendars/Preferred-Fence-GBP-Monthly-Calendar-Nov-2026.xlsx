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eferredfencesolutions.com" sheetId="1" state="visible" r:id="rId3"/>
    <sheet name="Settings" sheetId="2" state="visible" r:id="rId4"/>
    <sheet name="Banner &amp; Brand Kit" sheetId="3" state="visible" r:id="rId5"/>
    <sheet name="Image Rights Check" sheetId="4" state="visible" r:id="rId6"/>
    <sheet name="GBP Guidelines" sheetId="5" state="visible" r:id="rId7"/>
    <sheet name="QA Cross-Check" sheetId="6" state="visible" r:id="rId8"/>
  </sheets>
  <definedNames>
    <definedName function="false" hidden="true" localSheetId="0" name="_xlnm._FilterDatabase" vbProcedure="false">'preferredfencesolutions.com'!$B$1:$Q$23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<sst xmlns="http://schemas.openxmlformats.org/spreadsheetml/2006/main" count="550" uniqueCount="359">
  <si>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</si>
  <si>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</si>
  <si>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</si>
  <si>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</si>
  <si>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</si>
  <si>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</si>
  <si>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</si>
  <si>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</si>
  <si>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</si>
  <si>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</si>
  <si>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</si>
  <si>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</si>
  <si>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</si>
  <si>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</si>
  <si>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</si>
  <si>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</si>
  <si>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</si>
  <si>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Fence Repair After Wind and Storm Damage</t>
  </si>
  <si>
    <t xml:space="preserve">Leaning posts, broken panels or a gate that will not latch after the last windstorm?
Preferred Fence Solutions repairs fences across the OKC metro, from a single leaning post to multi-section storm damage. We check whether a post can be reset and reinforced or needs replacing, and when we rebuild wood sections we use steel posts so the fence can stand up to Oklahoma wind.
We give honest recommendations on repair versus replacement and free estimates on every job. Tap Learn more to schedule yours.</t>
  </si>
  <si>
    <t xml:space="preserve">Learn more</t>
  </si>
  <si>
    <t xml:space="preserve">https://preferredfencesolutions.com/fence-repair-okc/</t>
  </si>
  <si>
    <t xml:space="preserve">Tag: Fence Repair
Headline: Storm-Damaged Fence? We Rebuild It.
Sub-line: Repairs and rebuilds across the OKC metro
Button: Free Repair Estimate</t>
  </si>
  <si>
    <t xml:space="preserve">2026-11-02_gbp-post-01_1200x900.png</t>
  </si>
  <si>
    <t xml:space="preserve">https://unsplash.com/photos/km_VQEFOV20 (Unsplash licence)</t>
  </si>
  <si>
    <t xml:space="preserve">Unsplash License: free for commercial use, no permission or credit needed.</t>
  </si>
  <si>
    <t xml:space="preserve">Not Published</t>
  </si>
  <si>
    <t xml:space="preserve">Promotional</t>
  </si>
  <si>
    <t xml:space="preserve">Free On-Site Fence Estimate</t>
  </si>
  <si>
    <t xml:space="preserve">Planning a new fence or a fence replacement before spring? Book a free on-site estimate with Preferred Fence Solutions.
We measure your yard, talk through materials, height and gates, and give you a clear written quote. Wood, vinyl, ornamental iron, chain link and SimTek options are available across Oklahoma City, Edmond, Yukon, Mustang and Nichols Hills.
Tap View offer to request your free estimate.</t>
  </si>
  <si>
    <t xml:space="preserve">View offer</t>
  </si>
  <si>
    <t xml:space="preserve">https://preferredfencesolutions.com/</t>
  </si>
  <si>
    <t xml:space="preserve">Tag: Free Estimate
Headline: Your New Fence Starts Here
Sub-line: On-site measure, clear written quote
Button: Book Your Free Estimate</t>
  </si>
  <si>
    <t xml:space="preserve">2026-11-03_gbp-post-02_1200x900.png</t>
  </si>
  <si>
    <t xml:space="preserve">https://preferredfencesolutions.com/wp-content/uploads/2022/05/IMG_5913.jpg</t>
  </si>
  <si>
    <t xml:space="preserve">Business's own photo from its website (client to confirm ownership).</t>
  </si>
  <si>
    <t xml:space="preserve">Offer dates: Nov 3 to Nov 30, 2026. Terms: free estimate within the service area; no obligation.</t>
  </si>
  <si>
    <t xml:space="preserve">FAQ</t>
  </si>
  <si>
    <t xml:space="preserve">FAQ: How Tall Can My Fence Be in OKC?</t>
  </si>
  <si>
    <t xml:space="preserve">FAQ: How tall can my fence be in Oklahoma City?
Residential fences in Oklahoma City can be up to 8 feet tall in most cases, and 6 feet is the most common choice for backyard privacy. HOA rules often add their own limits, especially in Edmond, Nichols Hills and newer neighborhoods, so check with your HOA before you build.
Not sure what is allowed on your property? Our team can help you plan the right height and style. Tap Learn more to read more fence FAQs.</t>
  </si>
  <si>
    <t xml:space="preserve">https://preferredfencesolutions.com/faq/</t>
  </si>
  <si>
    <t xml:space="preserve">Tag: Fence FAQ
Headline: How Tall Can My Fence Be?
Sub-line: Up to 8 ft in most OKC yards. 6 ft is the most popular. Always check your HOA.
Button: More Fence FAQs</t>
  </si>
  <si>
    <t xml:space="preserve">2026-11-04_gbp-post-03_1200x900.png</t>
  </si>
  <si>
    <t xml:space="preserve">https://preferredfencesolutions.com/wp-content/uploads/2022/10/Stained-Western-Red-Cedar-with-Cap-and-Trim-with-a-1x6-Kickboard.jpg</t>
  </si>
  <si>
    <t xml:space="preserve">Local</t>
  </si>
  <si>
    <t xml:space="preserve">Fence Installation in Edmond, OK</t>
  </si>
  <si>
    <t xml:space="preserve">Building a fence in Edmond? Preferred Fence Solutions has installed fences for Edmond homeowners for years, with local projects and references available.
We install wood privacy fences, metal and decorative fencing, and custom gates, using materials chosen for Oklahoma weather. We keep job sites clean, give clear timelines, and walk the fence line with you at the end so you are 100% happy.
Licensed and insured. Tap Learn more to get a free estimate for your Edmond home.</t>
  </si>
  <si>
    <t xml:space="preserve">https://preferredfencesolutions.com/fence-installation-edmond-ok/</t>
  </si>
  <si>
    <t xml:space="preserve">Tag: Edmond, OK
Headline: Edmond's Fence Crew
Sub-line: Wood, metal and custom gates for Edmond homes
Button: Free Estimate</t>
  </si>
  <si>
    <t xml:space="preserve">2026-11-05_gbp-post-04_1200x900.png</t>
  </si>
  <si>
    <t xml:space="preserve">https://preferredfencesolutions.com/wp-content/uploads/2022/01/IMG_01991-2.jpg</t>
  </si>
  <si>
    <t xml:space="preserve">Western Red Cedar Stockade Fences Built in Our Shop</t>
  </si>
  <si>
    <t xml:space="preserve">Our wood stockade fences are built for Oklahoma.
Preferred Fence Solutions custom builds every wood fence panel and gate in our shop using Western Red Cedar, which is naturally rot and pest resistant. Each fence is installed on heavy-duty steel posts set in concrete 2 feet below grade, and we never dry set our posts.
Choose dog ear, cap and trim, board on board, shadowbox, horizontal and more. Tap Learn more to see the styles.</t>
  </si>
  <si>
    <t xml:space="preserve">https://preferredfencesolutions.com/stockade-wood-fence/</t>
  </si>
  <si>
    <t xml:space="preserve">Tag: Cedar Stockade Fences
Headline: Real Cedar. Steel Posts.
Sub-line: Panels built by hand in our shop
Button: See Fence Styles</t>
  </si>
  <si>
    <t xml:space="preserve">2026-11-06_gbp-post-05_1200x900.png</t>
  </si>
  <si>
    <t xml:space="preserve">https://preferredfencesolutions.com/wp-content/uploads/2022/03/6-tall-Cap-and-Trim-Total-Privacy-Board-on-Board.-.jpeg</t>
  </si>
  <si>
    <t xml:space="preserve">FAQ: Should I Repair or Replace My Fence?</t>
  </si>
  <si>
    <t xml:space="preserve">FAQ: Should I repair my fence or replace it?
A quick rule of thumb: repair usually makes sense when the damage is limited to a few areas and the rest of the fence is still sound. Replacement is usually the smarter choice when several posts are leaning, rails are failing or sections keep moving over time.
Walk your fence line and look for leaning posts, loose rails and rot at the base. Not sure what you are seeing? We will tell you honestly. Tap Learn more to read our full guide.</t>
  </si>
  <si>
    <t xml:space="preserve">https://preferredfencesolutions.com/fence-repair-vs-replacement-oklahoma-city/</t>
  </si>
  <si>
    <t xml:space="preserve">Tag: Fence FAQ
Headline: Repair or Replace?
Sub-line: Limited damage: repair. Several leaning posts or failing rails: replace.
Button: Read the Guide</t>
  </si>
  <si>
    <t xml:space="preserve">2026-11-09_gbp-post-06_1200x900.png</t>
  </si>
  <si>
    <t xml:space="preserve">https://preferredfencesolutions.com/wp-content/uploads/2022/06/new-vs-old.jpeg</t>
  </si>
  <si>
    <t xml:space="preserve">Ameristar Ornamental Iron Fences and Gates</t>
  </si>
  <si>
    <t xml:space="preserve">Looking for security that still looks elegant from the street?
Preferred Fence Solutions installs Ameristar ornamental iron fences and gates for homes in Oklahoma City, Edmond and the surrounding metro. We have installed iron fences from 4 to 6 feet tall and can add decorative finials, scrolls and custom gates.
Ornamental iron is a popular choice for front yards, pools and retaining walls. Tap Learn more to see recent projects.</t>
  </si>
  <si>
    <t xml:space="preserve">https://preferredfencesolutions.com/ornamental-iron-fence/</t>
  </si>
  <si>
    <t xml:space="preserve">Tag: Ornamental Iron
Headline: Security With Curb Appeal
Sub-line: Ameristar iron fences and custom gates
Button: See Recent Projects</t>
  </si>
  <si>
    <t xml:space="preserve">2026-11-10_gbp-post-07_1200x900.png</t>
  </si>
  <si>
    <t xml:space="preserve">https://preferredfencesolutions.com/wp-content/uploads/2022/05/Arched-ornamental-iron-double-gate-custom-Letter-2.jpg</t>
  </si>
  <si>
    <t xml:space="preserve">The Best Fence for Oklahoma Wind</t>
  </si>
  <si>
    <t xml:space="preserve">Oklahoma wind is hard on fences. Between spring storms, sudden gusts and shifting clay soil, the wrong fence or install method can lead to leaning posts and broken panels.
For homes in Oklahoma City, Edmond and Yukon, the biggest difference usually comes from how the fence is built: post type, post depth and concrete, plus a material that suits your yard.
We wrote a local guide on what actually holds up in OKC weather. Tap Learn more to read it.</t>
  </si>
  <si>
    <t xml:space="preserve">https://preferredfencesolutions.com/best-fence-oklahoma-wind-okc/</t>
  </si>
  <si>
    <t xml:space="preserve">Tag: Oklahoma Weather
Headline: Built for Oklahoma Wind
Sub-line: Post depth, concrete and the right material
Button: Read the Local Guide</t>
  </si>
  <si>
    <t xml:space="preserve">2026-11-11_gbp-post-08_1200x900.png</t>
  </si>
  <si>
    <t xml:space="preserve">https://preferredfencesolutions.com/wp-content/uploads/2021/12/IMG_8799-scaled.jpg</t>
  </si>
  <si>
    <t xml:space="preserve">FAQ: Why Do Fence Posts Lean in Oklahoma?</t>
  </si>
  <si>
    <t xml:space="preserve">FAQ: Why do fence posts lean in Oklahoma?
Oklahoma clay soil expands and contracts as it gets wet and dries out, which loosens post footings over time. Strong wind adds more load, so a small lean can turn into a failing section.
That is why we set heavy-duty steel posts in concrete 2 feet below grade on our wood fences. If your posts are already leaning, we can tell you whether they can be reset or need replacing. Tap Learn more to read the full article.</t>
  </si>
  <si>
    <t xml:space="preserve">https://preferredfencesolutions.com/why-fence-posts-fail-oklahoma-soil/</t>
  </si>
  <si>
    <t xml:space="preserve">Tag: Fence FAQ
Headline: Why Do Fence Posts Lean?
Sub-line: Clay soil swells and shrinks. We set steel posts in concrete 2 ft below grade.
Button: Read the Article</t>
  </si>
  <si>
    <t xml:space="preserve">2026-11-12_gbp-post-09_1200x900.png</t>
  </si>
  <si>
    <t xml:space="preserve">https://preferredfencesolutions.com/wp-content/uploads/2021/12/IMG_5922.jpg</t>
  </si>
  <si>
    <t xml:space="preserve">Sheet Metal Fence for Commercial Properties</t>
  </si>
  <si>
    <t xml:space="preserve">Need privacy and security for a storage yard, equipment area or commercial lot?
Preferred Fence Solutions installs sheet metal and ribbed panel metal fences for commercial properties across Oklahoma City. The panels do not rot, warp or absorb moisture, which makes them a practical, low-maintenance choice for storage facilities, industrial sites and utility screening.
Tap Learn more to request a free commercial fence estimate.</t>
  </si>
  <si>
    <t xml:space="preserve">https://preferredfencesolutions.com/sheet-metal-fence-oklahoma-city/</t>
  </si>
  <si>
    <t xml:space="preserve">Tag: Commercial Fencing
Headline: Privacy That Won't Rot
Sub-line: Sheet metal and ribbed panel fences for commercial sites
Button: Commercial Estimate</t>
  </si>
  <si>
    <t xml:space="preserve">2026-11-13_gbp-post-10_1200x900.png</t>
  </si>
  <si>
    <t xml:space="preserve">https://preferredfencesolutions.com/wp-content/uploads/2026/05/4800-S-Sunnylane-Rd_Completed-Pic-5-scaled.jpg</t>
  </si>
  <si>
    <t xml:space="preserve">Add a Custom Doggie Window to Your Fence</t>
  </si>
  <si>
    <t xml:space="preserve">Give your dog a view of the neighborhood. Ask about adding a custom doggie window to any stockade fence we build.
It is a small add-on that dogs love and owners enjoy, and it fits into the fence design so it looks finished, not added on later. We build every panel in our shop, so the window can be placed exactly where your dog likes to watch.
Tap Learn more to see doggie windows in our fence gallery.</t>
  </si>
  <si>
    <t xml:space="preserve">https://preferredfencesolutions.com/fence-gallery/</t>
  </si>
  <si>
    <t xml:space="preserve">Tag: Pet-Friendly Add-On
Headline: A Window for Your Best Friend
Sub-line: Custom doggie windows for any stockade fence
Button: See Doggie Windows</t>
  </si>
  <si>
    <t xml:space="preserve">2026-11-16_gbp-post-11_1200x900.png</t>
  </si>
  <si>
    <t xml:space="preserve">https://preferredfencesolutions.com/wp-content/uploads/2022/07/bassethound-doggie-window.jpeg</t>
  </si>
  <si>
    <t xml:space="preserve">Chain Link Fencing: Galvanized or Black Vinyl-Coated</t>
  </si>
  <si>
    <t xml:space="preserve">Chain link is one of the most affordable ways to secure a yard or a business.
Preferred Fence Solutions installs galvanized and black vinyl-coated chain link for homes and commercial properties across OKC and Edmond. We can add walk-through gates, double drive gates, cantilever gates, automatic gate operators and telephone entry systems.
We also repair existing chain link fences. Tap Learn more to get a free quote.</t>
  </si>
  <si>
    <t xml:space="preserve">https://preferredfencesolutions.com/chain-link-fence/</t>
  </si>
  <si>
    <t xml:space="preserve">Tag: Chain Link Fencing
Headline: Affordable, Secure, Built to Last
Sub-line: Galvanized or black vinyl-coated, with gates
Button: Get a Free Quote</t>
  </si>
  <si>
    <t xml:space="preserve">2026-11-17_gbp-post-12_1200x900.png</t>
  </si>
  <si>
    <t xml:space="preserve">https://preferredfencesolutions.com/wp-content/uploads/2022/01/4-black-chain-link.jpg</t>
  </si>
  <si>
    <t xml:space="preserve">FAQ: What Is the Most Affordable Fence in OKC?</t>
  </si>
  <si>
    <t xml:space="preserve">FAQ: What is the most affordable fence option in OKC?
Galvanized chain link is our most budget-friendly option for both homes and businesses. If you want wood, our most affordable choice is Western Red Cedar on metal posts. We do not install cheaper woods like white spruce because the quality is not there, and cedar is naturally pest resistant and lasts longer.
Tap Learn more to see more answers, or request a free estimate for your yard.</t>
  </si>
  <si>
    <t xml:space="preserve">Tag: Fence FAQ
Headline: What's the Most Affordable Fence?
Sub-line: Galvanized chain link. For wood, Western Red Cedar on metal posts.
Button: Get a Free Estimate</t>
  </si>
  <si>
    <t xml:space="preserve">2026-11-18_gbp-post-13_1200x900.png</t>
  </si>
  <si>
    <t xml:space="preserve">https://preferredfencesolutions.com/wp-content/uploads/2022/03/1x4x6-Western-Red-Cedar-with-Cap-and-Trim-scaled.jpg</t>
  </si>
  <si>
    <t xml:space="preserve">North OKC Fence Installation and Repair</t>
  </si>
  <si>
    <t xml:space="preserve">Preferred Fence Solutions is based just north of OKC, and North OKC homeowners are some of our longest-standing customers.
We custom make each fence panel in our shop, install stockade fences on heavy-duty metal posts, use 100% USA fence products and back every fence and gate with a 1-year warranty. We never turn away a job because of its size.
Tap Learn more to get a free estimate for your North OKC fence.</t>
  </si>
  <si>
    <t xml:space="preserve">https://preferredfencesolutions.com/fence-installation-repair-north-okc/</t>
  </si>
  <si>
    <t xml:space="preserve">Tag: North OKC
Headline: Hand-Built in Our North OKC Shop
Sub-line: 100% USA fence products. 1-year warranty.
Button: Free Estimate</t>
  </si>
  <si>
    <t xml:space="preserve">2026-11-19_gbp-post-14_1200x900.png</t>
  </si>
  <si>
    <t xml:space="preserve">https://preferredfencesolutions.com/wp-content/uploads/2021/12/IMG_5879.jpg</t>
  </si>
  <si>
    <t xml:space="preserve">Low-Maintenance Vinyl Fence Installation</t>
  </si>
  <si>
    <t xml:space="preserve">Want a fence you never have to stain or paint? Vinyl is a low-maintenance option that lasts for years.
Preferred Fence Solutions installs vinyl privacy fences, picket fences, ranch-style 3-rail fences and vinyl gates in OKC, Edmond, Piedmont, Nichols Hills and The Village. Tan and white are the most popular colors.
Many vinyl fences can be installed in a single day. Tap Learn more to see styles and get a free quote.</t>
  </si>
  <si>
    <t xml:space="preserve">https://preferredfencesolutions.com/vinyl-fence/</t>
  </si>
  <si>
    <t xml:space="preserve">Tag: Vinyl Fencing
Headline: No Staining. No Painting.
Sub-line: Vinyl privacy, picket and ranch-style fences
Button: See Vinyl Styles</t>
  </si>
  <si>
    <t xml:space="preserve">2026-11-20_gbp-post-15_1200x900.png</t>
  </si>
  <si>
    <t xml:space="preserve">https://preferredfencesolutions.com/wp-content/uploads/2022/05/6-tall-white-vinyl-privacy-fence-.jpg</t>
  </si>
  <si>
    <t xml:space="preserve">Free Fence Design and Planning Consultation</t>
  </si>
  <si>
    <t xml:space="preserve">Thinking about a new fence for spring? Not sure which style, material or height is right for your property?
Book a free design and planning consultation with Preferred Fence Solutions. We will walk your yard, talk through privacy, pets, gates and budget, and recommend the best option for your home before we schedule your install.
Tap View offer to book your consultation.</t>
  </si>
  <si>
    <t xml:space="preserve">https://preferredfencesolutions.com/fence-design-planning/</t>
  </si>
  <si>
    <t xml:space="preserve">Tag: Free Consultation
Headline: Plan Your Spring Fence Now
Sub-line: Free design and planning consultation
Button: Book Your Consultation</t>
  </si>
  <si>
    <t xml:space="preserve">2026-11-23_gbp-post-16_1200x900.png</t>
  </si>
  <si>
    <t xml:space="preserve">https://preferredfencesolutions.com/wp-content/uploads/2021/12/desing-and-planning.jpg</t>
  </si>
  <si>
    <t xml:space="preserve">Offer dates: Nov 23 to Dec 31, 2026 (confirm). Terms: consultation and estimate are free; no obligation.</t>
  </si>
  <si>
    <t xml:space="preserve">Residential Gates: Width and Placement</t>
  </si>
  <si>
    <t xml:space="preserve">Planning a gate? The right width and location make your yard easier to use every day.
A walk gate may be fine for people but too narrow for a mower, and a wide equipment gate may work better on a different side of the house. Preferred Fence Solutions builds custom wood and iron gates and helps you settle access before the posts go in.
Tap Learn more to read our gate planning guide for OKC homeowners.</t>
  </si>
  <si>
    <t xml:space="preserve">https://preferredfencesolutions.com/residential-fence-gate-width-placement-okc/</t>
  </si>
  <si>
    <t xml:space="preserve">Tag: Custom Gates
Headline: The Right Gate, in the Right Place
Sub-line: Plan access before the posts go in
Button: Read the Gate Guide</t>
  </si>
  <si>
    <t xml:space="preserve">2026-11-24_gbp-post-17_1200x900.png</t>
  </si>
  <si>
    <t xml:space="preserve">https://preferredfencesolutions.com/wp-content/uploads/2022/04/o-3.jpg</t>
  </si>
  <si>
    <t xml:space="preserve">FAQ: Will New Cedar Boards Match My Old Fence?</t>
  </si>
  <si>
    <t xml:space="preserve">FAQ: Will new cedar boards blend in with my older fence?
New cedar usually looks brighter or more reddish than boards that have weathered for years. A contractor can match the size, profile and spacing closely, but the exact color takes time to even out as the new wood weathers.
Replacing damaged boards still restores privacy and extends the life of a sound fence. Tap Learn more to read what to expect and your options.</t>
  </si>
  <si>
    <t xml:space="preserve">https://preferredfencesolutions.com/new-cedar-fence-boards-blend-old-fence/</t>
  </si>
  <si>
    <t xml:space="preserve">Tag: Fence FAQ
Headline: Will New Boards Match My Old Fence?
Sub-line: Size and style, yes. Color evens out as new cedar weathers.
Button: See What to Expect</t>
  </si>
  <si>
    <t xml:space="preserve">2026-11-25_gbp-post-18_1200x900.png</t>
  </si>
  <si>
    <t xml:space="preserve">Happy Thanksgiving from Preferred Fence Solutions</t>
  </si>
  <si>
    <t xml:space="preserve">Happy Thanksgiving from the Preferred Fence Solutions team.
Thank you to every homeowner and business in Oklahoma City, Edmond, Nichols Hills, Yukon and Mustang who trusted our crew with their fence this year. Our promise is to exceed your expectations with fences that are installed with precision, care and good attitudes, and your kind words keep us going.
Enjoy the holiday with your family. Tap Learn more to read what our customers say.</t>
  </si>
  <si>
    <t xml:space="preserve">https://preferredfencesolutions.com/testimonials/</t>
  </si>
  <si>
    <t xml:space="preserve">Tag: Happy Thanksgiving
Headline: Thankful for Our Neighbors
Sub-line: From our crew to your family
Button: </t>
  </si>
  <si>
    <t xml:space="preserve">2026-11-26_gbp-post-19_1200x900.png</t>
  </si>
  <si>
    <t xml:space="preserve">https://preferredfencesolutions.com/wp-content/uploads/2022/01/o-8.jpg</t>
  </si>
  <si>
    <t xml:space="preserve">Free Fence Repair Estimate</t>
  </si>
  <si>
    <t xml:space="preserve">Did fall storms or strong wind leave your fence leaning or damaged?
Book a free fence repair estimate with Preferred Fence Solutions. We will check posts, panels and gates, tell you honestly whether repair or replacement makes more sense, and give you a clear quote. No job is too small.
Tap View offer to schedule your free repair estimate.</t>
  </si>
  <si>
    <t xml:space="preserve">Tag: Free Repair Estimate
Headline: Leaning or Damaged Fence?
Sub-line: Honest repair-or-replace advice
Button: Book a Free Estimate</t>
  </si>
  <si>
    <t xml:space="preserve">2026-11-27_gbp-post-20_1200x900.png</t>
  </si>
  <si>
    <t xml:space="preserve">https://unsplash.com/photos/LbkIbkMPKjg (Unsplash licence)</t>
  </si>
  <si>
    <t xml:space="preserve">Offer dates: Nov 27 to Dec 31, 2026. Terms: free estimate within the service area; no obligation.</t>
  </si>
  <si>
    <t xml:space="preserve">SimTek Fences: The Look of Stone</t>
  </si>
  <si>
    <t xml:space="preserve">Want the look of stone with the privacy of a solid fence? Consider a SimTek EcoStone fence.
SimTek fences can be customized to your style and budget, offer high levels of security, need minimal maintenance and come with SimTek's warranty. Preferred Fence Solutions installs SimTek fences for homes in Edmond, OKC, Mustang and Yukon.
Tap Learn more to see if SimTek is right for your yard.</t>
  </si>
  <si>
    <t xml:space="preserve">https://preferredfencesolutions.com/simtek-fence/</t>
  </si>
  <si>
    <t xml:space="preserve">Tag: SimTek Fencing
Headline: The Look of Stone, Without the Upkeep
Sub-line: SimTek fences for Edmond, OKC, Mustang and Yukon
Button: Is SimTek Right for You?</t>
  </si>
  <si>
    <t xml:space="preserve">2026-11-30_gbp-post-21_1200x900.png</t>
  </si>
  <si>
    <t xml:space="preserve">https://unsplash.com/photos/0WxjDT_3Tsw (Unsplash licence)</t>
  </si>
  <si>
    <t xml:space="preserve">Thank You, Oklahoma City</t>
  </si>
  <si>
    <t xml:space="preserve">Thank you, Oklahoma City, for another great year.
We are honored to have won local awards for our fencing work, and we stand behind every fence and gate we install with a 1-year warranty. More than any award, we are grateful for customers who welcome our crew into their yards and recommend us to their neighbors.
If we built or repaired your fence this year, we would love to hear how it is holding up. Tap Learn more to see our awards.</t>
  </si>
  <si>
    <t xml:space="preserve">https://preferredfencesolutions.com/pfs-awards/</t>
  </si>
  <si>
    <t xml:space="preserve">Tag: Thank You, OKC
Headline: Award-Winning Fence Crew
Sub-line: Every fence and gate backed by a 1-year warranty
Button: See Our Awards</t>
  </si>
  <si>
    <t xml:space="preserve">2026-12-01_gbp-post-22_1200x900.png</t>
  </si>
  <si>
    <t xml:space="preserve">https://preferredfencesolutions.com/wp-content/uploads/2021/12/IMG_5887.jpg
https://preferredfencesolutions.com/wp-content/uploads/2022/04/IMG_5911.jpg
https://preferredfencesolutions.com/wp-content/uploads/2022/07/o-2.jpg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</si>
  <si>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</si>
  <si>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</si>
  <si>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</si>
  <si>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</si>
  <si>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</si>
  <si>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</si>
  <si>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</si>
  <si>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</si>
  <si>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</si>
  <si>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</si>
  <si>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</si>
  <si>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</si>
  <si>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</si>
  <si>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</si>
  <si>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</si>
  <si>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preferredfencesolutions.com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</si>
  <si>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</si>
  <si>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</si>
  <si>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</si>
  <si>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</si>
  <si>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nov26-01-fence-repair</t>
  </si>
  <si>
    <t xml:space="preserve">nov26-02-free-estimate</t>
  </si>
  <si>
    <t xml:space="preserve">nov26-03-faq-fence-height</t>
  </si>
  <si>
    <t xml:space="preserve">nov26-04-edmond-installation</t>
  </si>
  <si>
    <t xml:space="preserve">nov26-05-cedar-stockade</t>
  </si>
  <si>
    <t xml:space="preserve">nov26-06-faq-repair-vs-replace</t>
  </si>
  <si>
    <t xml:space="preserve">nov26-07-ornamental-iron</t>
  </si>
  <si>
    <t xml:space="preserve">nov26-08-oklahoma-wind</t>
  </si>
  <si>
    <t xml:space="preserve">nov26-09-faq-post-failure</t>
  </si>
  <si>
    <t xml:space="preserve">nov26-10-sheet-metal-commercial</t>
  </si>
  <si>
    <t xml:space="preserve">nov26-11-doggie-window</t>
  </si>
  <si>
    <t xml:space="preserve">nov26-12-chain-link</t>
  </si>
  <si>
    <t xml:space="preserve">nov26-13-faq-affordable-fence</t>
  </si>
  <si>
    <t xml:space="preserve">nov26-14-north-okc</t>
  </si>
  <si>
    <t xml:space="preserve">nov26-15-vinyl-fence</t>
  </si>
  <si>
    <t xml:space="preserve">nov26-16-free-design-consult</t>
  </si>
  <si>
    <t xml:space="preserve">nov26-17-gate-planning</t>
  </si>
  <si>
    <t xml:space="preserve">nov26-18-faq-cedar-match</t>
  </si>
  <si>
    <t xml:space="preserve">nov26-19-thanksgiving</t>
  </si>
  <si>
    <t xml:space="preserve">nov26-20-free-repair-estimate</t>
  </si>
  <si>
    <t xml:space="preserve">nov26-21-simtek</t>
  </si>
  <si>
    <t xml:space="preserve">nov26-22-year-end-awards</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</si>
  <si>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</si>
  <si>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</si>
  <si>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</si>
  <si>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</si>
  <si>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https://preferredfencesolutions.com/wp-content/uploads/2021/03/PFS-Logo-1.png</t>
  </si>
  <si>
    <t xml:space="preserve">Logo name and tagline on a white rounded chip. The phone number line in the original logo is cropped out to follow GBP rules.</t>
  </si>
  <si>
    <t xml:space="preserve">Banner size</t>
  </si>
  <si>
    <t xml:space="preserve">1200 x 900 px PNG</t>
  </si>
  <si>
    <t xml:space="preserve">4:3 ratio. Files are in deliverables/gbp-calendars/banners/preferred-fence/</t>
  </si>
  <si>
    <t xml:space="preserve">Brand motif</t>
  </si>
  <si>
    <t xml:space="preserve">Yellow picket fence line along the bottom edge.</t>
  </si>
  <si>
    <t xml:space="preserve">Gives the series a consistent, premium look</t>
  </si>
  <si>
    <t xml:space="preserve">Photos</t>
  </si>
  <si>
    <t xml:space="preserve">Real project photos from preferredfencesolutions.com</t>
  </si>
  <si>
    <t xml:space="preserve">Source URL for every banner is on the calendar tab</t>
  </si>
  <si>
    <t xml:space="preserve">Font: Headings</t>
  </si>
  <si>
    <t xml:space="preserve">Rubik</t>
  </si>
  <si>
    <t xml:space="preserve">Same as website headings</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</si>
  <si>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</si>
  <si>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</si>
  <si>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</si>
  <si>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</si>
  <si>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</si>
  <si>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</si>
  <si>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</si>
  <si>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</si>
  <si>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</si>
  <si>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Black</t>
  </si>
  <si>
    <t xml:space="preserve">#000000</t>
  </si>
  <si>
    <t xml:space="preserve">Website header, footer and text (Elementor global)</t>
  </si>
  <si>
    <t xml:space="preserve">Background panels</t>
  </si>
  <si>
    <t xml:space="preserve">Accent yellow</t>
  </si>
  <si>
    <t xml:space="preserve">#DEE101</t>
  </si>
  <si>
    <t xml:space="preserve">Website buttons and highlights (Elementor global)</t>
  </si>
  <si>
    <t xml:space="preserve">Headline accent word, button chips, picket motif</t>
  </si>
  <si>
    <t xml:space="preserve">Off-white</t>
  </si>
  <si>
    <t xml:space="preserve">#F4F4F4</t>
  </si>
  <si>
    <t xml:space="preserve">Website section backgrounds</t>
  </si>
  <si>
    <t xml:space="preserve">Light panels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</si>
  <si>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</si>
  <si>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</si>
  <si>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</si>
  <si>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</si>
  <si>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</si>
  <si>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</si>
  <si>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</si>
  <si>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</si>
  <si>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</si>
  <si>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</si>
  <si>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</si>
  <si>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</si>
  <si>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</si>
  <si>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</si>
  <si>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</si>
  <si>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</si>
  <si>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</si>
  <si>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</si>
  <si>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</si>
  <si>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</si>
  <si>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</si>
  <si>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</si>
  <si>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</si>
  <si>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</si>
  <si>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</si>
  <si>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</si>
  <si>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</si>
  <si>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unsplash_km_VQEFOV20.jpg</t>
  </si>
  <si>
    <t xml:space="preserve">Unsplash</t>
  </si>
  <si>
    <t xml:space="preserve">Downloaded through the official Unsplash API; free photo, not Unsplash+; No photographer credit, stock agency tag or watermark</t>
  </si>
  <si>
    <t xml:space="preserve">OK: royalty-free (Unsplash License)</t>
  </si>
  <si>
    <t xml:space="preserve">IMG_5913.jpg</t>
  </si>
  <si>
    <t xml:space="preserve">Business website</t>
  </si>
  <si>
    <t xml:space="preserve">In the preferredfencesolutions.com media library (wp-content/uploads); No photographer credit, stock agency tag or watermark</t>
  </si>
  <si>
    <t xml:space="preserve">OK: business's own photo</t>
  </si>
  <si>
    <t xml:space="preserve">Stained-Western-Red-Cedar-with-Cap-and-Trim-with-a-1x6-Kickboard.jpg</t>
  </si>
  <si>
    <t xml:space="preserve">IMG_01991-2.jpg</t>
  </si>
  <si>
    <t xml:space="preserve">6-tall-Cap-and-Trim-Total-Privacy-Board-on-Board.-.jpeg</t>
  </si>
  <si>
    <t xml:space="preserve">new-vs-old.jpeg</t>
  </si>
  <si>
    <t xml:space="preserve">Arched-ornamental-iron-double-gate-custom-Letter-2.jpg</t>
  </si>
  <si>
    <t xml:space="preserve">IMG_8799-scaled.jpg</t>
  </si>
  <si>
    <t xml:space="preserve">IMG_5922.jpg</t>
  </si>
  <si>
    <t xml:space="preserve">4800-S-Sunnylane-Rd_Completed-Pic-5-scaled.jpg</t>
  </si>
  <si>
    <t xml:space="preserve">bassethound-doggie-window.jpeg</t>
  </si>
  <si>
    <t xml:space="preserve">4-black-chain-link.jpg</t>
  </si>
  <si>
    <t xml:space="preserve">1x4x6-Western-Red-Cedar-with-Cap-and-Trim-scaled.jpg</t>
  </si>
  <si>
    <t xml:space="preserve">IMG_5879.jpg</t>
  </si>
  <si>
    <t xml:space="preserve">6-tall-white-vinyl-privacy-fence-.jpg</t>
  </si>
  <si>
    <t xml:space="preserve">desing-and-planning.jpg</t>
  </si>
  <si>
    <t xml:space="preserve">o-3.jpg</t>
  </si>
  <si>
    <t xml:space="preserve">o-8.jpg</t>
  </si>
  <si>
    <t xml:space="preserve">unsplash_LbkIbkMPKjg.jpg</t>
  </si>
  <si>
    <t xml:space="preserve">unsplash_0WxjDT_3Tsw.jpg</t>
  </si>
  <si>
    <t xml:space="preserve">IMG_5887.jpg</t>
  </si>
  <si>
    <t xml:space="preserve">https://preferredfencesolutions.com/wp-content/uploads/2021/12/IMG_5887.jpg</t>
  </si>
  <si>
    <t xml:space="preserve">IMG_5911.jpg</t>
  </si>
  <si>
    <t xml:space="preserve">https://preferredfencesolutions.com/wp-content/uploads/2022/04/IMG_5911.jpg</t>
  </si>
  <si>
    <t xml:space="preserve">o-2.jpg</t>
  </si>
  <si>
    <t xml:space="preserve">https://preferredfencesolutions.com/wp-content/uploads/2022/07/o-2.jpg</t>
  </si>
  <si>
    <t xml:space="preserve">Photos OK</t>
  </si>
  <si>
    <t xml:space="preserve">Photos removed during the check</t>
  </si>
  <si>
    <t xml:space="preserve">#</t>
  </si>
  <si>
    <t xml:space="preserve">Photo removed</t>
  </si>
  <si>
    <t xml:space="preserve">Reason</t>
  </si>
  <si>
    <t xml:space="preserve">Replaced with</t>
  </si>
  <si>
    <t xml:space="preserve">fence-damage.jpg (2 banners)</t>
  </si>
  <si>
    <t xml:space="preserve">No camera data, uploaded in 2026 and sized 1376 x 768, which matches AI-generated images; origin cannot be confirmed</t>
  </si>
  <si>
    <t xml:space="preserve">IMG_5914.jpg and IMG_0730001.jpg (own project photos)</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</si>
  <si>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</si>
  <si>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</si>
  <si>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</si>
  <si>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</si>
  <si>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</si>
  <si>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</si>
  <si>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</si>
  <si>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</si>
  <si>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</si>
  <si>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</si>
  <si>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</si>
  <si>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</si>
  <si>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</si>
  <si>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</si>
  <si>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</si>
  <si>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</si>
  <si>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</si>
  <si>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</si>
  <si>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</si>
  <si>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</si>
  <si>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</si>
  <si>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</si>
  <si>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</si>
  <si>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</si>
  <si>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</si>
  <si>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</si>
  <si>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</si>
  <si>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</si>
  <si>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</si>
  <si>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</si>
  <si>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</si>
  <si>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</si>
  <si>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</si>
  <si>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Every banner uses a real photo from the business's own website (one HG post uses a licensed Unsplash photo).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</si>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</sst>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2F2F2"/>
        <bgColor rgb="FFF4F4F4"/>
      </patternFill>
    </fill>
    <fill>
      <patternFill patternType="solid">
        <fgColor rgb="FF000000"/>
        <bgColor rgb="FF003300"/>
      </patternFill>
    </fill>
    <fill>
      <patternFill patternType="solid">
        <fgColor rgb="FFDEE101"/>
        <bgColor rgb="FFFFFF00"/>
      </patternFill>
    </fill>
    <fill>
      <patternFill patternType="solid">
        <fgColor rgb="FFF4F4F4"/>
        <bgColor rgb="FFF2F2F2"/>
      </patternFill>
    </fill>
    <fill>
      <patternFill patternType="solid">
        <fgColor rgb="FFFFFFFF"/>
        <bgColor rgb="FFF4F4F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4F4F4"/>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DEE101"/>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https://preferredfencesolutions.com/fence-repair-okc/?utm_source=google&amp;utm_medium=organic&amp;utm_campaign=gbp-posts-nov-2026&amp;utm_content=nov26-01-fence-repair</v>
      </c>
      <c r="K2" s="4"/>
      <c r="L2" s="4" t="s">
        <v>21</v>
      </c>
      <c r="M2" s="4"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https://preferredfencesolutions.com/?utm_source=google&amp;utm_medium=organic&amp;utm_campaign=gbp-posts-nov-2026&amp;utm_content=nov26-02-free-estimate</v>
      </c>
      <c r="K3" s="4"/>
      <c r="L3" s="4" t="s">
        <v>31</v>
      </c>
      <c r="M3" s="4" t="s">
        <v>32</v>
      </c>
      <c r="N3" s="4" t="s">
        <v>33</v>
      </c>
      <c r="O3" s="4" t="s">
        <v>34</v>
      </c>
      <c r="P3" s="4" t="s">
        <v>35</v>
      </c>
      <c r="Q3" s="2" t="s">
        <v>25</v>
      </c>
    </row>
    <row r="4" customFormat="false" ht="199.5" hidden="false" customHeight="true" outlineLevel="0" collapsed="false">
      <c r="B4" s="2" t="n">
        <v>1</v>
      </c>
      <c r="C4" s="3" t="n">
        <v>46330</v>
      </c>
      <c r="D4" s="2" t="str">
        <f aca="false">TEXT(C4,"ddd")</f>
        <v>Wed</v>
      </c>
      <c r="E4" s="2" t="s">
        <v>36</v>
      </c>
      <c r="F4" s="4" t="s">
        <v>37</v>
      </c>
      <c r="G4" s="4" t="s">
        <v>38</v>
      </c>
      <c r="H4" s="2" t="s">
        <v>19</v>
      </c>
      <c r="I4" s="5" t="s">
        <v>39</v>
      </c>
      <c r="J4" s="5" t="str">
        <f aca="false">I4&amp;"?utm_source="&amp;Settings!$C$5&amp;"&amp;utm_medium="&amp;Settings!$C$6&amp;"&amp;utm_campaign="&amp;Settings!$C$7&amp;"&amp;utm_content="&amp;Settings!C15</f>
        <v>https://preferredfencesolutions.com/faq/?utm_source=google&amp;utm_medium=organic&amp;utm_campaign=gbp-posts-nov-2026&amp;utm_content=nov26-03-faq-fence-height</v>
      </c>
      <c r="K4" s="4"/>
      <c r="L4" s="4" t="s">
        <v>40</v>
      </c>
      <c r="M4" s="4" t="s">
        <v>41</v>
      </c>
      <c r="N4" s="4" t="s">
        <v>42</v>
      </c>
      <c r="O4" s="4" t="s">
        <v>34</v>
      </c>
      <c r="P4" s="4"/>
      <c r="Q4" s="2" t="s">
        <v>25</v>
      </c>
    </row>
    <row r="5" customFormat="false" ht="199.5" hidden="false" customHeight="true" outlineLevel="0" collapsed="false">
      <c r="B5" s="2" t="n">
        <v>1</v>
      </c>
      <c r="C5" s="3" t="n">
        <v>46331</v>
      </c>
      <c r="D5" s="2" t="str">
        <f aca="false">TEXT(C5,"ddd")</f>
        <v>Thu</v>
      </c>
      <c r="E5" s="2" t="s">
        <v>43</v>
      </c>
      <c r="F5" s="4" t="s">
        <v>44</v>
      </c>
      <c r="G5" s="4" t="s">
        <v>45</v>
      </c>
      <c r="H5" s="2" t="s">
        <v>19</v>
      </c>
      <c r="I5" s="5" t="s">
        <v>46</v>
      </c>
      <c r="J5" s="5" t="str">
        <f aca="false">I5&amp;"?utm_source="&amp;Settings!$C$5&amp;"&amp;utm_medium="&amp;Settings!$C$6&amp;"&amp;utm_campaign="&amp;Settings!$C$7&amp;"&amp;utm_content="&amp;Settings!C16</f>
        <v>https://preferredfencesolutions.com/fence-installation-edmond-ok/?utm_source=google&amp;utm_medium=organic&amp;utm_campaign=gbp-posts-nov-2026&amp;utm_content=nov26-04-edmond-installation</v>
      </c>
      <c r="K5" s="4"/>
      <c r="L5" s="4" t="s">
        <v>47</v>
      </c>
      <c r="M5" s="4" t="s">
        <v>48</v>
      </c>
      <c r="N5" s="4" t="s">
        <v>49</v>
      </c>
      <c r="O5" s="4" t="s">
        <v>34</v>
      </c>
      <c r="P5" s="4"/>
      <c r="Q5" s="2" t="s">
        <v>25</v>
      </c>
    </row>
    <row r="6" customFormat="false" ht="199.5" hidden="false" customHeight="true" outlineLevel="0" collapsed="false">
      <c r="B6" s="2" t="n">
        <v>1</v>
      </c>
      <c r="C6" s="3" t="n">
        <v>46332</v>
      </c>
      <c r="D6" s="2" t="str">
        <f aca="false">TEXT(C6,"ddd")</f>
        <v>Fri</v>
      </c>
      <c r="E6" s="2" t="s">
        <v>16</v>
      </c>
      <c r="F6" s="4" t="s">
        <v>50</v>
      </c>
      <c r="G6" s="4" t="s">
        <v>51</v>
      </c>
      <c r="H6" s="2" t="s">
        <v>19</v>
      </c>
      <c r="I6" s="5" t="s">
        <v>52</v>
      </c>
      <c r="J6" s="5" t="str">
        <f aca="false">I6&amp;"?utm_source="&amp;Settings!$C$5&amp;"&amp;utm_medium="&amp;Settings!$C$6&amp;"&amp;utm_campaign="&amp;Settings!$C$7&amp;"&amp;utm_content="&amp;Settings!C17</f>
        <v>https://preferredfencesolutions.com/stockade-wood-fence/?utm_source=google&amp;utm_medium=organic&amp;utm_campaign=gbp-posts-nov-2026&amp;utm_content=nov26-05-cedar-stockade</v>
      </c>
      <c r="K6" s="4"/>
      <c r="L6" s="4" t="s">
        <v>53</v>
      </c>
      <c r="M6" s="4" t="s">
        <v>54</v>
      </c>
      <c r="N6" s="4" t="s">
        <v>55</v>
      </c>
      <c r="O6" s="4" t="s">
        <v>34</v>
      </c>
      <c r="P6" s="4"/>
      <c r="Q6" s="2" t="s">
        <v>25</v>
      </c>
    </row>
    <row r="7" customFormat="false" ht="199.5" hidden="false" customHeight="true" outlineLevel="0" collapsed="false">
      <c r="B7" s="2" t="n">
        <v>2</v>
      </c>
      <c r="C7" s="3" t="n">
        <v>46335</v>
      </c>
      <c r="D7" s="2" t="str">
        <f aca="false">TEXT(C7,"ddd")</f>
        <v>Mon</v>
      </c>
      <c r="E7" s="2" t="s">
        <v>36</v>
      </c>
      <c r="F7" s="4" t="s">
        <v>56</v>
      </c>
      <c r="G7" s="4" t="s">
        <v>57</v>
      </c>
      <c r="H7" s="2" t="s">
        <v>19</v>
      </c>
      <c r="I7" s="5" t="s">
        <v>58</v>
      </c>
      <c r="J7" s="5" t="str">
        <f aca="false">I7&amp;"?utm_source="&amp;Settings!$C$5&amp;"&amp;utm_medium="&amp;Settings!$C$6&amp;"&amp;utm_campaign="&amp;Settings!$C$7&amp;"&amp;utm_content="&amp;Settings!C18</f>
        <v>https://preferredfencesolutions.com/fence-repair-vs-replacement-oklahoma-city/?utm_source=google&amp;utm_medium=organic&amp;utm_campaign=gbp-posts-nov-2026&amp;utm_content=nov26-06-faq-repair-vs-replace</v>
      </c>
      <c r="K7" s="4"/>
      <c r="L7" s="4" t="s">
        <v>59</v>
      </c>
      <c r="M7" s="4" t="s">
        <v>60</v>
      </c>
      <c r="N7" s="4" t="s">
        <v>61</v>
      </c>
      <c r="O7" s="4" t="s">
        <v>34</v>
      </c>
      <c r="P7" s="4"/>
      <c r="Q7" s="2" t="s">
        <v>25</v>
      </c>
    </row>
    <row r="8" customFormat="false" ht="199.5" hidden="false" customHeight="true" outlineLevel="0" collapsed="false">
      <c r="B8" s="2" t="n">
        <v>2</v>
      </c>
      <c r="C8" s="3" t="n">
        <v>46336</v>
      </c>
      <c r="D8" s="2" t="str">
        <f aca="false">TEXT(C8,"ddd")</f>
        <v>Tue</v>
      </c>
      <c r="E8" s="2" t="s">
        <v>16</v>
      </c>
      <c r="F8" s="4" t="s">
        <v>62</v>
      </c>
      <c r="G8" s="4" t="s">
        <v>63</v>
      </c>
      <c r="H8" s="2" t="s">
        <v>19</v>
      </c>
      <c r="I8" s="5" t="s">
        <v>64</v>
      </c>
      <c r="J8" s="5" t="str">
        <f aca="false">I8&amp;"?utm_source="&amp;Settings!$C$5&amp;"&amp;utm_medium="&amp;Settings!$C$6&amp;"&amp;utm_campaign="&amp;Settings!$C$7&amp;"&amp;utm_content="&amp;Settings!C19</f>
        <v>https://preferredfencesolutions.com/ornamental-iron-fence/?utm_source=google&amp;utm_medium=organic&amp;utm_campaign=gbp-posts-nov-2026&amp;utm_content=nov26-07-ornamental-iron</v>
      </c>
      <c r="K8" s="4"/>
      <c r="L8" s="4" t="s">
        <v>65</v>
      </c>
      <c r="M8" s="4" t="s">
        <v>66</v>
      </c>
      <c r="N8" s="4" t="s">
        <v>67</v>
      </c>
      <c r="O8" s="4" t="s">
        <v>34</v>
      </c>
      <c r="P8" s="4"/>
      <c r="Q8" s="2" t="s">
        <v>25</v>
      </c>
    </row>
    <row r="9" customFormat="false" ht="199.5" hidden="false" customHeight="true" outlineLevel="0" collapsed="false">
      <c r="B9" s="2" t="n">
        <v>2</v>
      </c>
      <c r="C9" s="3" t="n">
        <v>46337</v>
      </c>
      <c r="D9" s="2" t="str">
        <f aca="false">TEXT(C9,"ddd")</f>
        <v>Wed</v>
      </c>
      <c r="E9" s="2" t="s">
        <v>43</v>
      </c>
      <c r="F9" s="4" t="s">
        <v>68</v>
      </c>
      <c r="G9" s="4" t="s">
        <v>69</v>
      </c>
      <c r="H9" s="2" t="s">
        <v>19</v>
      </c>
      <c r="I9" s="5" t="s">
        <v>70</v>
      </c>
      <c r="J9" s="5" t="str">
        <f aca="false">I9&amp;"?utm_source="&amp;Settings!$C$5&amp;"&amp;utm_medium="&amp;Settings!$C$6&amp;"&amp;utm_campaign="&amp;Settings!$C$7&amp;"&amp;utm_content="&amp;Settings!C20</f>
        <v>https://preferredfencesolutions.com/best-fence-oklahoma-wind-okc/?utm_source=google&amp;utm_medium=organic&amp;utm_campaign=gbp-posts-nov-2026&amp;utm_content=nov26-08-oklahoma-wind</v>
      </c>
      <c r="K9" s="4"/>
      <c r="L9" s="4" t="s">
        <v>71</v>
      </c>
      <c r="M9" s="4" t="s">
        <v>72</v>
      </c>
      <c r="N9" s="4" t="s">
        <v>73</v>
      </c>
      <c r="O9" s="4" t="s">
        <v>34</v>
      </c>
      <c r="P9" s="4"/>
      <c r="Q9" s="2" t="s">
        <v>25</v>
      </c>
    </row>
    <row r="10" customFormat="false" ht="199.5" hidden="false" customHeight="true" outlineLevel="0" collapsed="false">
      <c r="B10" s="2" t="n">
        <v>2</v>
      </c>
      <c r="C10" s="3" t="n">
        <v>46338</v>
      </c>
      <c r="D10" s="2" t="str">
        <f aca="false">TEXT(C10,"ddd")</f>
        <v>Thu</v>
      </c>
      <c r="E10" s="2" t="s">
        <v>36</v>
      </c>
      <c r="F10" s="4" t="s">
        <v>74</v>
      </c>
      <c r="G10" s="4" t="s">
        <v>75</v>
      </c>
      <c r="H10" s="2" t="s">
        <v>19</v>
      </c>
      <c r="I10" s="5" t="s">
        <v>76</v>
      </c>
      <c r="J10" s="5" t="str">
        <f aca="false">I10&amp;"?utm_source="&amp;Settings!$C$5&amp;"&amp;utm_medium="&amp;Settings!$C$6&amp;"&amp;utm_campaign="&amp;Settings!$C$7&amp;"&amp;utm_content="&amp;Settings!C21</f>
        <v>https://preferredfencesolutions.com/why-fence-posts-fail-oklahoma-soil/?utm_source=google&amp;utm_medium=organic&amp;utm_campaign=gbp-posts-nov-2026&amp;utm_content=nov26-09-faq-post-failure</v>
      </c>
      <c r="K10" s="4"/>
      <c r="L10" s="4" t="s">
        <v>77</v>
      </c>
      <c r="M10" s="4" t="s">
        <v>78</v>
      </c>
      <c r="N10" s="4" t="s">
        <v>79</v>
      </c>
      <c r="O10" s="4" t="s">
        <v>34</v>
      </c>
      <c r="P10" s="4"/>
      <c r="Q10" s="2" t="s">
        <v>25</v>
      </c>
    </row>
    <row r="11" customFormat="false" ht="199.5" hidden="false" customHeight="true" outlineLevel="0" collapsed="false">
      <c r="B11" s="2" t="n">
        <v>2</v>
      </c>
      <c r="C11" s="3" t="n">
        <v>46339</v>
      </c>
      <c r="D11" s="2" t="str">
        <f aca="false">TEXT(C11,"ddd")</f>
        <v>Fri</v>
      </c>
      <c r="E11" s="2" t="s">
        <v>16</v>
      </c>
      <c r="F11" s="4" t="s">
        <v>80</v>
      </c>
      <c r="G11" s="4" t="s">
        <v>81</v>
      </c>
      <c r="H11" s="2" t="s">
        <v>19</v>
      </c>
      <c r="I11" s="5" t="s">
        <v>82</v>
      </c>
      <c r="J11" s="5" t="str">
        <f aca="false">I11&amp;"?utm_source="&amp;Settings!$C$5&amp;"&amp;utm_medium="&amp;Settings!$C$6&amp;"&amp;utm_campaign="&amp;Settings!$C$7&amp;"&amp;utm_content="&amp;Settings!C22</f>
        <v>https://preferredfencesolutions.com/sheet-metal-fence-oklahoma-city/?utm_source=google&amp;utm_medium=organic&amp;utm_campaign=gbp-posts-nov-2026&amp;utm_content=nov26-10-sheet-metal-commercial</v>
      </c>
      <c r="K11" s="4"/>
      <c r="L11" s="4" t="s">
        <v>83</v>
      </c>
      <c r="M11" s="4" t="s">
        <v>84</v>
      </c>
      <c r="N11" s="4" t="s">
        <v>85</v>
      </c>
      <c r="O11" s="4" t="s">
        <v>34</v>
      </c>
      <c r="P11" s="4"/>
      <c r="Q11" s="2" t="s">
        <v>25</v>
      </c>
    </row>
    <row r="12" customFormat="false" ht="199.5" hidden="false" customHeight="true" outlineLevel="0" collapsed="false">
      <c r="B12" s="2" t="n">
        <v>3</v>
      </c>
      <c r="C12" s="3" t="n">
        <v>46342</v>
      </c>
      <c r="D12" s="2" t="str">
        <f aca="false">TEXT(C12,"ddd")</f>
        <v>Mon</v>
      </c>
      <c r="E12" s="2" t="s">
        <v>26</v>
      </c>
      <c r="F12" s="4" t="s">
        <v>86</v>
      </c>
      <c r="G12" s="4" t="s">
        <v>87</v>
      </c>
      <c r="H12" s="2" t="s">
        <v>19</v>
      </c>
      <c r="I12" s="5" t="s">
        <v>88</v>
      </c>
      <c r="J12" s="5" t="str">
        <f aca="false">I12&amp;"?utm_source="&amp;Settings!$C$5&amp;"&amp;utm_medium="&amp;Settings!$C$6&amp;"&amp;utm_campaign="&amp;Settings!$C$7&amp;"&amp;utm_content="&amp;Settings!C23</f>
        <v>https://preferredfencesolutions.com/fence-gallery/?utm_source=google&amp;utm_medium=organic&amp;utm_campaign=gbp-posts-nov-2026&amp;utm_content=nov26-11-doggie-window</v>
      </c>
      <c r="K12" s="4"/>
      <c r="L12" s="4" t="s">
        <v>89</v>
      </c>
      <c r="M12" s="4" t="s">
        <v>90</v>
      </c>
      <c r="N12" s="4" t="s">
        <v>91</v>
      </c>
      <c r="O12" s="4" t="s">
        <v>34</v>
      </c>
      <c r="P12" s="4"/>
      <c r="Q12" s="2" t="s">
        <v>25</v>
      </c>
    </row>
    <row r="13" customFormat="false" ht="199.5" hidden="false" customHeight="true" outlineLevel="0" collapsed="false">
      <c r="B13" s="2" t="n">
        <v>3</v>
      </c>
      <c r="C13" s="3" t="n">
        <v>46343</v>
      </c>
      <c r="D13" s="2" t="str">
        <f aca="false">TEXT(C13,"ddd")</f>
        <v>Tue</v>
      </c>
      <c r="E13" s="2" t="s">
        <v>16</v>
      </c>
      <c r="F13" s="4" t="s">
        <v>92</v>
      </c>
      <c r="G13" s="4" t="s">
        <v>93</v>
      </c>
      <c r="H13" s="2" t="s">
        <v>19</v>
      </c>
      <c r="I13" s="5" t="s">
        <v>94</v>
      </c>
      <c r="J13" s="5" t="str">
        <f aca="false">I13&amp;"?utm_source="&amp;Settings!$C$5&amp;"&amp;utm_medium="&amp;Settings!$C$6&amp;"&amp;utm_campaign="&amp;Settings!$C$7&amp;"&amp;utm_content="&amp;Settings!C24</f>
        <v>https://preferredfencesolutions.com/chain-link-fence/?utm_source=google&amp;utm_medium=organic&amp;utm_campaign=gbp-posts-nov-2026&amp;utm_content=nov26-12-chain-link</v>
      </c>
      <c r="K13" s="4"/>
      <c r="L13" s="4" t="s">
        <v>95</v>
      </c>
      <c r="M13" s="4" t="s">
        <v>96</v>
      </c>
      <c r="N13" s="4" t="s">
        <v>97</v>
      </c>
      <c r="O13" s="4" t="s">
        <v>34</v>
      </c>
      <c r="P13" s="4"/>
      <c r="Q13" s="2" t="s">
        <v>25</v>
      </c>
    </row>
    <row r="14" customFormat="false" ht="199.5" hidden="false" customHeight="true" outlineLevel="0" collapsed="false">
      <c r="B14" s="2" t="n">
        <v>3</v>
      </c>
      <c r="C14" s="3" t="n">
        <v>46344</v>
      </c>
      <c r="D14" s="2" t="str">
        <f aca="false">TEXT(C14,"ddd")</f>
        <v>Wed</v>
      </c>
      <c r="E14" s="2" t="s">
        <v>36</v>
      </c>
      <c r="F14" s="4" t="s">
        <v>98</v>
      </c>
      <c r="G14" s="4" t="s">
        <v>99</v>
      </c>
      <c r="H14" s="2" t="s">
        <v>19</v>
      </c>
      <c r="I14" s="5" t="s">
        <v>39</v>
      </c>
      <c r="J14" s="5" t="str">
        <f aca="false">I14&amp;"?utm_source="&amp;Settings!$C$5&amp;"&amp;utm_medium="&amp;Settings!$C$6&amp;"&amp;utm_campaign="&amp;Settings!$C$7&amp;"&amp;utm_content="&amp;Settings!C25</f>
        <v>https://preferredfencesolutions.com/faq/?utm_source=google&amp;utm_medium=organic&amp;utm_campaign=gbp-posts-nov-2026&amp;utm_content=nov26-13-faq-affordable-fence</v>
      </c>
      <c r="K14" s="4"/>
      <c r="L14" s="4" t="s">
        <v>100</v>
      </c>
      <c r="M14" s="4" t="s">
        <v>101</v>
      </c>
      <c r="N14" s="4" t="s">
        <v>102</v>
      </c>
      <c r="O14" s="4" t="s">
        <v>34</v>
      </c>
      <c r="P14" s="4"/>
      <c r="Q14" s="2" t="s">
        <v>25</v>
      </c>
    </row>
    <row r="15" customFormat="false" ht="199.5" hidden="false" customHeight="true" outlineLevel="0" collapsed="false">
      <c r="B15" s="2" t="n">
        <v>3</v>
      </c>
      <c r="C15" s="3" t="n">
        <v>46345</v>
      </c>
      <c r="D15" s="2" t="str">
        <f aca="false">TEXT(C15,"ddd")</f>
        <v>Thu</v>
      </c>
      <c r="E15" s="2" t="s">
        <v>43</v>
      </c>
      <c r="F15" s="4" t="s">
        <v>103</v>
      </c>
      <c r="G15" s="4" t="s">
        <v>104</v>
      </c>
      <c r="H15" s="2" t="s">
        <v>19</v>
      </c>
      <c r="I15" s="5" t="s">
        <v>105</v>
      </c>
      <c r="J15" s="5" t="str">
        <f aca="false">I15&amp;"?utm_source="&amp;Settings!$C$5&amp;"&amp;utm_medium="&amp;Settings!$C$6&amp;"&amp;utm_campaign="&amp;Settings!$C$7&amp;"&amp;utm_content="&amp;Settings!C26</f>
        <v>https://preferredfencesolutions.com/fence-installation-repair-north-okc/?utm_source=google&amp;utm_medium=organic&amp;utm_campaign=gbp-posts-nov-2026&amp;utm_content=nov26-14-north-okc</v>
      </c>
      <c r="K15" s="4"/>
      <c r="L15" s="4" t="s">
        <v>106</v>
      </c>
      <c r="M15" s="4" t="s">
        <v>107</v>
      </c>
      <c r="N15" s="4" t="s">
        <v>108</v>
      </c>
      <c r="O15" s="4" t="s">
        <v>34</v>
      </c>
      <c r="P15" s="4"/>
      <c r="Q15" s="2" t="s">
        <v>25</v>
      </c>
    </row>
    <row r="16" customFormat="false" ht="199.5" hidden="false" customHeight="true" outlineLevel="0" collapsed="false">
      <c r="B16" s="2" t="n">
        <v>3</v>
      </c>
      <c r="C16" s="3" t="n">
        <v>46346</v>
      </c>
      <c r="D16" s="2" t="str">
        <f aca="false">TEXT(C16,"ddd")</f>
        <v>Fri</v>
      </c>
      <c r="E16" s="2" t="s">
        <v>16</v>
      </c>
      <c r="F16" s="4" t="s">
        <v>109</v>
      </c>
      <c r="G16" s="4" t="s">
        <v>110</v>
      </c>
      <c r="H16" s="2" t="s">
        <v>19</v>
      </c>
      <c r="I16" s="5" t="s">
        <v>111</v>
      </c>
      <c r="J16" s="5" t="str">
        <f aca="false">I16&amp;"?utm_source="&amp;Settings!$C$5&amp;"&amp;utm_medium="&amp;Settings!$C$6&amp;"&amp;utm_campaign="&amp;Settings!$C$7&amp;"&amp;utm_content="&amp;Settings!C27</f>
        <v>https://preferredfencesolutions.com/vinyl-fence/?utm_source=google&amp;utm_medium=organic&amp;utm_campaign=gbp-posts-nov-2026&amp;utm_content=nov26-15-vinyl-fence</v>
      </c>
      <c r="K16" s="4"/>
      <c r="L16" s="4" t="s">
        <v>112</v>
      </c>
      <c r="M16" s="4" t="s">
        <v>113</v>
      </c>
      <c r="N16" s="4" t="s">
        <v>114</v>
      </c>
      <c r="O16" s="4" t="s">
        <v>34</v>
      </c>
      <c r="P16" s="4"/>
      <c r="Q16" s="2" t="s">
        <v>25</v>
      </c>
    </row>
    <row r="17" customFormat="false" ht="199.5" hidden="false" customHeight="true" outlineLevel="0" collapsed="false">
      <c r="B17" s="2" t="n">
        <v>4</v>
      </c>
      <c r="C17" s="3" t="n">
        <v>46349</v>
      </c>
      <c r="D17" s="2" t="str">
        <f aca="false">TEXT(C17,"ddd")</f>
        <v>Mon</v>
      </c>
      <c r="E17" s="2" t="s">
        <v>26</v>
      </c>
      <c r="F17" s="4" t="s">
        <v>115</v>
      </c>
      <c r="G17" s="4" t="s">
        <v>116</v>
      </c>
      <c r="H17" s="2" t="s">
        <v>29</v>
      </c>
      <c r="I17" s="5" t="s">
        <v>117</v>
      </c>
      <c r="J17" s="5" t="str">
        <f aca="false">I17&amp;"?utm_source="&amp;Settings!$C$5&amp;"&amp;utm_medium="&amp;Settings!$C$6&amp;"&amp;utm_campaign="&amp;Settings!$C$7&amp;"&amp;utm_content="&amp;Settings!C28</f>
        <v>https://preferredfencesolutions.com/fence-design-planning/?utm_source=google&amp;utm_medium=organic&amp;utm_campaign=gbp-posts-nov-2026&amp;utm_content=nov26-16-free-design-consult</v>
      </c>
      <c r="K17" s="4"/>
      <c r="L17" s="4" t="s">
        <v>118</v>
      </c>
      <c r="M17" s="4" t="s">
        <v>119</v>
      </c>
      <c r="N17" s="4" t="s">
        <v>120</v>
      </c>
      <c r="O17" s="4" t="s">
        <v>34</v>
      </c>
      <c r="P17" s="4" t="s">
        <v>121</v>
      </c>
      <c r="Q17" s="2" t="s">
        <v>25</v>
      </c>
    </row>
    <row r="18" customFormat="false" ht="199.5" hidden="false" customHeight="true" outlineLevel="0" collapsed="false">
      <c r="B18" s="2" t="n">
        <v>4</v>
      </c>
      <c r="C18" s="3" t="n">
        <v>46350</v>
      </c>
      <c r="D18" s="2" t="str">
        <f aca="false">TEXT(C18,"ddd")</f>
        <v>Tue</v>
      </c>
      <c r="E18" s="2" t="s">
        <v>16</v>
      </c>
      <c r="F18" s="4" t="s">
        <v>122</v>
      </c>
      <c r="G18" s="4" t="s">
        <v>123</v>
      </c>
      <c r="H18" s="2" t="s">
        <v>19</v>
      </c>
      <c r="I18" s="5" t="s">
        <v>124</v>
      </c>
      <c r="J18" s="5" t="str">
        <f aca="false">I18&amp;"?utm_source="&amp;Settings!$C$5&amp;"&amp;utm_medium="&amp;Settings!$C$6&amp;"&amp;utm_campaign="&amp;Settings!$C$7&amp;"&amp;utm_content="&amp;Settings!C29</f>
        <v>https://preferredfencesolutions.com/residential-fence-gate-width-placement-okc/?utm_source=google&amp;utm_medium=organic&amp;utm_campaign=gbp-posts-nov-2026&amp;utm_content=nov26-17-gate-planning</v>
      </c>
      <c r="K18" s="4"/>
      <c r="L18" s="4" t="s">
        <v>125</v>
      </c>
      <c r="M18" s="4" t="s">
        <v>126</v>
      </c>
      <c r="N18" s="4" t="s">
        <v>127</v>
      </c>
      <c r="O18" s="4" t="s">
        <v>34</v>
      </c>
      <c r="P18" s="4"/>
      <c r="Q18" s="2" t="s">
        <v>25</v>
      </c>
    </row>
    <row r="19" customFormat="false" ht="199.5" hidden="false" customHeight="true" outlineLevel="0" collapsed="false">
      <c r="B19" s="2" t="n">
        <v>4</v>
      </c>
      <c r="C19" s="3" t="n">
        <v>46351</v>
      </c>
      <c r="D19" s="2" t="str">
        <f aca="false">TEXT(C19,"ddd")</f>
        <v>Wed</v>
      </c>
      <c r="E19" s="2" t="s">
        <v>36</v>
      </c>
      <c r="F19" s="4" t="s">
        <v>128</v>
      </c>
      <c r="G19" s="4" t="s">
        <v>129</v>
      </c>
      <c r="H19" s="2" t="s">
        <v>19</v>
      </c>
      <c r="I19" s="5" t="s">
        <v>130</v>
      </c>
      <c r="J19" s="5" t="str">
        <f aca="false">I19&amp;"?utm_source="&amp;Settings!$C$5&amp;"&amp;utm_medium="&amp;Settings!$C$6&amp;"&amp;utm_campaign="&amp;Settings!$C$7&amp;"&amp;utm_content="&amp;Settings!C30</f>
        <v>https://preferredfencesolutions.com/new-cedar-fence-boards-blend-old-fence/?utm_source=google&amp;utm_medium=organic&amp;utm_campaign=gbp-posts-nov-2026&amp;utm_content=nov26-18-faq-cedar-match</v>
      </c>
      <c r="K19" s="4"/>
      <c r="L19" s="4" t="s">
        <v>131</v>
      </c>
      <c r="M19" s="4" t="s">
        <v>132</v>
      </c>
      <c r="N19" s="4" t="s">
        <v>102</v>
      </c>
      <c r="O19" s="4" t="s">
        <v>34</v>
      </c>
      <c r="P19" s="4"/>
      <c r="Q19" s="2" t="s">
        <v>25</v>
      </c>
    </row>
    <row r="20" customFormat="false" ht="199.5" hidden="false" customHeight="true" outlineLevel="0" collapsed="false">
      <c r="B20" s="2" t="n">
        <v>4</v>
      </c>
      <c r="C20" s="3" t="n">
        <v>46352</v>
      </c>
      <c r="D20" s="2" t="str">
        <f aca="false">TEXT(C20,"ddd")</f>
        <v>Thu</v>
      </c>
      <c r="E20" s="2" t="s">
        <v>43</v>
      </c>
      <c r="F20" s="4" t="s">
        <v>133</v>
      </c>
      <c r="G20" s="4" t="s">
        <v>134</v>
      </c>
      <c r="H20" s="2" t="s">
        <v>19</v>
      </c>
      <c r="I20" s="5" t="s">
        <v>135</v>
      </c>
      <c r="J20" s="5" t="str">
        <f aca="false">I20&amp;"?utm_source="&amp;Settings!$C$5&amp;"&amp;utm_medium="&amp;Settings!$C$6&amp;"&amp;utm_campaign="&amp;Settings!$C$7&amp;"&amp;utm_content="&amp;Settings!C31</f>
        <v>https://preferredfencesolutions.com/testimonials/?utm_source=google&amp;utm_medium=organic&amp;utm_campaign=gbp-posts-nov-2026&amp;utm_content=nov26-19-thanksgiving</v>
      </c>
      <c r="K20" s="4"/>
      <c r="L20" s="4" t="s">
        <v>136</v>
      </c>
      <c r="M20" s="4" t="s">
        <v>137</v>
      </c>
      <c r="N20" s="4" t="s">
        <v>138</v>
      </c>
      <c r="O20" s="4" t="s">
        <v>34</v>
      </c>
      <c r="P20" s="4"/>
      <c r="Q20" s="2" t="s">
        <v>25</v>
      </c>
    </row>
    <row r="21" customFormat="false" ht="199.5" hidden="false" customHeight="true" outlineLevel="0" collapsed="false">
      <c r="B21" s="2" t="n">
        <v>4</v>
      </c>
      <c r="C21" s="3" t="n">
        <v>46353</v>
      </c>
      <c r="D21" s="2" t="str">
        <f aca="false">TEXT(C21,"ddd")</f>
        <v>Fri</v>
      </c>
      <c r="E21" s="2" t="s">
        <v>26</v>
      </c>
      <c r="F21" s="4" t="s">
        <v>139</v>
      </c>
      <c r="G21" s="4" t="s">
        <v>140</v>
      </c>
      <c r="H21" s="2" t="s">
        <v>29</v>
      </c>
      <c r="I21" s="5" t="s">
        <v>20</v>
      </c>
      <c r="J21" s="5" t="str">
        <f aca="false">I21&amp;"?utm_source="&amp;Settings!$C$5&amp;"&amp;utm_medium="&amp;Settings!$C$6&amp;"&amp;utm_campaign="&amp;Settings!$C$7&amp;"&amp;utm_content="&amp;Settings!C32</f>
        <v>https://preferredfencesolutions.com/fence-repair-okc/?utm_source=google&amp;utm_medium=organic&amp;utm_campaign=gbp-posts-nov-2026&amp;utm_content=nov26-20-free-repair-estimate</v>
      </c>
      <c r="K21" s="4"/>
      <c r="L21" s="4" t="s">
        <v>141</v>
      </c>
      <c r="M21" s="4" t="s">
        <v>142</v>
      </c>
      <c r="N21" s="4" t="s">
        <v>143</v>
      </c>
      <c r="O21" s="4" t="s">
        <v>24</v>
      </c>
      <c r="P21" s="4" t="s">
        <v>144</v>
      </c>
      <c r="Q21" s="2" t="s">
        <v>25</v>
      </c>
    </row>
    <row r="22" customFormat="false" ht="199.5" hidden="false" customHeight="true" outlineLevel="0" collapsed="false">
      <c r="B22" s="2" t="n">
        <v>5</v>
      </c>
      <c r="C22" s="3" t="n">
        <v>46356</v>
      </c>
      <c r="D22" s="2" t="str">
        <f aca="false">TEXT(C22,"ddd")</f>
        <v>Mon</v>
      </c>
      <c r="E22" s="2" t="s">
        <v>16</v>
      </c>
      <c r="F22" s="4" t="s">
        <v>145</v>
      </c>
      <c r="G22" s="4" t="s">
        <v>146</v>
      </c>
      <c r="H22" s="2" t="s">
        <v>19</v>
      </c>
      <c r="I22" s="5" t="s">
        <v>147</v>
      </c>
      <c r="J22" s="5" t="str">
        <f aca="false">I22&amp;"?utm_source="&amp;Settings!$C$5&amp;"&amp;utm_medium="&amp;Settings!$C$6&amp;"&amp;utm_campaign="&amp;Settings!$C$7&amp;"&amp;utm_content="&amp;Settings!C33</f>
        <v>https://preferredfencesolutions.com/simtek-fence/?utm_source=google&amp;utm_medium=organic&amp;utm_campaign=gbp-posts-nov-2026&amp;utm_content=nov26-21-simtek</v>
      </c>
      <c r="K22" s="4"/>
      <c r="L22" s="4" t="s">
        <v>148</v>
      </c>
      <c r="M22" s="4" t="s">
        <v>149</v>
      </c>
      <c r="N22" s="4" t="s">
        <v>150</v>
      </c>
      <c r="O22" s="4" t="s">
        <v>24</v>
      </c>
      <c r="P22" s="4"/>
      <c r="Q22" s="2" t="s">
        <v>25</v>
      </c>
    </row>
    <row r="23" customFormat="false" ht="199.5" hidden="false" customHeight="true" outlineLevel="0" collapsed="false">
      <c r="B23" s="2" t="n">
        <v>5</v>
      </c>
      <c r="C23" s="3" t="n">
        <v>46357</v>
      </c>
      <c r="D23" s="2" t="str">
        <f aca="false">TEXT(C23,"ddd")</f>
        <v>Tue</v>
      </c>
      <c r="E23" s="2" t="s">
        <v>43</v>
      </c>
      <c r="F23" s="4" t="s">
        <v>151</v>
      </c>
      <c r="G23" s="4" t="s">
        <v>152</v>
      </c>
      <c r="H23" s="2" t="s">
        <v>19</v>
      </c>
      <c r="I23" s="5" t="s">
        <v>153</v>
      </c>
      <c r="J23" s="5" t="str">
        <f aca="false">I23&amp;"?utm_source="&amp;Settings!$C$5&amp;"&amp;utm_medium="&amp;Settings!$C$6&amp;"&amp;utm_campaign="&amp;Settings!$C$7&amp;"&amp;utm_content="&amp;Settings!C34</f>
        <v>https://preferredfencesolutions.com/pfs-awards/?utm_source=google&amp;utm_medium=organic&amp;utm_campaign=gbp-posts-nov-2026&amp;utm_content=nov26-22-year-end-awards</v>
      </c>
      <c r="K23" s="4"/>
      <c r="L23" s="4" t="s">
        <v>154</v>
      </c>
      <c r="M23" s="4" t="s">
        <v>155</v>
      </c>
      <c r="N23" s="4" t="s">
        <v>156</v>
      </c>
      <c r="O23" s="4" t="s">
        <v>34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157</v>
      </c>
    </row>
    <row r="2" customFormat="false" ht="15" hidden="false" customHeight="false" outlineLevel="0" collapsed="false">
      <c r="A2" s="7" t="s">
        <v>158</v>
      </c>
    </row>
    <row r="4" customFormat="false" ht="15" hidden="false" customHeight="false" outlineLevel="0" collapsed="false">
      <c r="B4" s="8" t="s">
        <v>159</v>
      </c>
      <c r="C4" s="8" t="s">
        <v>160</v>
      </c>
      <c r="D4" s="8" t="s">
        <v>161</v>
      </c>
    </row>
    <row r="5" customFormat="false" ht="23.85" hidden="false" customHeight="false" outlineLevel="0" collapsed="false">
      <c r="B5" s="4" t="s">
        <v>162</v>
      </c>
      <c r="C5" s="4" t="s">
        <v>163</v>
      </c>
      <c r="D5" s="4" t="s">
        <v>164</v>
      </c>
    </row>
    <row r="6" customFormat="false" ht="23.85" hidden="false" customHeight="false" outlineLevel="0" collapsed="false">
      <c r="B6" s="4" t="s">
        <v>165</v>
      </c>
      <c r="C6" s="4" t="s">
        <v>166</v>
      </c>
      <c r="D6" s="4" t="s">
        <v>167</v>
      </c>
    </row>
    <row r="7" customFormat="false" ht="23.85" hidden="false" customHeight="false" outlineLevel="0" collapsed="false">
      <c r="B7" s="4" t="s">
        <v>168</v>
      </c>
      <c r="C7" s="4" t="s">
        <v>169</v>
      </c>
      <c r="D7" s="4" t="s">
        <v>170</v>
      </c>
    </row>
    <row r="8" customFormat="false" ht="23.85" hidden="false" customHeight="false" outlineLevel="0" collapsed="false">
      <c r="B8" s="4" t="s">
        <v>171</v>
      </c>
      <c r="C8" s="4" t="s">
        <v>172</v>
      </c>
      <c r="D8" s="4" t="s">
        <v>173</v>
      </c>
    </row>
    <row r="11" customFormat="false" ht="15" hidden="false" customHeight="false" outlineLevel="0" collapsed="false">
      <c r="B11" s="9" t="s">
        <v>174</v>
      </c>
    </row>
    <row r="12" customFormat="false" ht="15" hidden="false" customHeight="false" outlineLevel="0" collapsed="false">
      <c r="B12" s="8" t="s">
        <v>175</v>
      </c>
      <c r="C12" s="8" t="s">
        <v>176</v>
      </c>
      <c r="D12" s="8" t="s">
        <v>4</v>
      </c>
    </row>
    <row r="13" customFormat="false" ht="15" hidden="false" customHeight="false" outlineLevel="0" collapsed="false">
      <c r="B13" s="2" t="n">
        <v>1</v>
      </c>
      <c r="C13" s="4" t="s">
        <v>177</v>
      </c>
      <c r="D13" s="4" t="str">
        <f aca="false">'preferredfencesolutions.com'!F2</f>
        <v>Fence Repair After Wind and Storm Damage</v>
      </c>
    </row>
    <row r="14" customFormat="false" ht="15" hidden="false" customHeight="false" outlineLevel="0" collapsed="false">
      <c r="B14" s="2" t="n">
        <v>2</v>
      </c>
      <c r="C14" s="4" t="s">
        <v>178</v>
      </c>
      <c r="D14" s="4" t="str">
        <f aca="false">'preferredfencesolutions.com'!F3</f>
        <v>Free On-Site Fence Estimate</v>
      </c>
    </row>
    <row r="15" customFormat="false" ht="15" hidden="false" customHeight="false" outlineLevel="0" collapsed="false">
      <c r="B15" s="2" t="n">
        <v>3</v>
      </c>
      <c r="C15" s="4" t="s">
        <v>179</v>
      </c>
      <c r="D15" s="4" t="str">
        <f aca="false">'preferredfencesolutions.com'!F4</f>
        <v>FAQ: How Tall Can My Fence Be in OKC?</v>
      </c>
    </row>
    <row r="16" customFormat="false" ht="23.85" hidden="false" customHeight="false" outlineLevel="0" collapsed="false">
      <c r="B16" s="2" t="n">
        <v>4</v>
      </c>
      <c r="C16" s="4" t="s">
        <v>180</v>
      </c>
      <c r="D16" s="4" t="str">
        <f aca="false">'preferredfencesolutions.com'!F5</f>
        <v>Fence Installation in Edmond, OK</v>
      </c>
    </row>
    <row r="17" customFormat="false" ht="15" hidden="false" customHeight="false" outlineLevel="0" collapsed="false">
      <c r="B17" s="2" t="n">
        <v>5</v>
      </c>
      <c r="C17" s="4" t="s">
        <v>181</v>
      </c>
      <c r="D17" s="4" t="str">
        <f aca="false">'preferredfencesolutions.com'!F6</f>
        <v>Western Red Cedar Stockade Fences Built in Our Shop</v>
      </c>
    </row>
    <row r="18" customFormat="false" ht="23.85" hidden="false" customHeight="false" outlineLevel="0" collapsed="false">
      <c r="B18" s="2" t="n">
        <v>6</v>
      </c>
      <c r="C18" s="4" t="s">
        <v>182</v>
      </c>
      <c r="D18" s="4" t="str">
        <f aca="false">'preferredfencesolutions.com'!F7</f>
        <v>FAQ: Should I Repair or Replace My Fence?</v>
      </c>
    </row>
    <row r="19" customFormat="false" ht="15" hidden="false" customHeight="false" outlineLevel="0" collapsed="false">
      <c r="B19" s="2" t="n">
        <v>7</v>
      </c>
      <c r="C19" s="4" t="s">
        <v>183</v>
      </c>
      <c r="D19" s="4" t="str">
        <f aca="false">'preferredfencesolutions.com'!F8</f>
        <v>Ameristar Ornamental Iron Fences and Gates</v>
      </c>
    </row>
    <row r="20" customFormat="false" ht="15" hidden="false" customHeight="false" outlineLevel="0" collapsed="false">
      <c r="B20" s="2" t="n">
        <v>8</v>
      </c>
      <c r="C20" s="4" t="s">
        <v>184</v>
      </c>
      <c r="D20" s="4" t="str">
        <f aca="false">'preferredfencesolutions.com'!F9</f>
        <v>The Best Fence for Oklahoma Wind</v>
      </c>
    </row>
    <row r="21" customFormat="false" ht="15" hidden="false" customHeight="false" outlineLevel="0" collapsed="false">
      <c r="B21" s="2" t="n">
        <v>9</v>
      </c>
      <c r="C21" s="4" t="s">
        <v>185</v>
      </c>
      <c r="D21" s="4" t="str">
        <f aca="false">'preferredfencesolutions.com'!F10</f>
        <v>FAQ: Why Do Fence Posts Lean in Oklahoma?</v>
      </c>
    </row>
    <row r="22" customFormat="false" ht="23.85" hidden="false" customHeight="false" outlineLevel="0" collapsed="false">
      <c r="B22" s="2" t="n">
        <v>10</v>
      </c>
      <c r="C22" s="4" t="s">
        <v>186</v>
      </c>
      <c r="D22" s="4" t="str">
        <f aca="false">'preferredfencesolutions.com'!F11</f>
        <v>Sheet Metal Fence for Commercial Properties</v>
      </c>
    </row>
    <row r="23" customFormat="false" ht="15" hidden="false" customHeight="false" outlineLevel="0" collapsed="false">
      <c r="B23" s="2" t="n">
        <v>11</v>
      </c>
      <c r="C23" s="4" t="s">
        <v>187</v>
      </c>
      <c r="D23" s="4" t="str">
        <f aca="false">'preferredfencesolutions.com'!F12</f>
        <v>Add a Custom Doggie Window to Your Fence</v>
      </c>
    </row>
    <row r="24" customFormat="false" ht="15" hidden="false" customHeight="false" outlineLevel="0" collapsed="false">
      <c r="B24" s="2" t="n">
        <v>12</v>
      </c>
      <c r="C24" s="4" t="s">
        <v>188</v>
      </c>
      <c r="D24" s="4" t="str">
        <f aca="false">'preferredfencesolutions.com'!F13</f>
        <v>Chain Link Fencing: Galvanized or Black Vinyl-Coated</v>
      </c>
    </row>
    <row r="25" customFormat="false" ht="23.85" hidden="false" customHeight="false" outlineLevel="0" collapsed="false">
      <c r="B25" s="2" t="n">
        <v>13</v>
      </c>
      <c r="C25" s="4" t="s">
        <v>189</v>
      </c>
      <c r="D25" s="4" t="str">
        <f aca="false">'preferredfencesolutions.com'!F14</f>
        <v>FAQ: What Is the Most Affordable Fence in OKC?</v>
      </c>
    </row>
    <row r="26" customFormat="false" ht="15" hidden="false" customHeight="false" outlineLevel="0" collapsed="false">
      <c r="B26" s="2" t="n">
        <v>14</v>
      </c>
      <c r="C26" s="4" t="s">
        <v>190</v>
      </c>
      <c r="D26" s="4" t="str">
        <f aca="false">'preferredfencesolutions.com'!F15</f>
        <v>North OKC Fence Installation and Repair</v>
      </c>
    </row>
    <row r="27" customFormat="false" ht="15" hidden="false" customHeight="false" outlineLevel="0" collapsed="false">
      <c r="B27" s="2" t="n">
        <v>15</v>
      </c>
      <c r="C27" s="4" t="s">
        <v>191</v>
      </c>
      <c r="D27" s="4" t="str">
        <f aca="false">'preferredfencesolutions.com'!F16</f>
        <v>Low-Maintenance Vinyl Fence Installation</v>
      </c>
    </row>
    <row r="28" customFormat="false" ht="23.85" hidden="false" customHeight="false" outlineLevel="0" collapsed="false">
      <c r="B28" s="2" t="n">
        <v>16</v>
      </c>
      <c r="C28" s="4" t="s">
        <v>192</v>
      </c>
      <c r="D28" s="4" t="str">
        <f aca="false">'preferredfencesolutions.com'!F17</f>
        <v>Free Fence Design and Planning Consultation</v>
      </c>
    </row>
    <row r="29" customFormat="false" ht="15" hidden="false" customHeight="false" outlineLevel="0" collapsed="false">
      <c r="B29" s="2" t="n">
        <v>17</v>
      </c>
      <c r="C29" s="4" t="s">
        <v>193</v>
      </c>
      <c r="D29" s="4" t="str">
        <f aca="false">'preferredfencesolutions.com'!F18</f>
        <v>Residential Gates: Width and Placement</v>
      </c>
    </row>
    <row r="30" customFormat="false" ht="15" hidden="false" customHeight="false" outlineLevel="0" collapsed="false">
      <c r="B30" s="2" t="n">
        <v>18</v>
      </c>
      <c r="C30" s="4" t="s">
        <v>194</v>
      </c>
      <c r="D30" s="4" t="str">
        <f aca="false">'preferredfencesolutions.com'!F19</f>
        <v>FAQ: Will New Cedar Boards Match My Old Fence?</v>
      </c>
    </row>
    <row r="31" customFormat="false" ht="15" hidden="false" customHeight="false" outlineLevel="0" collapsed="false">
      <c r="B31" s="2" t="n">
        <v>19</v>
      </c>
      <c r="C31" s="4" t="s">
        <v>195</v>
      </c>
      <c r="D31" s="4" t="str">
        <f aca="false">'preferredfencesolutions.com'!F20</f>
        <v>Happy Thanksgiving from Preferred Fence Solutions</v>
      </c>
    </row>
    <row r="32" customFormat="false" ht="23.85" hidden="false" customHeight="false" outlineLevel="0" collapsed="false">
      <c r="B32" s="2" t="n">
        <v>20</v>
      </c>
      <c r="C32" s="4" t="s">
        <v>196</v>
      </c>
      <c r="D32" s="4" t="str">
        <f aca="false">'preferredfencesolutions.com'!F21</f>
        <v>Free Fence Repair Estimate</v>
      </c>
    </row>
    <row r="33" customFormat="false" ht="15" hidden="false" customHeight="false" outlineLevel="0" collapsed="false">
      <c r="B33" s="2" t="n">
        <v>21</v>
      </c>
      <c r="C33" s="4" t="s">
        <v>197</v>
      </c>
      <c r="D33" s="4" t="str">
        <f aca="false">'preferredfencesolutions.com'!F22</f>
        <v>SimTek Fences: The Look of Stone</v>
      </c>
    </row>
    <row r="34" customFormat="false" ht="23.85" hidden="false" customHeight="false" outlineLevel="0" collapsed="false">
      <c r="B34" s="2" t="n">
        <v>22</v>
      </c>
      <c r="C34" s="4" t="s">
        <v>198</v>
      </c>
      <c r="D34" s="4" t="str">
        <f aca="false">'preferredfencesolutions.com'!F23</f>
        <v>Thank You, Oklahoma City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199</v>
      </c>
    </row>
    <row r="2" customFormat="false" ht="15" hidden="false" customHeight="false" outlineLevel="0" collapsed="false">
      <c r="A2" s="7" t="s">
        <v>200</v>
      </c>
    </row>
    <row r="4" customFormat="false" ht="15" hidden="false" customHeight="false" outlineLevel="0" collapsed="false">
      <c r="B4" s="8" t="s">
        <v>201</v>
      </c>
      <c r="C4" s="8" t="s">
        <v>160</v>
      </c>
      <c r="D4" s="8" t="s">
        <v>161</v>
      </c>
    </row>
    <row r="5" customFormat="false" ht="46.25" hidden="false" customHeight="false" outlineLevel="0" collapsed="false">
      <c r="B5" s="4" t="s">
        <v>202</v>
      </c>
      <c r="C5" s="4" t="s">
        <v>203</v>
      </c>
      <c r="D5" s="4" t="s">
        <v>204</v>
      </c>
    </row>
    <row r="6" customFormat="false" ht="23.85" hidden="false" customHeight="false" outlineLevel="0" collapsed="false">
      <c r="B6" s="4" t="s">
        <v>205</v>
      </c>
      <c r="C6" s="4" t="s">
        <v>206</v>
      </c>
      <c r="D6" s="4" t="s">
        <v>207</v>
      </c>
    </row>
    <row r="7" customFormat="false" ht="23.85" hidden="false" customHeight="false" outlineLevel="0" collapsed="false">
      <c r="B7" s="4" t="s">
        <v>208</v>
      </c>
      <c r="C7" s="4" t="s">
        <v>209</v>
      </c>
      <c r="D7" s="4" t="s">
        <v>210</v>
      </c>
    </row>
    <row r="8" customFormat="false" ht="23.85" hidden="false" customHeight="false" outlineLevel="0" collapsed="false">
      <c r="B8" s="4" t="s">
        <v>211</v>
      </c>
      <c r="C8" s="4" t="s">
        <v>212</v>
      </c>
      <c r="D8" s="4" t="s">
        <v>213</v>
      </c>
    </row>
    <row r="9" customFormat="false" ht="23.85" hidden="false" customHeight="false" outlineLevel="0" collapsed="false">
      <c r="B9" s="4" t="s">
        <v>214</v>
      </c>
      <c r="C9" s="4" t="s">
        <v>215</v>
      </c>
      <c r="D9" s="4" t="s">
        <v>216</v>
      </c>
    </row>
    <row r="10" customFormat="false" ht="35.05" hidden="false" customHeight="false" outlineLevel="0" collapsed="false">
      <c r="B10" s="4" t="s">
        <v>217</v>
      </c>
      <c r="C10" s="4" t="s">
        <v>218</v>
      </c>
      <c r="D10" s="4" t="s">
        <v>219</v>
      </c>
    </row>
    <row r="12" customFormat="false" ht="15" hidden="false" customHeight="false" outlineLevel="0" collapsed="false">
      <c r="B12" s="9" t="s">
        <v>220</v>
      </c>
    </row>
    <row r="13" customFormat="false" ht="15" hidden="false" customHeight="false" outlineLevel="0" collapsed="false">
      <c r="B13" s="8" t="s">
        <v>221</v>
      </c>
      <c r="C13" s="8" t="s">
        <v>222</v>
      </c>
      <c r="D13" s="8" t="s">
        <v>223</v>
      </c>
      <c r="E13" s="8" t="s">
        <v>224</v>
      </c>
      <c r="F13" s="8" t="s">
        <v>225</v>
      </c>
    </row>
    <row r="14" customFormat="false" ht="15" hidden="false" customHeight="false" outlineLevel="0" collapsed="false">
      <c r="B14" s="4" t="s">
        <v>226</v>
      </c>
      <c r="C14" s="4" t="s">
        <v>227</v>
      </c>
      <c r="D14" s="4" t="s">
        <v>228</v>
      </c>
      <c r="E14" s="4" t="s">
        <v>229</v>
      </c>
      <c r="F14" s="10"/>
    </row>
    <row r="15" customFormat="false" ht="23.85" hidden="false" customHeight="false" outlineLevel="0" collapsed="false">
      <c r="B15" s="4" t="s">
        <v>230</v>
      </c>
      <c r="C15" s="4" t="s">
        <v>231</v>
      </c>
      <c r="D15" s="4" t="s">
        <v>232</v>
      </c>
      <c r="E15" s="4" t="s">
        <v>233</v>
      </c>
      <c r="F15" s="11"/>
    </row>
    <row r="16" customFormat="false" ht="15" hidden="false" customHeight="false" outlineLevel="0" collapsed="false">
      <c r="B16" s="4" t="s">
        <v>234</v>
      </c>
      <c r="C16" s="4" t="s">
        <v>235</v>
      </c>
      <c r="D16" s="4" t="s">
        <v>236</v>
      </c>
      <c r="E16" s="4" t="s">
        <v>237</v>
      </c>
      <c r="F16" s="12"/>
    </row>
    <row r="17" customFormat="false" ht="15" hidden="false" customHeight="false" outlineLevel="0" collapsed="false">
      <c r="B17" s="4" t="s">
        <v>238</v>
      </c>
      <c r="C17" s="4" t="s">
        <v>239</v>
      </c>
      <c r="D17" s="4" t="s">
        <v>240</v>
      </c>
      <c r="E17" s="4" t="s">
        <v>241</v>
      </c>
      <c r="F17" s="13"/>
    </row>
    <row r="19" customFormat="false" ht="15" hidden="false" customHeight="false" outlineLevel="0" collapsed="false">
      <c r="B19" s="9" t="s">
        <v>242</v>
      </c>
    </row>
    <row r="20" customFormat="false" ht="15" hidden="false" customHeight="false" outlineLevel="0" collapsed="false">
      <c r="B20" s="8" t="s">
        <v>243</v>
      </c>
      <c r="C20" s="8" t="s">
        <v>244</v>
      </c>
    </row>
    <row r="21" customFormat="false" ht="35.05" hidden="false" customHeight="false" outlineLevel="0" collapsed="false">
      <c r="B21" s="4" t="s">
        <v>245</v>
      </c>
      <c r="C21" s="4" t="s">
        <v>246</v>
      </c>
    </row>
    <row r="22" customFormat="false" ht="35.05" hidden="false" customHeight="false" outlineLevel="0" collapsed="false">
      <c r="B22" s="4" t="s">
        <v>247</v>
      </c>
      <c r="C22" s="4" t="s">
        <v>248</v>
      </c>
    </row>
    <row r="23" customFormat="false" ht="35.05" hidden="false" customHeight="false" outlineLevel="0" collapsed="false">
      <c r="B23" s="4" t="s">
        <v>249</v>
      </c>
      <c r="C23" s="4" t="s">
        <v>250</v>
      </c>
    </row>
    <row r="24" customFormat="false" ht="35.05" hidden="false" customHeight="false" outlineLevel="0" collapsed="false">
      <c r="B24" s="4" t="s">
        <v>251</v>
      </c>
      <c r="C24" s="4" t="s">
        <v>252</v>
      </c>
    </row>
    <row r="25" customFormat="false" ht="46.25" hidden="false" customHeight="false" outlineLevel="0" collapsed="false">
      <c r="B25" s="4" t="s">
        <v>253</v>
      </c>
      <c r="C25" s="4" t="s">
        <v>254</v>
      </c>
    </row>
    <row r="26" customFormat="false" ht="57.45" hidden="false" customHeight="false" outlineLevel="0" collapsed="false">
      <c r="B26" s="4" t="s">
        <v>255</v>
      </c>
      <c r="C26" s="4" t="s">
        <v>256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257</v>
      </c>
    </row>
    <row r="2" customFormat="false" ht="15" hidden="false" customHeight="false" outlineLevel="0" collapsed="false">
      <c r="A2" s="7" t="s">
        <v>258</v>
      </c>
    </row>
    <row r="4" customFormat="false" ht="15" hidden="false" customHeight="false" outlineLevel="0" collapsed="false">
      <c r="A4" s="8" t="s">
        <v>175</v>
      </c>
      <c r="B4" s="8" t="s">
        <v>259</v>
      </c>
      <c r="C4" s="8" t="s">
        <v>260</v>
      </c>
      <c r="D4" s="8" t="s">
        <v>261</v>
      </c>
      <c r="E4" s="8" t="s">
        <v>262</v>
      </c>
      <c r="F4" s="8" t="s">
        <v>263</v>
      </c>
      <c r="G4" s="8" t="s">
        <v>264</v>
      </c>
    </row>
    <row r="5" customFormat="false" ht="23.85" hidden="false" customHeight="false" outlineLevel="0" collapsed="false">
      <c r="A5" s="2" t="n">
        <v>1</v>
      </c>
      <c r="B5" s="3" t="n">
        <v>46328</v>
      </c>
      <c r="C5" s="4" t="s">
        <v>265</v>
      </c>
      <c r="D5" s="4" t="s">
        <v>23</v>
      </c>
      <c r="E5" s="4" t="s">
        <v>266</v>
      </c>
      <c r="F5" s="4" t="s">
        <v>267</v>
      </c>
      <c r="G5" s="4" t="s">
        <v>268</v>
      </c>
    </row>
    <row r="6" customFormat="false" ht="23.85" hidden="false" customHeight="false" outlineLevel="0" collapsed="false">
      <c r="A6" s="2" t="n">
        <v>2</v>
      </c>
      <c r="B6" s="3" t="n">
        <v>46329</v>
      </c>
      <c r="C6" s="4" t="s">
        <v>269</v>
      </c>
      <c r="D6" s="4" t="s">
        <v>33</v>
      </c>
      <c r="E6" s="4" t="s">
        <v>270</v>
      </c>
      <c r="F6" s="4" t="s">
        <v>271</v>
      </c>
      <c r="G6" s="4" t="s">
        <v>272</v>
      </c>
    </row>
    <row r="7" customFormat="false" ht="23.85" hidden="false" customHeight="false" outlineLevel="0" collapsed="false">
      <c r="A7" s="2" t="n">
        <v>3</v>
      </c>
      <c r="B7" s="3" t="n">
        <v>46330</v>
      </c>
      <c r="C7" s="4" t="s">
        <v>273</v>
      </c>
      <c r="D7" s="4" t="s">
        <v>42</v>
      </c>
      <c r="E7" s="4" t="s">
        <v>270</v>
      </c>
      <c r="F7" s="4" t="s">
        <v>271</v>
      </c>
      <c r="G7" s="4" t="s">
        <v>272</v>
      </c>
    </row>
    <row r="8" customFormat="false" ht="23.85" hidden="false" customHeight="false" outlineLevel="0" collapsed="false">
      <c r="A8" s="2" t="n">
        <v>4</v>
      </c>
      <c r="B8" s="3" t="n">
        <v>46331</v>
      </c>
      <c r="C8" s="4" t="s">
        <v>274</v>
      </c>
      <c r="D8" s="4" t="s">
        <v>49</v>
      </c>
      <c r="E8" s="4" t="s">
        <v>270</v>
      </c>
      <c r="F8" s="4" t="s">
        <v>271</v>
      </c>
      <c r="G8" s="4" t="s">
        <v>272</v>
      </c>
    </row>
    <row r="9" customFormat="false" ht="23.85" hidden="false" customHeight="false" outlineLevel="0" collapsed="false">
      <c r="A9" s="2" t="n">
        <v>5</v>
      </c>
      <c r="B9" s="3" t="n">
        <v>46332</v>
      </c>
      <c r="C9" s="4" t="s">
        <v>275</v>
      </c>
      <c r="D9" s="4" t="s">
        <v>55</v>
      </c>
      <c r="E9" s="4" t="s">
        <v>270</v>
      </c>
      <c r="F9" s="4" t="s">
        <v>271</v>
      </c>
      <c r="G9" s="4" t="s">
        <v>272</v>
      </c>
    </row>
    <row r="10" customFormat="false" ht="23.85" hidden="false" customHeight="false" outlineLevel="0" collapsed="false">
      <c r="A10" s="2" t="n">
        <v>6</v>
      </c>
      <c r="B10" s="3" t="n">
        <v>46335</v>
      </c>
      <c r="C10" s="4" t="s">
        <v>276</v>
      </c>
      <c r="D10" s="4" t="s">
        <v>61</v>
      </c>
      <c r="E10" s="4" t="s">
        <v>270</v>
      </c>
      <c r="F10" s="4" t="s">
        <v>271</v>
      </c>
      <c r="G10" s="4" t="s">
        <v>272</v>
      </c>
    </row>
    <row r="11" customFormat="false" ht="23.85" hidden="false" customHeight="false" outlineLevel="0" collapsed="false">
      <c r="A11" s="2" t="n">
        <v>7</v>
      </c>
      <c r="B11" s="3" t="n">
        <v>46336</v>
      </c>
      <c r="C11" s="4" t="s">
        <v>277</v>
      </c>
      <c r="D11" s="4" t="s">
        <v>67</v>
      </c>
      <c r="E11" s="4" t="s">
        <v>270</v>
      </c>
      <c r="F11" s="4" t="s">
        <v>271</v>
      </c>
      <c r="G11" s="4" t="s">
        <v>272</v>
      </c>
    </row>
    <row r="12" customFormat="false" ht="23.85" hidden="false" customHeight="false" outlineLevel="0" collapsed="false">
      <c r="A12" s="2" t="n">
        <v>8</v>
      </c>
      <c r="B12" s="3" t="n">
        <v>46337</v>
      </c>
      <c r="C12" s="4" t="s">
        <v>278</v>
      </c>
      <c r="D12" s="4" t="s">
        <v>73</v>
      </c>
      <c r="E12" s="4" t="s">
        <v>270</v>
      </c>
      <c r="F12" s="4" t="s">
        <v>271</v>
      </c>
      <c r="G12" s="4" t="s">
        <v>272</v>
      </c>
    </row>
    <row r="13" customFormat="false" ht="23.85" hidden="false" customHeight="false" outlineLevel="0" collapsed="false">
      <c r="A13" s="2" t="n">
        <v>9</v>
      </c>
      <c r="B13" s="3" t="n">
        <v>46338</v>
      </c>
      <c r="C13" s="4" t="s">
        <v>279</v>
      </c>
      <c r="D13" s="4" t="s">
        <v>79</v>
      </c>
      <c r="E13" s="4" t="s">
        <v>270</v>
      </c>
      <c r="F13" s="4" t="s">
        <v>271</v>
      </c>
      <c r="G13" s="4" t="s">
        <v>272</v>
      </c>
    </row>
    <row r="14" customFormat="false" ht="23.85" hidden="false" customHeight="false" outlineLevel="0" collapsed="false">
      <c r="A14" s="2" t="n">
        <v>10</v>
      </c>
      <c r="B14" s="3" t="n">
        <v>46339</v>
      </c>
      <c r="C14" s="4" t="s">
        <v>280</v>
      </c>
      <c r="D14" s="4" t="s">
        <v>85</v>
      </c>
      <c r="E14" s="4" t="s">
        <v>270</v>
      </c>
      <c r="F14" s="4" t="s">
        <v>271</v>
      </c>
      <c r="G14" s="4" t="s">
        <v>272</v>
      </c>
    </row>
    <row r="15" customFormat="false" ht="23.85" hidden="false" customHeight="false" outlineLevel="0" collapsed="false">
      <c r="A15" s="2" t="n">
        <v>11</v>
      </c>
      <c r="B15" s="3" t="n">
        <v>46342</v>
      </c>
      <c r="C15" s="4" t="s">
        <v>281</v>
      </c>
      <c r="D15" s="4" t="s">
        <v>91</v>
      </c>
      <c r="E15" s="4" t="s">
        <v>270</v>
      </c>
      <c r="F15" s="4" t="s">
        <v>271</v>
      </c>
      <c r="G15" s="4" t="s">
        <v>272</v>
      </c>
    </row>
    <row r="16" customFormat="false" ht="23.85" hidden="false" customHeight="false" outlineLevel="0" collapsed="false">
      <c r="A16" s="2" t="n">
        <v>12</v>
      </c>
      <c r="B16" s="3" t="n">
        <v>46343</v>
      </c>
      <c r="C16" s="4" t="s">
        <v>282</v>
      </c>
      <c r="D16" s="4" t="s">
        <v>97</v>
      </c>
      <c r="E16" s="4" t="s">
        <v>270</v>
      </c>
      <c r="F16" s="4" t="s">
        <v>271</v>
      </c>
      <c r="G16" s="4" t="s">
        <v>272</v>
      </c>
    </row>
    <row r="17" customFormat="false" ht="23.85" hidden="false" customHeight="false" outlineLevel="0" collapsed="false">
      <c r="A17" s="2" t="n">
        <v>13</v>
      </c>
      <c r="B17" s="3" t="n">
        <v>46344</v>
      </c>
      <c r="C17" s="4" t="s">
        <v>283</v>
      </c>
      <c r="D17" s="4" t="s">
        <v>102</v>
      </c>
      <c r="E17" s="4" t="s">
        <v>270</v>
      </c>
      <c r="F17" s="4" t="s">
        <v>271</v>
      </c>
      <c r="G17" s="4" t="s">
        <v>272</v>
      </c>
    </row>
    <row r="18" customFormat="false" ht="23.85" hidden="false" customHeight="false" outlineLevel="0" collapsed="false">
      <c r="A18" s="2" t="n">
        <v>14</v>
      </c>
      <c r="B18" s="3" t="n">
        <v>46345</v>
      </c>
      <c r="C18" s="4" t="s">
        <v>284</v>
      </c>
      <c r="D18" s="4" t="s">
        <v>108</v>
      </c>
      <c r="E18" s="4" t="s">
        <v>270</v>
      </c>
      <c r="F18" s="4" t="s">
        <v>271</v>
      </c>
      <c r="G18" s="4" t="s">
        <v>272</v>
      </c>
    </row>
    <row r="19" customFormat="false" ht="23.85" hidden="false" customHeight="false" outlineLevel="0" collapsed="false">
      <c r="A19" s="2" t="n">
        <v>15</v>
      </c>
      <c r="B19" s="3" t="n">
        <v>46346</v>
      </c>
      <c r="C19" s="4" t="s">
        <v>285</v>
      </c>
      <c r="D19" s="4" t="s">
        <v>114</v>
      </c>
      <c r="E19" s="4" t="s">
        <v>270</v>
      </c>
      <c r="F19" s="4" t="s">
        <v>271</v>
      </c>
      <c r="G19" s="4" t="s">
        <v>272</v>
      </c>
    </row>
    <row r="20" customFormat="false" ht="23.85" hidden="false" customHeight="false" outlineLevel="0" collapsed="false">
      <c r="A20" s="2" t="n">
        <v>16</v>
      </c>
      <c r="B20" s="3" t="n">
        <v>46349</v>
      </c>
      <c r="C20" s="4" t="s">
        <v>286</v>
      </c>
      <c r="D20" s="4" t="s">
        <v>120</v>
      </c>
      <c r="E20" s="4" t="s">
        <v>270</v>
      </c>
      <c r="F20" s="4" t="s">
        <v>271</v>
      </c>
      <c r="G20" s="4" t="s">
        <v>272</v>
      </c>
    </row>
    <row r="21" customFormat="false" ht="23.85" hidden="false" customHeight="false" outlineLevel="0" collapsed="false">
      <c r="A21" s="2" t="n">
        <v>17</v>
      </c>
      <c r="B21" s="3" t="n">
        <v>46350</v>
      </c>
      <c r="C21" s="4" t="s">
        <v>287</v>
      </c>
      <c r="D21" s="4" t="s">
        <v>127</v>
      </c>
      <c r="E21" s="4" t="s">
        <v>270</v>
      </c>
      <c r="F21" s="4" t="s">
        <v>271</v>
      </c>
      <c r="G21" s="4" t="s">
        <v>272</v>
      </c>
    </row>
    <row r="22" customFormat="false" ht="23.85" hidden="false" customHeight="false" outlineLevel="0" collapsed="false">
      <c r="A22" s="2" t="n">
        <v>18</v>
      </c>
      <c r="B22" s="3" t="n">
        <v>46351</v>
      </c>
      <c r="C22" s="4" t="s">
        <v>283</v>
      </c>
      <c r="D22" s="4" t="s">
        <v>102</v>
      </c>
      <c r="E22" s="4" t="s">
        <v>270</v>
      </c>
      <c r="F22" s="4" t="s">
        <v>271</v>
      </c>
      <c r="G22" s="4" t="s">
        <v>272</v>
      </c>
    </row>
    <row r="23" customFormat="false" ht="23.85" hidden="false" customHeight="false" outlineLevel="0" collapsed="false">
      <c r="A23" s="2" t="n">
        <v>19</v>
      </c>
      <c r="B23" s="3" t="n">
        <v>46352</v>
      </c>
      <c r="C23" s="4" t="s">
        <v>288</v>
      </c>
      <c r="D23" s="4" t="s">
        <v>138</v>
      </c>
      <c r="E23" s="4" t="s">
        <v>270</v>
      </c>
      <c r="F23" s="4" t="s">
        <v>271</v>
      </c>
      <c r="G23" s="4" t="s">
        <v>272</v>
      </c>
    </row>
    <row r="24" customFormat="false" ht="23.85" hidden="false" customHeight="false" outlineLevel="0" collapsed="false">
      <c r="A24" s="2" t="n">
        <v>20</v>
      </c>
      <c r="B24" s="3" t="n">
        <v>46353</v>
      </c>
      <c r="C24" s="4" t="s">
        <v>289</v>
      </c>
      <c r="D24" s="4" t="s">
        <v>143</v>
      </c>
      <c r="E24" s="4" t="s">
        <v>266</v>
      </c>
      <c r="F24" s="4" t="s">
        <v>267</v>
      </c>
      <c r="G24" s="4" t="s">
        <v>268</v>
      </c>
    </row>
    <row r="25" customFormat="false" ht="23.85" hidden="false" customHeight="false" outlineLevel="0" collapsed="false">
      <c r="A25" s="2" t="n">
        <v>21</v>
      </c>
      <c r="B25" s="3" t="n">
        <v>46356</v>
      </c>
      <c r="C25" s="4" t="s">
        <v>290</v>
      </c>
      <c r="D25" s="4" t="s">
        <v>150</v>
      </c>
      <c r="E25" s="4" t="s">
        <v>266</v>
      </c>
      <c r="F25" s="4" t="s">
        <v>267</v>
      </c>
      <c r="G25" s="4" t="s">
        <v>268</v>
      </c>
    </row>
    <row r="26" customFormat="false" ht="23.85" hidden="false" customHeight="false" outlineLevel="0" collapsed="false">
      <c r="A26" s="2" t="n">
        <v>22</v>
      </c>
      <c r="B26" s="3" t="n">
        <v>46357</v>
      </c>
      <c r="C26" s="4" t="s">
        <v>291</v>
      </c>
      <c r="D26" s="4" t="s">
        <v>292</v>
      </c>
      <c r="E26" s="4" t="s">
        <v>270</v>
      </c>
      <c r="F26" s="4" t="s">
        <v>271</v>
      </c>
      <c r="G26" s="4" t="s">
        <v>272</v>
      </c>
    </row>
    <row r="27" customFormat="false" ht="23.85" hidden="false" customHeight="false" outlineLevel="0" collapsed="false">
      <c r="A27" s="2" t="n">
        <v>22</v>
      </c>
      <c r="B27" s="3" t="n">
        <v>46357</v>
      </c>
      <c r="C27" s="4" t="s">
        <v>293</v>
      </c>
      <c r="D27" s="4" t="s">
        <v>294</v>
      </c>
      <c r="E27" s="4" t="s">
        <v>270</v>
      </c>
      <c r="F27" s="4" t="s">
        <v>271</v>
      </c>
      <c r="G27" s="4" t="s">
        <v>272</v>
      </c>
    </row>
    <row r="28" customFormat="false" ht="23.85" hidden="false" customHeight="false" outlineLevel="0" collapsed="false">
      <c r="A28" s="2" t="n">
        <v>22</v>
      </c>
      <c r="B28" s="3" t="n">
        <v>46357</v>
      </c>
      <c r="C28" s="4" t="s">
        <v>295</v>
      </c>
      <c r="D28" s="4" t="s">
        <v>296</v>
      </c>
      <c r="E28" s="4" t="s">
        <v>270</v>
      </c>
      <c r="F28" s="4" t="s">
        <v>271</v>
      </c>
      <c r="G28" s="4" t="s">
        <v>272</v>
      </c>
    </row>
    <row r="30" customFormat="false" ht="15" hidden="false" customHeight="false" outlineLevel="0" collapsed="false">
      <c r="A30" s="9" t="s">
        <v>297</v>
      </c>
      <c r="B30" s="9" t="str">
        <f aca="false">COUNTIF(G5:G28,"OK*")&amp;" of "&amp;COUNTA(G5:G28)</f>
        <v>24 of 24</v>
      </c>
    </row>
    <row r="32" customFormat="false" ht="15" hidden="false" customHeight="false" outlineLevel="0" collapsed="false">
      <c r="A32" s="9" t="s">
        <v>298</v>
      </c>
    </row>
    <row r="33" customFormat="false" ht="23.85" hidden="false" customHeight="false" outlineLevel="0" collapsed="false">
      <c r="A33" s="8" t="s">
        <v>299</v>
      </c>
      <c r="B33" s="8" t="s">
        <v>300</v>
      </c>
      <c r="C33" s="8" t="s">
        <v>301</v>
      </c>
      <c r="D33" s="8" t="s">
        <v>302</v>
      </c>
    </row>
    <row r="34" customFormat="false" ht="46.25" hidden="false" customHeight="false" outlineLevel="0" collapsed="false">
      <c r="A34" s="2" t="n">
        <v>1</v>
      </c>
      <c r="B34" s="4" t="s">
        <v>303</v>
      </c>
      <c r="C34" s="4" t="s">
        <v>304</v>
      </c>
      <c r="D34" s="4" t="s">
        <v>305</v>
      </c>
    </row>
    <row r="36" customFormat="false" ht="15" hidden="false" customHeight="false" outlineLevel="0" collapsed="false">
      <c r="A36" s="7" t="s">
        <v>306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307</v>
      </c>
    </row>
    <row r="2" customFormat="false" ht="15" hidden="false" customHeight="false" outlineLevel="0" collapsed="false">
      <c r="A2" s="7" t="s">
        <v>308</v>
      </c>
    </row>
    <row r="4" customFormat="false" ht="15" hidden="false" customHeight="false" outlineLevel="0" collapsed="false">
      <c r="A4" s="8" t="s">
        <v>299</v>
      </c>
      <c r="B4" s="8" t="s">
        <v>243</v>
      </c>
      <c r="C4" s="8" t="s">
        <v>309</v>
      </c>
      <c r="D4" s="8" t="s">
        <v>310</v>
      </c>
    </row>
    <row r="5" customFormat="false" ht="23.85" hidden="false" customHeight="false" outlineLevel="0" collapsed="false">
      <c r="A5" s="2" t="n">
        <v>1</v>
      </c>
      <c r="B5" s="4" t="s">
        <v>311</v>
      </c>
      <c r="C5" s="4" t="s">
        <v>312</v>
      </c>
      <c r="D5" s="4" t="s">
        <v>313</v>
      </c>
    </row>
    <row r="6" customFormat="false" ht="35.05" hidden="false" customHeight="false" outlineLevel="0" collapsed="false">
      <c r="A6" s="2" t="n">
        <v>2</v>
      </c>
      <c r="B6" s="4" t="s">
        <v>314</v>
      </c>
      <c r="C6" s="4" t="s">
        <v>315</v>
      </c>
      <c r="D6" s="4" t="s">
        <v>313</v>
      </c>
    </row>
    <row r="7" customFormat="false" ht="35.05" hidden="false" customHeight="false" outlineLevel="0" collapsed="false">
      <c r="A7" s="2" t="n">
        <v>3</v>
      </c>
      <c r="B7" s="4" t="s">
        <v>316</v>
      </c>
      <c r="C7" s="4" t="s">
        <v>317</v>
      </c>
      <c r="D7" s="4" t="s">
        <v>318</v>
      </c>
    </row>
    <row r="8" customFormat="false" ht="35.05" hidden="false" customHeight="false" outlineLevel="0" collapsed="false">
      <c r="A8" s="2" t="n">
        <v>4</v>
      </c>
      <c r="B8" s="4" t="s">
        <v>319</v>
      </c>
      <c r="C8" s="4" t="s">
        <v>320</v>
      </c>
      <c r="D8" s="4" t="s">
        <v>321</v>
      </c>
    </row>
    <row r="9" customFormat="false" ht="23.85" hidden="false" customHeight="false" outlineLevel="0" collapsed="false">
      <c r="A9" s="2" t="n">
        <v>5</v>
      </c>
      <c r="B9" s="4" t="s">
        <v>322</v>
      </c>
      <c r="C9" s="4" t="s">
        <v>323</v>
      </c>
      <c r="D9" s="4" t="s">
        <v>321</v>
      </c>
    </row>
    <row r="10" customFormat="false" ht="15" hidden="false" customHeight="false" outlineLevel="0" collapsed="false">
      <c r="A10" s="2" t="n">
        <v>6</v>
      </c>
      <c r="B10" s="4" t="s">
        <v>324</v>
      </c>
      <c r="C10" s="4" t="s">
        <v>325</v>
      </c>
      <c r="D10" s="4" t="s">
        <v>326</v>
      </c>
    </row>
    <row r="11" customFormat="false" ht="23.85" hidden="false" customHeight="false" outlineLevel="0" collapsed="false">
      <c r="A11" s="2" t="n">
        <v>7</v>
      </c>
      <c r="B11" s="4" t="s">
        <v>327</v>
      </c>
      <c r="C11" s="4" t="s">
        <v>328</v>
      </c>
      <c r="D11" s="4" t="s">
        <v>321</v>
      </c>
    </row>
    <row r="12" customFormat="false" ht="35.05" hidden="false" customHeight="false" outlineLevel="0" collapsed="false">
      <c r="A12" s="2" t="n">
        <v>8</v>
      </c>
      <c r="B12" s="4" t="s">
        <v>329</v>
      </c>
      <c r="C12" s="4" t="s">
        <v>330</v>
      </c>
      <c r="D12" s="4" t="s">
        <v>331</v>
      </c>
    </row>
    <row r="13" customFormat="false" ht="23.85" hidden="false" customHeight="false" outlineLevel="0" collapsed="false">
      <c r="A13" s="2" t="n">
        <v>9</v>
      </c>
      <c r="B13" s="4" t="s">
        <v>332</v>
      </c>
      <c r="C13" s="4" t="s">
        <v>333</v>
      </c>
      <c r="D13" s="4" t="s">
        <v>331</v>
      </c>
    </row>
    <row r="14" customFormat="false" ht="23.85" hidden="false" customHeight="false" outlineLevel="0" collapsed="false">
      <c r="A14" s="2" t="n">
        <v>10</v>
      </c>
      <c r="B14" s="4" t="s">
        <v>334</v>
      </c>
      <c r="C14" s="4" t="s">
        <v>335</v>
      </c>
      <c r="D14" s="4" t="s">
        <v>331</v>
      </c>
    </row>
    <row r="15" customFormat="false" ht="23.85" hidden="false" customHeight="false" outlineLevel="0" collapsed="false">
      <c r="A15" s="2" t="n">
        <v>11</v>
      </c>
      <c r="B15" s="4" t="s">
        <v>336</v>
      </c>
      <c r="C15" s="4" t="s">
        <v>337</v>
      </c>
      <c r="D15" s="4" t="s">
        <v>313</v>
      </c>
    </row>
    <row r="16" customFormat="false" ht="46.25" hidden="false" customHeight="false" outlineLevel="0" collapsed="false">
      <c r="A16" s="2" t="n">
        <v>12</v>
      </c>
      <c r="B16" s="4" t="s">
        <v>338</v>
      </c>
      <c r="C16" s="4" t="s">
        <v>339</v>
      </c>
      <c r="D16" s="4" t="s">
        <v>313</v>
      </c>
    </row>
    <row r="17" customFormat="false" ht="23.85" hidden="false" customHeight="false" outlineLevel="0" collapsed="false">
      <c r="A17" s="2" t="n">
        <v>13</v>
      </c>
      <c r="B17" s="4" t="s">
        <v>340</v>
      </c>
      <c r="C17" s="4" t="s">
        <v>341</v>
      </c>
      <c r="D17" s="4" t="s">
        <v>321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342</v>
      </c>
    </row>
    <row r="2" customFormat="false" ht="15" hidden="false" customHeight="false" outlineLevel="0" collapsed="false">
      <c r="A2" s="7" t="s">
        <v>343</v>
      </c>
    </row>
    <row r="4" customFormat="false" ht="35.05" hidden="false" customHeight="false" outlineLevel="0" collapsed="false">
      <c r="A4" s="8" t="s">
        <v>175</v>
      </c>
      <c r="B4" s="8" t="s">
        <v>259</v>
      </c>
      <c r="C4" s="8" t="s">
        <v>344</v>
      </c>
      <c r="D4" s="8" t="s">
        <v>345</v>
      </c>
      <c r="E4" s="8" t="s">
        <v>346</v>
      </c>
      <c r="F4" s="8" t="s">
        <v>347</v>
      </c>
      <c r="G4" s="8" t="s">
        <v>348</v>
      </c>
      <c r="H4" s="8" t="s">
        <v>349</v>
      </c>
      <c r="I4" s="8" t="s">
        <v>350</v>
      </c>
      <c r="J4" s="8" t="s">
        <v>351</v>
      </c>
      <c r="K4" s="8" t="s">
        <v>352</v>
      </c>
      <c r="L4" s="8" t="s">
        <v>353</v>
      </c>
      <c r="M4" s="8" t="s">
        <v>354</v>
      </c>
    </row>
    <row r="5" customFormat="false" ht="15" hidden="false" customHeight="false" outlineLevel="0" collapsed="false">
      <c r="A5" s="2" t="n">
        <v>1</v>
      </c>
      <c r="B5" s="3" t="n">
        <f aca="false">'preferredfencesolutions.com'!C2</f>
        <v>46328</v>
      </c>
      <c r="C5" s="2" t="n">
        <f aca="false">LEN('preferredfencesolutions.com'!G2)</f>
        <v>503</v>
      </c>
      <c r="D5" s="2" t="str">
        <f aca="false">IF(LEN('preferredfencesolutions.com'!G2)&lt;=1500,"Pass","Fail")</f>
        <v>Pass</v>
      </c>
      <c r="E5" s="2" t="str">
        <f aca="false">IF(SUMPRODUCT(--ISNUMBER(SEARCH({"405","921-3426","473-2695","9213426"},'preferredfencesolutions.com'!G2)))=0,"Pass","Fail")</f>
        <v>Pass</v>
      </c>
      <c r="F5" s="2" t="str">
        <f aca="false">IF(ISNUMBER(SEARCH("@",'preferredfencesolutions.com'!G2)),"Fail","Pass")</f>
        <v>Pass</v>
      </c>
      <c r="G5" s="2" t="str">
        <f aca="false">IF(OR(ISNUMBER(SEARCH("http",'preferredfencesolutions.com'!G2)),ISNUMBER(SEARCH("www.",'preferredfencesolutions.com'!G2)),ISNUMBER(SEARCH(".com",'preferredfencesolutions.com'!G2))),"Fail","Pass")</f>
        <v>Pass</v>
      </c>
      <c r="H5" s="2" t="str">
        <f aca="false">IF(LEN('preferredfencesolutions.com'!H2)&gt;0,"Pass","Fail")</f>
        <v>Pass</v>
      </c>
      <c r="I5" s="2" t="str">
        <f aca="false">IF(AND(ISNUMBER(SEARCH("utm_source=google",'preferredfencesolutions.com'!J2)),ISNUMBER(SEARCH("utm_content=",'preferredfencesolutions.com'!J2))),"Pass","Fail")</f>
        <v>Pass</v>
      </c>
      <c r="J5" s="2" t="str">
        <f aca="false">IF(ISNUMBER(SEARCH(Settings!$C$8,'preferredfencesolutions.com'!I2)),"Pass","Fail")</f>
        <v>Pass</v>
      </c>
      <c r="K5" s="2" t="str">
        <f aca="false">IF(WEEKDAY('preferredfencesolutions.com'!C2,2)&lt;=5,"Pass","Fail")</f>
        <v>Pass</v>
      </c>
      <c r="L5" s="2" t="str">
        <f aca="false">IF(LEN('preferredfencesolutions.com'!M2)&gt;0,"Pass","Fail")</f>
        <v>Pass</v>
      </c>
      <c r="M5" s="2" t="str">
        <f aca="false">IF(COUNTIF(D5:L5,"Fail")=0,"Pass","Fail")</f>
        <v>Pass</v>
      </c>
    </row>
    <row r="6" customFormat="false" ht="15" hidden="false" customHeight="false" outlineLevel="0" collapsed="false">
      <c r="A6" s="2" t="n">
        <v>2</v>
      </c>
      <c r="B6" s="3" t="n">
        <f aca="false">'preferredfencesolutions.com'!C3</f>
        <v>46329</v>
      </c>
      <c r="C6" s="2" t="n">
        <f aca="false">LEN('preferredfencesolutions.com'!G3)</f>
        <v>405</v>
      </c>
      <c r="D6" s="2" t="str">
        <f aca="false">IF(LEN('preferredfencesolutions.com'!G3)&lt;=1500,"Pass","Fail")</f>
        <v>Pass</v>
      </c>
      <c r="E6" s="2" t="str">
        <f aca="false">IF(SUMPRODUCT(--ISNUMBER(SEARCH({"405","921-3426","473-2695","9213426"},'preferredfencesolutions.com'!G3)))=0,"Pass","Fail")</f>
        <v>Pass</v>
      </c>
      <c r="F6" s="2" t="str">
        <f aca="false">IF(ISNUMBER(SEARCH("@",'preferredfencesolutions.com'!G3)),"Fail","Pass")</f>
        <v>Pass</v>
      </c>
      <c r="G6" s="2" t="str">
        <f aca="false">IF(OR(ISNUMBER(SEARCH("http",'preferredfencesolutions.com'!G3)),ISNUMBER(SEARCH("www.",'preferredfencesolutions.com'!G3)),ISNUMBER(SEARCH(".com",'preferredfencesolutions.com'!G3))),"Fail","Pass")</f>
        <v>Pass</v>
      </c>
      <c r="H6" s="2" t="str">
        <f aca="false">IF(LEN('preferredfencesolutions.com'!H3)&gt;0,"Pass","Fail")</f>
        <v>Pass</v>
      </c>
      <c r="I6" s="2" t="str">
        <f aca="false">IF(AND(ISNUMBER(SEARCH("utm_source=google",'preferredfencesolutions.com'!J3)),ISNUMBER(SEARCH("utm_content=",'preferredfencesolutions.com'!J3))),"Pass","Fail")</f>
        <v>Pass</v>
      </c>
      <c r="J6" s="2" t="str">
        <f aca="false">IF(ISNUMBER(SEARCH(Settings!$C$8,'preferredfencesolutions.com'!I3)),"Pass","Fail")</f>
        <v>Pass</v>
      </c>
      <c r="K6" s="2" t="str">
        <f aca="false">IF(WEEKDAY('preferredfencesolutions.com'!C3,2)&lt;=5,"Pass","Fail")</f>
        <v>Pass</v>
      </c>
      <c r="L6" s="2" t="str">
        <f aca="false">IF(LEN('preferredfencesolutions.com'!M3)&gt;0,"Pass","Fail")</f>
        <v>Pass</v>
      </c>
      <c r="M6" s="2" t="str">
        <f aca="false">IF(COUNTIF(D6:L6,"Fail")=0,"Pass","Fail")</f>
        <v>Pass</v>
      </c>
    </row>
    <row r="7" customFormat="false" ht="15" hidden="false" customHeight="false" outlineLevel="0" collapsed="false">
      <c r="A7" s="2" t="n">
        <v>3</v>
      </c>
      <c r="B7" s="3" t="n">
        <f aca="false">'preferredfencesolutions.com'!C4</f>
        <v>46330</v>
      </c>
      <c r="C7" s="2" t="n">
        <f aca="false">LEN('preferredfencesolutions.com'!G4)</f>
        <v>462</v>
      </c>
      <c r="D7" s="2" t="str">
        <f aca="false">IF(LEN('preferredfencesolutions.com'!G4)&lt;=1500,"Pass","Fail")</f>
        <v>Pass</v>
      </c>
      <c r="E7" s="2" t="str">
        <f aca="false">IF(SUMPRODUCT(--ISNUMBER(SEARCH({"405","921-3426","473-2695","9213426"},'preferredfencesolutions.com'!G4)))=0,"Pass","Fail")</f>
        <v>Pass</v>
      </c>
      <c r="F7" s="2" t="str">
        <f aca="false">IF(ISNUMBER(SEARCH("@",'preferredfencesolutions.com'!G4)),"Fail","Pass")</f>
        <v>Pass</v>
      </c>
      <c r="G7" s="2" t="str">
        <f aca="false">IF(OR(ISNUMBER(SEARCH("http",'preferredfencesolutions.com'!G4)),ISNUMBER(SEARCH("www.",'preferredfencesolutions.com'!G4)),ISNUMBER(SEARCH(".com",'preferredfencesolutions.com'!G4))),"Fail","Pass")</f>
        <v>Pass</v>
      </c>
      <c r="H7" s="2" t="str">
        <f aca="false">IF(LEN('preferredfencesolutions.com'!H4)&gt;0,"Pass","Fail")</f>
        <v>Pass</v>
      </c>
      <c r="I7" s="2" t="str">
        <f aca="false">IF(AND(ISNUMBER(SEARCH("utm_source=google",'preferredfencesolutions.com'!J4)),ISNUMBER(SEARCH("utm_content=",'preferredfencesolutions.com'!J4))),"Pass","Fail")</f>
        <v>Pass</v>
      </c>
      <c r="J7" s="2" t="str">
        <f aca="false">IF(ISNUMBER(SEARCH(Settings!$C$8,'preferredfencesolutions.com'!I4)),"Pass","Fail")</f>
        <v>Pass</v>
      </c>
      <c r="K7" s="2" t="str">
        <f aca="false">IF(WEEKDAY('preferredfencesolutions.com'!C4,2)&lt;=5,"Pass","Fail")</f>
        <v>Pass</v>
      </c>
      <c r="L7" s="2" t="str">
        <f aca="false">IF(LEN('preferredfencesolutions.com'!M4)&gt;0,"Pass","Fail")</f>
        <v>Pass</v>
      </c>
      <c r="M7" s="2" t="str">
        <f aca="false">IF(COUNTIF(D7:L7,"Fail")=0,"Pass","Fail")</f>
        <v>Pass</v>
      </c>
    </row>
    <row r="8" customFormat="false" ht="15" hidden="false" customHeight="false" outlineLevel="0" collapsed="false">
      <c r="A8" s="2" t="n">
        <v>4</v>
      </c>
      <c r="B8" s="3" t="n">
        <f aca="false">'preferredfencesolutions.com'!C5</f>
        <v>46331</v>
      </c>
      <c r="C8" s="2" t="n">
        <f aca="false">LEN('preferredfencesolutions.com'!G5)</f>
        <v>476</v>
      </c>
      <c r="D8" s="2" t="str">
        <f aca="false">IF(LEN('preferredfencesolutions.com'!G5)&lt;=1500,"Pass","Fail")</f>
        <v>Pass</v>
      </c>
      <c r="E8" s="2" t="str">
        <f aca="false">IF(SUMPRODUCT(--ISNUMBER(SEARCH({"405","921-3426","473-2695","9213426"},'preferredfencesolutions.com'!G5)))=0,"Pass","Fail")</f>
        <v>Pass</v>
      </c>
      <c r="F8" s="2" t="str">
        <f aca="false">IF(ISNUMBER(SEARCH("@",'preferredfencesolutions.com'!G5)),"Fail","Pass")</f>
        <v>Pass</v>
      </c>
      <c r="G8" s="2" t="str">
        <f aca="false">IF(OR(ISNUMBER(SEARCH("http",'preferredfencesolutions.com'!G5)),ISNUMBER(SEARCH("www.",'preferredfencesolutions.com'!G5)),ISNUMBER(SEARCH(".com",'preferredfencesolutions.com'!G5))),"Fail","Pass")</f>
        <v>Pass</v>
      </c>
      <c r="H8" s="2" t="str">
        <f aca="false">IF(LEN('preferredfencesolutions.com'!H5)&gt;0,"Pass","Fail")</f>
        <v>Pass</v>
      </c>
      <c r="I8" s="2" t="str">
        <f aca="false">IF(AND(ISNUMBER(SEARCH("utm_source=google",'preferredfencesolutions.com'!J5)),ISNUMBER(SEARCH("utm_content=",'preferredfencesolutions.com'!J5))),"Pass","Fail")</f>
        <v>Pass</v>
      </c>
      <c r="J8" s="2" t="str">
        <f aca="false">IF(ISNUMBER(SEARCH(Settings!$C$8,'preferredfencesolutions.com'!I5)),"Pass","Fail")</f>
        <v>Pass</v>
      </c>
      <c r="K8" s="2" t="str">
        <f aca="false">IF(WEEKDAY('preferredfencesolutions.com'!C5,2)&lt;=5,"Pass","Fail")</f>
        <v>Pass</v>
      </c>
      <c r="L8" s="2" t="str">
        <f aca="false">IF(LEN('preferredfencesolutions.com'!M5)&gt;0,"Pass","Fail")</f>
        <v>Pass</v>
      </c>
      <c r="M8" s="2" t="str">
        <f aca="false">IF(COUNTIF(D8:L8,"Fail")=0,"Pass","Fail")</f>
        <v>Pass</v>
      </c>
    </row>
    <row r="9" customFormat="false" ht="15" hidden="false" customHeight="false" outlineLevel="0" collapsed="false">
      <c r="A9" s="2" t="n">
        <v>5</v>
      </c>
      <c r="B9" s="3" t="n">
        <f aca="false">'preferredfencesolutions.com'!C6</f>
        <v>46332</v>
      </c>
      <c r="C9" s="2" t="n">
        <f aca="false">LEN('preferredfencesolutions.com'!G6)</f>
        <v>432</v>
      </c>
      <c r="D9" s="2" t="str">
        <f aca="false">IF(LEN('preferredfencesolutions.com'!G6)&lt;=1500,"Pass","Fail")</f>
        <v>Pass</v>
      </c>
      <c r="E9" s="2" t="str">
        <f aca="false">IF(SUMPRODUCT(--ISNUMBER(SEARCH({"405","921-3426","473-2695","9213426"},'preferredfencesolutions.com'!G6)))=0,"Pass","Fail")</f>
        <v>Pass</v>
      </c>
      <c r="F9" s="2" t="str">
        <f aca="false">IF(ISNUMBER(SEARCH("@",'preferredfencesolutions.com'!G6)),"Fail","Pass")</f>
        <v>Pass</v>
      </c>
      <c r="G9" s="2" t="str">
        <f aca="false">IF(OR(ISNUMBER(SEARCH("http",'preferredfencesolutions.com'!G6)),ISNUMBER(SEARCH("www.",'preferredfencesolutions.com'!G6)),ISNUMBER(SEARCH(".com",'preferredfencesolutions.com'!G6))),"Fail","Pass")</f>
        <v>Pass</v>
      </c>
      <c r="H9" s="2" t="str">
        <f aca="false">IF(LEN('preferredfencesolutions.com'!H6)&gt;0,"Pass","Fail")</f>
        <v>Pass</v>
      </c>
      <c r="I9" s="2" t="str">
        <f aca="false">IF(AND(ISNUMBER(SEARCH("utm_source=google",'preferredfencesolutions.com'!J6)),ISNUMBER(SEARCH("utm_content=",'preferredfencesolutions.com'!J6))),"Pass","Fail")</f>
        <v>Pass</v>
      </c>
      <c r="J9" s="2" t="str">
        <f aca="false">IF(ISNUMBER(SEARCH(Settings!$C$8,'preferredfencesolutions.com'!I6)),"Pass","Fail")</f>
        <v>Pass</v>
      </c>
      <c r="K9" s="2" t="str">
        <f aca="false">IF(WEEKDAY('preferredfencesolutions.com'!C6,2)&lt;=5,"Pass","Fail")</f>
        <v>Pass</v>
      </c>
      <c r="L9" s="2" t="str">
        <f aca="false">IF(LEN('preferredfencesolutions.com'!M6)&gt;0,"Pass","Fail")</f>
        <v>Pass</v>
      </c>
      <c r="M9" s="2" t="str">
        <f aca="false">IF(COUNTIF(D9:L9,"Fail")=0,"Pass","Fail")</f>
        <v>Pass</v>
      </c>
    </row>
    <row r="10" customFormat="false" ht="15" hidden="false" customHeight="false" outlineLevel="0" collapsed="false">
      <c r="A10" s="2" t="n">
        <v>6</v>
      </c>
      <c r="B10" s="3" t="n">
        <f aca="false">'preferredfencesolutions.com'!C7</f>
        <v>46335</v>
      </c>
      <c r="C10" s="2" t="n">
        <f aca="false">LEN('preferredfencesolutions.com'!G7)</f>
        <v>485</v>
      </c>
      <c r="D10" s="2" t="str">
        <f aca="false">IF(LEN('preferredfencesolutions.com'!G7)&lt;=1500,"Pass","Fail")</f>
        <v>Pass</v>
      </c>
      <c r="E10" s="2" t="str">
        <f aca="false">IF(SUMPRODUCT(--ISNUMBER(SEARCH({"405","921-3426","473-2695","9213426"},'preferredfencesolutions.com'!G7)))=0,"Pass","Fail")</f>
        <v>Pass</v>
      </c>
      <c r="F10" s="2" t="str">
        <f aca="false">IF(ISNUMBER(SEARCH("@",'preferredfencesolutions.com'!G7)),"Fail","Pass")</f>
        <v>Pass</v>
      </c>
      <c r="G10" s="2" t="str">
        <f aca="false">IF(OR(ISNUMBER(SEARCH("http",'preferredfencesolutions.com'!G7)),ISNUMBER(SEARCH("www.",'preferredfencesolutions.com'!G7)),ISNUMBER(SEARCH(".com",'preferredfencesolutions.com'!G7))),"Fail","Pass")</f>
        <v>Pass</v>
      </c>
      <c r="H10" s="2" t="str">
        <f aca="false">IF(LEN('preferredfencesolutions.com'!H7)&gt;0,"Pass","Fail")</f>
        <v>Pass</v>
      </c>
      <c r="I10" s="2" t="str">
        <f aca="false">IF(AND(ISNUMBER(SEARCH("utm_source=google",'preferredfencesolutions.com'!J7)),ISNUMBER(SEARCH("utm_content=",'preferredfencesolutions.com'!J7))),"Pass","Fail")</f>
        <v>Pass</v>
      </c>
      <c r="J10" s="2" t="str">
        <f aca="false">IF(ISNUMBER(SEARCH(Settings!$C$8,'preferredfencesolutions.com'!I7)),"Pass","Fail")</f>
        <v>Pass</v>
      </c>
      <c r="K10" s="2" t="str">
        <f aca="false">IF(WEEKDAY('preferredfencesolutions.com'!C7,2)&lt;=5,"Pass","Fail")</f>
        <v>Pass</v>
      </c>
      <c r="L10" s="2" t="str">
        <f aca="false">IF(LEN('preferredfencesolutions.com'!M7)&gt;0,"Pass","Fail")</f>
        <v>Pass</v>
      </c>
      <c r="M10" s="2" t="str">
        <f aca="false">IF(COUNTIF(D10:L10,"Fail")=0,"Pass","Fail")</f>
        <v>Pass</v>
      </c>
    </row>
    <row r="11" customFormat="false" ht="15" hidden="false" customHeight="false" outlineLevel="0" collapsed="false">
      <c r="A11" s="2" t="n">
        <v>7</v>
      </c>
      <c r="B11" s="3" t="n">
        <f aca="false">'preferredfencesolutions.com'!C8</f>
        <v>46336</v>
      </c>
      <c r="C11" s="2" t="n">
        <f aca="false">LEN('preferredfencesolutions.com'!G8)</f>
        <v>433</v>
      </c>
      <c r="D11" s="2" t="str">
        <f aca="false">IF(LEN('preferredfencesolutions.com'!G8)&lt;=1500,"Pass","Fail")</f>
        <v>Pass</v>
      </c>
      <c r="E11" s="2" t="str">
        <f aca="false">IF(SUMPRODUCT(--ISNUMBER(SEARCH({"405","921-3426","473-2695","9213426"},'preferredfencesolutions.com'!G8)))=0,"Pass","Fail")</f>
        <v>Pass</v>
      </c>
      <c r="F11" s="2" t="str">
        <f aca="false">IF(ISNUMBER(SEARCH("@",'preferredfencesolutions.com'!G8)),"Fail","Pass")</f>
        <v>Pass</v>
      </c>
      <c r="G11" s="2" t="str">
        <f aca="false">IF(OR(ISNUMBER(SEARCH("http",'preferredfencesolutions.com'!G8)),ISNUMBER(SEARCH("www.",'preferredfencesolutions.com'!G8)),ISNUMBER(SEARCH(".com",'preferredfencesolutions.com'!G8))),"Fail","Pass")</f>
        <v>Pass</v>
      </c>
      <c r="H11" s="2" t="str">
        <f aca="false">IF(LEN('preferredfencesolutions.com'!H8)&gt;0,"Pass","Fail")</f>
        <v>Pass</v>
      </c>
      <c r="I11" s="2" t="str">
        <f aca="false">IF(AND(ISNUMBER(SEARCH("utm_source=google",'preferredfencesolutions.com'!J8)),ISNUMBER(SEARCH("utm_content=",'preferredfencesolutions.com'!J8))),"Pass","Fail")</f>
        <v>Pass</v>
      </c>
      <c r="J11" s="2" t="str">
        <f aca="false">IF(ISNUMBER(SEARCH(Settings!$C$8,'preferredfencesolutions.com'!I8)),"Pass","Fail")</f>
        <v>Pass</v>
      </c>
      <c r="K11" s="2" t="str">
        <f aca="false">IF(WEEKDAY('preferredfencesolutions.com'!C8,2)&lt;=5,"Pass","Fail")</f>
        <v>Pass</v>
      </c>
      <c r="L11" s="2" t="str">
        <f aca="false">IF(LEN('preferredfencesolutions.com'!M8)&gt;0,"Pass","Fail")</f>
        <v>Pass</v>
      </c>
      <c r="M11" s="2" t="str">
        <f aca="false">IF(COUNTIF(D11:L11,"Fail")=0,"Pass","Fail")</f>
        <v>Pass</v>
      </c>
    </row>
    <row r="12" customFormat="false" ht="15" hidden="false" customHeight="false" outlineLevel="0" collapsed="false">
      <c r="A12" s="2" t="n">
        <v>8</v>
      </c>
      <c r="B12" s="3" t="n">
        <f aca="false">'preferredfencesolutions.com'!C9</f>
        <v>46337</v>
      </c>
      <c r="C12" s="2" t="n">
        <f aca="false">LEN('preferredfencesolutions.com'!G9)</f>
        <v>451</v>
      </c>
      <c r="D12" s="2" t="str">
        <f aca="false">IF(LEN('preferredfencesolutions.com'!G9)&lt;=1500,"Pass","Fail")</f>
        <v>Pass</v>
      </c>
      <c r="E12" s="2" t="str">
        <f aca="false">IF(SUMPRODUCT(--ISNUMBER(SEARCH({"405","921-3426","473-2695","9213426"},'preferredfencesolutions.com'!G9)))=0,"Pass","Fail")</f>
        <v>Pass</v>
      </c>
      <c r="F12" s="2" t="str">
        <f aca="false">IF(ISNUMBER(SEARCH("@",'preferredfencesolutions.com'!G9)),"Fail","Pass")</f>
        <v>Pass</v>
      </c>
      <c r="G12" s="2" t="str">
        <f aca="false">IF(OR(ISNUMBER(SEARCH("http",'preferredfencesolutions.com'!G9)),ISNUMBER(SEARCH("www.",'preferredfencesolutions.com'!G9)),ISNUMBER(SEARCH(".com",'preferredfencesolutions.com'!G9))),"Fail","Pass")</f>
        <v>Pass</v>
      </c>
      <c r="H12" s="2" t="str">
        <f aca="false">IF(LEN('preferredfencesolutions.com'!H9)&gt;0,"Pass","Fail")</f>
        <v>Pass</v>
      </c>
      <c r="I12" s="2" t="str">
        <f aca="false">IF(AND(ISNUMBER(SEARCH("utm_source=google",'preferredfencesolutions.com'!J9)),ISNUMBER(SEARCH("utm_content=",'preferredfencesolutions.com'!J9))),"Pass","Fail")</f>
        <v>Pass</v>
      </c>
      <c r="J12" s="2" t="str">
        <f aca="false">IF(ISNUMBER(SEARCH(Settings!$C$8,'preferredfencesolutions.com'!I9)),"Pass","Fail")</f>
        <v>Pass</v>
      </c>
      <c r="K12" s="2" t="str">
        <f aca="false">IF(WEEKDAY('preferredfencesolutions.com'!C9,2)&lt;=5,"Pass","Fail")</f>
        <v>Pass</v>
      </c>
      <c r="L12" s="2" t="str">
        <f aca="false">IF(LEN('preferredfencesolutions.com'!M9)&gt;0,"Pass","Fail")</f>
        <v>Pass</v>
      </c>
      <c r="M12" s="2" t="str">
        <f aca="false">IF(COUNTIF(D12:L12,"Fail")=0,"Pass","Fail")</f>
        <v>Pass</v>
      </c>
    </row>
    <row r="13" customFormat="false" ht="15" hidden="false" customHeight="false" outlineLevel="0" collapsed="false">
      <c r="A13" s="2" t="n">
        <v>9</v>
      </c>
      <c r="B13" s="3" t="n">
        <f aca="false">'preferredfencesolutions.com'!C10</f>
        <v>46338</v>
      </c>
      <c r="C13" s="2" t="n">
        <f aca="false">LEN('preferredfencesolutions.com'!G10)</f>
        <v>460</v>
      </c>
      <c r="D13" s="2" t="str">
        <f aca="false">IF(LEN('preferredfencesolutions.com'!G10)&lt;=1500,"Pass","Fail")</f>
        <v>Pass</v>
      </c>
      <c r="E13" s="2" t="str">
        <f aca="false">IF(SUMPRODUCT(--ISNUMBER(SEARCH({"405","921-3426","473-2695","9213426"},'preferredfencesolutions.com'!G10)))=0,"Pass","Fail")</f>
        <v>Pass</v>
      </c>
      <c r="F13" s="2" t="str">
        <f aca="false">IF(ISNUMBER(SEARCH("@",'preferredfencesolutions.com'!G10)),"Fail","Pass")</f>
        <v>Pass</v>
      </c>
      <c r="G13" s="2" t="str">
        <f aca="false">IF(OR(ISNUMBER(SEARCH("http",'preferredfencesolutions.com'!G10)),ISNUMBER(SEARCH("www.",'preferredfencesolutions.com'!G10)),ISNUMBER(SEARCH(".com",'preferredfencesolutions.com'!G10))),"Fail","Pass")</f>
        <v>Pass</v>
      </c>
      <c r="H13" s="2" t="str">
        <f aca="false">IF(LEN('preferredfencesolutions.com'!H10)&gt;0,"Pass","Fail")</f>
        <v>Pass</v>
      </c>
      <c r="I13" s="2" t="str">
        <f aca="false">IF(AND(ISNUMBER(SEARCH("utm_source=google",'preferredfencesolutions.com'!J10)),ISNUMBER(SEARCH("utm_content=",'preferredfencesolutions.com'!J10))),"Pass","Fail")</f>
        <v>Pass</v>
      </c>
      <c r="J13" s="2" t="str">
        <f aca="false">IF(ISNUMBER(SEARCH(Settings!$C$8,'preferredfencesolutions.com'!I10)),"Pass","Fail")</f>
        <v>Pass</v>
      </c>
      <c r="K13" s="2" t="str">
        <f aca="false">IF(WEEKDAY('preferredfencesolutions.com'!C10,2)&lt;=5,"Pass","Fail")</f>
        <v>Pass</v>
      </c>
      <c r="L13" s="2" t="str">
        <f aca="false">IF(LEN('preferredfencesolutions.com'!M10)&gt;0,"Pass","Fail")</f>
        <v>Pass</v>
      </c>
      <c r="M13" s="2" t="str">
        <f aca="false">IF(COUNTIF(D13:L13,"Fail")=0,"Pass","Fail")</f>
        <v>Pass</v>
      </c>
    </row>
    <row r="14" customFormat="false" ht="15" hidden="false" customHeight="false" outlineLevel="0" collapsed="false">
      <c r="A14" s="2" t="n">
        <v>10</v>
      </c>
      <c r="B14" s="3" t="n">
        <f aca="false">'preferredfencesolutions.com'!C11</f>
        <v>46339</v>
      </c>
      <c r="C14" s="2" t="n">
        <f aca="false">LEN('preferredfencesolutions.com'!G11)</f>
        <v>431</v>
      </c>
      <c r="D14" s="2" t="str">
        <f aca="false">IF(LEN('preferredfencesolutions.com'!G11)&lt;=1500,"Pass","Fail")</f>
        <v>Pass</v>
      </c>
      <c r="E14" s="2" t="str">
        <f aca="false">IF(SUMPRODUCT(--ISNUMBER(SEARCH({"405","921-3426","473-2695","9213426"},'preferredfencesolutions.com'!G11)))=0,"Pass","Fail")</f>
        <v>Pass</v>
      </c>
      <c r="F14" s="2" t="str">
        <f aca="false">IF(ISNUMBER(SEARCH("@",'preferredfencesolutions.com'!G11)),"Fail","Pass")</f>
        <v>Pass</v>
      </c>
      <c r="G14" s="2" t="str">
        <f aca="false">IF(OR(ISNUMBER(SEARCH("http",'preferredfencesolutions.com'!G11)),ISNUMBER(SEARCH("www.",'preferredfencesolutions.com'!G11)),ISNUMBER(SEARCH(".com",'preferredfencesolutions.com'!G11))),"Fail","Pass")</f>
        <v>Pass</v>
      </c>
      <c r="H14" s="2" t="str">
        <f aca="false">IF(LEN('preferredfencesolutions.com'!H11)&gt;0,"Pass","Fail")</f>
        <v>Pass</v>
      </c>
      <c r="I14" s="2" t="str">
        <f aca="false">IF(AND(ISNUMBER(SEARCH("utm_source=google",'preferredfencesolutions.com'!J11)),ISNUMBER(SEARCH("utm_content=",'preferredfencesolutions.com'!J11))),"Pass","Fail")</f>
        <v>Pass</v>
      </c>
      <c r="J14" s="2" t="str">
        <f aca="false">IF(ISNUMBER(SEARCH(Settings!$C$8,'preferredfencesolutions.com'!I11)),"Pass","Fail")</f>
        <v>Pass</v>
      </c>
      <c r="K14" s="2" t="str">
        <f aca="false">IF(WEEKDAY('preferredfencesolutions.com'!C11,2)&lt;=5,"Pass","Fail")</f>
        <v>Pass</v>
      </c>
      <c r="L14" s="2" t="str">
        <f aca="false">IF(LEN('preferredfencesolutions.com'!M11)&gt;0,"Pass","Fail")</f>
        <v>Pass</v>
      </c>
      <c r="M14" s="2" t="str">
        <f aca="false">IF(COUNTIF(D14:L14,"Fail")=0,"Pass","Fail")</f>
        <v>Pass</v>
      </c>
    </row>
    <row r="15" customFormat="false" ht="15" hidden="false" customHeight="false" outlineLevel="0" collapsed="false">
      <c r="A15" s="2" t="n">
        <v>11</v>
      </c>
      <c r="B15" s="3" t="n">
        <f aca="false">'preferredfencesolutions.com'!C12</f>
        <v>46342</v>
      </c>
      <c r="C15" s="2" t="n">
        <f aca="false">LEN('preferredfencesolutions.com'!G12)</f>
        <v>405</v>
      </c>
      <c r="D15" s="2" t="str">
        <f aca="false">IF(LEN('preferredfencesolutions.com'!G12)&lt;=1500,"Pass","Fail")</f>
        <v>Pass</v>
      </c>
      <c r="E15" s="2" t="str">
        <f aca="false">IF(SUMPRODUCT(--ISNUMBER(SEARCH({"405","921-3426","473-2695","9213426"},'preferredfencesolutions.com'!G12)))=0,"Pass","Fail")</f>
        <v>Pass</v>
      </c>
      <c r="F15" s="2" t="str">
        <f aca="false">IF(ISNUMBER(SEARCH("@",'preferredfencesolutions.com'!G12)),"Fail","Pass")</f>
        <v>Pass</v>
      </c>
      <c r="G15" s="2" t="str">
        <f aca="false">IF(OR(ISNUMBER(SEARCH("http",'preferredfencesolutions.com'!G12)),ISNUMBER(SEARCH("www.",'preferredfencesolutions.com'!G12)),ISNUMBER(SEARCH(".com",'preferredfencesolutions.com'!G12))),"Fail","Pass")</f>
        <v>Pass</v>
      </c>
      <c r="H15" s="2" t="str">
        <f aca="false">IF(LEN('preferredfencesolutions.com'!H12)&gt;0,"Pass","Fail")</f>
        <v>Pass</v>
      </c>
      <c r="I15" s="2" t="str">
        <f aca="false">IF(AND(ISNUMBER(SEARCH("utm_source=google",'preferredfencesolutions.com'!J12)),ISNUMBER(SEARCH("utm_content=",'preferredfencesolutions.com'!J12))),"Pass","Fail")</f>
        <v>Pass</v>
      </c>
      <c r="J15" s="2" t="str">
        <f aca="false">IF(ISNUMBER(SEARCH(Settings!$C$8,'preferredfencesolutions.com'!I12)),"Pass","Fail")</f>
        <v>Pass</v>
      </c>
      <c r="K15" s="2" t="str">
        <f aca="false">IF(WEEKDAY('preferredfencesolutions.com'!C12,2)&lt;=5,"Pass","Fail")</f>
        <v>Pass</v>
      </c>
      <c r="L15" s="2" t="str">
        <f aca="false">IF(LEN('preferredfencesolutions.com'!M12)&gt;0,"Pass","Fail")</f>
        <v>Pass</v>
      </c>
      <c r="M15" s="2" t="str">
        <f aca="false">IF(COUNTIF(D15:L15,"Fail")=0,"Pass","Fail")</f>
        <v>Pass</v>
      </c>
    </row>
    <row r="16" customFormat="false" ht="15" hidden="false" customHeight="false" outlineLevel="0" collapsed="false">
      <c r="A16" s="2" t="n">
        <v>12</v>
      </c>
      <c r="B16" s="3" t="n">
        <f aca="false">'preferredfencesolutions.com'!C13</f>
        <v>46343</v>
      </c>
      <c r="C16" s="2" t="n">
        <f aca="false">LEN('preferredfencesolutions.com'!G13)</f>
        <v>420</v>
      </c>
      <c r="D16" s="2" t="str">
        <f aca="false">IF(LEN('preferredfencesolutions.com'!G13)&lt;=1500,"Pass","Fail")</f>
        <v>Pass</v>
      </c>
      <c r="E16" s="2" t="str">
        <f aca="false">IF(SUMPRODUCT(--ISNUMBER(SEARCH({"405","921-3426","473-2695","9213426"},'preferredfencesolutions.com'!G13)))=0,"Pass","Fail")</f>
        <v>Pass</v>
      </c>
      <c r="F16" s="2" t="str">
        <f aca="false">IF(ISNUMBER(SEARCH("@",'preferredfencesolutions.com'!G13)),"Fail","Pass")</f>
        <v>Pass</v>
      </c>
      <c r="G16" s="2" t="str">
        <f aca="false">IF(OR(ISNUMBER(SEARCH("http",'preferredfencesolutions.com'!G13)),ISNUMBER(SEARCH("www.",'preferredfencesolutions.com'!G13)),ISNUMBER(SEARCH(".com",'preferredfencesolutions.com'!G13))),"Fail","Pass")</f>
        <v>Pass</v>
      </c>
      <c r="H16" s="2" t="str">
        <f aca="false">IF(LEN('preferredfencesolutions.com'!H13)&gt;0,"Pass","Fail")</f>
        <v>Pass</v>
      </c>
      <c r="I16" s="2" t="str">
        <f aca="false">IF(AND(ISNUMBER(SEARCH("utm_source=google",'preferredfencesolutions.com'!J13)),ISNUMBER(SEARCH("utm_content=",'preferredfencesolutions.com'!J13))),"Pass","Fail")</f>
        <v>Pass</v>
      </c>
      <c r="J16" s="2" t="str">
        <f aca="false">IF(ISNUMBER(SEARCH(Settings!$C$8,'preferredfencesolutions.com'!I13)),"Pass","Fail")</f>
        <v>Pass</v>
      </c>
      <c r="K16" s="2" t="str">
        <f aca="false">IF(WEEKDAY('preferredfencesolutions.com'!C13,2)&lt;=5,"Pass","Fail")</f>
        <v>Pass</v>
      </c>
      <c r="L16" s="2" t="str">
        <f aca="false">IF(LEN('preferredfencesolutions.com'!M13)&gt;0,"Pass","Fail")</f>
        <v>Pass</v>
      </c>
      <c r="M16" s="2" t="str">
        <f aca="false">IF(COUNTIF(D16:L16,"Fail")=0,"Pass","Fail")</f>
        <v>Pass</v>
      </c>
    </row>
    <row r="17" customFormat="false" ht="15" hidden="false" customHeight="false" outlineLevel="0" collapsed="false">
      <c r="A17" s="2" t="n">
        <v>13</v>
      </c>
      <c r="B17" s="3" t="n">
        <f aca="false">'preferredfencesolutions.com'!C14</f>
        <v>46344</v>
      </c>
      <c r="C17" s="2" t="n">
        <f aca="false">LEN('preferredfencesolutions.com'!G14)</f>
        <v>443</v>
      </c>
      <c r="D17" s="2" t="str">
        <f aca="false">IF(LEN('preferredfencesolutions.com'!G14)&lt;=1500,"Pass","Fail")</f>
        <v>Pass</v>
      </c>
      <c r="E17" s="2" t="str">
        <f aca="false">IF(SUMPRODUCT(--ISNUMBER(SEARCH({"405","921-3426","473-2695","9213426"},'preferredfencesolutions.com'!G14)))=0,"Pass","Fail")</f>
        <v>Pass</v>
      </c>
      <c r="F17" s="2" t="str">
        <f aca="false">IF(ISNUMBER(SEARCH("@",'preferredfencesolutions.com'!G14)),"Fail","Pass")</f>
        <v>Pass</v>
      </c>
      <c r="G17" s="2" t="str">
        <f aca="false">IF(OR(ISNUMBER(SEARCH("http",'preferredfencesolutions.com'!G14)),ISNUMBER(SEARCH("www.",'preferredfencesolutions.com'!G14)),ISNUMBER(SEARCH(".com",'preferredfencesolutions.com'!G14))),"Fail","Pass")</f>
        <v>Pass</v>
      </c>
      <c r="H17" s="2" t="str">
        <f aca="false">IF(LEN('preferredfencesolutions.com'!H14)&gt;0,"Pass","Fail")</f>
        <v>Pass</v>
      </c>
      <c r="I17" s="2" t="str">
        <f aca="false">IF(AND(ISNUMBER(SEARCH("utm_source=google",'preferredfencesolutions.com'!J14)),ISNUMBER(SEARCH("utm_content=",'preferredfencesolutions.com'!J14))),"Pass","Fail")</f>
        <v>Pass</v>
      </c>
      <c r="J17" s="2" t="str">
        <f aca="false">IF(ISNUMBER(SEARCH(Settings!$C$8,'preferredfencesolutions.com'!I14)),"Pass","Fail")</f>
        <v>Pass</v>
      </c>
      <c r="K17" s="2" t="str">
        <f aca="false">IF(WEEKDAY('preferredfencesolutions.com'!C14,2)&lt;=5,"Pass","Fail")</f>
        <v>Pass</v>
      </c>
      <c r="L17" s="2" t="str">
        <f aca="false">IF(LEN('preferredfencesolutions.com'!M14)&gt;0,"Pass","Fail")</f>
        <v>Pass</v>
      </c>
      <c r="M17" s="2" t="str">
        <f aca="false">IF(COUNTIF(D17:L17,"Fail")=0,"Pass","Fail")</f>
        <v>Pass</v>
      </c>
    </row>
    <row r="18" customFormat="false" ht="15" hidden="false" customHeight="false" outlineLevel="0" collapsed="false">
      <c r="A18" s="2" t="n">
        <v>14</v>
      </c>
      <c r="B18" s="3" t="n">
        <f aca="false">'preferredfencesolutions.com'!C15</f>
        <v>46345</v>
      </c>
      <c r="C18" s="2" t="n">
        <f aca="false">LEN('preferredfencesolutions.com'!G15)</f>
        <v>412</v>
      </c>
      <c r="D18" s="2" t="str">
        <f aca="false">IF(LEN('preferredfencesolutions.com'!G15)&lt;=1500,"Pass","Fail")</f>
        <v>Pass</v>
      </c>
      <c r="E18" s="2" t="str">
        <f aca="false">IF(SUMPRODUCT(--ISNUMBER(SEARCH({"405","921-3426","473-2695","9213426"},'preferredfencesolutions.com'!G15)))=0,"Pass","Fail")</f>
        <v>Pass</v>
      </c>
      <c r="F18" s="2" t="str">
        <f aca="false">IF(ISNUMBER(SEARCH("@",'preferredfencesolutions.com'!G15)),"Fail","Pass")</f>
        <v>Pass</v>
      </c>
      <c r="G18" s="2" t="str">
        <f aca="false">IF(OR(ISNUMBER(SEARCH("http",'preferredfencesolutions.com'!G15)),ISNUMBER(SEARCH("www.",'preferredfencesolutions.com'!G15)),ISNUMBER(SEARCH(".com",'preferredfencesolutions.com'!G15))),"Fail","Pass")</f>
        <v>Pass</v>
      </c>
      <c r="H18" s="2" t="str">
        <f aca="false">IF(LEN('preferredfencesolutions.com'!H15)&gt;0,"Pass","Fail")</f>
        <v>Pass</v>
      </c>
      <c r="I18" s="2" t="str">
        <f aca="false">IF(AND(ISNUMBER(SEARCH("utm_source=google",'preferredfencesolutions.com'!J15)),ISNUMBER(SEARCH("utm_content=",'preferredfencesolutions.com'!J15))),"Pass","Fail")</f>
        <v>Pass</v>
      </c>
      <c r="J18" s="2" t="str">
        <f aca="false">IF(ISNUMBER(SEARCH(Settings!$C$8,'preferredfencesolutions.com'!I15)),"Pass","Fail")</f>
        <v>Pass</v>
      </c>
      <c r="K18" s="2" t="str">
        <f aca="false">IF(WEEKDAY('preferredfencesolutions.com'!C15,2)&lt;=5,"Pass","Fail")</f>
        <v>Pass</v>
      </c>
      <c r="L18" s="2" t="str">
        <f aca="false">IF(LEN('preferredfencesolutions.com'!M15)&gt;0,"Pass","Fail")</f>
        <v>Pass</v>
      </c>
      <c r="M18" s="2" t="str">
        <f aca="false">IF(COUNTIF(D18:L18,"Fail")=0,"Pass","Fail")</f>
        <v>Pass</v>
      </c>
    </row>
    <row r="19" customFormat="false" ht="15" hidden="false" customHeight="false" outlineLevel="0" collapsed="false">
      <c r="A19" s="2" t="n">
        <v>15</v>
      </c>
      <c r="B19" s="3" t="n">
        <f aca="false">'preferredfencesolutions.com'!C16</f>
        <v>46346</v>
      </c>
      <c r="C19" s="2" t="n">
        <f aca="false">LEN('preferredfencesolutions.com'!G16)</f>
        <v>421</v>
      </c>
      <c r="D19" s="2" t="str">
        <f aca="false">IF(LEN('preferredfencesolutions.com'!G16)&lt;=1500,"Pass","Fail")</f>
        <v>Pass</v>
      </c>
      <c r="E19" s="2" t="str">
        <f aca="false">IF(SUMPRODUCT(--ISNUMBER(SEARCH({"405","921-3426","473-2695","9213426"},'preferredfencesolutions.com'!G16)))=0,"Pass","Fail")</f>
        <v>Pass</v>
      </c>
      <c r="F19" s="2" t="str">
        <f aca="false">IF(ISNUMBER(SEARCH("@",'preferredfencesolutions.com'!G16)),"Fail","Pass")</f>
        <v>Pass</v>
      </c>
      <c r="G19" s="2" t="str">
        <f aca="false">IF(OR(ISNUMBER(SEARCH("http",'preferredfencesolutions.com'!G16)),ISNUMBER(SEARCH("www.",'preferredfencesolutions.com'!G16)),ISNUMBER(SEARCH(".com",'preferredfencesolutions.com'!G16))),"Fail","Pass")</f>
        <v>Pass</v>
      </c>
      <c r="H19" s="2" t="str">
        <f aca="false">IF(LEN('preferredfencesolutions.com'!H16)&gt;0,"Pass","Fail")</f>
        <v>Pass</v>
      </c>
      <c r="I19" s="2" t="str">
        <f aca="false">IF(AND(ISNUMBER(SEARCH("utm_source=google",'preferredfencesolutions.com'!J16)),ISNUMBER(SEARCH("utm_content=",'preferredfencesolutions.com'!J16))),"Pass","Fail")</f>
        <v>Pass</v>
      </c>
      <c r="J19" s="2" t="str">
        <f aca="false">IF(ISNUMBER(SEARCH(Settings!$C$8,'preferredfencesolutions.com'!I16)),"Pass","Fail")</f>
        <v>Pass</v>
      </c>
      <c r="K19" s="2" t="str">
        <f aca="false">IF(WEEKDAY('preferredfencesolutions.com'!C16,2)&lt;=5,"Pass","Fail")</f>
        <v>Pass</v>
      </c>
      <c r="L19" s="2" t="str">
        <f aca="false">IF(LEN('preferredfencesolutions.com'!M16)&gt;0,"Pass","Fail")</f>
        <v>Pass</v>
      </c>
      <c r="M19" s="2" t="str">
        <f aca="false">IF(COUNTIF(D19:L19,"Fail")=0,"Pass","Fail")</f>
        <v>Pass</v>
      </c>
    </row>
    <row r="20" customFormat="false" ht="15" hidden="false" customHeight="false" outlineLevel="0" collapsed="false">
      <c r="A20" s="2" t="n">
        <v>16</v>
      </c>
      <c r="B20" s="3" t="n">
        <f aca="false">'preferredfencesolutions.com'!C17</f>
        <v>46349</v>
      </c>
      <c r="C20" s="2" t="n">
        <f aca="false">LEN('preferredfencesolutions.com'!G17)</f>
        <v>375</v>
      </c>
      <c r="D20" s="2" t="str">
        <f aca="false">IF(LEN('preferredfencesolutions.com'!G17)&lt;=1500,"Pass","Fail")</f>
        <v>Pass</v>
      </c>
      <c r="E20" s="2" t="str">
        <f aca="false">IF(SUMPRODUCT(--ISNUMBER(SEARCH({"405","921-3426","473-2695","9213426"},'preferredfencesolutions.com'!G17)))=0,"Pass","Fail")</f>
        <v>Pass</v>
      </c>
      <c r="F20" s="2" t="str">
        <f aca="false">IF(ISNUMBER(SEARCH("@",'preferredfencesolutions.com'!G17)),"Fail","Pass")</f>
        <v>Pass</v>
      </c>
      <c r="G20" s="2" t="str">
        <f aca="false">IF(OR(ISNUMBER(SEARCH("http",'preferredfencesolutions.com'!G17)),ISNUMBER(SEARCH("www.",'preferredfencesolutions.com'!G17)),ISNUMBER(SEARCH(".com",'preferredfencesolutions.com'!G17))),"Fail","Pass")</f>
        <v>Pass</v>
      </c>
      <c r="H20" s="2" t="str">
        <f aca="false">IF(LEN('preferredfencesolutions.com'!H17)&gt;0,"Pass","Fail")</f>
        <v>Pass</v>
      </c>
      <c r="I20" s="2" t="str">
        <f aca="false">IF(AND(ISNUMBER(SEARCH("utm_source=google",'preferredfencesolutions.com'!J17)),ISNUMBER(SEARCH("utm_content=",'preferredfencesolutions.com'!J17))),"Pass","Fail")</f>
        <v>Pass</v>
      </c>
      <c r="J20" s="2" t="str">
        <f aca="false">IF(ISNUMBER(SEARCH(Settings!$C$8,'preferredfencesolutions.com'!I17)),"Pass","Fail")</f>
        <v>Pass</v>
      </c>
      <c r="K20" s="2" t="str">
        <f aca="false">IF(WEEKDAY('preferredfencesolutions.com'!C17,2)&lt;=5,"Pass","Fail")</f>
        <v>Pass</v>
      </c>
      <c r="L20" s="2" t="str">
        <f aca="false">IF(LEN('preferredfencesolutions.com'!M17)&gt;0,"Pass","Fail")</f>
        <v>Pass</v>
      </c>
      <c r="M20" s="2" t="str">
        <f aca="false">IF(COUNTIF(D20:L20,"Fail")=0,"Pass","Fail")</f>
        <v>Pass</v>
      </c>
    </row>
    <row r="21" customFormat="false" ht="15" hidden="false" customHeight="false" outlineLevel="0" collapsed="false">
      <c r="A21" s="2" t="n">
        <v>17</v>
      </c>
      <c r="B21" s="3" t="n">
        <f aca="false">'preferredfencesolutions.com'!C18</f>
        <v>46350</v>
      </c>
      <c r="C21" s="2" t="n">
        <f aca="false">LEN('preferredfencesolutions.com'!G18)</f>
        <v>405</v>
      </c>
      <c r="D21" s="2" t="str">
        <f aca="false">IF(LEN('preferredfencesolutions.com'!G18)&lt;=1500,"Pass","Fail")</f>
        <v>Pass</v>
      </c>
      <c r="E21" s="2" t="str">
        <f aca="false">IF(SUMPRODUCT(--ISNUMBER(SEARCH({"405","921-3426","473-2695","9213426"},'preferredfencesolutions.com'!G18)))=0,"Pass","Fail")</f>
        <v>Pass</v>
      </c>
      <c r="F21" s="2" t="str">
        <f aca="false">IF(ISNUMBER(SEARCH("@",'preferredfencesolutions.com'!G18)),"Fail","Pass")</f>
        <v>Pass</v>
      </c>
      <c r="G21" s="2" t="str">
        <f aca="false">IF(OR(ISNUMBER(SEARCH("http",'preferredfencesolutions.com'!G18)),ISNUMBER(SEARCH("www.",'preferredfencesolutions.com'!G18)),ISNUMBER(SEARCH(".com",'preferredfencesolutions.com'!G18))),"Fail","Pass")</f>
        <v>Pass</v>
      </c>
      <c r="H21" s="2" t="str">
        <f aca="false">IF(LEN('preferredfencesolutions.com'!H18)&gt;0,"Pass","Fail")</f>
        <v>Pass</v>
      </c>
      <c r="I21" s="2" t="str">
        <f aca="false">IF(AND(ISNUMBER(SEARCH("utm_source=google",'preferredfencesolutions.com'!J18)),ISNUMBER(SEARCH("utm_content=",'preferredfencesolutions.com'!J18))),"Pass","Fail")</f>
        <v>Pass</v>
      </c>
      <c r="J21" s="2" t="str">
        <f aca="false">IF(ISNUMBER(SEARCH(Settings!$C$8,'preferredfencesolutions.com'!I18)),"Pass","Fail")</f>
        <v>Pass</v>
      </c>
      <c r="K21" s="2" t="str">
        <f aca="false">IF(WEEKDAY('preferredfencesolutions.com'!C18,2)&lt;=5,"Pass","Fail")</f>
        <v>Pass</v>
      </c>
      <c r="L21" s="2" t="str">
        <f aca="false">IF(LEN('preferredfencesolutions.com'!M18)&gt;0,"Pass","Fail")</f>
        <v>Pass</v>
      </c>
      <c r="M21" s="2" t="str">
        <f aca="false">IF(COUNTIF(D21:L21,"Fail")=0,"Pass","Fail")</f>
        <v>Pass</v>
      </c>
    </row>
    <row r="22" customFormat="false" ht="15" hidden="false" customHeight="false" outlineLevel="0" collapsed="false">
      <c r="A22" s="2" t="n">
        <v>18</v>
      </c>
      <c r="B22" s="3" t="n">
        <f aca="false">'preferredfencesolutions.com'!C19</f>
        <v>46351</v>
      </c>
      <c r="C22" s="2" t="n">
        <f aca="false">LEN('preferredfencesolutions.com'!G19)</f>
        <v>424</v>
      </c>
      <c r="D22" s="2" t="str">
        <f aca="false">IF(LEN('preferredfencesolutions.com'!G19)&lt;=1500,"Pass","Fail")</f>
        <v>Pass</v>
      </c>
      <c r="E22" s="2" t="str">
        <f aca="false">IF(SUMPRODUCT(--ISNUMBER(SEARCH({"405","921-3426","473-2695","9213426"},'preferredfencesolutions.com'!G19)))=0,"Pass","Fail")</f>
        <v>Pass</v>
      </c>
      <c r="F22" s="2" t="str">
        <f aca="false">IF(ISNUMBER(SEARCH("@",'preferredfencesolutions.com'!G19)),"Fail","Pass")</f>
        <v>Pass</v>
      </c>
      <c r="G22" s="2" t="str">
        <f aca="false">IF(OR(ISNUMBER(SEARCH("http",'preferredfencesolutions.com'!G19)),ISNUMBER(SEARCH("www.",'preferredfencesolutions.com'!G19)),ISNUMBER(SEARCH(".com",'preferredfencesolutions.com'!G19))),"Fail","Pass")</f>
        <v>Pass</v>
      </c>
      <c r="H22" s="2" t="str">
        <f aca="false">IF(LEN('preferredfencesolutions.com'!H19)&gt;0,"Pass","Fail")</f>
        <v>Pass</v>
      </c>
      <c r="I22" s="2" t="str">
        <f aca="false">IF(AND(ISNUMBER(SEARCH("utm_source=google",'preferredfencesolutions.com'!J19)),ISNUMBER(SEARCH("utm_content=",'preferredfencesolutions.com'!J19))),"Pass","Fail")</f>
        <v>Pass</v>
      </c>
      <c r="J22" s="2" t="str">
        <f aca="false">IF(ISNUMBER(SEARCH(Settings!$C$8,'preferredfencesolutions.com'!I19)),"Pass","Fail")</f>
        <v>Pass</v>
      </c>
      <c r="K22" s="2" t="str">
        <f aca="false">IF(WEEKDAY('preferredfencesolutions.com'!C19,2)&lt;=5,"Pass","Fail")</f>
        <v>Pass</v>
      </c>
      <c r="L22" s="2" t="str">
        <f aca="false">IF(LEN('preferredfencesolutions.com'!M19)&gt;0,"Pass","Fail")</f>
        <v>Pass</v>
      </c>
      <c r="M22" s="2" t="str">
        <f aca="false">IF(COUNTIF(D22:L22,"Fail")=0,"Pass","Fail")</f>
        <v>Pass</v>
      </c>
    </row>
    <row r="23" customFormat="false" ht="15" hidden="false" customHeight="false" outlineLevel="0" collapsed="false">
      <c r="A23" s="2" t="n">
        <v>19</v>
      </c>
      <c r="B23" s="3" t="n">
        <f aca="false">'preferredfencesolutions.com'!C20</f>
        <v>46352</v>
      </c>
      <c r="C23" s="2" t="n">
        <f aca="false">LEN('preferredfencesolutions.com'!G20)</f>
        <v>444</v>
      </c>
      <c r="D23" s="2" t="str">
        <f aca="false">IF(LEN('preferredfencesolutions.com'!G20)&lt;=1500,"Pass","Fail")</f>
        <v>Pass</v>
      </c>
      <c r="E23" s="2" t="str">
        <f aca="false">IF(SUMPRODUCT(--ISNUMBER(SEARCH({"405","921-3426","473-2695","9213426"},'preferredfencesolutions.com'!G20)))=0,"Pass","Fail")</f>
        <v>Pass</v>
      </c>
      <c r="F23" s="2" t="str">
        <f aca="false">IF(ISNUMBER(SEARCH("@",'preferredfencesolutions.com'!G20)),"Fail","Pass")</f>
        <v>Pass</v>
      </c>
      <c r="G23" s="2" t="str">
        <f aca="false">IF(OR(ISNUMBER(SEARCH("http",'preferredfencesolutions.com'!G20)),ISNUMBER(SEARCH("www.",'preferredfencesolutions.com'!G20)),ISNUMBER(SEARCH(".com",'preferredfencesolutions.com'!G20))),"Fail","Pass")</f>
        <v>Pass</v>
      </c>
      <c r="H23" s="2" t="str">
        <f aca="false">IF(LEN('preferredfencesolutions.com'!H20)&gt;0,"Pass","Fail")</f>
        <v>Pass</v>
      </c>
      <c r="I23" s="2" t="str">
        <f aca="false">IF(AND(ISNUMBER(SEARCH("utm_source=google",'preferredfencesolutions.com'!J20)),ISNUMBER(SEARCH("utm_content=",'preferredfencesolutions.com'!J20))),"Pass","Fail")</f>
        <v>Pass</v>
      </c>
      <c r="J23" s="2" t="str">
        <f aca="false">IF(ISNUMBER(SEARCH(Settings!$C$8,'preferredfencesolutions.com'!I20)),"Pass","Fail")</f>
        <v>Pass</v>
      </c>
      <c r="K23" s="2" t="str">
        <f aca="false">IF(WEEKDAY('preferredfencesolutions.com'!C20,2)&lt;=5,"Pass","Fail")</f>
        <v>Pass</v>
      </c>
      <c r="L23" s="2" t="str">
        <f aca="false">IF(LEN('preferredfencesolutions.com'!M20)&gt;0,"Pass","Fail")</f>
        <v>Pass</v>
      </c>
      <c r="M23" s="2" t="str">
        <f aca="false">IF(COUNTIF(D23:L23,"Fail")=0,"Pass","Fail")</f>
        <v>Pass</v>
      </c>
    </row>
    <row r="24" customFormat="false" ht="15" hidden="false" customHeight="false" outlineLevel="0" collapsed="false">
      <c r="A24" s="2" t="n">
        <v>20</v>
      </c>
      <c r="B24" s="3" t="n">
        <f aca="false">'preferredfencesolutions.com'!C21</f>
        <v>46353</v>
      </c>
      <c r="C24" s="2" t="n">
        <f aca="false">LEN('preferredfencesolutions.com'!G21)</f>
        <v>343</v>
      </c>
      <c r="D24" s="2" t="str">
        <f aca="false">IF(LEN('preferredfencesolutions.com'!G21)&lt;=1500,"Pass","Fail")</f>
        <v>Pass</v>
      </c>
      <c r="E24" s="2" t="str">
        <f aca="false">IF(SUMPRODUCT(--ISNUMBER(SEARCH({"405","921-3426","473-2695","9213426"},'preferredfencesolutions.com'!G21)))=0,"Pass","Fail")</f>
        <v>Pass</v>
      </c>
      <c r="F24" s="2" t="str">
        <f aca="false">IF(ISNUMBER(SEARCH("@",'preferredfencesolutions.com'!G21)),"Fail","Pass")</f>
        <v>Pass</v>
      </c>
      <c r="G24" s="2" t="str">
        <f aca="false">IF(OR(ISNUMBER(SEARCH("http",'preferredfencesolutions.com'!G21)),ISNUMBER(SEARCH("www.",'preferredfencesolutions.com'!G21)),ISNUMBER(SEARCH(".com",'preferredfencesolutions.com'!G21))),"Fail","Pass")</f>
        <v>Pass</v>
      </c>
      <c r="H24" s="2" t="str">
        <f aca="false">IF(LEN('preferredfencesolutions.com'!H21)&gt;0,"Pass","Fail")</f>
        <v>Pass</v>
      </c>
      <c r="I24" s="2" t="str">
        <f aca="false">IF(AND(ISNUMBER(SEARCH("utm_source=google",'preferredfencesolutions.com'!J21)),ISNUMBER(SEARCH("utm_content=",'preferredfencesolutions.com'!J21))),"Pass","Fail")</f>
        <v>Pass</v>
      </c>
      <c r="J24" s="2" t="str">
        <f aca="false">IF(ISNUMBER(SEARCH(Settings!$C$8,'preferredfencesolutions.com'!I21)),"Pass","Fail")</f>
        <v>Pass</v>
      </c>
      <c r="K24" s="2" t="str">
        <f aca="false">IF(WEEKDAY('preferredfencesolutions.com'!C21,2)&lt;=5,"Pass","Fail")</f>
        <v>Pass</v>
      </c>
      <c r="L24" s="2" t="str">
        <f aca="false">IF(LEN('preferredfencesolutions.com'!M21)&gt;0,"Pass","Fail")</f>
        <v>Pass</v>
      </c>
      <c r="M24" s="2" t="str">
        <f aca="false">IF(COUNTIF(D24:L24,"Fail")=0,"Pass","Fail")</f>
        <v>Pass</v>
      </c>
    </row>
    <row r="25" customFormat="false" ht="15" hidden="false" customHeight="false" outlineLevel="0" collapsed="false">
      <c r="A25" s="2" t="n">
        <v>21</v>
      </c>
      <c r="B25" s="3" t="n">
        <f aca="false">'preferredfencesolutions.com'!C22</f>
        <v>46356</v>
      </c>
      <c r="C25" s="2" t="n">
        <f aca="false">LEN('preferredfencesolutions.com'!G22)</f>
        <v>390</v>
      </c>
      <c r="D25" s="2" t="str">
        <f aca="false">IF(LEN('preferredfencesolutions.com'!G22)&lt;=1500,"Pass","Fail")</f>
        <v>Pass</v>
      </c>
      <c r="E25" s="2" t="str">
        <f aca="false">IF(SUMPRODUCT(--ISNUMBER(SEARCH({"405","921-3426","473-2695","9213426"},'preferredfencesolutions.com'!G22)))=0,"Pass","Fail")</f>
        <v>Pass</v>
      </c>
      <c r="F25" s="2" t="str">
        <f aca="false">IF(ISNUMBER(SEARCH("@",'preferredfencesolutions.com'!G22)),"Fail","Pass")</f>
        <v>Pass</v>
      </c>
      <c r="G25" s="2" t="str">
        <f aca="false">IF(OR(ISNUMBER(SEARCH("http",'preferredfencesolutions.com'!G22)),ISNUMBER(SEARCH("www.",'preferredfencesolutions.com'!G22)),ISNUMBER(SEARCH(".com",'preferredfencesolutions.com'!G22))),"Fail","Pass")</f>
        <v>Pass</v>
      </c>
      <c r="H25" s="2" t="str">
        <f aca="false">IF(LEN('preferredfencesolutions.com'!H22)&gt;0,"Pass","Fail")</f>
        <v>Pass</v>
      </c>
      <c r="I25" s="2" t="str">
        <f aca="false">IF(AND(ISNUMBER(SEARCH("utm_source=google",'preferredfencesolutions.com'!J22)),ISNUMBER(SEARCH("utm_content=",'preferredfencesolutions.com'!J22))),"Pass","Fail")</f>
        <v>Pass</v>
      </c>
      <c r="J25" s="2" t="str">
        <f aca="false">IF(ISNUMBER(SEARCH(Settings!$C$8,'preferredfencesolutions.com'!I22)),"Pass","Fail")</f>
        <v>Pass</v>
      </c>
      <c r="K25" s="2" t="str">
        <f aca="false">IF(WEEKDAY('preferredfencesolutions.com'!C22,2)&lt;=5,"Pass","Fail")</f>
        <v>Pass</v>
      </c>
      <c r="L25" s="2" t="str">
        <f aca="false">IF(LEN('preferredfencesolutions.com'!M22)&gt;0,"Pass","Fail")</f>
        <v>Pass</v>
      </c>
      <c r="M25" s="2" t="str">
        <f aca="false">IF(COUNTIF(D25:L25,"Fail")=0,"Pass","Fail")</f>
        <v>Pass</v>
      </c>
    </row>
    <row r="26" customFormat="false" ht="15" hidden="false" customHeight="false" outlineLevel="0" collapsed="false">
      <c r="A26" s="2" t="n">
        <v>22</v>
      </c>
      <c r="B26" s="3" t="n">
        <f aca="false">'preferredfencesolutions.com'!C23</f>
        <v>46357</v>
      </c>
      <c r="C26" s="2" t="n">
        <f aca="false">LEN('preferredfencesolutions.com'!G23)</f>
        <v>439</v>
      </c>
      <c r="D26" s="2" t="str">
        <f aca="false">IF(LEN('preferredfencesolutions.com'!G23)&lt;=1500,"Pass","Fail")</f>
        <v>Pass</v>
      </c>
      <c r="E26" s="2" t="str">
        <f aca="false">IF(SUMPRODUCT(--ISNUMBER(SEARCH({"405","921-3426","473-2695","9213426"},'preferredfencesolutions.com'!G23)))=0,"Pass","Fail")</f>
        <v>Pass</v>
      </c>
      <c r="F26" s="2" t="str">
        <f aca="false">IF(ISNUMBER(SEARCH("@",'preferredfencesolutions.com'!G23)),"Fail","Pass")</f>
        <v>Pass</v>
      </c>
      <c r="G26" s="2" t="str">
        <f aca="false">IF(OR(ISNUMBER(SEARCH("http",'preferredfencesolutions.com'!G23)),ISNUMBER(SEARCH("www.",'preferredfencesolutions.com'!G23)),ISNUMBER(SEARCH(".com",'preferredfencesolutions.com'!G23))),"Fail","Pass")</f>
        <v>Pass</v>
      </c>
      <c r="H26" s="2" t="str">
        <f aca="false">IF(LEN('preferredfencesolutions.com'!H23)&gt;0,"Pass","Fail")</f>
        <v>Pass</v>
      </c>
      <c r="I26" s="2" t="str">
        <f aca="false">IF(AND(ISNUMBER(SEARCH("utm_source=google",'preferredfencesolutions.com'!J23)),ISNUMBER(SEARCH("utm_content=",'preferredfencesolutions.com'!J23))),"Pass","Fail")</f>
        <v>Pass</v>
      </c>
      <c r="J26" s="2" t="str">
        <f aca="false">IF(ISNUMBER(SEARCH(Settings!$C$8,'preferredfencesolutions.com'!I23)),"Pass","Fail")</f>
        <v>Pass</v>
      </c>
      <c r="K26" s="2" t="str">
        <f aca="false">IF(WEEKDAY('preferredfencesolutions.com'!C23,2)&lt;=5,"Pass","Fail")</f>
        <v>Pass</v>
      </c>
      <c r="L26" s="2" t="str">
        <f aca="false">IF(LEN('preferredfencesolutions.com'!M23)&gt;0,"Pass","Fail")</f>
        <v>Pass</v>
      </c>
      <c r="M26" s="2" t="str">
        <f aca="false">IF(COUNTIF(D26:L26,"Fail")=0,"Pass","Fail")</f>
        <v>Pass</v>
      </c>
    </row>
    <row r="28" customFormat="false" ht="15" hidden="false" customHeight="false" outlineLevel="0" collapsed="false">
      <c r="A28" s="9" t="s">
        <v>355</v>
      </c>
      <c r="B28" s="9" t="str">
        <f aca="false">COUNTIF(M5:M26,"Pass")&amp;" of "&amp;COUNTA(A5:A26)</f>
        <v>22 of 22</v>
      </c>
    </row>
    <row r="30" customFormat="false" ht="15" hidden="false" customHeight="false" outlineLevel="0" collapsed="false">
      <c r="A30" s="9" t="s">
        <v>356</v>
      </c>
    </row>
    <row r="31" customFormat="false" ht="23.85" hidden="false" customHeight="false" outlineLevel="0" collapsed="false">
      <c r="A31" s="8" t="s">
        <v>3</v>
      </c>
      <c r="B31" s="8" t="s">
        <v>357</v>
      </c>
    </row>
    <row r="32" customFormat="false" ht="15" hidden="false" customHeight="false" outlineLevel="0" collapsed="false">
      <c r="A32" s="4" t="s">
        <v>16</v>
      </c>
      <c r="B32" s="2" t="n">
        <f aca="false">COUNTIF('preferredfencesolutions.com'!$E$2:$E$23,"Service")</f>
        <v>8</v>
      </c>
    </row>
    <row r="33" customFormat="false" ht="15" hidden="false" customHeight="false" outlineLevel="0" collapsed="false">
      <c r="A33" s="4" t="s">
        <v>36</v>
      </c>
      <c r="B33" s="2" t="n">
        <f aca="false">COUNTIF('preferredfencesolutions.com'!$E$2:$E$23,"FAQ")</f>
        <v>5</v>
      </c>
    </row>
    <row r="34" customFormat="false" ht="15" hidden="false" customHeight="false" outlineLevel="0" collapsed="false">
      <c r="A34" s="4" t="s">
        <v>43</v>
      </c>
      <c r="B34" s="2" t="n">
        <f aca="false">COUNTIF('preferredfencesolutions.com'!$E$2:$E$23,"Local")</f>
        <v>5</v>
      </c>
    </row>
    <row r="35" customFormat="false" ht="23.85" hidden="false" customHeight="false" outlineLevel="0" collapsed="false">
      <c r="A35" s="4" t="s">
        <v>26</v>
      </c>
      <c r="B35" s="2" t="n">
        <f aca="false">COUNTIF('preferredfencesolutions.com'!$E$2:$E$23,"Promotional")</f>
        <v>4</v>
      </c>
    </row>
    <row r="36" customFormat="false" ht="15" hidden="false" customHeight="false" outlineLevel="0" collapsed="false">
      <c r="A36" s="4" t="s">
        <v>358</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2026-10-26T10:07:17Z</dcterms:created>
  <dc:creator>openpyxl</dc:creator>
  <dc:description/>
  <dc:language>en-US</dc:language>
  <cp:lastModifiedBy/>
  <dcterms:modified xsi:type="dcterms:W3CDTF">2026-10-26T10:07:39Z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