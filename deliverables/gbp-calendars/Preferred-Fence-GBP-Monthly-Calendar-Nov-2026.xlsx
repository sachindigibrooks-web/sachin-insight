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9.jpeg" ContentType="image/jpeg"/>
  <Override PartName="/xl/media/image12.jpeg" ContentType="image/jpeg"/>
  <Override PartName="/xl/media/image13.jpeg" ContentType="image/jpeg"/>
  <Override PartName="/xl/media/image8.jpeg" ContentType="image/jpeg"/>
  <Override PartName="/xl/media/image11.jpeg" ContentType="image/jpeg"/>
  <Override PartName="/xl/media/image7.jpeg" ContentType="image/jpeg"/>
  <Override PartName="/xl/media/image10.jpeg" ContentType="image/jpeg"/>
  <Override PartName="/xl/media/image6.jpeg" ContentType="image/jpeg"/>
  <Override PartName="/xl/media/image5.jpeg" ContentType="image/jpeg"/>
  <Override PartName="/xl/media/image22.jpeg" ContentType="image/jpeg"/>
  <Override PartName="/xl/media/image4.jpeg" ContentType="image/jpeg"/>
  <Override PartName="/xl/media/image21.jpeg" ContentType="image/jpeg"/>
  <Override PartName="/xl/media/image19.jpeg" ContentType="image/jpeg"/>
  <Override PartName="/xl/media/image1.jpeg" ContentType="image/jpeg"/>
  <Override PartName="/xl/media/image3.jpeg" ContentType="image/jpeg"/>
  <Override PartName="/xl/media/image20.jpeg" ContentType="image/jpeg"/>
  <Override PartName="/xl/media/image18.jpeg" ContentType="image/jpeg"/>
  <Override PartName="/xl/media/image17.jpeg" ContentType="image/jpeg"/>
  <Override PartName="/xl/media/image16.jpeg" ContentType="image/jpeg"/>
  <Override PartName="/xl/media/image15.jpeg" ContentType="image/jpeg"/>
  <Override PartName="/xl/media/image14.jpeg" ContentType="image/jpeg"/>
  <Override PartName="/xl/media/image2.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eferredfencesolutions.com" sheetId="1" state="visible" r:id="rId3"/>
    <sheet name="Settings" sheetId="2" state="visible" r:id="rId4"/>
    <sheet name="Banner &amp; Brand Kit" sheetId="3" state="visible" r:id="rId5"/>
    <sheet name="Image Rights Check" sheetId="4" state="visible" r:id="rId6"/>
    <sheet name="Website Offers Check" sheetId="5" state="visible" r:id="rId7"/>
    <sheet name="GBP Guidelines" sheetId="6" state="visible" r:id="rId8"/>
    <sheet name="QA Cross-Check" sheetId="7" state="visible" r:id="rId9"/>
  </sheets>
  <definedNames>
    <definedName function="false" hidden="true" localSheetId="0" name="_xlnm._FilterDatabase" vbProcedure="false">'preferredfencesolutions.com'!$B$1:$Q$23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<sst xmlns="http://schemas.openxmlformats.org/spreadsheetml/2006/main" count="588" uniqueCount="391">
  <si>
    <t xml:space="preserve">Week</t>
  </si>
  <si>
    <t xml:space="preserve">Planned Date</t>
  </si>
  <si>
    <t xml:space="preserve">Day</t>
  </si>
  <si>
    <t xml:space="preserve">Category</t>
  </si>
  <si>
    <t xml:space="preserve">Post Title</t>
  </si>
  <si>
    <t xml:space="preserve">GBP Post Copy</t>
  </si>
  <si>
    <t xml:space="preserve">CTA</t>
  </si>
  <si>
    <t xml:space="preserve">Landing Page</t>
  </si>
  <si>
    <t xml:space="preserve">Tracked CTA URL</t>
  </si>
  <si>
    <t xml:space="preserve">Banner</t>
  </si>
  <si>
    <t xml:space="preserve">Banner Overlay Text</t>
  </si>
  <si>
    <t xml:space="preserve">Banner File</t>
  </si>
  <si>
    <t xml:space="preserve">Banner Photo Source</t>
  </si>
  <si>
    <t xml:space="preserve">Image Rights</t>
  </si>
  <si>
    <t xml:space="preserve">Offer Dates / Terms</t>
  </si>
  <si>
    <t xml:space="preserve">Publishing Status</t>
  </si>
  <si>
    <t xml:space="preserve">Service</t>
  </si>
  <si>
    <t xml:space="preserve">Fence Repair After Wind and Storm Damage</t>
  </si>
  <si>
    <t xml:space="preserve">Leaning posts, broken panels or a gate that will not latch after the last windstorm?
Preferred Fence Solutions repairs fences across the OKC metro, from a single leaning post to multi-section storm damage. We check whether a post can be reset and reinforced or needs replacing, and when we rebuild wood sections we use steel posts so the fence can stand up to Oklahoma wind.
We give honest recommendations on repair versus replacement and free estimates on every job. Tap Learn more to schedule yours.</t>
  </si>
  <si>
    <t xml:space="preserve">Learn more</t>
  </si>
  <si>
    <t xml:space="preserve">https://preferredfencesolutions.com/fence-repair-okc/</t>
  </si>
  <si>
    <t xml:space="preserve">Tag: Fence Repair
Headline: Storm-Damaged Fence? We Rebuild It.
Sub-line: Repairs and rebuilds across the OKC metro
Button: Free Repair Estimate</t>
  </si>
  <si>
    <t xml:space="preserve">2026-11-02_gbp-post-01_1200x900.png</t>
  </si>
  <si>
    <t xml:space="preserve">https://unsplash.com/photos/km_VQEFOV20 (Unsplash licence)</t>
  </si>
  <si>
    <t xml:space="preserve">Unsplash License: free for commercial use, no permission or credit needed.</t>
  </si>
  <si>
    <t xml:space="preserve">Not Published</t>
  </si>
  <si>
    <t xml:space="preserve">Promotional</t>
  </si>
  <si>
    <t xml:space="preserve">Free On-Site Fence Estimate</t>
  </si>
  <si>
    <t xml:space="preserve">Planning a new fence or a fence replacement before spring? Book a free on-site estimate with Preferred Fence Solutions.
We measure your yard, talk through materials, height and gates, and give you a clear written quote. Wood, vinyl, ornamental iron, chain link and SimTek options are available across Oklahoma City, Edmond, Yukon, Mustang and Nichols Hills. Financing is available for larger projects.
Tap View offer to request your free estimate.</t>
  </si>
  <si>
    <t xml:space="preserve">View offer</t>
  </si>
  <si>
    <t xml:space="preserve">https://preferredfencesolutions.com/</t>
  </si>
  <si>
    <t xml:space="preserve">Tag: Free Estimate
Headline: Your New Fence Starts Here
Sub-line: On-site measure, clear written quote
Button: Book Your Free Estimate</t>
  </si>
  <si>
    <t xml:space="preserve">2026-11-03_gbp-post-02_1200x900.png</t>
  </si>
  <si>
    <t xml:space="preserve">https://preferredfencesolutions.com/wp-content/uploads/2022/05/IMG_5913.jpg</t>
  </si>
  <si>
    <t xml:space="preserve">Business's own photo from its website (client to confirm ownership).</t>
  </si>
  <si>
    <t xml:space="preserve">Offer dates: Nov 3 to Nov 30, 2026 (confirm). Terms: free estimate on all fence and gate projects (as stated on the website); no obligation. Financing available for larger projects.</t>
  </si>
  <si>
    <t xml:space="preserve">FAQ</t>
  </si>
  <si>
    <t xml:space="preserve">FAQ: How Tall Can My Fence Be in OKC?</t>
  </si>
  <si>
    <t xml:space="preserve">FAQ: How tall can my fence be in Oklahoma City?
Residential fences in Oklahoma City can be up to 8 feet tall in most cases, and 6 feet is the most common choice for backyard privacy. HOA rules often add their own limits, especially in Edmond, Nichols Hills and newer neighborhoods, so check with your HOA before you build.
Not sure what is allowed on your property? Our team can help you plan the right height and style. Tap Learn more to read more fence FAQs.</t>
  </si>
  <si>
    <t xml:space="preserve">https://preferredfencesolutions.com/faq/</t>
  </si>
  <si>
    <t xml:space="preserve">Tag: Fence FAQ
Headline: How Tall Can My Fence Be?
Sub-line: Up to 8 ft in most OKC yards. 6 ft is the most popular. Always check your HOA.
Button: More Fence FAQs</t>
  </si>
  <si>
    <t xml:space="preserve">2026-11-04_gbp-post-03_1200x900.png</t>
  </si>
  <si>
    <t xml:space="preserve">https://preferredfencesolutions.com/wp-content/uploads/2022/10/Stained-Western-Red-Cedar-with-Cap-and-Trim-with-a-1x6-Kickboard.jpg</t>
  </si>
  <si>
    <t xml:space="preserve">Local</t>
  </si>
  <si>
    <t xml:space="preserve">Fence Installation in Edmond, OK</t>
  </si>
  <si>
    <t xml:space="preserve">Building a fence in Edmond? Preferred Fence Solutions has installed fences for Edmond homeowners for years, with local projects and references available.
We install wood privacy fences, metal and decorative fencing, and custom gates, using materials chosen for Oklahoma weather. We keep job sites clean, give clear timelines, and walk the fence line with you at the end so you are 100% happy.
Licensed and insured. Tap Learn more to get a free estimate for your Edmond home.</t>
  </si>
  <si>
    <t xml:space="preserve">https://preferredfencesolutions.com/fence-installation-edmond-ok/</t>
  </si>
  <si>
    <t xml:space="preserve">Tag: Edmond, OK
Headline: Edmond's Fence Crew
Sub-line: Wood, metal and custom gates for Edmond homes
Button: Free Estimate</t>
  </si>
  <si>
    <t xml:space="preserve">2026-11-05_gbp-post-04_1200x900.png</t>
  </si>
  <si>
    <t xml:space="preserve">https://preferredfencesolutions.com/wp-content/uploads/2022/01/IMG_01991-2.jpg</t>
  </si>
  <si>
    <t xml:space="preserve">Western Red Cedar Stockade Fences Built in Our Shop</t>
  </si>
  <si>
    <t xml:space="preserve">Our wood stockade fences are built for Oklahoma.
Preferred Fence Solutions custom builds every wood fence panel and gate in our shop using Western Red Cedar, which is naturally rot and pest resistant. Each fence is installed on heavy-duty steel posts set in concrete 2 feet below grade, and we never dry set our posts.
Choose dog ear, cap and trim, board on board, shadowbox, horizontal and more. Tap Learn more to see the styles.</t>
  </si>
  <si>
    <t xml:space="preserve">https://preferredfencesolutions.com/stockade-wood-fence/</t>
  </si>
  <si>
    <t xml:space="preserve">Tag: Cedar Stockade Fences
Headline: Real Cedar. Steel Posts.
Sub-line: Panels built by hand in our shop
Button: See Fence Styles</t>
  </si>
  <si>
    <t xml:space="preserve">2026-11-06_gbp-post-05_1200x900.png</t>
  </si>
  <si>
    <t xml:space="preserve">https://preferredfencesolutions.com/wp-content/uploads/2022/03/6-tall-Cap-and-Trim-Total-Privacy-Board-on-Board.-.jpeg</t>
  </si>
  <si>
    <t xml:space="preserve">FAQ: Should I Repair or Replace My Fence?</t>
  </si>
  <si>
    <t xml:space="preserve">FAQ: Should I repair my fence or replace it?
A quick rule of thumb: repair usually makes sense when the damage is limited to a few areas and the rest of the fence is still sound. Replacement is usually the smarter choice when several posts are leaning, rails are failing or sections keep moving over time.
Walk your fence line and look for leaning posts, loose rails and rot at the base. Not sure what you are seeing? We will tell you honestly. Tap Learn more to read our full guide.</t>
  </si>
  <si>
    <t xml:space="preserve">https://preferredfencesolutions.com/fence-repair-vs-replacement-oklahoma-city/</t>
  </si>
  <si>
    <t xml:space="preserve">Tag: Fence FAQ
Headline: Repair or Replace?
Sub-line: Limited damage: repair. Several leaning posts or failing rails: replace.
Button: Read the Guide</t>
  </si>
  <si>
    <t xml:space="preserve">2026-11-09_gbp-post-06_1200x900.png</t>
  </si>
  <si>
    <t xml:space="preserve">https://preferredfencesolutions.com/wp-content/uploads/2022/06/new-vs-old.jpeg</t>
  </si>
  <si>
    <t xml:space="preserve">Ameristar Ornamental Iron Fences and Gates</t>
  </si>
  <si>
    <t xml:space="preserve">Looking for security that still looks elegant from the street?
Preferred Fence Solutions installs Ameristar ornamental iron fences and gates for homes in Oklahoma City, Edmond and the surrounding metro. We have installed iron fences from 4 to 6 feet tall and can add decorative finials, scrolls and custom gates. Ameristar products come backed by a 20-year warranty.
Ornamental iron is a popular choice for front yards, pools and retaining walls. Tap Learn more to see recent projects.</t>
  </si>
  <si>
    <t xml:space="preserve">https://preferredfencesolutions.com/ornamental-iron-fence/</t>
  </si>
  <si>
    <t xml:space="preserve">Tag: Ornamental Iron
Headline: Security With Curb Appeal
Sub-line: Ameristar iron fences and custom gates
Button: See Recent Projects</t>
  </si>
  <si>
    <t xml:space="preserve">2026-11-10_gbp-post-07_1200x900.png</t>
  </si>
  <si>
    <t xml:space="preserve">https://preferredfencesolutions.com/wp-content/uploads/2022/05/Arched-ornamental-iron-double-gate-custom-Letter-2.jpg</t>
  </si>
  <si>
    <t xml:space="preserve">The Best Fence for Oklahoma Wind</t>
  </si>
  <si>
    <t xml:space="preserve">Oklahoma wind is hard on fences. Between spring storms, sudden gusts and shifting clay soil, the wrong fence or install method can lead to leaning posts and broken panels.
For homes in Oklahoma City, Edmond and Yukon, the biggest difference usually comes from how the fence is built: post type, post depth and concrete, plus a material that suits your yard.
We wrote a local guide on what actually holds up in OKC weather. Tap Learn more to read it.</t>
  </si>
  <si>
    <t xml:space="preserve">https://preferredfencesolutions.com/best-fence-oklahoma-wind-okc/</t>
  </si>
  <si>
    <t xml:space="preserve">Tag: Oklahoma Weather
Headline: Built for Oklahoma Wind
Sub-line: Post depth, concrete and the right material
Button: Read the Local Guide</t>
  </si>
  <si>
    <t xml:space="preserve">2026-11-11_gbp-post-08_1200x900.png</t>
  </si>
  <si>
    <t xml:space="preserve">https://preferredfencesolutions.com/wp-content/uploads/2021/12/IMG_8799-scaled.jpg</t>
  </si>
  <si>
    <t xml:space="preserve">FAQ: Why Do Fence Posts Lean in Oklahoma?</t>
  </si>
  <si>
    <t xml:space="preserve">FAQ: Why do fence posts lean in Oklahoma?
Oklahoma clay soil expands and contracts as it gets wet and dries out, which loosens post footings over time. Strong wind adds more load, so a small lean can turn into a failing section.
That is why we set heavy-duty steel posts in concrete 2 feet below grade on our wood fences. If your posts are already leaning, we can tell you whether they can be reset or need replacing. Tap Learn more to read the full article.</t>
  </si>
  <si>
    <t xml:space="preserve">https://preferredfencesolutions.com/why-fence-posts-fail-oklahoma-soil/</t>
  </si>
  <si>
    <t xml:space="preserve">Tag: Fence FAQ
Headline: Why Do Fence Posts Lean?
Sub-line: Clay soil swells and shrinks. We set steel posts in concrete 2 ft below grade.
Button: Read the Article</t>
  </si>
  <si>
    <t xml:space="preserve">2026-11-12_gbp-post-09_1200x900.png</t>
  </si>
  <si>
    <t xml:space="preserve">https://preferredfencesolutions.com/wp-content/uploads/2021/12/IMG_5922.jpg</t>
  </si>
  <si>
    <t xml:space="preserve">Sheet Metal Fence for Commercial Properties</t>
  </si>
  <si>
    <t xml:space="preserve">Need privacy and security for a storage yard, equipment area or commercial lot?
Preferred Fence Solutions installs sheet metal and ribbed panel metal fences for commercial properties across Oklahoma City. The panels do not rot, warp or absorb moisture, which makes them a practical, low-maintenance choice for storage facilities, industrial sites and utility screening.
Tap Learn more to request a free commercial fence estimate.</t>
  </si>
  <si>
    <t xml:space="preserve">https://preferredfencesolutions.com/sheet-metal-fence-oklahoma-city/</t>
  </si>
  <si>
    <t xml:space="preserve">Tag: Commercial Fencing
Headline: Privacy That Won't Rot
Sub-line: Sheet metal and ribbed panel fences for commercial sites
Button: Commercial Estimate</t>
  </si>
  <si>
    <t xml:space="preserve">2026-11-13_gbp-post-10_1200x900.png</t>
  </si>
  <si>
    <t xml:space="preserve">https://preferredfencesolutions.com/wp-content/uploads/2026/05/4800-S-Sunnylane-Rd_Completed-Pic-5-scaled.jpg</t>
  </si>
  <si>
    <t xml:space="preserve">Add a Custom Doggie Window to Your Fence</t>
  </si>
  <si>
    <t xml:space="preserve">Give your dog a view of the neighborhood. Ask about adding a custom doggie window to any stockade fence we build.
It is a small add-on that dogs love and owners enjoy, and it fits into the fence design so it looks finished, not added on later. We build every panel in our shop, so the window can be placed exactly where your dog likes to watch.
Tap Learn more to see doggie windows in our fence gallery.</t>
  </si>
  <si>
    <t xml:space="preserve">https://preferredfencesolutions.com/fence-gallery/</t>
  </si>
  <si>
    <t xml:space="preserve">Tag: Pet-Friendly Add-On
Headline: A Window for Your Best Friend
Sub-line: Custom doggie windows for any stockade fence
Button: See Doggie Windows</t>
  </si>
  <si>
    <t xml:space="preserve">2026-11-16_gbp-post-11_1200x900.png</t>
  </si>
  <si>
    <t xml:space="preserve">https://preferredfencesolutions.com/wp-content/uploads/2022/07/bassethound-doggie-window.jpeg</t>
  </si>
  <si>
    <t xml:space="preserve">Chain Link Fencing: Galvanized or Black Vinyl-Coated</t>
  </si>
  <si>
    <t xml:space="preserve">Chain link is one of the most affordable ways to secure a yard or a business.
Preferred Fence Solutions installs galvanized and black vinyl-coated chain link for homes and commercial properties across OKC and Edmond. We can add walk-through gates, double drive gates, cantilever gates, automatic gate operators and telephone entry systems.
We also repair existing chain link fences. Tap Learn more to get a free quote.</t>
  </si>
  <si>
    <t xml:space="preserve">https://preferredfencesolutions.com/chain-link-fence/</t>
  </si>
  <si>
    <t xml:space="preserve">Tag: Chain Link Fencing
Headline: Affordable, Secure, Built to Last
Sub-line: Galvanized or black vinyl-coated, with gates
Button: Get a Free Quote</t>
  </si>
  <si>
    <t xml:space="preserve">2026-11-17_gbp-post-12_1200x900.png</t>
  </si>
  <si>
    <t xml:space="preserve">https://preferredfencesolutions.com/wp-content/uploads/2022/01/4-black-chain-link.jpg</t>
  </si>
  <si>
    <t xml:space="preserve">FAQ: What Is the Most Affordable Fence in OKC?</t>
  </si>
  <si>
    <t xml:space="preserve">FAQ: What is the most affordable fence option in OKC?
Galvanized chain link is our most budget-friendly option for both homes and businesses. If you want wood, our most affordable choice is Western Red Cedar on metal posts. We do not install cheaper woods like white spruce because the quality is not there, and cedar is naturally pest resistant and lasts longer.
Tap Learn more to see more answers, or request a free estimate for your yard.</t>
  </si>
  <si>
    <t xml:space="preserve">Tag: Fence FAQ
Headline: What's the Most Affordable Fence?
Sub-line: Galvanized chain link. For wood, Western Red Cedar on metal posts.
Button: Get a Free Estimate</t>
  </si>
  <si>
    <t xml:space="preserve">2026-11-18_gbp-post-13_1200x900.png</t>
  </si>
  <si>
    <t xml:space="preserve">https://preferredfencesolutions.com/wp-content/uploads/2022/03/1x4x6-Western-Red-Cedar-with-Cap-and-Trim-scaled.jpg</t>
  </si>
  <si>
    <t xml:space="preserve">North OKC Fence Installation and Repair</t>
  </si>
  <si>
    <t xml:space="preserve">Preferred Fence Solutions is based just north of OKC, and North OKC homeowners are some of our longest-standing customers.
We custom make each fence panel in our shop, install stockade fences on heavy-duty metal posts, use 100% USA fence products and back every fence and gate with a 1-year warranty. We never turn away a job because of its size.
Tap Learn more to get a free estimate for your North OKC fence.</t>
  </si>
  <si>
    <t xml:space="preserve">https://preferredfencesolutions.com/fence-installation-repair-north-okc/</t>
  </si>
  <si>
    <t xml:space="preserve">Tag: North OKC
Headline: Hand-Built in Our North OKC Shop
Sub-line: 100% USA fence products. 1-year warranty.
Button: Free Estimate</t>
  </si>
  <si>
    <t xml:space="preserve">2026-11-19_gbp-post-14_1200x900.png</t>
  </si>
  <si>
    <t xml:space="preserve">https://preferredfencesolutions.com/wp-content/uploads/2021/12/IMG_5879.jpg</t>
  </si>
  <si>
    <t xml:space="preserve">Low-Maintenance Vinyl Fence Installation</t>
  </si>
  <si>
    <t xml:space="preserve">Want a fence you never have to stain or paint? Vinyl is a low-maintenance option that lasts for years.
Preferred Fence Solutions installs vinyl privacy fences, picket fences, ranch-style 3-rail fences and vinyl gates in OKC, Edmond, Piedmont, Nichols Hills and The Village. Tan and white are the most popular colors.
Many vinyl fences can be installed in a single day. Tap Learn more to see styles and get a free quote.</t>
  </si>
  <si>
    <t xml:space="preserve">https://preferredfencesolutions.com/vinyl-fence/</t>
  </si>
  <si>
    <t xml:space="preserve">Tag: Vinyl Fencing
Headline: No Staining. No Painting.
Sub-line: Vinyl privacy, picket and ranch-style fences
Button: See Vinyl Styles</t>
  </si>
  <si>
    <t xml:space="preserve">2026-11-20_gbp-post-15_1200x900.png</t>
  </si>
  <si>
    <t xml:space="preserve">https://preferredfencesolutions.com/wp-content/uploads/2022/05/6-tall-white-vinyl-privacy-fence-.jpg</t>
  </si>
  <si>
    <t xml:space="preserve">Fence Design Help With Every Free Estimate</t>
  </si>
  <si>
    <t xml:space="preserve">Thinking about a new fence for spring? Not sure which style, material or height is right for your property?
Preferred Fence Solutions offers free estimates on all fence and gate projects, and our team helps you plan the design. We will walk your yard, talk through privacy, pets, gates and budget, and recommend the best option for your home. Financing is available for larger projects, so ask about it during your estimate.
Tap View offer to book your free estimate.</t>
  </si>
  <si>
    <t xml:space="preserve">https://preferredfencesolutions.com/fence-design-planning/</t>
  </si>
  <si>
    <t xml:space="preserve">Tag: Free Estimate
Headline: Plan Your Spring Fence Now
Sub-line: Design help with every free estimate
Button: Book Your Free Estimate</t>
  </si>
  <si>
    <t xml:space="preserve">2026-11-23_gbp-post-16_1200x900.png</t>
  </si>
  <si>
    <t xml:space="preserve">https://preferredfencesolutions.com/wp-content/uploads/2021/12/desing-and-planning.jpg</t>
  </si>
  <si>
    <t xml:space="preserve">Offer dates: Nov 23 to Dec 31, 2026 (confirm). Terms: free estimate on all fence and gate projects (as stated on the website); no obligation. Financing available for larger projects.</t>
  </si>
  <si>
    <t xml:space="preserve">Residential Gates: Width and Placement</t>
  </si>
  <si>
    <t xml:space="preserve">Planning a gate? The right width and location make your yard easier to use every day.
A walk gate may be fine for people but too narrow for a mower, and a wide equipment gate may work better on a different side of the house. Preferred Fence Solutions builds custom wood and iron gates and helps you settle access before the posts go in.
Tap Learn more to read our gate planning guide for OKC homeowners.</t>
  </si>
  <si>
    <t xml:space="preserve">https://preferredfencesolutions.com/residential-fence-gate-width-placement-okc/</t>
  </si>
  <si>
    <t xml:space="preserve">Tag: Custom Gates
Headline: The Right Gate, in the Right Place
Sub-line: Plan access before the posts go in
Button: Read the Gate Guide</t>
  </si>
  <si>
    <t xml:space="preserve">2026-11-24_gbp-post-17_1200x900.png</t>
  </si>
  <si>
    <t xml:space="preserve">https://preferredfencesolutions.com/wp-content/uploads/2022/04/o-3.jpg</t>
  </si>
  <si>
    <t xml:space="preserve">FAQ: Will New Cedar Boards Match My Old Fence?</t>
  </si>
  <si>
    <t xml:space="preserve">FAQ: Will new cedar boards blend in with my older fence?
New cedar usually looks brighter or more reddish than boards that have weathered for years. A contractor can match the size, profile and spacing closely, but the exact color takes time to even out as the new wood weathers.
Replacing damaged boards still restores privacy and extends the life of a sound fence. Tap Learn more to read what to expect and your options.</t>
  </si>
  <si>
    <t xml:space="preserve">https://preferredfencesolutions.com/new-cedar-fence-boards-blend-old-fence/</t>
  </si>
  <si>
    <t xml:space="preserve">Tag: Fence FAQ
Headline: Will New Boards Match My Old Fence?
Sub-line: Size and style, yes. Color evens out as new cedar weathers.
Button: See What to Expect</t>
  </si>
  <si>
    <t xml:space="preserve">2026-11-25_gbp-post-18_1200x900.png</t>
  </si>
  <si>
    <t xml:space="preserve">Happy Thanksgiving from Preferred Fence Solutions</t>
  </si>
  <si>
    <t xml:space="preserve">Happy Thanksgiving from the Preferred Fence Solutions team.
Thank you to every homeowner and business in Oklahoma City, Edmond, Nichols Hills, Yukon and Mustang who trusted our crew with their fence this year. Our promise is to exceed your expectations with fences that are installed with precision, care and good attitudes, and your kind words keep us going.
Enjoy the holiday with your family. Tap Learn more to read what our customers say.</t>
  </si>
  <si>
    <t xml:space="preserve">https://preferredfencesolutions.com/testimonials/</t>
  </si>
  <si>
    <t xml:space="preserve">Tag: Happy Thanksgiving
Headline: Thankful for Our Neighbors
Sub-line: From our crew to your family
Button: </t>
  </si>
  <si>
    <t xml:space="preserve">2026-11-26_gbp-post-19_1200x900.png</t>
  </si>
  <si>
    <t xml:space="preserve">https://preferredfencesolutions.com/wp-content/uploads/2022/01/o-8.jpg</t>
  </si>
  <si>
    <t xml:space="preserve">Free Fence Repair Estimate</t>
  </si>
  <si>
    <t xml:space="preserve">Did fall storms or strong wind leave your fence leaning or damaged?
Book a free fence repair estimate with Preferred Fence Solutions. We will check posts, panels and gates, tell you honestly whether repair or replacement makes more sense, and give you a clear quote. No job is too small.
Tap View offer to schedule your free repair estimate.</t>
  </si>
  <si>
    <t xml:space="preserve">Tag: Free Repair Estimate
Headline: Leaning or Damaged Fence?
Sub-line: Honest repair-or-replace advice
Button: Book a Free Estimate</t>
  </si>
  <si>
    <t xml:space="preserve">2026-11-27_gbp-post-20_1200x900.png</t>
  </si>
  <si>
    <t xml:space="preserve">https://unsplash.com/photos/LbkIbkMPKjg (Unsplash licence)</t>
  </si>
  <si>
    <t xml:space="preserve">Offer dates: Nov 27 to Dec 31, 2026. Terms: free estimate within the service area; no obligation.</t>
  </si>
  <si>
    <t xml:space="preserve">SimTek Fences: The Look of Stone</t>
  </si>
  <si>
    <t xml:space="preserve">Want the look of stone with the privacy of a solid fence? Consider a SimTek EcoStone fence.
SimTek fences can be customized to your style and budget, offer high levels of security, need minimal maintenance and come with SimTek's warranty. Preferred Fence Solutions installs SimTek fences for homes in Edmond, OKC, Mustang and Yukon.
Tap Learn more to see if SimTek is right for your yard.</t>
  </si>
  <si>
    <t xml:space="preserve">https://preferredfencesolutions.com/simtek-fence/</t>
  </si>
  <si>
    <t xml:space="preserve">Tag: SimTek Fencing
Headline: The Look of Stone, Without the Upkeep
Sub-line: SimTek fences for Edmond, OKC, Mustang and Yukon
Button: Is SimTek Right for You?</t>
  </si>
  <si>
    <t xml:space="preserve">2026-11-30_gbp-post-21_1200x900.png</t>
  </si>
  <si>
    <t xml:space="preserve">https://unsplash.com/photos/0WxjDT_3Tsw (Unsplash licence)</t>
  </si>
  <si>
    <t xml:space="preserve">Thank You, Oklahoma City</t>
  </si>
  <si>
    <t xml:space="preserve">Thank you, Oklahoma City, for another great year.
We are honored to have won local awards for our fencing work, and we stand behind every fence and gate we install with a 1-year warranty. More than any award, we are grateful for customers who welcome our crew into their yards and recommend us to their neighbors.
If we built or repaired your fence this year, we would love to hear how it is holding up. Tap Learn more to see our awards.</t>
  </si>
  <si>
    <t xml:space="preserve">https://preferredfencesolutions.com/pfs-awards/</t>
  </si>
  <si>
    <t xml:space="preserve">Tag: Thank You, OKC
Headline: Award-Winning Fence Crew
Sub-line: Every fence and gate backed by a 1-year warranty
Button: See Our Awards</t>
  </si>
  <si>
    <t xml:space="preserve">2026-12-01_gbp-post-22_1200x900.png</t>
  </si>
  <si>
    <t xml:space="preserve">https://preferredfencesolutions.com/wp-content/uploads/2021/12/IMG_5887.jpg
https://preferredfencesolutions.com/wp-content/uploads/2022/04/IMG_5911.jpg
https://preferredfencesolutions.com/wp-content/uploads/2022/07/o-2.jpg</t>
  </si>
  <si>
    <t xml:space="preserve">Tracking settings</t>
  </si>
  <si>
    <t xml:space="preserve">Edit values in column C. Every Tracked CTA URL on the calendar tab updates automatically.</t>
  </si>
  <si>
    <t xml:space="preserve">Setting</t>
  </si>
  <si>
    <t xml:space="preserve">Value</t>
  </si>
  <si>
    <t xml:space="preserve">Note</t>
  </si>
  <si>
    <t xml:space="preserve">UTM source</t>
  </si>
  <si>
    <t xml:space="preserve">google</t>
  </si>
  <si>
    <t xml:space="preserve">Keep as google</t>
  </si>
  <si>
    <t xml:space="preserve">UTM medium</t>
  </si>
  <si>
    <t xml:space="preserve">organic</t>
  </si>
  <si>
    <t xml:space="preserve">Keep as organic</t>
  </si>
  <si>
    <t xml:space="preserve">UTM campaign</t>
  </si>
  <si>
    <t xml:space="preserve">gbp-posts-nov-2026</t>
  </si>
  <si>
    <t xml:space="preserve">One campaign for this month</t>
  </si>
  <si>
    <t xml:space="preserve">Website domain</t>
  </si>
  <si>
    <t xml:space="preserve">preferredfencesolutions.com</t>
  </si>
  <si>
    <t xml:space="preserve">QA checks every landing page stays on this domain</t>
  </si>
  <si>
    <t xml:space="preserve">UTM content per post (unique, so each post is tracked separately in Google Analytics)</t>
  </si>
  <si>
    <t xml:space="preserve">Post #</t>
  </si>
  <si>
    <t xml:space="preserve">utm_content</t>
  </si>
  <si>
    <t xml:space="preserve">nov26-01-fence-repair</t>
  </si>
  <si>
    <t xml:space="preserve">nov26-02-free-estimate</t>
  </si>
  <si>
    <t xml:space="preserve">nov26-03-faq-fence-height</t>
  </si>
  <si>
    <t xml:space="preserve">nov26-04-edmond-installation</t>
  </si>
  <si>
    <t xml:space="preserve">nov26-05-cedar-stockade</t>
  </si>
  <si>
    <t xml:space="preserve">nov26-06-faq-repair-vs-replace</t>
  </si>
  <si>
    <t xml:space="preserve">nov26-07-ornamental-iron</t>
  </si>
  <si>
    <t xml:space="preserve">nov26-08-oklahoma-wind</t>
  </si>
  <si>
    <t xml:space="preserve">nov26-09-faq-post-failure</t>
  </si>
  <si>
    <t xml:space="preserve">nov26-10-sheet-metal-commercial</t>
  </si>
  <si>
    <t xml:space="preserve">nov26-11-doggie-window</t>
  </si>
  <si>
    <t xml:space="preserve">nov26-12-chain-link</t>
  </si>
  <si>
    <t xml:space="preserve">nov26-13-faq-affordable-fence</t>
  </si>
  <si>
    <t xml:space="preserve">nov26-14-north-okc</t>
  </si>
  <si>
    <t xml:space="preserve">nov26-15-vinyl-fence</t>
  </si>
  <si>
    <t xml:space="preserve">nov26-16-free-design-consult</t>
  </si>
  <si>
    <t xml:space="preserve">nov26-17-gate-planning</t>
  </si>
  <si>
    <t xml:space="preserve">nov26-18-faq-cedar-match</t>
  </si>
  <si>
    <t xml:space="preserve">nov26-19-thanksgiving</t>
  </si>
  <si>
    <t xml:space="preserve">nov26-20-free-repair-estimate</t>
  </si>
  <si>
    <t xml:space="preserve">nov26-21-simtek</t>
  </si>
  <si>
    <t xml:space="preserve">nov26-22-year-end-awards</t>
  </si>
  <si>
    <t xml:space="preserve">Banner and brand kit</t>
  </si>
  <si>
    <t xml:space="preserve">Every banner uses the website's own logo, colours and fonts. Size 1200 x 900 px (4:3), the ratio GBP displays best.</t>
  </si>
  <si>
    <t xml:space="preserve">Item</t>
  </si>
  <si>
    <t xml:space="preserve">Logo source (website)</t>
  </si>
  <si>
    <t xml:space="preserve">https://preferredfencesolutions.com/wp-content/uploads/2021/03/PFS-Logo-1.png</t>
  </si>
  <si>
    <t xml:space="preserve">Logo name and tagline on a white rounded chip. The phone number line in the original logo is cropped out to follow GBP rules.</t>
  </si>
  <si>
    <t xml:space="preserve">Banner size</t>
  </si>
  <si>
    <t xml:space="preserve">1200 x 900 px PNG</t>
  </si>
  <si>
    <t xml:space="preserve">4:3 ratio. Files are in deliverables/gbp-calendars/banners/preferred-fence/</t>
  </si>
  <si>
    <t xml:space="preserve">Brand motif</t>
  </si>
  <si>
    <t xml:space="preserve">Yellow picket fence line along the bottom edge.</t>
  </si>
  <si>
    <t xml:space="preserve">Gives the series a consistent, premium look</t>
  </si>
  <si>
    <t xml:space="preserve">Photos</t>
  </si>
  <si>
    <t xml:space="preserve">Real project photos from preferredfencesolutions.com</t>
  </si>
  <si>
    <t xml:space="preserve">Source URL for every banner is on the calendar tab</t>
  </si>
  <si>
    <t xml:space="preserve">Font: Headings</t>
  </si>
  <si>
    <t xml:space="preserve">Rubik</t>
  </si>
  <si>
    <t xml:space="preserve">Same as website headings</t>
  </si>
  <si>
    <t xml:space="preserve">Font: Body / labels</t>
  </si>
  <si>
    <t xml:space="preserve">Roboto</t>
  </si>
  <si>
    <t xml:space="preserve">Same as website body text</t>
  </si>
  <si>
    <t xml:space="preserve">Colour palette (matched to the website)</t>
  </si>
  <si>
    <t xml:space="preserve">Colour</t>
  </si>
  <si>
    <t xml:space="preserve">Hex</t>
  </si>
  <si>
    <t xml:space="preserve">Where it comes from</t>
  </si>
  <si>
    <t xml:space="preserve">Used on banners for</t>
  </si>
  <si>
    <t xml:space="preserve">Swatch</t>
  </si>
  <si>
    <t xml:space="preserve">Black</t>
  </si>
  <si>
    <t xml:space="preserve">#000000</t>
  </si>
  <si>
    <t xml:space="preserve">Website header, footer and text (Elementor global)</t>
  </si>
  <si>
    <t xml:space="preserve">Background panels</t>
  </si>
  <si>
    <t xml:space="preserve">Accent yellow</t>
  </si>
  <si>
    <t xml:space="preserve">#DEE101</t>
  </si>
  <si>
    <t xml:space="preserve">Website buttons and highlights (Elementor global)</t>
  </si>
  <si>
    <t xml:space="preserve">Headline accent word, button chips, picket motif</t>
  </si>
  <si>
    <t xml:space="preserve">Off-white</t>
  </si>
  <si>
    <t xml:space="preserve">#F4F4F4</t>
  </si>
  <si>
    <t xml:space="preserve">Website section backgrounds</t>
  </si>
  <si>
    <t xml:space="preserve">Light panels</t>
  </si>
  <si>
    <t xml:space="preserve">White</t>
  </si>
  <si>
    <t xml:space="preserve">#FFFFFF</t>
  </si>
  <si>
    <t xml:space="preserve">Website background</t>
  </si>
  <si>
    <t xml:space="preserve">Text on dark, logo chip</t>
  </si>
  <si>
    <t xml:space="preserve">Overlay text rules (GBP safe)</t>
  </si>
  <si>
    <t xml:space="preserve">Rule</t>
  </si>
  <si>
    <t xml:space="preserve">Detail</t>
  </si>
  <si>
    <t xml:space="preserve">Length</t>
  </si>
  <si>
    <t xml:space="preserve">Tag 2 to 4 words, headline 3 to 7 words, one sub-line, one button label.</t>
  </si>
  <si>
    <t xml:space="preserve">Contact details</t>
  </si>
  <si>
    <t xml:space="preserve">No phone numbers, emails, web addresses or social handles on any banner.</t>
  </si>
  <si>
    <t xml:space="preserve">Claims</t>
  </si>
  <si>
    <t xml:space="preserve">Only facts stated on the website (years in business, warranties, services, offers).</t>
  </si>
  <si>
    <t xml:space="preserve">Offers</t>
  </si>
  <si>
    <t xml:space="preserve">Offer banners match the GBP Offer title. Dates and terms live in the post, not on the image.</t>
  </si>
  <si>
    <t xml:space="preserve">Safe area</t>
  </si>
  <si>
    <t xml:space="preserve">Text and logo stay inside the centre 1000 x 750 px so the GBP thumbnail crop never cuts them.</t>
  </si>
  <si>
    <t xml:space="preserve">Templates used</t>
  </si>
  <si>
    <t xml:space="preserve">Split photo, offer card, FAQ question, local spotlight, glass panel, 3-up compare, diagonal, frame, before/after, project spotlight, seasonal thank-you.</t>
  </si>
  <si>
    <t xml:space="preserve">Image rights cross-check</t>
  </si>
  <si>
    <t xml:space="preserve">Every banner photo is either the business's own photo from its website or a free Unsplash photo. Checked Oct 26, 2026.</t>
  </si>
  <si>
    <t xml:space="preserve">Date</t>
  </si>
  <si>
    <t xml:space="preserve">Photo</t>
  </si>
  <si>
    <t xml:space="preserve">Source URL</t>
  </si>
  <si>
    <t xml:space="preserve">Origin</t>
  </si>
  <si>
    <t xml:space="preserve">Evidence checked</t>
  </si>
  <si>
    <t xml:space="preserve">Verdict</t>
  </si>
  <si>
    <t xml:space="preserve">unsplash_km_VQEFOV20.jpg</t>
  </si>
  <si>
    <t xml:space="preserve">Unsplash</t>
  </si>
  <si>
    <t xml:space="preserve">Downloaded through the official Unsplash API; free photo, not Unsplash+; No photographer credit, stock agency tag or watermark</t>
  </si>
  <si>
    <t xml:space="preserve">OK: royalty-free (Unsplash License)</t>
  </si>
  <si>
    <t xml:space="preserve">IMG_5913.jpg</t>
  </si>
  <si>
    <t xml:space="preserve">Business website</t>
  </si>
  <si>
    <t xml:space="preserve">In the preferredfencesolutions.com media library (wp-content/uploads); No photographer credit, stock agency tag or watermark</t>
  </si>
  <si>
    <t xml:space="preserve">OK: business's own photo</t>
  </si>
  <si>
    <t xml:space="preserve">Stained-Western-Red-Cedar-with-Cap-and-Trim-with-a-1x6-Kickboard.jpg</t>
  </si>
  <si>
    <t xml:space="preserve">IMG_01991-2.jpg</t>
  </si>
  <si>
    <t xml:space="preserve">6-tall-Cap-and-Trim-Total-Privacy-Board-on-Board.-.jpeg</t>
  </si>
  <si>
    <t xml:space="preserve">new-vs-old.jpeg</t>
  </si>
  <si>
    <t xml:space="preserve">Arched-ornamental-iron-double-gate-custom-Letter-2.jpg</t>
  </si>
  <si>
    <t xml:space="preserve">IMG_8799-scaled.jpg</t>
  </si>
  <si>
    <t xml:space="preserve">IMG_5922.jpg</t>
  </si>
  <si>
    <t xml:space="preserve">4800-S-Sunnylane-Rd_Completed-Pic-5-scaled.jpg</t>
  </si>
  <si>
    <t xml:space="preserve">bassethound-doggie-window.jpeg</t>
  </si>
  <si>
    <t xml:space="preserve">4-black-chain-link.jpg</t>
  </si>
  <si>
    <t xml:space="preserve">1x4x6-Western-Red-Cedar-with-Cap-and-Trim-scaled.jpg</t>
  </si>
  <si>
    <t xml:space="preserve">IMG_5879.jpg</t>
  </si>
  <si>
    <t xml:space="preserve">6-tall-white-vinyl-privacy-fence-.jpg</t>
  </si>
  <si>
    <t xml:space="preserve">desing-and-planning.jpg</t>
  </si>
  <si>
    <t xml:space="preserve">o-3.jpg</t>
  </si>
  <si>
    <t xml:space="preserve">o-8.jpg</t>
  </si>
  <si>
    <t xml:space="preserve">unsplash_LbkIbkMPKjg.jpg</t>
  </si>
  <si>
    <t xml:space="preserve">unsplash_0WxjDT_3Tsw.jpg</t>
  </si>
  <si>
    <t xml:space="preserve">IMG_5887.jpg</t>
  </si>
  <si>
    <t xml:space="preserve">https://preferredfencesolutions.com/wp-content/uploads/2021/12/IMG_5887.jpg</t>
  </si>
  <si>
    <t xml:space="preserve">IMG_5911.jpg</t>
  </si>
  <si>
    <t xml:space="preserve">https://preferredfencesolutions.com/wp-content/uploads/2022/04/IMG_5911.jpg</t>
  </si>
  <si>
    <t xml:space="preserve">o-2.jpg</t>
  </si>
  <si>
    <t xml:space="preserve">https://preferredfencesolutions.com/wp-content/uploads/2022/07/o-2.jpg</t>
  </si>
  <si>
    <t xml:space="preserve">Photos OK</t>
  </si>
  <si>
    <t xml:space="preserve">Photos removed during the check</t>
  </si>
  <si>
    <t xml:space="preserve">#</t>
  </si>
  <si>
    <t xml:space="preserve">Photo removed</t>
  </si>
  <si>
    <t xml:space="preserve">Reason</t>
  </si>
  <si>
    <t xml:space="preserve">Replaced with</t>
  </si>
  <si>
    <t xml:space="preserve">fence-damage.jpg (2 banners)</t>
  </si>
  <si>
    <t xml:space="preserve">No camera data, uploaded in 2026 and sized 1376 x 768, which matches AI-generated images; origin cannot be confirmed</t>
  </si>
  <si>
    <t xml:space="preserve">IMG_5914.jpg and IMG_0730001.jpg (own project photos)</t>
  </si>
  <si>
    <t xml:space="preserve">Note: photos on the business's own website are treated as owned by the business. Ask the client to confirm they took these photos or hold the rights. Unsplash photos can be used commercially without credit, but do not show people or brands in a way that suggests endorsement.</t>
  </si>
  <si>
    <t xml:space="preserve">Offers on the website vs. this calendar</t>
  </si>
  <si>
    <t xml:space="preserve">Every page of preferredfencesolutions.com was checked on Oct 26, 2026. Posts only promote offers the website states.</t>
  </si>
  <si>
    <t xml:space="preserve">Offer</t>
  </si>
  <si>
    <t xml:space="preserve">Exact wording on the website</t>
  </si>
  <si>
    <t xml:space="preserve">Page</t>
  </si>
  <si>
    <t xml:space="preserve">Used in post #</t>
  </si>
  <si>
    <t xml:space="preserve">Free estimate on all projects</t>
  </si>
  <si>
    <t xml:space="preserve">We offer free estimates on all fence &amp; gate requests.</t>
  </si>
  <si>
    <t xml:space="preserve">1, 2 (Offer post), 4, 12, 13, 14, 15, 16 (Offer post), 20 (Offer post)</t>
  </si>
  <si>
    <t xml:space="preserve">Live on many pages. This is the main offer for this business.</t>
  </si>
  <si>
    <t xml:space="preserve">Financing for larger projects</t>
  </si>
  <si>
    <t xml:space="preserve">Financing options are available for larger projects; ask us during your free estimate.</t>
  </si>
  <si>
    <t xml:space="preserve">https://preferredfencesolutions.com/why-preferred-fence-solutions-is-oklahoma-citys-trusted-fence-contractor/</t>
  </si>
  <si>
    <t xml:space="preserve">2, 16</t>
  </si>
  <si>
    <t xml:space="preserve">Added after this check. Rates and terms are not on the website, so posts do not quote any.</t>
  </si>
  <si>
    <t xml:space="preserve">1-year warranty on fences and gates</t>
  </si>
  <si>
    <t xml:space="preserve">We warranty all of our fences, including gates, for an entire year.</t>
  </si>
  <si>
    <t xml:space="preserve">14, 22</t>
  </si>
  <si>
    <t xml:space="preserve">Used as stated.</t>
  </si>
  <si>
    <t xml:space="preserve">20-year warranty on Ameristar iron</t>
  </si>
  <si>
    <t xml:space="preserve">They also come backed by a 20-year warranty</t>
  </si>
  <si>
    <t xml:space="preserve">7</t>
  </si>
  <si>
    <t xml:space="preserve">Added to the Ameristar post after this check.</t>
  </si>
  <si>
    <t xml:space="preserve">Design and planning help</t>
  </si>
  <si>
    <t xml:space="preserve">If you know you are in need of a fence ... but you're unsure of what style, design, or material to use, we can help!</t>
  </si>
  <si>
    <t xml:space="preserve">16</t>
  </si>
  <si>
    <t xml:space="preserve">The website does not call this a free consultation. Post 16 was changed from 'Free Design Consultation' to 'Design Help With Every Free Estimate'.</t>
  </si>
  <si>
    <t xml:space="preserve">Discounts / coupons / % off</t>
  </si>
  <si>
    <t xml:space="preserve">None found</t>
  </si>
  <si>
    <t xml:space="preserve">All 141 pages checked</t>
  </si>
  <si>
    <t xml:space="preserve">Not used</t>
  </si>
  <si>
    <t xml:space="preserve">No price discount, coupon, seasonal sale or military/senior discount is on the website.</t>
  </si>
  <si>
    <t xml:space="preserve">Google Business Profile post rules applied to this calendar</t>
  </si>
  <si>
    <t xml:space="preserve">Every post and banner was written and checked against these rules.</t>
  </si>
  <si>
    <t xml:space="preserve">How this calendar follows it</t>
  </si>
  <si>
    <t xml:space="preserve">Source</t>
  </si>
  <si>
    <t xml:space="preserve">No phone numbers in post text.</t>
  </si>
  <si>
    <t xml:space="preserve">No post contains a phone number. Calls are tracked through the GBP Call button and Performance report instead.</t>
  </si>
  <si>
    <t xml:space="preserve">https://support.google.com/business/answer/7213077</t>
  </si>
  <si>
    <t xml:space="preserve">Google may remove posts that contain unverified contact info such as email addresses or social media handles.</t>
  </si>
  <si>
    <t xml:space="preserve">No emails or social handles are written in any post.</t>
  </si>
  <si>
    <t xml:space="preserve">Posts may not include links to websites not related to the business (Oct 2026 policy update).</t>
  </si>
  <si>
    <t xml:space="preserve">Every CTA links to a page on the business's own website. No links are written in the post text.</t>
  </si>
  <si>
    <t xml:space="preserve">https://www.relevantaudience.com/seo/google-business-profile-policy-bans-promotions-in-listings/ (reporting Google's Oct 6, 2026 update)</t>
  </si>
  <si>
    <t xml:space="preserve">Offer posts need a title and start and end dates; coupon code, link and terms are optional. Offers get an automatic View offer button.</t>
  </si>
  <si>
    <t xml:space="preserve">All Offer posts have a title of 58 characters or fewer, dates and terms in the Offer Dates / Terms column.</t>
  </si>
  <si>
    <t xml:space="preserve">https://support.google.com/business/answer/7342169</t>
  </si>
  <si>
    <t xml:space="preserve">Update posts can carry one action button with a link (book, order online, learn more and similar).</t>
  </si>
  <si>
    <t xml:space="preserve">Every Update post has one CTA button with a tracked link.</t>
  </si>
  <si>
    <t xml:space="preserve">Post descriptions are limited to 1,500 characters.</t>
  </si>
  <si>
    <t xml:space="preserve">All posts are well under the limit; the QA tab checks this automatically.</t>
  </si>
  <si>
    <t xml:space="preserve">GBP post editor limit (Google Business Profile Manager)</t>
  </si>
  <si>
    <t xml:space="preserve">Posts older than 6 months are archived unless a date range is set.</t>
  </si>
  <si>
    <t xml:space="preserve">Fresh posts go out twice a week so the profile always shows recent content.</t>
  </si>
  <si>
    <t xml:space="preserve">Content must be relevant to the business and not low quality (no gibberish, misspellings or irrelevant content).</t>
  </si>
  <si>
    <t xml:space="preserve">Every post is about a real service, FAQ, local topic or offer taken from the website.</t>
  </si>
  <si>
    <t xml:space="preserve">https://support.google.com/business/answer/3038177</t>
  </si>
  <si>
    <t xml:space="preserve">Promotions must clearly state their terms.</t>
  </si>
  <si>
    <t xml:space="preserve">Each offer lists dates and terms to confirm with the client before publishing.</t>
  </si>
  <si>
    <t xml:space="preserve">Do not ask for personal or confidential information.</t>
  </si>
  <si>
    <t xml:space="preserve">CTAs send users to the website contact or booking pages; posts never ask for personal data.</t>
  </si>
  <si>
    <t xml:space="preserve">You are responsible for making sure post content complies with applicable laws.</t>
  </si>
  <si>
    <t xml:space="preserve">Claims are limited to facts stated on the website. Items needing client confirmation are flagged in Notes.</t>
  </si>
  <si>
    <t xml:space="preserve">Photos must follow the photo policy: real, relevant to the business, not misleading.</t>
  </si>
  <si>
    <t xml:space="preserve">Every banner uses a real photo from the business's own website (one HG post uses a licensed Unsplash photo). Overlay text is short (headline plus one line), with no phone numbers, emails, prices or claims that are not on the website.</t>
  </si>
  <si>
    <t xml:space="preserve">Recommended post image: JPG or PNG, 10 KB to 5 MB, at least 400 x 300 px, 4:3 ratio displays best.</t>
  </si>
  <si>
    <t xml:space="preserve">Banners are 1200 x 900 px PNG (4:3). Key text sits inside the centre safe area so the GBP crop does not cut it.</t>
  </si>
  <si>
    <t xml:space="preserve">QA cross-check (automatic)</t>
  </si>
  <si>
    <t xml:space="preserve">Formulas re-check every post when copy or links change. Every row should read Pass before scheduling.</t>
  </si>
  <si>
    <t xml:space="preserve">Characters</t>
  </si>
  <si>
    <t xml:space="preserve">Max 1,500 chars</t>
  </si>
  <si>
    <t xml:space="preserve">No phone in text</t>
  </si>
  <si>
    <t xml:space="preserve">No email in text</t>
  </si>
  <si>
    <t xml:space="preserve">No link in text</t>
  </si>
  <si>
    <t xml:space="preserve">CTA set</t>
  </si>
  <si>
    <t xml:space="preserve">UTM on CTA link</t>
  </si>
  <si>
    <t xml:space="preserve">Link on business website</t>
  </si>
  <si>
    <t xml:space="preserve">Weekday (Mon to Fri)</t>
  </si>
  <si>
    <t xml:space="preserve">Banner file set</t>
  </si>
  <si>
    <t xml:space="preserve">Overall</t>
  </si>
  <si>
    <t xml:space="preserve">Posts passing</t>
  </si>
  <si>
    <t xml:space="preserve">Post mix</t>
  </si>
  <si>
    <t xml:space="preserve">Posts</t>
  </si>
  <si>
    <t xml:space="preserve">Total</t>
  </si>
</sst>
</file>

<file path=xl/styles.xml><?xml version="1.0" encoding="utf-8"?>
<styleSheet xmlns="http://schemas.openxmlformats.org/spreadsheetml/2006/main">
  <numFmts count="2">
    <numFmt numFmtId="164" formatCode="General"/>
    <numFmt numFmtId="165" formatCode="mmm\ d&quot;, &quot;yyyy"/>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color rgb="FF0000FF"/>
      <name val="Arial"/>
      <family val="0"/>
      <charset val="1"/>
    </font>
    <font>
      <b val="true"/>
      <sz val="14"/>
      <name val="Arial"/>
      <family val="0"/>
      <charset val="1"/>
    </font>
    <font>
      <i val="true"/>
      <sz val="10"/>
      <color rgb="FF595959"/>
      <name val="Arial"/>
      <family val="0"/>
      <charset val="1"/>
    </font>
    <font>
      <b val="true"/>
      <sz val="10"/>
      <name val="Arial"/>
      <family val="0"/>
      <charset val="1"/>
    </font>
  </fonts>
  <fills count="8">
    <fill>
      <patternFill patternType="none"/>
    </fill>
    <fill>
      <patternFill patternType="gray125"/>
    </fill>
    <fill>
      <patternFill patternType="solid">
        <fgColor rgb="FF1F4E78"/>
        <bgColor rgb="FF003366"/>
      </patternFill>
    </fill>
    <fill>
      <patternFill patternType="solid">
        <fgColor rgb="FFF2F2F2"/>
        <bgColor rgb="FFF4F4F4"/>
      </patternFill>
    </fill>
    <fill>
      <patternFill patternType="solid">
        <fgColor rgb="FF000000"/>
        <bgColor rgb="FF003300"/>
      </patternFill>
    </fill>
    <fill>
      <patternFill patternType="solid">
        <fgColor rgb="FFDEE101"/>
        <bgColor rgb="FFFFFF00"/>
      </patternFill>
    </fill>
    <fill>
      <patternFill patternType="solid">
        <fgColor rgb="FFF4F4F4"/>
        <bgColor rgb="FFF2F2F2"/>
      </patternFill>
    </fill>
    <fill>
      <patternFill patternType="solid">
        <fgColor rgb="FFFFFFFF"/>
        <bgColor rgb="FFF4F4F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4F4"/>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DEE101"/>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1</xdr:row>
      <xdr:rowOff>0</xdr:rowOff>
    </xdr:from>
    <xdr:to>
      <xdr:col>10</xdr:col>
      <xdr:colOff>2171520</xdr:colOff>
      <xdr:row>1</xdr:row>
      <xdr:rowOff>1628280</xdr:rowOff>
    </xdr:to>
    <xdr:pic>
      <xdr:nvPicPr>
        <xdr:cNvPr id="0" name="Image 1" descr="Picture"/>
        <xdr:cNvPicPr/>
      </xdr:nvPicPr>
      <xdr:blipFill>
        <a:blip r:embed="rId1"/>
        <a:stretch/>
      </xdr:blipFill>
      <xdr:spPr>
        <a:xfrm>
          <a:off x="16352640" y="380880"/>
          <a:ext cx="2171520" cy="1628280"/>
        </a:xfrm>
        <a:prstGeom prst="rect">
          <a:avLst/>
        </a:prstGeom>
        <a:ln w="0">
          <a:noFill/>
        </a:ln>
      </xdr:spPr>
    </xdr:pic>
    <xdr:clientData/>
  </xdr:twoCellAnchor>
  <xdr:twoCellAnchor editAs="oneCell">
    <xdr:from>
      <xdr:col>10</xdr:col>
      <xdr:colOff>0</xdr:colOff>
      <xdr:row>2</xdr:row>
      <xdr:rowOff>0</xdr:rowOff>
    </xdr:from>
    <xdr:to>
      <xdr:col>10</xdr:col>
      <xdr:colOff>2171520</xdr:colOff>
      <xdr:row>2</xdr:row>
      <xdr:rowOff>1628280</xdr:rowOff>
    </xdr:to>
    <xdr:pic>
      <xdr:nvPicPr>
        <xdr:cNvPr id="1" name="Image 2" descr="Picture"/>
        <xdr:cNvPicPr/>
      </xdr:nvPicPr>
      <xdr:blipFill>
        <a:blip r:embed="rId2"/>
        <a:stretch/>
      </xdr:blipFill>
      <xdr:spPr>
        <a:xfrm>
          <a:off x="16352640" y="2914560"/>
          <a:ext cx="2171520" cy="1628280"/>
        </a:xfrm>
        <a:prstGeom prst="rect">
          <a:avLst/>
        </a:prstGeom>
        <a:ln w="0">
          <a:noFill/>
        </a:ln>
      </xdr:spPr>
    </xdr:pic>
    <xdr:clientData/>
  </xdr:twoCellAnchor>
  <xdr:twoCellAnchor editAs="oneCell">
    <xdr:from>
      <xdr:col>10</xdr:col>
      <xdr:colOff>0</xdr:colOff>
      <xdr:row>3</xdr:row>
      <xdr:rowOff>0</xdr:rowOff>
    </xdr:from>
    <xdr:to>
      <xdr:col>10</xdr:col>
      <xdr:colOff>2171520</xdr:colOff>
      <xdr:row>3</xdr:row>
      <xdr:rowOff>1628280</xdr:rowOff>
    </xdr:to>
    <xdr:pic>
      <xdr:nvPicPr>
        <xdr:cNvPr id="2" name="Image 3" descr="Picture"/>
        <xdr:cNvPicPr/>
      </xdr:nvPicPr>
      <xdr:blipFill>
        <a:blip r:embed="rId3"/>
        <a:stretch/>
      </xdr:blipFill>
      <xdr:spPr>
        <a:xfrm>
          <a:off x="16352640" y="5448240"/>
          <a:ext cx="2171520" cy="1628280"/>
        </a:xfrm>
        <a:prstGeom prst="rect">
          <a:avLst/>
        </a:prstGeom>
        <a:ln w="0">
          <a:noFill/>
        </a:ln>
      </xdr:spPr>
    </xdr:pic>
    <xdr:clientData/>
  </xdr:twoCellAnchor>
  <xdr:twoCellAnchor editAs="oneCell">
    <xdr:from>
      <xdr:col>10</xdr:col>
      <xdr:colOff>0</xdr:colOff>
      <xdr:row>4</xdr:row>
      <xdr:rowOff>0</xdr:rowOff>
    </xdr:from>
    <xdr:to>
      <xdr:col>10</xdr:col>
      <xdr:colOff>2171520</xdr:colOff>
      <xdr:row>4</xdr:row>
      <xdr:rowOff>1628280</xdr:rowOff>
    </xdr:to>
    <xdr:pic>
      <xdr:nvPicPr>
        <xdr:cNvPr id="3" name="Image 4" descr="Picture"/>
        <xdr:cNvPicPr/>
      </xdr:nvPicPr>
      <xdr:blipFill>
        <a:blip r:embed="rId4"/>
        <a:stretch/>
      </xdr:blipFill>
      <xdr:spPr>
        <a:xfrm>
          <a:off x="16352640" y="7981920"/>
          <a:ext cx="2171520" cy="1628280"/>
        </a:xfrm>
        <a:prstGeom prst="rect">
          <a:avLst/>
        </a:prstGeom>
        <a:ln w="0">
          <a:noFill/>
        </a:ln>
      </xdr:spPr>
    </xdr:pic>
    <xdr:clientData/>
  </xdr:twoCellAnchor>
  <xdr:twoCellAnchor editAs="oneCell">
    <xdr:from>
      <xdr:col>10</xdr:col>
      <xdr:colOff>0</xdr:colOff>
      <xdr:row>5</xdr:row>
      <xdr:rowOff>0</xdr:rowOff>
    </xdr:from>
    <xdr:to>
      <xdr:col>10</xdr:col>
      <xdr:colOff>2171520</xdr:colOff>
      <xdr:row>5</xdr:row>
      <xdr:rowOff>1628280</xdr:rowOff>
    </xdr:to>
    <xdr:pic>
      <xdr:nvPicPr>
        <xdr:cNvPr id="4" name="Image 5" descr="Picture"/>
        <xdr:cNvPicPr/>
      </xdr:nvPicPr>
      <xdr:blipFill>
        <a:blip r:embed="rId5"/>
        <a:stretch/>
      </xdr:blipFill>
      <xdr:spPr>
        <a:xfrm>
          <a:off x="16352640" y="10515600"/>
          <a:ext cx="2171520" cy="1628280"/>
        </a:xfrm>
        <a:prstGeom prst="rect">
          <a:avLst/>
        </a:prstGeom>
        <a:ln w="0">
          <a:noFill/>
        </a:ln>
      </xdr:spPr>
    </xdr:pic>
    <xdr:clientData/>
  </xdr:twoCellAnchor>
  <xdr:twoCellAnchor editAs="oneCell">
    <xdr:from>
      <xdr:col>10</xdr:col>
      <xdr:colOff>0</xdr:colOff>
      <xdr:row>6</xdr:row>
      <xdr:rowOff>0</xdr:rowOff>
    </xdr:from>
    <xdr:to>
      <xdr:col>10</xdr:col>
      <xdr:colOff>2171520</xdr:colOff>
      <xdr:row>6</xdr:row>
      <xdr:rowOff>1628280</xdr:rowOff>
    </xdr:to>
    <xdr:pic>
      <xdr:nvPicPr>
        <xdr:cNvPr id="5" name="Image 6" descr="Picture"/>
        <xdr:cNvPicPr/>
      </xdr:nvPicPr>
      <xdr:blipFill>
        <a:blip r:embed="rId6"/>
        <a:stretch/>
      </xdr:blipFill>
      <xdr:spPr>
        <a:xfrm>
          <a:off x="16352640" y="13049280"/>
          <a:ext cx="2171520" cy="1628280"/>
        </a:xfrm>
        <a:prstGeom prst="rect">
          <a:avLst/>
        </a:prstGeom>
        <a:ln w="0">
          <a:noFill/>
        </a:ln>
      </xdr:spPr>
    </xdr:pic>
    <xdr:clientData/>
  </xdr:twoCellAnchor>
  <xdr:twoCellAnchor editAs="oneCell">
    <xdr:from>
      <xdr:col>10</xdr:col>
      <xdr:colOff>0</xdr:colOff>
      <xdr:row>7</xdr:row>
      <xdr:rowOff>0</xdr:rowOff>
    </xdr:from>
    <xdr:to>
      <xdr:col>10</xdr:col>
      <xdr:colOff>2171520</xdr:colOff>
      <xdr:row>7</xdr:row>
      <xdr:rowOff>1628280</xdr:rowOff>
    </xdr:to>
    <xdr:pic>
      <xdr:nvPicPr>
        <xdr:cNvPr id="6" name="Image 7" descr="Picture"/>
        <xdr:cNvPicPr/>
      </xdr:nvPicPr>
      <xdr:blipFill>
        <a:blip r:embed="rId7"/>
        <a:stretch/>
      </xdr:blipFill>
      <xdr:spPr>
        <a:xfrm>
          <a:off x="16352640" y="15582960"/>
          <a:ext cx="2171520" cy="1628280"/>
        </a:xfrm>
        <a:prstGeom prst="rect">
          <a:avLst/>
        </a:prstGeom>
        <a:ln w="0">
          <a:noFill/>
        </a:ln>
      </xdr:spPr>
    </xdr:pic>
    <xdr:clientData/>
  </xdr:twoCellAnchor>
  <xdr:twoCellAnchor editAs="oneCell">
    <xdr:from>
      <xdr:col>10</xdr:col>
      <xdr:colOff>0</xdr:colOff>
      <xdr:row>8</xdr:row>
      <xdr:rowOff>0</xdr:rowOff>
    </xdr:from>
    <xdr:to>
      <xdr:col>10</xdr:col>
      <xdr:colOff>2171520</xdr:colOff>
      <xdr:row>8</xdr:row>
      <xdr:rowOff>1628280</xdr:rowOff>
    </xdr:to>
    <xdr:pic>
      <xdr:nvPicPr>
        <xdr:cNvPr id="7" name="Image 8" descr="Picture"/>
        <xdr:cNvPicPr/>
      </xdr:nvPicPr>
      <xdr:blipFill>
        <a:blip r:embed="rId8"/>
        <a:stretch/>
      </xdr:blipFill>
      <xdr:spPr>
        <a:xfrm>
          <a:off x="16352640" y="18116640"/>
          <a:ext cx="2171520" cy="1628280"/>
        </a:xfrm>
        <a:prstGeom prst="rect">
          <a:avLst/>
        </a:prstGeom>
        <a:ln w="0">
          <a:noFill/>
        </a:ln>
      </xdr:spPr>
    </xdr:pic>
    <xdr:clientData/>
  </xdr:twoCellAnchor>
  <xdr:twoCellAnchor editAs="oneCell">
    <xdr:from>
      <xdr:col>10</xdr:col>
      <xdr:colOff>0</xdr:colOff>
      <xdr:row>9</xdr:row>
      <xdr:rowOff>0</xdr:rowOff>
    </xdr:from>
    <xdr:to>
      <xdr:col>10</xdr:col>
      <xdr:colOff>2171520</xdr:colOff>
      <xdr:row>9</xdr:row>
      <xdr:rowOff>1628280</xdr:rowOff>
    </xdr:to>
    <xdr:pic>
      <xdr:nvPicPr>
        <xdr:cNvPr id="8" name="Image 9" descr="Picture"/>
        <xdr:cNvPicPr/>
      </xdr:nvPicPr>
      <xdr:blipFill>
        <a:blip r:embed="rId9"/>
        <a:stretch/>
      </xdr:blipFill>
      <xdr:spPr>
        <a:xfrm>
          <a:off x="16352640" y="20650320"/>
          <a:ext cx="2171520" cy="1628280"/>
        </a:xfrm>
        <a:prstGeom prst="rect">
          <a:avLst/>
        </a:prstGeom>
        <a:ln w="0">
          <a:noFill/>
        </a:ln>
      </xdr:spPr>
    </xdr:pic>
    <xdr:clientData/>
  </xdr:twoCellAnchor>
  <xdr:twoCellAnchor editAs="oneCell">
    <xdr:from>
      <xdr:col>10</xdr:col>
      <xdr:colOff>0</xdr:colOff>
      <xdr:row>10</xdr:row>
      <xdr:rowOff>0</xdr:rowOff>
    </xdr:from>
    <xdr:to>
      <xdr:col>10</xdr:col>
      <xdr:colOff>2171520</xdr:colOff>
      <xdr:row>10</xdr:row>
      <xdr:rowOff>1628280</xdr:rowOff>
    </xdr:to>
    <xdr:pic>
      <xdr:nvPicPr>
        <xdr:cNvPr id="9" name="Image 10" descr="Picture"/>
        <xdr:cNvPicPr/>
      </xdr:nvPicPr>
      <xdr:blipFill>
        <a:blip r:embed="rId10"/>
        <a:stretch/>
      </xdr:blipFill>
      <xdr:spPr>
        <a:xfrm>
          <a:off x="16352640" y="23184000"/>
          <a:ext cx="2171520" cy="1628280"/>
        </a:xfrm>
        <a:prstGeom prst="rect">
          <a:avLst/>
        </a:prstGeom>
        <a:ln w="0">
          <a:noFill/>
        </a:ln>
      </xdr:spPr>
    </xdr:pic>
    <xdr:clientData/>
  </xdr:twoCellAnchor>
  <xdr:twoCellAnchor editAs="oneCell">
    <xdr:from>
      <xdr:col>10</xdr:col>
      <xdr:colOff>0</xdr:colOff>
      <xdr:row>11</xdr:row>
      <xdr:rowOff>0</xdr:rowOff>
    </xdr:from>
    <xdr:to>
      <xdr:col>10</xdr:col>
      <xdr:colOff>2171520</xdr:colOff>
      <xdr:row>11</xdr:row>
      <xdr:rowOff>1628280</xdr:rowOff>
    </xdr:to>
    <xdr:pic>
      <xdr:nvPicPr>
        <xdr:cNvPr id="10" name="Image 11" descr="Picture"/>
        <xdr:cNvPicPr/>
      </xdr:nvPicPr>
      <xdr:blipFill>
        <a:blip r:embed="rId11"/>
        <a:stretch/>
      </xdr:blipFill>
      <xdr:spPr>
        <a:xfrm>
          <a:off x="16352640" y="25717680"/>
          <a:ext cx="2171520" cy="1628280"/>
        </a:xfrm>
        <a:prstGeom prst="rect">
          <a:avLst/>
        </a:prstGeom>
        <a:ln w="0">
          <a:noFill/>
        </a:ln>
      </xdr:spPr>
    </xdr:pic>
    <xdr:clientData/>
  </xdr:twoCellAnchor>
  <xdr:twoCellAnchor editAs="oneCell">
    <xdr:from>
      <xdr:col>10</xdr:col>
      <xdr:colOff>0</xdr:colOff>
      <xdr:row>12</xdr:row>
      <xdr:rowOff>0</xdr:rowOff>
    </xdr:from>
    <xdr:to>
      <xdr:col>10</xdr:col>
      <xdr:colOff>2171520</xdr:colOff>
      <xdr:row>12</xdr:row>
      <xdr:rowOff>1628280</xdr:rowOff>
    </xdr:to>
    <xdr:pic>
      <xdr:nvPicPr>
        <xdr:cNvPr id="11" name="Image 12" descr="Picture"/>
        <xdr:cNvPicPr/>
      </xdr:nvPicPr>
      <xdr:blipFill>
        <a:blip r:embed="rId12"/>
        <a:stretch/>
      </xdr:blipFill>
      <xdr:spPr>
        <a:xfrm>
          <a:off x="16352640" y="28251000"/>
          <a:ext cx="2171520" cy="1628280"/>
        </a:xfrm>
        <a:prstGeom prst="rect">
          <a:avLst/>
        </a:prstGeom>
        <a:ln w="0">
          <a:noFill/>
        </a:ln>
      </xdr:spPr>
    </xdr:pic>
    <xdr:clientData/>
  </xdr:twoCellAnchor>
  <xdr:twoCellAnchor editAs="oneCell">
    <xdr:from>
      <xdr:col>10</xdr:col>
      <xdr:colOff>0</xdr:colOff>
      <xdr:row>13</xdr:row>
      <xdr:rowOff>0</xdr:rowOff>
    </xdr:from>
    <xdr:to>
      <xdr:col>10</xdr:col>
      <xdr:colOff>2171520</xdr:colOff>
      <xdr:row>13</xdr:row>
      <xdr:rowOff>1628280</xdr:rowOff>
    </xdr:to>
    <xdr:pic>
      <xdr:nvPicPr>
        <xdr:cNvPr id="12" name="Image 13" descr="Picture"/>
        <xdr:cNvPicPr/>
      </xdr:nvPicPr>
      <xdr:blipFill>
        <a:blip r:embed="rId13"/>
        <a:stretch/>
      </xdr:blipFill>
      <xdr:spPr>
        <a:xfrm>
          <a:off x="16352640" y="30784680"/>
          <a:ext cx="2171520" cy="1628280"/>
        </a:xfrm>
        <a:prstGeom prst="rect">
          <a:avLst/>
        </a:prstGeom>
        <a:ln w="0">
          <a:noFill/>
        </a:ln>
      </xdr:spPr>
    </xdr:pic>
    <xdr:clientData/>
  </xdr:twoCellAnchor>
  <xdr:twoCellAnchor editAs="oneCell">
    <xdr:from>
      <xdr:col>10</xdr:col>
      <xdr:colOff>0</xdr:colOff>
      <xdr:row>14</xdr:row>
      <xdr:rowOff>0</xdr:rowOff>
    </xdr:from>
    <xdr:to>
      <xdr:col>10</xdr:col>
      <xdr:colOff>2171520</xdr:colOff>
      <xdr:row>14</xdr:row>
      <xdr:rowOff>1628280</xdr:rowOff>
    </xdr:to>
    <xdr:pic>
      <xdr:nvPicPr>
        <xdr:cNvPr id="13" name="Image 14" descr="Picture"/>
        <xdr:cNvPicPr/>
      </xdr:nvPicPr>
      <xdr:blipFill>
        <a:blip r:embed="rId14"/>
        <a:stretch/>
      </xdr:blipFill>
      <xdr:spPr>
        <a:xfrm>
          <a:off x="16352640" y="33318360"/>
          <a:ext cx="2171520" cy="1628280"/>
        </a:xfrm>
        <a:prstGeom prst="rect">
          <a:avLst/>
        </a:prstGeom>
        <a:ln w="0">
          <a:noFill/>
        </a:ln>
      </xdr:spPr>
    </xdr:pic>
    <xdr:clientData/>
  </xdr:twoCellAnchor>
  <xdr:twoCellAnchor editAs="oneCell">
    <xdr:from>
      <xdr:col>10</xdr:col>
      <xdr:colOff>0</xdr:colOff>
      <xdr:row>15</xdr:row>
      <xdr:rowOff>0</xdr:rowOff>
    </xdr:from>
    <xdr:to>
      <xdr:col>10</xdr:col>
      <xdr:colOff>2171520</xdr:colOff>
      <xdr:row>15</xdr:row>
      <xdr:rowOff>1628280</xdr:rowOff>
    </xdr:to>
    <xdr:pic>
      <xdr:nvPicPr>
        <xdr:cNvPr id="14" name="Image 15" descr="Picture"/>
        <xdr:cNvPicPr/>
      </xdr:nvPicPr>
      <xdr:blipFill>
        <a:blip r:embed="rId15"/>
        <a:stretch/>
      </xdr:blipFill>
      <xdr:spPr>
        <a:xfrm>
          <a:off x="16352640" y="35852040"/>
          <a:ext cx="2171520" cy="1628280"/>
        </a:xfrm>
        <a:prstGeom prst="rect">
          <a:avLst/>
        </a:prstGeom>
        <a:ln w="0">
          <a:noFill/>
        </a:ln>
      </xdr:spPr>
    </xdr:pic>
    <xdr:clientData/>
  </xdr:twoCellAnchor>
  <xdr:twoCellAnchor editAs="oneCell">
    <xdr:from>
      <xdr:col>10</xdr:col>
      <xdr:colOff>0</xdr:colOff>
      <xdr:row>16</xdr:row>
      <xdr:rowOff>0</xdr:rowOff>
    </xdr:from>
    <xdr:to>
      <xdr:col>10</xdr:col>
      <xdr:colOff>2171520</xdr:colOff>
      <xdr:row>16</xdr:row>
      <xdr:rowOff>1628280</xdr:rowOff>
    </xdr:to>
    <xdr:pic>
      <xdr:nvPicPr>
        <xdr:cNvPr id="15" name="Image 16" descr="Picture"/>
        <xdr:cNvPicPr/>
      </xdr:nvPicPr>
      <xdr:blipFill>
        <a:blip r:embed="rId16"/>
        <a:stretch/>
      </xdr:blipFill>
      <xdr:spPr>
        <a:xfrm>
          <a:off x="16352640" y="38385720"/>
          <a:ext cx="2171520" cy="1628280"/>
        </a:xfrm>
        <a:prstGeom prst="rect">
          <a:avLst/>
        </a:prstGeom>
        <a:ln w="0">
          <a:noFill/>
        </a:ln>
      </xdr:spPr>
    </xdr:pic>
    <xdr:clientData/>
  </xdr:twoCellAnchor>
  <xdr:twoCellAnchor editAs="oneCell">
    <xdr:from>
      <xdr:col>10</xdr:col>
      <xdr:colOff>0</xdr:colOff>
      <xdr:row>17</xdr:row>
      <xdr:rowOff>0</xdr:rowOff>
    </xdr:from>
    <xdr:to>
      <xdr:col>10</xdr:col>
      <xdr:colOff>2171520</xdr:colOff>
      <xdr:row>17</xdr:row>
      <xdr:rowOff>1628280</xdr:rowOff>
    </xdr:to>
    <xdr:pic>
      <xdr:nvPicPr>
        <xdr:cNvPr id="16" name="Image 17" descr="Picture"/>
        <xdr:cNvPicPr/>
      </xdr:nvPicPr>
      <xdr:blipFill>
        <a:blip r:embed="rId17"/>
        <a:stretch/>
      </xdr:blipFill>
      <xdr:spPr>
        <a:xfrm>
          <a:off x="16352640" y="40919400"/>
          <a:ext cx="2171520" cy="1628280"/>
        </a:xfrm>
        <a:prstGeom prst="rect">
          <a:avLst/>
        </a:prstGeom>
        <a:ln w="0">
          <a:noFill/>
        </a:ln>
      </xdr:spPr>
    </xdr:pic>
    <xdr:clientData/>
  </xdr:twoCellAnchor>
  <xdr:twoCellAnchor editAs="oneCell">
    <xdr:from>
      <xdr:col>10</xdr:col>
      <xdr:colOff>0</xdr:colOff>
      <xdr:row>18</xdr:row>
      <xdr:rowOff>0</xdr:rowOff>
    </xdr:from>
    <xdr:to>
      <xdr:col>10</xdr:col>
      <xdr:colOff>2171520</xdr:colOff>
      <xdr:row>18</xdr:row>
      <xdr:rowOff>1628280</xdr:rowOff>
    </xdr:to>
    <xdr:pic>
      <xdr:nvPicPr>
        <xdr:cNvPr id="17" name="Image 18" descr="Picture"/>
        <xdr:cNvPicPr/>
      </xdr:nvPicPr>
      <xdr:blipFill>
        <a:blip r:embed="rId18"/>
        <a:stretch/>
      </xdr:blipFill>
      <xdr:spPr>
        <a:xfrm>
          <a:off x="16352640" y="43453080"/>
          <a:ext cx="2171520" cy="1628280"/>
        </a:xfrm>
        <a:prstGeom prst="rect">
          <a:avLst/>
        </a:prstGeom>
        <a:ln w="0">
          <a:noFill/>
        </a:ln>
      </xdr:spPr>
    </xdr:pic>
    <xdr:clientData/>
  </xdr:twoCellAnchor>
  <xdr:twoCellAnchor editAs="oneCell">
    <xdr:from>
      <xdr:col>10</xdr:col>
      <xdr:colOff>0</xdr:colOff>
      <xdr:row>19</xdr:row>
      <xdr:rowOff>0</xdr:rowOff>
    </xdr:from>
    <xdr:to>
      <xdr:col>10</xdr:col>
      <xdr:colOff>2171520</xdr:colOff>
      <xdr:row>19</xdr:row>
      <xdr:rowOff>1628280</xdr:rowOff>
    </xdr:to>
    <xdr:pic>
      <xdr:nvPicPr>
        <xdr:cNvPr id="18" name="Image 19" descr="Picture"/>
        <xdr:cNvPicPr/>
      </xdr:nvPicPr>
      <xdr:blipFill>
        <a:blip r:embed="rId19"/>
        <a:stretch/>
      </xdr:blipFill>
      <xdr:spPr>
        <a:xfrm>
          <a:off x="16352640" y="45986760"/>
          <a:ext cx="2171520" cy="1628280"/>
        </a:xfrm>
        <a:prstGeom prst="rect">
          <a:avLst/>
        </a:prstGeom>
        <a:ln w="0">
          <a:noFill/>
        </a:ln>
      </xdr:spPr>
    </xdr:pic>
    <xdr:clientData/>
  </xdr:twoCellAnchor>
  <xdr:twoCellAnchor editAs="oneCell">
    <xdr:from>
      <xdr:col>10</xdr:col>
      <xdr:colOff>0</xdr:colOff>
      <xdr:row>20</xdr:row>
      <xdr:rowOff>0</xdr:rowOff>
    </xdr:from>
    <xdr:to>
      <xdr:col>10</xdr:col>
      <xdr:colOff>2171520</xdr:colOff>
      <xdr:row>20</xdr:row>
      <xdr:rowOff>1628280</xdr:rowOff>
    </xdr:to>
    <xdr:pic>
      <xdr:nvPicPr>
        <xdr:cNvPr id="19" name="Image 20" descr="Picture"/>
        <xdr:cNvPicPr/>
      </xdr:nvPicPr>
      <xdr:blipFill>
        <a:blip r:embed="rId20"/>
        <a:stretch/>
      </xdr:blipFill>
      <xdr:spPr>
        <a:xfrm>
          <a:off x="16352640" y="48520440"/>
          <a:ext cx="2171520" cy="1628280"/>
        </a:xfrm>
        <a:prstGeom prst="rect">
          <a:avLst/>
        </a:prstGeom>
        <a:ln w="0">
          <a:noFill/>
        </a:ln>
      </xdr:spPr>
    </xdr:pic>
    <xdr:clientData/>
  </xdr:twoCellAnchor>
  <xdr:twoCellAnchor editAs="oneCell">
    <xdr:from>
      <xdr:col>10</xdr:col>
      <xdr:colOff>0</xdr:colOff>
      <xdr:row>21</xdr:row>
      <xdr:rowOff>0</xdr:rowOff>
    </xdr:from>
    <xdr:to>
      <xdr:col>10</xdr:col>
      <xdr:colOff>2171520</xdr:colOff>
      <xdr:row>21</xdr:row>
      <xdr:rowOff>1628280</xdr:rowOff>
    </xdr:to>
    <xdr:pic>
      <xdr:nvPicPr>
        <xdr:cNvPr id="20" name="Image 21" descr="Picture"/>
        <xdr:cNvPicPr/>
      </xdr:nvPicPr>
      <xdr:blipFill>
        <a:blip r:embed="rId21"/>
        <a:stretch/>
      </xdr:blipFill>
      <xdr:spPr>
        <a:xfrm>
          <a:off x="16352640" y="51054120"/>
          <a:ext cx="2171520" cy="1628280"/>
        </a:xfrm>
        <a:prstGeom prst="rect">
          <a:avLst/>
        </a:prstGeom>
        <a:ln w="0">
          <a:noFill/>
        </a:ln>
      </xdr:spPr>
    </xdr:pic>
    <xdr:clientData/>
  </xdr:twoCellAnchor>
  <xdr:twoCellAnchor editAs="oneCell">
    <xdr:from>
      <xdr:col>10</xdr:col>
      <xdr:colOff>0</xdr:colOff>
      <xdr:row>22</xdr:row>
      <xdr:rowOff>0</xdr:rowOff>
    </xdr:from>
    <xdr:to>
      <xdr:col>10</xdr:col>
      <xdr:colOff>2171520</xdr:colOff>
      <xdr:row>22</xdr:row>
      <xdr:rowOff>1628280</xdr:rowOff>
    </xdr:to>
    <xdr:pic>
      <xdr:nvPicPr>
        <xdr:cNvPr id="21" name="Image 22" descr="Picture"/>
        <xdr:cNvPicPr/>
      </xdr:nvPicPr>
      <xdr:blipFill>
        <a:blip r:embed="rId22"/>
        <a:stretch/>
      </xdr:blipFill>
      <xdr:spPr>
        <a:xfrm>
          <a:off x="16352640" y="53587800"/>
          <a:ext cx="2171520" cy="16282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Q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7"/>
    <col collapsed="false" customWidth="true" hidden="false" outlineLevel="0" max="3" min="3" style="0" width="13"/>
    <col collapsed="false" customWidth="true" hidden="false" outlineLevel="0" max="4" min="4" style="0" width="7"/>
    <col collapsed="false" customWidth="true" hidden="false" outlineLevel="0" max="5" min="5" style="0" width="12"/>
    <col collapsed="false" customWidth="true" hidden="false" outlineLevel="0" max="6" min="6" style="0" width="30"/>
    <col collapsed="false" customWidth="true" hidden="false" outlineLevel="0" max="7" min="7" style="0" width="62"/>
    <col collapsed="false" customWidth="true" hidden="false" outlineLevel="0" max="8" min="8" style="0" width="11"/>
    <col collapsed="false" customWidth="true" hidden="false" outlineLevel="0" max="9" min="9" style="0" width="38"/>
    <col collapsed="false" customWidth="true" hidden="false" outlineLevel="0" max="10" min="10" style="0" width="50"/>
    <col collapsed="false" customWidth="true" hidden="false" outlineLevel="0" max="11" min="11" style="0" width="33"/>
    <col collapsed="false" customWidth="true" hidden="false" outlineLevel="0" max="12" min="12" style="0" width="34"/>
    <col collapsed="false" customWidth="true" hidden="false" outlineLevel="0" max="13" min="13" style="0" width="30"/>
    <col collapsed="false" customWidth="true" hidden="false" outlineLevel="0" max="14" min="14" style="0" width="40"/>
    <col collapsed="false" customWidth="true" hidden="false" outlineLevel="0" max="16" min="15" style="0" width="30"/>
    <col collapsed="false" customWidth="true" hidden="false" outlineLevel="0" max="17" min="17" style="0" width="15"/>
  </cols>
  <sheetData>
    <row r="1" customFormat="false" ht="30" hidden="false" customHeight="true" outlineLevel="0" collapsed="false">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customFormat="false" ht="199.5" hidden="false" customHeight="true" outlineLevel="0" collapsed="false">
      <c r="B2" s="2" t="n">
        <v>1</v>
      </c>
      <c r="C2" s="3" t="n">
        <v>46328</v>
      </c>
      <c r="D2" s="2" t="str">
        <f aca="false">TEXT(C2,"ddd")</f>
        <v>Mon</v>
      </c>
      <c r="E2" s="2" t="s">
        <v>16</v>
      </c>
      <c r="F2" s="4" t="s">
        <v>17</v>
      </c>
      <c r="G2" s="4" t="s">
        <v>18</v>
      </c>
      <c r="H2" s="2" t="s">
        <v>19</v>
      </c>
      <c r="I2" s="5" t="s">
        <v>20</v>
      </c>
      <c r="J2" s="5" t="str">
        <f aca="false">I2&amp;"?utm_source="&amp;Settings!$C$5&amp;"&amp;utm_medium="&amp;Settings!$C$6&amp;"&amp;utm_campaign="&amp;Settings!$C$7&amp;"&amp;utm_content="&amp;Settings!C13</f>
        <v>https://preferredfencesolutions.com/fence-repair-okc/?utm_source=google&amp;utm_medium=organic&amp;utm_campaign=gbp-posts-nov-2026&amp;utm_content=nov26-01-fence-repair</v>
      </c>
      <c r="K2" s="4"/>
      <c r="L2" s="4" t="s">
        <v>21</v>
      </c>
      <c r="M2" s="4" t="s">
        <v>22</v>
      </c>
      <c r="N2" s="4" t="s">
        <v>23</v>
      </c>
      <c r="O2" s="4" t="s">
        <v>24</v>
      </c>
      <c r="P2" s="4"/>
      <c r="Q2" s="2" t="s">
        <v>25</v>
      </c>
    </row>
    <row r="3" customFormat="false" ht="199.5" hidden="false" customHeight="true" outlineLevel="0" collapsed="false">
      <c r="B3" s="2" t="n">
        <v>1</v>
      </c>
      <c r="C3" s="3" t="n">
        <v>46329</v>
      </c>
      <c r="D3" s="2" t="str">
        <f aca="false">TEXT(C3,"ddd")</f>
        <v>Tue</v>
      </c>
      <c r="E3" s="2" t="s">
        <v>26</v>
      </c>
      <c r="F3" s="4" t="s">
        <v>27</v>
      </c>
      <c r="G3" s="4" t="s">
        <v>28</v>
      </c>
      <c r="H3" s="2" t="s">
        <v>29</v>
      </c>
      <c r="I3" s="5" t="s">
        <v>30</v>
      </c>
      <c r="J3" s="5" t="str">
        <f aca="false">I3&amp;"?utm_source="&amp;Settings!$C$5&amp;"&amp;utm_medium="&amp;Settings!$C$6&amp;"&amp;utm_campaign="&amp;Settings!$C$7&amp;"&amp;utm_content="&amp;Settings!C14</f>
        <v>https://preferredfencesolutions.com/?utm_source=google&amp;utm_medium=organic&amp;utm_campaign=gbp-posts-nov-2026&amp;utm_content=nov26-02-free-estimate</v>
      </c>
      <c r="K3" s="4"/>
      <c r="L3" s="4" t="s">
        <v>31</v>
      </c>
      <c r="M3" s="4" t="s">
        <v>32</v>
      </c>
      <c r="N3" s="4" t="s">
        <v>33</v>
      </c>
      <c r="O3" s="4" t="s">
        <v>34</v>
      </c>
      <c r="P3" s="4" t="s">
        <v>35</v>
      </c>
      <c r="Q3" s="2" t="s">
        <v>25</v>
      </c>
    </row>
    <row r="4" customFormat="false" ht="199.5" hidden="false" customHeight="true" outlineLevel="0" collapsed="false">
      <c r="B4" s="2" t="n">
        <v>1</v>
      </c>
      <c r="C4" s="3" t="n">
        <v>46330</v>
      </c>
      <c r="D4" s="2" t="str">
        <f aca="false">TEXT(C4,"ddd")</f>
        <v>Wed</v>
      </c>
      <c r="E4" s="2" t="s">
        <v>36</v>
      </c>
      <c r="F4" s="4" t="s">
        <v>37</v>
      </c>
      <c r="G4" s="4" t="s">
        <v>38</v>
      </c>
      <c r="H4" s="2" t="s">
        <v>19</v>
      </c>
      <c r="I4" s="5" t="s">
        <v>39</v>
      </c>
      <c r="J4" s="5" t="str">
        <f aca="false">I4&amp;"?utm_source="&amp;Settings!$C$5&amp;"&amp;utm_medium="&amp;Settings!$C$6&amp;"&amp;utm_campaign="&amp;Settings!$C$7&amp;"&amp;utm_content="&amp;Settings!C15</f>
        <v>https://preferredfencesolutions.com/faq/?utm_source=google&amp;utm_medium=organic&amp;utm_campaign=gbp-posts-nov-2026&amp;utm_content=nov26-03-faq-fence-height</v>
      </c>
      <c r="K4" s="4"/>
      <c r="L4" s="4" t="s">
        <v>40</v>
      </c>
      <c r="M4" s="4" t="s">
        <v>41</v>
      </c>
      <c r="N4" s="4" t="s">
        <v>42</v>
      </c>
      <c r="O4" s="4" t="s">
        <v>34</v>
      </c>
      <c r="P4" s="4"/>
      <c r="Q4" s="2" t="s">
        <v>25</v>
      </c>
    </row>
    <row r="5" customFormat="false" ht="199.5" hidden="false" customHeight="true" outlineLevel="0" collapsed="false">
      <c r="B5" s="2" t="n">
        <v>1</v>
      </c>
      <c r="C5" s="3" t="n">
        <v>46331</v>
      </c>
      <c r="D5" s="2" t="str">
        <f aca="false">TEXT(C5,"ddd")</f>
        <v>Thu</v>
      </c>
      <c r="E5" s="2" t="s">
        <v>43</v>
      </c>
      <c r="F5" s="4" t="s">
        <v>44</v>
      </c>
      <c r="G5" s="4" t="s">
        <v>45</v>
      </c>
      <c r="H5" s="2" t="s">
        <v>19</v>
      </c>
      <c r="I5" s="5" t="s">
        <v>46</v>
      </c>
      <c r="J5" s="5" t="str">
        <f aca="false">I5&amp;"?utm_source="&amp;Settings!$C$5&amp;"&amp;utm_medium="&amp;Settings!$C$6&amp;"&amp;utm_campaign="&amp;Settings!$C$7&amp;"&amp;utm_content="&amp;Settings!C16</f>
        <v>https://preferredfencesolutions.com/fence-installation-edmond-ok/?utm_source=google&amp;utm_medium=organic&amp;utm_campaign=gbp-posts-nov-2026&amp;utm_content=nov26-04-edmond-installation</v>
      </c>
      <c r="K5" s="4"/>
      <c r="L5" s="4" t="s">
        <v>47</v>
      </c>
      <c r="M5" s="4" t="s">
        <v>48</v>
      </c>
      <c r="N5" s="4" t="s">
        <v>49</v>
      </c>
      <c r="O5" s="4" t="s">
        <v>34</v>
      </c>
      <c r="P5" s="4"/>
      <c r="Q5" s="2" t="s">
        <v>25</v>
      </c>
    </row>
    <row r="6" customFormat="false" ht="199.5" hidden="false" customHeight="true" outlineLevel="0" collapsed="false">
      <c r="B6" s="2" t="n">
        <v>1</v>
      </c>
      <c r="C6" s="3" t="n">
        <v>46332</v>
      </c>
      <c r="D6" s="2" t="str">
        <f aca="false">TEXT(C6,"ddd")</f>
        <v>Fri</v>
      </c>
      <c r="E6" s="2" t="s">
        <v>16</v>
      </c>
      <c r="F6" s="4" t="s">
        <v>50</v>
      </c>
      <c r="G6" s="4" t="s">
        <v>51</v>
      </c>
      <c r="H6" s="2" t="s">
        <v>19</v>
      </c>
      <c r="I6" s="5" t="s">
        <v>52</v>
      </c>
      <c r="J6" s="5" t="str">
        <f aca="false">I6&amp;"?utm_source="&amp;Settings!$C$5&amp;"&amp;utm_medium="&amp;Settings!$C$6&amp;"&amp;utm_campaign="&amp;Settings!$C$7&amp;"&amp;utm_content="&amp;Settings!C17</f>
        <v>https://preferredfencesolutions.com/stockade-wood-fence/?utm_source=google&amp;utm_medium=organic&amp;utm_campaign=gbp-posts-nov-2026&amp;utm_content=nov26-05-cedar-stockade</v>
      </c>
      <c r="K6" s="4"/>
      <c r="L6" s="4" t="s">
        <v>53</v>
      </c>
      <c r="M6" s="4" t="s">
        <v>54</v>
      </c>
      <c r="N6" s="4" t="s">
        <v>55</v>
      </c>
      <c r="O6" s="4" t="s">
        <v>34</v>
      </c>
      <c r="P6" s="4"/>
      <c r="Q6" s="2" t="s">
        <v>25</v>
      </c>
    </row>
    <row r="7" customFormat="false" ht="199.5" hidden="false" customHeight="true" outlineLevel="0" collapsed="false">
      <c r="B7" s="2" t="n">
        <v>2</v>
      </c>
      <c r="C7" s="3" t="n">
        <v>46335</v>
      </c>
      <c r="D7" s="2" t="str">
        <f aca="false">TEXT(C7,"ddd")</f>
        <v>Mon</v>
      </c>
      <c r="E7" s="2" t="s">
        <v>36</v>
      </c>
      <c r="F7" s="4" t="s">
        <v>56</v>
      </c>
      <c r="G7" s="4" t="s">
        <v>57</v>
      </c>
      <c r="H7" s="2" t="s">
        <v>19</v>
      </c>
      <c r="I7" s="5" t="s">
        <v>58</v>
      </c>
      <c r="J7" s="5" t="str">
        <f aca="false">I7&amp;"?utm_source="&amp;Settings!$C$5&amp;"&amp;utm_medium="&amp;Settings!$C$6&amp;"&amp;utm_campaign="&amp;Settings!$C$7&amp;"&amp;utm_content="&amp;Settings!C18</f>
        <v>https://preferredfencesolutions.com/fence-repair-vs-replacement-oklahoma-city/?utm_source=google&amp;utm_medium=organic&amp;utm_campaign=gbp-posts-nov-2026&amp;utm_content=nov26-06-faq-repair-vs-replace</v>
      </c>
      <c r="K7" s="4"/>
      <c r="L7" s="4" t="s">
        <v>59</v>
      </c>
      <c r="M7" s="4" t="s">
        <v>60</v>
      </c>
      <c r="N7" s="4" t="s">
        <v>61</v>
      </c>
      <c r="O7" s="4" t="s">
        <v>34</v>
      </c>
      <c r="P7" s="4"/>
      <c r="Q7" s="2" t="s">
        <v>25</v>
      </c>
    </row>
    <row r="8" customFormat="false" ht="199.5" hidden="false" customHeight="true" outlineLevel="0" collapsed="false">
      <c r="B8" s="2" t="n">
        <v>2</v>
      </c>
      <c r="C8" s="3" t="n">
        <v>46336</v>
      </c>
      <c r="D8" s="2" t="str">
        <f aca="false">TEXT(C8,"ddd")</f>
        <v>Tue</v>
      </c>
      <c r="E8" s="2" t="s">
        <v>16</v>
      </c>
      <c r="F8" s="4" t="s">
        <v>62</v>
      </c>
      <c r="G8" s="4" t="s">
        <v>63</v>
      </c>
      <c r="H8" s="2" t="s">
        <v>19</v>
      </c>
      <c r="I8" s="5" t="s">
        <v>64</v>
      </c>
      <c r="J8" s="5" t="str">
        <f aca="false">I8&amp;"?utm_source="&amp;Settings!$C$5&amp;"&amp;utm_medium="&amp;Settings!$C$6&amp;"&amp;utm_campaign="&amp;Settings!$C$7&amp;"&amp;utm_content="&amp;Settings!C19</f>
        <v>https://preferredfencesolutions.com/ornamental-iron-fence/?utm_source=google&amp;utm_medium=organic&amp;utm_campaign=gbp-posts-nov-2026&amp;utm_content=nov26-07-ornamental-iron</v>
      </c>
      <c r="K8" s="4"/>
      <c r="L8" s="4" t="s">
        <v>65</v>
      </c>
      <c r="M8" s="4" t="s">
        <v>66</v>
      </c>
      <c r="N8" s="4" t="s">
        <v>67</v>
      </c>
      <c r="O8" s="4" t="s">
        <v>34</v>
      </c>
      <c r="P8" s="4"/>
      <c r="Q8" s="2" t="s">
        <v>25</v>
      </c>
    </row>
    <row r="9" customFormat="false" ht="199.5" hidden="false" customHeight="true" outlineLevel="0" collapsed="false">
      <c r="B9" s="2" t="n">
        <v>2</v>
      </c>
      <c r="C9" s="3" t="n">
        <v>46337</v>
      </c>
      <c r="D9" s="2" t="str">
        <f aca="false">TEXT(C9,"ddd")</f>
        <v>Wed</v>
      </c>
      <c r="E9" s="2" t="s">
        <v>43</v>
      </c>
      <c r="F9" s="4" t="s">
        <v>68</v>
      </c>
      <c r="G9" s="4" t="s">
        <v>69</v>
      </c>
      <c r="H9" s="2" t="s">
        <v>19</v>
      </c>
      <c r="I9" s="5" t="s">
        <v>70</v>
      </c>
      <c r="J9" s="5" t="str">
        <f aca="false">I9&amp;"?utm_source="&amp;Settings!$C$5&amp;"&amp;utm_medium="&amp;Settings!$C$6&amp;"&amp;utm_campaign="&amp;Settings!$C$7&amp;"&amp;utm_content="&amp;Settings!C20</f>
        <v>https://preferredfencesolutions.com/best-fence-oklahoma-wind-okc/?utm_source=google&amp;utm_medium=organic&amp;utm_campaign=gbp-posts-nov-2026&amp;utm_content=nov26-08-oklahoma-wind</v>
      </c>
      <c r="K9" s="4"/>
      <c r="L9" s="4" t="s">
        <v>71</v>
      </c>
      <c r="M9" s="4" t="s">
        <v>72</v>
      </c>
      <c r="N9" s="4" t="s">
        <v>73</v>
      </c>
      <c r="O9" s="4" t="s">
        <v>34</v>
      </c>
      <c r="P9" s="4"/>
      <c r="Q9" s="2" t="s">
        <v>25</v>
      </c>
    </row>
    <row r="10" customFormat="false" ht="199.5" hidden="false" customHeight="true" outlineLevel="0" collapsed="false">
      <c r="B10" s="2" t="n">
        <v>2</v>
      </c>
      <c r="C10" s="3" t="n">
        <v>46338</v>
      </c>
      <c r="D10" s="2" t="str">
        <f aca="false">TEXT(C10,"ddd")</f>
        <v>Thu</v>
      </c>
      <c r="E10" s="2" t="s">
        <v>36</v>
      </c>
      <c r="F10" s="4" t="s">
        <v>74</v>
      </c>
      <c r="G10" s="4" t="s">
        <v>75</v>
      </c>
      <c r="H10" s="2" t="s">
        <v>19</v>
      </c>
      <c r="I10" s="5" t="s">
        <v>76</v>
      </c>
      <c r="J10" s="5" t="str">
        <f aca="false">I10&amp;"?utm_source="&amp;Settings!$C$5&amp;"&amp;utm_medium="&amp;Settings!$C$6&amp;"&amp;utm_campaign="&amp;Settings!$C$7&amp;"&amp;utm_content="&amp;Settings!C21</f>
        <v>https://preferredfencesolutions.com/why-fence-posts-fail-oklahoma-soil/?utm_source=google&amp;utm_medium=organic&amp;utm_campaign=gbp-posts-nov-2026&amp;utm_content=nov26-09-faq-post-failure</v>
      </c>
      <c r="K10" s="4"/>
      <c r="L10" s="4" t="s">
        <v>77</v>
      </c>
      <c r="M10" s="4" t="s">
        <v>78</v>
      </c>
      <c r="N10" s="4" t="s">
        <v>79</v>
      </c>
      <c r="O10" s="4" t="s">
        <v>34</v>
      </c>
      <c r="P10" s="4"/>
      <c r="Q10" s="2" t="s">
        <v>25</v>
      </c>
    </row>
    <row r="11" customFormat="false" ht="199.5" hidden="false" customHeight="true" outlineLevel="0" collapsed="false">
      <c r="B11" s="2" t="n">
        <v>2</v>
      </c>
      <c r="C11" s="3" t="n">
        <v>46339</v>
      </c>
      <c r="D11" s="2" t="str">
        <f aca="false">TEXT(C11,"ddd")</f>
        <v>Fri</v>
      </c>
      <c r="E11" s="2" t="s">
        <v>16</v>
      </c>
      <c r="F11" s="4" t="s">
        <v>80</v>
      </c>
      <c r="G11" s="4" t="s">
        <v>81</v>
      </c>
      <c r="H11" s="2" t="s">
        <v>19</v>
      </c>
      <c r="I11" s="5" t="s">
        <v>82</v>
      </c>
      <c r="J11" s="5" t="str">
        <f aca="false">I11&amp;"?utm_source="&amp;Settings!$C$5&amp;"&amp;utm_medium="&amp;Settings!$C$6&amp;"&amp;utm_campaign="&amp;Settings!$C$7&amp;"&amp;utm_content="&amp;Settings!C22</f>
        <v>https://preferredfencesolutions.com/sheet-metal-fence-oklahoma-city/?utm_source=google&amp;utm_medium=organic&amp;utm_campaign=gbp-posts-nov-2026&amp;utm_content=nov26-10-sheet-metal-commercial</v>
      </c>
      <c r="K11" s="4"/>
      <c r="L11" s="4" t="s">
        <v>83</v>
      </c>
      <c r="M11" s="4" t="s">
        <v>84</v>
      </c>
      <c r="N11" s="4" t="s">
        <v>85</v>
      </c>
      <c r="O11" s="4" t="s">
        <v>34</v>
      </c>
      <c r="P11" s="4"/>
      <c r="Q11" s="2" t="s">
        <v>25</v>
      </c>
    </row>
    <row r="12" customFormat="false" ht="199.5" hidden="false" customHeight="true" outlineLevel="0" collapsed="false">
      <c r="B12" s="2" t="n">
        <v>3</v>
      </c>
      <c r="C12" s="3" t="n">
        <v>46342</v>
      </c>
      <c r="D12" s="2" t="str">
        <f aca="false">TEXT(C12,"ddd")</f>
        <v>Mon</v>
      </c>
      <c r="E12" s="2" t="s">
        <v>26</v>
      </c>
      <c r="F12" s="4" t="s">
        <v>86</v>
      </c>
      <c r="G12" s="4" t="s">
        <v>87</v>
      </c>
      <c r="H12" s="2" t="s">
        <v>19</v>
      </c>
      <c r="I12" s="5" t="s">
        <v>88</v>
      </c>
      <c r="J12" s="5" t="str">
        <f aca="false">I12&amp;"?utm_source="&amp;Settings!$C$5&amp;"&amp;utm_medium="&amp;Settings!$C$6&amp;"&amp;utm_campaign="&amp;Settings!$C$7&amp;"&amp;utm_content="&amp;Settings!C23</f>
        <v>https://preferredfencesolutions.com/fence-gallery/?utm_source=google&amp;utm_medium=organic&amp;utm_campaign=gbp-posts-nov-2026&amp;utm_content=nov26-11-doggie-window</v>
      </c>
      <c r="K12" s="4"/>
      <c r="L12" s="4" t="s">
        <v>89</v>
      </c>
      <c r="M12" s="4" t="s">
        <v>90</v>
      </c>
      <c r="N12" s="4" t="s">
        <v>91</v>
      </c>
      <c r="O12" s="4" t="s">
        <v>34</v>
      </c>
      <c r="P12" s="4"/>
      <c r="Q12" s="2" t="s">
        <v>25</v>
      </c>
    </row>
    <row r="13" customFormat="false" ht="199.5" hidden="false" customHeight="true" outlineLevel="0" collapsed="false">
      <c r="B13" s="2" t="n">
        <v>3</v>
      </c>
      <c r="C13" s="3" t="n">
        <v>46343</v>
      </c>
      <c r="D13" s="2" t="str">
        <f aca="false">TEXT(C13,"ddd")</f>
        <v>Tue</v>
      </c>
      <c r="E13" s="2" t="s">
        <v>16</v>
      </c>
      <c r="F13" s="4" t="s">
        <v>92</v>
      </c>
      <c r="G13" s="4" t="s">
        <v>93</v>
      </c>
      <c r="H13" s="2" t="s">
        <v>19</v>
      </c>
      <c r="I13" s="5" t="s">
        <v>94</v>
      </c>
      <c r="J13" s="5" t="str">
        <f aca="false">I13&amp;"?utm_source="&amp;Settings!$C$5&amp;"&amp;utm_medium="&amp;Settings!$C$6&amp;"&amp;utm_campaign="&amp;Settings!$C$7&amp;"&amp;utm_content="&amp;Settings!C24</f>
        <v>https://preferredfencesolutions.com/chain-link-fence/?utm_source=google&amp;utm_medium=organic&amp;utm_campaign=gbp-posts-nov-2026&amp;utm_content=nov26-12-chain-link</v>
      </c>
      <c r="K13" s="4"/>
      <c r="L13" s="4" t="s">
        <v>95</v>
      </c>
      <c r="M13" s="4" t="s">
        <v>96</v>
      </c>
      <c r="N13" s="4" t="s">
        <v>97</v>
      </c>
      <c r="O13" s="4" t="s">
        <v>34</v>
      </c>
      <c r="P13" s="4"/>
      <c r="Q13" s="2" t="s">
        <v>25</v>
      </c>
    </row>
    <row r="14" customFormat="false" ht="199.5" hidden="false" customHeight="true" outlineLevel="0" collapsed="false">
      <c r="B14" s="2" t="n">
        <v>3</v>
      </c>
      <c r="C14" s="3" t="n">
        <v>46344</v>
      </c>
      <c r="D14" s="2" t="str">
        <f aca="false">TEXT(C14,"ddd")</f>
        <v>Wed</v>
      </c>
      <c r="E14" s="2" t="s">
        <v>36</v>
      </c>
      <c r="F14" s="4" t="s">
        <v>98</v>
      </c>
      <c r="G14" s="4" t="s">
        <v>99</v>
      </c>
      <c r="H14" s="2" t="s">
        <v>19</v>
      </c>
      <c r="I14" s="5" t="s">
        <v>39</v>
      </c>
      <c r="J14" s="5" t="str">
        <f aca="false">I14&amp;"?utm_source="&amp;Settings!$C$5&amp;"&amp;utm_medium="&amp;Settings!$C$6&amp;"&amp;utm_campaign="&amp;Settings!$C$7&amp;"&amp;utm_content="&amp;Settings!C25</f>
        <v>https://preferredfencesolutions.com/faq/?utm_source=google&amp;utm_medium=organic&amp;utm_campaign=gbp-posts-nov-2026&amp;utm_content=nov26-13-faq-affordable-fence</v>
      </c>
      <c r="K14" s="4"/>
      <c r="L14" s="4" t="s">
        <v>100</v>
      </c>
      <c r="M14" s="4" t="s">
        <v>101</v>
      </c>
      <c r="N14" s="4" t="s">
        <v>102</v>
      </c>
      <c r="O14" s="4" t="s">
        <v>34</v>
      </c>
      <c r="P14" s="4"/>
      <c r="Q14" s="2" t="s">
        <v>25</v>
      </c>
    </row>
    <row r="15" customFormat="false" ht="199.5" hidden="false" customHeight="true" outlineLevel="0" collapsed="false">
      <c r="B15" s="2" t="n">
        <v>3</v>
      </c>
      <c r="C15" s="3" t="n">
        <v>46345</v>
      </c>
      <c r="D15" s="2" t="str">
        <f aca="false">TEXT(C15,"ddd")</f>
        <v>Thu</v>
      </c>
      <c r="E15" s="2" t="s">
        <v>43</v>
      </c>
      <c r="F15" s="4" t="s">
        <v>103</v>
      </c>
      <c r="G15" s="4" t="s">
        <v>104</v>
      </c>
      <c r="H15" s="2" t="s">
        <v>19</v>
      </c>
      <c r="I15" s="5" t="s">
        <v>105</v>
      </c>
      <c r="J15" s="5" t="str">
        <f aca="false">I15&amp;"?utm_source="&amp;Settings!$C$5&amp;"&amp;utm_medium="&amp;Settings!$C$6&amp;"&amp;utm_campaign="&amp;Settings!$C$7&amp;"&amp;utm_content="&amp;Settings!C26</f>
        <v>https://preferredfencesolutions.com/fence-installation-repair-north-okc/?utm_source=google&amp;utm_medium=organic&amp;utm_campaign=gbp-posts-nov-2026&amp;utm_content=nov26-14-north-okc</v>
      </c>
      <c r="K15" s="4"/>
      <c r="L15" s="4" t="s">
        <v>106</v>
      </c>
      <c r="M15" s="4" t="s">
        <v>107</v>
      </c>
      <c r="N15" s="4" t="s">
        <v>108</v>
      </c>
      <c r="O15" s="4" t="s">
        <v>34</v>
      </c>
      <c r="P15" s="4"/>
      <c r="Q15" s="2" t="s">
        <v>25</v>
      </c>
    </row>
    <row r="16" customFormat="false" ht="199.5" hidden="false" customHeight="true" outlineLevel="0" collapsed="false">
      <c r="B16" s="2" t="n">
        <v>3</v>
      </c>
      <c r="C16" s="3" t="n">
        <v>46346</v>
      </c>
      <c r="D16" s="2" t="str">
        <f aca="false">TEXT(C16,"ddd")</f>
        <v>Fri</v>
      </c>
      <c r="E16" s="2" t="s">
        <v>16</v>
      </c>
      <c r="F16" s="4" t="s">
        <v>109</v>
      </c>
      <c r="G16" s="4" t="s">
        <v>110</v>
      </c>
      <c r="H16" s="2" t="s">
        <v>19</v>
      </c>
      <c r="I16" s="5" t="s">
        <v>111</v>
      </c>
      <c r="J16" s="5" t="str">
        <f aca="false">I16&amp;"?utm_source="&amp;Settings!$C$5&amp;"&amp;utm_medium="&amp;Settings!$C$6&amp;"&amp;utm_campaign="&amp;Settings!$C$7&amp;"&amp;utm_content="&amp;Settings!C27</f>
        <v>https://preferredfencesolutions.com/vinyl-fence/?utm_source=google&amp;utm_medium=organic&amp;utm_campaign=gbp-posts-nov-2026&amp;utm_content=nov26-15-vinyl-fence</v>
      </c>
      <c r="K16" s="4"/>
      <c r="L16" s="4" t="s">
        <v>112</v>
      </c>
      <c r="M16" s="4" t="s">
        <v>113</v>
      </c>
      <c r="N16" s="4" t="s">
        <v>114</v>
      </c>
      <c r="O16" s="4" t="s">
        <v>34</v>
      </c>
      <c r="P16" s="4"/>
      <c r="Q16" s="2" t="s">
        <v>25</v>
      </c>
    </row>
    <row r="17" customFormat="false" ht="199.5" hidden="false" customHeight="true" outlineLevel="0" collapsed="false">
      <c r="B17" s="2" t="n">
        <v>4</v>
      </c>
      <c r="C17" s="3" t="n">
        <v>46349</v>
      </c>
      <c r="D17" s="2" t="str">
        <f aca="false">TEXT(C17,"ddd")</f>
        <v>Mon</v>
      </c>
      <c r="E17" s="2" t="s">
        <v>26</v>
      </c>
      <c r="F17" s="4" t="s">
        <v>115</v>
      </c>
      <c r="G17" s="4" t="s">
        <v>116</v>
      </c>
      <c r="H17" s="2" t="s">
        <v>29</v>
      </c>
      <c r="I17" s="5" t="s">
        <v>117</v>
      </c>
      <c r="J17" s="5" t="str">
        <f aca="false">I17&amp;"?utm_source="&amp;Settings!$C$5&amp;"&amp;utm_medium="&amp;Settings!$C$6&amp;"&amp;utm_campaign="&amp;Settings!$C$7&amp;"&amp;utm_content="&amp;Settings!C28</f>
        <v>https://preferredfencesolutions.com/fence-design-planning/?utm_source=google&amp;utm_medium=organic&amp;utm_campaign=gbp-posts-nov-2026&amp;utm_content=nov26-16-free-design-consult</v>
      </c>
      <c r="K17" s="4"/>
      <c r="L17" s="4" t="s">
        <v>118</v>
      </c>
      <c r="M17" s="4" t="s">
        <v>119</v>
      </c>
      <c r="N17" s="4" t="s">
        <v>120</v>
      </c>
      <c r="O17" s="4" t="s">
        <v>34</v>
      </c>
      <c r="P17" s="4" t="s">
        <v>121</v>
      </c>
      <c r="Q17" s="2" t="s">
        <v>25</v>
      </c>
    </row>
    <row r="18" customFormat="false" ht="199.5" hidden="false" customHeight="true" outlineLevel="0" collapsed="false">
      <c r="B18" s="2" t="n">
        <v>4</v>
      </c>
      <c r="C18" s="3" t="n">
        <v>46350</v>
      </c>
      <c r="D18" s="2" t="str">
        <f aca="false">TEXT(C18,"ddd")</f>
        <v>Tue</v>
      </c>
      <c r="E18" s="2" t="s">
        <v>16</v>
      </c>
      <c r="F18" s="4" t="s">
        <v>122</v>
      </c>
      <c r="G18" s="4" t="s">
        <v>123</v>
      </c>
      <c r="H18" s="2" t="s">
        <v>19</v>
      </c>
      <c r="I18" s="5" t="s">
        <v>124</v>
      </c>
      <c r="J18" s="5" t="str">
        <f aca="false">I18&amp;"?utm_source="&amp;Settings!$C$5&amp;"&amp;utm_medium="&amp;Settings!$C$6&amp;"&amp;utm_campaign="&amp;Settings!$C$7&amp;"&amp;utm_content="&amp;Settings!C29</f>
        <v>https://preferredfencesolutions.com/residential-fence-gate-width-placement-okc/?utm_source=google&amp;utm_medium=organic&amp;utm_campaign=gbp-posts-nov-2026&amp;utm_content=nov26-17-gate-planning</v>
      </c>
      <c r="K18" s="4"/>
      <c r="L18" s="4" t="s">
        <v>125</v>
      </c>
      <c r="M18" s="4" t="s">
        <v>126</v>
      </c>
      <c r="N18" s="4" t="s">
        <v>127</v>
      </c>
      <c r="O18" s="4" t="s">
        <v>34</v>
      </c>
      <c r="P18" s="4"/>
      <c r="Q18" s="2" t="s">
        <v>25</v>
      </c>
    </row>
    <row r="19" customFormat="false" ht="199.5" hidden="false" customHeight="true" outlineLevel="0" collapsed="false">
      <c r="B19" s="2" t="n">
        <v>4</v>
      </c>
      <c r="C19" s="3" t="n">
        <v>46351</v>
      </c>
      <c r="D19" s="2" t="str">
        <f aca="false">TEXT(C19,"ddd")</f>
        <v>Wed</v>
      </c>
      <c r="E19" s="2" t="s">
        <v>36</v>
      </c>
      <c r="F19" s="4" t="s">
        <v>128</v>
      </c>
      <c r="G19" s="4" t="s">
        <v>129</v>
      </c>
      <c r="H19" s="2" t="s">
        <v>19</v>
      </c>
      <c r="I19" s="5" t="s">
        <v>130</v>
      </c>
      <c r="J19" s="5" t="str">
        <f aca="false">I19&amp;"?utm_source="&amp;Settings!$C$5&amp;"&amp;utm_medium="&amp;Settings!$C$6&amp;"&amp;utm_campaign="&amp;Settings!$C$7&amp;"&amp;utm_content="&amp;Settings!C30</f>
        <v>https://preferredfencesolutions.com/new-cedar-fence-boards-blend-old-fence/?utm_source=google&amp;utm_medium=organic&amp;utm_campaign=gbp-posts-nov-2026&amp;utm_content=nov26-18-faq-cedar-match</v>
      </c>
      <c r="K19" s="4"/>
      <c r="L19" s="4" t="s">
        <v>131</v>
      </c>
      <c r="M19" s="4" t="s">
        <v>132</v>
      </c>
      <c r="N19" s="4" t="s">
        <v>102</v>
      </c>
      <c r="O19" s="4" t="s">
        <v>34</v>
      </c>
      <c r="P19" s="4"/>
      <c r="Q19" s="2" t="s">
        <v>25</v>
      </c>
    </row>
    <row r="20" customFormat="false" ht="199.5" hidden="false" customHeight="true" outlineLevel="0" collapsed="false">
      <c r="B20" s="2" t="n">
        <v>4</v>
      </c>
      <c r="C20" s="3" t="n">
        <v>46352</v>
      </c>
      <c r="D20" s="2" t="str">
        <f aca="false">TEXT(C20,"ddd")</f>
        <v>Thu</v>
      </c>
      <c r="E20" s="2" t="s">
        <v>43</v>
      </c>
      <c r="F20" s="4" t="s">
        <v>133</v>
      </c>
      <c r="G20" s="4" t="s">
        <v>134</v>
      </c>
      <c r="H20" s="2" t="s">
        <v>19</v>
      </c>
      <c r="I20" s="5" t="s">
        <v>135</v>
      </c>
      <c r="J20" s="5" t="str">
        <f aca="false">I20&amp;"?utm_source="&amp;Settings!$C$5&amp;"&amp;utm_medium="&amp;Settings!$C$6&amp;"&amp;utm_campaign="&amp;Settings!$C$7&amp;"&amp;utm_content="&amp;Settings!C31</f>
        <v>https://preferredfencesolutions.com/testimonials/?utm_source=google&amp;utm_medium=organic&amp;utm_campaign=gbp-posts-nov-2026&amp;utm_content=nov26-19-thanksgiving</v>
      </c>
      <c r="K20" s="4"/>
      <c r="L20" s="4" t="s">
        <v>136</v>
      </c>
      <c r="M20" s="4" t="s">
        <v>137</v>
      </c>
      <c r="N20" s="4" t="s">
        <v>138</v>
      </c>
      <c r="O20" s="4" t="s">
        <v>34</v>
      </c>
      <c r="P20" s="4"/>
      <c r="Q20" s="2" t="s">
        <v>25</v>
      </c>
    </row>
    <row r="21" customFormat="false" ht="199.5" hidden="false" customHeight="true" outlineLevel="0" collapsed="false">
      <c r="B21" s="2" t="n">
        <v>4</v>
      </c>
      <c r="C21" s="3" t="n">
        <v>46353</v>
      </c>
      <c r="D21" s="2" t="str">
        <f aca="false">TEXT(C21,"ddd")</f>
        <v>Fri</v>
      </c>
      <c r="E21" s="2" t="s">
        <v>26</v>
      </c>
      <c r="F21" s="4" t="s">
        <v>139</v>
      </c>
      <c r="G21" s="4" t="s">
        <v>140</v>
      </c>
      <c r="H21" s="2" t="s">
        <v>29</v>
      </c>
      <c r="I21" s="5" t="s">
        <v>20</v>
      </c>
      <c r="J21" s="5" t="str">
        <f aca="false">I21&amp;"?utm_source="&amp;Settings!$C$5&amp;"&amp;utm_medium="&amp;Settings!$C$6&amp;"&amp;utm_campaign="&amp;Settings!$C$7&amp;"&amp;utm_content="&amp;Settings!C32</f>
        <v>https://preferredfencesolutions.com/fence-repair-okc/?utm_source=google&amp;utm_medium=organic&amp;utm_campaign=gbp-posts-nov-2026&amp;utm_content=nov26-20-free-repair-estimate</v>
      </c>
      <c r="K21" s="4"/>
      <c r="L21" s="4" t="s">
        <v>141</v>
      </c>
      <c r="M21" s="4" t="s">
        <v>142</v>
      </c>
      <c r="N21" s="4" t="s">
        <v>143</v>
      </c>
      <c r="O21" s="4" t="s">
        <v>24</v>
      </c>
      <c r="P21" s="4" t="s">
        <v>144</v>
      </c>
      <c r="Q21" s="2" t="s">
        <v>25</v>
      </c>
    </row>
    <row r="22" customFormat="false" ht="199.5" hidden="false" customHeight="true" outlineLevel="0" collapsed="false">
      <c r="B22" s="2" t="n">
        <v>5</v>
      </c>
      <c r="C22" s="3" t="n">
        <v>46356</v>
      </c>
      <c r="D22" s="2" t="str">
        <f aca="false">TEXT(C22,"ddd")</f>
        <v>Mon</v>
      </c>
      <c r="E22" s="2" t="s">
        <v>16</v>
      </c>
      <c r="F22" s="4" t="s">
        <v>145</v>
      </c>
      <c r="G22" s="4" t="s">
        <v>146</v>
      </c>
      <c r="H22" s="2" t="s">
        <v>19</v>
      </c>
      <c r="I22" s="5" t="s">
        <v>147</v>
      </c>
      <c r="J22" s="5" t="str">
        <f aca="false">I22&amp;"?utm_source="&amp;Settings!$C$5&amp;"&amp;utm_medium="&amp;Settings!$C$6&amp;"&amp;utm_campaign="&amp;Settings!$C$7&amp;"&amp;utm_content="&amp;Settings!C33</f>
        <v>https://preferredfencesolutions.com/simtek-fence/?utm_source=google&amp;utm_medium=organic&amp;utm_campaign=gbp-posts-nov-2026&amp;utm_content=nov26-21-simtek</v>
      </c>
      <c r="K22" s="4"/>
      <c r="L22" s="4" t="s">
        <v>148</v>
      </c>
      <c r="M22" s="4" t="s">
        <v>149</v>
      </c>
      <c r="N22" s="4" t="s">
        <v>150</v>
      </c>
      <c r="O22" s="4" t="s">
        <v>24</v>
      </c>
      <c r="P22" s="4"/>
      <c r="Q22" s="2" t="s">
        <v>25</v>
      </c>
    </row>
    <row r="23" customFormat="false" ht="199.5" hidden="false" customHeight="true" outlineLevel="0" collapsed="false">
      <c r="B23" s="2" t="n">
        <v>5</v>
      </c>
      <c r="C23" s="3" t="n">
        <v>46357</v>
      </c>
      <c r="D23" s="2" t="str">
        <f aca="false">TEXT(C23,"ddd")</f>
        <v>Tue</v>
      </c>
      <c r="E23" s="2" t="s">
        <v>43</v>
      </c>
      <c r="F23" s="4" t="s">
        <v>151</v>
      </c>
      <c r="G23" s="4" t="s">
        <v>152</v>
      </c>
      <c r="H23" s="2" t="s">
        <v>19</v>
      </c>
      <c r="I23" s="5" t="s">
        <v>153</v>
      </c>
      <c r="J23" s="5" t="str">
        <f aca="false">I23&amp;"?utm_source="&amp;Settings!$C$5&amp;"&amp;utm_medium="&amp;Settings!$C$6&amp;"&amp;utm_campaign="&amp;Settings!$C$7&amp;"&amp;utm_content="&amp;Settings!C34</f>
        <v>https://preferredfencesolutions.com/pfs-awards/?utm_source=google&amp;utm_medium=organic&amp;utm_campaign=gbp-posts-nov-2026&amp;utm_content=nov26-22-year-end-awards</v>
      </c>
      <c r="K23" s="4"/>
      <c r="L23" s="4" t="s">
        <v>154</v>
      </c>
      <c r="M23" s="4" t="s">
        <v>155</v>
      </c>
      <c r="N23" s="4" t="s">
        <v>156</v>
      </c>
      <c r="O23" s="4" t="s">
        <v>34</v>
      </c>
      <c r="P23" s="4"/>
      <c r="Q23" s="2" t="s">
        <v>25</v>
      </c>
    </row>
  </sheetData>
  <autoFilter ref="B1:Q23"/>
  <dataValidations count="1">
    <dataValidation allowBlank="true" errorStyle="stop" operator="between" showDropDown="false" showErrorMessage="false" showInputMessage="false" sqref="Q2:Q23" type="list">
      <formula1>"Not Published,Scheduled,Published"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3" style="0" width="22"/>
    <col collapsed="false" customWidth="true" hidden="false" outlineLevel="0" max="5" min="4" style="0" width="50"/>
  </cols>
  <sheetData>
    <row r="1" customFormat="false" ht="17.35" hidden="false" customHeight="false" outlineLevel="0" collapsed="false">
      <c r="A1" s="6" t="s">
        <v>157</v>
      </c>
    </row>
    <row r="2" customFormat="false" ht="15" hidden="false" customHeight="false" outlineLevel="0" collapsed="false">
      <c r="A2" s="7" t="s">
        <v>158</v>
      </c>
    </row>
    <row r="4" customFormat="false" ht="15" hidden="false" customHeight="false" outlineLevel="0" collapsed="false">
      <c r="B4" s="8" t="s">
        <v>159</v>
      </c>
      <c r="C4" s="8" t="s">
        <v>160</v>
      </c>
      <c r="D4" s="8" t="s">
        <v>161</v>
      </c>
    </row>
    <row r="5" customFormat="false" ht="23.85" hidden="false" customHeight="false" outlineLevel="0" collapsed="false">
      <c r="B5" s="4" t="s">
        <v>162</v>
      </c>
      <c r="C5" s="4" t="s">
        <v>163</v>
      </c>
      <c r="D5" s="4" t="s">
        <v>164</v>
      </c>
    </row>
    <row r="6" customFormat="false" ht="23.85" hidden="false" customHeight="false" outlineLevel="0" collapsed="false">
      <c r="B6" s="4" t="s">
        <v>165</v>
      </c>
      <c r="C6" s="4" t="s">
        <v>166</v>
      </c>
      <c r="D6" s="4" t="s">
        <v>167</v>
      </c>
    </row>
    <row r="7" customFormat="false" ht="23.85" hidden="false" customHeight="false" outlineLevel="0" collapsed="false">
      <c r="B7" s="4" t="s">
        <v>168</v>
      </c>
      <c r="C7" s="4" t="s">
        <v>169</v>
      </c>
      <c r="D7" s="4" t="s">
        <v>170</v>
      </c>
    </row>
    <row r="8" customFormat="false" ht="23.85" hidden="false" customHeight="false" outlineLevel="0" collapsed="false">
      <c r="B8" s="4" t="s">
        <v>171</v>
      </c>
      <c r="C8" s="4" t="s">
        <v>172</v>
      </c>
      <c r="D8" s="4" t="s">
        <v>173</v>
      </c>
    </row>
    <row r="11" customFormat="false" ht="15" hidden="false" customHeight="false" outlineLevel="0" collapsed="false">
      <c r="B11" s="9" t="s">
        <v>174</v>
      </c>
    </row>
    <row r="12" customFormat="false" ht="15" hidden="false" customHeight="false" outlineLevel="0" collapsed="false">
      <c r="B12" s="8" t="s">
        <v>175</v>
      </c>
      <c r="C12" s="8" t="s">
        <v>176</v>
      </c>
      <c r="D12" s="8" t="s">
        <v>4</v>
      </c>
    </row>
    <row r="13" customFormat="false" ht="15" hidden="false" customHeight="false" outlineLevel="0" collapsed="false">
      <c r="B13" s="2" t="n">
        <v>1</v>
      </c>
      <c r="C13" s="4" t="s">
        <v>177</v>
      </c>
      <c r="D13" s="4" t="str">
        <f aca="false">'preferredfencesolutions.com'!F2</f>
        <v>Fence Repair After Wind and Storm Damage</v>
      </c>
    </row>
    <row r="14" customFormat="false" ht="15" hidden="false" customHeight="false" outlineLevel="0" collapsed="false">
      <c r="B14" s="2" t="n">
        <v>2</v>
      </c>
      <c r="C14" s="4" t="s">
        <v>178</v>
      </c>
      <c r="D14" s="4" t="str">
        <f aca="false">'preferredfencesolutions.com'!F3</f>
        <v>Free On-Site Fence Estimate</v>
      </c>
    </row>
    <row r="15" customFormat="false" ht="15" hidden="false" customHeight="false" outlineLevel="0" collapsed="false">
      <c r="B15" s="2" t="n">
        <v>3</v>
      </c>
      <c r="C15" s="4" t="s">
        <v>179</v>
      </c>
      <c r="D15" s="4" t="str">
        <f aca="false">'preferredfencesolutions.com'!F4</f>
        <v>FAQ: How Tall Can My Fence Be in OKC?</v>
      </c>
    </row>
    <row r="16" customFormat="false" ht="23.85" hidden="false" customHeight="false" outlineLevel="0" collapsed="false">
      <c r="B16" s="2" t="n">
        <v>4</v>
      </c>
      <c r="C16" s="4" t="s">
        <v>180</v>
      </c>
      <c r="D16" s="4" t="str">
        <f aca="false">'preferredfencesolutions.com'!F5</f>
        <v>Fence Installation in Edmond, OK</v>
      </c>
    </row>
    <row r="17" customFormat="false" ht="15" hidden="false" customHeight="false" outlineLevel="0" collapsed="false">
      <c r="B17" s="2" t="n">
        <v>5</v>
      </c>
      <c r="C17" s="4" t="s">
        <v>181</v>
      </c>
      <c r="D17" s="4" t="str">
        <f aca="false">'preferredfencesolutions.com'!F6</f>
        <v>Western Red Cedar Stockade Fences Built in Our Shop</v>
      </c>
    </row>
    <row r="18" customFormat="false" ht="23.85" hidden="false" customHeight="false" outlineLevel="0" collapsed="false">
      <c r="B18" s="2" t="n">
        <v>6</v>
      </c>
      <c r="C18" s="4" t="s">
        <v>182</v>
      </c>
      <c r="D18" s="4" t="str">
        <f aca="false">'preferredfencesolutions.com'!F7</f>
        <v>FAQ: Should I Repair or Replace My Fence?</v>
      </c>
    </row>
    <row r="19" customFormat="false" ht="15" hidden="false" customHeight="false" outlineLevel="0" collapsed="false">
      <c r="B19" s="2" t="n">
        <v>7</v>
      </c>
      <c r="C19" s="4" t="s">
        <v>183</v>
      </c>
      <c r="D19" s="4" t="str">
        <f aca="false">'preferredfencesolutions.com'!F8</f>
        <v>Ameristar Ornamental Iron Fences and Gates</v>
      </c>
    </row>
    <row r="20" customFormat="false" ht="15" hidden="false" customHeight="false" outlineLevel="0" collapsed="false">
      <c r="B20" s="2" t="n">
        <v>8</v>
      </c>
      <c r="C20" s="4" t="s">
        <v>184</v>
      </c>
      <c r="D20" s="4" t="str">
        <f aca="false">'preferredfencesolutions.com'!F9</f>
        <v>The Best Fence for Oklahoma Wind</v>
      </c>
    </row>
    <row r="21" customFormat="false" ht="15" hidden="false" customHeight="false" outlineLevel="0" collapsed="false">
      <c r="B21" s="2" t="n">
        <v>9</v>
      </c>
      <c r="C21" s="4" t="s">
        <v>185</v>
      </c>
      <c r="D21" s="4" t="str">
        <f aca="false">'preferredfencesolutions.com'!F10</f>
        <v>FAQ: Why Do Fence Posts Lean in Oklahoma?</v>
      </c>
    </row>
    <row r="22" customFormat="false" ht="23.85" hidden="false" customHeight="false" outlineLevel="0" collapsed="false">
      <c r="B22" s="2" t="n">
        <v>10</v>
      </c>
      <c r="C22" s="4" t="s">
        <v>186</v>
      </c>
      <c r="D22" s="4" t="str">
        <f aca="false">'preferredfencesolutions.com'!F11</f>
        <v>Sheet Metal Fence for Commercial Properties</v>
      </c>
    </row>
    <row r="23" customFormat="false" ht="15" hidden="false" customHeight="false" outlineLevel="0" collapsed="false">
      <c r="B23" s="2" t="n">
        <v>11</v>
      </c>
      <c r="C23" s="4" t="s">
        <v>187</v>
      </c>
      <c r="D23" s="4" t="str">
        <f aca="false">'preferredfencesolutions.com'!F12</f>
        <v>Add a Custom Doggie Window to Your Fence</v>
      </c>
    </row>
    <row r="24" customFormat="false" ht="15" hidden="false" customHeight="false" outlineLevel="0" collapsed="false">
      <c r="B24" s="2" t="n">
        <v>12</v>
      </c>
      <c r="C24" s="4" t="s">
        <v>188</v>
      </c>
      <c r="D24" s="4" t="str">
        <f aca="false">'preferredfencesolutions.com'!F13</f>
        <v>Chain Link Fencing: Galvanized or Black Vinyl-Coated</v>
      </c>
    </row>
    <row r="25" customFormat="false" ht="23.85" hidden="false" customHeight="false" outlineLevel="0" collapsed="false">
      <c r="B25" s="2" t="n">
        <v>13</v>
      </c>
      <c r="C25" s="4" t="s">
        <v>189</v>
      </c>
      <c r="D25" s="4" t="str">
        <f aca="false">'preferredfencesolutions.com'!F14</f>
        <v>FAQ: What Is the Most Affordable Fence in OKC?</v>
      </c>
    </row>
    <row r="26" customFormat="false" ht="15" hidden="false" customHeight="false" outlineLevel="0" collapsed="false">
      <c r="B26" s="2" t="n">
        <v>14</v>
      </c>
      <c r="C26" s="4" t="s">
        <v>190</v>
      </c>
      <c r="D26" s="4" t="str">
        <f aca="false">'preferredfencesolutions.com'!F15</f>
        <v>North OKC Fence Installation and Repair</v>
      </c>
    </row>
    <row r="27" customFormat="false" ht="15" hidden="false" customHeight="false" outlineLevel="0" collapsed="false">
      <c r="B27" s="2" t="n">
        <v>15</v>
      </c>
      <c r="C27" s="4" t="s">
        <v>191</v>
      </c>
      <c r="D27" s="4" t="str">
        <f aca="false">'preferredfencesolutions.com'!F16</f>
        <v>Low-Maintenance Vinyl Fence Installation</v>
      </c>
    </row>
    <row r="28" customFormat="false" ht="23.85" hidden="false" customHeight="false" outlineLevel="0" collapsed="false">
      <c r="B28" s="2" t="n">
        <v>16</v>
      </c>
      <c r="C28" s="4" t="s">
        <v>192</v>
      </c>
      <c r="D28" s="4" t="str">
        <f aca="false">'preferredfencesolutions.com'!F17</f>
        <v>Fence Design Help With Every Free Estimate</v>
      </c>
    </row>
    <row r="29" customFormat="false" ht="15" hidden="false" customHeight="false" outlineLevel="0" collapsed="false">
      <c r="B29" s="2" t="n">
        <v>17</v>
      </c>
      <c r="C29" s="4" t="s">
        <v>193</v>
      </c>
      <c r="D29" s="4" t="str">
        <f aca="false">'preferredfencesolutions.com'!F18</f>
        <v>Residential Gates: Width and Placement</v>
      </c>
    </row>
    <row r="30" customFormat="false" ht="15" hidden="false" customHeight="false" outlineLevel="0" collapsed="false">
      <c r="B30" s="2" t="n">
        <v>18</v>
      </c>
      <c r="C30" s="4" t="s">
        <v>194</v>
      </c>
      <c r="D30" s="4" t="str">
        <f aca="false">'preferredfencesolutions.com'!F19</f>
        <v>FAQ: Will New Cedar Boards Match My Old Fence?</v>
      </c>
    </row>
    <row r="31" customFormat="false" ht="15" hidden="false" customHeight="false" outlineLevel="0" collapsed="false">
      <c r="B31" s="2" t="n">
        <v>19</v>
      </c>
      <c r="C31" s="4" t="s">
        <v>195</v>
      </c>
      <c r="D31" s="4" t="str">
        <f aca="false">'preferredfencesolutions.com'!F20</f>
        <v>Happy Thanksgiving from Preferred Fence Solutions</v>
      </c>
    </row>
    <row r="32" customFormat="false" ht="23.85" hidden="false" customHeight="false" outlineLevel="0" collapsed="false">
      <c r="B32" s="2" t="n">
        <v>20</v>
      </c>
      <c r="C32" s="4" t="s">
        <v>196</v>
      </c>
      <c r="D32" s="4" t="str">
        <f aca="false">'preferredfencesolutions.com'!F21</f>
        <v>Free Fence Repair Estimate</v>
      </c>
    </row>
    <row r="33" customFormat="false" ht="15" hidden="false" customHeight="false" outlineLevel="0" collapsed="false">
      <c r="B33" s="2" t="n">
        <v>21</v>
      </c>
      <c r="C33" s="4" t="s">
        <v>197</v>
      </c>
      <c r="D33" s="4" t="str">
        <f aca="false">'preferredfencesolutions.com'!F22</f>
        <v>SimTek Fences: The Look of Stone</v>
      </c>
    </row>
    <row r="34" customFormat="false" ht="23.85" hidden="false" customHeight="false" outlineLevel="0" collapsed="false">
      <c r="B34" s="2" t="n">
        <v>22</v>
      </c>
      <c r="C34" s="4" t="s">
        <v>198</v>
      </c>
      <c r="D34" s="4" t="str">
        <f aca="false">'preferredfencesolutions.com'!F23</f>
        <v>Thank You, Oklahoma City</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3" min="3" style="0" width="26"/>
    <col collapsed="false" customWidth="true" hidden="false" outlineLevel="0" max="4" min="4" style="0" width="60"/>
    <col collapsed="false" customWidth="true" hidden="false" outlineLevel="0" max="5" min="5" style="0" width="45"/>
    <col collapsed="false" customWidth="true" hidden="false" outlineLevel="0" max="6" min="6" style="0" width="34"/>
    <col collapsed="false" customWidth="true" hidden="false" outlineLevel="0" max="7" min="7" style="0" width="10"/>
  </cols>
  <sheetData>
    <row r="1" customFormat="false" ht="17.35" hidden="false" customHeight="false" outlineLevel="0" collapsed="false">
      <c r="A1" s="6" t="s">
        <v>199</v>
      </c>
    </row>
    <row r="2" customFormat="false" ht="15" hidden="false" customHeight="false" outlineLevel="0" collapsed="false">
      <c r="A2" s="7" t="s">
        <v>200</v>
      </c>
    </row>
    <row r="4" customFormat="false" ht="15" hidden="false" customHeight="false" outlineLevel="0" collapsed="false">
      <c r="B4" s="8" t="s">
        <v>201</v>
      </c>
      <c r="C4" s="8" t="s">
        <v>160</v>
      </c>
      <c r="D4" s="8" t="s">
        <v>161</v>
      </c>
    </row>
    <row r="5" customFormat="false" ht="46.25" hidden="false" customHeight="false" outlineLevel="0" collapsed="false">
      <c r="B5" s="4" t="s">
        <v>202</v>
      </c>
      <c r="C5" s="4" t="s">
        <v>203</v>
      </c>
      <c r="D5" s="4" t="s">
        <v>204</v>
      </c>
    </row>
    <row r="6" customFormat="false" ht="23.85" hidden="false" customHeight="false" outlineLevel="0" collapsed="false">
      <c r="B6" s="4" t="s">
        <v>205</v>
      </c>
      <c r="C6" s="4" t="s">
        <v>206</v>
      </c>
      <c r="D6" s="4" t="s">
        <v>207</v>
      </c>
    </row>
    <row r="7" customFormat="false" ht="23.85" hidden="false" customHeight="false" outlineLevel="0" collapsed="false">
      <c r="B7" s="4" t="s">
        <v>208</v>
      </c>
      <c r="C7" s="4" t="s">
        <v>209</v>
      </c>
      <c r="D7" s="4" t="s">
        <v>210</v>
      </c>
    </row>
    <row r="8" customFormat="false" ht="23.85" hidden="false" customHeight="false" outlineLevel="0" collapsed="false">
      <c r="B8" s="4" t="s">
        <v>211</v>
      </c>
      <c r="C8" s="4" t="s">
        <v>212</v>
      </c>
      <c r="D8" s="4" t="s">
        <v>213</v>
      </c>
    </row>
    <row r="9" customFormat="false" ht="23.85" hidden="false" customHeight="false" outlineLevel="0" collapsed="false">
      <c r="B9" s="4" t="s">
        <v>214</v>
      </c>
      <c r="C9" s="4" t="s">
        <v>215</v>
      </c>
      <c r="D9" s="4" t="s">
        <v>216</v>
      </c>
    </row>
    <row r="10" customFormat="false" ht="35.05" hidden="false" customHeight="false" outlineLevel="0" collapsed="false">
      <c r="B10" s="4" t="s">
        <v>217</v>
      </c>
      <c r="C10" s="4" t="s">
        <v>218</v>
      </c>
      <c r="D10" s="4" t="s">
        <v>219</v>
      </c>
    </row>
    <row r="12" customFormat="false" ht="15" hidden="false" customHeight="false" outlineLevel="0" collapsed="false">
      <c r="B12" s="9" t="s">
        <v>220</v>
      </c>
    </row>
    <row r="13" customFormat="false" ht="15" hidden="false" customHeight="false" outlineLevel="0" collapsed="false">
      <c r="B13" s="8" t="s">
        <v>221</v>
      </c>
      <c r="C13" s="8" t="s">
        <v>222</v>
      </c>
      <c r="D13" s="8" t="s">
        <v>223</v>
      </c>
      <c r="E13" s="8" t="s">
        <v>224</v>
      </c>
      <c r="F13" s="8" t="s">
        <v>225</v>
      </c>
    </row>
    <row r="14" customFormat="false" ht="15" hidden="false" customHeight="false" outlineLevel="0" collapsed="false">
      <c r="B14" s="4" t="s">
        <v>226</v>
      </c>
      <c r="C14" s="4" t="s">
        <v>227</v>
      </c>
      <c r="D14" s="4" t="s">
        <v>228</v>
      </c>
      <c r="E14" s="4" t="s">
        <v>229</v>
      </c>
      <c r="F14" s="10"/>
    </row>
    <row r="15" customFormat="false" ht="23.85" hidden="false" customHeight="false" outlineLevel="0" collapsed="false">
      <c r="B15" s="4" t="s">
        <v>230</v>
      </c>
      <c r="C15" s="4" t="s">
        <v>231</v>
      </c>
      <c r="D15" s="4" t="s">
        <v>232</v>
      </c>
      <c r="E15" s="4" t="s">
        <v>233</v>
      </c>
      <c r="F15" s="11"/>
    </row>
    <row r="16" customFormat="false" ht="15" hidden="false" customHeight="false" outlineLevel="0" collapsed="false">
      <c r="B16" s="4" t="s">
        <v>234</v>
      </c>
      <c r="C16" s="4" t="s">
        <v>235</v>
      </c>
      <c r="D16" s="4" t="s">
        <v>236</v>
      </c>
      <c r="E16" s="4" t="s">
        <v>237</v>
      </c>
      <c r="F16" s="12"/>
    </row>
    <row r="17" customFormat="false" ht="15" hidden="false" customHeight="false" outlineLevel="0" collapsed="false">
      <c r="B17" s="4" t="s">
        <v>238</v>
      </c>
      <c r="C17" s="4" t="s">
        <v>239</v>
      </c>
      <c r="D17" s="4" t="s">
        <v>240</v>
      </c>
      <c r="E17" s="4" t="s">
        <v>241</v>
      </c>
      <c r="F17" s="13"/>
    </row>
    <row r="19" customFormat="false" ht="15" hidden="false" customHeight="false" outlineLevel="0" collapsed="false">
      <c r="B19" s="9" t="s">
        <v>242</v>
      </c>
    </row>
    <row r="20" customFormat="false" ht="15" hidden="false" customHeight="false" outlineLevel="0" collapsed="false">
      <c r="B20" s="8" t="s">
        <v>243</v>
      </c>
      <c r="C20" s="8" t="s">
        <v>244</v>
      </c>
    </row>
    <row r="21" customFormat="false" ht="35.05" hidden="false" customHeight="false" outlineLevel="0" collapsed="false">
      <c r="B21" s="4" t="s">
        <v>245</v>
      </c>
      <c r="C21" s="4" t="s">
        <v>246</v>
      </c>
    </row>
    <row r="22" customFormat="false" ht="35.05" hidden="false" customHeight="false" outlineLevel="0" collapsed="false">
      <c r="B22" s="4" t="s">
        <v>247</v>
      </c>
      <c r="C22" s="4" t="s">
        <v>248</v>
      </c>
    </row>
    <row r="23" customFormat="false" ht="35.05" hidden="false" customHeight="false" outlineLevel="0" collapsed="false">
      <c r="B23" s="4" t="s">
        <v>249</v>
      </c>
      <c r="C23" s="4" t="s">
        <v>250</v>
      </c>
    </row>
    <row r="24" customFormat="false" ht="35.05" hidden="false" customHeight="false" outlineLevel="0" collapsed="false">
      <c r="B24" s="4" t="s">
        <v>251</v>
      </c>
      <c r="C24" s="4" t="s">
        <v>252</v>
      </c>
    </row>
    <row r="25" customFormat="false" ht="46.25" hidden="false" customHeight="false" outlineLevel="0" collapsed="false">
      <c r="B25" s="4" t="s">
        <v>253</v>
      </c>
      <c r="C25" s="4" t="s">
        <v>254</v>
      </c>
    </row>
    <row r="26" customFormat="false" ht="57.45" hidden="false" customHeight="false" outlineLevel="0" collapsed="false">
      <c r="B26" s="4" t="s">
        <v>255</v>
      </c>
      <c r="C26" s="4" t="s">
        <v>256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3"/>
    <col collapsed="false" customWidth="true" hidden="false" outlineLevel="0" max="3" min="3" style="0" width="34"/>
    <col collapsed="false" customWidth="true" hidden="false" outlineLevel="0" max="4" min="4" style="0" width="60"/>
    <col collapsed="false" customWidth="true" hidden="false" outlineLevel="0" max="5" min="5" style="0" width="16"/>
    <col collapsed="false" customWidth="true" hidden="false" outlineLevel="0" max="6" min="6" style="0" width="70"/>
    <col collapsed="false" customWidth="true" hidden="false" outlineLevel="0" max="7" min="7" style="0" width="30"/>
  </cols>
  <sheetData>
    <row r="1" customFormat="false" ht="17.35" hidden="false" customHeight="false" outlineLevel="0" collapsed="false">
      <c r="A1" s="6" t="s">
        <v>257</v>
      </c>
    </row>
    <row r="2" customFormat="false" ht="15" hidden="false" customHeight="false" outlineLevel="0" collapsed="false">
      <c r="A2" s="7" t="s">
        <v>258</v>
      </c>
    </row>
    <row r="4" customFormat="false" ht="15" hidden="false" customHeight="false" outlineLevel="0" collapsed="false">
      <c r="A4" s="8" t="s">
        <v>175</v>
      </c>
      <c r="B4" s="8" t="s">
        <v>259</v>
      </c>
      <c r="C4" s="8" t="s">
        <v>260</v>
      </c>
      <c r="D4" s="8" t="s">
        <v>261</v>
      </c>
      <c r="E4" s="8" t="s">
        <v>262</v>
      </c>
      <c r="F4" s="8" t="s">
        <v>263</v>
      </c>
      <c r="G4" s="8" t="s">
        <v>264</v>
      </c>
    </row>
    <row r="5" customFormat="false" ht="23.85" hidden="false" customHeight="false" outlineLevel="0" collapsed="false">
      <c r="A5" s="2" t="n">
        <v>1</v>
      </c>
      <c r="B5" s="3" t="n">
        <v>46328</v>
      </c>
      <c r="C5" s="4" t="s">
        <v>265</v>
      </c>
      <c r="D5" s="4" t="s">
        <v>23</v>
      </c>
      <c r="E5" s="4" t="s">
        <v>266</v>
      </c>
      <c r="F5" s="4" t="s">
        <v>267</v>
      </c>
      <c r="G5" s="4" t="s">
        <v>268</v>
      </c>
    </row>
    <row r="6" customFormat="false" ht="23.85" hidden="false" customHeight="false" outlineLevel="0" collapsed="false">
      <c r="A6" s="2" t="n">
        <v>2</v>
      </c>
      <c r="B6" s="3" t="n">
        <v>46329</v>
      </c>
      <c r="C6" s="4" t="s">
        <v>269</v>
      </c>
      <c r="D6" s="4" t="s">
        <v>33</v>
      </c>
      <c r="E6" s="4" t="s">
        <v>270</v>
      </c>
      <c r="F6" s="4" t="s">
        <v>271</v>
      </c>
      <c r="G6" s="4" t="s">
        <v>272</v>
      </c>
    </row>
    <row r="7" customFormat="false" ht="23.85" hidden="false" customHeight="false" outlineLevel="0" collapsed="false">
      <c r="A7" s="2" t="n">
        <v>3</v>
      </c>
      <c r="B7" s="3" t="n">
        <v>46330</v>
      </c>
      <c r="C7" s="4" t="s">
        <v>273</v>
      </c>
      <c r="D7" s="4" t="s">
        <v>42</v>
      </c>
      <c r="E7" s="4" t="s">
        <v>270</v>
      </c>
      <c r="F7" s="4" t="s">
        <v>271</v>
      </c>
      <c r="G7" s="4" t="s">
        <v>272</v>
      </c>
    </row>
    <row r="8" customFormat="false" ht="23.85" hidden="false" customHeight="false" outlineLevel="0" collapsed="false">
      <c r="A8" s="2" t="n">
        <v>4</v>
      </c>
      <c r="B8" s="3" t="n">
        <v>46331</v>
      </c>
      <c r="C8" s="4" t="s">
        <v>274</v>
      </c>
      <c r="D8" s="4" t="s">
        <v>49</v>
      </c>
      <c r="E8" s="4" t="s">
        <v>270</v>
      </c>
      <c r="F8" s="4" t="s">
        <v>271</v>
      </c>
      <c r="G8" s="4" t="s">
        <v>272</v>
      </c>
    </row>
    <row r="9" customFormat="false" ht="23.85" hidden="false" customHeight="false" outlineLevel="0" collapsed="false">
      <c r="A9" s="2" t="n">
        <v>5</v>
      </c>
      <c r="B9" s="3" t="n">
        <v>46332</v>
      </c>
      <c r="C9" s="4" t="s">
        <v>275</v>
      </c>
      <c r="D9" s="4" t="s">
        <v>55</v>
      </c>
      <c r="E9" s="4" t="s">
        <v>270</v>
      </c>
      <c r="F9" s="4" t="s">
        <v>271</v>
      </c>
      <c r="G9" s="4" t="s">
        <v>272</v>
      </c>
    </row>
    <row r="10" customFormat="false" ht="23.85" hidden="false" customHeight="false" outlineLevel="0" collapsed="false">
      <c r="A10" s="2" t="n">
        <v>6</v>
      </c>
      <c r="B10" s="3" t="n">
        <v>46335</v>
      </c>
      <c r="C10" s="4" t="s">
        <v>276</v>
      </c>
      <c r="D10" s="4" t="s">
        <v>61</v>
      </c>
      <c r="E10" s="4" t="s">
        <v>270</v>
      </c>
      <c r="F10" s="4" t="s">
        <v>271</v>
      </c>
      <c r="G10" s="4" t="s">
        <v>272</v>
      </c>
    </row>
    <row r="11" customFormat="false" ht="23.85" hidden="false" customHeight="false" outlineLevel="0" collapsed="false">
      <c r="A11" s="2" t="n">
        <v>7</v>
      </c>
      <c r="B11" s="3" t="n">
        <v>46336</v>
      </c>
      <c r="C11" s="4" t="s">
        <v>277</v>
      </c>
      <c r="D11" s="4" t="s">
        <v>67</v>
      </c>
      <c r="E11" s="4" t="s">
        <v>270</v>
      </c>
      <c r="F11" s="4" t="s">
        <v>271</v>
      </c>
      <c r="G11" s="4" t="s">
        <v>272</v>
      </c>
    </row>
    <row r="12" customFormat="false" ht="23.85" hidden="false" customHeight="false" outlineLevel="0" collapsed="false">
      <c r="A12" s="2" t="n">
        <v>8</v>
      </c>
      <c r="B12" s="3" t="n">
        <v>46337</v>
      </c>
      <c r="C12" s="4" t="s">
        <v>278</v>
      </c>
      <c r="D12" s="4" t="s">
        <v>73</v>
      </c>
      <c r="E12" s="4" t="s">
        <v>270</v>
      </c>
      <c r="F12" s="4" t="s">
        <v>271</v>
      </c>
      <c r="G12" s="4" t="s">
        <v>272</v>
      </c>
    </row>
    <row r="13" customFormat="false" ht="23.85" hidden="false" customHeight="false" outlineLevel="0" collapsed="false">
      <c r="A13" s="2" t="n">
        <v>9</v>
      </c>
      <c r="B13" s="3" t="n">
        <v>46338</v>
      </c>
      <c r="C13" s="4" t="s">
        <v>279</v>
      </c>
      <c r="D13" s="4" t="s">
        <v>79</v>
      </c>
      <c r="E13" s="4" t="s">
        <v>270</v>
      </c>
      <c r="F13" s="4" t="s">
        <v>271</v>
      </c>
      <c r="G13" s="4" t="s">
        <v>272</v>
      </c>
    </row>
    <row r="14" customFormat="false" ht="23.85" hidden="false" customHeight="false" outlineLevel="0" collapsed="false">
      <c r="A14" s="2" t="n">
        <v>10</v>
      </c>
      <c r="B14" s="3" t="n">
        <v>46339</v>
      </c>
      <c r="C14" s="4" t="s">
        <v>280</v>
      </c>
      <c r="D14" s="4" t="s">
        <v>85</v>
      </c>
      <c r="E14" s="4" t="s">
        <v>270</v>
      </c>
      <c r="F14" s="4" t="s">
        <v>271</v>
      </c>
      <c r="G14" s="4" t="s">
        <v>272</v>
      </c>
    </row>
    <row r="15" customFormat="false" ht="23.85" hidden="false" customHeight="false" outlineLevel="0" collapsed="false">
      <c r="A15" s="2" t="n">
        <v>11</v>
      </c>
      <c r="B15" s="3" t="n">
        <v>46342</v>
      </c>
      <c r="C15" s="4" t="s">
        <v>281</v>
      </c>
      <c r="D15" s="4" t="s">
        <v>91</v>
      </c>
      <c r="E15" s="4" t="s">
        <v>270</v>
      </c>
      <c r="F15" s="4" t="s">
        <v>271</v>
      </c>
      <c r="G15" s="4" t="s">
        <v>272</v>
      </c>
    </row>
    <row r="16" customFormat="false" ht="23.85" hidden="false" customHeight="false" outlineLevel="0" collapsed="false">
      <c r="A16" s="2" t="n">
        <v>12</v>
      </c>
      <c r="B16" s="3" t="n">
        <v>46343</v>
      </c>
      <c r="C16" s="4" t="s">
        <v>282</v>
      </c>
      <c r="D16" s="4" t="s">
        <v>97</v>
      </c>
      <c r="E16" s="4" t="s">
        <v>270</v>
      </c>
      <c r="F16" s="4" t="s">
        <v>271</v>
      </c>
      <c r="G16" s="4" t="s">
        <v>272</v>
      </c>
    </row>
    <row r="17" customFormat="false" ht="23.85" hidden="false" customHeight="false" outlineLevel="0" collapsed="false">
      <c r="A17" s="2" t="n">
        <v>13</v>
      </c>
      <c r="B17" s="3" t="n">
        <v>46344</v>
      </c>
      <c r="C17" s="4" t="s">
        <v>283</v>
      </c>
      <c r="D17" s="4" t="s">
        <v>102</v>
      </c>
      <c r="E17" s="4" t="s">
        <v>270</v>
      </c>
      <c r="F17" s="4" t="s">
        <v>271</v>
      </c>
      <c r="G17" s="4" t="s">
        <v>272</v>
      </c>
    </row>
    <row r="18" customFormat="false" ht="23.85" hidden="false" customHeight="false" outlineLevel="0" collapsed="false">
      <c r="A18" s="2" t="n">
        <v>14</v>
      </c>
      <c r="B18" s="3" t="n">
        <v>46345</v>
      </c>
      <c r="C18" s="4" t="s">
        <v>284</v>
      </c>
      <c r="D18" s="4" t="s">
        <v>108</v>
      </c>
      <c r="E18" s="4" t="s">
        <v>270</v>
      </c>
      <c r="F18" s="4" t="s">
        <v>271</v>
      </c>
      <c r="G18" s="4" t="s">
        <v>272</v>
      </c>
    </row>
    <row r="19" customFormat="false" ht="23.85" hidden="false" customHeight="false" outlineLevel="0" collapsed="false">
      <c r="A19" s="2" t="n">
        <v>15</v>
      </c>
      <c r="B19" s="3" t="n">
        <v>46346</v>
      </c>
      <c r="C19" s="4" t="s">
        <v>285</v>
      </c>
      <c r="D19" s="4" t="s">
        <v>114</v>
      </c>
      <c r="E19" s="4" t="s">
        <v>270</v>
      </c>
      <c r="F19" s="4" t="s">
        <v>271</v>
      </c>
      <c r="G19" s="4" t="s">
        <v>272</v>
      </c>
    </row>
    <row r="20" customFormat="false" ht="23.85" hidden="false" customHeight="false" outlineLevel="0" collapsed="false">
      <c r="A20" s="2" t="n">
        <v>16</v>
      </c>
      <c r="B20" s="3" t="n">
        <v>46349</v>
      </c>
      <c r="C20" s="4" t="s">
        <v>286</v>
      </c>
      <c r="D20" s="4" t="s">
        <v>120</v>
      </c>
      <c r="E20" s="4" t="s">
        <v>270</v>
      </c>
      <c r="F20" s="4" t="s">
        <v>271</v>
      </c>
      <c r="G20" s="4" t="s">
        <v>272</v>
      </c>
    </row>
    <row r="21" customFormat="false" ht="23.85" hidden="false" customHeight="false" outlineLevel="0" collapsed="false">
      <c r="A21" s="2" t="n">
        <v>17</v>
      </c>
      <c r="B21" s="3" t="n">
        <v>46350</v>
      </c>
      <c r="C21" s="4" t="s">
        <v>287</v>
      </c>
      <c r="D21" s="4" t="s">
        <v>127</v>
      </c>
      <c r="E21" s="4" t="s">
        <v>270</v>
      </c>
      <c r="F21" s="4" t="s">
        <v>271</v>
      </c>
      <c r="G21" s="4" t="s">
        <v>272</v>
      </c>
    </row>
    <row r="22" customFormat="false" ht="23.85" hidden="false" customHeight="false" outlineLevel="0" collapsed="false">
      <c r="A22" s="2" t="n">
        <v>18</v>
      </c>
      <c r="B22" s="3" t="n">
        <v>46351</v>
      </c>
      <c r="C22" s="4" t="s">
        <v>283</v>
      </c>
      <c r="D22" s="4" t="s">
        <v>102</v>
      </c>
      <c r="E22" s="4" t="s">
        <v>270</v>
      </c>
      <c r="F22" s="4" t="s">
        <v>271</v>
      </c>
      <c r="G22" s="4" t="s">
        <v>272</v>
      </c>
    </row>
    <row r="23" customFormat="false" ht="23.85" hidden="false" customHeight="false" outlineLevel="0" collapsed="false">
      <c r="A23" s="2" t="n">
        <v>19</v>
      </c>
      <c r="B23" s="3" t="n">
        <v>46352</v>
      </c>
      <c r="C23" s="4" t="s">
        <v>288</v>
      </c>
      <c r="D23" s="4" t="s">
        <v>138</v>
      </c>
      <c r="E23" s="4" t="s">
        <v>270</v>
      </c>
      <c r="F23" s="4" t="s">
        <v>271</v>
      </c>
      <c r="G23" s="4" t="s">
        <v>272</v>
      </c>
    </row>
    <row r="24" customFormat="false" ht="23.85" hidden="false" customHeight="false" outlineLevel="0" collapsed="false">
      <c r="A24" s="2" t="n">
        <v>20</v>
      </c>
      <c r="B24" s="3" t="n">
        <v>46353</v>
      </c>
      <c r="C24" s="4" t="s">
        <v>289</v>
      </c>
      <c r="D24" s="4" t="s">
        <v>143</v>
      </c>
      <c r="E24" s="4" t="s">
        <v>266</v>
      </c>
      <c r="F24" s="4" t="s">
        <v>267</v>
      </c>
      <c r="G24" s="4" t="s">
        <v>268</v>
      </c>
    </row>
    <row r="25" customFormat="false" ht="23.85" hidden="false" customHeight="false" outlineLevel="0" collapsed="false">
      <c r="A25" s="2" t="n">
        <v>21</v>
      </c>
      <c r="B25" s="3" t="n">
        <v>46356</v>
      </c>
      <c r="C25" s="4" t="s">
        <v>290</v>
      </c>
      <c r="D25" s="4" t="s">
        <v>150</v>
      </c>
      <c r="E25" s="4" t="s">
        <v>266</v>
      </c>
      <c r="F25" s="4" t="s">
        <v>267</v>
      </c>
      <c r="G25" s="4" t="s">
        <v>268</v>
      </c>
    </row>
    <row r="26" customFormat="false" ht="23.85" hidden="false" customHeight="false" outlineLevel="0" collapsed="false">
      <c r="A26" s="2" t="n">
        <v>22</v>
      </c>
      <c r="B26" s="3" t="n">
        <v>46357</v>
      </c>
      <c r="C26" s="4" t="s">
        <v>291</v>
      </c>
      <c r="D26" s="4" t="s">
        <v>292</v>
      </c>
      <c r="E26" s="4" t="s">
        <v>270</v>
      </c>
      <c r="F26" s="4" t="s">
        <v>271</v>
      </c>
      <c r="G26" s="4" t="s">
        <v>272</v>
      </c>
    </row>
    <row r="27" customFormat="false" ht="23.85" hidden="false" customHeight="false" outlineLevel="0" collapsed="false">
      <c r="A27" s="2" t="n">
        <v>22</v>
      </c>
      <c r="B27" s="3" t="n">
        <v>46357</v>
      </c>
      <c r="C27" s="4" t="s">
        <v>293</v>
      </c>
      <c r="D27" s="4" t="s">
        <v>294</v>
      </c>
      <c r="E27" s="4" t="s">
        <v>270</v>
      </c>
      <c r="F27" s="4" t="s">
        <v>271</v>
      </c>
      <c r="G27" s="4" t="s">
        <v>272</v>
      </c>
    </row>
    <row r="28" customFormat="false" ht="23.85" hidden="false" customHeight="false" outlineLevel="0" collapsed="false">
      <c r="A28" s="2" t="n">
        <v>22</v>
      </c>
      <c r="B28" s="3" t="n">
        <v>46357</v>
      </c>
      <c r="C28" s="4" t="s">
        <v>295</v>
      </c>
      <c r="D28" s="4" t="s">
        <v>296</v>
      </c>
      <c r="E28" s="4" t="s">
        <v>270</v>
      </c>
      <c r="F28" s="4" t="s">
        <v>271</v>
      </c>
      <c r="G28" s="4" t="s">
        <v>272</v>
      </c>
    </row>
    <row r="30" customFormat="false" ht="15" hidden="false" customHeight="false" outlineLevel="0" collapsed="false">
      <c r="A30" s="9" t="s">
        <v>297</v>
      </c>
      <c r="B30" s="9" t="str">
        <f aca="false">COUNTIF(G5:G28,"OK*")&amp;" of "&amp;COUNTA(G5:G28)</f>
        <v>24 of 24</v>
      </c>
    </row>
    <row r="32" customFormat="false" ht="15" hidden="false" customHeight="false" outlineLevel="0" collapsed="false">
      <c r="A32" s="9" t="s">
        <v>298</v>
      </c>
    </row>
    <row r="33" customFormat="false" ht="23.85" hidden="false" customHeight="false" outlineLevel="0" collapsed="false">
      <c r="A33" s="8" t="s">
        <v>299</v>
      </c>
      <c r="B33" s="8" t="s">
        <v>300</v>
      </c>
      <c r="C33" s="8" t="s">
        <v>301</v>
      </c>
      <c r="D33" s="8" t="s">
        <v>302</v>
      </c>
    </row>
    <row r="34" customFormat="false" ht="46.25" hidden="false" customHeight="false" outlineLevel="0" collapsed="false">
      <c r="A34" s="2" t="n">
        <v>1</v>
      </c>
      <c r="B34" s="4" t="s">
        <v>303</v>
      </c>
      <c r="C34" s="4" t="s">
        <v>304</v>
      </c>
      <c r="D34" s="4" t="s">
        <v>305</v>
      </c>
    </row>
    <row r="36" customFormat="false" ht="15" hidden="false" customHeight="false" outlineLevel="0" collapsed="false">
      <c r="A36" s="7" t="s">
        <v>306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55"/>
    <col collapsed="false" customWidth="true" hidden="false" outlineLevel="0" max="4" min="4" style="0" width="50"/>
    <col collapsed="false" customWidth="true" hidden="false" outlineLevel="0" max="5" min="5" style="0" width="18"/>
    <col collapsed="false" customWidth="true" hidden="false" outlineLevel="0" max="6" min="6" style="0" width="60"/>
  </cols>
  <sheetData>
    <row r="1" customFormat="false" ht="17.35" hidden="false" customHeight="false" outlineLevel="0" collapsed="false">
      <c r="A1" s="6" t="s">
        <v>307</v>
      </c>
    </row>
    <row r="2" customFormat="false" ht="15" hidden="false" customHeight="false" outlineLevel="0" collapsed="false">
      <c r="A2" s="7" t="s">
        <v>308</v>
      </c>
    </row>
    <row r="4" customFormat="false" ht="15" hidden="false" customHeight="false" outlineLevel="0" collapsed="false">
      <c r="A4" s="8" t="s">
        <v>299</v>
      </c>
      <c r="B4" s="8" t="s">
        <v>309</v>
      </c>
      <c r="C4" s="8" t="s">
        <v>310</v>
      </c>
      <c r="D4" s="8" t="s">
        <v>311</v>
      </c>
      <c r="E4" s="8" t="s">
        <v>312</v>
      </c>
      <c r="F4" s="8" t="s">
        <v>161</v>
      </c>
    </row>
    <row r="5" customFormat="false" ht="46.25" hidden="false" customHeight="false" outlineLevel="0" collapsed="false">
      <c r="A5" s="2" t="n">
        <v>1</v>
      </c>
      <c r="B5" s="4" t="s">
        <v>313</v>
      </c>
      <c r="C5" s="4" t="s">
        <v>314</v>
      </c>
      <c r="D5" s="4" t="s">
        <v>105</v>
      </c>
      <c r="E5" s="2" t="s">
        <v>315</v>
      </c>
      <c r="F5" s="4" t="s">
        <v>316</v>
      </c>
    </row>
    <row r="6" customFormat="false" ht="23.85" hidden="false" customHeight="false" outlineLevel="0" collapsed="false">
      <c r="A6" s="2" t="n">
        <v>2</v>
      </c>
      <c r="B6" s="4" t="s">
        <v>317</v>
      </c>
      <c r="C6" s="4" t="s">
        <v>318</v>
      </c>
      <c r="D6" s="4" t="s">
        <v>319</v>
      </c>
      <c r="E6" s="2" t="s">
        <v>320</v>
      </c>
      <c r="F6" s="4" t="s">
        <v>321</v>
      </c>
    </row>
    <row r="7" customFormat="false" ht="15" hidden="false" customHeight="false" outlineLevel="0" collapsed="false">
      <c r="A7" s="2" t="n">
        <v>3</v>
      </c>
      <c r="B7" s="4" t="s">
        <v>322</v>
      </c>
      <c r="C7" s="4" t="s">
        <v>323</v>
      </c>
      <c r="D7" s="4" t="s">
        <v>39</v>
      </c>
      <c r="E7" s="2" t="s">
        <v>324</v>
      </c>
      <c r="F7" s="4" t="s">
        <v>325</v>
      </c>
    </row>
    <row r="8" customFormat="false" ht="15" hidden="false" customHeight="false" outlineLevel="0" collapsed="false">
      <c r="A8" s="2" t="n">
        <v>4</v>
      </c>
      <c r="B8" s="4" t="s">
        <v>326</v>
      </c>
      <c r="C8" s="4" t="s">
        <v>327</v>
      </c>
      <c r="D8" s="4" t="s">
        <v>64</v>
      </c>
      <c r="E8" s="2" t="s">
        <v>328</v>
      </c>
      <c r="F8" s="4" t="s">
        <v>329</v>
      </c>
    </row>
    <row r="9" customFormat="false" ht="35.05" hidden="false" customHeight="false" outlineLevel="0" collapsed="false">
      <c r="A9" s="2" t="n">
        <v>5</v>
      </c>
      <c r="B9" s="4" t="s">
        <v>330</v>
      </c>
      <c r="C9" s="4" t="s">
        <v>331</v>
      </c>
      <c r="D9" s="4" t="s">
        <v>117</v>
      </c>
      <c r="E9" s="2" t="s">
        <v>332</v>
      </c>
      <c r="F9" s="4" t="s">
        <v>333</v>
      </c>
    </row>
    <row r="10" customFormat="false" ht="23.85" hidden="false" customHeight="false" outlineLevel="0" collapsed="false">
      <c r="A10" s="2" t="n">
        <v>6</v>
      </c>
      <c r="B10" s="4" t="s">
        <v>334</v>
      </c>
      <c r="C10" s="4" t="s">
        <v>335</v>
      </c>
      <c r="D10" s="4" t="s">
        <v>336</v>
      </c>
      <c r="E10" s="2" t="s">
        <v>337</v>
      </c>
      <c r="F10" s="4" t="s">
        <v>338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5"/>
    <col collapsed="false" customWidth="true" hidden="false" outlineLevel="0" max="3" min="3" style="0" width="60"/>
    <col collapsed="false" customWidth="true" hidden="false" outlineLevel="0" max="4" min="4" style="0" width="55"/>
  </cols>
  <sheetData>
    <row r="1" customFormat="false" ht="17.35" hidden="false" customHeight="false" outlineLevel="0" collapsed="false">
      <c r="A1" s="6" t="s">
        <v>339</v>
      </c>
    </row>
    <row r="2" customFormat="false" ht="15" hidden="false" customHeight="false" outlineLevel="0" collapsed="false">
      <c r="A2" s="7" t="s">
        <v>340</v>
      </c>
    </row>
    <row r="4" customFormat="false" ht="15" hidden="false" customHeight="false" outlineLevel="0" collapsed="false">
      <c r="A4" s="8" t="s">
        <v>299</v>
      </c>
      <c r="B4" s="8" t="s">
        <v>243</v>
      </c>
      <c r="C4" s="8" t="s">
        <v>341</v>
      </c>
      <c r="D4" s="8" t="s">
        <v>342</v>
      </c>
    </row>
    <row r="5" customFormat="false" ht="23.85" hidden="false" customHeight="false" outlineLevel="0" collapsed="false">
      <c r="A5" s="2" t="n">
        <v>1</v>
      </c>
      <c r="B5" s="4" t="s">
        <v>343</v>
      </c>
      <c r="C5" s="4" t="s">
        <v>344</v>
      </c>
      <c r="D5" s="4" t="s">
        <v>345</v>
      </c>
    </row>
    <row r="6" customFormat="false" ht="35.05" hidden="false" customHeight="false" outlineLevel="0" collapsed="false">
      <c r="A6" s="2" t="n">
        <v>2</v>
      </c>
      <c r="B6" s="4" t="s">
        <v>346</v>
      </c>
      <c r="C6" s="4" t="s">
        <v>347</v>
      </c>
      <c r="D6" s="4" t="s">
        <v>345</v>
      </c>
    </row>
    <row r="7" customFormat="false" ht="35.05" hidden="false" customHeight="false" outlineLevel="0" collapsed="false">
      <c r="A7" s="2" t="n">
        <v>3</v>
      </c>
      <c r="B7" s="4" t="s">
        <v>348</v>
      </c>
      <c r="C7" s="4" t="s">
        <v>349</v>
      </c>
      <c r="D7" s="4" t="s">
        <v>350</v>
      </c>
    </row>
    <row r="8" customFormat="false" ht="35.05" hidden="false" customHeight="false" outlineLevel="0" collapsed="false">
      <c r="A8" s="2" t="n">
        <v>4</v>
      </c>
      <c r="B8" s="4" t="s">
        <v>351</v>
      </c>
      <c r="C8" s="4" t="s">
        <v>352</v>
      </c>
      <c r="D8" s="4" t="s">
        <v>353</v>
      </c>
    </row>
    <row r="9" customFormat="false" ht="23.85" hidden="false" customHeight="false" outlineLevel="0" collapsed="false">
      <c r="A9" s="2" t="n">
        <v>5</v>
      </c>
      <c r="B9" s="4" t="s">
        <v>354</v>
      </c>
      <c r="C9" s="4" t="s">
        <v>355</v>
      </c>
      <c r="D9" s="4" t="s">
        <v>353</v>
      </c>
    </row>
    <row r="10" customFormat="false" ht="15" hidden="false" customHeight="false" outlineLevel="0" collapsed="false">
      <c r="A10" s="2" t="n">
        <v>6</v>
      </c>
      <c r="B10" s="4" t="s">
        <v>356</v>
      </c>
      <c r="C10" s="4" t="s">
        <v>357</v>
      </c>
      <c r="D10" s="4" t="s">
        <v>358</v>
      </c>
    </row>
    <row r="11" customFormat="false" ht="23.85" hidden="false" customHeight="false" outlineLevel="0" collapsed="false">
      <c r="A11" s="2" t="n">
        <v>7</v>
      </c>
      <c r="B11" s="4" t="s">
        <v>359</v>
      </c>
      <c r="C11" s="4" t="s">
        <v>360</v>
      </c>
      <c r="D11" s="4" t="s">
        <v>353</v>
      </c>
    </row>
    <row r="12" customFormat="false" ht="35.05" hidden="false" customHeight="false" outlineLevel="0" collapsed="false">
      <c r="A12" s="2" t="n">
        <v>8</v>
      </c>
      <c r="B12" s="4" t="s">
        <v>361</v>
      </c>
      <c r="C12" s="4" t="s">
        <v>362</v>
      </c>
      <c r="D12" s="4" t="s">
        <v>363</v>
      </c>
    </row>
    <row r="13" customFormat="false" ht="23.85" hidden="false" customHeight="false" outlineLevel="0" collapsed="false">
      <c r="A13" s="2" t="n">
        <v>9</v>
      </c>
      <c r="B13" s="4" t="s">
        <v>364</v>
      </c>
      <c r="C13" s="4" t="s">
        <v>365</v>
      </c>
      <c r="D13" s="4" t="s">
        <v>363</v>
      </c>
    </row>
    <row r="14" customFormat="false" ht="23.85" hidden="false" customHeight="false" outlineLevel="0" collapsed="false">
      <c r="A14" s="2" t="n">
        <v>10</v>
      </c>
      <c r="B14" s="4" t="s">
        <v>366</v>
      </c>
      <c r="C14" s="4" t="s">
        <v>367</v>
      </c>
      <c r="D14" s="4" t="s">
        <v>363</v>
      </c>
    </row>
    <row r="15" customFormat="false" ht="23.85" hidden="false" customHeight="false" outlineLevel="0" collapsed="false">
      <c r="A15" s="2" t="n">
        <v>11</v>
      </c>
      <c r="B15" s="4" t="s">
        <v>368</v>
      </c>
      <c r="C15" s="4" t="s">
        <v>369</v>
      </c>
      <c r="D15" s="4" t="s">
        <v>345</v>
      </c>
    </row>
    <row r="16" customFormat="false" ht="46.25" hidden="false" customHeight="false" outlineLevel="0" collapsed="false">
      <c r="A16" s="2" t="n">
        <v>12</v>
      </c>
      <c r="B16" s="4" t="s">
        <v>370</v>
      </c>
      <c r="C16" s="4" t="s">
        <v>371</v>
      </c>
      <c r="D16" s="4" t="s">
        <v>345</v>
      </c>
    </row>
    <row r="17" customFormat="false" ht="23.85" hidden="false" customHeight="false" outlineLevel="0" collapsed="false">
      <c r="A17" s="2" t="n">
        <v>13</v>
      </c>
      <c r="B17" s="4" t="s">
        <v>372</v>
      </c>
      <c r="C17" s="4" t="s">
        <v>373</v>
      </c>
      <c r="D17" s="4" t="s">
        <v>353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3"/>
    <col collapsed="false" customWidth="true" hidden="false" outlineLevel="0" max="3" min="3" style="0" width="11"/>
    <col collapsed="false" customWidth="true" hidden="false" outlineLevel="0" max="7" min="4" style="0" width="12"/>
    <col collapsed="false" customWidth="true" hidden="false" outlineLevel="0" max="8" min="8" style="0" width="9"/>
    <col collapsed="false" customWidth="true" hidden="false" outlineLevel="0" max="9" min="9" style="0" width="12"/>
    <col collapsed="false" customWidth="true" hidden="false" outlineLevel="0" max="10" min="10" style="0" width="14"/>
    <col collapsed="false" customWidth="true" hidden="false" outlineLevel="0" max="11" min="11" style="0" width="13"/>
    <col collapsed="false" customWidth="true" hidden="false" outlineLevel="0" max="12" min="12" style="0" width="12"/>
    <col collapsed="false" customWidth="true" hidden="false" outlineLevel="0" max="13" min="13" style="0" width="10"/>
  </cols>
  <sheetData>
    <row r="1" customFormat="false" ht="17.35" hidden="false" customHeight="false" outlineLevel="0" collapsed="false">
      <c r="A1" s="6" t="s">
        <v>374</v>
      </c>
    </row>
    <row r="2" customFormat="false" ht="15" hidden="false" customHeight="false" outlineLevel="0" collapsed="false">
      <c r="A2" s="7" t="s">
        <v>375</v>
      </c>
    </row>
    <row r="4" customFormat="false" ht="35.05" hidden="false" customHeight="false" outlineLevel="0" collapsed="false">
      <c r="A4" s="8" t="s">
        <v>175</v>
      </c>
      <c r="B4" s="8" t="s">
        <v>259</v>
      </c>
      <c r="C4" s="8" t="s">
        <v>376</v>
      </c>
      <c r="D4" s="8" t="s">
        <v>377</v>
      </c>
      <c r="E4" s="8" t="s">
        <v>378</v>
      </c>
      <c r="F4" s="8" t="s">
        <v>379</v>
      </c>
      <c r="G4" s="8" t="s">
        <v>380</v>
      </c>
      <c r="H4" s="8" t="s">
        <v>381</v>
      </c>
      <c r="I4" s="8" t="s">
        <v>382</v>
      </c>
      <c r="J4" s="8" t="s">
        <v>383</v>
      </c>
      <c r="K4" s="8" t="s">
        <v>384</v>
      </c>
      <c r="L4" s="8" t="s">
        <v>385</v>
      </c>
      <c r="M4" s="8" t="s">
        <v>386</v>
      </c>
    </row>
    <row r="5" customFormat="false" ht="15" hidden="false" customHeight="false" outlineLevel="0" collapsed="false">
      <c r="A5" s="2" t="n">
        <v>1</v>
      </c>
      <c r="B5" s="3" t="n">
        <f aca="false">'preferredfencesolutions.com'!C2</f>
        <v>46328</v>
      </c>
      <c r="C5" s="2" t="n">
        <f aca="false">LEN('preferredfencesolutions.com'!G2)</f>
        <v>503</v>
      </c>
      <c r="D5" s="2" t="str">
        <f aca="false">IF(LEN('preferredfencesolutions.com'!G2)&lt;=1500,"Pass","Fail")</f>
        <v>Pass</v>
      </c>
      <c r="E5" s="2" t="str">
        <f aca="false">IF(SUMPRODUCT(--ISNUMBER(SEARCH({"405","921-3426","473-2695","9213426"},'preferredfencesolutions.com'!G2)))=0,"Pass","Fail")</f>
        <v>Pass</v>
      </c>
      <c r="F5" s="2" t="str">
        <f aca="false">IF(ISNUMBER(SEARCH("@",'preferredfencesolutions.com'!G2)),"Fail","Pass")</f>
        <v>Pass</v>
      </c>
      <c r="G5" s="2" t="str">
        <f aca="false">IF(OR(ISNUMBER(SEARCH("http",'preferredfencesolutions.com'!G2)),ISNUMBER(SEARCH("www.",'preferredfencesolutions.com'!G2)),ISNUMBER(SEARCH(".com",'preferredfencesolutions.com'!G2))),"Fail","Pass")</f>
        <v>Pass</v>
      </c>
      <c r="H5" s="2" t="str">
        <f aca="false">IF(LEN('preferredfencesolutions.com'!H2)&gt;0,"Pass","Fail")</f>
        <v>Pass</v>
      </c>
      <c r="I5" s="2" t="str">
        <f aca="false">IF(AND(ISNUMBER(SEARCH("utm_source=google",'preferredfencesolutions.com'!J2)),ISNUMBER(SEARCH("utm_content=",'preferredfencesolutions.com'!J2))),"Pass","Fail")</f>
        <v>Pass</v>
      </c>
      <c r="J5" s="2" t="str">
        <f aca="false">IF(ISNUMBER(SEARCH(Settings!$C$8,'preferredfencesolutions.com'!I2)),"Pass","Fail")</f>
        <v>Pass</v>
      </c>
      <c r="K5" s="2" t="str">
        <f aca="false">IF(WEEKDAY('preferredfencesolutions.com'!C2,2)&lt;=5,"Pass","Fail")</f>
        <v>Pass</v>
      </c>
      <c r="L5" s="2" t="str">
        <f aca="false">IF(LEN('preferredfencesolutions.com'!M2)&gt;0,"Pass","Fail")</f>
        <v>Pass</v>
      </c>
      <c r="M5" s="2" t="str">
        <f aca="false">IF(COUNTIF(D5:L5,"Fail")=0,"Pass","Fail")</f>
        <v>Pass</v>
      </c>
    </row>
    <row r="6" customFormat="false" ht="15" hidden="false" customHeight="false" outlineLevel="0" collapsed="false">
      <c r="A6" s="2" t="n">
        <v>2</v>
      </c>
      <c r="B6" s="3" t="n">
        <f aca="false">'preferredfencesolutions.com'!C3</f>
        <v>46329</v>
      </c>
      <c r="C6" s="2" t="n">
        <f aca="false">LEN('preferredfencesolutions.com'!G3)</f>
        <v>449</v>
      </c>
      <c r="D6" s="2" t="str">
        <f aca="false">IF(LEN('preferredfencesolutions.com'!G3)&lt;=1500,"Pass","Fail")</f>
        <v>Pass</v>
      </c>
      <c r="E6" s="2" t="str">
        <f aca="false">IF(SUMPRODUCT(--ISNUMBER(SEARCH({"405","921-3426","473-2695","9213426"},'preferredfencesolutions.com'!G3)))=0,"Pass","Fail")</f>
        <v>Pass</v>
      </c>
      <c r="F6" s="2" t="str">
        <f aca="false">IF(ISNUMBER(SEARCH("@",'preferredfencesolutions.com'!G3)),"Fail","Pass")</f>
        <v>Pass</v>
      </c>
      <c r="G6" s="2" t="str">
        <f aca="false">IF(OR(ISNUMBER(SEARCH("http",'preferredfencesolutions.com'!G3)),ISNUMBER(SEARCH("www.",'preferredfencesolutions.com'!G3)),ISNUMBER(SEARCH(".com",'preferredfencesolutions.com'!G3))),"Fail","Pass")</f>
        <v>Pass</v>
      </c>
      <c r="H6" s="2" t="str">
        <f aca="false">IF(LEN('preferredfencesolutions.com'!H3)&gt;0,"Pass","Fail")</f>
        <v>Pass</v>
      </c>
      <c r="I6" s="2" t="str">
        <f aca="false">IF(AND(ISNUMBER(SEARCH("utm_source=google",'preferredfencesolutions.com'!J3)),ISNUMBER(SEARCH("utm_content=",'preferredfencesolutions.com'!J3))),"Pass","Fail")</f>
        <v>Pass</v>
      </c>
      <c r="J6" s="2" t="str">
        <f aca="false">IF(ISNUMBER(SEARCH(Settings!$C$8,'preferredfencesolutions.com'!I3)),"Pass","Fail")</f>
        <v>Pass</v>
      </c>
      <c r="K6" s="2" t="str">
        <f aca="false">IF(WEEKDAY('preferredfencesolutions.com'!C3,2)&lt;=5,"Pass","Fail")</f>
        <v>Pass</v>
      </c>
      <c r="L6" s="2" t="str">
        <f aca="false">IF(LEN('preferredfencesolutions.com'!M3)&gt;0,"Pass","Fail")</f>
        <v>Pass</v>
      </c>
      <c r="M6" s="2" t="str">
        <f aca="false">IF(COUNTIF(D6:L6,"Fail")=0,"Pass","Fail")</f>
        <v>Pass</v>
      </c>
    </row>
    <row r="7" customFormat="false" ht="15" hidden="false" customHeight="false" outlineLevel="0" collapsed="false">
      <c r="A7" s="2" t="n">
        <v>3</v>
      </c>
      <c r="B7" s="3" t="n">
        <f aca="false">'preferredfencesolutions.com'!C4</f>
        <v>46330</v>
      </c>
      <c r="C7" s="2" t="n">
        <f aca="false">LEN('preferredfencesolutions.com'!G4)</f>
        <v>462</v>
      </c>
      <c r="D7" s="2" t="str">
        <f aca="false">IF(LEN('preferredfencesolutions.com'!G4)&lt;=1500,"Pass","Fail")</f>
        <v>Pass</v>
      </c>
      <c r="E7" s="2" t="str">
        <f aca="false">IF(SUMPRODUCT(--ISNUMBER(SEARCH({"405","921-3426","473-2695","9213426"},'preferredfencesolutions.com'!G4)))=0,"Pass","Fail")</f>
        <v>Pass</v>
      </c>
      <c r="F7" s="2" t="str">
        <f aca="false">IF(ISNUMBER(SEARCH("@",'preferredfencesolutions.com'!G4)),"Fail","Pass")</f>
        <v>Pass</v>
      </c>
      <c r="G7" s="2" t="str">
        <f aca="false">IF(OR(ISNUMBER(SEARCH("http",'preferredfencesolutions.com'!G4)),ISNUMBER(SEARCH("www.",'preferredfencesolutions.com'!G4)),ISNUMBER(SEARCH(".com",'preferredfencesolutions.com'!G4))),"Fail","Pass")</f>
        <v>Pass</v>
      </c>
      <c r="H7" s="2" t="str">
        <f aca="false">IF(LEN('preferredfencesolutions.com'!H4)&gt;0,"Pass","Fail")</f>
        <v>Pass</v>
      </c>
      <c r="I7" s="2" t="str">
        <f aca="false">IF(AND(ISNUMBER(SEARCH("utm_source=google",'preferredfencesolutions.com'!J4)),ISNUMBER(SEARCH("utm_content=",'preferredfencesolutions.com'!J4))),"Pass","Fail")</f>
        <v>Pass</v>
      </c>
      <c r="J7" s="2" t="str">
        <f aca="false">IF(ISNUMBER(SEARCH(Settings!$C$8,'preferredfencesolutions.com'!I4)),"Pass","Fail")</f>
        <v>Pass</v>
      </c>
      <c r="K7" s="2" t="str">
        <f aca="false">IF(WEEKDAY('preferredfencesolutions.com'!C4,2)&lt;=5,"Pass","Fail")</f>
        <v>Pass</v>
      </c>
      <c r="L7" s="2" t="str">
        <f aca="false">IF(LEN('preferredfencesolutions.com'!M4)&gt;0,"Pass","Fail")</f>
        <v>Pass</v>
      </c>
      <c r="M7" s="2" t="str">
        <f aca="false">IF(COUNTIF(D7:L7,"Fail")=0,"Pass","Fail")</f>
        <v>Pass</v>
      </c>
    </row>
    <row r="8" customFormat="false" ht="15" hidden="false" customHeight="false" outlineLevel="0" collapsed="false">
      <c r="A8" s="2" t="n">
        <v>4</v>
      </c>
      <c r="B8" s="3" t="n">
        <f aca="false">'preferredfencesolutions.com'!C5</f>
        <v>46331</v>
      </c>
      <c r="C8" s="2" t="n">
        <f aca="false">LEN('preferredfencesolutions.com'!G5)</f>
        <v>476</v>
      </c>
      <c r="D8" s="2" t="str">
        <f aca="false">IF(LEN('preferredfencesolutions.com'!G5)&lt;=1500,"Pass","Fail")</f>
        <v>Pass</v>
      </c>
      <c r="E8" s="2" t="str">
        <f aca="false">IF(SUMPRODUCT(--ISNUMBER(SEARCH({"405","921-3426","473-2695","9213426"},'preferredfencesolutions.com'!G5)))=0,"Pass","Fail")</f>
        <v>Pass</v>
      </c>
      <c r="F8" s="2" t="str">
        <f aca="false">IF(ISNUMBER(SEARCH("@",'preferredfencesolutions.com'!G5)),"Fail","Pass")</f>
        <v>Pass</v>
      </c>
      <c r="G8" s="2" t="str">
        <f aca="false">IF(OR(ISNUMBER(SEARCH("http",'preferredfencesolutions.com'!G5)),ISNUMBER(SEARCH("www.",'preferredfencesolutions.com'!G5)),ISNUMBER(SEARCH(".com",'preferredfencesolutions.com'!G5))),"Fail","Pass")</f>
        <v>Pass</v>
      </c>
      <c r="H8" s="2" t="str">
        <f aca="false">IF(LEN('preferredfencesolutions.com'!H5)&gt;0,"Pass","Fail")</f>
        <v>Pass</v>
      </c>
      <c r="I8" s="2" t="str">
        <f aca="false">IF(AND(ISNUMBER(SEARCH("utm_source=google",'preferredfencesolutions.com'!J5)),ISNUMBER(SEARCH("utm_content=",'preferredfencesolutions.com'!J5))),"Pass","Fail")</f>
        <v>Pass</v>
      </c>
      <c r="J8" s="2" t="str">
        <f aca="false">IF(ISNUMBER(SEARCH(Settings!$C$8,'preferredfencesolutions.com'!I5)),"Pass","Fail")</f>
        <v>Pass</v>
      </c>
      <c r="K8" s="2" t="str">
        <f aca="false">IF(WEEKDAY('preferredfencesolutions.com'!C5,2)&lt;=5,"Pass","Fail")</f>
        <v>Pass</v>
      </c>
      <c r="L8" s="2" t="str">
        <f aca="false">IF(LEN('preferredfencesolutions.com'!M5)&gt;0,"Pass","Fail")</f>
        <v>Pass</v>
      </c>
      <c r="M8" s="2" t="str">
        <f aca="false">IF(COUNTIF(D8:L8,"Fail")=0,"Pass","Fail")</f>
        <v>Pass</v>
      </c>
    </row>
    <row r="9" customFormat="false" ht="15" hidden="false" customHeight="false" outlineLevel="0" collapsed="false">
      <c r="A9" s="2" t="n">
        <v>5</v>
      </c>
      <c r="B9" s="3" t="n">
        <f aca="false">'preferredfencesolutions.com'!C6</f>
        <v>46332</v>
      </c>
      <c r="C9" s="2" t="n">
        <f aca="false">LEN('preferredfencesolutions.com'!G6)</f>
        <v>432</v>
      </c>
      <c r="D9" s="2" t="str">
        <f aca="false">IF(LEN('preferredfencesolutions.com'!G6)&lt;=1500,"Pass","Fail")</f>
        <v>Pass</v>
      </c>
      <c r="E9" s="2" t="str">
        <f aca="false">IF(SUMPRODUCT(--ISNUMBER(SEARCH({"405","921-3426","473-2695","9213426"},'preferredfencesolutions.com'!G6)))=0,"Pass","Fail")</f>
        <v>Pass</v>
      </c>
      <c r="F9" s="2" t="str">
        <f aca="false">IF(ISNUMBER(SEARCH("@",'preferredfencesolutions.com'!G6)),"Fail","Pass")</f>
        <v>Pass</v>
      </c>
      <c r="G9" s="2" t="str">
        <f aca="false">IF(OR(ISNUMBER(SEARCH("http",'preferredfencesolutions.com'!G6)),ISNUMBER(SEARCH("www.",'preferredfencesolutions.com'!G6)),ISNUMBER(SEARCH(".com",'preferredfencesolutions.com'!G6))),"Fail","Pass")</f>
        <v>Pass</v>
      </c>
      <c r="H9" s="2" t="str">
        <f aca="false">IF(LEN('preferredfencesolutions.com'!H6)&gt;0,"Pass","Fail")</f>
        <v>Pass</v>
      </c>
      <c r="I9" s="2" t="str">
        <f aca="false">IF(AND(ISNUMBER(SEARCH("utm_source=google",'preferredfencesolutions.com'!J6)),ISNUMBER(SEARCH("utm_content=",'preferredfencesolutions.com'!J6))),"Pass","Fail")</f>
        <v>Pass</v>
      </c>
      <c r="J9" s="2" t="str">
        <f aca="false">IF(ISNUMBER(SEARCH(Settings!$C$8,'preferredfencesolutions.com'!I6)),"Pass","Fail")</f>
        <v>Pass</v>
      </c>
      <c r="K9" s="2" t="str">
        <f aca="false">IF(WEEKDAY('preferredfencesolutions.com'!C6,2)&lt;=5,"Pass","Fail")</f>
        <v>Pass</v>
      </c>
      <c r="L9" s="2" t="str">
        <f aca="false">IF(LEN('preferredfencesolutions.com'!M6)&gt;0,"Pass","Fail")</f>
        <v>Pass</v>
      </c>
      <c r="M9" s="2" t="str">
        <f aca="false">IF(COUNTIF(D9:L9,"Fail")=0,"Pass","Fail")</f>
        <v>Pass</v>
      </c>
    </row>
    <row r="10" customFormat="false" ht="15" hidden="false" customHeight="false" outlineLevel="0" collapsed="false">
      <c r="A10" s="2" t="n">
        <v>6</v>
      </c>
      <c r="B10" s="3" t="n">
        <f aca="false">'preferredfencesolutions.com'!C7</f>
        <v>46335</v>
      </c>
      <c r="C10" s="2" t="n">
        <f aca="false">LEN('preferredfencesolutions.com'!G7)</f>
        <v>485</v>
      </c>
      <c r="D10" s="2" t="str">
        <f aca="false">IF(LEN('preferredfencesolutions.com'!G7)&lt;=1500,"Pass","Fail")</f>
        <v>Pass</v>
      </c>
      <c r="E10" s="2" t="str">
        <f aca="false">IF(SUMPRODUCT(--ISNUMBER(SEARCH({"405","921-3426","473-2695","9213426"},'preferredfencesolutions.com'!G7)))=0,"Pass","Fail")</f>
        <v>Pass</v>
      </c>
      <c r="F10" s="2" t="str">
        <f aca="false">IF(ISNUMBER(SEARCH("@",'preferredfencesolutions.com'!G7)),"Fail","Pass")</f>
        <v>Pass</v>
      </c>
      <c r="G10" s="2" t="str">
        <f aca="false">IF(OR(ISNUMBER(SEARCH("http",'preferredfencesolutions.com'!G7)),ISNUMBER(SEARCH("www.",'preferredfencesolutions.com'!G7)),ISNUMBER(SEARCH(".com",'preferredfencesolutions.com'!G7))),"Fail","Pass")</f>
        <v>Pass</v>
      </c>
      <c r="H10" s="2" t="str">
        <f aca="false">IF(LEN('preferredfencesolutions.com'!H7)&gt;0,"Pass","Fail")</f>
        <v>Pass</v>
      </c>
      <c r="I10" s="2" t="str">
        <f aca="false">IF(AND(ISNUMBER(SEARCH("utm_source=google",'preferredfencesolutions.com'!J7)),ISNUMBER(SEARCH("utm_content=",'preferredfencesolutions.com'!J7))),"Pass","Fail")</f>
        <v>Pass</v>
      </c>
      <c r="J10" s="2" t="str">
        <f aca="false">IF(ISNUMBER(SEARCH(Settings!$C$8,'preferredfencesolutions.com'!I7)),"Pass","Fail")</f>
        <v>Pass</v>
      </c>
      <c r="K10" s="2" t="str">
        <f aca="false">IF(WEEKDAY('preferredfencesolutions.com'!C7,2)&lt;=5,"Pass","Fail")</f>
        <v>Pass</v>
      </c>
      <c r="L10" s="2" t="str">
        <f aca="false">IF(LEN('preferredfencesolutions.com'!M7)&gt;0,"Pass","Fail")</f>
        <v>Pass</v>
      </c>
      <c r="M10" s="2" t="str">
        <f aca="false">IF(COUNTIF(D10:L10,"Fail")=0,"Pass","Fail")</f>
        <v>Pass</v>
      </c>
    </row>
    <row r="11" customFormat="false" ht="15" hidden="false" customHeight="false" outlineLevel="0" collapsed="false">
      <c r="A11" s="2" t="n">
        <v>7</v>
      </c>
      <c r="B11" s="3" t="n">
        <f aca="false">'preferredfencesolutions.com'!C8</f>
        <v>46336</v>
      </c>
      <c r="C11" s="2" t="n">
        <f aca="false">LEN('preferredfencesolutions.com'!G8)</f>
        <v>487</v>
      </c>
      <c r="D11" s="2" t="str">
        <f aca="false">IF(LEN('preferredfencesolutions.com'!G8)&lt;=1500,"Pass","Fail")</f>
        <v>Pass</v>
      </c>
      <c r="E11" s="2" t="str">
        <f aca="false">IF(SUMPRODUCT(--ISNUMBER(SEARCH({"405","921-3426","473-2695","9213426"},'preferredfencesolutions.com'!G8)))=0,"Pass","Fail")</f>
        <v>Pass</v>
      </c>
      <c r="F11" s="2" t="str">
        <f aca="false">IF(ISNUMBER(SEARCH("@",'preferredfencesolutions.com'!G8)),"Fail","Pass")</f>
        <v>Pass</v>
      </c>
      <c r="G11" s="2" t="str">
        <f aca="false">IF(OR(ISNUMBER(SEARCH("http",'preferredfencesolutions.com'!G8)),ISNUMBER(SEARCH("www.",'preferredfencesolutions.com'!G8)),ISNUMBER(SEARCH(".com",'preferredfencesolutions.com'!G8))),"Fail","Pass")</f>
        <v>Pass</v>
      </c>
      <c r="H11" s="2" t="str">
        <f aca="false">IF(LEN('preferredfencesolutions.com'!H8)&gt;0,"Pass","Fail")</f>
        <v>Pass</v>
      </c>
      <c r="I11" s="2" t="str">
        <f aca="false">IF(AND(ISNUMBER(SEARCH("utm_source=google",'preferredfencesolutions.com'!J8)),ISNUMBER(SEARCH("utm_content=",'preferredfencesolutions.com'!J8))),"Pass","Fail")</f>
        <v>Pass</v>
      </c>
      <c r="J11" s="2" t="str">
        <f aca="false">IF(ISNUMBER(SEARCH(Settings!$C$8,'preferredfencesolutions.com'!I8)),"Pass","Fail")</f>
        <v>Pass</v>
      </c>
      <c r="K11" s="2" t="str">
        <f aca="false">IF(WEEKDAY('preferredfencesolutions.com'!C8,2)&lt;=5,"Pass","Fail")</f>
        <v>Pass</v>
      </c>
      <c r="L11" s="2" t="str">
        <f aca="false">IF(LEN('preferredfencesolutions.com'!M8)&gt;0,"Pass","Fail")</f>
        <v>Pass</v>
      </c>
      <c r="M11" s="2" t="str">
        <f aca="false">IF(COUNTIF(D11:L11,"Fail")=0,"Pass","Fail")</f>
        <v>Pass</v>
      </c>
    </row>
    <row r="12" customFormat="false" ht="15" hidden="false" customHeight="false" outlineLevel="0" collapsed="false">
      <c r="A12" s="2" t="n">
        <v>8</v>
      </c>
      <c r="B12" s="3" t="n">
        <f aca="false">'preferredfencesolutions.com'!C9</f>
        <v>46337</v>
      </c>
      <c r="C12" s="2" t="n">
        <f aca="false">LEN('preferredfencesolutions.com'!G9)</f>
        <v>451</v>
      </c>
      <c r="D12" s="2" t="str">
        <f aca="false">IF(LEN('preferredfencesolutions.com'!G9)&lt;=1500,"Pass","Fail")</f>
        <v>Pass</v>
      </c>
      <c r="E12" s="2" t="str">
        <f aca="false">IF(SUMPRODUCT(--ISNUMBER(SEARCH({"405","921-3426","473-2695","9213426"},'preferredfencesolutions.com'!G9)))=0,"Pass","Fail")</f>
        <v>Pass</v>
      </c>
      <c r="F12" s="2" t="str">
        <f aca="false">IF(ISNUMBER(SEARCH("@",'preferredfencesolutions.com'!G9)),"Fail","Pass")</f>
        <v>Pass</v>
      </c>
      <c r="G12" s="2" t="str">
        <f aca="false">IF(OR(ISNUMBER(SEARCH("http",'preferredfencesolutions.com'!G9)),ISNUMBER(SEARCH("www.",'preferredfencesolutions.com'!G9)),ISNUMBER(SEARCH(".com",'preferredfencesolutions.com'!G9))),"Fail","Pass")</f>
        <v>Pass</v>
      </c>
      <c r="H12" s="2" t="str">
        <f aca="false">IF(LEN('preferredfencesolutions.com'!H9)&gt;0,"Pass","Fail")</f>
        <v>Pass</v>
      </c>
      <c r="I12" s="2" t="str">
        <f aca="false">IF(AND(ISNUMBER(SEARCH("utm_source=google",'preferredfencesolutions.com'!J9)),ISNUMBER(SEARCH("utm_content=",'preferredfencesolutions.com'!J9))),"Pass","Fail")</f>
        <v>Pass</v>
      </c>
      <c r="J12" s="2" t="str">
        <f aca="false">IF(ISNUMBER(SEARCH(Settings!$C$8,'preferredfencesolutions.com'!I9)),"Pass","Fail")</f>
        <v>Pass</v>
      </c>
      <c r="K12" s="2" t="str">
        <f aca="false">IF(WEEKDAY('preferredfencesolutions.com'!C9,2)&lt;=5,"Pass","Fail")</f>
        <v>Pass</v>
      </c>
      <c r="L12" s="2" t="str">
        <f aca="false">IF(LEN('preferredfencesolutions.com'!M9)&gt;0,"Pass","Fail")</f>
        <v>Pass</v>
      </c>
      <c r="M12" s="2" t="str">
        <f aca="false">IF(COUNTIF(D12:L12,"Fail")=0,"Pass","Fail")</f>
        <v>Pass</v>
      </c>
    </row>
    <row r="13" customFormat="false" ht="15" hidden="false" customHeight="false" outlineLevel="0" collapsed="false">
      <c r="A13" s="2" t="n">
        <v>9</v>
      </c>
      <c r="B13" s="3" t="n">
        <f aca="false">'preferredfencesolutions.com'!C10</f>
        <v>46338</v>
      </c>
      <c r="C13" s="2" t="n">
        <f aca="false">LEN('preferredfencesolutions.com'!G10)</f>
        <v>460</v>
      </c>
      <c r="D13" s="2" t="str">
        <f aca="false">IF(LEN('preferredfencesolutions.com'!G10)&lt;=1500,"Pass","Fail")</f>
        <v>Pass</v>
      </c>
      <c r="E13" s="2" t="str">
        <f aca="false">IF(SUMPRODUCT(--ISNUMBER(SEARCH({"405","921-3426","473-2695","9213426"},'preferredfencesolutions.com'!G10)))=0,"Pass","Fail")</f>
        <v>Pass</v>
      </c>
      <c r="F13" s="2" t="str">
        <f aca="false">IF(ISNUMBER(SEARCH("@",'preferredfencesolutions.com'!G10)),"Fail","Pass")</f>
        <v>Pass</v>
      </c>
      <c r="G13" s="2" t="str">
        <f aca="false">IF(OR(ISNUMBER(SEARCH("http",'preferredfencesolutions.com'!G10)),ISNUMBER(SEARCH("www.",'preferredfencesolutions.com'!G10)),ISNUMBER(SEARCH(".com",'preferredfencesolutions.com'!G10))),"Fail","Pass")</f>
        <v>Pass</v>
      </c>
      <c r="H13" s="2" t="str">
        <f aca="false">IF(LEN('preferredfencesolutions.com'!H10)&gt;0,"Pass","Fail")</f>
        <v>Pass</v>
      </c>
      <c r="I13" s="2" t="str">
        <f aca="false">IF(AND(ISNUMBER(SEARCH("utm_source=google",'preferredfencesolutions.com'!J10)),ISNUMBER(SEARCH("utm_content=",'preferredfencesolutions.com'!J10))),"Pass","Fail")</f>
        <v>Pass</v>
      </c>
      <c r="J13" s="2" t="str">
        <f aca="false">IF(ISNUMBER(SEARCH(Settings!$C$8,'preferredfencesolutions.com'!I10)),"Pass","Fail")</f>
        <v>Pass</v>
      </c>
      <c r="K13" s="2" t="str">
        <f aca="false">IF(WEEKDAY('preferredfencesolutions.com'!C10,2)&lt;=5,"Pass","Fail")</f>
        <v>Pass</v>
      </c>
      <c r="L13" s="2" t="str">
        <f aca="false">IF(LEN('preferredfencesolutions.com'!M10)&gt;0,"Pass","Fail")</f>
        <v>Pass</v>
      </c>
      <c r="M13" s="2" t="str">
        <f aca="false">IF(COUNTIF(D13:L13,"Fail")=0,"Pass","Fail")</f>
        <v>Pass</v>
      </c>
    </row>
    <row r="14" customFormat="false" ht="15" hidden="false" customHeight="false" outlineLevel="0" collapsed="false">
      <c r="A14" s="2" t="n">
        <v>10</v>
      </c>
      <c r="B14" s="3" t="n">
        <f aca="false">'preferredfencesolutions.com'!C11</f>
        <v>46339</v>
      </c>
      <c r="C14" s="2" t="n">
        <f aca="false">LEN('preferredfencesolutions.com'!G11)</f>
        <v>431</v>
      </c>
      <c r="D14" s="2" t="str">
        <f aca="false">IF(LEN('preferredfencesolutions.com'!G11)&lt;=1500,"Pass","Fail")</f>
        <v>Pass</v>
      </c>
      <c r="E14" s="2" t="str">
        <f aca="false">IF(SUMPRODUCT(--ISNUMBER(SEARCH({"405","921-3426","473-2695","9213426"},'preferredfencesolutions.com'!G11)))=0,"Pass","Fail")</f>
        <v>Pass</v>
      </c>
      <c r="F14" s="2" t="str">
        <f aca="false">IF(ISNUMBER(SEARCH("@",'preferredfencesolutions.com'!G11)),"Fail","Pass")</f>
        <v>Pass</v>
      </c>
      <c r="G14" s="2" t="str">
        <f aca="false">IF(OR(ISNUMBER(SEARCH("http",'preferredfencesolutions.com'!G11)),ISNUMBER(SEARCH("www.",'preferredfencesolutions.com'!G11)),ISNUMBER(SEARCH(".com",'preferredfencesolutions.com'!G11))),"Fail","Pass")</f>
        <v>Pass</v>
      </c>
      <c r="H14" s="2" t="str">
        <f aca="false">IF(LEN('preferredfencesolutions.com'!H11)&gt;0,"Pass","Fail")</f>
        <v>Pass</v>
      </c>
      <c r="I14" s="2" t="str">
        <f aca="false">IF(AND(ISNUMBER(SEARCH("utm_source=google",'preferredfencesolutions.com'!J11)),ISNUMBER(SEARCH("utm_content=",'preferredfencesolutions.com'!J11))),"Pass","Fail")</f>
        <v>Pass</v>
      </c>
      <c r="J14" s="2" t="str">
        <f aca="false">IF(ISNUMBER(SEARCH(Settings!$C$8,'preferredfencesolutions.com'!I11)),"Pass","Fail")</f>
        <v>Pass</v>
      </c>
      <c r="K14" s="2" t="str">
        <f aca="false">IF(WEEKDAY('preferredfencesolutions.com'!C11,2)&lt;=5,"Pass","Fail")</f>
        <v>Pass</v>
      </c>
      <c r="L14" s="2" t="str">
        <f aca="false">IF(LEN('preferredfencesolutions.com'!M11)&gt;0,"Pass","Fail")</f>
        <v>Pass</v>
      </c>
      <c r="M14" s="2" t="str">
        <f aca="false">IF(COUNTIF(D14:L14,"Fail")=0,"Pass","Fail")</f>
        <v>Pass</v>
      </c>
    </row>
    <row r="15" customFormat="false" ht="15" hidden="false" customHeight="false" outlineLevel="0" collapsed="false">
      <c r="A15" s="2" t="n">
        <v>11</v>
      </c>
      <c r="B15" s="3" t="n">
        <f aca="false">'preferredfencesolutions.com'!C12</f>
        <v>46342</v>
      </c>
      <c r="C15" s="2" t="n">
        <f aca="false">LEN('preferredfencesolutions.com'!G12)</f>
        <v>405</v>
      </c>
      <c r="D15" s="2" t="str">
        <f aca="false">IF(LEN('preferredfencesolutions.com'!G12)&lt;=1500,"Pass","Fail")</f>
        <v>Pass</v>
      </c>
      <c r="E15" s="2" t="str">
        <f aca="false">IF(SUMPRODUCT(--ISNUMBER(SEARCH({"405","921-3426","473-2695","9213426"},'preferredfencesolutions.com'!G12)))=0,"Pass","Fail")</f>
        <v>Pass</v>
      </c>
      <c r="F15" s="2" t="str">
        <f aca="false">IF(ISNUMBER(SEARCH("@",'preferredfencesolutions.com'!G12)),"Fail","Pass")</f>
        <v>Pass</v>
      </c>
      <c r="G15" s="2" t="str">
        <f aca="false">IF(OR(ISNUMBER(SEARCH("http",'preferredfencesolutions.com'!G12)),ISNUMBER(SEARCH("www.",'preferredfencesolutions.com'!G12)),ISNUMBER(SEARCH(".com",'preferredfencesolutions.com'!G12))),"Fail","Pass")</f>
        <v>Pass</v>
      </c>
      <c r="H15" s="2" t="str">
        <f aca="false">IF(LEN('preferredfencesolutions.com'!H12)&gt;0,"Pass","Fail")</f>
        <v>Pass</v>
      </c>
      <c r="I15" s="2" t="str">
        <f aca="false">IF(AND(ISNUMBER(SEARCH("utm_source=google",'preferredfencesolutions.com'!J12)),ISNUMBER(SEARCH("utm_content=",'preferredfencesolutions.com'!J12))),"Pass","Fail")</f>
        <v>Pass</v>
      </c>
      <c r="J15" s="2" t="str">
        <f aca="false">IF(ISNUMBER(SEARCH(Settings!$C$8,'preferredfencesolutions.com'!I12)),"Pass","Fail")</f>
        <v>Pass</v>
      </c>
      <c r="K15" s="2" t="str">
        <f aca="false">IF(WEEKDAY('preferredfencesolutions.com'!C12,2)&lt;=5,"Pass","Fail")</f>
        <v>Pass</v>
      </c>
      <c r="L15" s="2" t="str">
        <f aca="false">IF(LEN('preferredfencesolutions.com'!M12)&gt;0,"Pass","Fail")</f>
        <v>Pass</v>
      </c>
      <c r="M15" s="2" t="str">
        <f aca="false">IF(COUNTIF(D15:L15,"Fail")=0,"Pass","Fail")</f>
        <v>Pass</v>
      </c>
    </row>
    <row r="16" customFormat="false" ht="15" hidden="false" customHeight="false" outlineLevel="0" collapsed="false">
      <c r="A16" s="2" t="n">
        <v>12</v>
      </c>
      <c r="B16" s="3" t="n">
        <f aca="false">'preferredfencesolutions.com'!C13</f>
        <v>46343</v>
      </c>
      <c r="C16" s="2" t="n">
        <f aca="false">LEN('preferredfencesolutions.com'!G13)</f>
        <v>420</v>
      </c>
      <c r="D16" s="2" t="str">
        <f aca="false">IF(LEN('preferredfencesolutions.com'!G13)&lt;=1500,"Pass","Fail")</f>
        <v>Pass</v>
      </c>
      <c r="E16" s="2" t="str">
        <f aca="false">IF(SUMPRODUCT(--ISNUMBER(SEARCH({"405","921-3426","473-2695","9213426"},'preferredfencesolutions.com'!G13)))=0,"Pass","Fail")</f>
        <v>Pass</v>
      </c>
      <c r="F16" s="2" t="str">
        <f aca="false">IF(ISNUMBER(SEARCH("@",'preferredfencesolutions.com'!G13)),"Fail","Pass")</f>
        <v>Pass</v>
      </c>
      <c r="G16" s="2" t="str">
        <f aca="false">IF(OR(ISNUMBER(SEARCH("http",'preferredfencesolutions.com'!G13)),ISNUMBER(SEARCH("www.",'preferredfencesolutions.com'!G13)),ISNUMBER(SEARCH(".com",'preferredfencesolutions.com'!G13))),"Fail","Pass")</f>
        <v>Pass</v>
      </c>
      <c r="H16" s="2" t="str">
        <f aca="false">IF(LEN('preferredfencesolutions.com'!H13)&gt;0,"Pass","Fail")</f>
        <v>Pass</v>
      </c>
      <c r="I16" s="2" t="str">
        <f aca="false">IF(AND(ISNUMBER(SEARCH("utm_source=google",'preferredfencesolutions.com'!J13)),ISNUMBER(SEARCH("utm_content=",'preferredfencesolutions.com'!J13))),"Pass","Fail")</f>
        <v>Pass</v>
      </c>
      <c r="J16" s="2" t="str">
        <f aca="false">IF(ISNUMBER(SEARCH(Settings!$C$8,'preferredfencesolutions.com'!I13)),"Pass","Fail")</f>
        <v>Pass</v>
      </c>
      <c r="K16" s="2" t="str">
        <f aca="false">IF(WEEKDAY('preferredfencesolutions.com'!C13,2)&lt;=5,"Pass","Fail")</f>
        <v>Pass</v>
      </c>
      <c r="L16" s="2" t="str">
        <f aca="false">IF(LEN('preferredfencesolutions.com'!M13)&gt;0,"Pass","Fail")</f>
        <v>Pass</v>
      </c>
      <c r="M16" s="2" t="str">
        <f aca="false">IF(COUNTIF(D16:L16,"Fail")=0,"Pass","Fail")</f>
        <v>Pass</v>
      </c>
    </row>
    <row r="17" customFormat="false" ht="15" hidden="false" customHeight="false" outlineLevel="0" collapsed="false">
      <c r="A17" s="2" t="n">
        <v>13</v>
      </c>
      <c r="B17" s="3" t="n">
        <f aca="false">'preferredfencesolutions.com'!C14</f>
        <v>46344</v>
      </c>
      <c r="C17" s="2" t="n">
        <f aca="false">LEN('preferredfencesolutions.com'!G14)</f>
        <v>443</v>
      </c>
      <c r="D17" s="2" t="str">
        <f aca="false">IF(LEN('preferredfencesolutions.com'!G14)&lt;=1500,"Pass","Fail")</f>
        <v>Pass</v>
      </c>
      <c r="E17" s="2" t="str">
        <f aca="false">IF(SUMPRODUCT(--ISNUMBER(SEARCH({"405","921-3426","473-2695","9213426"},'preferredfencesolutions.com'!G14)))=0,"Pass","Fail")</f>
        <v>Pass</v>
      </c>
      <c r="F17" s="2" t="str">
        <f aca="false">IF(ISNUMBER(SEARCH("@",'preferredfencesolutions.com'!G14)),"Fail","Pass")</f>
        <v>Pass</v>
      </c>
      <c r="G17" s="2" t="str">
        <f aca="false">IF(OR(ISNUMBER(SEARCH("http",'preferredfencesolutions.com'!G14)),ISNUMBER(SEARCH("www.",'preferredfencesolutions.com'!G14)),ISNUMBER(SEARCH(".com",'preferredfencesolutions.com'!G14))),"Fail","Pass")</f>
        <v>Pass</v>
      </c>
      <c r="H17" s="2" t="str">
        <f aca="false">IF(LEN('preferredfencesolutions.com'!H14)&gt;0,"Pass","Fail")</f>
        <v>Pass</v>
      </c>
      <c r="I17" s="2" t="str">
        <f aca="false">IF(AND(ISNUMBER(SEARCH("utm_source=google",'preferredfencesolutions.com'!J14)),ISNUMBER(SEARCH("utm_content=",'preferredfencesolutions.com'!J14))),"Pass","Fail")</f>
        <v>Pass</v>
      </c>
      <c r="J17" s="2" t="str">
        <f aca="false">IF(ISNUMBER(SEARCH(Settings!$C$8,'preferredfencesolutions.com'!I14)),"Pass","Fail")</f>
        <v>Pass</v>
      </c>
      <c r="K17" s="2" t="str">
        <f aca="false">IF(WEEKDAY('preferredfencesolutions.com'!C14,2)&lt;=5,"Pass","Fail")</f>
        <v>Pass</v>
      </c>
      <c r="L17" s="2" t="str">
        <f aca="false">IF(LEN('preferredfencesolutions.com'!M14)&gt;0,"Pass","Fail")</f>
        <v>Pass</v>
      </c>
      <c r="M17" s="2" t="str">
        <f aca="false">IF(COUNTIF(D17:L17,"Fail")=0,"Pass","Fail")</f>
        <v>Pass</v>
      </c>
    </row>
    <row r="18" customFormat="false" ht="15" hidden="false" customHeight="false" outlineLevel="0" collapsed="false">
      <c r="A18" s="2" t="n">
        <v>14</v>
      </c>
      <c r="B18" s="3" t="n">
        <f aca="false">'preferredfencesolutions.com'!C15</f>
        <v>46345</v>
      </c>
      <c r="C18" s="2" t="n">
        <f aca="false">LEN('preferredfencesolutions.com'!G15)</f>
        <v>412</v>
      </c>
      <c r="D18" s="2" t="str">
        <f aca="false">IF(LEN('preferredfencesolutions.com'!G15)&lt;=1500,"Pass","Fail")</f>
        <v>Pass</v>
      </c>
      <c r="E18" s="2" t="str">
        <f aca="false">IF(SUMPRODUCT(--ISNUMBER(SEARCH({"405","921-3426","473-2695","9213426"},'preferredfencesolutions.com'!G15)))=0,"Pass","Fail")</f>
        <v>Pass</v>
      </c>
      <c r="F18" s="2" t="str">
        <f aca="false">IF(ISNUMBER(SEARCH("@",'preferredfencesolutions.com'!G15)),"Fail","Pass")</f>
        <v>Pass</v>
      </c>
      <c r="G18" s="2" t="str">
        <f aca="false">IF(OR(ISNUMBER(SEARCH("http",'preferredfencesolutions.com'!G15)),ISNUMBER(SEARCH("www.",'preferredfencesolutions.com'!G15)),ISNUMBER(SEARCH(".com",'preferredfencesolutions.com'!G15))),"Fail","Pass")</f>
        <v>Pass</v>
      </c>
      <c r="H18" s="2" t="str">
        <f aca="false">IF(LEN('preferredfencesolutions.com'!H15)&gt;0,"Pass","Fail")</f>
        <v>Pass</v>
      </c>
      <c r="I18" s="2" t="str">
        <f aca="false">IF(AND(ISNUMBER(SEARCH("utm_source=google",'preferredfencesolutions.com'!J15)),ISNUMBER(SEARCH("utm_content=",'preferredfencesolutions.com'!J15))),"Pass","Fail")</f>
        <v>Pass</v>
      </c>
      <c r="J18" s="2" t="str">
        <f aca="false">IF(ISNUMBER(SEARCH(Settings!$C$8,'preferredfencesolutions.com'!I15)),"Pass","Fail")</f>
        <v>Pass</v>
      </c>
      <c r="K18" s="2" t="str">
        <f aca="false">IF(WEEKDAY('preferredfencesolutions.com'!C15,2)&lt;=5,"Pass","Fail")</f>
        <v>Pass</v>
      </c>
      <c r="L18" s="2" t="str">
        <f aca="false">IF(LEN('preferredfencesolutions.com'!M15)&gt;0,"Pass","Fail")</f>
        <v>Pass</v>
      </c>
      <c r="M18" s="2" t="str">
        <f aca="false">IF(COUNTIF(D18:L18,"Fail")=0,"Pass","Fail")</f>
        <v>Pass</v>
      </c>
    </row>
    <row r="19" customFormat="false" ht="15" hidden="false" customHeight="false" outlineLevel="0" collapsed="false">
      <c r="A19" s="2" t="n">
        <v>15</v>
      </c>
      <c r="B19" s="3" t="n">
        <f aca="false">'preferredfencesolutions.com'!C16</f>
        <v>46346</v>
      </c>
      <c r="C19" s="2" t="n">
        <f aca="false">LEN('preferredfencesolutions.com'!G16)</f>
        <v>421</v>
      </c>
      <c r="D19" s="2" t="str">
        <f aca="false">IF(LEN('preferredfencesolutions.com'!G16)&lt;=1500,"Pass","Fail")</f>
        <v>Pass</v>
      </c>
      <c r="E19" s="2" t="str">
        <f aca="false">IF(SUMPRODUCT(--ISNUMBER(SEARCH({"405","921-3426","473-2695","9213426"},'preferredfencesolutions.com'!G16)))=0,"Pass","Fail")</f>
        <v>Pass</v>
      </c>
      <c r="F19" s="2" t="str">
        <f aca="false">IF(ISNUMBER(SEARCH("@",'preferredfencesolutions.com'!G16)),"Fail","Pass")</f>
        <v>Pass</v>
      </c>
      <c r="G19" s="2" t="str">
        <f aca="false">IF(OR(ISNUMBER(SEARCH("http",'preferredfencesolutions.com'!G16)),ISNUMBER(SEARCH("www.",'preferredfencesolutions.com'!G16)),ISNUMBER(SEARCH(".com",'preferredfencesolutions.com'!G16))),"Fail","Pass")</f>
        <v>Pass</v>
      </c>
      <c r="H19" s="2" t="str">
        <f aca="false">IF(LEN('preferredfencesolutions.com'!H16)&gt;0,"Pass","Fail")</f>
        <v>Pass</v>
      </c>
      <c r="I19" s="2" t="str">
        <f aca="false">IF(AND(ISNUMBER(SEARCH("utm_source=google",'preferredfencesolutions.com'!J16)),ISNUMBER(SEARCH("utm_content=",'preferredfencesolutions.com'!J16))),"Pass","Fail")</f>
        <v>Pass</v>
      </c>
      <c r="J19" s="2" t="str">
        <f aca="false">IF(ISNUMBER(SEARCH(Settings!$C$8,'preferredfencesolutions.com'!I16)),"Pass","Fail")</f>
        <v>Pass</v>
      </c>
      <c r="K19" s="2" t="str">
        <f aca="false">IF(WEEKDAY('preferredfencesolutions.com'!C16,2)&lt;=5,"Pass","Fail")</f>
        <v>Pass</v>
      </c>
      <c r="L19" s="2" t="str">
        <f aca="false">IF(LEN('preferredfencesolutions.com'!M16)&gt;0,"Pass","Fail")</f>
        <v>Pass</v>
      </c>
      <c r="M19" s="2" t="str">
        <f aca="false">IF(COUNTIF(D19:L19,"Fail")=0,"Pass","Fail")</f>
        <v>Pass</v>
      </c>
    </row>
    <row r="20" customFormat="false" ht="15" hidden="false" customHeight="false" outlineLevel="0" collapsed="false">
      <c r="A20" s="2" t="n">
        <v>16</v>
      </c>
      <c r="B20" s="3" t="n">
        <f aca="false">'preferredfencesolutions.com'!C17</f>
        <v>46349</v>
      </c>
      <c r="C20" s="2" t="n">
        <f aca="false">LEN('preferredfencesolutions.com'!G17)</f>
        <v>469</v>
      </c>
      <c r="D20" s="2" t="str">
        <f aca="false">IF(LEN('preferredfencesolutions.com'!G17)&lt;=1500,"Pass","Fail")</f>
        <v>Pass</v>
      </c>
      <c r="E20" s="2" t="str">
        <f aca="false">IF(SUMPRODUCT(--ISNUMBER(SEARCH({"405","921-3426","473-2695","9213426"},'preferredfencesolutions.com'!G17)))=0,"Pass","Fail")</f>
        <v>Pass</v>
      </c>
      <c r="F20" s="2" t="str">
        <f aca="false">IF(ISNUMBER(SEARCH("@",'preferredfencesolutions.com'!G17)),"Fail","Pass")</f>
        <v>Pass</v>
      </c>
      <c r="G20" s="2" t="str">
        <f aca="false">IF(OR(ISNUMBER(SEARCH("http",'preferredfencesolutions.com'!G17)),ISNUMBER(SEARCH("www.",'preferredfencesolutions.com'!G17)),ISNUMBER(SEARCH(".com",'preferredfencesolutions.com'!G17))),"Fail","Pass")</f>
        <v>Pass</v>
      </c>
      <c r="H20" s="2" t="str">
        <f aca="false">IF(LEN('preferredfencesolutions.com'!H17)&gt;0,"Pass","Fail")</f>
        <v>Pass</v>
      </c>
      <c r="I20" s="2" t="str">
        <f aca="false">IF(AND(ISNUMBER(SEARCH("utm_source=google",'preferredfencesolutions.com'!J17)),ISNUMBER(SEARCH("utm_content=",'preferredfencesolutions.com'!J17))),"Pass","Fail")</f>
        <v>Pass</v>
      </c>
      <c r="J20" s="2" t="str">
        <f aca="false">IF(ISNUMBER(SEARCH(Settings!$C$8,'preferredfencesolutions.com'!I17)),"Pass","Fail")</f>
        <v>Pass</v>
      </c>
      <c r="K20" s="2" t="str">
        <f aca="false">IF(WEEKDAY('preferredfencesolutions.com'!C17,2)&lt;=5,"Pass","Fail")</f>
        <v>Pass</v>
      </c>
      <c r="L20" s="2" t="str">
        <f aca="false">IF(LEN('preferredfencesolutions.com'!M17)&gt;0,"Pass","Fail")</f>
        <v>Pass</v>
      </c>
      <c r="M20" s="2" t="str">
        <f aca="false">IF(COUNTIF(D20:L20,"Fail")=0,"Pass","Fail")</f>
        <v>Pass</v>
      </c>
    </row>
    <row r="21" customFormat="false" ht="15" hidden="false" customHeight="false" outlineLevel="0" collapsed="false">
      <c r="A21" s="2" t="n">
        <v>17</v>
      </c>
      <c r="B21" s="3" t="n">
        <f aca="false">'preferredfencesolutions.com'!C18</f>
        <v>46350</v>
      </c>
      <c r="C21" s="2" t="n">
        <f aca="false">LEN('preferredfencesolutions.com'!G18)</f>
        <v>405</v>
      </c>
      <c r="D21" s="2" t="str">
        <f aca="false">IF(LEN('preferredfencesolutions.com'!G18)&lt;=1500,"Pass","Fail")</f>
        <v>Pass</v>
      </c>
      <c r="E21" s="2" t="str">
        <f aca="false">IF(SUMPRODUCT(--ISNUMBER(SEARCH({"405","921-3426","473-2695","9213426"},'preferredfencesolutions.com'!G18)))=0,"Pass","Fail")</f>
        <v>Pass</v>
      </c>
      <c r="F21" s="2" t="str">
        <f aca="false">IF(ISNUMBER(SEARCH("@",'preferredfencesolutions.com'!G18)),"Fail","Pass")</f>
        <v>Pass</v>
      </c>
      <c r="G21" s="2" t="str">
        <f aca="false">IF(OR(ISNUMBER(SEARCH("http",'preferredfencesolutions.com'!G18)),ISNUMBER(SEARCH("www.",'preferredfencesolutions.com'!G18)),ISNUMBER(SEARCH(".com",'preferredfencesolutions.com'!G18))),"Fail","Pass")</f>
        <v>Pass</v>
      </c>
      <c r="H21" s="2" t="str">
        <f aca="false">IF(LEN('preferredfencesolutions.com'!H18)&gt;0,"Pass","Fail")</f>
        <v>Pass</v>
      </c>
      <c r="I21" s="2" t="str">
        <f aca="false">IF(AND(ISNUMBER(SEARCH("utm_source=google",'preferredfencesolutions.com'!J18)),ISNUMBER(SEARCH("utm_content=",'preferredfencesolutions.com'!J18))),"Pass","Fail")</f>
        <v>Pass</v>
      </c>
      <c r="J21" s="2" t="str">
        <f aca="false">IF(ISNUMBER(SEARCH(Settings!$C$8,'preferredfencesolutions.com'!I18)),"Pass","Fail")</f>
        <v>Pass</v>
      </c>
      <c r="K21" s="2" t="str">
        <f aca="false">IF(WEEKDAY('preferredfencesolutions.com'!C18,2)&lt;=5,"Pass","Fail")</f>
        <v>Pass</v>
      </c>
      <c r="L21" s="2" t="str">
        <f aca="false">IF(LEN('preferredfencesolutions.com'!M18)&gt;0,"Pass","Fail")</f>
        <v>Pass</v>
      </c>
      <c r="M21" s="2" t="str">
        <f aca="false">IF(COUNTIF(D21:L21,"Fail")=0,"Pass","Fail")</f>
        <v>Pass</v>
      </c>
    </row>
    <row r="22" customFormat="false" ht="15" hidden="false" customHeight="false" outlineLevel="0" collapsed="false">
      <c r="A22" s="2" t="n">
        <v>18</v>
      </c>
      <c r="B22" s="3" t="n">
        <f aca="false">'preferredfencesolutions.com'!C19</f>
        <v>46351</v>
      </c>
      <c r="C22" s="2" t="n">
        <f aca="false">LEN('preferredfencesolutions.com'!G19)</f>
        <v>424</v>
      </c>
      <c r="D22" s="2" t="str">
        <f aca="false">IF(LEN('preferredfencesolutions.com'!G19)&lt;=1500,"Pass","Fail")</f>
        <v>Pass</v>
      </c>
      <c r="E22" s="2" t="str">
        <f aca="false">IF(SUMPRODUCT(--ISNUMBER(SEARCH({"405","921-3426","473-2695","9213426"},'preferredfencesolutions.com'!G19)))=0,"Pass","Fail")</f>
        <v>Pass</v>
      </c>
      <c r="F22" s="2" t="str">
        <f aca="false">IF(ISNUMBER(SEARCH("@",'preferredfencesolutions.com'!G19)),"Fail","Pass")</f>
        <v>Pass</v>
      </c>
      <c r="G22" s="2" t="str">
        <f aca="false">IF(OR(ISNUMBER(SEARCH("http",'preferredfencesolutions.com'!G19)),ISNUMBER(SEARCH("www.",'preferredfencesolutions.com'!G19)),ISNUMBER(SEARCH(".com",'preferredfencesolutions.com'!G19))),"Fail","Pass")</f>
        <v>Pass</v>
      </c>
      <c r="H22" s="2" t="str">
        <f aca="false">IF(LEN('preferredfencesolutions.com'!H19)&gt;0,"Pass","Fail")</f>
        <v>Pass</v>
      </c>
      <c r="I22" s="2" t="str">
        <f aca="false">IF(AND(ISNUMBER(SEARCH("utm_source=google",'preferredfencesolutions.com'!J19)),ISNUMBER(SEARCH("utm_content=",'preferredfencesolutions.com'!J19))),"Pass","Fail")</f>
        <v>Pass</v>
      </c>
      <c r="J22" s="2" t="str">
        <f aca="false">IF(ISNUMBER(SEARCH(Settings!$C$8,'preferredfencesolutions.com'!I19)),"Pass","Fail")</f>
        <v>Pass</v>
      </c>
      <c r="K22" s="2" t="str">
        <f aca="false">IF(WEEKDAY('preferredfencesolutions.com'!C19,2)&lt;=5,"Pass","Fail")</f>
        <v>Pass</v>
      </c>
      <c r="L22" s="2" t="str">
        <f aca="false">IF(LEN('preferredfencesolutions.com'!M19)&gt;0,"Pass","Fail")</f>
        <v>Pass</v>
      </c>
      <c r="M22" s="2" t="str">
        <f aca="false">IF(COUNTIF(D22:L22,"Fail")=0,"Pass","Fail")</f>
        <v>Pass</v>
      </c>
    </row>
    <row r="23" customFormat="false" ht="15" hidden="false" customHeight="false" outlineLevel="0" collapsed="false">
      <c r="A23" s="2" t="n">
        <v>19</v>
      </c>
      <c r="B23" s="3" t="n">
        <f aca="false">'preferredfencesolutions.com'!C20</f>
        <v>46352</v>
      </c>
      <c r="C23" s="2" t="n">
        <f aca="false">LEN('preferredfencesolutions.com'!G20)</f>
        <v>444</v>
      </c>
      <c r="D23" s="2" t="str">
        <f aca="false">IF(LEN('preferredfencesolutions.com'!G20)&lt;=1500,"Pass","Fail")</f>
        <v>Pass</v>
      </c>
      <c r="E23" s="2" t="str">
        <f aca="false">IF(SUMPRODUCT(--ISNUMBER(SEARCH({"405","921-3426","473-2695","9213426"},'preferredfencesolutions.com'!G20)))=0,"Pass","Fail")</f>
        <v>Pass</v>
      </c>
      <c r="F23" s="2" t="str">
        <f aca="false">IF(ISNUMBER(SEARCH("@",'preferredfencesolutions.com'!G20)),"Fail","Pass")</f>
        <v>Pass</v>
      </c>
      <c r="G23" s="2" t="str">
        <f aca="false">IF(OR(ISNUMBER(SEARCH("http",'preferredfencesolutions.com'!G20)),ISNUMBER(SEARCH("www.",'preferredfencesolutions.com'!G20)),ISNUMBER(SEARCH(".com",'preferredfencesolutions.com'!G20))),"Fail","Pass")</f>
        <v>Pass</v>
      </c>
      <c r="H23" s="2" t="str">
        <f aca="false">IF(LEN('preferredfencesolutions.com'!H20)&gt;0,"Pass","Fail")</f>
        <v>Pass</v>
      </c>
      <c r="I23" s="2" t="str">
        <f aca="false">IF(AND(ISNUMBER(SEARCH("utm_source=google",'preferredfencesolutions.com'!J20)),ISNUMBER(SEARCH("utm_content=",'preferredfencesolutions.com'!J20))),"Pass","Fail")</f>
        <v>Pass</v>
      </c>
      <c r="J23" s="2" t="str">
        <f aca="false">IF(ISNUMBER(SEARCH(Settings!$C$8,'preferredfencesolutions.com'!I20)),"Pass","Fail")</f>
        <v>Pass</v>
      </c>
      <c r="K23" s="2" t="str">
        <f aca="false">IF(WEEKDAY('preferredfencesolutions.com'!C20,2)&lt;=5,"Pass","Fail")</f>
        <v>Pass</v>
      </c>
      <c r="L23" s="2" t="str">
        <f aca="false">IF(LEN('preferredfencesolutions.com'!M20)&gt;0,"Pass","Fail")</f>
        <v>Pass</v>
      </c>
      <c r="M23" s="2" t="str">
        <f aca="false">IF(COUNTIF(D23:L23,"Fail")=0,"Pass","Fail")</f>
        <v>Pass</v>
      </c>
    </row>
    <row r="24" customFormat="false" ht="15" hidden="false" customHeight="false" outlineLevel="0" collapsed="false">
      <c r="A24" s="2" t="n">
        <v>20</v>
      </c>
      <c r="B24" s="3" t="n">
        <f aca="false">'preferredfencesolutions.com'!C21</f>
        <v>46353</v>
      </c>
      <c r="C24" s="2" t="n">
        <f aca="false">LEN('preferredfencesolutions.com'!G21)</f>
        <v>343</v>
      </c>
      <c r="D24" s="2" t="str">
        <f aca="false">IF(LEN('preferredfencesolutions.com'!G21)&lt;=1500,"Pass","Fail")</f>
        <v>Pass</v>
      </c>
      <c r="E24" s="2" t="str">
        <f aca="false">IF(SUMPRODUCT(--ISNUMBER(SEARCH({"405","921-3426","473-2695","9213426"},'preferredfencesolutions.com'!G21)))=0,"Pass","Fail")</f>
        <v>Pass</v>
      </c>
      <c r="F24" s="2" t="str">
        <f aca="false">IF(ISNUMBER(SEARCH("@",'preferredfencesolutions.com'!G21)),"Fail","Pass")</f>
        <v>Pass</v>
      </c>
      <c r="G24" s="2" t="str">
        <f aca="false">IF(OR(ISNUMBER(SEARCH("http",'preferredfencesolutions.com'!G21)),ISNUMBER(SEARCH("www.",'preferredfencesolutions.com'!G21)),ISNUMBER(SEARCH(".com",'preferredfencesolutions.com'!G21))),"Fail","Pass")</f>
        <v>Pass</v>
      </c>
      <c r="H24" s="2" t="str">
        <f aca="false">IF(LEN('preferredfencesolutions.com'!H21)&gt;0,"Pass","Fail")</f>
        <v>Pass</v>
      </c>
      <c r="I24" s="2" t="str">
        <f aca="false">IF(AND(ISNUMBER(SEARCH("utm_source=google",'preferredfencesolutions.com'!J21)),ISNUMBER(SEARCH("utm_content=",'preferredfencesolutions.com'!J21))),"Pass","Fail")</f>
        <v>Pass</v>
      </c>
      <c r="J24" s="2" t="str">
        <f aca="false">IF(ISNUMBER(SEARCH(Settings!$C$8,'preferredfencesolutions.com'!I21)),"Pass","Fail")</f>
        <v>Pass</v>
      </c>
      <c r="K24" s="2" t="str">
        <f aca="false">IF(WEEKDAY('preferredfencesolutions.com'!C21,2)&lt;=5,"Pass","Fail")</f>
        <v>Pass</v>
      </c>
      <c r="L24" s="2" t="str">
        <f aca="false">IF(LEN('preferredfencesolutions.com'!M21)&gt;0,"Pass","Fail")</f>
        <v>Pass</v>
      </c>
      <c r="M24" s="2" t="str">
        <f aca="false">IF(COUNTIF(D24:L24,"Fail")=0,"Pass","Fail")</f>
        <v>Pass</v>
      </c>
    </row>
    <row r="25" customFormat="false" ht="15" hidden="false" customHeight="false" outlineLevel="0" collapsed="false">
      <c r="A25" s="2" t="n">
        <v>21</v>
      </c>
      <c r="B25" s="3" t="n">
        <f aca="false">'preferredfencesolutions.com'!C22</f>
        <v>46356</v>
      </c>
      <c r="C25" s="2" t="n">
        <f aca="false">LEN('preferredfencesolutions.com'!G22)</f>
        <v>390</v>
      </c>
      <c r="D25" s="2" t="str">
        <f aca="false">IF(LEN('preferredfencesolutions.com'!G22)&lt;=1500,"Pass","Fail")</f>
        <v>Pass</v>
      </c>
      <c r="E25" s="2" t="str">
        <f aca="false">IF(SUMPRODUCT(--ISNUMBER(SEARCH({"405","921-3426","473-2695","9213426"},'preferredfencesolutions.com'!G22)))=0,"Pass","Fail")</f>
        <v>Pass</v>
      </c>
      <c r="F25" s="2" t="str">
        <f aca="false">IF(ISNUMBER(SEARCH("@",'preferredfencesolutions.com'!G22)),"Fail","Pass")</f>
        <v>Pass</v>
      </c>
      <c r="G25" s="2" t="str">
        <f aca="false">IF(OR(ISNUMBER(SEARCH("http",'preferredfencesolutions.com'!G22)),ISNUMBER(SEARCH("www.",'preferredfencesolutions.com'!G22)),ISNUMBER(SEARCH(".com",'preferredfencesolutions.com'!G22))),"Fail","Pass")</f>
        <v>Pass</v>
      </c>
      <c r="H25" s="2" t="str">
        <f aca="false">IF(LEN('preferredfencesolutions.com'!H22)&gt;0,"Pass","Fail")</f>
        <v>Pass</v>
      </c>
      <c r="I25" s="2" t="str">
        <f aca="false">IF(AND(ISNUMBER(SEARCH("utm_source=google",'preferredfencesolutions.com'!J22)),ISNUMBER(SEARCH("utm_content=",'preferredfencesolutions.com'!J22))),"Pass","Fail")</f>
        <v>Pass</v>
      </c>
      <c r="J25" s="2" t="str">
        <f aca="false">IF(ISNUMBER(SEARCH(Settings!$C$8,'preferredfencesolutions.com'!I22)),"Pass","Fail")</f>
        <v>Pass</v>
      </c>
      <c r="K25" s="2" t="str">
        <f aca="false">IF(WEEKDAY('preferredfencesolutions.com'!C22,2)&lt;=5,"Pass","Fail")</f>
        <v>Pass</v>
      </c>
      <c r="L25" s="2" t="str">
        <f aca="false">IF(LEN('preferredfencesolutions.com'!M22)&gt;0,"Pass","Fail")</f>
        <v>Pass</v>
      </c>
      <c r="M25" s="2" t="str">
        <f aca="false">IF(COUNTIF(D25:L25,"Fail")=0,"Pass","Fail")</f>
        <v>Pass</v>
      </c>
    </row>
    <row r="26" customFormat="false" ht="15" hidden="false" customHeight="false" outlineLevel="0" collapsed="false">
      <c r="A26" s="2" t="n">
        <v>22</v>
      </c>
      <c r="B26" s="3" t="n">
        <f aca="false">'preferredfencesolutions.com'!C23</f>
        <v>46357</v>
      </c>
      <c r="C26" s="2" t="n">
        <f aca="false">LEN('preferredfencesolutions.com'!G23)</f>
        <v>439</v>
      </c>
      <c r="D26" s="2" t="str">
        <f aca="false">IF(LEN('preferredfencesolutions.com'!G23)&lt;=1500,"Pass","Fail")</f>
        <v>Pass</v>
      </c>
      <c r="E26" s="2" t="str">
        <f aca="false">IF(SUMPRODUCT(--ISNUMBER(SEARCH({"405","921-3426","473-2695","9213426"},'preferredfencesolutions.com'!G23)))=0,"Pass","Fail")</f>
        <v>Pass</v>
      </c>
      <c r="F26" s="2" t="str">
        <f aca="false">IF(ISNUMBER(SEARCH("@",'preferredfencesolutions.com'!G23)),"Fail","Pass")</f>
        <v>Pass</v>
      </c>
      <c r="G26" s="2" t="str">
        <f aca="false">IF(OR(ISNUMBER(SEARCH("http",'preferredfencesolutions.com'!G23)),ISNUMBER(SEARCH("www.",'preferredfencesolutions.com'!G23)),ISNUMBER(SEARCH(".com",'preferredfencesolutions.com'!G23))),"Fail","Pass")</f>
        <v>Pass</v>
      </c>
      <c r="H26" s="2" t="str">
        <f aca="false">IF(LEN('preferredfencesolutions.com'!H23)&gt;0,"Pass","Fail")</f>
        <v>Pass</v>
      </c>
      <c r="I26" s="2" t="str">
        <f aca="false">IF(AND(ISNUMBER(SEARCH("utm_source=google",'preferredfencesolutions.com'!J23)),ISNUMBER(SEARCH("utm_content=",'preferredfencesolutions.com'!J23))),"Pass","Fail")</f>
        <v>Pass</v>
      </c>
      <c r="J26" s="2" t="str">
        <f aca="false">IF(ISNUMBER(SEARCH(Settings!$C$8,'preferredfencesolutions.com'!I23)),"Pass","Fail")</f>
        <v>Pass</v>
      </c>
      <c r="K26" s="2" t="str">
        <f aca="false">IF(WEEKDAY('preferredfencesolutions.com'!C23,2)&lt;=5,"Pass","Fail")</f>
        <v>Pass</v>
      </c>
      <c r="L26" s="2" t="str">
        <f aca="false">IF(LEN('preferredfencesolutions.com'!M23)&gt;0,"Pass","Fail")</f>
        <v>Pass</v>
      </c>
      <c r="M26" s="2" t="str">
        <f aca="false">IF(COUNTIF(D26:L26,"Fail")=0,"Pass","Fail")</f>
        <v>Pass</v>
      </c>
    </row>
    <row r="28" customFormat="false" ht="15" hidden="false" customHeight="false" outlineLevel="0" collapsed="false">
      <c r="A28" s="9" t="s">
        <v>387</v>
      </c>
      <c r="B28" s="9" t="str">
        <f aca="false">COUNTIF(M5:M26,"Pass")&amp;" of "&amp;COUNTA(A5:A26)</f>
        <v>22 of 22</v>
      </c>
    </row>
    <row r="30" customFormat="false" ht="15" hidden="false" customHeight="false" outlineLevel="0" collapsed="false">
      <c r="A30" s="9" t="s">
        <v>388</v>
      </c>
    </row>
    <row r="31" customFormat="false" ht="23.85" hidden="false" customHeight="false" outlineLevel="0" collapsed="false">
      <c r="A31" s="8" t="s">
        <v>3</v>
      </c>
      <c r="B31" s="8" t="s">
        <v>389</v>
      </c>
    </row>
    <row r="32" customFormat="false" ht="15" hidden="false" customHeight="false" outlineLevel="0" collapsed="false">
      <c r="A32" s="4" t="s">
        <v>16</v>
      </c>
      <c r="B32" s="2" t="n">
        <f aca="false">COUNTIF('preferredfencesolutions.com'!$E$2:$E$23,"Service")</f>
        <v>8</v>
      </c>
    </row>
    <row r="33" customFormat="false" ht="15" hidden="false" customHeight="false" outlineLevel="0" collapsed="false">
      <c r="A33" s="4" t="s">
        <v>36</v>
      </c>
      <c r="B33" s="2" t="n">
        <f aca="false">COUNTIF('preferredfencesolutions.com'!$E$2:$E$23,"FAQ")</f>
        <v>5</v>
      </c>
    </row>
    <row r="34" customFormat="false" ht="15" hidden="false" customHeight="false" outlineLevel="0" collapsed="false">
      <c r="A34" s="4" t="s">
        <v>43</v>
      </c>
      <c r="B34" s="2" t="n">
        <f aca="false">COUNTIF('preferredfencesolutions.com'!$E$2:$E$23,"Local")</f>
        <v>5</v>
      </c>
    </row>
    <row r="35" customFormat="false" ht="23.85" hidden="false" customHeight="false" outlineLevel="0" collapsed="false">
      <c r="A35" s="4" t="s">
        <v>26</v>
      </c>
      <c r="B35" s="2" t="n">
        <f aca="false">COUNTIF('preferredfencesolutions.com'!$E$2:$E$23,"Promotional")</f>
        <v>4</v>
      </c>
    </row>
    <row r="36" customFormat="false" ht="15" hidden="false" customHeight="false" outlineLevel="0" collapsed="false">
      <c r="A36" s="4" t="s">
        <v>390</v>
      </c>
      <c r="B36" s="2" t="n">
        <f aca="false">SUM(B32:B35)</f>
        <v>22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2026-10-26T10:16:31Z</dcterms:created>
  <dc:creator>openpyxl</dc:creator>
  <dc:description/>
  <dc:language>en-US</dc:language>
  <cp:lastModifiedBy/>
  <dcterms:modified xsi:type="dcterms:W3CDTF">2026-10-26T10:16:52Z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