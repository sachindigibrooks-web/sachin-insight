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9.jpeg" ContentType="image/jpeg"/>
  <Override PartName="/xl/media/image12.jpeg" ContentType="image/jpeg"/>
  <Override PartName="/xl/media/image13.jpeg" ContentType="image/jpeg"/>
  <Override PartName="/xl/media/image8.jpeg" ContentType="image/jpeg"/>
  <Override PartName="/xl/media/image11.jpeg" ContentType="image/jpeg"/>
  <Override PartName="/xl/media/image7.jpeg" ContentType="image/jpeg"/>
  <Override PartName="/xl/media/image10.jpeg" ContentType="image/jpeg"/>
  <Override PartName="/xl/media/image6.jpeg" ContentType="image/jpeg"/>
  <Override PartName="/xl/media/image5.jpeg" ContentType="image/jpeg"/>
  <Override PartName="/xl/media/image22.jpeg" ContentType="image/jpeg"/>
  <Override PartName="/xl/media/image4.jpeg" ContentType="image/jpeg"/>
  <Override PartName="/xl/media/image21.jpeg" ContentType="image/jpeg"/>
  <Override PartName="/xl/media/image19.jpeg" ContentType="image/jpeg"/>
  <Override PartName="/xl/media/image1.jpeg" ContentType="image/jpeg"/>
  <Override PartName="/xl/media/image3.jpeg" ContentType="image/jpeg"/>
  <Override PartName="/xl/media/image20.jpeg" ContentType="image/jpeg"/>
  <Override PartName="/xl/media/image18.jpeg" ContentType="image/jpeg"/>
  <Override PartName="/xl/media/image17.jpeg" ContentType="image/jpeg"/>
  <Override PartName="/xl/media/image16.jpeg" ContentType="image/jpeg"/>
  <Override PartName="/xl/media/image15.jpeg" ContentType="image/jpeg"/>
  <Override PartName="/xl/media/image14.jpeg" ContentType="image/jpeg"/>
  <Override PartName="/xl/media/image2.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arlingenglass.com" sheetId="1" state="visible" r:id="rId3"/>
    <sheet name="Settings" sheetId="2" state="visible" r:id="rId4"/>
    <sheet name="Banner &amp; Brand Kit" sheetId="3" state="visible" r:id="rId5"/>
    <sheet name="GBP Guidelines" sheetId="4" state="visible" r:id="rId6"/>
    <sheet name="QA Cross-Check" sheetId="5" state="visible" r:id="rId7"/>
  </sheets>
  <definedNames>
    <definedName function="false" hidden="true" localSheetId="0" name="_xlnm._FilterDatabase" vbProcedure="false">'harlingenglass.com'!$B$1:$P$23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<sst xmlns="http://schemas.openxmlformats.org/spreadsheetml/2006/main" count="396" uniqueCount="306">
  <si>
    <t xml:space="preserve">Week</t>
  </si>
  <si>
    <t xml:space="preserve">Planned Date</t>
  </si>
  <si>
    <t xml:space="preserve">Day</t>
  </si>
  <si>
    <t xml:space="preserve">Category</t>
  </si>
  <si>
    <t xml:space="preserve">Post Title</t>
  </si>
  <si>
    <t xml:space="preserve">GBP Post Copy</t>
  </si>
  <si>
    <t xml:space="preserve">CTA</t>
  </si>
  <si>
    <t xml:space="preserve">Landing Page</t>
  </si>
  <si>
    <t xml:space="preserve">Tracked CTA URL</t>
  </si>
  <si>
    <t xml:space="preserve">Banner</t>
  </si>
  <si>
    <t xml:space="preserve">Banner Overlay Text</t>
  </si>
  <si>
    <t xml:space="preserve">Banner File</t>
  </si>
  <si>
    <t xml:space="preserve">Banner Photo Source</t>
  </si>
  <si>
    <t xml:space="preserve">Offer Dates / Terms</t>
  </si>
  <si>
    <t xml:space="preserve">Publishing Status</t>
  </si>
  <si>
    <t xml:space="preserve">Service</t>
  </si>
  <si>
    <t xml:space="preserve">Cracked or Foggy Window? Residential Glass Repair in Harlingen</t>
  </si>
  <si>
    <t xml:space="preserve">Cracked pane, a window hit by a stray ball, or glass that looks foggy between the panes? Harlingen Glass &amp; Mirror repairs and replaces residential glass across Harlingen and the Rio Grande Valley.
We work on single and double-pane windows, sliding and swinging glass doors, tabletops and shelves. If it is made of glass, our team can fix it, replace it or install it.
Family-owned since 1978, we measure on site and give you a clear quote before any work starts. Tap Learn more to request your free estimate.</t>
  </si>
  <si>
    <t xml:space="preserve">Learn more</t>
  </si>
  <si>
    <t xml:space="preserve">https://harlingenglass.com/service/residential/</t>
  </si>
  <si>
    <t xml:space="preserve">Tag: Residential Glass Repair
Headline: Cracked Window? We'll Make It Clear Again.
Sub-line: Repair and replacement for Valley homes
Button: Free Estimate</t>
  </si>
  <si>
    <t xml:space="preserve">2026-11-02_gbp-post-01_1200x900.png</t>
  </si>
  <si>
    <t xml:space="preserve">https://harlingenglass.com/wp-content/uploads/2024/01/image00008.jpg</t>
  </si>
  <si>
    <t xml:space="preserve">Not Published</t>
  </si>
  <si>
    <t xml:space="preserve">Promotional</t>
  </si>
  <si>
    <t xml:space="preserve">Buy 3 Windows, Get the 4th Window Free</t>
  </si>
  <si>
    <t xml:space="preserve">Old or drafty windows can push your energy bills up and leave hot and cold spots around the house. This season, upgrade to energy-efficient windows with Harlingen Glass &amp; Mirror.
Buy 3 windows and get the 4th window free. Every project starts with a free window inspection, expert advice and a clear quote, with no pressure.
Serving Harlingen and the Rio Grande Valley for over 40 years. Tap View offer to book your free inspection.</t>
  </si>
  <si>
    <t xml:space="preserve">View offer</t>
  </si>
  <si>
    <t xml:space="preserve">https://harlingenglass.com/service/residential-window-replacement/</t>
  </si>
  <si>
    <t xml:space="preserve">Tag: Limited-Time Offer
Headline: Buy 3 Windows Get the 4th FREE
Sub-line: Energy-efficient window replacement
Button: Book a Free Inspection</t>
  </si>
  <si>
    <t xml:space="preserve">2026-11-03_gbp-post-02_1200x900.png</t>
  </si>
  <si>
    <t xml:space="preserve">https://harlingenglass.com/wp-content/uploads/2024/01/image00005.jpg</t>
  </si>
  <si>
    <t xml:space="preserve">Offer dates: Nov 3 to Nov 30, 2026 (confirm). Terms: confirm eligible window types, minimum order and whether it combines with financing.</t>
  </si>
  <si>
    <t xml:space="preserve">FAQ</t>
  </si>
  <si>
    <t xml:space="preserve">FAQ: Why Is My Double-Pane Window Foggy?</t>
  </si>
  <si>
    <t xml:space="preserve">FAQ: Why is my double-pane window foggy, and can it be fixed?
Fog or moisture trapped between the two panes usually means the seal on the insulated glass unit has failed. Once that happens, the window loses much of its insulating value and cleaning will not clear it.
In many cases the glass unit can be replaced without replacing the whole window frame. Our team will look at the window, explain your options and give you a clear quote.
Tap Learn more to book a free assessment with Harlingen Glass &amp; Mirror.</t>
  </si>
  <si>
    <t xml:space="preserve">Tag: Glass FAQ
Headline: Why Is My Window Foggy Inside the Glass?
Sub-line: A failed seal is usually the cause, and it can often be fixed without a new frame.
Button: Ask Our Team</t>
  </si>
  <si>
    <t xml:space="preserve">2026-11-04_gbp-post-03_1200x900.png</t>
  </si>
  <si>
    <t xml:space="preserve">https://harlingenglass.com/wp-content/uploads/2024/01/IMG_20200117_133159154-scaled.jpg</t>
  </si>
  <si>
    <t xml:space="preserve">Local</t>
  </si>
  <si>
    <t xml:space="preserve">Family-Owned in Harlingen Since 1978</t>
  </si>
  <si>
    <t xml:space="preserve">Harlingen Glass &amp; Mirror has been part of the Harlingen community since 1978. Today the Shull family leads our team, and we still treat every customer like family.
From homeowners and realtors to contractors and local businesses, the Valley has trusted us for more than 45 years with glass repair, shower enclosures, mirrors, windows and commercial glazing.
Visit us at 1905 E. Harrison Ave. in Harlingen, Monday to Friday. Tap Learn more to meet the team.</t>
  </si>
  <si>
    <t xml:space="preserve">https://harlingenglass.com/company/</t>
  </si>
  <si>
    <t xml:space="preserve">Tag: Harlingen, TX
Headline: Family-Owned Since 1978
Sub-line: 45+ years of glass work across the Rio Grande Valley
Button: Meet the Team</t>
  </si>
  <si>
    <t xml:space="preserve">2026-11-05_gbp-post-04_1200x900.png</t>
  </si>
  <si>
    <t xml:space="preserve">https://harlingenglass.com/wp-content/uploads/2024/01/McAllen-District-Office-12-04-08-001.jpg</t>
  </si>
  <si>
    <t xml:space="preserve">Custom Frameless Shower Enclosures</t>
  </si>
  <si>
    <t xml:space="preserve">Ready to replace that old shower curtain? A custom glass enclosure opens up your bathroom, is easy to keep clean and adds value to your home.
Harlingen Glass &amp; Mirror designs and installs frameless, semi-frameless and framed shower enclosures, sliding doors and glass partitions, made to fit your space.
Book a free bathroom consultation. We will measure, show you the options and give you a clear quote. Financing is available.</t>
  </si>
  <si>
    <t xml:space="preserve">Book</t>
  </si>
  <si>
    <t xml:space="preserve">https://harlingenglass.com/service/bathroom-enclosures/</t>
  </si>
  <si>
    <t xml:space="preserve">Tag: Bathroom Glass
Headline: Say Goodbye to the Shower Curtain
Sub-line: Custom frameless, semi-frameless and framed enclosures
Button: Free Bathroom Consultation</t>
  </si>
  <si>
    <t xml:space="preserve">2026-11-06_gbp-post-05_1200x900.png</t>
  </si>
  <si>
    <t xml:space="preserve">https://harlingenglass.com/wp-content/uploads/2024/01/IMG_20231208_134141.jpg</t>
  </si>
  <si>
    <t xml:space="preserve">FAQ: Frameless vs Semi-Frameless vs Framed Shower Doors</t>
  </si>
  <si>
    <t xml:space="preserve">FAQ: Frameless, semi-frameless or framed: which shower enclosure is right for me?
Framed enclosures use metal around the glass and are usually the most budget-friendly. Semi-frameless enclosures use less metal for a cleaner look. Frameless enclosures use thicker glass with minimal hardware for the most open, modern feel.
Sliding and hinged doors are available, with clear, frosted or patterned glass depending on the privacy you want.
Tap Learn more and our team will help you choose the best fit for your bathroom.</t>
  </si>
  <si>
    <t xml:space="preserve">Tag: Glass FAQ
Headline: Which Shower Door Is Right for You?
Labels: Frameless, Sliding, Semi-Frameless
Button: Compare Styles</t>
  </si>
  <si>
    <t xml:space="preserve">2026-11-09_gbp-post-06_1200x900.png</t>
  </si>
  <si>
    <t xml:space="preserve">https://harlingenglass.com/wp-content/uploads/2024/01/ShowerDoor-scaled.jpg
https://harlingenglass.com/wp-content/uploads/2024/01/image00004.jpg
https://harlingenglass.com/wp-content/uploads/2024/01/IMG_20231208_134144.jpg</t>
  </si>
  <si>
    <t xml:space="preserve">3M Security Window Film for Texas Schools</t>
  </si>
  <si>
    <t xml:space="preserve">Is your campus ready for Texas Education Agency safety requirements?
Harlingen Glass &amp; Mirror installs 3M Security Window Film to strengthen school windows and glass doors. The film helps hold broken glass together and slows forced entry, giving staff valuable response time.
Work with a 3M authorized team so your film is installed correctly and meets requirements. Tap Book to schedule a free campus walkthrough.</t>
  </si>
  <si>
    <t xml:space="preserve">https://harlingenglass.com/service/3m-security-film/</t>
  </si>
  <si>
    <t xml:space="preserve">Tag: 3M Security Window Film
Headline: Stronger Glass. Safer Campuses.
Sub-line: TEA-focused installs by a 3M authorized team
Button: Book a Campus Walkthrough</t>
  </si>
  <si>
    <t xml:space="preserve">2026-11-10_gbp-post-07_1200x900.png</t>
  </si>
  <si>
    <t xml:space="preserve">https://harlingenglass.com/wp-content/uploads/2024/01/Rio-Hondo-Middle-School-3.jpg</t>
  </si>
  <si>
    <t xml:space="preserve">Cold Front Season: Check Your Window Seals</t>
  </si>
  <si>
    <t xml:space="preserve">Cold fronts in the Rio Grande Valley are a good reminder to check your windows and doors.
If you feel a draft, see gaps around the frame or notice fog between the panes, your windows may not be sealing properly. Fixing them now keeps your home comfortable and helps before the summer heat returns.
Harlingen Glass &amp; Mirror serves homeowners across Harlingen and the Valley. Tap Learn more to book a free assessment.</t>
  </si>
  <si>
    <t xml:space="preserve">Tag: Rio Grande Valley
Headline: Feel a Draft? Check Your Seals.
Sub-line: Cold front season is the time to catch leaky windows
Button: Free Assessment</t>
  </si>
  <si>
    <t xml:space="preserve">2026-11-11_gbp-post-08_1200x900.png</t>
  </si>
  <si>
    <t xml:space="preserve">https://harlingenglass.com/wp-content/uploads/2024/01/image00003.jpg</t>
  </si>
  <si>
    <t xml:space="preserve">FAQ: Does Any Security Film Meet School Requirements?</t>
  </si>
  <si>
    <t xml:space="preserve">FAQ: Does any security window film meet school safety requirements?
Not always. Schools sometimes discover their film does not meet requirements after it has been installed, which can mean paying twice. The film product, how it is attached and who installs it all matter.
Harlingen Glass &amp; Mirror installs 3M Security Window Film as a 3M authorized team and can walk your campus to check vulnerable entry points.
Tap Learn more to request your free security film assessment.</t>
  </si>
  <si>
    <t xml:space="preserve">Tag: Security Film FAQ
Headline: Is All Security Film Compliant?
Sub-line: Not always. The film, how it's attached and who installs it all matter.
Button: Free Film Assessment</t>
  </si>
  <si>
    <t xml:space="preserve">2026-11-12_gbp-post-09_1200x900.png</t>
  </si>
  <si>
    <t xml:space="preserve">https://harlingenglass.com/wp-content/uploads/2024/01/Harlingen-Middle-School-Screw-Locations-Ext-Doors-011.jpg</t>
  </si>
  <si>
    <t xml:space="preserve">Commercial Storefront Glass Repair and Replacement</t>
  </si>
  <si>
    <t xml:space="preserve">A broken storefront window or door is a security risk and the first thing customers notice.
Harlingen Glass &amp; Mirror repairs and replaces commercial glass for businesses across the Rio Grande Valley, including storefront glass, entry doors, fire-rated glass, thermal glazing and multi-story projects.
With more than 45 years in commercial glazing, our team works to meet safety standards while keeping your property looking professional. Tap Learn more to request a free assessment.</t>
  </si>
  <si>
    <t xml:space="preserve">https://harlingenglass.com/service/commercial-glass/</t>
  </si>
  <si>
    <t xml:space="preserve">Tag: Commercial Glazing
Headline: Your Storefront Is Your First Impression
Sub-line: Storefronts, entry doors and multi-story glazing
Button: Request an Assessment</t>
  </si>
  <si>
    <t xml:space="preserve">2026-11-13_gbp-post-10_1200x900.png</t>
  </si>
  <si>
    <t xml:space="preserve">https://harlingenglass.com/wp-content/uploads/2024/01/IMG_0499-scaled.jpg</t>
  </si>
  <si>
    <t xml:space="preserve">Financing Available for Glass Upgrades</t>
  </si>
  <si>
    <t xml:space="preserve">Planning a new shower enclosure, window upgrade or mirror project but want to spread the cost?
Harlingen Glass &amp; Mirror has partnered with Synchrony Bank to offer financing options for home remodeling and upgrade projects. Ask about financing when you request your quote.
Our team will measure, recommend the right glass for your project and give you a clear price before any work begins. Tap Learn more to get started.</t>
  </si>
  <si>
    <t xml:space="preserve">https://harlingenglass.com/contact/</t>
  </si>
  <si>
    <t xml:space="preserve">Tag: Financing Available
Headline: Upgrade Now, Pay Over Time
Sub-line: Financing options through Synchrony Bank
Button: Ask About Financing</t>
  </si>
  <si>
    <t xml:space="preserve">2026-11-16_gbp-post-11_1200x900.png</t>
  </si>
  <si>
    <t xml:space="preserve">https://harlingenglass.com/wp-content/uploads/2024/01/IMG_20231208_134139.jpg</t>
  </si>
  <si>
    <t xml:space="preserve">Custom Mirrors for Homes, Gyms and Studios</t>
  </si>
  <si>
    <t xml:space="preserve">A custom mirror can make a bathroom feel bigger, brighten a bedroom or finish off an entryway.
Harlingen Glass &amp; Mirror cuts and installs custom mirrors for homes and businesses across the Rio Grande Valley. We help you choose the size, edge and placement, then handle the full installation.
We also install glass tabletops, shelves and custom shower doors. Tap Learn more to get a free quote.</t>
  </si>
  <si>
    <t xml:space="preserve">https://harlingenglass.com/service/interior/</t>
  </si>
  <si>
    <t xml:space="preserve">Tag: Custom Mirrors
Headline: Make Any Room Feel Bigger
Sub-line: Cut to size and installed for homes and businesses
Button: Get a Free Quote</t>
  </si>
  <si>
    <t xml:space="preserve">2026-11-17_gbp-post-12_1200x900.png</t>
  </si>
  <si>
    <t xml:space="preserve">https://harlingenglass.com/wp-content/uploads/2024/01/IMG_20231208_134148.jpg</t>
  </si>
  <si>
    <t xml:space="preserve">FAQ: What Warranty Does Harlingen Glass Offer?</t>
  </si>
  <si>
    <t xml:space="preserve">FAQ: Does Harlingen Glass &amp; Mirror offer a warranty?
Yes. Many of the products we install carry a manufacturer warranty of up to 3 years, and we provide a 1-year installation warranty on specific products. Our team will explain the coverage that applies to your project before we start.
We hold ourselves to a high standard, from sales and service to installation and warranty. Tap Learn more to see why the Valley has trusted us since 1978.</t>
  </si>
  <si>
    <t xml:space="preserve">Tag: Glass FAQ
Headline: Is Your Glass Work Under Warranty?
Sub-line: Up to 3-year manufacturer warranty and a 1-year install warranty on specific products.
Button: See Coverage</t>
  </si>
  <si>
    <t xml:space="preserve">2026-11-18_gbp-post-13_1200x900.png</t>
  </si>
  <si>
    <t xml:space="preserve">https://harlingenglass.com/wp-content/uploads/2024/01/IMG_20231208_134144.jpg</t>
  </si>
  <si>
    <t xml:space="preserve">Get Your Glass Guest-Ready for Thanksgiving</t>
  </si>
  <si>
    <t xml:space="preserve">Getting your home ready for Thanksgiving guests in the Valley?
Take a quick walk around: check for chipped tabletops, cracked mirrors, sliding glass doors that stick, and windows that do not seal properly. Small issues are usually faster and less expensive to fix before they spread.
Harlingen Glass &amp; Mirror has helped Harlingen families get their homes ready for the holidays for more than 45 years. Tap Learn more to book a repair.</t>
  </si>
  <si>
    <t xml:space="preserve">Tag: Holiday Ready
Headline: Guest-Ready Glass for Thanksgiving
Sub-line: Fix chipped tabletops, cracked mirrors and sticky doors
Button: Book a Repair</t>
  </si>
  <si>
    <t xml:space="preserve">2026-11-19_gbp-post-14_1200x900.png</t>
  </si>
  <si>
    <t xml:space="preserve">https://harlingenglass.com/wp-content/uploads/2024/01/IMG_20231208_134134.jpg</t>
  </si>
  <si>
    <t xml:space="preserve">Energy-Efficient Low-E Window Replacement</t>
  </si>
  <si>
    <t xml:space="preserve">Old or poorly sealed windows let cool air out in summer and warm air out in winter, which makes your AC and heater work harder all year in the Valley.
Harlingen Glass &amp; Mirror installs energy-efficient replacement windows, including Low-E glass that helps reduce heat and UV coming into your home without blocking natural light.
Book a free window inspection and we will show you where you can save. Tap Learn more to get started.</t>
  </si>
  <si>
    <t xml:space="preserve">Tag: Energy-Efficient Windows
Headline: Lower Bills. Cooler Rooms.
Sub-line: Low-E glass that cuts heat without blocking light
Button: Free Window Inspection</t>
  </si>
  <si>
    <t xml:space="preserve">2026-11-20_gbp-post-15_1200x900.png</t>
  </si>
  <si>
    <t xml:space="preserve">https://harlingenglass.com/wp-content/uploads/2024/01/IMG_20200123_141554436-scaled.jpg</t>
  </si>
  <si>
    <t xml:space="preserve">Free Security Film Assessment Before Winter Break</t>
  </si>
  <si>
    <t xml:space="preserve">Winter break is one of the best times to upgrade campus glass with less disruption for students and staff.
Book a free security film assessment with Harlingen Glass &amp; Mirror. We will walk your campus, check windows and glass doors, and recommend the right 3M Security Window Film for each entry point.
Book early to plan installs during the break. Tap View offer to schedule your walkthrough.</t>
  </si>
  <si>
    <t xml:space="preserve">Tag: For Schools
Headline: Free Security Film Assessment
Sub-line: Plan installs during winter break
Button: Schedule a Walkthrough</t>
  </si>
  <si>
    <t xml:space="preserve">2026-11-23_gbp-post-16_1200x900.png</t>
  </si>
  <si>
    <t xml:space="preserve">https://harlingenglass.com/wp-content/uploads/2024/01/IDEA-Toros-College-Prep.jpg</t>
  </si>
  <si>
    <t xml:space="preserve">Offer dates: Nov 23 to Dec 18, 2026 (confirm). Terms: assessment is free; installation quoted separately.</t>
  </si>
  <si>
    <t xml:space="preserve">Fire-Rated and Bullet-Resistant Commercial Glass</t>
  </si>
  <si>
    <t xml:space="preserve">Some businesses need more than standard glass. Banks, clinics, offices and government buildings often require fire-rated or bullet-resistant glass to meet safety standards.
Harlingen Glass &amp; Mirror supplies and installs fire-rated glass, bullet-resistant glass barriers, thermal glazing and glass railing systems for commercial projects across South Texas.
Tap Learn more to talk to our commercial team about your project.</t>
  </si>
  <si>
    <t xml:space="preserve">Tag: Commercial Safety Glass
Headline: Glass Built for Safety Standards
Sub-line: Fire-rated, bullet-resistant and thermal glazing
Button: Talk to Our Commercial Team</t>
  </si>
  <si>
    <t xml:space="preserve">2026-11-24_gbp-post-17_1200x900.png</t>
  </si>
  <si>
    <t xml:space="preserve">https://harlingenglass.com/wp-content/uploads/2024/01/McAllen-District-Office-12-04-08-002.jpg</t>
  </si>
  <si>
    <t xml:space="preserve">FAQ: Repair or Replace a Cracked Window?</t>
  </si>
  <si>
    <t xml:space="preserve">FAQ: Should I repair a small crack in my window or replace the glass?
A small crack can spread with temperature changes, wind and everyday use, and it can weaken the whole pane. In most cases, replacing the damaged glass is the safer long-term fix, and it is often quicker than people expect.
Our team will look at the damage and tell you honestly what makes sense. Tap Learn more to read our guide and book a visit.</t>
  </si>
  <si>
    <t xml:space="preserve">https://harlingenglass.com/blog/dont-let-a-small-crack-turn-into-a-big-problem/</t>
  </si>
  <si>
    <t xml:space="preserve">Tag: Glass FAQ
Headline: Small Crack Today, Big Problem Tomorrow?
Sub-line: Cracks spread with heat, wind and daily use. Here's when to replace the pane.
Button: Book a Visit</t>
  </si>
  <si>
    <t xml:space="preserve">2026-11-25_gbp-post-18_1200x900.png</t>
  </si>
  <si>
    <t xml:space="preserve">https://unsplash.com/photos/_enXmoXudAk (Unsplash licence)</t>
  </si>
  <si>
    <t xml:space="preserve">Happy Thanksgiving from Harlingen Glass &amp; Mirror</t>
  </si>
  <si>
    <t xml:space="preserve">Happy Thanksgiving from all of us at Harlingen Glass &amp; Mirror.
Thank you to the homeowners, realtors, contractors and businesses across Harlingen and the Rio Grande Valley who have trusted our family-owned shop for more than 45 years. Every project you send our way means a lot to our team.
Hosting family this week? If a cracked mirror or a sticky glass door needs attention after the holiday, we are here to help. Tap Learn more to reach our team.</t>
  </si>
  <si>
    <t xml:space="preserve">Tag: Happy Thanksgiving
Headline: Thankful for Our Valley
Sub-line: From our family to yours
Button: </t>
  </si>
  <si>
    <t xml:space="preserve">2026-11-26_gbp-post-19_1200x900.png</t>
  </si>
  <si>
    <t xml:space="preserve">https://harlingenglass.com/wp-content/uploads/2025/01/fbinfoo-scaled.jpg (cropped)</t>
  </si>
  <si>
    <t xml:space="preserve">Free Bathroom Glass Consultation</t>
  </si>
  <si>
    <t xml:space="preserve">Thinking about a bathroom refresh before the new year? See what a custom glass enclosure can do.
Book a free bathroom consultation with Harlingen Glass &amp; Mirror. We will measure your space, show you frameless, semi-frameless and framed options, and give you a clear quote with no pressure. Financing is available.
Tap View offer to book your free consultation.</t>
  </si>
  <si>
    <t xml:space="preserve">Tag: Free Consultation
Headline: Before &amp; After
Sub-line: Book a free bathroom glass consultation
Button: Book Free Consultation</t>
  </si>
  <si>
    <t xml:space="preserve">2026-11-27_gbp-post-20_1200x900.png</t>
  </si>
  <si>
    <t xml:space="preserve">https://harlingenglass.com/wp-content/uploads/2024/01/before.jpg
https://harlingenglass.com/wp-content/uploads/2024/01/after.jpg</t>
  </si>
  <si>
    <t xml:space="preserve">Offer dates: Nov 27 to Dec 31, 2026 (confirm). Terms: free in-home consultation and quote; no obligation.</t>
  </si>
  <si>
    <t xml:space="preserve">Custom Glass Tabletops and Shelves</t>
  </si>
  <si>
    <t xml:space="preserve">Protect your wood furniture or update a room with a custom glass tabletop or glass shelves.
Harlingen Glass &amp; Mirror cuts glass to your exact size and shape, with clean, polished edges for homes, offices and restaurants. We also replace broken tabletops and shelves.
Tap Learn more to get a free quote from your local one-stop custom glass shop.</t>
  </si>
  <si>
    <t xml:space="preserve">Tag: Custom Glass
Headline: Cut to Your Size, Polished to Perfection
Sub-line: Glass tabletops and shelves for homes and offices
Button: Get a Free Quote</t>
  </si>
  <si>
    <t xml:space="preserve">2026-11-30_gbp-post-21_1200x900.png</t>
  </si>
  <si>
    <t xml:space="preserve">https://harlingenglass.com/wp-content/uploads/2024/01/image00009.jpg</t>
  </si>
  <si>
    <t xml:space="preserve">Project Spotlight: Glass Across the Rio Grande Valley</t>
  </si>
  <si>
    <t xml:space="preserve">From school campuses and clinics to fire stations and public buildings, Harlingen Glass &amp; Mirror has helped build and protect properties across the Rio Grande Valley.
Our commercial team handles storefronts, curtain walls, entry systems, fire-rated glass and multi-story glazing, with the same care we bring to every home project.
Planning a commercial project in the Valley? Tap Learn more to see our work.</t>
  </si>
  <si>
    <t xml:space="preserve">Tag: Project Spotlight
Headline: Built Across the Valley
Sub-line: Schools, clinics and public buildings
Button: See Our Projects</t>
  </si>
  <si>
    <t xml:space="preserve">2026-12-01_gbp-post-22_1200x900.png</t>
  </si>
  <si>
    <t xml:space="preserve">https://harlingenglass.com/wp-content/uploads/2024/01/45130555_1967058790260758_3379670728264646656_n.jpg
https://harlingenglass.com/wp-content/uploads/2024/01/Rio-Hondo-Middle-School-2.jpg
https://harlingenglass.com/wp-content/uploads/2024/01/Spi-Fire-Station-No-1.jpg</t>
  </si>
  <si>
    <t xml:space="preserve">Tracking settings</t>
  </si>
  <si>
    <t xml:space="preserve">Edit values in column C. Every Tracked CTA URL on the calendar tab updates automatically.</t>
  </si>
  <si>
    <t xml:space="preserve">Setting</t>
  </si>
  <si>
    <t xml:space="preserve">Value</t>
  </si>
  <si>
    <t xml:space="preserve">Note</t>
  </si>
  <si>
    <t xml:space="preserve">UTM source</t>
  </si>
  <si>
    <t xml:space="preserve">google</t>
  </si>
  <si>
    <t xml:space="preserve">Keep as google</t>
  </si>
  <si>
    <t xml:space="preserve">UTM medium</t>
  </si>
  <si>
    <t xml:space="preserve">organic</t>
  </si>
  <si>
    <t xml:space="preserve">Keep as organic</t>
  </si>
  <si>
    <t xml:space="preserve">UTM campaign</t>
  </si>
  <si>
    <t xml:space="preserve">gbp-posts-nov-2026</t>
  </si>
  <si>
    <t xml:space="preserve">One campaign for this month</t>
  </si>
  <si>
    <t xml:space="preserve">Website domain</t>
  </si>
  <si>
    <t xml:space="preserve">harlingenglass.com</t>
  </si>
  <si>
    <t xml:space="preserve">QA checks every landing page stays on this domain</t>
  </si>
  <si>
    <t xml:space="preserve">UTM content per post (unique, so each post is tracked separately in Google Analytics)</t>
  </si>
  <si>
    <t xml:space="preserve">Post #</t>
  </si>
  <si>
    <t xml:space="preserve">utm_content</t>
  </si>
  <si>
    <t xml:space="preserve">nov26-01-window-repair</t>
  </si>
  <si>
    <t xml:space="preserve">nov26-02-buy3-get1</t>
  </si>
  <si>
    <t xml:space="preserve">nov26-03-faq-foggy-glass</t>
  </si>
  <si>
    <t xml:space="preserve">nov26-04-local-since-1978</t>
  </si>
  <si>
    <t xml:space="preserve">nov26-05-shower-enclosures</t>
  </si>
  <si>
    <t xml:space="preserve">nov26-06-faq-shower-types</t>
  </si>
  <si>
    <t xml:space="preserve">nov26-07-3m-security-film</t>
  </si>
  <si>
    <t xml:space="preserve">nov26-08-cold-front-check</t>
  </si>
  <si>
    <t xml:space="preserve">nov26-09-faq-security-film</t>
  </si>
  <si>
    <t xml:space="preserve">nov26-10-commercial-storefront</t>
  </si>
  <si>
    <t xml:space="preserve">nov26-11-financing</t>
  </si>
  <si>
    <t xml:space="preserve">nov26-12-custom-mirrors</t>
  </si>
  <si>
    <t xml:space="preserve">nov26-13-faq-warranty</t>
  </si>
  <si>
    <t xml:space="preserve">nov26-14-holiday-glass-check</t>
  </si>
  <si>
    <t xml:space="preserve">nov26-15-low-e-windows</t>
  </si>
  <si>
    <t xml:space="preserve">nov26-16-winter-break-assessment</t>
  </si>
  <si>
    <t xml:space="preserve">nov26-17-fire-bullet-resistant</t>
  </si>
  <si>
    <t xml:space="preserve">nov26-18-faq-cracked-window</t>
  </si>
  <si>
    <t xml:space="preserve">nov26-19-thanksgiving</t>
  </si>
  <si>
    <t xml:space="preserve">nov26-20-free-bath-consult</t>
  </si>
  <si>
    <t xml:space="preserve">nov26-21-glass-tabletops</t>
  </si>
  <si>
    <t xml:space="preserve">nov26-22-project-spotlight</t>
  </si>
  <si>
    <t xml:space="preserve">Banner and brand kit</t>
  </si>
  <si>
    <t xml:space="preserve">Every banner uses the website's own logo, colours and fonts. Size 1200 x 900 px (4:3), the ratio GBP displays best.</t>
  </si>
  <si>
    <t xml:space="preserve">Item</t>
  </si>
  <si>
    <t xml:space="preserve">Logo source (website)</t>
  </si>
  <si>
    <t xml:space="preserve">https://harlingenglass.com/wp-content/uploads/2024/11/LOGO-1.jpg</t>
  </si>
  <si>
    <t xml:space="preserve">Full logo on a white rounded chip, top left of every banner.</t>
  </si>
  <si>
    <t xml:space="preserve">Banner size</t>
  </si>
  <si>
    <t xml:space="preserve">1200 x 900 px PNG</t>
  </si>
  <si>
    <t xml:space="preserve">4:3 ratio. Files are in deliverables/gbp-calendars/banners/harlingen-glass/</t>
  </si>
  <si>
    <t xml:space="preserve">Brand motif</t>
  </si>
  <si>
    <t xml:space="preserve">Slanted translucent glass panes taken from the logo mark.</t>
  </si>
  <si>
    <t xml:space="preserve">Gives the series a consistent, premium look</t>
  </si>
  <si>
    <t xml:space="preserve">Photos</t>
  </si>
  <si>
    <t xml:space="preserve">Real project photos from harlingenglass.com</t>
  </si>
  <si>
    <t xml:space="preserve">Source URL for every banner is on the calendar tab</t>
  </si>
  <si>
    <t xml:space="preserve">Font: Headings</t>
  </si>
  <si>
    <t xml:space="preserve">Metrophobic</t>
  </si>
  <si>
    <t xml:space="preserve">Same as website H1 to H3</t>
  </si>
  <si>
    <t xml:space="preserve">Font: Body / labels</t>
  </si>
  <si>
    <t xml:space="preserve">Roboto</t>
  </si>
  <si>
    <t xml:space="preserve">Same as website body text</t>
  </si>
  <si>
    <t xml:space="preserve">Colour palette (matched to the website)</t>
  </si>
  <si>
    <t xml:space="preserve">Colour</t>
  </si>
  <si>
    <t xml:space="preserve">Hex</t>
  </si>
  <si>
    <t xml:space="preserve">Where it comes from</t>
  </si>
  <si>
    <t xml:space="preserve">Used on banners for</t>
  </si>
  <si>
    <t xml:space="preserve">Swatch</t>
  </si>
  <si>
    <t xml:space="preserve">Primary navy</t>
  </si>
  <si>
    <t xml:space="preserve">#004D71</t>
  </si>
  <si>
    <t xml:space="preserve">Logo wordmark and panes</t>
  </si>
  <si>
    <t xml:space="preserve">Background panels, offer highlight</t>
  </si>
  <si>
    <t xml:space="preserve">Charcoal</t>
  </si>
  <si>
    <t xml:space="preserve">#2C353D</t>
  </si>
  <si>
    <t xml:space="preserve">Website navigation and text</t>
  </si>
  <si>
    <t xml:space="preserve">Dark overlays</t>
  </si>
  <si>
    <t xml:space="preserve">Accent cyan</t>
  </si>
  <si>
    <t xml:space="preserve">#38C6F4</t>
  </si>
  <si>
    <t xml:space="preserve">Logo glass panes, website buttons</t>
  </si>
  <si>
    <t xml:space="preserve">Headline accent word, button chips</t>
  </si>
  <si>
    <t xml:space="preserve">Aqua</t>
  </si>
  <si>
    <t xml:space="preserve">#75CDD7</t>
  </si>
  <si>
    <t xml:space="preserve">Logo glass panes</t>
  </si>
  <si>
    <t xml:space="preserve">Glass pane motif</t>
  </si>
  <si>
    <t xml:space="preserve">Light blue</t>
  </si>
  <si>
    <t xml:space="preserve">#ABDFEA</t>
  </si>
  <si>
    <t xml:space="preserve">Soft tints</t>
  </si>
  <si>
    <t xml:space="preserve">White</t>
  </si>
  <si>
    <t xml:space="preserve">#FFFFFF</t>
  </si>
  <si>
    <t xml:space="preserve">Website background</t>
  </si>
  <si>
    <t xml:space="preserve">Text on dark, logo chip</t>
  </si>
  <si>
    <t xml:space="preserve">Overlay text rules (GBP safe)</t>
  </si>
  <si>
    <t xml:space="preserve">Rule</t>
  </si>
  <si>
    <t xml:space="preserve">Detail</t>
  </si>
  <si>
    <t xml:space="preserve">Length</t>
  </si>
  <si>
    <t xml:space="preserve">Tag 2 to 4 words, headline 3 to 7 words, one sub-line, one button label.</t>
  </si>
  <si>
    <t xml:space="preserve">Contact details</t>
  </si>
  <si>
    <t xml:space="preserve">No phone numbers, emails, web addresses or social handles on any banner.</t>
  </si>
  <si>
    <t xml:space="preserve">Claims</t>
  </si>
  <si>
    <t xml:space="preserve">Only facts stated on the website (years in business, warranties, services, offers).</t>
  </si>
  <si>
    <t xml:space="preserve">Offers</t>
  </si>
  <si>
    <t xml:space="preserve">Offer banners match the GBP Offer title. Dates and terms live in the post, not on the image.</t>
  </si>
  <si>
    <t xml:space="preserve">Safe area</t>
  </si>
  <si>
    <t xml:space="preserve">Text and logo stay inside the centre 1000 x 750 px so the GBP thumbnail crop never cuts them.</t>
  </si>
  <si>
    <t xml:space="preserve">Templates used</t>
  </si>
  <si>
    <t xml:space="preserve">Split photo, offer card, FAQ question, local spotlight, glass panel, 3-up compare, diagonal, frame, before/after, project spotlight, seasonal thank-you.</t>
  </si>
  <si>
    <t xml:space="preserve">Google Business Profile post rules applied to this calendar</t>
  </si>
  <si>
    <t xml:space="preserve">Every post and banner was written and checked against these rules.</t>
  </si>
  <si>
    <t xml:space="preserve">#</t>
  </si>
  <si>
    <t xml:space="preserve">How this calendar follows it</t>
  </si>
  <si>
    <t xml:space="preserve">Source</t>
  </si>
  <si>
    <t xml:space="preserve">No phone numbers in post text.</t>
  </si>
  <si>
    <t xml:space="preserve">No post contains a phone number. Calls are tracked through the GBP Call button and Performance report instead.</t>
  </si>
  <si>
    <t xml:space="preserve">https://support.google.com/business/answer/7213077</t>
  </si>
  <si>
    <t xml:space="preserve">Google may remove posts that contain unverified contact info such as email addresses or social media handles.</t>
  </si>
  <si>
    <t xml:space="preserve">No emails or social handles are written in any post.</t>
  </si>
  <si>
    <t xml:space="preserve">Posts may not include links to websites not related to the business (Oct 2026 policy update).</t>
  </si>
  <si>
    <t xml:space="preserve">Every CTA links to a page on the business's own website. No links are written in the post text.</t>
  </si>
  <si>
    <t xml:space="preserve">https://www.relevantaudience.com/seo/google-business-profile-policy-bans-promotions-in-listings/ (reporting Google's Oct 6, 2026 update)</t>
  </si>
  <si>
    <t xml:space="preserve">Offer posts need a title and start and end dates; coupon code, link and terms are optional. Offers get an automatic View offer button.</t>
  </si>
  <si>
    <t xml:space="preserve">All Offer posts have a title of 58 characters or fewer, dates and terms in the Offer Dates / Terms column.</t>
  </si>
  <si>
    <t xml:space="preserve">https://support.google.com/business/answer/7342169</t>
  </si>
  <si>
    <t xml:space="preserve">Update posts can carry one action button with a link (book, order online, learn more and similar).</t>
  </si>
  <si>
    <t xml:space="preserve">Every Update post has one CTA button with a tracked link.</t>
  </si>
  <si>
    <t xml:space="preserve">Post descriptions are limited to 1,500 characters.</t>
  </si>
  <si>
    <t xml:space="preserve">All posts are well under the limit; the QA tab checks this automatically.</t>
  </si>
  <si>
    <t xml:space="preserve">GBP post editor limit (Google Business Profile Manager)</t>
  </si>
  <si>
    <t xml:space="preserve">Posts older than 6 months are archived unless a date range is set.</t>
  </si>
  <si>
    <t xml:space="preserve">Fresh posts go out twice a week so the profile always shows recent content.</t>
  </si>
  <si>
    <t xml:space="preserve">Content must be relevant to the business and not low quality (no gibberish, misspellings or irrelevant content).</t>
  </si>
  <si>
    <t xml:space="preserve">Every post is about a real service, FAQ, local topic or offer taken from the website.</t>
  </si>
  <si>
    <t xml:space="preserve">https://support.google.com/business/answer/3038177</t>
  </si>
  <si>
    <t xml:space="preserve">Promotions must clearly state their terms.</t>
  </si>
  <si>
    <t xml:space="preserve">Each offer lists dates and terms to confirm with the client before publishing.</t>
  </si>
  <si>
    <t xml:space="preserve">Do not ask for personal or confidential information.</t>
  </si>
  <si>
    <t xml:space="preserve">CTAs send users to the website contact or booking pages; posts never ask for personal data.</t>
  </si>
  <si>
    <t xml:space="preserve">You are responsible for making sure post content complies with applicable laws.</t>
  </si>
  <si>
    <t xml:space="preserve">Claims are limited to facts stated on the website. Items needing client confirmation are flagged in Notes.</t>
  </si>
  <si>
    <t xml:space="preserve">Photos must follow the photo policy: real, relevant to the business, not misleading.</t>
  </si>
  <si>
    <t xml:space="preserve">Every banner uses a real photo from the business's own website (one HG post uses a licensed Unsplash photo). Overlay text is short (headline plus one line), with no phone numbers, emails, prices or claims that are not on the website.</t>
  </si>
  <si>
    <t xml:space="preserve">Recommended post image: JPG or PNG, 10 KB to 5 MB, at least 400 x 300 px, 4:3 ratio displays best.</t>
  </si>
  <si>
    <t xml:space="preserve">Banners are 1200 x 900 px PNG (4:3). Key text sits inside the centre safe area so the GBP crop does not cut it.</t>
  </si>
  <si>
    <t xml:space="preserve">QA cross-check (automatic)</t>
  </si>
  <si>
    <t xml:space="preserve">Formulas re-check every post when copy or links change. Every row should read Pass before scheduling.</t>
  </si>
  <si>
    <t xml:space="preserve">Date</t>
  </si>
  <si>
    <t xml:space="preserve">Characters</t>
  </si>
  <si>
    <t xml:space="preserve">Max 1,500 chars</t>
  </si>
  <si>
    <t xml:space="preserve">No phone in text</t>
  </si>
  <si>
    <t xml:space="preserve">No email in text</t>
  </si>
  <si>
    <t xml:space="preserve">No link in text</t>
  </si>
  <si>
    <t xml:space="preserve">CTA set</t>
  </si>
  <si>
    <t xml:space="preserve">UTM on CTA link</t>
  </si>
  <si>
    <t xml:space="preserve">Link on business website</t>
  </si>
  <si>
    <t xml:space="preserve">Weekday (Mon to Fri)</t>
  </si>
  <si>
    <t xml:space="preserve">Banner file set</t>
  </si>
  <si>
    <t xml:space="preserve">Overall</t>
  </si>
  <si>
    <t xml:space="preserve">Posts passing</t>
  </si>
  <si>
    <t xml:space="preserve">Post mix</t>
  </si>
  <si>
    <t xml:space="preserve">Posts</t>
  </si>
  <si>
    <t xml:space="preserve">Total</t>
  </si>
</sst>
</file>

<file path=xl/styles.xml><?xml version="1.0" encoding="utf-8"?>
<styleSheet xmlns="http://schemas.openxmlformats.org/spreadsheetml/2006/main">
  <numFmts count="2">
    <numFmt numFmtId="164" formatCode="General"/>
    <numFmt numFmtId="165" formatCode="mmm\ d&quot;, &quot;yyyy"/>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color rgb="FF0000FF"/>
      <name val="Arial"/>
      <family val="0"/>
      <charset val="1"/>
    </font>
    <font>
      <b val="true"/>
      <sz val="14"/>
      <name val="Arial"/>
      <family val="0"/>
      <charset val="1"/>
    </font>
    <font>
      <i val="true"/>
      <sz val="10"/>
      <color rgb="FF595959"/>
      <name val="Arial"/>
      <family val="0"/>
      <charset val="1"/>
    </font>
    <font>
      <b val="true"/>
      <sz val="10"/>
      <name val="Arial"/>
      <family val="0"/>
      <charset val="1"/>
    </font>
  </fonts>
  <fills count="10">
    <fill>
      <patternFill patternType="none"/>
    </fill>
    <fill>
      <patternFill patternType="gray125"/>
    </fill>
    <fill>
      <patternFill patternType="solid">
        <fgColor rgb="FF1F4E78"/>
        <bgColor rgb="FF004D71"/>
      </patternFill>
    </fill>
    <fill>
      <patternFill patternType="solid">
        <fgColor rgb="FFF2F2F2"/>
        <bgColor rgb="FFFFFFFF"/>
      </patternFill>
    </fill>
    <fill>
      <patternFill patternType="solid">
        <fgColor rgb="FF004D71"/>
        <bgColor rgb="FF1F4E78"/>
      </patternFill>
    </fill>
    <fill>
      <patternFill patternType="solid">
        <fgColor rgb="FF2C353D"/>
        <bgColor rgb="FF333300"/>
      </patternFill>
    </fill>
    <fill>
      <patternFill patternType="solid">
        <fgColor rgb="FF38C6F4"/>
        <bgColor rgb="FF00CCFF"/>
      </patternFill>
    </fill>
    <fill>
      <patternFill patternType="solid">
        <fgColor rgb="FF75CDD7"/>
        <bgColor rgb="FFABDFEA"/>
      </patternFill>
    </fill>
    <fill>
      <patternFill patternType="solid">
        <fgColor rgb="FFABDFEA"/>
        <bgColor rgb="FFCCCCFF"/>
      </patternFill>
    </fill>
    <fill>
      <patternFill patternType="solid">
        <fgColor rgb="FFFFFFFF"/>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75CDD7"/>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BDFEA"/>
      <rgbColor rgb="FFFF99CC"/>
      <rgbColor rgb="FFCC99FF"/>
      <rgbColor rgb="FFFFCC99"/>
      <rgbColor rgb="FF3366FF"/>
      <rgbColor rgb="FF38C6F4"/>
      <rgbColor rgb="FF99CC00"/>
      <rgbColor rgb="FFFFCC00"/>
      <rgbColor rgb="FFFF9900"/>
      <rgbColor rgb="FFFF6600"/>
      <rgbColor rgb="FF595959"/>
      <rgbColor rgb="FF969696"/>
      <rgbColor rgb="FF004D71"/>
      <rgbColor rgb="FF339966"/>
      <rgbColor rgb="FF003300"/>
      <rgbColor rgb="FF333300"/>
      <rgbColor rgb="FF993300"/>
      <rgbColor rgb="FF993366"/>
      <rgbColor rgb="FF1F4E78"/>
      <rgbColor rgb="FF2C35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1</xdr:row>
      <xdr:rowOff>0</xdr:rowOff>
    </xdr:from>
    <xdr:to>
      <xdr:col>10</xdr:col>
      <xdr:colOff>2171520</xdr:colOff>
      <xdr:row>1</xdr:row>
      <xdr:rowOff>1628280</xdr:rowOff>
    </xdr:to>
    <xdr:pic>
      <xdr:nvPicPr>
        <xdr:cNvPr id="0" name="Image 1" descr="Picture"/>
        <xdr:cNvPicPr/>
      </xdr:nvPicPr>
      <xdr:blipFill>
        <a:blip r:embed="rId1"/>
        <a:stretch/>
      </xdr:blipFill>
      <xdr:spPr>
        <a:xfrm>
          <a:off x="16352640" y="380880"/>
          <a:ext cx="2171520" cy="1628280"/>
        </a:xfrm>
        <a:prstGeom prst="rect">
          <a:avLst/>
        </a:prstGeom>
        <a:ln w="0">
          <a:noFill/>
        </a:ln>
      </xdr:spPr>
    </xdr:pic>
    <xdr:clientData/>
  </xdr:twoCellAnchor>
  <xdr:twoCellAnchor editAs="oneCell">
    <xdr:from>
      <xdr:col>10</xdr:col>
      <xdr:colOff>0</xdr:colOff>
      <xdr:row>2</xdr:row>
      <xdr:rowOff>0</xdr:rowOff>
    </xdr:from>
    <xdr:to>
      <xdr:col>10</xdr:col>
      <xdr:colOff>2171520</xdr:colOff>
      <xdr:row>2</xdr:row>
      <xdr:rowOff>1628280</xdr:rowOff>
    </xdr:to>
    <xdr:pic>
      <xdr:nvPicPr>
        <xdr:cNvPr id="1" name="Image 2" descr="Picture"/>
        <xdr:cNvPicPr/>
      </xdr:nvPicPr>
      <xdr:blipFill>
        <a:blip r:embed="rId2"/>
        <a:stretch/>
      </xdr:blipFill>
      <xdr:spPr>
        <a:xfrm>
          <a:off x="16352640" y="2914560"/>
          <a:ext cx="2171520" cy="1628280"/>
        </a:xfrm>
        <a:prstGeom prst="rect">
          <a:avLst/>
        </a:prstGeom>
        <a:ln w="0">
          <a:noFill/>
        </a:ln>
      </xdr:spPr>
    </xdr:pic>
    <xdr:clientData/>
  </xdr:twoCellAnchor>
  <xdr:twoCellAnchor editAs="oneCell">
    <xdr:from>
      <xdr:col>10</xdr:col>
      <xdr:colOff>0</xdr:colOff>
      <xdr:row>3</xdr:row>
      <xdr:rowOff>0</xdr:rowOff>
    </xdr:from>
    <xdr:to>
      <xdr:col>10</xdr:col>
      <xdr:colOff>2171520</xdr:colOff>
      <xdr:row>3</xdr:row>
      <xdr:rowOff>1628280</xdr:rowOff>
    </xdr:to>
    <xdr:pic>
      <xdr:nvPicPr>
        <xdr:cNvPr id="2" name="Image 3" descr="Picture"/>
        <xdr:cNvPicPr/>
      </xdr:nvPicPr>
      <xdr:blipFill>
        <a:blip r:embed="rId3"/>
        <a:stretch/>
      </xdr:blipFill>
      <xdr:spPr>
        <a:xfrm>
          <a:off x="16352640" y="5448240"/>
          <a:ext cx="2171520" cy="1628280"/>
        </a:xfrm>
        <a:prstGeom prst="rect">
          <a:avLst/>
        </a:prstGeom>
        <a:ln w="0">
          <a:noFill/>
        </a:ln>
      </xdr:spPr>
    </xdr:pic>
    <xdr:clientData/>
  </xdr:twoCellAnchor>
  <xdr:twoCellAnchor editAs="oneCell">
    <xdr:from>
      <xdr:col>10</xdr:col>
      <xdr:colOff>0</xdr:colOff>
      <xdr:row>4</xdr:row>
      <xdr:rowOff>0</xdr:rowOff>
    </xdr:from>
    <xdr:to>
      <xdr:col>10</xdr:col>
      <xdr:colOff>2171520</xdr:colOff>
      <xdr:row>4</xdr:row>
      <xdr:rowOff>1628280</xdr:rowOff>
    </xdr:to>
    <xdr:pic>
      <xdr:nvPicPr>
        <xdr:cNvPr id="3" name="Image 4" descr="Picture"/>
        <xdr:cNvPicPr/>
      </xdr:nvPicPr>
      <xdr:blipFill>
        <a:blip r:embed="rId4"/>
        <a:stretch/>
      </xdr:blipFill>
      <xdr:spPr>
        <a:xfrm>
          <a:off x="16352640" y="7981920"/>
          <a:ext cx="2171520" cy="1628280"/>
        </a:xfrm>
        <a:prstGeom prst="rect">
          <a:avLst/>
        </a:prstGeom>
        <a:ln w="0">
          <a:noFill/>
        </a:ln>
      </xdr:spPr>
    </xdr:pic>
    <xdr:clientData/>
  </xdr:twoCellAnchor>
  <xdr:twoCellAnchor editAs="oneCell">
    <xdr:from>
      <xdr:col>10</xdr:col>
      <xdr:colOff>0</xdr:colOff>
      <xdr:row>5</xdr:row>
      <xdr:rowOff>0</xdr:rowOff>
    </xdr:from>
    <xdr:to>
      <xdr:col>10</xdr:col>
      <xdr:colOff>2171520</xdr:colOff>
      <xdr:row>5</xdr:row>
      <xdr:rowOff>1628280</xdr:rowOff>
    </xdr:to>
    <xdr:pic>
      <xdr:nvPicPr>
        <xdr:cNvPr id="4" name="Image 5" descr="Picture"/>
        <xdr:cNvPicPr/>
      </xdr:nvPicPr>
      <xdr:blipFill>
        <a:blip r:embed="rId5"/>
        <a:stretch/>
      </xdr:blipFill>
      <xdr:spPr>
        <a:xfrm>
          <a:off x="16352640" y="10515600"/>
          <a:ext cx="2171520" cy="1628280"/>
        </a:xfrm>
        <a:prstGeom prst="rect">
          <a:avLst/>
        </a:prstGeom>
        <a:ln w="0">
          <a:noFill/>
        </a:ln>
      </xdr:spPr>
    </xdr:pic>
    <xdr:clientData/>
  </xdr:twoCellAnchor>
  <xdr:twoCellAnchor editAs="oneCell">
    <xdr:from>
      <xdr:col>10</xdr:col>
      <xdr:colOff>0</xdr:colOff>
      <xdr:row>6</xdr:row>
      <xdr:rowOff>0</xdr:rowOff>
    </xdr:from>
    <xdr:to>
      <xdr:col>10</xdr:col>
      <xdr:colOff>2171520</xdr:colOff>
      <xdr:row>6</xdr:row>
      <xdr:rowOff>1628280</xdr:rowOff>
    </xdr:to>
    <xdr:pic>
      <xdr:nvPicPr>
        <xdr:cNvPr id="5" name="Image 6" descr="Picture"/>
        <xdr:cNvPicPr/>
      </xdr:nvPicPr>
      <xdr:blipFill>
        <a:blip r:embed="rId6"/>
        <a:stretch/>
      </xdr:blipFill>
      <xdr:spPr>
        <a:xfrm>
          <a:off x="16352640" y="13049280"/>
          <a:ext cx="2171520" cy="1628280"/>
        </a:xfrm>
        <a:prstGeom prst="rect">
          <a:avLst/>
        </a:prstGeom>
        <a:ln w="0">
          <a:noFill/>
        </a:ln>
      </xdr:spPr>
    </xdr:pic>
    <xdr:clientData/>
  </xdr:twoCellAnchor>
  <xdr:twoCellAnchor editAs="oneCell">
    <xdr:from>
      <xdr:col>10</xdr:col>
      <xdr:colOff>0</xdr:colOff>
      <xdr:row>7</xdr:row>
      <xdr:rowOff>0</xdr:rowOff>
    </xdr:from>
    <xdr:to>
      <xdr:col>10</xdr:col>
      <xdr:colOff>2171520</xdr:colOff>
      <xdr:row>7</xdr:row>
      <xdr:rowOff>1628280</xdr:rowOff>
    </xdr:to>
    <xdr:pic>
      <xdr:nvPicPr>
        <xdr:cNvPr id="6" name="Image 7" descr="Picture"/>
        <xdr:cNvPicPr/>
      </xdr:nvPicPr>
      <xdr:blipFill>
        <a:blip r:embed="rId7"/>
        <a:stretch/>
      </xdr:blipFill>
      <xdr:spPr>
        <a:xfrm>
          <a:off x="16352640" y="15582960"/>
          <a:ext cx="2171520" cy="1628280"/>
        </a:xfrm>
        <a:prstGeom prst="rect">
          <a:avLst/>
        </a:prstGeom>
        <a:ln w="0">
          <a:noFill/>
        </a:ln>
      </xdr:spPr>
    </xdr:pic>
    <xdr:clientData/>
  </xdr:twoCellAnchor>
  <xdr:twoCellAnchor editAs="oneCell">
    <xdr:from>
      <xdr:col>10</xdr:col>
      <xdr:colOff>0</xdr:colOff>
      <xdr:row>8</xdr:row>
      <xdr:rowOff>0</xdr:rowOff>
    </xdr:from>
    <xdr:to>
      <xdr:col>10</xdr:col>
      <xdr:colOff>2171520</xdr:colOff>
      <xdr:row>8</xdr:row>
      <xdr:rowOff>1628280</xdr:rowOff>
    </xdr:to>
    <xdr:pic>
      <xdr:nvPicPr>
        <xdr:cNvPr id="7" name="Image 8" descr="Picture"/>
        <xdr:cNvPicPr/>
      </xdr:nvPicPr>
      <xdr:blipFill>
        <a:blip r:embed="rId8"/>
        <a:stretch/>
      </xdr:blipFill>
      <xdr:spPr>
        <a:xfrm>
          <a:off x="16352640" y="18116640"/>
          <a:ext cx="2171520" cy="1628280"/>
        </a:xfrm>
        <a:prstGeom prst="rect">
          <a:avLst/>
        </a:prstGeom>
        <a:ln w="0">
          <a:noFill/>
        </a:ln>
      </xdr:spPr>
    </xdr:pic>
    <xdr:clientData/>
  </xdr:twoCellAnchor>
  <xdr:twoCellAnchor editAs="oneCell">
    <xdr:from>
      <xdr:col>10</xdr:col>
      <xdr:colOff>0</xdr:colOff>
      <xdr:row>9</xdr:row>
      <xdr:rowOff>0</xdr:rowOff>
    </xdr:from>
    <xdr:to>
      <xdr:col>10</xdr:col>
      <xdr:colOff>2171520</xdr:colOff>
      <xdr:row>9</xdr:row>
      <xdr:rowOff>1628280</xdr:rowOff>
    </xdr:to>
    <xdr:pic>
      <xdr:nvPicPr>
        <xdr:cNvPr id="8" name="Image 9" descr="Picture"/>
        <xdr:cNvPicPr/>
      </xdr:nvPicPr>
      <xdr:blipFill>
        <a:blip r:embed="rId9"/>
        <a:stretch/>
      </xdr:blipFill>
      <xdr:spPr>
        <a:xfrm>
          <a:off x="16352640" y="20650320"/>
          <a:ext cx="2171520" cy="1628280"/>
        </a:xfrm>
        <a:prstGeom prst="rect">
          <a:avLst/>
        </a:prstGeom>
        <a:ln w="0">
          <a:noFill/>
        </a:ln>
      </xdr:spPr>
    </xdr:pic>
    <xdr:clientData/>
  </xdr:twoCellAnchor>
  <xdr:twoCellAnchor editAs="oneCell">
    <xdr:from>
      <xdr:col>10</xdr:col>
      <xdr:colOff>0</xdr:colOff>
      <xdr:row>10</xdr:row>
      <xdr:rowOff>0</xdr:rowOff>
    </xdr:from>
    <xdr:to>
      <xdr:col>10</xdr:col>
      <xdr:colOff>2171520</xdr:colOff>
      <xdr:row>10</xdr:row>
      <xdr:rowOff>1628280</xdr:rowOff>
    </xdr:to>
    <xdr:pic>
      <xdr:nvPicPr>
        <xdr:cNvPr id="9" name="Image 10" descr="Picture"/>
        <xdr:cNvPicPr/>
      </xdr:nvPicPr>
      <xdr:blipFill>
        <a:blip r:embed="rId10"/>
        <a:stretch/>
      </xdr:blipFill>
      <xdr:spPr>
        <a:xfrm>
          <a:off x="16352640" y="23184000"/>
          <a:ext cx="2171520" cy="1628280"/>
        </a:xfrm>
        <a:prstGeom prst="rect">
          <a:avLst/>
        </a:prstGeom>
        <a:ln w="0">
          <a:noFill/>
        </a:ln>
      </xdr:spPr>
    </xdr:pic>
    <xdr:clientData/>
  </xdr:twoCellAnchor>
  <xdr:twoCellAnchor editAs="oneCell">
    <xdr:from>
      <xdr:col>10</xdr:col>
      <xdr:colOff>0</xdr:colOff>
      <xdr:row>11</xdr:row>
      <xdr:rowOff>0</xdr:rowOff>
    </xdr:from>
    <xdr:to>
      <xdr:col>10</xdr:col>
      <xdr:colOff>2171520</xdr:colOff>
      <xdr:row>11</xdr:row>
      <xdr:rowOff>1628280</xdr:rowOff>
    </xdr:to>
    <xdr:pic>
      <xdr:nvPicPr>
        <xdr:cNvPr id="10" name="Image 11" descr="Picture"/>
        <xdr:cNvPicPr/>
      </xdr:nvPicPr>
      <xdr:blipFill>
        <a:blip r:embed="rId11"/>
        <a:stretch/>
      </xdr:blipFill>
      <xdr:spPr>
        <a:xfrm>
          <a:off x="16352640" y="25717680"/>
          <a:ext cx="2171520" cy="1628280"/>
        </a:xfrm>
        <a:prstGeom prst="rect">
          <a:avLst/>
        </a:prstGeom>
        <a:ln w="0">
          <a:noFill/>
        </a:ln>
      </xdr:spPr>
    </xdr:pic>
    <xdr:clientData/>
  </xdr:twoCellAnchor>
  <xdr:twoCellAnchor editAs="oneCell">
    <xdr:from>
      <xdr:col>10</xdr:col>
      <xdr:colOff>0</xdr:colOff>
      <xdr:row>12</xdr:row>
      <xdr:rowOff>0</xdr:rowOff>
    </xdr:from>
    <xdr:to>
      <xdr:col>10</xdr:col>
      <xdr:colOff>2171520</xdr:colOff>
      <xdr:row>12</xdr:row>
      <xdr:rowOff>1628280</xdr:rowOff>
    </xdr:to>
    <xdr:pic>
      <xdr:nvPicPr>
        <xdr:cNvPr id="11" name="Image 12" descr="Picture"/>
        <xdr:cNvPicPr/>
      </xdr:nvPicPr>
      <xdr:blipFill>
        <a:blip r:embed="rId12"/>
        <a:stretch/>
      </xdr:blipFill>
      <xdr:spPr>
        <a:xfrm>
          <a:off x="16352640" y="28251000"/>
          <a:ext cx="2171520" cy="1628280"/>
        </a:xfrm>
        <a:prstGeom prst="rect">
          <a:avLst/>
        </a:prstGeom>
        <a:ln w="0">
          <a:noFill/>
        </a:ln>
      </xdr:spPr>
    </xdr:pic>
    <xdr:clientData/>
  </xdr:twoCellAnchor>
  <xdr:twoCellAnchor editAs="oneCell">
    <xdr:from>
      <xdr:col>10</xdr:col>
      <xdr:colOff>0</xdr:colOff>
      <xdr:row>13</xdr:row>
      <xdr:rowOff>0</xdr:rowOff>
    </xdr:from>
    <xdr:to>
      <xdr:col>10</xdr:col>
      <xdr:colOff>2171520</xdr:colOff>
      <xdr:row>13</xdr:row>
      <xdr:rowOff>1628280</xdr:rowOff>
    </xdr:to>
    <xdr:pic>
      <xdr:nvPicPr>
        <xdr:cNvPr id="12" name="Image 13" descr="Picture"/>
        <xdr:cNvPicPr/>
      </xdr:nvPicPr>
      <xdr:blipFill>
        <a:blip r:embed="rId13"/>
        <a:stretch/>
      </xdr:blipFill>
      <xdr:spPr>
        <a:xfrm>
          <a:off x="16352640" y="30784680"/>
          <a:ext cx="2171520" cy="1628280"/>
        </a:xfrm>
        <a:prstGeom prst="rect">
          <a:avLst/>
        </a:prstGeom>
        <a:ln w="0">
          <a:noFill/>
        </a:ln>
      </xdr:spPr>
    </xdr:pic>
    <xdr:clientData/>
  </xdr:twoCellAnchor>
  <xdr:twoCellAnchor editAs="oneCell">
    <xdr:from>
      <xdr:col>10</xdr:col>
      <xdr:colOff>0</xdr:colOff>
      <xdr:row>14</xdr:row>
      <xdr:rowOff>0</xdr:rowOff>
    </xdr:from>
    <xdr:to>
      <xdr:col>10</xdr:col>
      <xdr:colOff>2171520</xdr:colOff>
      <xdr:row>14</xdr:row>
      <xdr:rowOff>1628280</xdr:rowOff>
    </xdr:to>
    <xdr:pic>
      <xdr:nvPicPr>
        <xdr:cNvPr id="13" name="Image 14" descr="Picture"/>
        <xdr:cNvPicPr/>
      </xdr:nvPicPr>
      <xdr:blipFill>
        <a:blip r:embed="rId14"/>
        <a:stretch/>
      </xdr:blipFill>
      <xdr:spPr>
        <a:xfrm>
          <a:off x="16352640" y="33318360"/>
          <a:ext cx="2171520" cy="1628280"/>
        </a:xfrm>
        <a:prstGeom prst="rect">
          <a:avLst/>
        </a:prstGeom>
        <a:ln w="0">
          <a:noFill/>
        </a:ln>
      </xdr:spPr>
    </xdr:pic>
    <xdr:clientData/>
  </xdr:twoCellAnchor>
  <xdr:twoCellAnchor editAs="oneCell">
    <xdr:from>
      <xdr:col>10</xdr:col>
      <xdr:colOff>0</xdr:colOff>
      <xdr:row>15</xdr:row>
      <xdr:rowOff>0</xdr:rowOff>
    </xdr:from>
    <xdr:to>
      <xdr:col>10</xdr:col>
      <xdr:colOff>2171520</xdr:colOff>
      <xdr:row>15</xdr:row>
      <xdr:rowOff>1628280</xdr:rowOff>
    </xdr:to>
    <xdr:pic>
      <xdr:nvPicPr>
        <xdr:cNvPr id="14" name="Image 15" descr="Picture"/>
        <xdr:cNvPicPr/>
      </xdr:nvPicPr>
      <xdr:blipFill>
        <a:blip r:embed="rId15"/>
        <a:stretch/>
      </xdr:blipFill>
      <xdr:spPr>
        <a:xfrm>
          <a:off x="16352640" y="35852040"/>
          <a:ext cx="2171520" cy="1628280"/>
        </a:xfrm>
        <a:prstGeom prst="rect">
          <a:avLst/>
        </a:prstGeom>
        <a:ln w="0">
          <a:noFill/>
        </a:ln>
      </xdr:spPr>
    </xdr:pic>
    <xdr:clientData/>
  </xdr:twoCellAnchor>
  <xdr:twoCellAnchor editAs="oneCell">
    <xdr:from>
      <xdr:col>10</xdr:col>
      <xdr:colOff>0</xdr:colOff>
      <xdr:row>16</xdr:row>
      <xdr:rowOff>0</xdr:rowOff>
    </xdr:from>
    <xdr:to>
      <xdr:col>10</xdr:col>
      <xdr:colOff>2171520</xdr:colOff>
      <xdr:row>16</xdr:row>
      <xdr:rowOff>1628280</xdr:rowOff>
    </xdr:to>
    <xdr:pic>
      <xdr:nvPicPr>
        <xdr:cNvPr id="15" name="Image 16" descr="Picture"/>
        <xdr:cNvPicPr/>
      </xdr:nvPicPr>
      <xdr:blipFill>
        <a:blip r:embed="rId16"/>
        <a:stretch/>
      </xdr:blipFill>
      <xdr:spPr>
        <a:xfrm>
          <a:off x="16352640" y="38385720"/>
          <a:ext cx="2171520" cy="1628280"/>
        </a:xfrm>
        <a:prstGeom prst="rect">
          <a:avLst/>
        </a:prstGeom>
        <a:ln w="0">
          <a:noFill/>
        </a:ln>
      </xdr:spPr>
    </xdr:pic>
    <xdr:clientData/>
  </xdr:twoCellAnchor>
  <xdr:twoCellAnchor editAs="oneCell">
    <xdr:from>
      <xdr:col>10</xdr:col>
      <xdr:colOff>0</xdr:colOff>
      <xdr:row>17</xdr:row>
      <xdr:rowOff>0</xdr:rowOff>
    </xdr:from>
    <xdr:to>
      <xdr:col>10</xdr:col>
      <xdr:colOff>2171520</xdr:colOff>
      <xdr:row>17</xdr:row>
      <xdr:rowOff>1628280</xdr:rowOff>
    </xdr:to>
    <xdr:pic>
      <xdr:nvPicPr>
        <xdr:cNvPr id="16" name="Image 17" descr="Picture"/>
        <xdr:cNvPicPr/>
      </xdr:nvPicPr>
      <xdr:blipFill>
        <a:blip r:embed="rId17"/>
        <a:stretch/>
      </xdr:blipFill>
      <xdr:spPr>
        <a:xfrm>
          <a:off x="16352640" y="40919400"/>
          <a:ext cx="2171520" cy="1628280"/>
        </a:xfrm>
        <a:prstGeom prst="rect">
          <a:avLst/>
        </a:prstGeom>
        <a:ln w="0">
          <a:noFill/>
        </a:ln>
      </xdr:spPr>
    </xdr:pic>
    <xdr:clientData/>
  </xdr:twoCellAnchor>
  <xdr:twoCellAnchor editAs="oneCell">
    <xdr:from>
      <xdr:col>10</xdr:col>
      <xdr:colOff>0</xdr:colOff>
      <xdr:row>18</xdr:row>
      <xdr:rowOff>0</xdr:rowOff>
    </xdr:from>
    <xdr:to>
      <xdr:col>10</xdr:col>
      <xdr:colOff>2171520</xdr:colOff>
      <xdr:row>18</xdr:row>
      <xdr:rowOff>1628280</xdr:rowOff>
    </xdr:to>
    <xdr:pic>
      <xdr:nvPicPr>
        <xdr:cNvPr id="17" name="Image 18" descr="Picture"/>
        <xdr:cNvPicPr/>
      </xdr:nvPicPr>
      <xdr:blipFill>
        <a:blip r:embed="rId18"/>
        <a:stretch/>
      </xdr:blipFill>
      <xdr:spPr>
        <a:xfrm>
          <a:off x="16352640" y="43453080"/>
          <a:ext cx="2171520" cy="1628280"/>
        </a:xfrm>
        <a:prstGeom prst="rect">
          <a:avLst/>
        </a:prstGeom>
        <a:ln w="0">
          <a:noFill/>
        </a:ln>
      </xdr:spPr>
    </xdr:pic>
    <xdr:clientData/>
  </xdr:twoCellAnchor>
  <xdr:twoCellAnchor editAs="oneCell">
    <xdr:from>
      <xdr:col>10</xdr:col>
      <xdr:colOff>0</xdr:colOff>
      <xdr:row>19</xdr:row>
      <xdr:rowOff>0</xdr:rowOff>
    </xdr:from>
    <xdr:to>
      <xdr:col>10</xdr:col>
      <xdr:colOff>2171520</xdr:colOff>
      <xdr:row>19</xdr:row>
      <xdr:rowOff>1628280</xdr:rowOff>
    </xdr:to>
    <xdr:pic>
      <xdr:nvPicPr>
        <xdr:cNvPr id="18" name="Image 19" descr="Picture"/>
        <xdr:cNvPicPr/>
      </xdr:nvPicPr>
      <xdr:blipFill>
        <a:blip r:embed="rId19"/>
        <a:stretch/>
      </xdr:blipFill>
      <xdr:spPr>
        <a:xfrm>
          <a:off x="16352640" y="45986760"/>
          <a:ext cx="2171520" cy="1628280"/>
        </a:xfrm>
        <a:prstGeom prst="rect">
          <a:avLst/>
        </a:prstGeom>
        <a:ln w="0">
          <a:noFill/>
        </a:ln>
      </xdr:spPr>
    </xdr:pic>
    <xdr:clientData/>
  </xdr:twoCellAnchor>
  <xdr:twoCellAnchor editAs="oneCell">
    <xdr:from>
      <xdr:col>10</xdr:col>
      <xdr:colOff>0</xdr:colOff>
      <xdr:row>20</xdr:row>
      <xdr:rowOff>0</xdr:rowOff>
    </xdr:from>
    <xdr:to>
      <xdr:col>10</xdr:col>
      <xdr:colOff>2171520</xdr:colOff>
      <xdr:row>20</xdr:row>
      <xdr:rowOff>1628280</xdr:rowOff>
    </xdr:to>
    <xdr:pic>
      <xdr:nvPicPr>
        <xdr:cNvPr id="19" name="Image 20" descr="Picture"/>
        <xdr:cNvPicPr/>
      </xdr:nvPicPr>
      <xdr:blipFill>
        <a:blip r:embed="rId20"/>
        <a:stretch/>
      </xdr:blipFill>
      <xdr:spPr>
        <a:xfrm>
          <a:off x="16352640" y="48520440"/>
          <a:ext cx="2171520" cy="1628280"/>
        </a:xfrm>
        <a:prstGeom prst="rect">
          <a:avLst/>
        </a:prstGeom>
        <a:ln w="0">
          <a:noFill/>
        </a:ln>
      </xdr:spPr>
    </xdr:pic>
    <xdr:clientData/>
  </xdr:twoCellAnchor>
  <xdr:twoCellAnchor editAs="oneCell">
    <xdr:from>
      <xdr:col>10</xdr:col>
      <xdr:colOff>0</xdr:colOff>
      <xdr:row>21</xdr:row>
      <xdr:rowOff>0</xdr:rowOff>
    </xdr:from>
    <xdr:to>
      <xdr:col>10</xdr:col>
      <xdr:colOff>2171520</xdr:colOff>
      <xdr:row>21</xdr:row>
      <xdr:rowOff>1628280</xdr:rowOff>
    </xdr:to>
    <xdr:pic>
      <xdr:nvPicPr>
        <xdr:cNvPr id="20" name="Image 21" descr="Picture"/>
        <xdr:cNvPicPr/>
      </xdr:nvPicPr>
      <xdr:blipFill>
        <a:blip r:embed="rId21"/>
        <a:stretch/>
      </xdr:blipFill>
      <xdr:spPr>
        <a:xfrm>
          <a:off x="16352640" y="51054120"/>
          <a:ext cx="2171520" cy="1628280"/>
        </a:xfrm>
        <a:prstGeom prst="rect">
          <a:avLst/>
        </a:prstGeom>
        <a:ln w="0">
          <a:noFill/>
        </a:ln>
      </xdr:spPr>
    </xdr:pic>
    <xdr:clientData/>
  </xdr:twoCellAnchor>
  <xdr:twoCellAnchor editAs="oneCell">
    <xdr:from>
      <xdr:col>10</xdr:col>
      <xdr:colOff>0</xdr:colOff>
      <xdr:row>22</xdr:row>
      <xdr:rowOff>0</xdr:rowOff>
    </xdr:from>
    <xdr:to>
      <xdr:col>10</xdr:col>
      <xdr:colOff>2171520</xdr:colOff>
      <xdr:row>22</xdr:row>
      <xdr:rowOff>1628280</xdr:rowOff>
    </xdr:to>
    <xdr:pic>
      <xdr:nvPicPr>
        <xdr:cNvPr id="21" name="Image 22" descr="Picture"/>
        <xdr:cNvPicPr/>
      </xdr:nvPicPr>
      <xdr:blipFill>
        <a:blip r:embed="rId22"/>
        <a:stretch/>
      </xdr:blipFill>
      <xdr:spPr>
        <a:xfrm>
          <a:off x="16352640" y="53587800"/>
          <a:ext cx="2171520" cy="16282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P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13"/>
    <col collapsed="false" customWidth="true" hidden="false" outlineLevel="0" max="4" min="4" style="0" width="7"/>
    <col collapsed="false" customWidth="true" hidden="false" outlineLevel="0" max="5" min="5" style="0" width="12"/>
    <col collapsed="false" customWidth="true" hidden="false" outlineLevel="0" max="6" min="6" style="0" width="30"/>
    <col collapsed="false" customWidth="true" hidden="false" outlineLevel="0" max="7" min="7" style="0" width="62"/>
    <col collapsed="false" customWidth="true" hidden="false" outlineLevel="0" max="8" min="8" style="0" width="11"/>
    <col collapsed="false" customWidth="true" hidden="false" outlineLevel="0" max="9" min="9" style="0" width="38"/>
    <col collapsed="false" customWidth="true" hidden="false" outlineLevel="0" max="10" min="10" style="0" width="50"/>
    <col collapsed="false" customWidth="true" hidden="false" outlineLevel="0" max="11" min="11" style="0" width="33"/>
    <col collapsed="false" customWidth="true" hidden="false" outlineLevel="0" max="12" min="12" style="0" width="34"/>
    <col collapsed="false" customWidth="true" hidden="false" outlineLevel="0" max="13" min="13" style="0" width="30"/>
    <col collapsed="false" customWidth="true" hidden="false" outlineLevel="0" max="14" min="14" style="0" width="40"/>
    <col collapsed="false" customWidth="true" hidden="false" outlineLevel="0" max="15" min="15" style="0" width="30"/>
    <col collapsed="false" customWidth="true" hidden="false" outlineLevel="0" max="16" min="16" style="0" width="15"/>
  </cols>
  <sheetData>
    <row r="1" customFormat="false" ht="30" hidden="false" customHeight="true" outlineLevel="0" collapsed="false">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customFormat="false" ht="199.5" hidden="false" customHeight="true" outlineLevel="0" collapsed="false">
      <c r="B2" s="2" t="n">
        <v>1</v>
      </c>
      <c r="C2" s="3" t="n">
        <v>46328</v>
      </c>
      <c r="D2" s="2" t="str">
        <f aca="false">TEXT(C2,"ddd")</f>
        <v>Mon</v>
      </c>
      <c r="E2" s="2" t="s">
        <v>15</v>
      </c>
      <c r="F2" s="4" t="s">
        <v>16</v>
      </c>
      <c r="G2" s="4" t="s">
        <v>17</v>
      </c>
      <c r="H2" s="2" t="s">
        <v>18</v>
      </c>
      <c r="I2" s="5" t="s">
        <v>19</v>
      </c>
      <c r="J2" s="5" t="str">
        <f aca="false">I2&amp;"?utm_source="&amp;Settings!$C$5&amp;"&amp;utm_medium="&amp;Settings!$C$6&amp;"&amp;utm_campaign="&amp;Settings!$C$7&amp;"&amp;utm_content="&amp;Settings!C13</f>
        <v>https://harlingenglass.com/service/residential/?utm_source=google&amp;utm_medium=organic&amp;utm_campaign=gbp-posts-nov-2026&amp;utm_content=nov26-01-window-repair</v>
      </c>
      <c r="K2" s="4"/>
      <c r="L2" s="4" t="s">
        <v>20</v>
      </c>
      <c r="M2" s="4" t="s">
        <v>21</v>
      </c>
      <c r="N2" s="4" t="s">
        <v>22</v>
      </c>
      <c r="O2" s="4"/>
      <c r="P2" s="2" t="s">
        <v>23</v>
      </c>
    </row>
    <row r="3" customFormat="false" ht="199.5" hidden="false" customHeight="true" outlineLevel="0" collapsed="false">
      <c r="B3" s="2" t="n">
        <v>1</v>
      </c>
      <c r="C3" s="3" t="n">
        <v>46329</v>
      </c>
      <c r="D3" s="2" t="str">
        <f aca="false">TEXT(C3,"ddd")</f>
        <v>Tue</v>
      </c>
      <c r="E3" s="2" t="s">
        <v>24</v>
      </c>
      <c r="F3" s="4" t="s">
        <v>25</v>
      </c>
      <c r="G3" s="4" t="s">
        <v>26</v>
      </c>
      <c r="H3" s="2" t="s">
        <v>27</v>
      </c>
      <c r="I3" s="5" t="s">
        <v>28</v>
      </c>
      <c r="J3" s="5" t="str">
        <f aca="false">I3&amp;"?utm_source="&amp;Settings!$C$5&amp;"&amp;utm_medium="&amp;Settings!$C$6&amp;"&amp;utm_campaign="&amp;Settings!$C$7&amp;"&amp;utm_content="&amp;Settings!C14</f>
        <v>https://harlingenglass.com/service/residential-window-replacement/?utm_source=google&amp;utm_medium=organic&amp;utm_campaign=gbp-posts-nov-2026&amp;utm_content=nov26-02-buy3-get1</v>
      </c>
      <c r="K3" s="4"/>
      <c r="L3" s="4" t="s">
        <v>29</v>
      </c>
      <c r="M3" s="4" t="s">
        <v>30</v>
      </c>
      <c r="N3" s="4" t="s">
        <v>31</v>
      </c>
      <c r="O3" s="4" t="s">
        <v>32</v>
      </c>
      <c r="P3" s="2" t="s">
        <v>23</v>
      </c>
    </row>
    <row r="4" customFormat="false" ht="199.5" hidden="false" customHeight="true" outlineLevel="0" collapsed="false">
      <c r="B4" s="2" t="n">
        <v>1</v>
      </c>
      <c r="C4" s="3" t="n">
        <v>46330</v>
      </c>
      <c r="D4" s="2" t="str">
        <f aca="false">TEXT(C4,"ddd")</f>
        <v>Wed</v>
      </c>
      <c r="E4" s="2" t="s">
        <v>33</v>
      </c>
      <c r="F4" s="4" t="s">
        <v>34</v>
      </c>
      <c r="G4" s="4" t="s">
        <v>35</v>
      </c>
      <c r="H4" s="2" t="s">
        <v>18</v>
      </c>
      <c r="I4" s="5" t="s">
        <v>19</v>
      </c>
      <c r="J4" s="5" t="str">
        <f aca="false">I4&amp;"?utm_source="&amp;Settings!$C$5&amp;"&amp;utm_medium="&amp;Settings!$C$6&amp;"&amp;utm_campaign="&amp;Settings!$C$7&amp;"&amp;utm_content="&amp;Settings!C15</f>
        <v>https://harlingenglass.com/service/residential/?utm_source=google&amp;utm_medium=organic&amp;utm_campaign=gbp-posts-nov-2026&amp;utm_content=nov26-03-faq-foggy-glass</v>
      </c>
      <c r="K4" s="4"/>
      <c r="L4" s="4" t="s">
        <v>36</v>
      </c>
      <c r="M4" s="4" t="s">
        <v>37</v>
      </c>
      <c r="N4" s="4" t="s">
        <v>38</v>
      </c>
      <c r="O4" s="4"/>
      <c r="P4" s="2" t="s">
        <v>23</v>
      </c>
    </row>
    <row r="5" customFormat="false" ht="199.5" hidden="false" customHeight="true" outlineLevel="0" collapsed="false">
      <c r="B5" s="2" t="n">
        <v>1</v>
      </c>
      <c r="C5" s="3" t="n">
        <v>46331</v>
      </c>
      <c r="D5" s="2" t="str">
        <f aca="false">TEXT(C5,"ddd")</f>
        <v>Thu</v>
      </c>
      <c r="E5" s="2" t="s">
        <v>39</v>
      </c>
      <c r="F5" s="4" t="s">
        <v>40</v>
      </c>
      <c r="G5" s="4" t="s">
        <v>41</v>
      </c>
      <c r="H5" s="2" t="s">
        <v>18</v>
      </c>
      <c r="I5" s="5" t="s">
        <v>42</v>
      </c>
      <c r="J5" s="5" t="str">
        <f aca="false">I5&amp;"?utm_source="&amp;Settings!$C$5&amp;"&amp;utm_medium="&amp;Settings!$C$6&amp;"&amp;utm_campaign="&amp;Settings!$C$7&amp;"&amp;utm_content="&amp;Settings!C16</f>
        <v>https://harlingenglass.com/company/?utm_source=google&amp;utm_medium=organic&amp;utm_campaign=gbp-posts-nov-2026&amp;utm_content=nov26-04-local-since-1978</v>
      </c>
      <c r="K5" s="4"/>
      <c r="L5" s="4" t="s">
        <v>43</v>
      </c>
      <c r="M5" s="4" t="s">
        <v>44</v>
      </c>
      <c r="N5" s="4" t="s">
        <v>45</v>
      </c>
      <c r="O5" s="4"/>
      <c r="P5" s="2" t="s">
        <v>23</v>
      </c>
    </row>
    <row r="6" customFormat="false" ht="199.5" hidden="false" customHeight="true" outlineLevel="0" collapsed="false">
      <c r="B6" s="2" t="n">
        <v>1</v>
      </c>
      <c r="C6" s="3" t="n">
        <v>46332</v>
      </c>
      <c r="D6" s="2" t="str">
        <f aca="false">TEXT(C6,"ddd")</f>
        <v>Fri</v>
      </c>
      <c r="E6" s="2" t="s">
        <v>15</v>
      </c>
      <c r="F6" s="4" t="s">
        <v>46</v>
      </c>
      <c r="G6" s="4" t="s">
        <v>47</v>
      </c>
      <c r="H6" s="2" t="s">
        <v>48</v>
      </c>
      <c r="I6" s="5" t="s">
        <v>49</v>
      </c>
      <c r="J6" s="5" t="str">
        <f aca="false">I6&amp;"?utm_source="&amp;Settings!$C$5&amp;"&amp;utm_medium="&amp;Settings!$C$6&amp;"&amp;utm_campaign="&amp;Settings!$C$7&amp;"&amp;utm_content="&amp;Settings!C17</f>
        <v>https://harlingenglass.com/service/bathroom-enclosures/?utm_source=google&amp;utm_medium=organic&amp;utm_campaign=gbp-posts-nov-2026&amp;utm_content=nov26-05-shower-enclosures</v>
      </c>
      <c r="K6" s="4"/>
      <c r="L6" s="4" t="s">
        <v>50</v>
      </c>
      <c r="M6" s="4" t="s">
        <v>51</v>
      </c>
      <c r="N6" s="4" t="s">
        <v>52</v>
      </c>
      <c r="O6" s="4"/>
      <c r="P6" s="2" t="s">
        <v>23</v>
      </c>
    </row>
    <row r="7" customFormat="false" ht="199.5" hidden="false" customHeight="true" outlineLevel="0" collapsed="false">
      <c r="B7" s="2" t="n">
        <v>2</v>
      </c>
      <c r="C7" s="3" t="n">
        <v>46335</v>
      </c>
      <c r="D7" s="2" t="str">
        <f aca="false">TEXT(C7,"ddd")</f>
        <v>Mon</v>
      </c>
      <c r="E7" s="2" t="s">
        <v>33</v>
      </c>
      <c r="F7" s="4" t="s">
        <v>53</v>
      </c>
      <c r="G7" s="4" t="s">
        <v>54</v>
      </c>
      <c r="H7" s="2" t="s">
        <v>18</v>
      </c>
      <c r="I7" s="5" t="s">
        <v>49</v>
      </c>
      <c r="J7" s="5" t="str">
        <f aca="false">I7&amp;"?utm_source="&amp;Settings!$C$5&amp;"&amp;utm_medium="&amp;Settings!$C$6&amp;"&amp;utm_campaign="&amp;Settings!$C$7&amp;"&amp;utm_content="&amp;Settings!C18</f>
        <v>https://harlingenglass.com/service/bathroom-enclosures/?utm_source=google&amp;utm_medium=organic&amp;utm_campaign=gbp-posts-nov-2026&amp;utm_content=nov26-06-faq-shower-types</v>
      </c>
      <c r="K7" s="4"/>
      <c r="L7" s="4" t="s">
        <v>55</v>
      </c>
      <c r="M7" s="4" t="s">
        <v>56</v>
      </c>
      <c r="N7" s="4" t="s">
        <v>57</v>
      </c>
      <c r="O7" s="4"/>
      <c r="P7" s="2" t="s">
        <v>23</v>
      </c>
    </row>
    <row r="8" customFormat="false" ht="199.5" hidden="false" customHeight="true" outlineLevel="0" collapsed="false">
      <c r="B8" s="2" t="n">
        <v>2</v>
      </c>
      <c r="C8" s="3" t="n">
        <v>46336</v>
      </c>
      <c r="D8" s="2" t="str">
        <f aca="false">TEXT(C8,"ddd")</f>
        <v>Tue</v>
      </c>
      <c r="E8" s="2" t="s">
        <v>15</v>
      </c>
      <c r="F8" s="4" t="s">
        <v>58</v>
      </c>
      <c r="G8" s="4" t="s">
        <v>59</v>
      </c>
      <c r="H8" s="2" t="s">
        <v>48</v>
      </c>
      <c r="I8" s="5" t="s">
        <v>60</v>
      </c>
      <c r="J8" s="5" t="str">
        <f aca="false">I8&amp;"?utm_source="&amp;Settings!$C$5&amp;"&amp;utm_medium="&amp;Settings!$C$6&amp;"&amp;utm_campaign="&amp;Settings!$C$7&amp;"&amp;utm_content="&amp;Settings!C19</f>
        <v>https://harlingenglass.com/service/3m-security-film/?utm_source=google&amp;utm_medium=organic&amp;utm_campaign=gbp-posts-nov-2026&amp;utm_content=nov26-07-3m-security-film</v>
      </c>
      <c r="K8" s="4"/>
      <c r="L8" s="4" t="s">
        <v>61</v>
      </c>
      <c r="M8" s="4" t="s">
        <v>62</v>
      </c>
      <c r="N8" s="4" t="s">
        <v>63</v>
      </c>
      <c r="O8" s="4"/>
      <c r="P8" s="2" t="s">
        <v>23</v>
      </c>
    </row>
    <row r="9" customFormat="false" ht="199.5" hidden="false" customHeight="true" outlineLevel="0" collapsed="false">
      <c r="B9" s="2" t="n">
        <v>2</v>
      </c>
      <c r="C9" s="3" t="n">
        <v>46337</v>
      </c>
      <c r="D9" s="2" t="str">
        <f aca="false">TEXT(C9,"ddd")</f>
        <v>Wed</v>
      </c>
      <c r="E9" s="2" t="s">
        <v>39</v>
      </c>
      <c r="F9" s="4" t="s">
        <v>64</v>
      </c>
      <c r="G9" s="4" t="s">
        <v>65</v>
      </c>
      <c r="H9" s="2" t="s">
        <v>18</v>
      </c>
      <c r="I9" s="5" t="s">
        <v>19</v>
      </c>
      <c r="J9" s="5" t="str">
        <f aca="false">I9&amp;"?utm_source="&amp;Settings!$C$5&amp;"&amp;utm_medium="&amp;Settings!$C$6&amp;"&amp;utm_campaign="&amp;Settings!$C$7&amp;"&amp;utm_content="&amp;Settings!C20</f>
        <v>https://harlingenglass.com/service/residential/?utm_source=google&amp;utm_medium=organic&amp;utm_campaign=gbp-posts-nov-2026&amp;utm_content=nov26-08-cold-front-check</v>
      </c>
      <c r="K9" s="4"/>
      <c r="L9" s="4" t="s">
        <v>66</v>
      </c>
      <c r="M9" s="4" t="s">
        <v>67</v>
      </c>
      <c r="N9" s="4" t="s">
        <v>68</v>
      </c>
      <c r="O9" s="4"/>
      <c r="P9" s="2" t="s">
        <v>23</v>
      </c>
    </row>
    <row r="10" customFormat="false" ht="199.5" hidden="false" customHeight="true" outlineLevel="0" collapsed="false">
      <c r="B10" s="2" t="n">
        <v>2</v>
      </c>
      <c r="C10" s="3" t="n">
        <v>46338</v>
      </c>
      <c r="D10" s="2" t="str">
        <f aca="false">TEXT(C10,"ddd")</f>
        <v>Thu</v>
      </c>
      <c r="E10" s="2" t="s">
        <v>33</v>
      </c>
      <c r="F10" s="4" t="s">
        <v>69</v>
      </c>
      <c r="G10" s="4" t="s">
        <v>70</v>
      </c>
      <c r="H10" s="2" t="s">
        <v>18</v>
      </c>
      <c r="I10" s="5" t="s">
        <v>60</v>
      </c>
      <c r="J10" s="5" t="str">
        <f aca="false">I10&amp;"?utm_source="&amp;Settings!$C$5&amp;"&amp;utm_medium="&amp;Settings!$C$6&amp;"&amp;utm_campaign="&amp;Settings!$C$7&amp;"&amp;utm_content="&amp;Settings!C21</f>
        <v>https://harlingenglass.com/service/3m-security-film/?utm_source=google&amp;utm_medium=organic&amp;utm_campaign=gbp-posts-nov-2026&amp;utm_content=nov26-09-faq-security-film</v>
      </c>
      <c r="K10" s="4"/>
      <c r="L10" s="4" t="s">
        <v>71</v>
      </c>
      <c r="M10" s="4" t="s">
        <v>72</v>
      </c>
      <c r="N10" s="4" t="s">
        <v>73</v>
      </c>
      <c r="O10" s="4"/>
      <c r="P10" s="2" t="s">
        <v>23</v>
      </c>
    </row>
    <row r="11" customFormat="false" ht="199.5" hidden="false" customHeight="true" outlineLevel="0" collapsed="false">
      <c r="B11" s="2" t="n">
        <v>2</v>
      </c>
      <c r="C11" s="3" t="n">
        <v>46339</v>
      </c>
      <c r="D11" s="2" t="str">
        <f aca="false">TEXT(C11,"ddd")</f>
        <v>Fri</v>
      </c>
      <c r="E11" s="2" t="s">
        <v>15</v>
      </c>
      <c r="F11" s="4" t="s">
        <v>74</v>
      </c>
      <c r="G11" s="4" t="s">
        <v>75</v>
      </c>
      <c r="H11" s="2" t="s">
        <v>18</v>
      </c>
      <c r="I11" s="5" t="s">
        <v>76</v>
      </c>
      <c r="J11" s="5" t="str">
        <f aca="false">I11&amp;"?utm_source="&amp;Settings!$C$5&amp;"&amp;utm_medium="&amp;Settings!$C$6&amp;"&amp;utm_campaign="&amp;Settings!$C$7&amp;"&amp;utm_content="&amp;Settings!C22</f>
        <v>https://harlingenglass.com/service/commercial-glass/?utm_source=google&amp;utm_medium=organic&amp;utm_campaign=gbp-posts-nov-2026&amp;utm_content=nov26-10-commercial-storefront</v>
      </c>
      <c r="K11" s="4"/>
      <c r="L11" s="4" t="s">
        <v>77</v>
      </c>
      <c r="M11" s="4" t="s">
        <v>78</v>
      </c>
      <c r="N11" s="4" t="s">
        <v>79</v>
      </c>
      <c r="O11" s="4"/>
      <c r="P11" s="2" t="s">
        <v>23</v>
      </c>
    </row>
    <row r="12" customFormat="false" ht="199.5" hidden="false" customHeight="true" outlineLevel="0" collapsed="false">
      <c r="B12" s="2" t="n">
        <v>3</v>
      </c>
      <c r="C12" s="3" t="n">
        <v>46342</v>
      </c>
      <c r="D12" s="2" t="str">
        <f aca="false">TEXT(C12,"ddd")</f>
        <v>Mon</v>
      </c>
      <c r="E12" s="2" t="s">
        <v>24</v>
      </c>
      <c r="F12" s="4" t="s">
        <v>80</v>
      </c>
      <c r="G12" s="4" t="s">
        <v>81</v>
      </c>
      <c r="H12" s="2" t="s">
        <v>18</v>
      </c>
      <c r="I12" s="5" t="s">
        <v>82</v>
      </c>
      <c r="J12" s="5" t="str">
        <f aca="false">I12&amp;"?utm_source="&amp;Settings!$C$5&amp;"&amp;utm_medium="&amp;Settings!$C$6&amp;"&amp;utm_campaign="&amp;Settings!$C$7&amp;"&amp;utm_content="&amp;Settings!C23</f>
        <v>https://harlingenglass.com/contact/?utm_source=google&amp;utm_medium=organic&amp;utm_campaign=gbp-posts-nov-2026&amp;utm_content=nov26-11-financing</v>
      </c>
      <c r="K12" s="4"/>
      <c r="L12" s="4" t="s">
        <v>83</v>
      </c>
      <c r="M12" s="4" t="s">
        <v>84</v>
      </c>
      <c r="N12" s="4" t="s">
        <v>85</v>
      </c>
      <c r="O12" s="4"/>
      <c r="P12" s="2" t="s">
        <v>23</v>
      </c>
    </row>
    <row r="13" customFormat="false" ht="199.5" hidden="false" customHeight="true" outlineLevel="0" collapsed="false">
      <c r="B13" s="2" t="n">
        <v>3</v>
      </c>
      <c r="C13" s="3" t="n">
        <v>46343</v>
      </c>
      <c r="D13" s="2" t="str">
        <f aca="false">TEXT(C13,"ddd")</f>
        <v>Tue</v>
      </c>
      <c r="E13" s="2" t="s">
        <v>15</v>
      </c>
      <c r="F13" s="4" t="s">
        <v>86</v>
      </c>
      <c r="G13" s="4" t="s">
        <v>87</v>
      </c>
      <c r="H13" s="2" t="s">
        <v>18</v>
      </c>
      <c r="I13" s="5" t="s">
        <v>88</v>
      </c>
      <c r="J13" s="5" t="str">
        <f aca="false">I13&amp;"?utm_source="&amp;Settings!$C$5&amp;"&amp;utm_medium="&amp;Settings!$C$6&amp;"&amp;utm_campaign="&amp;Settings!$C$7&amp;"&amp;utm_content="&amp;Settings!C24</f>
        <v>https://harlingenglass.com/service/interior/?utm_source=google&amp;utm_medium=organic&amp;utm_campaign=gbp-posts-nov-2026&amp;utm_content=nov26-12-custom-mirrors</v>
      </c>
      <c r="K13" s="4"/>
      <c r="L13" s="4" t="s">
        <v>89</v>
      </c>
      <c r="M13" s="4" t="s">
        <v>90</v>
      </c>
      <c r="N13" s="4" t="s">
        <v>91</v>
      </c>
      <c r="O13" s="4"/>
      <c r="P13" s="2" t="s">
        <v>23</v>
      </c>
    </row>
    <row r="14" customFormat="false" ht="199.5" hidden="false" customHeight="true" outlineLevel="0" collapsed="false">
      <c r="B14" s="2" t="n">
        <v>3</v>
      </c>
      <c r="C14" s="3" t="n">
        <v>46344</v>
      </c>
      <c r="D14" s="2" t="str">
        <f aca="false">TEXT(C14,"ddd")</f>
        <v>Wed</v>
      </c>
      <c r="E14" s="2" t="s">
        <v>33</v>
      </c>
      <c r="F14" s="4" t="s">
        <v>92</v>
      </c>
      <c r="G14" s="4" t="s">
        <v>93</v>
      </c>
      <c r="H14" s="2" t="s">
        <v>18</v>
      </c>
      <c r="I14" s="5" t="s">
        <v>42</v>
      </c>
      <c r="J14" s="5" t="str">
        <f aca="false">I14&amp;"?utm_source="&amp;Settings!$C$5&amp;"&amp;utm_medium="&amp;Settings!$C$6&amp;"&amp;utm_campaign="&amp;Settings!$C$7&amp;"&amp;utm_content="&amp;Settings!C25</f>
        <v>https://harlingenglass.com/company/?utm_source=google&amp;utm_medium=organic&amp;utm_campaign=gbp-posts-nov-2026&amp;utm_content=nov26-13-faq-warranty</v>
      </c>
      <c r="K14" s="4"/>
      <c r="L14" s="4" t="s">
        <v>94</v>
      </c>
      <c r="M14" s="4" t="s">
        <v>95</v>
      </c>
      <c r="N14" s="4" t="s">
        <v>96</v>
      </c>
      <c r="O14" s="4"/>
      <c r="P14" s="2" t="s">
        <v>23</v>
      </c>
    </row>
    <row r="15" customFormat="false" ht="199.5" hidden="false" customHeight="true" outlineLevel="0" collapsed="false">
      <c r="B15" s="2" t="n">
        <v>3</v>
      </c>
      <c r="C15" s="3" t="n">
        <v>46345</v>
      </c>
      <c r="D15" s="2" t="str">
        <f aca="false">TEXT(C15,"ddd")</f>
        <v>Thu</v>
      </c>
      <c r="E15" s="2" t="s">
        <v>39</v>
      </c>
      <c r="F15" s="4" t="s">
        <v>97</v>
      </c>
      <c r="G15" s="4" t="s">
        <v>98</v>
      </c>
      <c r="H15" s="2" t="s">
        <v>18</v>
      </c>
      <c r="I15" s="5" t="s">
        <v>19</v>
      </c>
      <c r="J15" s="5" t="str">
        <f aca="false">I15&amp;"?utm_source="&amp;Settings!$C$5&amp;"&amp;utm_medium="&amp;Settings!$C$6&amp;"&amp;utm_campaign="&amp;Settings!$C$7&amp;"&amp;utm_content="&amp;Settings!C26</f>
        <v>https://harlingenglass.com/service/residential/?utm_source=google&amp;utm_medium=organic&amp;utm_campaign=gbp-posts-nov-2026&amp;utm_content=nov26-14-holiday-glass-check</v>
      </c>
      <c r="K15" s="4"/>
      <c r="L15" s="4" t="s">
        <v>99</v>
      </c>
      <c r="M15" s="4" t="s">
        <v>100</v>
      </c>
      <c r="N15" s="4" t="s">
        <v>101</v>
      </c>
      <c r="O15" s="4"/>
      <c r="P15" s="2" t="s">
        <v>23</v>
      </c>
    </row>
    <row r="16" customFormat="false" ht="199.5" hidden="false" customHeight="true" outlineLevel="0" collapsed="false">
      <c r="B16" s="2" t="n">
        <v>3</v>
      </c>
      <c r="C16" s="3" t="n">
        <v>46346</v>
      </c>
      <c r="D16" s="2" t="str">
        <f aca="false">TEXT(C16,"ddd")</f>
        <v>Fri</v>
      </c>
      <c r="E16" s="2" t="s">
        <v>15</v>
      </c>
      <c r="F16" s="4" t="s">
        <v>102</v>
      </c>
      <c r="G16" s="4" t="s">
        <v>103</v>
      </c>
      <c r="H16" s="2" t="s">
        <v>18</v>
      </c>
      <c r="I16" s="5" t="s">
        <v>28</v>
      </c>
      <c r="J16" s="5" t="str">
        <f aca="false">I16&amp;"?utm_source="&amp;Settings!$C$5&amp;"&amp;utm_medium="&amp;Settings!$C$6&amp;"&amp;utm_campaign="&amp;Settings!$C$7&amp;"&amp;utm_content="&amp;Settings!C27</f>
        <v>https://harlingenglass.com/service/residential-window-replacement/?utm_source=google&amp;utm_medium=organic&amp;utm_campaign=gbp-posts-nov-2026&amp;utm_content=nov26-15-low-e-windows</v>
      </c>
      <c r="K16" s="4"/>
      <c r="L16" s="4" t="s">
        <v>104</v>
      </c>
      <c r="M16" s="4" t="s">
        <v>105</v>
      </c>
      <c r="N16" s="4" t="s">
        <v>106</v>
      </c>
      <c r="O16" s="4"/>
      <c r="P16" s="2" t="s">
        <v>23</v>
      </c>
    </row>
    <row r="17" customFormat="false" ht="199.5" hidden="false" customHeight="true" outlineLevel="0" collapsed="false">
      <c r="B17" s="2" t="n">
        <v>4</v>
      </c>
      <c r="C17" s="3" t="n">
        <v>46349</v>
      </c>
      <c r="D17" s="2" t="str">
        <f aca="false">TEXT(C17,"ddd")</f>
        <v>Mon</v>
      </c>
      <c r="E17" s="2" t="s">
        <v>24</v>
      </c>
      <c r="F17" s="4" t="s">
        <v>107</v>
      </c>
      <c r="G17" s="4" t="s">
        <v>108</v>
      </c>
      <c r="H17" s="2" t="s">
        <v>27</v>
      </c>
      <c r="I17" s="5" t="s">
        <v>60</v>
      </c>
      <c r="J17" s="5" t="str">
        <f aca="false">I17&amp;"?utm_source="&amp;Settings!$C$5&amp;"&amp;utm_medium="&amp;Settings!$C$6&amp;"&amp;utm_campaign="&amp;Settings!$C$7&amp;"&amp;utm_content="&amp;Settings!C28</f>
        <v>https://harlingenglass.com/service/3m-security-film/?utm_source=google&amp;utm_medium=organic&amp;utm_campaign=gbp-posts-nov-2026&amp;utm_content=nov26-16-winter-break-assessment</v>
      </c>
      <c r="K17" s="4"/>
      <c r="L17" s="4" t="s">
        <v>109</v>
      </c>
      <c r="M17" s="4" t="s">
        <v>110</v>
      </c>
      <c r="N17" s="4" t="s">
        <v>111</v>
      </c>
      <c r="O17" s="4" t="s">
        <v>112</v>
      </c>
      <c r="P17" s="2" t="s">
        <v>23</v>
      </c>
    </row>
    <row r="18" customFormat="false" ht="199.5" hidden="false" customHeight="true" outlineLevel="0" collapsed="false">
      <c r="B18" s="2" t="n">
        <v>4</v>
      </c>
      <c r="C18" s="3" t="n">
        <v>46350</v>
      </c>
      <c r="D18" s="2" t="str">
        <f aca="false">TEXT(C18,"ddd")</f>
        <v>Tue</v>
      </c>
      <c r="E18" s="2" t="s">
        <v>15</v>
      </c>
      <c r="F18" s="4" t="s">
        <v>113</v>
      </c>
      <c r="G18" s="4" t="s">
        <v>114</v>
      </c>
      <c r="H18" s="2" t="s">
        <v>18</v>
      </c>
      <c r="I18" s="5" t="s">
        <v>76</v>
      </c>
      <c r="J18" s="5" t="str">
        <f aca="false">I18&amp;"?utm_source="&amp;Settings!$C$5&amp;"&amp;utm_medium="&amp;Settings!$C$6&amp;"&amp;utm_campaign="&amp;Settings!$C$7&amp;"&amp;utm_content="&amp;Settings!C29</f>
        <v>https://harlingenglass.com/service/commercial-glass/?utm_source=google&amp;utm_medium=organic&amp;utm_campaign=gbp-posts-nov-2026&amp;utm_content=nov26-17-fire-bullet-resistant</v>
      </c>
      <c r="K18" s="4"/>
      <c r="L18" s="4" t="s">
        <v>115</v>
      </c>
      <c r="M18" s="4" t="s">
        <v>116</v>
      </c>
      <c r="N18" s="4" t="s">
        <v>117</v>
      </c>
      <c r="O18" s="4"/>
      <c r="P18" s="2" t="s">
        <v>23</v>
      </c>
    </row>
    <row r="19" customFormat="false" ht="199.5" hidden="false" customHeight="true" outlineLevel="0" collapsed="false">
      <c r="B19" s="2" t="n">
        <v>4</v>
      </c>
      <c r="C19" s="3" t="n">
        <v>46351</v>
      </c>
      <c r="D19" s="2" t="str">
        <f aca="false">TEXT(C19,"ddd")</f>
        <v>Wed</v>
      </c>
      <c r="E19" s="2" t="s">
        <v>33</v>
      </c>
      <c r="F19" s="4" t="s">
        <v>118</v>
      </c>
      <c r="G19" s="4" t="s">
        <v>119</v>
      </c>
      <c r="H19" s="2" t="s">
        <v>18</v>
      </c>
      <c r="I19" s="5" t="s">
        <v>120</v>
      </c>
      <c r="J19" s="5" t="str">
        <f aca="false">I19&amp;"?utm_source="&amp;Settings!$C$5&amp;"&amp;utm_medium="&amp;Settings!$C$6&amp;"&amp;utm_campaign="&amp;Settings!$C$7&amp;"&amp;utm_content="&amp;Settings!C30</f>
        <v>https://harlingenglass.com/blog/dont-let-a-small-crack-turn-into-a-big-problem/?utm_source=google&amp;utm_medium=organic&amp;utm_campaign=gbp-posts-nov-2026&amp;utm_content=nov26-18-faq-cracked-window</v>
      </c>
      <c r="K19" s="4"/>
      <c r="L19" s="4" t="s">
        <v>121</v>
      </c>
      <c r="M19" s="4" t="s">
        <v>122</v>
      </c>
      <c r="N19" s="4" t="s">
        <v>123</v>
      </c>
      <c r="O19" s="4"/>
      <c r="P19" s="2" t="s">
        <v>23</v>
      </c>
    </row>
    <row r="20" customFormat="false" ht="199.5" hidden="false" customHeight="true" outlineLevel="0" collapsed="false">
      <c r="B20" s="2" t="n">
        <v>4</v>
      </c>
      <c r="C20" s="3" t="n">
        <v>46352</v>
      </c>
      <c r="D20" s="2" t="str">
        <f aca="false">TEXT(C20,"ddd")</f>
        <v>Thu</v>
      </c>
      <c r="E20" s="2" t="s">
        <v>39</v>
      </c>
      <c r="F20" s="4" t="s">
        <v>124</v>
      </c>
      <c r="G20" s="4" t="s">
        <v>125</v>
      </c>
      <c r="H20" s="2" t="s">
        <v>18</v>
      </c>
      <c r="I20" s="5" t="s">
        <v>82</v>
      </c>
      <c r="J20" s="5" t="str">
        <f aca="false">I20&amp;"?utm_source="&amp;Settings!$C$5&amp;"&amp;utm_medium="&amp;Settings!$C$6&amp;"&amp;utm_campaign="&amp;Settings!$C$7&amp;"&amp;utm_content="&amp;Settings!C31</f>
        <v>https://harlingenglass.com/contact/?utm_source=google&amp;utm_medium=organic&amp;utm_campaign=gbp-posts-nov-2026&amp;utm_content=nov26-19-thanksgiving</v>
      </c>
      <c r="K20" s="4"/>
      <c r="L20" s="4" t="s">
        <v>126</v>
      </c>
      <c r="M20" s="4" t="s">
        <v>127</v>
      </c>
      <c r="N20" s="4" t="s">
        <v>128</v>
      </c>
      <c r="O20" s="4"/>
      <c r="P20" s="2" t="s">
        <v>23</v>
      </c>
    </row>
    <row r="21" customFormat="false" ht="199.5" hidden="false" customHeight="true" outlineLevel="0" collapsed="false">
      <c r="B21" s="2" t="n">
        <v>4</v>
      </c>
      <c r="C21" s="3" t="n">
        <v>46353</v>
      </c>
      <c r="D21" s="2" t="str">
        <f aca="false">TEXT(C21,"ddd")</f>
        <v>Fri</v>
      </c>
      <c r="E21" s="2" t="s">
        <v>24</v>
      </c>
      <c r="F21" s="4" t="s">
        <v>129</v>
      </c>
      <c r="G21" s="4" t="s">
        <v>130</v>
      </c>
      <c r="H21" s="2" t="s">
        <v>27</v>
      </c>
      <c r="I21" s="5" t="s">
        <v>49</v>
      </c>
      <c r="J21" s="5" t="str">
        <f aca="false">I21&amp;"?utm_source="&amp;Settings!$C$5&amp;"&amp;utm_medium="&amp;Settings!$C$6&amp;"&amp;utm_campaign="&amp;Settings!$C$7&amp;"&amp;utm_content="&amp;Settings!C32</f>
        <v>https://harlingenglass.com/service/bathroom-enclosures/?utm_source=google&amp;utm_medium=organic&amp;utm_campaign=gbp-posts-nov-2026&amp;utm_content=nov26-20-free-bath-consult</v>
      </c>
      <c r="K21" s="4"/>
      <c r="L21" s="4" t="s">
        <v>131</v>
      </c>
      <c r="M21" s="4" t="s">
        <v>132</v>
      </c>
      <c r="N21" s="4" t="s">
        <v>133</v>
      </c>
      <c r="O21" s="4" t="s">
        <v>134</v>
      </c>
      <c r="P21" s="2" t="s">
        <v>23</v>
      </c>
    </row>
    <row r="22" customFormat="false" ht="199.5" hidden="false" customHeight="true" outlineLevel="0" collapsed="false">
      <c r="B22" s="2" t="n">
        <v>5</v>
      </c>
      <c r="C22" s="3" t="n">
        <v>46356</v>
      </c>
      <c r="D22" s="2" t="str">
        <f aca="false">TEXT(C22,"ddd")</f>
        <v>Mon</v>
      </c>
      <c r="E22" s="2" t="s">
        <v>15</v>
      </c>
      <c r="F22" s="4" t="s">
        <v>135</v>
      </c>
      <c r="G22" s="4" t="s">
        <v>136</v>
      </c>
      <c r="H22" s="2" t="s">
        <v>18</v>
      </c>
      <c r="I22" s="5" t="s">
        <v>88</v>
      </c>
      <c r="J22" s="5" t="str">
        <f aca="false">I22&amp;"?utm_source="&amp;Settings!$C$5&amp;"&amp;utm_medium="&amp;Settings!$C$6&amp;"&amp;utm_campaign="&amp;Settings!$C$7&amp;"&amp;utm_content="&amp;Settings!C33</f>
        <v>https://harlingenglass.com/service/interior/?utm_source=google&amp;utm_medium=organic&amp;utm_campaign=gbp-posts-nov-2026&amp;utm_content=nov26-21-glass-tabletops</v>
      </c>
      <c r="K22" s="4"/>
      <c r="L22" s="4" t="s">
        <v>137</v>
      </c>
      <c r="M22" s="4" t="s">
        <v>138</v>
      </c>
      <c r="N22" s="4" t="s">
        <v>139</v>
      </c>
      <c r="O22" s="4"/>
      <c r="P22" s="2" t="s">
        <v>23</v>
      </c>
    </row>
    <row r="23" customFormat="false" ht="199.5" hidden="false" customHeight="true" outlineLevel="0" collapsed="false">
      <c r="B23" s="2" t="n">
        <v>5</v>
      </c>
      <c r="C23" s="3" t="n">
        <v>46357</v>
      </c>
      <c r="D23" s="2" t="str">
        <f aca="false">TEXT(C23,"ddd")</f>
        <v>Tue</v>
      </c>
      <c r="E23" s="2" t="s">
        <v>39</v>
      </c>
      <c r="F23" s="4" t="s">
        <v>140</v>
      </c>
      <c r="G23" s="4" t="s">
        <v>141</v>
      </c>
      <c r="H23" s="2" t="s">
        <v>18</v>
      </c>
      <c r="I23" s="5" t="s">
        <v>76</v>
      </c>
      <c r="J23" s="5" t="str">
        <f aca="false">I23&amp;"?utm_source="&amp;Settings!$C$5&amp;"&amp;utm_medium="&amp;Settings!$C$6&amp;"&amp;utm_campaign="&amp;Settings!$C$7&amp;"&amp;utm_content="&amp;Settings!C34</f>
        <v>https://harlingenglass.com/service/commercial-glass/?utm_source=google&amp;utm_medium=organic&amp;utm_campaign=gbp-posts-nov-2026&amp;utm_content=nov26-22-project-spotlight</v>
      </c>
      <c r="K23" s="4"/>
      <c r="L23" s="4" t="s">
        <v>142</v>
      </c>
      <c r="M23" s="4" t="s">
        <v>143</v>
      </c>
      <c r="N23" s="4" t="s">
        <v>144</v>
      </c>
      <c r="O23" s="4"/>
      <c r="P23" s="2" t="s">
        <v>23</v>
      </c>
    </row>
  </sheetData>
  <autoFilter ref="B1:P23"/>
  <dataValidations count="1">
    <dataValidation allowBlank="true" errorStyle="stop" operator="between" showDropDown="false" showErrorMessage="false" showInputMessage="false" sqref="P2:P23" type="list">
      <formula1>"Not Published,Scheduled,Published"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3" style="0" width="22"/>
    <col collapsed="false" customWidth="true" hidden="false" outlineLevel="0" max="5" min="4" style="0" width="50"/>
  </cols>
  <sheetData>
    <row r="1" customFormat="false" ht="17.35" hidden="false" customHeight="false" outlineLevel="0" collapsed="false">
      <c r="A1" s="6" t="s">
        <v>145</v>
      </c>
    </row>
    <row r="2" customFormat="false" ht="15" hidden="false" customHeight="false" outlineLevel="0" collapsed="false">
      <c r="A2" s="7" t="s">
        <v>146</v>
      </c>
    </row>
    <row r="4" customFormat="false" ht="15" hidden="false" customHeight="false" outlineLevel="0" collapsed="false">
      <c r="B4" s="8" t="s">
        <v>147</v>
      </c>
      <c r="C4" s="8" t="s">
        <v>148</v>
      </c>
      <c r="D4" s="8" t="s">
        <v>149</v>
      </c>
    </row>
    <row r="5" customFormat="false" ht="23.85" hidden="false" customHeight="false" outlineLevel="0" collapsed="false">
      <c r="B5" s="4" t="s">
        <v>150</v>
      </c>
      <c r="C5" s="4" t="s">
        <v>151</v>
      </c>
      <c r="D5" s="4" t="s">
        <v>152</v>
      </c>
    </row>
    <row r="6" customFormat="false" ht="23.85" hidden="false" customHeight="false" outlineLevel="0" collapsed="false">
      <c r="B6" s="4" t="s">
        <v>153</v>
      </c>
      <c r="C6" s="4" t="s">
        <v>154</v>
      </c>
      <c r="D6" s="4" t="s">
        <v>155</v>
      </c>
    </row>
    <row r="7" customFormat="false" ht="23.85" hidden="false" customHeight="false" outlineLevel="0" collapsed="false">
      <c r="B7" s="4" t="s">
        <v>156</v>
      </c>
      <c r="C7" s="4" t="s">
        <v>157</v>
      </c>
      <c r="D7" s="4" t="s">
        <v>158</v>
      </c>
    </row>
    <row r="8" customFormat="false" ht="23.85" hidden="false" customHeight="false" outlineLevel="0" collapsed="false">
      <c r="B8" s="4" t="s">
        <v>159</v>
      </c>
      <c r="C8" s="4" t="s">
        <v>160</v>
      </c>
      <c r="D8" s="4" t="s">
        <v>161</v>
      </c>
    </row>
    <row r="11" customFormat="false" ht="15" hidden="false" customHeight="false" outlineLevel="0" collapsed="false">
      <c r="B11" s="9" t="s">
        <v>162</v>
      </c>
    </row>
    <row r="12" customFormat="false" ht="15" hidden="false" customHeight="false" outlineLevel="0" collapsed="false">
      <c r="B12" s="8" t="s">
        <v>163</v>
      </c>
      <c r="C12" s="8" t="s">
        <v>164</v>
      </c>
      <c r="D12" s="8" t="s">
        <v>4</v>
      </c>
    </row>
    <row r="13" customFormat="false" ht="23.85" hidden="false" customHeight="false" outlineLevel="0" collapsed="false">
      <c r="B13" s="2" t="n">
        <v>1</v>
      </c>
      <c r="C13" s="4" t="s">
        <v>165</v>
      </c>
      <c r="D13" s="4" t="str">
        <f aca="false">'harlingenglass.com'!F2</f>
        <v>Cracked or Foggy Window? Residential Glass Repair in Harlingen</v>
      </c>
    </row>
    <row r="14" customFormat="false" ht="15" hidden="false" customHeight="false" outlineLevel="0" collapsed="false">
      <c r="B14" s="2" t="n">
        <v>2</v>
      </c>
      <c r="C14" s="4" t="s">
        <v>166</v>
      </c>
      <c r="D14" s="4" t="str">
        <f aca="false">'harlingenglass.com'!F3</f>
        <v>Buy 3 Windows, Get the 4th Window Free</v>
      </c>
    </row>
    <row r="15" customFormat="false" ht="15" hidden="false" customHeight="false" outlineLevel="0" collapsed="false">
      <c r="B15" s="2" t="n">
        <v>3</v>
      </c>
      <c r="C15" s="4" t="s">
        <v>167</v>
      </c>
      <c r="D15" s="4" t="str">
        <f aca="false">'harlingenglass.com'!F4</f>
        <v>FAQ: Why Is My Double-Pane Window Foggy?</v>
      </c>
    </row>
    <row r="16" customFormat="false" ht="15" hidden="false" customHeight="false" outlineLevel="0" collapsed="false">
      <c r="B16" s="2" t="n">
        <v>4</v>
      </c>
      <c r="C16" s="4" t="s">
        <v>168</v>
      </c>
      <c r="D16" s="4" t="str">
        <f aca="false">'harlingenglass.com'!F5</f>
        <v>Family-Owned in Harlingen Since 1978</v>
      </c>
    </row>
    <row r="17" customFormat="false" ht="23.85" hidden="false" customHeight="false" outlineLevel="0" collapsed="false">
      <c r="B17" s="2" t="n">
        <v>5</v>
      </c>
      <c r="C17" s="4" t="s">
        <v>169</v>
      </c>
      <c r="D17" s="4" t="str">
        <f aca="false">'harlingenglass.com'!F6</f>
        <v>Custom Frameless Shower Enclosures</v>
      </c>
    </row>
    <row r="18" customFormat="false" ht="23.85" hidden="false" customHeight="false" outlineLevel="0" collapsed="false">
      <c r="B18" s="2" t="n">
        <v>6</v>
      </c>
      <c r="C18" s="4" t="s">
        <v>170</v>
      </c>
      <c r="D18" s="4" t="str">
        <f aca="false">'harlingenglass.com'!F7</f>
        <v>FAQ: Frameless vs Semi-Frameless vs Framed Shower Doors</v>
      </c>
    </row>
    <row r="19" customFormat="false" ht="15" hidden="false" customHeight="false" outlineLevel="0" collapsed="false">
      <c r="B19" s="2" t="n">
        <v>7</v>
      </c>
      <c r="C19" s="4" t="s">
        <v>171</v>
      </c>
      <c r="D19" s="4" t="str">
        <f aca="false">'harlingenglass.com'!F8</f>
        <v>3M Security Window Film for Texas Schools</v>
      </c>
    </row>
    <row r="20" customFormat="false" ht="15" hidden="false" customHeight="false" outlineLevel="0" collapsed="false">
      <c r="B20" s="2" t="n">
        <v>8</v>
      </c>
      <c r="C20" s="4" t="s">
        <v>172</v>
      </c>
      <c r="D20" s="4" t="str">
        <f aca="false">'harlingenglass.com'!F9</f>
        <v>Cold Front Season: Check Your Window Seals</v>
      </c>
    </row>
    <row r="21" customFormat="false" ht="15" hidden="false" customHeight="false" outlineLevel="0" collapsed="false">
      <c r="B21" s="2" t="n">
        <v>9</v>
      </c>
      <c r="C21" s="4" t="s">
        <v>173</v>
      </c>
      <c r="D21" s="4" t="str">
        <f aca="false">'harlingenglass.com'!F10</f>
        <v>FAQ: Does Any Security Film Meet School Requirements?</v>
      </c>
    </row>
    <row r="22" customFormat="false" ht="23.85" hidden="false" customHeight="false" outlineLevel="0" collapsed="false">
      <c r="B22" s="2" t="n">
        <v>10</v>
      </c>
      <c r="C22" s="4" t="s">
        <v>174</v>
      </c>
      <c r="D22" s="4" t="str">
        <f aca="false">'harlingenglass.com'!F11</f>
        <v>Commercial Storefront Glass Repair and Replacement</v>
      </c>
    </row>
    <row r="23" customFormat="false" ht="15" hidden="false" customHeight="false" outlineLevel="0" collapsed="false">
      <c r="B23" s="2" t="n">
        <v>11</v>
      </c>
      <c r="C23" s="4" t="s">
        <v>175</v>
      </c>
      <c r="D23" s="4" t="str">
        <f aca="false">'harlingenglass.com'!F12</f>
        <v>Financing Available for Glass Upgrades</v>
      </c>
    </row>
    <row r="24" customFormat="false" ht="15" hidden="false" customHeight="false" outlineLevel="0" collapsed="false">
      <c r="B24" s="2" t="n">
        <v>12</v>
      </c>
      <c r="C24" s="4" t="s">
        <v>176</v>
      </c>
      <c r="D24" s="4" t="str">
        <f aca="false">'harlingenglass.com'!F13</f>
        <v>Custom Mirrors for Homes, Gyms and Studios</v>
      </c>
    </row>
    <row r="25" customFormat="false" ht="15" hidden="false" customHeight="false" outlineLevel="0" collapsed="false">
      <c r="B25" s="2" t="n">
        <v>13</v>
      </c>
      <c r="C25" s="4" t="s">
        <v>177</v>
      </c>
      <c r="D25" s="4" t="str">
        <f aca="false">'harlingenglass.com'!F14</f>
        <v>FAQ: What Warranty Does Harlingen Glass Offer?</v>
      </c>
    </row>
    <row r="26" customFormat="false" ht="23.85" hidden="false" customHeight="false" outlineLevel="0" collapsed="false">
      <c r="B26" s="2" t="n">
        <v>14</v>
      </c>
      <c r="C26" s="4" t="s">
        <v>178</v>
      </c>
      <c r="D26" s="4" t="str">
        <f aca="false">'harlingenglass.com'!F15</f>
        <v>Get Your Glass Guest-Ready for Thanksgiving</v>
      </c>
    </row>
    <row r="27" customFormat="false" ht="15" hidden="false" customHeight="false" outlineLevel="0" collapsed="false">
      <c r="B27" s="2" t="n">
        <v>15</v>
      </c>
      <c r="C27" s="4" t="s">
        <v>179</v>
      </c>
      <c r="D27" s="4" t="str">
        <f aca="false">'harlingenglass.com'!F16</f>
        <v>Energy-Efficient Low-E Window Replacement</v>
      </c>
    </row>
    <row r="28" customFormat="false" ht="23.85" hidden="false" customHeight="false" outlineLevel="0" collapsed="false">
      <c r="B28" s="2" t="n">
        <v>16</v>
      </c>
      <c r="C28" s="4" t="s">
        <v>180</v>
      </c>
      <c r="D28" s="4" t="str">
        <f aca="false">'harlingenglass.com'!F17</f>
        <v>Free Security Film Assessment Before Winter Break</v>
      </c>
    </row>
    <row r="29" customFormat="false" ht="23.85" hidden="false" customHeight="false" outlineLevel="0" collapsed="false">
      <c r="B29" s="2" t="n">
        <v>17</v>
      </c>
      <c r="C29" s="4" t="s">
        <v>181</v>
      </c>
      <c r="D29" s="4" t="str">
        <f aca="false">'harlingenglass.com'!F18</f>
        <v>Fire-Rated and Bullet-Resistant Commercial Glass</v>
      </c>
    </row>
    <row r="30" customFormat="false" ht="23.85" hidden="false" customHeight="false" outlineLevel="0" collapsed="false">
      <c r="B30" s="2" t="n">
        <v>18</v>
      </c>
      <c r="C30" s="4" t="s">
        <v>182</v>
      </c>
      <c r="D30" s="4" t="str">
        <f aca="false">'harlingenglass.com'!F19</f>
        <v>FAQ: Repair or Replace a Cracked Window?</v>
      </c>
    </row>
    <row r="31" customFormat="false" ht="15" hidden="false" customHeight="false" outlineLevel="0" collapsed="false">
      <c r="B31" s="2" t="n">
        <v>19</v>
      </c>
      <c r="C31" s="4" t="s">
        <v>183</v>
      </c>
      <c r="D31" s="4" t="str">
        <f aca="false">'harlingenglass.com'!F20</f>
        <v>Happy Thanksgiving from Harlingen Glass &amp; Mirror</v>
      </c>
    </row>
    <row r="32" customFormat="false" ht="23.85" hidden="false" customHeight="false" outlineLevel="0" collapsed="false">
      <c r="B32" s="2" t="n">
        <v>20</v>
      </c>
      <c r="C32" s="4" t="s">
        <v>184</v>
      </c>
      <c r="D32" s="4" t="str">
        <f aca="false">'harlingenglass.com'!F21</f>
        <v>Free Bathroom Glass Consultation</v>
      </c>
    </row>
    <row r="33" customFormat="false" ht="15" hidden="false" customHeight="false" outlineLevel="0" collapsed="false">
      <c r="B33" s="2" t="n">
        <v>21</v>
      </c>
      <c r="C33" s="4" t="s">
        <v>185</v>
      </c>
      <c r="D33" s="4" t="str">
        <f aca="false">'harlingenglass.com'!F22</f>
        <v>Custom Glass Tabletops and Shelves</v>
      </c>
    </row>
    <row r="34" customFormat="false" ht="15" hidden="false" customHeight="false" outlineLevel="0" collapsed="false">
      <c r="B34" s="2" t="n">
        <v>22</v>
      </c>
      <c r="C34" s="4" t="s">
        <v>186</v>
      </c>
      <c r="D34" s="4" t="str">
        <f aca="false">'harlingenglass.com'!F23</f>
        <v>Project Spotlight: Glass Across the Rio Grande Valley</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3" style="0" width="26"/>
    <col collapsed="false" customWidth="true" hidden="false" outlineLevel="0" max="4" min="4" style="0" width="60"/>
    <col collapsed="false" customWidth="true" hidden="false" outlineLevel="0" max="5" min="5" style="0" width="45"/>
    <col collapsed="false" customWidth="true" hidden="false" outlineLevel="0" max="6" min="6" style="0" width="34"/>
    <col collapsed="false" customWidth="true" hidden="false" outlineLevel="0" max="7" min="7" style="0" width="10"/>
  </cols>
  <sheetData>
    <row r="1" customFormat="false" ht="17.35" hidden="false" customHeight="false" outlineLevel="0" collapsed="false">
      <c r="A1" s="6" t="s">
        <v>187</v>
      </c>
    </row>
    <row r="2" customFormat="false" ht="15" hidden="false" customHeight="false" outlineLevel="0" collapsed="false">
      <c r="A2" s="7" t="s">
        <v>188</v>
      </c>
    </row>
    <row r="4" customFormat="false" ht="15" hidden="false" customHeight="false" outlineLevel="0" collapsed="false">
      <c r="B4" s="8" t="s">
        <v>189</v>
      </c>
      <c r="C4" s="8" t="s">
        <v>148</v>
      </c>
      <c r="D4" s="8" t="s">
        <v>149</v>
      </c>
    </row>
    <row r="5" customFormat="false" ht="35.05" hidden="false" customHeight="false" outlineLevel="0" collapsed="false">
      <c r="B5" s="4" t="s">
        <v>190</v>
      </c>
      <c r="C5" s="4" t="s">
        <v>191</v>
      </c>
      <c r="D5" s="4" t="s">
        <v>192</v>
      </c>
    </row>
    <row r="6" customFormat="false" ht="23.85" hidden="false" customHeight="false" outlineLevel="0" collapsed="false">
      <c r="B6" s="4" t="s">
        <v>193</v>
      </c>
      <c r="C6" s="4" t="s">
        <v>194</v>
      </c>
      <c r="D6" s="4" t="s">
        <v>195</v>
      </c>
    </row>
    <row r="7" customFormat="false" ht="35.05" hidden="false" customHeight="false" outlineLevel="0" collapsed="false">
      <c r="B7" s="4" t="s">
        <v>196</v>
      </c>
      <c r="C7" s="4" t="s">
        <v>197</v>
      </c>
      <c r="D7" s="4" t="s">
        <v>198</v>
      </c>
    </row>
    <row r="8" customFormat="false" ht="23.85" hidden="false" customHeight="false" outlineLevel="0" collapsed="false">
      <c r="B8" s="4" t="s">
        <v>199</v>
      </c>
      <c r="C8" s="4" t="s">
        <v>200</v>
      </c>
      <c r="D8" s="4" t="s">
        <v>201</v>
      </c>
    </row>
    <row r="9" customFormat="false" ht="23.85" hidden="false" customHeight="false" outlineLevel="0" collapsed="false">
      <c r="B9" s="4" t="s">
        <v>202</v>
      </c>
      <c r="C9" s="4" t="s">
        <v>203</v>
      </c>
      <c r="D9" s="4" t="s">
        <v>204</v>
      </c>
    </row>
    <row r="10" customFormat="false" ht="35.05" hidden="false" customHeight="false" outlineLevel="0" collapsed="false">
      <c r="B10" s="4" t="s">
        <v>205</v>
      </c>
      <c r="C10" s="4" t="s">
        <v>206</v>
      </c>
      <c r="D10" s="4" t="s">
        <v>207</v>
      </c>
    </row>
    <row r="12" customFormat="false" ht="15" hidden="false" customHeight="false" outlineLevel="0" collapsed="false">
      <c r="B12" s="9" t="s">
        <v>208</v>
      </c>
    </row>
    <row r="13" customFormat="false" ht="15" hidden="false" customHeight="false" outlineLevel="0" collapsed="false">
      <c r="B13" s="8" t="s">
        <v>209</v>
      </c>
      <c r="C13" s="8" t="s">
        <v>210</v>
      </c>
      <c r="D13" s="8" t="s">
        <v>211</v>
      </c>
      <c r="E13" s="8" t="s">
        <v>212</v>
      </c>
      <c r="F13" s="8" t="s">
        <v>213</v>
      </c>
    </row>
    <row r="14" customFormat="false" ht="23.85" hidden="false" customHeight="false" outlineLevel="0" collapsed="false">
      <c r="B14" s="4" t="s">
        <v>214</v>
      </c>
      <c r="C14" s="4" t="s">
        <v>215</v>
      </c>
      <c r="D14" s="4" t="s">
        <v>216</v>
      </c>
      <c r="E14" s="4" t="s">
        <v>217</v>
      </c>
      <c r="F14" s="10"/>
    </row>
    <row r="15" customFormat="false" ht="15" hidden="false" customHeight="false" outlineLevel="0" collapsed="false">
      <c r="B15" s="4" t="s">
        <v>218</v>
      </c>
      <c r="C15" s="4" t="s">
        <v>219</v>
      </c>
      <c r="D15" s="4" t="s">
        <v>220</v>
      </c>
      <c r="E15" s="4" t="s">
        <v>221</v>
      </c>
      <c r="F15" s="11"/>
    </row>
    <row r="16" customFormat="false" ht="23.85" hidden="false" customHeight="false" outlineLevel="0" collapsed="false">
      <c r="B16" s="4" t="s">
        <v>222</v>
      </c>
      <c r="C16" s="4" t="s">
        <v>223</v>
      </c>
      <c r="D16" s="4" t="s">
        <v>224</v>
      </c>
      <c r="E16" s="4" t="s">
        <v>225</v>
      </c>
      <c r="F16" s="12"/>
    </row>
    <row r="17" customFormat="false" ht="15" hidden="false" customHeight="false" outlineLevel="0" collapsed="false">
      <c r="B17" s="4" t="s">
        <v>226</v>
      </c>
      <c r="C17" s="4" t="s">
        <v>227</v>
      </c>
      <c r="D17" s="4" t="s">
        <v>228</v>
      </c>
      <c r="E17" s="4" t="s">
        <v>229</v>
      </c>
      <c r="F17" s="13"/>
    </row>
    <row r="18" customFormat="false" ht="15" hidden="false" customHeight="false" outlineLevel="0" collapsed="false">
      <c r="B18" s="4" t="s">
        <v>230</v>
      </c>
      <c r="C18" s="4" t="s">
        <v>231</v>
      </c>
      <c r="D18" s="4" t="s">
        <v>228</v>
      </c>
      <c r="E18" s="4" t="s">
        <v>232</v>
      </c>
      <c r="F18" s="14"/>
    </row>
    <row r="19" customFormat="false" ht="15" hidden="false" customHeight="false" outlineLevel="0" collapsed="false">
      <c r="B19" s="4" t="s">
        <v>233</v>
      </c>
      <c r="C19" s="4" t="s">
        <v>234</v>
      </c>
      <c r="D19" s="4" t="s">
        <v>235</v>
      </c>
      <c r="E19" s="4" t="s">
        <v>236</v>
      </c>
      <c r="F19" s="15"/>
    </row>
    <row r="21" customFormat="false" ht="15" hidden="false" customHeight="false" outlineLevel="0" collapsed="false">
      <c r="B21" s="9" t="s">
        <v>237</v>
      </c>
    </row>
    <row r="22" customFormat="false" ht="15" hidden="false" customHeight="false" outlineLevel="0" collapsed="false">
      <c r="B22" s="8" t="s">
        <v>238</v>
      </c>
      <c r="C22" s="8" t="s">
        <v>239</v>
      </c>
    </row>
    <row r="23" customFormat="false" ht="35.05" hidden="false" customHeight="false" outlineLevel="0" collapsed="false">
      <c r="B23" s="4" t="s">
        <v>240</v>
      </c>
      <c r="C23" s="4" t="s">
        <v>241</v>
      </c>
    </row>
    <row r="24" customFormat="false" ht="35.05" hidden="false" customHeight="false" outlineLevel="0" collapsed="false">
      <c r="B24" s="4" t="s">
        <v>242</v>
      </c>
      <c r="C24" s="4" t="s">
        <v>243</v>
      </c>
    </row>
    <row r="25" customFormat="false" ht="35.05" hidden="false" customHeight="false" outlineLevel="0" collapsed="false">
      <c r="B25" s="4" t="s">
        <v>244</v>
      </c>
      <c r="C25" s="4" t="s">
        <v>245</v>
      </c>
    </row>
    <row r="26" customFormat="false" ht="35.05" hidden="false" customHeight="false" outlineLevel="0" collapsed="false">
      <c r="B26" s="4" t="s">
        <v>246</v>
      </c>
      <c r="C26" s="4" t="s">
        <v>247</v>
      </c>
    </row>
    <row r="27" customFormat="false" ht="46.25" hidden="false" customHeight="false" outlineLevel="0" collapsed="false">
      <c r="B27" s="4" t="s">
        <v>248</v>
      </c>
      <c r="C27" s="4" t="s">
        <v>249</v>
      </c>
    </row>
    <row r="28" customFormat="false" ht="57.45" hidden="false" customHeight="false" outlineLevel="0" collapsed="false">
      <c r="B28" s="4" t="s">
        <v>250</v>
      </c>
      <c r="C28" s="4" t="s">
        <v>251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5"/>
    <col collapsed="false" customWidth="true" hidden="false" outlineLevel="0" max="3" min="3" style="0" width="60"/>
    <col collapsed="false" customWidth="true" hidden="false" outlineLevel="0" max="4" min="4" style="0" width="55"/>
  </cols>
  <sheetData>
    <row r="1" customFormat="false" ht="17.35" hidden="false" customHeight="false" outlineLevel="0" collapsed="false">
      <c r="A1" s="6" t="s">
        <v>252</v>
      </c>
    </row>
    <row r="2" customFormat="false" ht="15" hidden="false" customHeight="false" outlineLevel="0" collapsed="false">
      <c r="A2" s="7" t="s">
        <v>253</v>
      </c>
    </row>
    <row r="4" customFormat="false" ht="15" hidden="false" customHeight="false" outlineLevel="0" collapsed="false">
      <c r="A4" s="8" t="s">
        <v>254</v>
      </c>
      <c r="B4" s="8" t="s">
        <v>238</v>
      </c>
      <c r="C4" s="8" t="s">
        <v>255</v>
      </c>
      <c r="D4" s="8" t="s">
        <v>256</v>
      </c>
    </row>
    <row r="5" customFormat="false" ht="23.85" hidden="false" customHeight="false" outlineLevel="0" collapsed="false">
      <c r="A5" s="2" t="n">
        <v>1</v>
      </c>
      <c r="B5" s="4" t="s">
        <v>257</v>
      </c>
      <c r="C5" s="4" t="s">
        <v>258</v>
      </c>
      <c r="D5" s="4" t="s">
        <v>259</v>
      </c>
    </row>
    <row r="6" customFormat="false" ht="35.05" hidden="false" customHeight="false" outlineLevel="0" collapsed="false">
      <c r="A6" s="2" t="n">
        <v>2</v>
      </c>
      <c r="B6" s="4" t="s">
        <v>260</v>
      </c>
      <c r="C6" s="4" t="s">
        <v>261</v>
      </c>
      <c r="D6" s="4" t="s">
        <v>259</v>
      </c>
    </row>
    <row r="7" customFormat="false" ht="35.05" hidden="false" customHeight="false" outlineLevel="0" collapsed="false">
      <c r="A7" s="2" t="n">
        <v>3</v>
      </c>
      <c r="B7" s="4" t="s">
        <v>262</v>
      </c>
      <c r="C7" s="4" t="s">
        <v>263</v>
      </c>
      <c r="D7" s="4" t="s">
        <v>264</v>
      </c>
    </row>
    <row r="8" customFormat="false" ht="35.05" hidden="false" customHeight="false" outlineLevel="0" collapsed="false">
      <c r="A8" s="2" t="n">
        <v>4</v>
      </c>
      <c r="B8" s="4" t="s">
        <v>265</v>
      </c>
      <c r="C8" s="4" t="s">
        <v>266</v>
      </c>
      <c r="D8" s="4" t="s">
        <v>267</v>
      </c>
    </row>
    <row r="9" customFormat="false" ht="23.85" hidden="false" customHeight="false" outlineLevel="0" collapsed="false">
      <c r="A9" s="2" t="n">
        <v>5</v>
      </c>
      <c r="B9" s="4" t="s">
        <v>268</v>
      </c>
      <c r="C9" s="4" t="s">
        <v>269</v>
      </c>
      <c r="D9" s="4" t="s">
        <v>267</v>
      </c>
    </row>
    <row r="10" customFormat="false" ht="15" hidden="false" customHeight="false" outlineLevel="0" collapsed="false">
      <c r="A10" s="2" t="n">
        <v>6</v>
      </c>
      <c r="B10" s="4" t="s">
        <v>270</v>
      </c>
      <c r="C10" s="4" t="s">
        <v>271</v>
      </c>
      <c r="D10" s="4" t="s">
        <v>272</v>
      </c>
    </row>
    <row r="11" customFormat="false" ht="23.85" hidden="false" customHeight="false" outlineLevel="0" collapsed="false">
      <c r="A11" s="2" t="n">
        <v>7</v>
      </c>
      <c r="B11" s="4" t="s">
        <v>273</v>
      </c>
      <c r="C11" s="4" t="s">
        <v>274</v>
      </c>
      <c r="D11" s="4" t="s">
        <v>267</v>
      </c>
    </row>
    <row r="12" customFormat="false" ht="35.05" hidden="false" customHeight="false" outlineLevel="0" collapsed="false">
      <c r="A12" s="2" t="n">
        <v>8</v>
      </c>
      <c r="B12" s="4" t="s">
        <v>275</v>
      </c>
      <c r="C12" s="4" t="s">
        <v>276</v>
      </c>
      <c r="D12" s="4" t="s">
        <v>277</v>
      </c>
    </row>
    <row r="13" customFormat="false" ht="23.85" hidden="false" customHeight="false" outlineLevel="0" collapsed="false">
      <c r="A13" s="2" t="n">
        <v>9</v>
      </c>
      <c r="B13" s="4" t="s">
        <v>278</v>
      </c>
      <c r="C13" s="4" t="s">
        <v>279</v>
      </c>
      <c r="D13" s="4" t="s">
        <v>277</v>
      </c>
    </row>
    <row r="14" customFormat="false" ht="23.85" hidden="false" customHeight="false" outlineLevel="0" collapsed="false">
      <c r="A14" s="2" t="n">
        <v>10</v>
      </c>
      <c r="B14" s="4" t="s">
        <v>280</v>
      </c>
      <c r="C14" s="4" t="s">
        <v>281</v>
      </c>
      <c r="D14" s="4" t="s">
        <v>277</v>
      </c>
    </row>
    <row r="15" customFormat="false" ht="23.85" hidden="false" customHeight="false" outlineLevel="0" collapsed="false">
      <c r="A15" s="2" t="n">
        <v>11</v>
      </c>
      <c r="B15" s="4" t="s">
        <v>282</v>
      </c>
      <c r="C15" s="4" t="s">
        <v>283</v>
      </c>
      <c r="D15" s="4" t="s">
        <v>259</v>
      </c>
    </row>
    <row r="16" customFormat="false" ht="46.25" hidden="false" customHeight="false" outlineLevel="0" collapsed="false">
      <c r="A16" s="2" t="n">
        <v>12</v>
      </c>
      <c r="B16" s="4" t="s">
        <v>284</v>
      </c>
      <c r="C16" s="4" t="s">
        <v>285</v>
      </c>
      <c r="D16" s="4" t="s">
        <v>259</v>
      </c>
    </row>
    <row r="17" customFormat="false" ht="23.85" hidden="false" customHeight="false" outlineLevel="0" collapsed="false">
      <c r="A17" s="2" t="n">
        <v>13</v>
      </c>
      <c r="B17" s="4" t="s">
        <v>286</v>
      </c>
      <c r="C17" s="4" t="s">
        <v>287</v>
      </c>
      <c r="D17" s="4" t="s">
        <v>267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3"/>
    <col collapsed="false" customWidth="true" hidden="false" outlineLevel="0" max="3" min="3" style="0" width="11"/>
    <col collapsed="false" customWidth="true" hidden="false" outlineLevel="0" max="7" min="4" style="0" width="12"/>
    <col collapsed="false" customWidth="true" hidden="false" outlineLevel="0" max="8" min="8" style="0" width="9"/>
    <col collapsed="false" customWidth="true" hidden="false" outlineLevel="0" max="9" min="9" style="0" width="12"/>
    <col collapsed="false" customWidth="true" hidden="false" outlineLevel="0" max="10" min="10" style="0" width="14"/>
    <col collapsed="false" customWidth="true" hidden="false" outlineLevel="0" max="11" min="11" style="0" width="13"/>
    <col collapsed="false" customWidth="true" hidden="false" outlineLevel="0" max="12" min="12" style="0" width="12"/>
    <col collapsed="false" customWidth="true" hidden="false" outlineLevel="0" max="13" min="13" style="0" width="10"/>
  </cols>
  <sheetData>
    <row r="1" customFormat="false" ht="17.35" hidden="false" customHeight="false" outlineLevel="0" collapsed="false">
      <c r="A1" s="6" t="s">
        <v>288</v>
      </c>
    </row>
    <row r="2" customFormat="false" ht="15" hidden="false" customHeight="false" outlineLevel="0" collapsed="false">
      <c r="A2" s="7" t="s">
        <v>289</v>
      </c>
    </row>
    <row r="4" customFormat="false" ht="35.05" hidden="false" customHeight="false" outlineLevel="0" collapsed="false">
      <c r="A4" s="8" t="s">
        <v>163</v>
      </c>
      <c r="B4" s="8" t="s">
        <v>290</v>
      </c>
      <c r="C4" s="8" t="s">
        <v>291</v>
      </c>
      <c r="D4" s="8" t="s">
        <v>292</v>
      </c>
      <c r="E4" s="8" t="s">
        <v>293</v>
      </c>
      <c r="F4" s="8" t="s">
        <v>294</v>
      </c>
      <c r="G4" s="8" t="s">
        <v>295</v>
      </c>
      <c r="H4" s="8" t="s">
        <v>296</v>
      </c>
      <c r="I4" s="8" t="s">
        <v>297</v>
      </c>
      <c r="J4" s="8" t="s">
        <v>298</v>
      </c>
      <c r="K4" s="8" t="s">
        <v>299</v>
      </c>
      <c r="L4" s="8" t="s">
        <v>300</v>
      </c>
      <c r="M4" s="8" t="s">
        <v>301</v>
      </c>
    </row>
    <row r="5" customFormat="false" ht="15" hidden="false" customHeight="false" outlineLevel="0" collapsed="false">
      <c r="A5" s="2" t="n">
        <v>1</v>
      </c>
      <c r="B5" s="3" t="n">
        <f aca="false">'harlingenglass.com'!C2</f>
        <v>46328</v>
      </c>
      <c r="C5" s="2" t="n">
        <f aca="false">LEN('harlingenglass.com'!G2)</f>
        <v>510</v>
      </c>
      <c r="D5" s="2" t="str">
        <f aca="false">IF(LEN('harlingenglass.com'!G2)&lt;=1500,"Pass","Fail")</f>
        <v>Pass</v>
      </c>
      <c r="E5" s="2" t="str">
        <f aca="false">IF(SUMPRODUCT(--ISNUMBER(SEARCH({"956","428-6066","428.6066","4286066"},'harlingenglass.com'!G2)))=0,"Pass","Fail")</f>
        <v>Pass</v>
      </c>
      <c r="F5" s="2" t="str">
        <f aca="false">IF(ISNUMBER(SEARCH("@",'harlingenglass.com'!G2)),"Fail","Pass")</f>
        <v>Pass</v>
      </c>
      <c r="G5" s="2" t="str">
        <f aca="false">IF(OR(ISNUMBER(SEARCH("http",'harlingenglass.com'!G2)),ISNUMBER(SEARCH("www.",'harlingenglass.com'!G2)),ISNUMBER(SEARCH(".com",'harlingenglass.com'!G2))),"Fail","Pass")</f>
        <v>Pass</v>
      </c>
      <c r="H5" s="2" t="str">
        <f aca="false">IF(LEN('harlingenglass.com'!H2)&gt;0,"Pass","Fail")</f>
        <v>Pass</v>
      </c>
      <c r="I5" s="2" t="str">
        <f aca="false">IF(AND(ISNUMBER(SEARCH("utm_source=google",'harlingenglass.com'!J2)),ISNUMBER(SEARCH("utm_content=",'harlingenglass.com'!J2))),"Pass","Fail")</f>
        <v>Pass</v>
      </c>
      <c r="J5" s="2" t="str">
        <f aca="false">IF(ISNUMBER(SEARCH(Settings!$C$8,'harlingenglass.com'!I2)),"Pass","Fail")</f>
        <v>Pass</v>
      </c>
      <c r="K5" s="2" t="str">
        <f aca="false">IF(WEEKDAY('harlingenglass.com'!C2,2)&lt;=5,"Pass","Fail")</f>
        <v>Pass</v>
      </c>
      <c r="L5" s="2" t="str">
        <f aca="false">IF(LEN('harlingenglass.com'!M2)&gt;0,"Pass","Fail")</f>
        <v>Pass</v>
      </c>
      <c r="M5" s="2" t="str">
        <f aca="false">IF(COUNTIF(D5:L5,"Fail")=0,"Pass","Fail")</f>
        <v>Pass</v>
      </c>
    </row>
    <row r="6" customFormat="false" ht="15" hidden="false" customHeight="false" outlineLevel="0" collapsed="false">
      <c r="A6" s="2" t="n">
        <v>2</v>
      </c>
      <c r="B6" s="3" t="n">
        <f aca="false">'harlingenglass.com'!C3</f>
        <v>46329</v>
      </c>
      <c r="C6" s="2" t="n">
        <f aca="false">LEN('harlingenglass.com'!G3)</f>
        <v>434</v>
      </c>
      <c r="D6" s="2" t="str">
        <f aca="false">IF(LEN('harlingenglass.com'!G3)&lt;=1500,"Pass","Fail")</f>
        <v>Pass</v>
      </c>
      <c r="E6" s="2" t="str">
        <f aca="false">IF(SUMPRODUCT(--ISNUMBER(SEARCH({"956","428-6066","428.6066","4286066"},'harlingenglass.com'!G3)))=0,"Pass","Fail")</f>
        <v>Pass</v>
      </c>
      <c r="F6" s="2" t="str">
        <f aca="false">IF(ISNUMBER(SEARCH("@",'harlingenglass.com'!G3)),"Fail","Pass")</f>
        <v>Pass</v>
      </c>
      <c r="G6" s="2" t="str">
        <f aca="false">IF(OR(ISNUMBER(SEARCH("http",'harlingenglass.com'!G3)),ISNUMBER(SEARCH("www.",'harlingenglass.com'!G3)),ISNUMBER(SEARCH(".com",'harlingenglass.com'!G3))),"Fail","Pass")</f>
        <v>Pass</v>
      </c>
      <c r="H6" s="2" t="str">
        <f aca="false">IF(LEN('harlingenglass.com'!H3)&gt;0,"Pass","Fail")</f>
        <v>Pass</v>
      </c>
      <c r="I6" s="2" t="str">
        <f aca="false">IF(AND(ISNUMBER(SEARCH("utm_source=google",'harlingenglass.com'!J3)),ISNUMBER(SEARCH("utm_content=",'harlingenglass.com'!J3))),"Pass","Fail")</f>
        <v>Pass</v>
      </c>
      <c r="J6" s="2" t="str">
        <f aca="false">IF(ISNUMBER(SEARCH(Settings!$C$8,'harlingenglass.com'!I3)),"Pass","Fail")</f>
        <v>Pass</v>
      </c>
      <c r="K6" s="2" t="str">
        <f aca="false">IF(WEEKDAY('harlingenglass.com'!C3,2)&lt;=5,"Pass","Fail")</f>
        <v>Pass</v>
      </c>
      <c r="L6" s="2" t="str">
        <f aca="false">IF(LEN('harlingenglass.com'!M3)&gt;0,"Pass","Fail")</f>
        <v>Pass</v>
      </c>
      <c r="M6" s="2" t="str">
        <f aca="false">IF(COUNTIF(D6:L6,"Fail")=0,"Pass","Fail")</f>
        <v>Pass</v>
      </c>
    </row>
    <row r="7" customFormat="false" ht="15" hidden="false" customHeight="false" outlineLevel="0" collapsed="false">
      <c r="A7" s="2" t="n">
        <v>3</v>
      </c>
      <c r="B7" s="3" t="n">
        <f aca="false">'harlingenglass.com'!C4</f>
        <v>46330</v>
      </c>
      <c r="C7" s="2" t="n">
        <f aca="false">LEN('harlingenglass.com'!G4)</f>
        <v>512</v>
      </c>
      <c r="D7" s="2" t="str">
        <f aca="false">IF(LEN('harlingenglass.com'!G4)&lt;=1500,"Pass","Fail")</f>
        <v>Pass</v>
      </c>
      <c r="E7" s="2" t="str">
        <f aca="false">IF(SUMPRODUCT(--ISNUMBER(SEARCH({"956","428-6066","428.6066","4286066"},'harlingenglass.com'!G4)))=0,"Pass","Fail")</f>
        <v>Pass</v>
      </c>
      <c r="F7" s="2" t="str">
        <f aca="false">IF(ISNUMBER(SEARCH("@",'harlingenglass.com'!G4)),"Fail","Pass")</f>
        <v>Pass</v>
      </c>
      <c r="G7" s="2" t="str">
        <f aca="false">IF(OR(ISNUMBER(SEARCH("http",'harlingenglass.com'!G4)),ISNUMBER(SEARCH("www.",'harlingenglass.com'!G4)),ISNUMBER(SEARCH(".com",'harlingenglass.com'!G4))),"Fail","Pass")</f>
        <v>Pass</v>
      </c>
      <c r="H7" s="2" t="str">
        <f aca="false">IF(LEN('harlingenglass.com'!H4)&gt;0,"Pass","Fail")</f>
        <v>Pass</v>
      </c>
      <c r="I7" s="2" t="str">
        <f aca="false">IF(AND(ISNUMBER(SEARCH("utm_source=google",'harlingenglass.com'!J4)),ISNUMBER(SEARCH("utm_content=",'harlingenglass.com'!J4))),"Pass","Fail")</f>
        <v>Pass</v>
      </c>
      <c r="J7" s="2" t="str">
        <f aca="false">IF(ISNUMBER(SEARCH(Settings!$C$8,'harlingenglass.com'!I4)),"Pass","Fail")</f>
        <v>Pass</v>
      </c>
      <c r="K7" s="2" t="str">
        <f aca="false">IF(WEEKDAY('harlingenglass.com'!C4,2)&lt;=5,"Pass","Fail")</f>
        <v>Pass</v>
      </c>
      <c r="L7" s="2" t="str">
        <f aca="false">IF(LEN('harlingenglass.com'!M4)&gt;0,"Pass","Fail")</f>
        <v>Pass</v>
      </c>
      <c r="M7" s="2" t="str">
        <f aca="false">IF(COUNTIF(D7:L7,"Fail")=0,"Pass","Fail")</f>
        <v>Pass</v>
      </c>
    </row>
    <row r="8" customFormat="false" ht="15" hidden="false" customHeight="false" outlineLevel="0" collapsed="false">
      <c r="A8" s="2" t="n">
        <v>4</v>
      </c>
      <c r="B8" s="3" t="n">
        <f aca="false">'harlingenglass.com'!C5</f>
        <v>46331</v>
      </c>
      <c r="C8" s="2" t="n">
        <f aca="false">LEN('harlingenglass.com'!G5)</f>
        <v>458</v>
      </c>
      <c r="D8" s="2" t="str">
        <f aca="false">IF(LEN('harlingenglass.com'!G5)&lt;=1500,"Pass","Fail")</f>
        <v>Pass</v>
      </c>
      <c r="E8" s="2" t="str">
        <f aca="false">IF(SUMPRODUCT(--ISNUMBER(SEARCH({"956","428-6066","428.6066","4286066"},'harlingenglass.com'!G5)))=0,"Pass","Fail")</f>
        <v>Pass</v>
      </c>
      <c r="F8" s="2" t="str">
        <f aca="false">IF(ISNUMBER(SEARCH("@",'harlingenglass.com'!G5)),"Fail","Pass")</f>
        <v>Pass</v>
      </c>
      <c r="G8" s="2" t="str">
        <f aca="false">IF(OR(ISNUMBER(SEARCH("http",'harlingenglass.com'!G5)),ISNUMBER(SEARCH("www.",'harlingenglass.com'!G5)),ISNUMBER(SEARCH(".com",'harlingenglass.com'!G5))),"Fail","Pass")</f>
        <v>Pass</v>
      </c>
      <c r="H8" s="2" t="str">
        <f aca="false">IF(LEN('harlingenglass.com'!H5)&gt;0,"Pass","Fail")</f>
        <v>Pass</v>
      </c>
      <c r="I8" s="2" t="str">
        <f aca="false">IF(AND(ISNUMBER(SEARCH("utm_source=google",'harlingenglass.com'!J5)),ISNUMBER(SEARCH("utm_content=",'harlingenglass.com'!J5))),"Pass","Fail")</f>
        <v>Pass</v>
      </c>
      <c r="J8" s="2" t="str">
        <f aca="false">IF(ISNUMBER(SEARCH(Settings!$C$8,'harlingenglass.com'!I5)),"Pass","Fail")</f>
        <v>Pass</v>
      </c>
      <c r="K8" s="2" t="str">
        <f aca="false">IF(WEEKDAY('harlingenglass.com'!C5,2)&lt;=5,"Pass","Fail")</f>
        <v>Pass</v>
      </c>
      <c r="L8" s="2" t="str">
        <f aca="false">IF(LEN('harlingenglass.com'!M5)&gt;0,"Pass","Fail")</f>
        <v>Pass</v>
      </c>
      <c r="M8" s="2" t="str">
        <f aca="false">IF(COUNTIF(D8:L8,"Fail")=0,"Pass","Fail")</f>
        <v>Pass</v>
      </c>
    </row>
    <row r="9" customFormat="false" ht="15" hidden="false" customHeight="false" outlineLevel="0" collapsed="false">
      <c r="A9" s="2" t="n">
        <v>5</v>
      </c>
      <c r="B9" s="3" t="n">
        <f aca="false">'harlingenglass.com'!C6</f>
        <v>46332</v>
      </c>
      <c r="C9" s="2" t="n">
        <f aca="false">LEN('harlingenglass.com'!G6)</f>
        <v>430</v>
      </c>
      <c r="D9" s="2" t="str">
        <f aca="false">IF(LEN('harlingenglass.com'!G6)&lt;=1500,"Pass","Fail")</f>
        <v>Pass</v>
      </c>
      <c r="E9" s="2" t="str">
        <f aca="false">IF(SUMPRODUCT(--ISNUMBER(SEARCH({"956","428-6066","428.6066","4286066"},'harlingenglass.com'!G6)))=0,"Pass","Fail")</f>
        <v>Pass</v>
      </c>
      <c r="F9" s="2" t="str">
        <f aca="false">IF(ISNUMBER(SEARCH("@",'harlingenglass.com'!G6)),"Fail","Pass")</f>
        <v>Pass</v>
      </c>
      <c r="G9" s="2" t="str">
        <f aca="false">IF(OR(ISNUMBER(SEARCH("http",'harlingenglass.com'!G6)),ISNUMBER(SEARCH("www.",'harlingenglass.com'!G6)),ISNUMBER(SEARCH(".com",'harlingenglass.com'!G6))),"Fail","Pass")</f>
        <v>Pass</v>
      </c>
      <c r="H9" s="2" t="str">
        <f aca="false">IF(LEN('harlingenglass.com'!H6)&gt;0,"Pass","Fail")</f>
        <v>Pass</v>
      </c>
      <c r="I9" s="2" t="str">
        <f aca="false">IF(AND(ISNUMBER(SEARCH("utm_source=google",'harlingenglass.com'!J6)),ISNUMBER(SEARCH("utm_content=",'harlingenglass.com'!J6))),"Pass","Fail")</f>
        <v>Pass</v>
      </c>
      <c r="J9" s="2" t="str">
        <f aca="false">IF(ISNUMBER(SEARCH(Settings!$C$8,'harlingenglass.com'!I6)),"Pass","Fail")</f>
        <v>Pass</v>
      </c>
      <c r="K9" s="2" t="str">
        <f aca="false">IF(WEEKDAY('harlingenglass.com'!C6,2)&lt;=5,"Pass","Fail")</f>
        <v>Pass</v>
      </c>
      <c r="L9" s="2" t="str">
        <f aca="false">IF(LEN('harlingenglass.com'!M6)&gt;0,"Pass","Fail")</f>
        <v>Pass</v>
      </c>
      <c r="M9" s="2" t="str">
        <f aca="false">IF(COUNTIF(D9:L9,"Fail")=0,"Pass","Fail")</f>
        <v>Pass</v>
      </c>
    </row>
    <row r="10" customFormat="false" ht="15" hidden="false" customHeight="false" outlineLevel="0" collapsed="false">
      <c r="A10" s="2" t="n">
        <v>6</v>
      </c>
      <c r="B10" s="3" t="n">
        <f aca="false">'harlingenglass.com'!C7</f>
        <v>46335</v>
      </c>
      <c r="C10" s="2" t="n">
        <f aca="false">LEN('harlingenglass.com'!G7)</f>
        <v>520</v>
      </c>
      <c r="D10" s="2" t="str">
        <f aca="false">IF(LEN('harlingenglass.com'!G7)&lt;=1500,"Pass","Fail")</f>
        <v>Pass</v>
      </c>
      <c r="E10" s="2" t="str">
        <f aca="false">IF(SUMPRODUCT(--ISNUMBER(SEARCH({"956","428-6066","428.6066","4286066"},'harlingenglass.com'!G7)))=0,"Pass","Fail")</f>
        <v>Pass</v>
      </c>
      <c r="F10" s="2" t="str">
        <f aca="false">IF(ISNUMBER(SEARCH("@",'harlingenglass.com'!G7)),"Fail","Pass")</f>
        <v>Pass</v>
      </c>
      <c r="G10" s="2" t="str">
        <f aca="false">IF(OR(ISNUMBER(SEARCH("http",'harlingenglass.com'!G7)),ISNUMBER(SEARCH("www.",'harlingenglass.com'!G7)),ISNUMBER(SEARCH(".com",'harlingenglass.com'!G7))),"Fail","Pass")</f>
        <v>Pass</v>
      </c>
      <c r="H10" s="2" t="str">
        <f aca="false">IF(LEN('harlingenglass.com'!H7)&gt;0,"Pass","Fail")</f>
        <v>Pass</v>
      </c>
      <c r="I10" s="2" t="str">
        <f aca="false">IF(AND(ISNUMBER(SEARCH("utm_source=google",'harlingenglass.com'!J7)),ISNUMBER(SEARCH("utm_content=",'harlingenglass.com'!J7))),"Pass","Fail")</f>
        <v>Pass</v>
      </c>
      <c r="J10" s="2" t="str">
        <f aca="false">IF(ISNUMBER(SEARCH(Settings!$C$8,'harlingenglass.com'!I7)),"Pass","Fail")</f>
        <v>Pass</v>
      </c>
      <c r="K10" s="2" t="str">
        <f aca="false">IF(WEEKDAY('harlingenglass.com'!C7,2)&lt;=5,"Pass","Fail")</f>
        <v>Pass</v>
      </c>
      <c r="L10" s="2" t="str">
        <f aca="false">IF(LEN('harlingenglass.com'!M7)&gt;0,"Pass","Fail")</f>
        <v>Pass</v>
      </c>
      <c r="M10" s="2" t="str">
        <f aca="false">IF(COUNTIF(D10:L10,"Fail")=0,"Pass","Fail")</f>
        <v>Pass</v>
      </c>
    </row>
    <row r="11" customFormat="false" ht="15" hidden="false" customHeight="false" outlineLevel="0" collapsed="false">
      <c r="A11" s="2" t="n">
        <v>7</v>
      </c>
      <c r="B11" s="3" t="n">
        <f aca="false">'harlingenglass.com'!C8</f>
        <v>46336</v>
      </c>
      <c r="C11" s="2" t="n">
        <f aca="false">LEN('harlingenglass.com'!G8)</f>
        <v>416</v>
      </c>
      <c r="D11" s="2" t="str">
        <f aca="false">IF(LEN('harlingenglass.com'!G8)&lt;=1500,"Pass","Fail")</f>
        <v>Pass</v>
      </c>
      <c r="E11" s="2" t="str">
        <f aca="false">IF(SUMPRODUCT(--ISNUMBER(SEARCH({"956","428-6066","428.6066","4286066"},'harlingenglass.com'!G8)))=0,"Pass","Fail")</f>
        <v>Pass</v>
      </c>
      <c r="F11" s="2" t="str">
        <f aca="false">IF(ISNUMBER(SEARCH("@",'harlingenglass.com'!G8)),"Fail","Pass")</f>
        <v>Pass</v>
      </c>
      <c r="G11" s="2" t="str">
        <f aca="false">IF(OR(ISNUMBER(SEARCH("http",'harlingenglass.com'!G8)),ISNUMBER(SEARCH("www.",'harlingenglass.com'!G8)),ISNUMBER(SEARCH(".com",'harlingenglass.com'!G8))),"Fail","Pass")</f>
        <v>Pass</v>
      </c>
      <c r="H11" s="2" t="str">
        <f aca="false">IF(LEN('harlingenglass.com'!H8)&gt;0,"Pass","Fail")</f>
        <v>Pass</v>
      </c>
      <c r="I11" s="2" t="str">
        <f aca="false">IF(AND(ISNUMBER(SEARCH("utm_source=google",'harlingenglass.com'!J8)),ISNUMBER(SEARCH("utm_content=",'harlingenglass.com'!J8))),"Pass","Fail")</f>
        <v>Pass</v>
      </c>
      <c r="J11" s="2" t="str">
        <f aca="false">IF(ISNUMBER(SEARCH(Settings!$C$8,'harlingenglass.com'!I8)),"Pass","Fail")</f>
        <v>Pass</v>
      </c>
      <c r="K11" s="2" t="str">
        <f aca="false">IF(WEEKDAY('harlingenglass.com'!C8,2)&lt;=5,"Pass","Fail")</f>
        <v>Pass</v>
      </c>
      <c r="L11" s="2" t="str">
        <f aca="false">IF(LEN('harlingenglass.com'!M8)&gt;0,"Pass","Fail")</f>
        <v>Pass</v>
      </c>
      <c r="M11" s="2" t="str">
        <f aca="false">IF(COUNTIF(D11:L11,"Fail")=0,"Pass","Fail")</f>
        <v>Pass</v>
      </c>
    </row>
    <row r="12" customFormat="false" ht="15" hidden="false" customHeight="false" outlineLevel="0" collapsed="false">
      <c r="A12" s="2" t="n">
        <v>8</v>
      </c>
      <c r="B12" s="3" t="n">
        <f aca="false">'harlingenglass.com'!C9</f>
        <v>46337</v>
      </c>
      <c r="C12" s="2" t="n">
        <f aca="false">LEN('harlingenglass.com'!G9)</f>
        <v>417</v>
      </c>
      <c r="D12" s="2" t="str">
        <f aca="false">IF(LEN('harlingenglass.com'!G9)&lt;=1500,"Pass","Fail")</f>
        <v>Pass</v>
      </c>
      <c r="E12" s="2" t="str">
        <f aca="false">IF(SUMPRODUCT(--ISNUMBER(SEARCH({"956","428-6066","428.6066","4286066"},'harlingenglass.com'!G9)))=0,"Pass","Fail")</f>
        <v>Pass</v>
      </c>
      <c r="F12" s="2" t="str">
        <f aca="false">IF(ISNUMBER(SEARCH("@",'harlingenglass.com'!G9)),"Fail","Pass")</f>
        <v>Pass</v>
      </c>
      <c r="G12" s="2" t="str">
        <f aca="false">IF(OR(ISNUMBER(SEARCH("http",'harlingenglass.com'!G9)),ISNUMBER(SEARCH("www.",'harlingenglass.com'!G9)),ISNUMBER(SEARCH(".com",'harlingenglass.com'!G9))),"Fail","Pass")</f>
        <v>Pass</v>
      </c>
      <c r="H12" s="2" t="str">
        <f aca="false">IF(LEN('harlingenglass.com'!H9)&gt;0,"Pass","Fail")</f>
        <v>Pass</v>
      </c>
      <c r="I12" s="2" t="str">
        <f aca="false">IF(AND(ISNUMBER(SEARCH("utm_source=google",'harlingenglass.com'!J9)),ISNUMBER(SEARCH("utm_content=",'harlingenglass.com'!J9))),"Pass","Fail")</f>
        <v>Pass</v>
      </c>
      <c r="J12" s="2" t="str">
        <f aca="false">IF(ISNUMBER(SEARCH(Settings!$C$8,'harlingenglass.com'!I9)),"Pass","Fail")</f>
        <v>Pass</v>
      </c>
      <c r="K12" s="2" t="str">
        <f aca="false">IF(WEEKDAY('harlingenglass.com'!C9,2)&lt;=5,"Pass","Fail")</f>
        <v>Pass</v>
      </c>
      <c r="L12" s="2" t="str">
        <f aca="false">IF(LEN('harlingenglass.com'!M9)&gt;0,"Pass","Fail")</f>
        <v>Pass</v>
      </c>
      <c r="M12" s="2" t="str">
        <f aca="false">IF(COUNTIF(D12:L12,"Fail")=0,"Pass","Fail")</f>
        <v>Pass</v>
      </c>
    </row>
    <row r="13" customFormat="false" ht="15" hidden="false" customHeight="false" outlineLevel="0" collapsed="false">
      <c r="A13" s="2" t="n">
        <v>9</v>
      </c>
      <c r="B13" s="3" t="n">
        <f aca="false">'harlingenglass.com'!C10</f>
        <v>46338</v>
      </c>
      <c r="C13" s="2" t="n">
        <f aca="false">LEN('harlingenglass.com'!G10)</f>
        <v>477</v>
      </c>
      <c r="D13" s="2" t="str">
        <f aca="false">IF(LEN('harlingenglass.com'!G10)&lt;=1500,"Pass","Fail")</f>
        <v>Pass</v>
      </c>
      <c r="E13" s="2" t="str">
        <f aca="false">IF(SUMPRODUCT(--ISNUMBER(SEARCH({"956","428-6066","428.6066","4286066"},'harlingenglass.com'!G10)))=0,"Pass","Fail")</f>
        <v>Pass</v>
      </c>
      <c r="F13" s="2" t="str">
        <f aca="false">IF(ISNUMBER(SEARCH("@",'harlingenglass.com'!G10)),"Fail","Pass")</f>
        <v>Pass</v>
      </c>
      <c r="G13" s="2" t="str">
        <f aca="false">IF(OR(ISNUMBER(SEARCH("http",'harlingenglass.com'!G10)),ISNUMBER(SEARCH("www.",'harlingenglass.com'!G10)),ISNUMBER(SEARCH(".com",'harlingenglass.com'!G10))),"Fail","Pass")</f>
        <v>Pass</v>
      </c>
      <c r="H13" s="2" t="str">
        <f aca="false">IF(LEN('harlingenglass.com'!H10)&gt;0,"Pass","Fail")</f>
        <v>Pass</v>
      </c>
      <c r="I13" s="2" t="str">
        <f aca="false">IF(AND(ISNUMBER(SEARCH("utm_source=google",'harlingenglass.com'!J10)),ISNUMBER(SEARCH("utm_content=",'harlingenglass.com'!J10))),"Pass","Fail")</f>
        <v>Pass</v>
      </c>
      <c r="J13" s="2" t="str">
        <f aca="false">IF(ISNUMBER(SEARCH(Settings!$C$8,'harlingenglass.com'!I10)),"Pass","Fail")</f>
        <v>Pass</v>
      </c>
      <c r="K13" s="2" t="str">
        <f aca="false">IF(WEEKDAY('harlingenglass.com'!C10,2)&lt;=5,"Pass","Fail")</f>
        <v>Pass</v>
      </c>
      <c r="L13" s="2" t="str">
        <f aca="false">IF(LEN('harlingenglass.com'!M10)&gt;0,"Pass","Fail")</f>
        <v>Pass</v>
      </c>
      <c r="M13" s="2" t="str">
        <f aca="false">IF(COUNTIF(D13:L13,"Fail")=0,"Pass","Fail")</f>
        <v>Pass</v>
      </c>
    </row>
    <row r="14" customFormat="false" ht="15" hidden="false" customHeight="false" outlineLevel="0" collapsed="false">
      <c r="A14" s="2" t="n">
        <v>10</v>
      </c>
      <c r="B14" s="3" t="n">
        <f aca="false">'harlingenglass.com'!C11</f>
        <v>46339</v>
      </c>
      <c r="C14" s="2" t="n">
        <f aca="false">LEN('harlingenglass.com'!G11)</f>
        <v>484</v>
      </c>
      <c r="D14" s="2" t="str">
        <f aca="false">IF(LEN('harlingenglass.com'!G11)&lt;=1500,"Pass","Fail")</f>
        <v>Pass</v>
      </c>
      <c r="E14" s="2" t="str">
        <f aca="false">IF(SUMPRODUCT(--ISNUMBER(SEARCH({"956","428-6066","428.6066","4286066"},'harlingenglass.com'!G11)))=0,"Pass","Fail")</f>
        <v>Pass</v>
      </c>
      <c r="F14" s="2" t="str">
        <f aca="false">IF(ISNUMBER(SEARCH("@",'harlingenglass.com'!G11)),"Fail","Pass")</f>
        <v>Pass</v>
      </c>
      <c r="G14" s="2" t="str">
        <f aca="false">IF(OR(ISNUMBER(SEARCH("http",'harlingenglass.com'!G11)),ISNUMBER(SEARCH("www.",'harlingenglass.com'!G11)),ISNUMBER(SEARCH(".com",'harlingenglass.com'!G11))),"Fail","Pass")</f>
        <v>Pass</v>
      </c>
      <c r="H14" s="2" t="str">
        <f aca="false">IF(LEN('harlingenglass.com'!H11)&gt;0,"Pass","Fail")</f>
        <v>Pass</v>
      </c>
      <c r="I14" s="2" t="str">
        <f aca="false">IF(AND(ISNUMBER(SEARCH("utm_source=google",'harlingenglass.com'!J11)),ISNUMBER(SEARCH("utm_content=",'harlingenglass.com'!J11))),"Pass","Fail")</f>
        <v>Pass</v>
      </c>
      <c r="J14" s="2" t="str">
        <f aca="false">IF(ISNUMBER(SEARCH(Settings!$C$8,'harlingenglass.com'!I11)),"Pass","Fail")</f>
        <v>Pass</v>
      </c>
      <c r="K14" s="2" t="str">
        <f aca="false">IF(WEEKDAY('harlingenglass.com'!C11,2)&lt;=5,"Pass","Fail")</f>
        <v>Pass</v>
      </c>
      <c r="L14" s="2" t="str">
        <f aca="false">IF(LEN('harlingenglass.com'!M11)&gt;0,"Pass","Fail")</f>
        <v>Pass</v>
      </c>
      <c r="M14" s="2" t="str">
        <f aca="false">IF(COUNTIF(D14:L14,"Fail")=0,"Pass","Fail")</f>
        <v>Pass</v>
      </c>
    </row>
    <row r="15" customFormat="false" ht="15" hidden="false" customHeight="false" outlineLevel="0" collapsed="false">
      <c r="A15" s="2" t="n">
        <v>11</v>
      </c>
      <c r="B15" s="3" t="n">
        <f aca="false">'harlingenglass.com'!C12</f>
        <v>46342</v>
      </c>
      <c r="C15" s="2" t="n">
        <f aca="false">LEN('harlingenglass.com'!G12)</f>
        <v>421</v>
      </c>
      <c r="D15" s="2" t="str">
        <f aca="false">IF(LEN('harlingenglass.com'!G12)&lt;=1500,"Pass","Fail")</f>
        <v>Pass</v>
      </c>
      <c r="E15" s="2" t="str">
        <f aca="false">IF(SUMPRODUCT(--ISNUMBER(SEARCH({"956","428-6066","428.6066","4286066"},'harlingenglass.com'!G12)))=0,"Pass","Fail")</f>
        <v>Pass</v>
      </c>
      <c r="F15" s="2" t="str">
        <f aca="false">IF(ISNUMBER(SEARCH("@",'harlingenglass.com'!G12)),"Fail","Pass")</f>
        <v>Pass</v>
      </c>
      <c r="G15" s="2" t="str">
        <f aca="false">IF(OR(ISNUMBER(SEARCH("http",'harlingenglass.com'!G12)),ISNUMBER(SEARCH("www.",'harlingenglass.com'!G12)),ISNUMBER(SEARCH(".com",'harlingenglass.com'!G12))),"Fail","Pass")</f>
        <v>Pass</v>
      </c>
      <c r="H15" s="2" t="str">
        <f aca="false">IF(LEN('harlingenglass.com'!H12)&gt;0,"Pass","Fail")</f>
        <v>Pass</v>
      </c>
      <c r="I15" s="2" t="str">
        <f aca="false">IF(AND(ISNUMBER(SEARCH("utm_source=google",'harlingenglass.com'!J12)),ISNUMBER(SEARCH("utm_content=",'harlingenglass.com'!J12))),"Pass","Fail")</f>
        <v>Pass</v>
      </c>
      <c r="J15" s="2" t="str">
        <f aca="false">IF(ISNUMBER(SEARCH(Settings!$C$8,'harlingenglass.com'!I12)),"Pass","Fail")</f>
        <v>Pass</v>
      </c>
      <c r="K15" s="2" t="str">
        <f aca="false">IF(WEEKDAY('harlingenglass.com'!C12,2)&lt;=5,"Pass","Fail")</f>
        <v>Pass</v>
      </c>
      <c r="L15" s="2" t="str">
        <f aca="false">IF(LEN('harlingenglass.com'!M12)&gt;0,"Pass","Fail")</f>
        <v>Pass</v>
      </c>
      <c r="M15" s="2" t="str">
        <f aca="false">IF(COUNTIF(D15:L15,"Fail")=0,"Pass","Fail")</f>
        <v>Pass</v>
      </c>
    </row>
    <row r="16" customFormat="false" ht="15" hidden="false" customHeight="false" outlineLevel="0" collapsed="false">
      <c r="A16" s="2" t="n">
        <v>12</v>
      </c>
      <c r="B16" s="3" t="n">
        <f aca="false">'harlingenglass.com'!C13</f>
        <v>46343</v>
      </c>
      <c r="C16" s="2" t="n">
        <f aca="false">LEN('harlingenglass.com'!G13)</f>
        <v>395</v>
      </c>
      <c r="D16" s="2" t="str">
        <f aca="false">IF(LEN('harlingenglass.com'!G13)&lt;=1500,"Pass","Fail")</f>
        <v>Pass</v>
      </c>
      <c r="E16" s="2" t="str">
        <f aca="false">IF(SUMPRODUCT(--ISNUMBER(SEARCH({"956","428-6066","428.6066","4286066"},'harlingenglass.com'!G13)))=0,"Pass","Fail")</f>
        <v>Pass</v>
      </c>
      <c r="F16" s="2" t="str">
        <f aca="false">IF(ISNUMBER(SEARCH("@",'harlingenglass.com'!G13)),"Fail","Pass")</f>
        <v>Pass</v>
      </c>
      <c r="G16" s="2" t="str">
        <f aca="false">IF(OR(ISNUMBER(SEARCH("http",'harlingenglass.com'!G13)),ISNUMBER(SEARCH("www.",'harlingenglass.com'!G13)),ISNUMBER(SEARCH(".com",'harlingenglass.com'!G13))),"Fail","Pass")</f>
        <v>Pass</v>
      </c>
      <c r="H16" s="2" t="str">
        <f aca="false">IF(LEN('harlingenglass.com'!H13)&gt;0,"Pass","Fail")</f>
        <v>Pass</v>
      </c>
      <c r="I16" s="2" t="str">
        <f aca="false">IF(AND(ISNUMBER(SEARCH("utm_source=google",'harlingenglass.com'!J13)),ISNUMBER(SEARCH("utm_content=",'harlingenglass.com'!J13))),"Pass","Fail")</f>
        <v>Pass</v>
      </c>
      <c r="J16" s="2" t="str">
        <f aca="false">IF(ISNUMBER(SEARCH(Settings!$C$8,'harlingenglass.com'!I13)),"Pass","Fail")</f>
        <v>Pass</v>
      </c>
      <c r="K16" s="2" t="str">
        <f aca="false">IF(WEEKDAY('harlingenglass.com'!C13,2)&lt;=5,"Pass","Fail")</f>
        <v>Pass</v>
      </c>
      <c r="L16" s="2" t="str">
        <f aca="false">IF(LEN('harlingenglass.com'!M13)&gt;0,"Pass","Fail")</f>
        <v>Pass</v>
      </c>
      <c r="M16" s="2" t="str">
        <f aca="false">IF(COUNTIF(D16:L16,"Fail")=0,"Pass","Fail")</f>
        <v>Pass</v>
      </c>
    </row>
    <row r="17" customFormat="false" ht="15" hidden="false" customHeight="false" outlineLevel="0" collapsed="false">
      <c r="A17" s="2" t="n">
        <v>13</v>
      </c>
      <c r="B17" s="3" t="n">
        <f aca="false">'harlingenglass.com'!C14</f>
        <v>46344</v>
      </c>
      <c r="C17" s="2" t="n">
        <f aca="false">LEN('harlingenglass.com'!G14)</f>
        <v>443</v>
      </c>
      <c r="D17" s="2" t="str">
        <f aca="false">IF(LEN('harlingenglass.com'!G14)&lt;=1500,"Pass","Fail")</f>
        <v>Pass</v>
      </c>
      <c r="E17" s="2" t="str">
        <f aca="false">IF(SUMPRODUCT(--ISNUMBER(SEARCH({"956","428-6066","428.6066","4286066"},'harlingenglass.com'!G14)))=0,"Pass","Fail")</f>
        <v>Pass</v>
      </c>
      <c r="F17" s="2" t="str">
        <f aca="false">IF(ISNUMBER(SEARCH("@",'harlingenglass.com'!G14)),"Fail","Pass")</f>
        <v>Pass</v>
      </c>
      <c r="G17" s="2" t="str">
        <f aca="false">IF(OR(ISNUMBER(SEARCH("http",'harlingenglass.com'!G14)),ISNUMBER(SEARCH("www.",'harlingenglass.com'!G14)),ISNUMBER(SEARCH(".com",'harlingenglass.com'!G14))),"Fail","Pass")</f>
        <v>Pass</v>
      </c>
      <c r="H17" s="2" t="str">
        <f aca="false">IF(LEN('harlingenglass.com'!H14)&gt;0,"Pass","Fail")</f>
        <v>Pass</v>
      </c>
      <c r="I17" s="2" t="str">
        <f aca="false">IF(AND(ISNUMBER(SEARCH("utm_source=google",'harlingenglass.com'!J14)),ISNUMBER(SEARCH("utm_content=",'harlingenglass.com'!J14))),"Pass","Fail")</f>
        <v>Pass</v>
      </c>
      <c r="J17" s="2" t="str">
        <f aca="false">IF(ISNUMBER(SEARCH(Settings!$C$8,'harlingenglass.com'!I14)),"Pass","Fail")</f>
        <v>Pass</v>
      </c>
      <c r="K17" s="2" t="str">
        <f aca="false">IF(WEEKDAY('harlingenglass.com'!C14,2)&lt;=5,"Pass","Fail")</f>
        <v>Pass</v>
      </c>
      <c r="L17" s="2" t="str">
        <f aca="false">IF(LEN('harlingenglass.com'!M14)&gt;0,"Pass","Fail")</f>
        <v>Pass</v>
      </c>
      <c r="M17" s="2" t="str">
        <f aca="false">IF(COUNTIF(D17:L17,"Fail")=0,"Pass","Fail")</f>
        <v>Pass</v>
      </c>
    </row>
    <row r="18" customFormat="false" ht="15" hidden="false" customHeight="false" outlineLevel="0" collapsed="false">
      <c r="A18" s="2" t="n">
        <v>14</v>
      </c>
      <c r="B18" s="3" t="n">
        <f aca="false">'harlingenglass.com'!C15</f>
        <v>46345</v>
      </c>
      <c r="C18" s="2" t="n">
        <f aca="false">LEN('harlingenglass.com'!G15)</f>
        <v>436</v>
      </c>
      <c r="D18" s="2" t="str">
        <f aca="false">IF(LEN('harlingenglass.com'!G15)&lt;=1500,"Pass","Fail")</f>
        <v>Pass</v>
      </c>
      <c r="E18" s="2" t="str">
        <f aca="false">IF(SUMPRODUCT(--ISNUMBER(SEARCH({"956","428-6066","428.6066","4286066"},'harlingenglass.com'!G15)))=0,"Pass","Fail")</f>
        <v>Pass</v>
      </c>
      <c r="F18" s="2" t="str">
        <f aca="false">IF(ISNUMBER(SEARCH("@",'harlingenglass.com'!G15)),"Fail","Pass")</f>
        <v>Pass</v>
      </c>
      <c r="G18" s="2" t="str">
        <f aca="false">IF(OR(ISNUMBER(SEARCH("http",'harlingenglass.com'!G15)),ISNUMBER(SEARCH("www.",'harlingenglass.com'!G15)),ISNUMBER(SEARCH(".com",'harlingenglass.com'!G15))),"Fail","Pass")</f>
        <v>Pass</v>
      </c>
      <c r="H18" s="2" t="str">
        <f aca="false">IF(LEN('harlingenglass.com'!H15)&gt;0,"Pass","Fail")</f>
        <v>Pass</v>
      </c>
      <c r="I18" s="2" t="str">
        <f aca="false">IF(AND(ISNUMBER(SEARCH("utm_source=google",'harlingenglass.com'!J15)),ISNUMBER(SEARCH("utm_content=",'harlingenglass.com'!J15))),"Pass","Fail")</f>
        <v>Pass</v>
      </c>
      <c r="J18" s="2" t="str">
        <f aca="false">IF(ISNUMBER(SEARCH(Settings!$C$8,'harlingenglass.com'!I15)),"Pass","Fail")</f>
        <v>Pass</v>
      </c>
      <c r="K18" s="2" t="str">
        <f aca="false">IF(WEEKDAY('harlingenglass.com'!C15,2)&lt;=5,"Pass","Fail")</f>
        <v>Pass</v>
      </c>
      <c r="L18" s="2" t="str">
        <f aca="false">IF(LEN('harlingenglass.com'!M15)&gt;0,"Pass","Fail")</f>
        <v>Pass</v>
      </c>
      <c r="M18" s="2" t="str">
        <f aca="false">IF(COUNTIF(D18:L18,"Fail")=0,"Pass","Fail")</f>
        <v>Pass</v>
      </c>
    </row>
    <row r="19" customFormat="false" ht="15" hidden="false" customHeight="false" outlineLevel="0" collapsed="false">
      <c r="A19" s="2" t="n">
        <v>15</v>
      </c>
      <c r="B19" s="3" t="n">
        <f aca="false">'harlingenglass.com'!C16</f>
        <v>46346</v>
      </c>
      <c r="C19" s="2" t="n">
        <f aca="false">LEN('harlingenglass.com'!G16)</f>
        <v>432</v>
      </c>
      <c r="D19" s="2" t="str">
        <f aca="false">IF(LEN('harlingenglass.com'!G16)&lt;=1500,"Pass","Fail")</f>
        <v>Pass</v>
      </c>
      <c r="E19" s="2" t="str">
        <f aca="false">IF(SUMPRODUCT(--ISNUMBER(SEARCH({"956","428-6066","428.6066","4286066"},'harlingenglass.com'!G16)))=0,"Pass","Fail")</f>
        <v>Pass</v>
      </c>
      <c r="F19" s="2" t="str">
        <f aca="false">IF(ISNUMBER(SEARCH("@",'harlingenglass.com'!G16)),"Fail","Pass")</f>
        <v>Pass</v>
      </c>
      <c r="G19" s="2" t="str">
        <f aca="false">IF(OR(ISNUMBER(SEARCH("http",'harlingenglass.com'!G16)),ISNUMBER(SEARCH("www.",'harlingenglass.com'!G16)),ISNUMBER(SEARCH(".com",'harlingenglass.com'!G16))),"Fail","Pass")</f>
        <v>Pass</v>
      </c>
      <c r="H19" s="2" t="str">
        <f aca="false">IF(LEN('harlingenglass.com'!H16)&gt;0,"Pass","Fail")</f>
        <v>Pass</v>
      </c>
      <c r="I19" s="2" t="str">
        <f aca="false">IF(AND(ISNUMBER(SEARCH("utm_source=google",'harlingenglass.com'!J16)),ISNUMBER(SEARCH("utm_content=",'harlingenglass.com'!J16))),"Pass","Fail")</f>
        <v>Pass</v>
      </c>
      <c r="J19" s="2" t="str">
        <f aca="false">IF(ISNUMBER(SEARCH(Settings!$C$8,'harlingenglass.com'!I16)),"Pass","Fail")</f>
        <v>Pass</v>
      </c>
      <c r="K19" s="2" t="str">
        <f aca="false">IF(WEEKDAY('harlingenglass.com'!C16,2)&lt;=5,"Pass","Fail")</f>
        <v>Pass</v>
      </c>
      <c r="L19" s="2" t="str">
        <f aca="false">IF(LEN('harlingenglass.com'!M16)&gt;0,"Pass","Fail")</f>
        <v>Pass</v>
      </c>
      <c r="M19" s="2" t="str">
        <f aca="false">IF(COUNTIF(D19:L19,"Fail")=0,"Pass","Fail")</f>
        <v>Pass</v>
      </c>
    </row>
    <row r="20" customFormat="false" ht="15" hidden="false" customHeight="false" outlineLevel="0" collapsed="false">
      <c r="A20" s="2" t="n">
        <v>16</v>
      </c>
      <c r="B20" s="3" t="n">
        <f aca="false">'harlingenglass.com'!C17</f>
        <v>46349</v>
      </c>
      <c r="C20" s="2" t="n">
        <f aca="false">LEN('harlingenglass.com'!G17)</f>
        <v>394</v>
      </c>
      <c r="D20" s="2" t="str">
        <f aca="false">IF(LEN('harlingenglass.com'!G17)&lt;=1500,"Pass","Fail")</f>
        <v>Pass</v>
      </c>
      <c r="E20" s="2" t="str">
        <f aca="false">IF(SUMPRODUCT(--ISNUMBER(SEARCH({"956","428-6066","428.6066","4286066"},'harlingenglass.com'!G17)))=0,"Pass","Fail")</f>
        <v>Pass</v>
      </c>
      <c r="F20" s="2" t="str">
        <f aca="false">IF(ISNUMBER(SEARCH("@",'harlingenglass.com'!G17)),"Fail","Pass")</f>
        <v>Pass</v>
      </c>
      <c r="G20" s="2" t="str">
        <f aca="false">IF(OR(ISNUMBER(SEARCH("http",'harlingenglass.com'!G17)),ISNUMBER(SEARCH("www.",'harlingenglass.com'!G17)),ISNUMBER(SEARCH(".com",'harlingenglass.com'!G17))),"Fail","Pass")</f>
        <v>Pass</v>
      </c>
      <c r="H20" s="2" t="str">
        <f aca="false">IF(LEN('harlingenglass.com'!H17)&gt;0,"Pass","Fail")</f>
        <v>Pass</v>
      </c>
      <c r="I20" s="2" t="str">
        <f aca="false">IF(AND(ISNUMBER(SEARCH("utm_source=google",'harlingenglass.com'!J17)),ISNUMBER(SEARCH("utm_content=",'harlingenglass.com'!J17))),"Pass","Fail")</f>
        <v>Pass</v>
      </c>
      <c r="J20" s="2" t="str">
        <f aca="false">IF(ISNUMBER(SEARCH(Settings!$C$8,'harlingenglass.com'!I17)),"Pass","Fail")</f>
        <v>Pass</v>
      </c>
      <c r="K20" s="2" t="str">
        <f aca="false">IF(WEEKDAY('harlingenglass.com'!C17,2)&lt;=5,"Pass","Fail")</f>
        <v>Pass</v>
      </c>
      <c r="L20" s="2" t="str">
        <f aca="false">IF(LEN('harlingenglass.com'!M17)&gt;0,"Pass","Fail")</f>
        <v>Pass</v>
      </c>
      <c r="M20" s="2" t="str">
        <f aca="false">IF(COUNTIF(D20:L20,"Fail")=0,"Pass","Fail")</f>
        <v>Pass</v>
      </c>
    </row>
    <row r="21" customFormat="false" ht="15" hidden="false" customHeight="false" outlineLevel="0" collapsed="false">
      <c r="A21" s="2" t="n">
        <v>17</v>
      </c>
      <c r="B21" s="3" t="n">
        <f aca="false">'harlingenglass.com'!C18</f>
        <v>46350</v>
      </c>
      <c r="C21" s="2" t="n">
        <f aca="false">LEN('harlingenglass.com'!G18)</f>
        <v>424</v>
      </c>
      <c r="D21" s="2" t="str">
        <f aca="false">IF(LEN('harlingenglass.com'!G18)&lt;=1500,"Pass","Fail")</f>
        <v>Pass</v>
      </c>
      <c r="E21" s="2" t="str">
        <f aca="false">IF(SUMPRODUCT(--ISNUMBER(SEARCH({"956","428-6066","428.6066","4286066"},'harlingenglass.com'!G18)))=0,"Pass","Fail")</f>
        <v>Pass</v>
      </c>
      <c r="F21" s="2" t="str">
        <f aca="false">IF(ISNUMBER(SEARCH("@",'harlingenglass.com'!G18)),"Fail","Pass")</f>
        <v>Pass</v>
      </c>
      <c r="G21" s="2" t="str">
        <f aca="false">IF(OR(ISNUMBER(SEARCH("http",'harlingenglass.com'!G18)),ISNUMBER(SEARCH("www.",'harlingenglass.com'!G18)),ISNUMBER(SEARCH(".com",'harlingenglass.com'!G18))),"Fail","Pass")</f>
        <v>Pass</v>
      </c>
      <c r="H21" s="2" t="str">
        <f aca="false">IF(LEN('harlingenglass.com'!H18)&gt;0,"Pass","Fail")</f>
        <v>Pass</v>
      </c>
      <c r="I21" s="2" t="str">
        <f aca="false">IF(AND(ISNUMBER(SEARCH("utm_source=google",'harlingenglass.com'!J18)),ISNUMBER(SEARCH("utm_content=",'harlingenglass.com'!J18))),"Pass","Fail")</f>
        <v>Pass</v>
      </c>
      <c r="J21" s="2" t="str">
        <f aca="false">IF(ISNUMBER(SEARCH(Settings!$C$8,'harlingenglass.com'!I18)),"Pass","Fail")</f>
        <v>Pass</v>
      </c>
      <c r="K21" s="2" t="str">
        <f aca="false">IF(WEEKDAY('harlingenglass.com'!C18,2)&lt;=5,"Pass","Fail")</f>
        <v>Pass</v>
      </c>
      <c r="L21" s="2" t="str">
        <f aca="false">IF(LEN('harlingenglass.com'!M18)&gt;0,"Pass","Fail")</f>
        <v>Pass</v>
      </c>
      <c r="M21" s="2" t="str">
        <f aca="false">IF(COUNTIF(D21:L21,"Fail")=0,"Pass","Fail")</f>
        <v>Pass</v>
      </c>
    </row>
    <row r="22" customFormat="false" ht="15" hidden="false" customHeight="false" outlineLevel="0" collapsed="false">
      <c r="A22" s="2" t="n">
        <v>18</v>
      </c>
      <c r="B22" s="3" t="n">
        <f aca="false">'harlingenglass.com'!C19</f>
        <v>46351</v>
      </c>
      <c r="C22" s="2" t="n">
        <f aca="false">LEN('harlingenglass.com'!G19)</f>
        <v>418</v>
      </c>
      <c r="D22" s="2" t="str">
        <f aca="false">IF(LEN('harlingenglass.com'!G19)&lt;=1500,"Pass","Fail")</f>
        <v>Pass</v>
      </c>
      <c r="E22" s="2" t="str">
        <f aca="false">IF(SUMPRODUCT(--ISNUMBER(SEARCH({"956","428-6066","428.6066","4286066"},'harlingenglass.com'!G19)))=0,"Pass","Fail")</f>
        <v>Pass</v>
      </c>
      <c r="F22" s="2" t="str">
        <f aca="false">IF(ISNUMBER(SEARCH("@",'harlingenglass.com'!G19)),"Fail","Pass")</f>
        <v>Pass</v>
      </c>
      <c r="G22" s="2" t="str">
        <f aca="false">IF(OR(ISNUMBER(SEARCH("http",'harlingenglass.com'!G19)),ISNUMBER(SEARCH("www.",'harlingenglass.com'!G19)),ISNUMBER(SEARCH(".com",'harlingenglass.com'!G19))),"Fail","Pass")</f>
        <v>Pass</v>
      </c>
      <c r="H22" s="2" t="str">
        <f aca="false">IF(LEN('harlingenglass.com'!H19)&gt;0,"Pass","Fail")</f>
        <v>Pass</v>
      </c>
      <c r="I22" s="2" t="str">
        <f aca="false">IF(AND(ISNUMBER(SEARCH("utm_source=google",'harlingenglass.com'!J19)),ISNUMBER(SEARCH("utm_content=",'harlingenglass.com'!J19))),"Pass","Fail")</f>
        <v>Pass</v>
      </c>
      <c r="J22" s="2" t="str">
        <f aca="false">IF(ISNUMBER(SEARCH(Settings!$C$8,'harlingenglass.com'!I19)),"Pass","Fail")</f>
        <v>Pass</v>
      </c>
      <c r="K22" s="2" t="str">
        <f aca="false">IF(WEEKDAY('harlingenglass.com'!C19,2)&lt;=5,"Pass","Fail")</f>
        <v>Pass</v>
      </c>
      <c r="L22" s="2" t="str">
        <f aca="false">IF(LEN('harlingenglass.com'!M19)&gt;0,"Pass","Fail")</f>
        <v>Pass</v>
      </c>
      <c r="M22" s="2" t="str">
        <f aca="false">IF(COUNTIF(D22:L22,"Fail")=0,"Pass","Fail")</f>
        <v>Pass</v>
      </c>
    </row>
    <row r="23" customFormat="false" ht="15" hidden="false" customHeight="false" outlineLevel="0" collapsed="false">
      <c r="A23" s="2" t="n">
        <v>19</v>
      </c>
      <c r="B23" s="3" t="n">
        <f aca="false">'harlingenglass.com'!C20</f>
        <v>46352</v>
      </c>
      <c r="C23" s="2" t="n">
        <f aca="false">LEN('harlingenglass.com'!G20)</f>
        <v>451</v>
      </c>
      <c r="D23" s="2" t="str">
        <f aca="false">IF(LEN('harlingenglass.com'!G20)&lt;=1500,"Pass","Fail")</f>
        <v>Pass</v>
      </c>
      <c r="E23" s="2" t="str">
        <f aca="false">IF(SUMPRODUCT(--ISNUMBER(SEARCH({"956","428-6066","428.6066","4286066"},'harlingenglass.com'!G20)))=0,"Pass","Fail")</f>
        <v>Pass</v>
      </c>
      <c r="F23" s="2" t="str">
        <f aca="false">IF(ISNUMBER(SEARCH("@",'harlingenglass.com'!G20)),"Fail","Pass")</f>
        <v>Pass</v>
      </c>
      <c r="G23" s="2" t="str">
        <f aca="false">IF(OR(ISNUMBER(SEARCH("http",'harlingenglass.com'!G20)),ISNUMBER(SEARCH("www.",'harlingenglass.com'!G20)),ISNUMBER(SEARCH(".com",'harlingenglass.com'!G20))),"Fail","Pass")</f>
        <v>Pass</v>
      </c>
      <c r="H23" s="2" t="str">
        <f aca="false">IF(LEN('harlingenglass.com'!H20)&gt;0,"Pass","Fail")</f>
        <v>Pass</v>
      </c>
      <c r="I23" s="2" t="str">
        <f aca="false">IF(AND(ISNUMBER(SEARCH("utm_source=google",'harlingenglass.com'!J20)),ISNUMBER(SEARCH("utm_content=",'harlingenglass.com'!J20))),"Pass","Fail")</f>
        <v>Pass</v>
      </c>
      <c r="J23" s="2" t="str">
        <f aca="false">IF(ISNUMBER(SEARCH(Settings!$C$8,'harlingenglass.com'!I20)),"Pass","Fail")</f>
        <v>Pass</v>
      </c>
      <c r="K23" s="2" t="str">
        <f aca="false">IF(WEEKDAY('harlingenglass.com'!C20,2)&lt;=5,"Pass","Fail")</f>
        <v>Pass</v>
      </c>
      <c r="L23" s="2" t="str">
        <f aca="false">IF(LEN('harlingenglass.com'!M20)&gt;0,"Pass","Fail")</f>
        <v>Pass</v>
      </c>
      <c r="M23" s="2" t="str">
        <f aca="false">IF(COUNTIF(D23:L23,"Fail")=0,"Pass","Fail")</f>
        <v>Pass</v>
      </c>
    </row>
    <row r="24" customFormat="false" ht="15" hidden="false" customHeight="false" outlineLevel="0" collapsed="false">
      <c r="A24" s="2" t="n">
        <v>20</v>
      </c>
      <c r="B24" s="3" t="n">
        <f aca="false">'harlingenglass.com'!C21</f>
        <v>46353</v>
      </c>
      <c r="C24" s="2" t="n">
        <f aca="false">LEN('harlingenglass.com'!G21)</f>
        <v>362</v>
      </c>
      <c r="D24" s="2" t="str">
        <f aca="false">IF(LEN('harlingenglass.com'!G21)&lt;=1500,"Pass","Fail")</f>
        <v>Pass</v>
      </c>
      <c r="E24" s="2" t="str">
        <f aca="false">IF(SUMPRODUCT(--ISNUMBER(SEARCH({"956","428-6066","428.6066","4286066"},'harlingenglass.com'!G21)))=0,"Pass","Fail")</f>
        <v>Pass</v>
      </c>
      <c r="F24" s="2" t="str">
        <f aca="false">IF(ISNUMBER(SEARCH("@",'harlingenglass.com'!G21)),"Fail","Pass")</f>
        <v>Pass</v>
      </c>
      <c r="G24" s="2" t="str">
        <f aca="false">IF(OR(ISNUMBER(SEARCH("http",'harlingenglass.com'!G21)),ISNUMBER(SEARCH("www.",'harlingenglass.com'!G21)),ISNUMBER(SEARCH(".com",'harlingenglass.com'!G21))),"Fail","Pass")</f>
        <v>Pass</v>
      </c>
      <c r="H24" s="2" t="str">
        <f aca="false">IF(LEN('harlingenglass.com'!H21)&gt;0,"Pass","Fail")</f>
        <v>Pass</v>
      </c>
      <c r="I24" s="2" t="str">
        <f aca="false">IF(AND(ISNUMBER(SEARCH("utm_source=google",'harlingenglass.com'!J21)),ISNUMBER(SEARCH("utm_content=",'harlingenglass.com'!J21))),"Pass","Fail")</f>
        <v>Pass</v>
      </c>
      <c r="J24" s="2" t="str">
        <f aca="false">IF(ISNUMBER(SEARCH(Settings!$C$8,'harlingenglass.com'!I21)),"Pass","Fail")</f>
        <v>Pass</v>
      </c>
      <c r="K24" s="2" t="str">
        <f aca="false">IF(WEEKDAY('harlingenglass.com'!C21,2)&lt;=5,"Pass","Fail")</f>
        <v>Pass</v>
      </c>
      <c r="L24" s="2" t="str">
        <f aca="false">IF(LEN('harlingenglass.com'!M21)&gt;0,"Pass","Fail")</f>
        <v>Pass</v>
      </c>
      <c r="M24" s="2" t="str">
        <f aca="false">IF(COUNTIF(D24:L24,"Fail")=0,"Pass","Fail")</f>
        <v>Pass</v>
      </c>
    </row>
    <row r="25" customFormat="false" ht="15" hidden="false" customHeight="false" outlineLevel="0" collapsed="false">
      <c r="A25" s="2" t="n">
        <v>21</v>
      </c>
      <c r="B25" s="3" t="n">
        <f aca="false">'harlingenglass.com'!C22</f>
        <v>46356</v>
      </c>
      <c r="C25" s="2" t="n">
        <f aca="false">LEN('harlingenglass.com'!G22)</f>
        <v>347</v>
      </c>
      <c r="D25" s="2" t="str">
        <f aca="false">IF(LEN('harlingenglass.com'!G22)&lt;=1500,"Pass","Fail")</f>
        <v>Pass</v>
      </c>
      <c r="E25" s="2" t="str">
        <f aca="false">IF(SUMPRODUCT(--ISNUMBER(SEARCH({"956","428-6066","428.6066","4286066"},'harlingenglass.com'!G22)))=0,"Pass","Fail")</f>
        <v>Pass</v>
      </c>
      <c r="F25" s="2" t="str">
        <f aca="false">IF(ISNUMBER(SEARCH("@",'harlingenglass.com'!G22)),"Fail","Pass")</f>
        <v>Pass</v>
      </c>
      <c r="G25" s="2" t="str">
        <f aca="false">IF(OR(ISNUMBER(SEARCH("http",'harlingenglass.com'!G22)),ISNUMBER(SEARCH("www.",'harlingenglass.com'!G22)),ISNUMBER(SEARCH(".com",'harlingenglass.com'!G22))),"Fail","Pass")</f>
        <v>Pass</v>
      </c>
      <c r="H25" s="2" t="str">
        <f aca="false">IF(LEN('harlingenglass.com'!H22)&gt;0,"Pass","Fail")</f>
        <v>Pass</v>
      </c>
      <c r="I25" s="2" t="str">
        <f aca="false">IF(AND(ISNUMBER(SEARCH("utm_source=google",'harlingenglass.com'!J22)),ISNUMBER(SEARCH("utm_content=",'harlingenglass.com'!J22))),"Pass","Fail")</f>
        <v>Pass</v>
      </c>
      <c r="J25" s="2" t="str">
        <f aca="false">IF(ISNUMBER(SEARCH(Settings!$C$8,'harlingenglass.com'!I22)),"Pass","Fail")</f>
        <v>Pass</v>
      </c>
      <c r="K25" s="2" t="str">
        <f aca="false">IF(WEEKDAY('harlingenglass.com'!C22,2)&lt;=5,"Pass","Fail")</f>
        <v>Pass</v>
      </c>
      <c r="L25" s="2" t="str">
        <f aca="false">IF(LEN('harlingenglass.com'!M22)&gt;0,"Pass","Fail")</f>
        <v>Pass</v>
      </c>
      <c r="M25" s="2" t="str">
        <f aca="false">IF(COUNTIF(D25:L25,"Fail")=0,"Pass","Fail")</f>
        <v>Pass</v>
      </c>
    </row>
    <row r="26" customFormat="false" ht="15" hidden="false" customHeight="false" outlineLevel="0" collapsed="false">
      <c r="A26" s="2" t="n">
        <v>22</v>
      </c>
      <c r="B26" s="3" t="n">
        <f aca="false">'harlingenglass.com'!C23</f>
        <v>46357</v>
      </c>
      <c r="C26" s="2" t="n">
        <f aca="false">LEN('harlingenglass.com'!G23)</f>
        <v>409</v>
      </c>
      <c r="D26" s="2" t="str">
        <f aca="false">IF(LEN('harlingenglass.com'!G23)&lt;=1500,"Pass","Fail")</f>
        <v>Pass</v>
      </c>
      <c r="E26" s="2" t="str">
        <f aca="false">IF(SUMPRODUCT(--ISNUMBER(SEARCH({"956","428-6066","428.6066","4286066"},'harlingenglass.com'!G23)))=0,"Pass","Fail")</f>
        <v>Pass</v>
      </c>
      <c r="F26" s="2" t="str">
        <f aca="false">IF(ISNUMBER(SEARCH("@",'harlingenglass.com'!G23)),"Fail","Pass")</f>
        <v>Pass</v>
      </c>
      <c r="G26" s="2" t="str">
        <f aca="false">IF(OR(ISNUMBER(SEARCH("http",'harlingenglass.com'!G23)),ISNUMBER(SEARCH("www.",'harlingenglass.com'!G23)),ISNUMBER(SEARCH(".com",'harlingenglass.com'!G23))),"Fail","Pass")</f>
        <v>Pass</v>
      </c>
      <c r="H26" s="2" t="str">
        <f aca="false">IF(LEN('harlingenglass.com'!H23)&gt;0,"Pass","Fail")</f>
        <v>Pass</v>
      </c>
      <c r="I26" s="2" t="str">
        <f aca="false">IF(AND(ISNUMBER(SEARCH("utm_source=google",'harlingenglass.com'!J23)),ISNUMBER(SEARCH("utm_content=",'harlingenglass.com'!J23))),"Pass","Fail")</f>
        <v>Pass</v>
      </c>
      <c r="J26" s="2" t="str">
        <f aca="false">IF(ISNUMBER(SEARCH(Settings!$C$8,'harlingenglass.com'!I23)),"Pass","Fail")</f>
        <v>Pass</v>
      </c>
      <c r="K26" s="2" t="str">
        <f aca="false">IF(WEEKDAY('harlingenglass.com'!C23,2)&lt;=5,"Pass","Fail")</f>
        <v>Pass</v>
      </c>
      <c r="L26" s="2" t="str">
        <f aca="false">IF(LEN('harlingenglass.com'!M23)&gt;0,"Pass","Fail")</f>
        <v>Pass</v>
      </c>
      <c r="M26" s="2" t="str">
        <f aca="false">IF(COUNTIF(D26:L26,"Fail")=0,"Pass","Fail")</f>
        <v>Pass</v>
      </c>
    </row>
    <row r="28" customFormat="false" ht="15" hidden="false" customHeight="false" outlineLevel="0" collapsed="false">
      <c r="A28" s="9" t="s">
        <v>302</v>
      </c>
      <c r="B28" s="9" t="str">
        <f aca="false">COUNTIF(M5:M26,"Pass")&amp;" of "&amp;COUNTA(A5:A26)</f>
        <v>22 of 22</v>
      </c>
    </row>
    <row r="30" customFormat="false" ht="15" hidden="false" customHeight="false" outlineLevel="0" collapsed="false">
      <c r="A30" s="9" t="s">
        <v>303</v>
      </c>
    </row>
    <row r="31" customFormat="false" ht="23.85" hidden="false" customHeight="false" outlineLevel="0" collapsed="false">
      <c r="A31" s="8" t="s">
        <v>3</v>
      </c>
      <c r="B31" s="8" t="s">
        <v>304</v>
      </c>
    </row>
    <row r="32" customFormat="false" ht="15" hidden="false" customHeight="false" outlineLevel="0" collapsed="false">
      <c r="A32" s="4" t="s">
        <v>15</v>
      </c>
      <c r="B32" s="2" t="n">
        <f aca="false">COUNTIF('harlingenglass.com'!$E$2:$E$23,"Service")</f>
        <v>8</v>
      </c>
    </row>
    <row r="33" customFormat="false" ht="15" hidden="false" customHeight="false" outlineLevel="0" collapsed="false">
      <c r="A33" s="4" t="s">
        <v>33</v>
      </c>
      <c r="B33" s="2" t="n">
        <f aca="false">COUNTIF('harlingenglass.com'!$E$2:$E$23,"FAQ")</f>
        <v>5</v>
      </c>
    </row>
    <row r="34" customFormat="false" ht="15" hidden="false" customHeight="false" outlineLevel="0" collapsed="false">
      <c r="A34" s="4" t="s">
        <v>39</v>
      </c>
      <c r="B34" s="2" t="n">
        <f aca="false">COUNTIF('harlingenglass.com'!$E$2:$E$23,"Local")</f>
        <v>5</v>
      </c>
    </row>
    <row r="35" customFormat="false" ht="23.85" hidden="false" customHeight="false" outlineLevel="0" collapsed="false">
      <c r="A35" s="4" t="s">
        <v>24</v>
      </c>
      <c r="B35" s="2" t="n">
        <f aca="false">COUNTIF('harlingenglass.com'!$E$2:$E$23,"Promotional")</f>
        <v>4</v>
      </c>
    </row>
    <row r="36" customFormat="false" ht="15" hidden="false" customHeight="false" outlineLevel="0" collapsed="false">
      <c r="A36" s="4" t="s">
        <v>305</v>
      </c>
      <c r="B36" s="2" t="n">
        <f aca="false">SUM(B32:B35)</f>
        <v>22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2026-10-26T09:46:51Z</dcterms:created>
  <dc:creator>openpyxl</dc:creator>
  <dc:description/>
  <dc:language>en-US</dc:language>
  <cp:lastModifiedBy/>
  <dcterms:modified xsi:type="dcterms:W3CDTF">2026-10-26T09:47:21Z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