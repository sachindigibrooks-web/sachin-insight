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Website &amp; Profile Audit" sheetId="2" state="visible" r:id="rId4"/>
    <sheet name="GBP Guidelines" sheetId="3" state="visible" r:id="rId5"/>
    <sheet name="Content Calendar" sheetId="4" state="visible" r:id="rId6"/>
    <sheet name="Weekly Batches" sheetId="5" state="visible" r:id="rId7"/>
    <sheet name="Citations" sheetId="6" state="visible" r:id="rId8"/>
    <sheet name="QA Cross-Check" sheetId="7" state="visible" r:id="rId9"/>
  </sheets>
  <definedNames>
    <definedName function="false" hidden="true" localSheetId="3" name="_xlnm._FilterDatabase" vbProcedure="false">'Content Calendar'!$A$4:$S$26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<sst xmlns="http://schemas.openxmlformats.org/spreadsheetml/2006/main" count="778" uniqueCount="533">
  <si>
    <t xml:space="preserve">Preferred Fence Solutions: GBP Content Calendar and Citations</t>
  </si>
  <si>
    <t xml:space="preserve">22 Google Business Profile posts in 11 weekly batches, plus citation work. Prepared Oct 26, 2026.</t>
  </si>
  <si>
    <t xml:space="preserve">Business snapshot (from the website)</t>
  </si>
  <si>
    <t xml:space="preserve">Field</t>
  </si>
  <si>
    <t xml:space="preserve">Value</t>
  </si>
  <si>
    <t xml:space="preserve">Source / note</t>
  </si>
  <si>
    <t xml:space="preserve">Business name</t>
  </si>
  <si>
    <t xml:space="preserve">Preferred Fence Solutions, Inc.</t>
  </si>
  <si>
    <t xml:space="preserve">Website, FAQ and GBP links</t>
  </si>
  <si>
    <t xml:space="preserve">Address</t>
  </si>
  <si>
    <t xml:space="preserve">8071 N. Classen Boulevard, Suite A, Oklahoma City, OK 73114</t>
  </si>
  <si>
    <t xml:space="preserve">Website footer and Google link on site</t>
  </si>
  <si>
    <t xml:space="preserve">Phone</t>
  </si>
  <si>
    <t xml:space="preserve">(405) 921-3426 main line; (405) 473-2695 general administration</t>
  </si>
  <si>
    <t xml:space="preserve">Website footer</t>
  </si>
  <si>
    <t xml:space="preserve">Hours</t>
  </si>
  <si>
    <t xml:space="preserve">Mon to Fri 7 AM to 4 PM; Sat 7 AM to 11 AM</t>
  </si>
  <si>
    <t xml:space="preserve">Service area</t>
  </si>
  <si>
    <t xml:space="preserve">Oklahoma City, North OKC, Edmond, Yukon, Mustang, Nichols Hills, Piedmont, The Village (OKC metro)</t>
  </si>
  <si>
    <t xml:space="preserve">Home and service pages</t>
  </si>
  <si>
    <t xml:space="preserve">Main services</t>
  </si>
  <si>
    <t xml:space="preserve">Fence installation and repair; Western Red Cedar stockade (wood) fences; vinyl; Ameristar ornamental iron; chain link (galvanized and black vinyl-coated); SimTek; sheet metal / ribbed panel (commercial); custom gates, cantilever gates, gate operators; fence design and planning</t>
  </si>
  <si>
    <t xml:space="preserve">Service pages</t>
  </si>
  <si>
    <t xml:space="preserve">Active offers</t>
  </si>
  <si>
    <t xml:space="preserve">Free estimates on all projects; free design and planning help; custom doggie windows add-on</t>
  </si>
  <si>
    <t xml:space="preserve">Stockade, North OKC and Design pages</t>
  </si>
  <si>
    <t xml:space="preserve">Trust signals</t>
  </si>
  <si>
    <t xml:space="preserve">Licensed and insured; 1-year warranty on all fences and gates; panels custom built in their own shop; steel posts set in concrete 2 ft below grade; 100% USA fence products; local awards</t>
  </si>
  <si>
    <t xml:space="preserve">Service pages, Awards page</t>
  </si>
  <si>
    <t xml:space="preserve">Reviews</t>
  </si>
  <si>
    <t xml:space="preserve">4.7 stars from 143 Google reviews; 3.9 from 7 Yelp reviews (third-party summary)</t>
  </si>
  <si>
    <t xml:space="preserve">https://www.expertise.com/ok/oklahoma-city/fence-companies (needs confirming in GBP)</t>
  </si>
  <si>
    <t xml:space="preserve">Social profiles</t>
  </si>
  <si>
    <t xml:space="preserve">Facebook: facebook.com/preferredfencesolutions; Instagram: instagram.com/preferredfencesolutions; Thumbtack; BBB</t>
  </si>
  <si>
    <t xml:space="preserve">Website header and footer</t>
  </si>
  <si>
    <t xml:space="preserve">Posting window</t>
  </si>
  <si>
    <t xml:space="preserve">Nov 3, 2026 to Jan 21, 2027: 2 posts per week (Tue and Thu, with holiday adjustments)</t>
  </si>
  <si>
    <t xml:space="preserve">This plan</t>
  </si>
  <si>
    <t xml:space="preserve">Tracking settings (edit here, all CTA links update)</t>
  </si>
  <si>
    <t xml:space="preserve">Setting</t>
  </si>
  <si>
    <t xml:space="preserve">Note</t>
  </si>
  <si>
    <t xml:space="preserve">UTM source</t>
  </si>
  <si>
    <t xml:space="preserve">google</t>
  </si>
  <si>
    <t xml:space="preserve">Keep as google</t>
  </si>
  <si>
    <t xml:space="preserve">UTM medium</t>
  </si>
  <si>
    <t xml:space="preserve">organic</t>
  </si>
  <si>
    <t xml:space="preserve">Keep as organic</t>
  </si>
  <si>
    <t xml:space="preserve">UTM campaign</t>
  </si>
  <si>
    <t xml:space="preserve">gbp-posts-nov26-jan27</t>
  </si>
  <si>
    <t xml:space="preserve">One campaign for this 22-post run</t>
  </si>
  <si>
    <t xml:space="preserve">Website domain</t>
  </si>
  <si>
    <t xml:space="preserve">preferredfencesolutions.com</t>
  </si>
  <si>
    <t xml:space="preserve">Used by the QA check that every link stays on the business website</t>
  </si>
  <si>
    <t xml:space="preserve">Post mix (counts update from the calendar)</t>
  </si>
  <si>
    <t xml:space="preserve">Category</t>
  </si>
  <si>
    <t xml:space="preserve">Posts</t>
  </si>
  <si>
    <t xml:space="preserve">Share</t>
  </si>
  <si>
    <t xml:space="preserve">Service</t>
  </si>
  <si>
    <t xml:space="preserve">FAQ</t>
  </si>
  <si>
    <t xml:space="preserve">Local</t>
  </si>
  <si>
    <t xml:space="preserve">Promotional</t>
  </si>
  <si>
    <t xml:space="preserve">Total</t>
  </si>
  <si>
    <t xml:space="preserve">How to use this workbook</t>
  </si>
  <si>
    <t xml:space="preserve">Tab / item</t>
  </si>
  <si>
    <t xml:space="preserve">What it is</t>
  </si>
  <si>
    <t xml:space="preserve">1. Overview</t>
  </si>
  <si>
    <t xml:space="preserve">Business facts, tracking settings and the post mix.</t>
  </si>
  <si>
    <t xml:space="preserve">2. Website &amp; Profile Audit</t>
  </si>
  <si>
    <t xml:space="preserve">What we found on the website, socials and old GBP posts, with fixes to make before posting.</t>
  </si>
  <si>
    <t xml:space="preserve">3. GBP Guidelines</t>
  </si>
  <si>
    <t xml:space="preserve">Google rules every post follows, with sources.</t>
  </si>
  <si>
    <t xml:space="preserve">4. Content Calendar</t>
  </si>
  <si>
    <t xml:space="preserve">All 22 posts: date, type, copy, CTA button and tracked link. Edit only Post Copy, dates, Status and Notes.</t>
  </si>
  <si>
    <t xml:space="preserve">5. Weekly Batches</t>
  </si>
  <si>
    <t xml:space="preserve">One batch per week (2 posts). Prep and schedule each batch on the Monday.</t>
  </si>
  <si>
    <t xml:space="preserve">6. Citations</t>
  </si>
  <si>
    <t xml:space="preserve">NAP to use everywhere, plus the citation list with status tracking.</t>
  </si>
  <si>
    <t xml:space="preserve">7. QA Cross-Check</t>
  </si>
  <si>
    <t xml:space="preserve">Automatic checks on every post (length, no phone or email in text, CTA, UTM, link domain). All rows should read Pass.</t>
  </si>
  <si>
    <t xml:space="preserve">Editable cells</t>
  </si>
  <si>
    <t xml:space="preserve">Status and Notes columns, post dates, post copy, citation Status / Date / Live URL. Tracked URLs, counts and QA cells are formulas: do not overwrite.</t>
  </si>
  <si>
    <t xml:space="preserve">Example row</t>
  </si>
  <si>
    <t xml:space="preserve">Row 5 of the Content Calendar (post 01) shows the expected format for every column.</t>
  </si>
  <si>
    <t xml:space="preserve">Website, social media and GBP audit</t>
  </si>
  <si>
    <t xml:space="preserve">Checked Oct 26, 2026. Fix High priority items before the first post goes live.</t>
  </si>
  <si>
    <t xml:space="preserve">#</t>
  </si>
  <si>
    <t xml:space="preserve">Area</t>
  </si>
  <si>
    <t xml:space="preserve">Finding</t>
  </si>
  <si>
    <t xml:space="preserve">Evidence (URL)</t>
  </si>
  <si>
    <t xml:space="preserve">Recommended action</t>
  </si>
  <si>
    <t xml:space="preserve">Priority</t>
  </si>
  <si>
    <t xml:space="preserve">Old GBP posts</t>
  </si>
  <si>
    <t xml:space="preserve">Previous GBP posts could not be checked: posts are only visible inside the profile or on Google Search, and no manager access was available.</t>
  </si>
  <si>
    <t xml:space="preserve">https://g.page/preferredfencesolutions</t>
  </si>
  <si>
    <t xml:space="preserve">Share manager access or screenshots of the last 10 posts, so the new posts don't repeat topics.</t>
  </si>
  <si>
    <t xml:space="preserve">High</t>
  </si>
  <si>
    <t xml:space="preserve">Yelp link</t>
  </si>
  <si>
    <t xml:space="preserve">The website's Yelp icon links to 'premier-fence-solutions-oklahoma-city-5', which looks like a different business name.</t>
  </si>
  <si>
    <t xml:space="preserve">https://www.yelp.com/biz/premier-fence-solutions-oklahoma-city-5</t>
  </si>
  <si>
    <t xml:space="preserve">Check the Yelp listing name; correct it to Preferred Fence Solutions or fix the link on the website.</t>
  </si>
  <si>
    <t xml:space="preserve">Email typo</t>
  </si>
  <si>
    <t xml:space="preserve">The FAQ page lists 'preferredfencesoltuions@gmail.com' (letters swapped).</t>
  </si>
  <si>
    <t xml:space="preserve">https://preferredfencesolutions.com/faq/</t>
  </si>
  <si>
    <t xml:space="preserve">Correct to the real email so customers can reach you, and use the same email on all citations.</t>
  </si>
  <si>
    <t xml:space="preserve">Founded year conflict</t>
  </si>
  <si>
    <t xml:space="preserve">Directories disagree: ThreeBestRated says since 2004, HomeGuide says founded 2017.</t>
  </si>
  <si>
    <t xml:space="preserve">https://threebestrated.com/fencing-contractors-in-oklahoma-city-ok ; https://homeguide.com/ok/edmond/fence-installation/preferred-fence-solutions--inc--Bg7QaScYM</t>
  </si>
  <si>
    <t xml:space="preserve">Confirm the correct year with the client and update the wrong directory.</t>
  </si>
  <si>
    <t xml:space="preserve">Medium</t>
  </si>
  <si>
    <t xml:space="preserve">License flag</t>
  </si>
  <si>
    <t xml:space="preserve">BuildZoom showed 'No active license on file' (updated Oct 2024); the website says licensed and insured.</t>
  </si>
  <si>
    <t xml:space="preserve">https://www.buildzoom.com/contractor/preferred-fence-solutions</t>
  </si>
  <si>
    <t xml:space="preserve">Confirm the license number and update BuildZoom so the listing doesn't contradict the website.</t>
  </si>
  <si>
    <t xml:space="preserve">Contact page</t>
  </si>
  <si>
    <t xml:space="preserve">The Contact Us page returned '403 Forbidden' to our automated check.</t>
  </si>
  <si>
    <t xml:space="preserve">https://preferredfencesolutions.com/contact-us/</t>
  </si>
  <si>
    <t xml:space="preserve">Test the page in a normal browser and on mobile. If real visitors are blocked, fix the security rule. Posts link to service pages for now.</t>
  </si>
  <si>
    <t xml:space="preserve">Two phone numbers</t>
  </si>
  <si>
    <t xml:space="preserve">The footer shows a main line and a general administration number.</t>
  </si>
  <si>
    <t xml:space="preserve">Use only the main line (405) 921-3426 on GBP and citations.</t>
  </si>
  <si>
    <t xml:space="preserve">Outdated year</t>
  </si>
  <si>
    <t xml:space="preserve">The fence cost guide headline says '2025 Expectations'.</t>
  </si>
  <si>
    <t xml:space="preserve">https://preferredfencesolutions.com/fence-cost-oklahoma-city/</t>
  </si>
  <si>
    <t xml:space="preserve">Update it to 2026 before linking it from posts. It is not used in this calendar yet.</t>
  </si>
  <si>
    <t xml:space="preserve">Low</t>
  </si>
  <si>
    <t xml:space="preserve">HomeAdvisor link</t>
  </si>
  <si>
    <t xml:space="preserve">The website's HomeAdvisor link goes to the HomeAdvisor homepage, not the company profile.</t>
  </si>
  <si>
    <t xml:space="preserve">https://www.homeadvisor.com/</t>
  </si>
  <si>
    <t xml:space="preserve">Link it to the actual profile, or remove it.</t>
  </si>
  <si>
    <t xml:space="preserve">Social media</t>
  </si>
  <si>
    <t xml:space="preserve">Facebook and Instagram are linked. Page content can't be read without logging in, so recent social posts were not reviewed.</t>
  </si>
  <si>
    <t xml:space="preserve">https://www.facebook.com/preferredfencesolutions/</t>
  </si>
  <si>
    <t xml:space="preserve">Share each GBP post's photo and copy on Facebook and Instagram the same week.</t>
  </si>
  <si>
    <t xml:space="preserve">Blog strength</t>
  </si>
  <si>
    <t xml:space="preserve">Recent, detailed local blogs (2025 to 2026) on wind, soil, gates, slopes and cedar make strong landing pages.</t>
  </si>
  <si>
    <t xml:space="preserve">https://preferredfencesolutions.com/fence-blog/</t>
  </si>
  <si>
    <t xml:space="preserve">FAQ posts link to these blogs to build topical relevance.</t>
  </si>
  <si>
    <t xml:space="preserve">Google Business Profile post rules applied to this calendar</t>
  </si>
  <si>
    <t xml:space="preserve">Every post in the calendar was written and checked against these rules.</t>
  </si>
  <si>
    <t xml:space="preserve">Rule</t>
  </si>
  <si>
    <t xml:space="preserve">How this calendar follows it</t>
  </si>
  <si>
    <t xml:space="preserve">Source</t>
  </si>
  <si>
    <t xml:space="preserve">No phone numbers in post text.</t>
  </si>
  <si>
    <t xml:space="preserve">No post contains a phone number. Calls are tracked through the GBP Call button and Performance report instead.</t>
  </si>
  <si>
    <t xml:space="preserve">https://support.google.com/business/answer/7213077</t>
  </si>
  <si>
    <t xml:space="preserve">Google may remove posts that contain unverified contact info such as email addresses or social media handles.</t>
  </si>
  <si>
    <t xml:space="preserve">No emails or social handles are written in any post.</t>
  </si>
  <si>
    <t xml:space="preserve">Posts may not include links to websites not related to the business (Oct 2026 policy update).</t>
  </si>
  <si>
    <t xml:space="preserve">Every CTA links to a page on the business's own website. No links are written in the post text.</t>
  </si>
  <si>
    <t xml:space="preserve">https://www.relevantaudience.com/seo/google-business-profile-policy-bans-promotions-in-listings/ (reporting Google's Oct 6, 2026 update)</t>
  </si>
  <si>
    <t xml:space="preserve">Offer posts need a title and start and end dates; coupon code, link and terms are optional. Offers get an automatic View offer button.</t>
  </si>
  <si>
    <t xml:space="preserve">All Offer posts have a title of 58 characters or fewer, dates and terms in the Offer Dates / Terms column.</t>
  </si>
  <si>
    <t xml:space="preserve">https://support.google.com/business/answer/7342169</t>
  </si>
  <si>
    <t xml:space="preserve">Update posts can carry one action button with a link (book, order online, learn more and similar).</t>
  </si>
  <si>
    <t xml:space="preserve">Every Update post has one CTA button with a tracked link.</t>
  </si>
  <si>
    <t xml:space="preserve">Post descriptions are limited to 1,500 characters.</t>
  </si>
  <si>
    <t xml:space="preserve">All posts are well under the limit; the QA tab checks this automatically.</t>
  </si>
  <si>
    <t xml:space="preserve">GBP post editor limit (Google Business Profile Manager)</t>
  </si>
  <si>
    <t xml:space="preserve">Posts older than 6 months are archived unless a date range is set.</t>
  </si>
  <si>
    <t xml:space="preserve">Fresh posts go out twice a week so the profile always shows recent content.</t>
  </si>
  <si>
    <t xml:space="preserve">Content must be relevant to the business and not low quality (no gibberish, misspellings or irrelevant content).</t>
  </si>
  <si>
    <t xml:space="preserve">Every post is about a real service, FAQ, local topic or offer taken from the website.</t>
  </si>
  <si>
    <t xml:space="preserve">https://support.google.com/business/answer/3038177</t>
  </si>
  <si>
    <t xml:space="preserve">Promotions must clearly state their terms.</t>
  </si>
  <si>
    <t xml:space="preserve">Each offer lists dates and terms to confirm with the client before publishing.</t>
  </si>
  <si>
    <t xml:space="preserve">Do not ask for personal or confidential information.</t>
  </si>
  <si>
    <t xml:space="preserve">CTAs send users to the website contact or booking pages; posts never ask for personal data.</t>
  </si>
  <si>
    <t xml:space="preserve">You are responsible for making sure post content complies with applicable laws.</t>
  </si>
  <si>
    <t xml:space="preserve">Claims are limited to facts stated on the website. Items needing client confirmation are flagged in Notes.</t>
  </si>
  <si>
    <t xml:space="preserve">Photos must follow the photo and video policy (real, relevant, no added text-heavy overlays).</t>
  </si>
  <si>
    <t xml:space="preserve">Image briefs ask for real project photos, not stock images.</t>
  </si>
  <si>
    <t xml:space="preserve">GBP Content Calendar: 22 posts</t>
  </si>
  <si>
    <t xml:space="preserve">Tracked CTA URL is built by formula from the landing page and the Overview tracking settings.</t>
  </si>
  <si>
    <t xml:space="preserve">Post ID</t>
  </si>
  <si>
    <t xml:space="preserve">Batch</t>
  </si>
  <si>
    <t xml:space="preserve">Publish Date</t>
  </si>
  <si>
    <t xml:space="preserve">Day</t>
  </si>
  <si>
    <t xml:space="preserve">GBP Post Type</t>
  </si>
  <si>
    <t xml:space="preserve">Topic</t>
  </si>
  <si>
    <t xml:space="preserve">Target Keyword</t>
  </si>
  <si>
    <t xml:space="preserve">Offer Title</t>
  </si>
  <si>
    <t xml:space="preserve">Post Copy</t>
  </si>
  <si>
    <t xml:space="preserve">Characters</t>
  </si>
  <si>
    <t xml:space="preserve">CTA Button</t>
  </si>
  <si>
    <t xml:space="preserve">Landing Page</t>
  </si>
  <si>
    <t xml:space="preserve">UTM Content</t>
  </si>
  <si>
    <t xml:space="preserve">Tracked CTA URL</t>
  </si>
  <si>
    <t xml:space="preserve">Offer Dates / Terms</t>
  </si>
  <si>
    <t xml:space="preserve">Image Brief</t>
  </si>
  <si>
    <t xml:space="preserve">Status</t>
  </si>
  <si>
    <t xml:space="preserve">Notes / Confirm with Client</t>
  </si>
  <si>
    <t xml:space="preserve">PF-01</t>
  </si>
  <si>
    <t xml:space="preserve">Update</t>
  </si>
  <si>
    <t xml:space="preserve">Fence repair after wind and storms</t>
  </si>
  <si>
    <t xml:space="preserve">fence repair Oklahoma City</t>
  </si>
  <si>
    <t xml:space="preserve">Leaning posts, broken panels or a gate that will not latch after the last windstorm?
Preferred Fence Solutions repairs fences across the OKC metro, from a single leaning post to multi-section storm damage. We check whether a post can be reset and reinforced or needs replacing, and when we rebuild wood sections we use steel posts so the fence can stand up to Oklahoma wind.
We give honest recommendations on repair versus replacement and free estimates on every job. Tap Learn more to schedule yours.</t>
  </si>
  <si>
    <t xml:space="preserve">Learn more</t>
  </si>
  <si>
    <t xml:space="preserve">https://preferredfencesolutions.com/fence-repair-okc/</t>
  </si>
  <si>
    <t xml:space="preserve">pf01-fence-repair</t>
  </si>
  <si>
    <t xml:space="preserve">Real before/after photo of a storm-damaged stockade section that the team repaired.</t>
  </si>
  <si>
    <t xml:space="preserve">Draft</t>
  </si>
  <si>
    <t xml:space="preserve">PF-02</t>
  </si>
  <si>
    <t xml:space="preserve">How tall can my fence be in OKC?</t>
  </si>
  <si>
    <t xml:space="preserve">fence height Oklahoma City</t>
  </si>
  <si>
    <t xml:space="preserve">FAQ: How tall can my fence be in Oklahoma City?
Residential fences in Oklahoma City can be up to 8 feet tall in most cases, and 6 feet is the most common choice for backyard privacy. HOA rules often add their own limits, especially in Edmond, Nichols Hills and newer neighborhoods, so check with your HOA before you build.
Not sure what is allowed on your property? Our team can help you plan the right height and style. Tap Learn more to read more fence FAQs.</t>
  </si>
  <si>
    <t xml:space="preserve">pf02-faq-fence-height</t>
  </si>
  <si>
    <t xml:space="preserve">Photo of a 6 ft stockade privacy fence installed by the team.</t>
  </si>
  <si>
    <t xml:space="preserve">Fact check: keep wording as 'in most cases' and point to HOA and city rules.</t>
  </si>
  <si>
    <t xml:space="preserve">PF-03</t>
  </si>
  <si>
    <t xml:space="preserve">Fence installation in Edmond</t>
  </si>
  <si>
    <t xml:space="preserve">fence installation Edmond OK</t>
  </si>
  <si>
    <t xml:space="preserve">Building a fence in Edmond? Preferred Fence Solutions has installed fences for Edmond homeowners for years, with local projects and references available.
We install wood privacy fences, metal and decorative fencing, and custom gates, using materials chosen for Oklahoma weather. We keep job sites clean, give clear timelines, and walk the fence line with you at the end so you are 100% happy.
Licensed and insured. Tap Learn more to get a free estimate for your Edmond home.</t>
  </si>
  <si>
    <t xml:space="preserve">https://preferredfencesolutions.com/fence-installation-edmond-ok/</t>
  </si>
  <si>
    <t xml:space="preserve">pf03-edmond-installation</t>
  </si>
  <si>
    <t xml:space="preserve">Real photo of a finished fence at an Edmond home.</t>
  </si>
  <si>
    <t xml:space="preserve">PF-04</t>
  </si>
  <si>
    <t xml:space="preserve">Offer</t>
  </si>
  <si>
    <t xml:space="preserve">Free fence estimate</t>
  </si>
  <si>
    <t xml:space="preserve">free fence estimate OKC</t>
  </si>
  <si>
    <t xml:space="preserve">Free On-Site Fence Estimate</t>
  </si>
  <si>
    <t xml:space="preserve">Planning a new fence or a fence replacement before spring? Book a free on-site estimate with Preferred Fence Solutions.
We measure your yard, talk through materials, height and gates, and give you a clear written quote. Wood, vinyl, ornamental iron, chain link and SimTek options are available across Oklahoma City, Edmond, Yukon, Mustang and Nichols Hills.
Tap View offer to request your free estimate.</t>
  </si>
  <si>
    <t xml:space="preserve">View offer</t>
  </si>
  <si>
    <t xml:space="preserve">https://preferredfencesolutions.com/</t>
  </si>
  <si>
    <t xml:space="preserve">pf04-free-estimate</t>
  </si>
  <si>
    <t xml:space="preserve">Offer dates: Nov 12 to Dec 15, 2026. Terms: free estimate within the service area; no obligation.</t>
  </si>
  <si>
    <t xml:space="preserve">Real photo of a team member measuring a yard or reviewing plans with a homeowner.</t>
  </si>
  <si>
    <t xml:space="preserve">Free estimates are listed on the website for all projects.</t>
  </si>
  <si>
    <t xml:space="preserve">PF-05</t>
  </si>
  <si>
    <t xml:space="preserve">Western Red Cedar stockade fences</t>
  </si>
  <si>
    <t xml:space="preserve">cedar fence installation OKC</t>
  </si>
  <si>
    <t xml:space="preserve">Our wood stockade fences are built for Oklahoma.
Preferred Fence Solutions custom builds every wood fence panel and gate in our shop using Western Red Cedar, which is naturally rot and pest resistant. Each fence is installed on heavy-duty steel posts set in concrete 2 feet below grade, and we never dry set our posts.
Choose dog ear, cap and trim, board on board, shadowbox, horizontal and more. Tap Learn more to see the styles.</t>
  </si>
  <si>
    <t xml:space="preserve">https://preferredfencesolutions.com/stockade-wood-fence/</t>
  </si>
  <si>
    <t xml:space="preserve">pf05-cedar-stockade</t>
  </si>
  <si>
    <t xml:space="preserve">Real photo of a stained cedar cap and trim fence.</t>
  </si>
  <si>
    <t xml:space="preserve">PF-06</t>
  </si>
  <si>
    <t xml:space="preserve">Repair or replace my fence?</t>
  </si>
  <si>
    <t xml:space="preserve">fence repair vs replacement</t>
  </si>
  <si>
    <t xml:space="preserve">FAQ: Should I repair my fence or replace it?
A quick rule of thumb: repair usually makes sense when the damage is limited to a few areas and the rest of the fence is still sound. Replacement is usually the smarter choice when several posts are leaning, rails are failing or sections keep moving over time.
Walk your fence line and look for leaning posts, loose rails and rot at the base. Not sure what you are seeing? We will tell you honestly. Tap Learn more to read our full guide.</t>
  </si>
  <si>
    <t xml:space="preserve">https://preferredfencesolutions.com/fence-repair-vs-replacement-oklahoma-city/</t>
  </si>
  <si>
    <t xml:space="preserve">pf06-faq-repair-vs-replace</t>
  </si>
  <si>
    <t xml:space="preserve">Photo of a leaning fence section next to a newly rebuilt one.</t>
  </si>
  <si>
    <t xml:space="preserve">PF-07</t>
  </si>
  <si>
    <t xml:space="preserve">Ameristar ornamental iron fences</t>
  </si>
  <si>
    <t xml:space="preserve">ornamental iron fence OKC</t>
  </si>
  <si>
    <t xml:space="preserve">Looking for security that still looks elegant from the street?
Preferred Fence Solutions installs Ameristar ornamental iron fences and gates for homes in Oklahoma City, Edmond and the surrounding metro. We have installed iron fences from 4 to 6 feet tall and can add decorative finials, scrolls and custom gates.
Ornamental iron is a popular choice for front yards, pools and retaining walls. Tap Learn more to see recent projects.</t>
  </si>
  <si>
    <t xml:space="preserve">https://preferredfencesolutions.com/ornamental-iron-fence/</t>
  </si>
  <si>
    <t xml:space="preserve">pf07-ornamental-iron</t>
  </si>
  <si>
    <t xml:space="preserve">Real photo of an arched ornamental iron double gate.</t>
  </si>
  <si>
    <t xml:space="preserve">PF-08</t>
  </si>
  <si>
    <t xml:space="preserve">Thanksgiving thank you</t>
  </si>
  <si>
    <t xml:space="preserve">fence company Oklahoma City</t>
  </si>
  <si>
    <t xml:space="preserve">Happy Thanksgiving from the Preferred Fence Solutions team.
Thank you to every homeowner and business in Oklahoma City, Edmond, Nichols Hills, Yukon and Mustang who trusted our crew with their fence this year. Our promise is to exceed your expectations with fences that are installed with precision, care and good attitudes, and your kind words keep us going.
Enjoy the holiday with your family. Tap Learn more to read what our customers say.</t>
  </si>
  <si>
    <t xml:space="preserve">https://preferredfencesolutions.com/testimonials/</t>
  </si>
  <si>
    <t xml:space="preserve">pf08-thanksgiving</t>
  </si>
  <si>
    <t xml:space="preserve">Team photo in the shop or on a job site.</t>
  </si>
  <si>
    <t xml:space="preserve">Confirm holiday hours and add GBP special hours.</t>
  </si>
  <si>
    <t xml:space="preserve">PF-09</t>
  </si>
  <si>
    <t xml:space="preserve">Sheet metal fence for commercial sites</t>
  </si>
  <si>
    <t xml:space="preserve">sheet metal fence Oklahoma City</t>
  </si>
  <si>
    <t xml:space="preserve">Need privacy and security for a storage yard, equipment area or commercial lot?
Preferred Fence Solutions installs sheet metal and ribbed panel metal fences for commercial properties across Oklahoma City. The panels do not rot, warp or absorb moisture, which makes them a practical, low-maintenance choice for storage facilities, industrial sites and utility screening.
Tap Learn more to request a free commercial fence estimate.</t>
  </si>
  <si>
    <t xml:space="preserve">https://preferredfencesolutions.com/sheet-metal-fence-oklahoma-city/</t>
  </si>
  <si>
    <t xml:space="preserve">pf09-sheet-metal-commercial</t>
  </si>
  <si>
    <t xml:space="preserve">Real photo of a ribbed metal fence on a commercial site.</t>
  </si>
  <si>
    <t xml:space="preserve">PF-10</t>
  </si>
  <si>
    <t xml:space="preserve">Why fence posts fail in Oklahoma</t>
  </si>
  <si>
    <t xml:space="preserve">leaning fence post repair</t>
  </si>
  <si>
    <t xml:space="preserve">FAQ: Why do fence posts lean in Oklahoma?
Oklahoma clay soil expands and contracts as it gets wet and dries out, which loosens post footings over time. Strong wind adds more load, so a small lean can turn into a failing section.
That is why we set heavy-duty steel posts in concrete 2 feet below grade on our wood fences. If your posts are already leaning, we can tell you whether they can be reset or need replacing. Tap Learn more to read the full article.</t>
  </si>
  <si>
    <t xml:space="preserve">https://preferredfencesolutions.com/why-fence-posts-fail-oklahoma-soil/</t>
  </si>
  <si>
    <t xml:space="preserve">pf10-faq-post-failure</t>
  </si>
  <si>
    <t xml:space="preserve">Close-up photo of a leaning wood post next to a steel post set in concrete.</t>
  </si>
  <si>
    <t xml:space="preserve">PF-11</t>
  </si>
  <si>
    <t xml:space="preserve">Chain link fencing</t>
  </si>
  <si>
    <t xml:space="preserve">chain link fence installation OKC</t>
  </si>
  <si>
    <t xml:space="preserve">Chain link is one of the most affordable ways to secure a yard or a business.
Preferred Fence Solutions installs galvanized and black vinyl-coated chain link for homes and commercial properties across OKC and Edmond. We can add walk-through gates, double drive gates, cantilever gates, automatic gate operators and telephone entry systems.
We also repair existing chain link fences. Tap Learn more to get a free quote.</t>
  </si>
  <si>
    <t xml:space="preserve">https://preferredfencesolutions.com/chain-link-fence/</t>
  </si>
  <si>
    <t xml:space="preserve">pf11-chain-link</t>
  </si>
  <si>
    <t xml:space="preserve">Real photo of a black vinyl-coated chain link fence with a gate.</t>
  </si>
  <si>
    <t xml:space="preserve">PF-12</t>
  </si>
  <si>
    <t xml:space="preserve">Custom doggie windows</t>
  </si>
  <si>
    <t xml:space="preserve">dog fence OKC</t>
  </si>
  <si>
    <t xml:space="preserve">Give your dog a view of the neighborhood. Ask about adding a custom doggie window to any stockade fence we build.
It is a small add-on that dogs love and owners enjoy, and it fits into the fence design so it looks finished, not added on later. We build every panel in our shop, so the window can be placed exactly where your dog likes to watch.
Tap Learn more to see doggie windows in our fence gallery.</t>
  </si>
  <si>
    <t xml:space="preserve">https://preferredfencesolutions.com/fence-gallery/</t>
  </si>
  <si>
    <t xml:space="preserve">pf12-doggie-window</t>
  </si>
  <si>
    <t xml:space="preserve">Real photo of a dog looking through a doggie window in a cedar fence.</t>
  </si>
  <si>
    <t xml:space="preserve">Do not add pricing unless the client confirms it.</t>
  </si>
  <si>
    <t xml:space="preserve">PF-13</t>
  </si>
  <si>
    <t xml:space="preserve">Best fence for Oklahoma wind</t>
  </si>
  <si>
    <t xml:space="preserve">best fence for Oklahoma wind</t>
  </si>
  <si>
    <t xml:space="preserve">Oklahoma wind is hard on fences. Between spring storms, sudden gusts and shifting clay soil, the wrong fence or install method can lead to leaning posts and broken panels.
For homes in Oklahoma City, Edmond and Yukon, the biggest difference usually comes from how the fence is built: post type, post depth and concrete, plus a material that suits your yard.
We wrote a local guide on what actually holds up in OKC weather. Tap Learn more to read it.</t>
  </si>
  <si>
    <t xml:space="preserve">https://preferredfencesolutions.com/best-fence-oklahoma-wind-okc/</t>
  </si>
  <si>
    <t xml:space="preserve">pf13-oklahoma-wind</t>
  </si>
  <si>
    <t xml:space="preserve">Photo of a solid fence line on a windy day, or a stockade fence on steel posts.</t>
  </si>
  <si>
    <t xml:space="preserve">PF-14</t>
  </si>
  <si>
    <t xml:space="preserve">What is the most affordable fence?</t>
  </si>
  <si>
    <t xml:space="preserve">cheapest fence Oklahoma City</t>
  </si>
  <si>
    <t xml:space="preserve">FAQ: What is the most affordable fence option in OKC?
Galvanized chain link is our most budget-friendly option for both homes and businesses. If you want wood, our most affordable choice is Western Red Cedar on metal posts. We do not install cheaper woods like white spruce because the quality is not there, and cedar is naturally pest resistant and lasts longer.
Tap Learn more to see more answers, or request a free estimate for your yard.</t>
  </si>
  <si>
    <t xml:space="preserve">pf14-faq-affordable-fence</t>
  </si>
  <si>
    <t xml:space="preserve">Side-by-side photo of a galvanized chain link fence and a cedar fence.</t>
  </si>
  <si>
    <t xml:space="preserve">PF-15</t>
  </si>
  <si>
    <t xml:space="preserve">Residential gates: width and placement</t>
  </si>
  <si>
    <t xml:space="preserve">fence gate installation OKC</t>
  </si>
  <si>
    <t xml:space="preserve">Planning a gate? The right width and location make your yard easier to use every day.
A walk gate may be fine for people but too narrow for a mower, and a wide equipment gate may work better on a different side of the house. Preferred Fence Solutions builds custom wood and iron gates and helps you settle access before the posts go in.
Tap Learn more to read our gate planning guide for OKC homeowners.</t>
  </si>
  <si>
    <t xml:space="preserve">https://preferredfencesolutions.com/residential-fence-gate-width-placement-okc/</t>
  </si>
  <si>
    <t xml:space="preserve">pf15-gate-planning</t>
  </si>
  <si>
    <t xml:space="preserve">Real photo of a custom double-drive wood gate.</t>
  </si>
  <si>
    <t xml:space="preserve">PF-16</t>
  </si>
  <si>
    <t xml:space="preserve">Year-end thank you and awards</t>
  </si>
  <si>
    <t xml:space="preserve">best fence contractor Oklahoma</t>
  </si>
  <si>
    <t xml:space="preserve">Thank you, Oklahoma City, for another great year.
We are honored to have won local awards for our fencing work, and we stand behind every fence and gate we install with a 1-year warranty. More than any award, we are grateful for customers who welcome our crew into their yards and recommend us to their neighbors.
If we built or repaired your fence this year, we would love to hear how it is holding up. Tap Learn more to see our awards.</t>
  </si>
  <si>
    <t xml:space="preserve">https://preferredfencesolutions.com/pfs-awards/</t>
  </si>
  <si>
    <t xml:space="preserve">pf16-year-end-awards</t>
  </si>
  <si>
    <t xml:space="preserve">Photo of the team with an award, or a collage of this year's projects.</t>
  </si>
  <si>
    <t xml:space="preserve">Review request allowed. Do not offer incentives for reviews.</t>
  </si>
  <si>
    <t xml:space="preserve">PF-17</t>
  </si>
  <si>
    <t xml:space="preserve">Free design and planning consultation</t>
  </si>
  <si>
    <t xml:space="preserve">fence design Oklahoma City</t>
  </si>
  <si>
    <t xml:space="preserve">Free Fence Design &amp; Planning Consultation</t>
  </si>
  <si>
    <t xml:space="preserve">New year, new fence. Not sure which style, material or height is right for your property?
Book a free design and planning consultation with Preferred Fence Solutions. We will walk your yard, talk through privacy, pets, gates and budget, and recommend the best option for your home before we schedule your install.
Tap View offer to book your consultation.</t>
  </si>
  <si>
    <t xml:space="preserve">https://preferredfencesolutions.com/fence-design-planning/</t>
  </si>
  <si>
    <t xml:space="preserve">pf17-free-design-consult</t>
  </si>
  <si>
    <t xml:space="preserve">Offer dates: Jan 5 to Feb 15, 2027 (confirm). Terms: consultation and estimate are free; no obligation.</t>
  </si>
  <si>
    <t xml:space="preserve">Photo of a fence layout sketch or a team member walking a yard with a homeowner.</t>
  </si>
  <si>
    <t xml:space="preserve">Confirm the client is happy to label the consultation as free.</t>
  </si>
  <si>
    <t xml:space="preserve">PF-18</t>
  </si>
  <si>
    <t xml:space="preserve">Vinyl fence installation</t>
  </si>
  <si>
    <t xml:space="preserve">vinyl fence installation OKC</t>
  </si>
  <si>
    <t xml:space="preserve">Want a fence you never have to stain or paint? Vinyl is a low-maintenance option that lasts for years.
Preferred Fence Solutions installs vinyl privacy fences, picket fences, ranch-style 3-rail fences and vinyl gates in OKC, Edmond, Piedmont, Nichols Hills and The Village. Tan and white are the most popular colors.
Many vinyl fences can be installed in a single day. Tap Learn more to see styles and get a free quote.</t>
  </si>
  <si>
    <t xml:space="preserve">https://preferredfencesolutions.com/vinyl-fence/</t>
  </si>
  <si>
    <t xml:space="preserve">pf18-vinyl-fence</t>
  </si>
  <si>
    <t xml:space="preserve">Real photo of a white vinyl privacy fence in Edmond.</t>
  </si>
  <si>
    <t xml:space="preserve">PF-19</t>
  </si>
  <si>
    <t xml:space="preserve">Will new cedar boards match my old fence?</t>
  </si>
  <si>
    <t xml:space="preserve">cedar fence board replacement</t>
  </si>
  <si>
    <t xml:space="preserve">FAQ: Will new cedar boards blend in with my older fence?
New cedar usually looks brighter or more reddish than boards that have weathered for years. A contractor can match the size, profile and spacing closely, but the exact color takes time to even out as the new wood weathers.
Replacing damaged boards still restores privacy and extends the life of a sound fence. Tap Learn more to read what to expect and your options.</t>
  </si>
  <si>
    <t xml:space="preserve">https://preferredfencesolutions.com/new-cedar-fence-boards-blend-old-fence/</t>
  </si>
  <si>
    <t xml:space="preserve">pf19-faq-cedar-match</t>
  </si>
  <si>
    <t xml:space="preserve">Real photo of a repaired cedar section next to older boards.</t>
  </si>
  <si>
    <t xml:space="preserve">PF-20</t>
  </si>
  <si>
    <t xml:space="preserve">SimTek fences</t>
  </si>
  <si>
    <t xml:space="preserve">SimTek fence installer OKC</t>
  </si>
  <si>
    <t xml:space="preserve">Want the look of stone with the privacy of a solid fence? Consider a SimTek EcoStone fence.
SimTek fences can be customized to your style and budget, offer high levels of security, need minimal maintenance and come with SimTek's warranty. Preferred Fence Solutions installs SimTek fences for homes in Edmond, OKC, Mustang and Yukon.
Tap Learn more to see if SimTek is right for your yard.</t>
  </si>
  <si>
    <t xml:space="preserve">https://preferredfencesolutions.com/simtek-fence/</t>
  </si>
  <si>
    <t xml:space="preserve">pf20-simtek</t>
  </si>
  <si>
    <t xml:space="preserve">Real photo of a SimTek fence installed by the team (gallery has SimTek photos).</t>
  </si>
  <si>
    <t xml:space="preserve">PF-21</t>
  </si>
  <si>
    <t xml:space="preserve">Free fence repair estimate after winter weather</t>
  </si>
  <si>
    <t xml:space="preserve">fence repair estimate OKC</t>
  </si>
  <si>
    <t xml:space="preserve">Free Fence Repair Estimate</t>
  </si>
  <si>
    <t xml:space="preserve">Did winter wind or ice leave your fence leaning or damaged?
Book a free fence repair estimate with Preferred Fence Solutions. We will check posts, panels and gates, tell you honestly whether repair or replacement makes more sense, and give you a clear quote. No job is too small.
Tap View offer to schedule your free repair estimate.</t>
  </si>
  <si>
    <t xml:space="preserve">pf21-free-repair-estimate</t>
  </si>
  <si>
    <t xml:space="preserve">Offer dates: Jan 19 to Feb 28, 2027. Terms: free estimate within the service area; no obligation.</t>
  </si>
  <si>
    <t xml:space="preserve">Real photo of a gate or section after a repair.</t>
  </si>
  <si>
    <t xml:space="preserve">PF-22</t>
  </si>
  <si>
    <t xml:space="preserve">North OKC fence installation and repair</t>
  </si>
  <si>
    <t xml:space="preserve">fence company North OKC</t>
  </si>
  <si>
    <t xml:space="preserve">Preferred Fence Solutions is based just north of OKC, and North OKC homeowners are some of our longest-standing customers.
We custom make each fence panel in our shop, install stockade fences on heavy-duty metal posts, use 100% USA fence products and back every fence and gate with a 1-year warranty. We never turn away a job because of its size.
Tap Learn more to get a free estimate for your North OKC fence.</t>
  </si>
  <si>
    <t xml:space="preserve">https://preferredfencesolutions.com/fence-installation-repair-north-okc/</t>
  </si>
  <si>
    <t xml:space="preserve">pf22-north-okc</t>
  </si>
  <si>
    <t xml:space="preserve">Real photo of a North OKC project.</t>
  </si>
  <si>
    <t xml:space="preserve">Weekly batch plan</t>
  </si>
  <si>
    <t xml:space="preserve">Each batch = 2 posts. Content goes to the client 2 working days before the batch week, then is scheduled on the Monday. Batch 8 covers the two holiday weeks (Dec 22 and Dec 29).</t>
  </si>
  <si>
    <t xml:space="preserve">Week Of (Mon)</t>
  </si>
  <si>
    <t xml:space="preserve">Posts in Batch</t>
  </si>
  <si>
    <t xml:space="preserve">Content Due to Client</t>
  </si>
  <si>
    <t xml:space="preserve">Batch Status</t>
  </si>
  <si>
    <t xml:space="preserve">PF-01, PF-02</t>
  </si>
  <si>
    <t xml:space="preserve">Not started</t>
  </si>
  <si>
    <t xml:space="preserve">PF-03, PF-04</t>
  </si>
  <si>
    <t xml:space="preserve">PF-05, PF-06</t>
  </si>
  <si>
    <t xml:space="preserve">PF-07, PF-08</t>
  </si>
  <si>
    <t xml:space="preserve">PF-09, PF-10</t>
  </si>
  <si>
    <t xml:space="preserve">PF-11, PF-12</t>
  </si>
  <si>
    <t xml:space="preserve">PF-13, PF-14</t>
  </si>
  <si>
    <t xml:space="preserve">PF-15, PF-16</t>
  </si>
  <si>
    <t xml:space="preserve">PF-17, PF-18</t>
  </si>
  <si>
    <t xml:space="preserve">PF-19, PF-20</t>
  </si>
  <si>
    <t xml:space="preserve">PF-21, PF-22</t>
  </si>
  <si>
    <t xml:space="preserve">Citation work</t>
  </si>
  <si>
    <t xml:space="preserve">Use the NAP below exactly, character for character, on every listing.</t>
  </si>
  <si>
    <t xml:space="preserve">NAP field</t>
  </si>
  <si>
    <t xml:space="preserve">Use exactly</t>
  </si>
  <si>
    <t xml:space="preserve">Preferred Fence Solutions, Inc. (confirm this matches the GBP name exactly)</t>
  </si>
  <si>
    <t xml:space="preserve">Street address</t>
  </si>
  <si>
    <t xml:space="preserve">8071 N. Classen Blvd., Suite A</t>
  </si>
  <si>
    <t xml:space="preserve">City, State ZIP</t>
  </si>
  <si>
    <t xml:space="preserve">Oklahoma City, OK 73114</t>
  </si>
  <si>
    <t xml:space="preserve">Primary phone</t>
  </si>
  <si>
    <t xml:space="preserve">(405) 921-3426</t>
  </si>
  <si>
    <t xml:space="preserve">Website</t>
  </si>
  <si>
    <t xml:space="preserve">Email</t>
  </si>
  <si>
    <t xml:space="preserve">Confirm with client (FAQ shows a misspelled Gmail address)</t>
  </si>
  <si>
    <t xml:space="preserve">Mon to Fri 7:00 AM to 4:00 PM; Sat 7:00 AM to 11:00 AM; Sun closed</t>
  </si>
  <si>
    <t xml:space="preserve">Primary category (suggested)</t>
  </si>
  <si>
    <t xml:space="preserve">Fence contractor (confirm against current GBP category)</t>
  </si>
  <si>
    <t xml:space="preserve">Short description (for directories)</t>
  </si>
  <si>
    <t xml:space="preserve">Locally owned fence contractor in Oklahoma City. Custom wood, vinyl, ornamental iron, chain link, SimTek and commercial fence installation and repair for OKC, Edmond, Yukon, Mustang and Nichols Hills. Licensed and insured, with a 1-year warranty on all fences and gates.</t>
  </si>
  <si>
    <t xml:space="preserve">Citation list</t>
  </si>
  <si>
    <t xml:space="preserve">Platform</t>
  </si>
  <si>
    <t xml:space="preserve">Type</t>
  </si>
  <si>
    <t xml:space="preserve">Where to claim / submit</t>
  </si>
  <si>
    <t xml:space="preserve">Current Status (Oct 26)</t>
  </si>
  <si>
    <t xml:space="preserve">Issue / Note</t>
  </si>
  <si>
    <t xml:space="preserve">Action</t>
  </si>
  <si>
    <t xml:space="preserve">Work Status</t>
  </si>
  <si>
    <t xml:space="preserve">Date Done</t>
  </si>
  <si>
    <t xml:space="preserve">Live Listing URL</t>
  </si>
  <si>
    <t xml:space="preserve">Google Business Profile</t>
  </si>
  <si>
    <t xml:space="preserve">Core</t>
  </si>
  <si>
    <t xml:space="preserve">https://business.google.com</t>
  </si>
  <si>
    <t xml:space="preserve">Found (4.7, 143 reviews per third-party summary)</t>
  </si>
  <si>
    <t xml:space="preserve">Confirm name, categories, hours, services and photos</t>
  </si>
  <si>
    <t xml:space="preserve">Bing Places for Business</t>
  </si>
  <si>
    <t xml:space="preserve">https://www.bingplaces.com</t>
  </si>
  <si>
    <t xml:space="preserve">To verify</t>
  </si>
  <si>
    <t xml:space="preserve">Import from GBP and verify</t>
  </si>
  <si>
    <t xml:space="preserve">Apple Business Connect</t>
  </si>
  <si>
    <t xml:space="preserve">https://businessconnect.apple.com</t>
  </si>
  <si>
    <t xml:space="preserve">Claim and verify for Apple Maps</t>
  </si>
  <si>
    <t xml:space="preserve">Facebook Page</t>
  </si>
  <si>
    <t xml:space="preserve">Core / Social</t>
  </si>
  <si>
    <t xml:space="preserve">Found</t>
  </si>
  <si>
    <t xml:space="preserve">Check that the About section NAP matches</t>
  </si>
  <si>
    <t xml:space="preserve">Instagram</t>
  </si>
  <si>
    <t xml:space="preserve">Social</t>
  </si>
  <si>
    <t xml:space="preserve">https://www.instagram.com/preferredfencesolutions/</t>
  </si>
  <si>
    <t xml:space="preserve">Add address and website in the bio</t>
  </si>
  <si>
    <t xml:space="preserve">Yelp</t>
  </si>
  <si>
    <t xml:space="preserve">https://biz.yelp.com</t>
  </si>
  <si>
    <t xml:space="preserve">Found, needs fix (3.9, 7 reviews)</t>
  </si>
  <si>
    <t xml:space="preserve">Website links to 'premier-fence-solutions-oklahoma-city-5'</t>
  </si>
  <si>
    <t xml:space="preserve">Correct the business name on Yelp or fix the website link</t>
  </si>
  <si>
    <t xml:space="preserve">Better Business Bureau</t>
  </si>
  <si>
    <t xml:space="preserve">https://www.bbb.org/us/ok/oklahoma-city/profile/fence-contractors/preferred-fence-solutions-inc-0995-90054341</t>
  </si>
  <si>
    <t xml:space="preserve">Check NAP, hours and services</t>
  </si>
  <si>
    <t xml:space="preserve">Thumbtack</t>
  </si>
  <si>
    <t xml:space="preserve">Home services</t>
  </si>
  <si>
    <t xml:space="preserve">https://www.thumbtack.com/ok/oklahoma-city/fences/preferred-fence-solutions-inc/service/290383331289604102</t>
  </si>
  <si>
    <t xml:space="preserve">Check NAP and add recent photos</t>
  </si>
  <si>
    <t xml:space="preserve">HomeAdvisor / Angi</t>
  </si>
  <si>
    <t xml:space="preserve">https://pro.homeadvisor.com</t>
  </si>
  <si>
    <t xml:space="preserve">Website link points to the HomeAdvisor homepage</t>
  </si>
  <si>
    <t xml:space="preserve">Find the actual profile and fix the website link</t>
  </si>
  <si>
    <t xml:space="preserve">HomeGuide</t>
  </si>
  <si>
    <t xml:space="preserve">https://homeguide.com/ok/edmond/fence-installation/preferred-fence-solutions--inc--Bg7QaScYM</t>
  </si>
  <si>
    <t xml:space="preserve">Says 'Founded 2017'; city shown as Edmond</t>
  </si>
  <si>
    <t xml:space="preserve">Claim; correct the founded year and city if wrong</t>
  </si>
  <si>
    <t xml:space="preserve">BuildZoom</t>
  </si>
  <si>
    <t xml:space="preserve">Found, needs fix</t>
  </si>
  <si>
    <t xml:space="preserve">Shows 'No active license on file'</t>
  </si>
  <si>
    <t xml:space="preserve">Submit the current license to update the record</t>
  </si>
  <si>
    <t xml:space="preserve">Porch</t>
  </si>
  <si>
    <t xml:space="preserve">https://pro.porch.com/oklahoma-city-ok/fencing-contractors/cp</t>
  </si>
  <si>
    <t xml:space="preserve">Has one negative review</t>
  </si>
  <si>
    <t xml:space="preserve">Claim the listing and reply to the review professionally</t>
  </si>
  <si>
    <t xml:space="preserve">Expertise.com</t>
  </si>
  <si>
    <t xml:space="preserve">Directory</t>
  </si>
  <si>
    <t xml:space="preserve">https://www.expertise.com/ok/oklahoma-city/fence-companies</t>
  </si>
  <si>
    <t xml:space="preserve">Check NAP</t>
  </si>
  <si>
    <t xml:space="preserve">ThreeBestRated</t>
  </si>
  <si>
    <t xml:space="preserve">https://threebestrated.com/fencing-contractors-in-oklahoma-city-ok</t>
  </si>
  <si>
    <t xml:space="preserve">Says 'since 2004'</t>
  </si>
  <si>
    <t xml:space="preserve">Confirm the founded year</t>
  </si>
  <si>
    <t xml:space="preserve">The Blue Book</t>
  </si>
  <si>
    <t xml:space="preserve">Industry</t>
  </si>
  <si>
    <t xml:space="preserve">https://www.thebluebook.com/iProView/1566095</t>
  </si>
  <si>
    <t xml:space="preserve">Check NAP for commercial leads</t>
  </si>
  <si>
    <t xml:space="preserve">Nextdoor Business</t>
  </si>
  <si>
    <t xml:space="preserve">https://business.nextdoor.com</t>
  </si>
  <si>
    <t xml:space="preserve">Strong for homeowner referrals</t>
  </si>
  <si>
    <t xml:space="preserve">Claim business page</t>
  </si>
  <si>
    <t xml:space="preserve">Houzz</t>
  </si>
  <si>
    <t xml:space="preserve">https://www.houzz.com/pro</t>
  </si>
  <si>
    <t xml:space="preserve">Create profile with gallery photos</t>
  </si>
  <si>
    <t xml:space="preserve">Yellow Pages</t>
  </si>
  <si>
    <t xml:space="preserve">https://adsolutions.yp.com/free-listing</t>
  </si>
  <si>
    <t xml:space="preserve">Claim free listing</t>
  </si>
  <si>
    <t xml:space="preserve">MapQuest</t>
  </si>
  <si>
    <t xml:space="preserve">Maps</t>
  </si>
  <si>
    <t xml:space="preserve">https://www.mapquest.com</t>
  </si>
  <si>
    <t xml:space="preserve">Foursquare</t>
  </si>
  <si>
    <t xml:space="preserve">Data aggregator</t>
  </si>
  <si>
    <t xml:space="preserve">https://foursquare.com/venue/claim</t>
  </si>
  <si>
    <t xml:space="preserve">Feeds many apps and maps</t>
  </si>
  <si>
    <t xml:space="preserve">Claim and correct NAP</t>
  </si>
  <si>
    <t xml:space="preserve">Data Axle (Infogroup)</t>
  </si>
  <si>
    <t xml:space="preserve">https://www.data-axle.com/our-data/business-data/business-listing/</t>
  </si>
  <si>
    <t xml:space="preserve">Submit NAP</t>
  </si>
  <si>
    <t xml:space="preserve">Neustar Localeze</t>
  </si>
  <si>
    <t xml:space="preserve">https://www.neustarlocaleze.biz</t>
  </si>
  <si>
    <t xml:space="preserve">Manta</t>
  </si>
  <si>
    <t xml:space="preserve">https://www.manta.com</t>
  </si>
  <si>
    <t xml:space="preserve">Hotfrog</t>
  </si>
  <si>
    <t xml:space="preserve">https://www.hotfrog.com</t>
  </si>
  <si>
    <t xml:space="preserve">Create free listing</t>
  </si>
  <si>
    <t xml:space="preserve">Brownbook</t>
  </si>
  <si>
    <t xml:space="preserve">https://www.brownbook.net</t>
  </si>
  <si>
    <t xml:space="preserve">EZlocal</t>
  </si>
  <si>
    <t xml:space="preserve">https://www.ezlocal.com</t>
  </si>
  <si>
    <t xml:space="preserve">American Fence Association (member directory)</t>
  </si>
  <si>
    <t xml:space="preserve">https://www.americanfenceassociation.com</t>
  </si>
  <si>
    <t xml:space="preserve">Industry relevance</t>
  </si>
  <si>
    <t xml:space="preserve">Check membership and directory listing</t>
  </si>
  <si>
    <t xml:space="preserve">Ameristar dealer locator</t>
  </si>
  <si>
    <t xml:space="preserve">Industry / Brand</t>
  </si>
  <si>
    <t xml:space="preserve">https://www.ameristarfence.com</t>
  </si>
  <si>
    <t xml:space="preserve">Supports Ameristar installs</t>
  </si>
  <si>
    <t xml:space="preserve">Confirm the dealer listing and NAP</t>
  </si>
  <si>
    <t xml:space="preserve">SimTek dealer locator</t>
  </si>
  <si>
    <t xml:space="preserve">https://www.simtekfence.com</t>
  </si>
  <si>
    <t xml:space="preserve">Supports SimTek installs</t>
  </si>
  <si>
    <t xml:space="preserve">Edmond Area Chamber of Commerce</t>
  </si>
  <si>
    <t xml:space="preserve">https://www.edmondchamber.com</t>
  </si>
  <si>
    <t xml:space="preserve">Strong local relevance</t>
  </si>
  <si>
    <t xml:space="preserve">Check membership; ask for directory listing</t>
  </si>
  <si>
    <t xml:space="preserve">Summary</t>
  </si>
  <si>
    <t xml:space="preserve">Citations listed</t>
  </si>
  <si>
    <t xml:space="preserve">High priority</t>
  </si>
  <si>
    <t xml:space="preserve">Live</t>
  </si>
  <si>
    <t xml:space="preserve">Needs fix</t>
  </si>
  <si>
    <t xml:space="preserve">QA cross-check (automatic)</t>
  </si>
  <si>
    <t xml:space="preserve">Formulas re-check every post when copy or links change. Every row should read Pass before scheduling.</t>
  </si>
  <si>
    <t xml:space="preserve">Max 1,500 chars</t>
  </si>
  <si>
    <t xml:space="preserve">No phone number in text</t>
  </si>
  <si>
    <t xml:space="preserve">No email in text</t>
  </si>
  <si>
    <t xml:space="preserve">No link in text</t>
  </si>
  <si>
    <t xml:space="preserve">CTA button set</t>
  </si>
  <si>
    <t xml:space="preserve">UTM on CTA link</t>
  </si>
  <si>
    <t xml:space="preserve">Link on business website</t>
  </si>
  <si>
    <t xml:space="preserve">Offer title max 58 chars</t>
  </si>
  <si>
    <t xml:space="preserve">Category set</t>
  </si>
  <si>
    <t xml:space="preserve">Overall</t>
  </si>
  <si>
    <t xml:space="preserve">Posts passing</t>
  </si>
  <si>
    <t xml:space="preserve">The phone check looks for the business phone digits and area code. The link check flags any URL written into the post text: links belong only in the CTA button.</t>
  </si>
</sst>
</file>

<file path=xl/styles.xml><?xml version="1.0" encoding="utf-8"?>
<styleSheet xmlns="http://schemas.openxmlformats.org/spreadsheetml/2006/main">
  <numFmts count="4">
    <numFmt numFmtId="164" formatCode="General"/>
    <numFmt numFmtId="165" formatCode="General"/>
    <numFmt numFmtId="166" formatCode="0%"/>
    <numFmt numFmtId="167" formatCode="mmm\ d&quot;, &quot;yyyy"/>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F2F2F2"/>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left" vertical="top" textRotation="0" wrapText="fals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F2F2F2"/>
          <bgColor rgb="FF000000"/>
        </patternFill>
      </fill>
    </dxf>
    <dxf>
      <fill>
        <patternFill patternType="solid">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5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row>
    <row r="6" customFormat="false" ht="15" hidden="false" customHeight="false" outlineLevel="0" collapsed="false">
      <c r="A6" s="5" t="s">
        <v>6</v>
      </c>
      <c r="B6" s="5" t="s">
        <v>7</v>
      </c>
      <c r="C6" s="5" t="s">
        <v>8</v>
      </c>
    </row>
    <row r="7" customFormat="false" ht="15" hidden="false" customHeight="false" outlineLevel="0" collapsed="false">
      <c r="A7" s="5" t="s">
        <v>9</v>
      </c>
      <c r="B7" s="5" t="s">
        <v>10</v>
      </c>
      <c r="C7" s="5" t="s">
        <v>11</v>
      </c>
    </row>
    <row r="8" customFormat="false" ht="15" hidden="false" customHeight="false" outlineLevel="0" collapsed="false">
      <c r="A8" s="5" t="s">
        <v>12</v>
      </c>
      <c r="B8" s="5" t="s">
        <v>13</v>
      </c>
      <c r="C8" s="5" t="s">
        <v>14</v>
      </c>
    </row>
    <row r="9" customFormat="false" ht="15" hidden="false" customHeight="false" outlineLevel="0" collapsed="false">
      <c r="A9" s="5" t="s">
        <v>15</v>
      </c>
      <c r="B9" s="5" t="s">
        <v>16</v>
      </c>
      <c r="C9" s="5" t="s">
        <v>14</v>
      </c>
    </row>
    <row r="10" customFormat="false" ht="23.85" hidden="false" customHeight="false" outlineLevel="0" collapsed="false">
      <c r="A10" s="5" t="s">
        <v>17</v>
      </c>
      <c r="B10" s="5" t="s">
        <v>18</v>
      </c>
      <c r="C10" s="5" t="s">
        <v>19</v>
      </c>
    </row>
    <row r="11" customFormat="false" ht="46.25" hidden="false" customHeight="false" outlineLevel="0" collapsed="false">
      <c r="A11" s="5" t="s">
        <v>20</v>
      </c>
      <c r="B11" s="5" t="s">
        <v>21</v>
      </c>
      <c r="C11" s="5" t="s">
        <v>22</v>
      </c>
    </row>
    <row r="12" customFormat="false" ht="23.85" hidden="false" customHeight="false" outlineLevel="0" collapsed="false">
      <c r="A12" s="5" t="s">
        <v>23</v>
      </c>
      <c r="B12" s="5" t="s">
        <v>24</v>
      </c>
      <c r="C12" s="5" t="s">
        <v>25</v>
      </c>
    </row>
    <row r="13" customFormat="false" ht="35.05" hidden="false" customHeight="false" outlineLevel="0" collapsed="false">
      <c r="A13" s="5" t="s">
        <v>26</v>
      </c>
      <c r="B13" s="5" t="s">
        <v>27</v>
      </c>
      <c r="C13" s="5" t="s">
        <v>28</v>
      </c>
    </row>
    <row r="14" customFormat="false" ht="23.85" hidden="false" customHeight="false" outlineLevel="0" collapsed="false">
      <c r="A14" s="5" t="s">
        <v>29</v>
      </c>
      <c r="B14" s="5" t="s">
        <v>30</v>
      </c>
      <c r="C14" s="5" t="s">
        <v>31</v>
      </c>
    </row>
    <row r="15" customFormat="false" ht="23.85" hidden="false" customHeight="false" outlineLevel="0" collapsed="false">
      <c r="A15" s="5" t="s">
        <v>32</v>
      </c>
      <c r="B15" s="5" t="s">
        <v>33</v>
      </c>
      <c r="C15" s="5" t="s">
        <v>34</v>
      </c>
    </row>
    <row r="16" customFormat="false" ht="23.85" hidden="false" customHeight="false" outlineLevel="0" collapsed="false">
      <c r="A16" s="5" t="s">
        <v>35</v>
      </c>
      <c r="B16" s="5" t="s">
        <v>36</v>
      </c>
      <c r="C16" s="5" t="s">
        <v>37</v>
      </c>
    </row>
    <row r="18" customFormat="false" ht="15" hidden="false" customHeight="false" outlineLevel="0" collapsed="false">
      <c r="A18" s="3" t="s">
        <v>38</v>
      </c>
    </row>
    <row r="19" customFormat="false" ht="15" hidden="false" customHeight="false" outlineLevel="0" collapsed="false">
      <c r="A19" s="4" t="s">
        <v>39</v>
      </c>
      <c r="B19" s="4" t="s">
        <v>4</v>
      </c>
      <c r="C19" s="4" t="s">
        <v>40</v>
      </c>
    </row>
    <row r="20" customFormat="false" ht="15" hidden="false" customHeight="false" outlineLevel="0" collapsed="false">
      <c r="A20" s="5" t="s">
        <v>41</v>
      </c>
      <c r="B20" s="5" t="s">
        <v>42</v>
      </c>
      <c r="C20" s="5" t="s">
        <v>43</v>
      </c>
    </row>
    <row r="21" customFormat="false" ht="15" hidden="false" customHeight="false" outlineLevel="0" collapsed="false">
      <c r="A21" s="5" t="s">
        <v>44</v>
      </c>
      <c r="B21" s="5" t="s">
        <v>45</v>
      </c>
      <c r="C21" s="5" t="s">
        <v>46</v>
      </c>
    </row>
    <row r="22" customFormat="false" ht="15" hidden="false" customHeight="false" outlineLevel="0" collapsed="false">
      <c r="A22" s="5" t="s">
        <v>47</v>
      </c>
      <c r="B22" s="5" t="s">
        <v>48</v>
      </c>
      <c r="C22" s="5" t="s">
        <v>49</v>
      </c>
    </row>
    <row r="23" customFormat="false" ht="15" hidden="false" customHeight="false" outlineLevel="0" collapsed="false">
      <c r="A23" s="5" t="s">
        <v>50</v>
      </c>
      <c r="B23" s="5" t="s">
        <v>51</v>
      </c>
      <c r="C23" s="5" t="s">
        <v>52</v>
      </c>
    </row>
    <row r="25" customFormat="false" ht="15" hidden="false" customHeight="false" outlineLevel="0" collapsed="false">
      <c r="A25" s="3" t="s">
        <v>53</v>
      </c>
    </row>
    <row r="26" customFormat="false" ht="15" hidden="false" customHeight="false" outlineLevel="0" collapsed="false">
      <c r="A26" s="4" t="s">
        <v>54</v>
      </c>
      <c r="B26" s="4" t="s">
        <v>55</v>
      </c>
      <c r="C26" s="4" t="s">
        <v>56</v>
      </c>
    </row>
    <row r="27" customFormat="false" ht="15" hidden="false" customHeight="false" outlineLevel="0" collapsed="false">
      <c r="A27" s="5" t="s">
        <v>57</v>
      </c>
      <c r="B27" s="6" t="n">
        <f aca="false">COUNTIF('Content Calendar'!$E$5:$E$26,"Service")</f>
        <v>8</v>
      </c>
      <c r="C27" s="7" t="n">
        <f aca="false">IFERROR(B27/B31,0)</f>
        <v>0.363636363636364</v>
      </c>
    </row>
    <row r="28" customFormat="false" ht="15" hidden="false" customHeight="false" outlineLevel="0" collapsed="false">
      <c r="A28" s="5" t="s">
        <v>58</v>
      </c>
      <c r="B28" s="6" t="n">
        <f aca="false">COUNTIF('Content Calendar'!$E$5:$E$26,"FAQ")</f>
        <v>5</v>
      </c>
      <c r="C28" s="7" t="n">
        <f aca="false">IFERROR(B28/B31,0)</f>
        <v>0.227272727272727</v>
      </c>
    </row>
    <row r="29" customFormat="false" ht="15" hidden="false" customHeight="false" outlineLevel="0" collapsed="false">
      <c r="A29" s="5" t="s">
        <v>59</v>
      </c>
      <c r="B29" s="6" t="n">
        <f aca="false">COUNTIF('Content Calendar'!$E$5:$E$26,"Local")</f>
        <v>5</v>
      </c>
      <c r="C29" s="7" t="n">
        <f aca="false">IFERROR(B29/B31,0)</f>
        <v>0.227272727272727</v>
      </c>
    </row>
    <row r="30" customFormat="false" ht="15" hidden="false" customHeight="false" outlineLevel="0" collapsed="false">
      <c r="A30" s="5" t="s">
        <v>60</v>
      </c>
      <c r="B30" s="6" t="n">
        <f aca="false">COUNTIF('Content Calendar'!$E$5:$E$26,"Promotional")</f>
        <v>4</v>
      </c>
      <c r="C30" s="7" t="n">
        <f aca="false">IFERROR(B30/B31,0)</f>
        <v>0.181818181818182</v>
      </c>
    </row>
    <row r="31" customFormat="false" ht="15" hidden="false" customHeight="false" outlineLevel="0" collapsed="false">
      <c r="A31" s="8" t="s">
        <v>61</v>
      </c>
      <c r="B31" s="6" t="n">
        <f aca="false">SUM(B27:B30)</f>
        <v>22</v>
      </c>
      <c r="C31" s="7" t="n">
        <f aca="false">SUM(C27:C30)</f>
        <v>1</v>
      </c>
    </row>
    <row r="33" customFormat="false" ht="15" hidden="false" customHeight="false" outlineLevel="0" collapsed="false">
      <c r="A33" s="3" t="s">
        <v>62</v>
      </c>
    </row>
    <row r="34" customFormat="false" ht="15" hidden="false" customHeight="false" outlineLevel="0" collapsed="false">
      <c r="A34" s="4" t="s">
        <v>63</v>
      </c>
      <c r="B34" s="4" t="s">
        <v>64</v>
      </c>
    </row>
    <row r="35" customFormat="false" ht="15" hidden="false" customHeight="false" outlineLevel="0" collapsed="false">
      <c r="A35" s="5" t="s">
        <v>65</v>
      </c>
      <c r="B35" s="5" t="s">
        <v>66</v>
      </c>
    </row>
    <row r="36" customFormat="false" ht="23.85" hidden="false" customHeight="false" outlineLevel="0" collapsed="false">
      <c r="A36" s="5" t="s">
        <v>67</v>
      </c>
      <c r="B36" s="5" t="s">
        <v>68</v>
      </c>
    </row>
    <row r="37" customFormat="false" ht="15" hidden="false" customHeight="false" outlineLevel="0" collapsed="false">
      <c r="A37" s="5" t="s">
        <v>69</v>
      </c>
      <c r="B37" s="5" t="s">
        <v>70</v>
      </c>
    </row>
    <row r="38" customFormat="false" ht="23.85" hidden="false" customHeight="false" outlineLevel="0" collapsed="false">
      <c r="A38" s="5" t="s">
        <v>71</v>
      </c>
      <c r="B38" s="5" t="s">
        <v>72</v>
      </c>
    </row>
    <row r="39" customFormat="false" ht="15" hidden="false" customHeight="false" outlineLevel="0" collapsed="false">
      <c r="A39" s="5" t="s">
        <v>73</v>
      </c>
      <c r="B39" s="5" t="s">
        <v>74</v>
      </c>
    </row>
    <row r="40" customFormat="false" ht="15" hidden="false" customHeight="false" outlineLevel="0" collapsed="false">
      <c r="A40" s="5" t="s">
        <v>75</v>
      </c>
      <c r="B40" s="5" t="s">
        <v>76</v>
      </c>
    </row>
    <row r="41" customFormat="false" ht="23.85" hidden="false" customHeight="false" outlineLevel="0" collapsed="false">
      <c r="A41" s="5" t="s">
        <v>77</v>
      </c>
      <c r="B41" s="5" t="s">
        <v>78</v>
      </c>
    </row>
    <row r="42" customFormat="false" ht="23.85" hidden="false" customHeight="false" outlineLevel="0" collapsed="false">
      <c r="A42" s="5" t="s">
        <v>79</v>
      </c>
      <c r="B42" s="5" t="s">
        <v>80</v>
      </c>
    </row>
    <row r="43" customFormat="false" ht="15" hidden="false" customHeight="false" outlineLevel="0" collapsed="false">
      <c r="A43" s="5" t="s">
        <v>81</v>
      </c>
      <c r="B43" s="5" t="s">
        <v>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55"/>
    <col collapsed="false" customWidth="true" hidden="false" outlineLevel="0" max="4" min="4" style="0" width="45"/>
    <col collapsed="false" customWidth="true" hidden="false" outlineLevel="0" max="5" min="5" style="0" width="50"/>
    <col collapsed="false" customWidth="true" hidden="false" outlineLevel="0" max="6" min="6" style="0" width="10"/>
  </cols>
  <sheetData>
    <row r="1" customFormat="false" ht="17.35" hidden="false" customHeight="false" outlineLevel="0" collapsed="false">
      <c r="A1" s="1" t="s">
        <v>83</v>
      </c>
    </row>
    <row r="2" customFormat="false" ht="15" hidden="false" customHeight="false" outlineLevel="0" collapsed="false">
      <c r="A2" s="2" t="s">
        <v>84</v>
      </c>
    </row>
    <row r="4" customFormat="false" ht="15" hidden="false" customHeight="false" outlineLevel="0" collapsed="false">
      <c r="A4" s="4" t="s">
        <v>85</v>
      </c>
      <c r="B4" s="4" t="s">
        <v>86</v>
      </c>
      <c r="C4" s="4" t="s">
        <v>87</v>
      </c>
      <c r="D4" s="4" t="s">
        <v>88</v>
      </c>
      <c r="E4" s="4" t="s">
        <v>89</v>
      </c>
      <c r="F4" s="4" t="s">
        <v>90</v>
      </c>
    </row>
    <row r="5" customFormat="false" ht="35.05" hidden="false" customHeight="false" outlineLevel="0" collapsed="false">
      <c r="A5" s="9" t="n">
        <v>1</v>
      </c>
      <c r="B5" s="5" t="s">
        <v>91</v>
      </c>
      <c r="C5" s="5" t="s">
        <v>92</v>
      </c>
      <c r="D5" s="5" t="s">
        <v>93</v>
      </c>
      <c r="E5" s="5" t="s">
        <v>94</v>
      </c>
      <c r="F5" s="9" t="s">
        <v>95</v>
      </c>
    </row>
    <row r="6" customFormat="false" ht="23.85" hidden="false" customHeight="false" outlineLevel="0" collapsed="false">
      <c r="A6" s="9" t="n">
        <v>2</v>
      </c>
      <c r="B6" s="5" t="s">
        <v>96</v>
      </c>
      <c r="C6" s="5" t="s">
        <v>97</v>
      </c>
      <c r="D6" s="5" t="s">
        <v>98</v>
      </c>
      <c r="E6" s="5" t="s">
        <v>99</v>
      </c>
      <c r="F6" s="9" t="s">
        <v>95</v>
      </c>
    </row>
    <row r="7" customFormat="false" ht="23.85" hidden="false" customHeight="false" outlineLevel="0" collapsed="false">
      <c r="A7" s="9" t="n">
        <v>3</v>
      </c>
      <c r="B7" s="5" t="s">
        <v>100</v>
      </c>
      <c r="C7" s="5" t="s">
        <v>101</v>
      </c>
      <c r="D7" s="5" t="s">
        <v>102</v>
      </c>
      <c r="E7" s="5" t="s">
        <v>103</v>
      </c>
      <c r="F7" s="9" t="s">
        <v>95</v>
      </c>
    </row>
    <row r="8" customFormat="false" ht="46.25" hidden="false" customHeight="false" outlineLevel="0" collapsed="false">
      <c r="A8" s="9" t="n">
        <v>4</v>
      </c>
      <c r="B8" s="5" t="s">
        <v>104</v>
      </c>
      <c r="C8" s="5" t="s">
        <v>105</v>
      </c>
      <c r="D8" s="5" t="s">
        <v>106</v>
      </c>
      <c r="E8" s="5" t="s">
        <v>107</v>
      </c>
      <c r="F8" s="9" t="s">
        <v>108</v>
      </c>
    </row>
    <row r="9" customFormat="false" ht="23.85" hidden="false" customHeight="false" outlineLevel="0" collapsed="false">
      <c r="A9" s="9" t="n">
        <v>5</v>
      </c>
      <c r="B9" s="5" t="s">
        <v>109</v>
      </c>
      <c r="C9" s="5" t="s">
        <v>110</v>
      </c>
      <c r="D9" s="5" t="s">
        <v>111</v>
      </c>
      <c r="E9" s="5" t="s">
        <v>112</v>
      </c>
      <c r="F9" s="9" t="s">
        <v>108</v>
      </c>
    </row>
    <row r="10" customFormat="false" ht="35.05" hidden="false" customHeight="false" outlineLevel="0" collapsed="false">
      <c r="A10" s="9" t="n">
        <v>6</v>
      </c>
      <c r="B10" s="5" t="s">
        <v>113</v>
      </c>
      <c r="C10" s="5" t="s">
        <v>114</v>
      </c>
      <c r="D10" s="5" t="s">
        <v>115</v>
      </c>
      <c r="E10" s="5" t="s">
        <v>116</v>
      </c>
      <c r="F10" s="9" t="s">
        <v>108</v>
      </c>
    </row>
    <row r="11" customFormat="false" ht="15" hidden="false" customHeight="false" outlineLevel="0" collapsed="false">
      <c r="A11" s="9" t="n">
        <v>7</v>
      </c>
      <c r="B11" s="5" t="s">
        <v>117</v>
      </c>
      <c r="C11" s="5" t="s">
        <v>118</v>
      </c>
      <c r="D11" s="5" t="s">
        <v>14</v>
      </c>
      <c r="E11" s="5" t="s">
        <v>119</v>
      </c>
      <c r="F11" s="9" t="s">
        <v>108</v>
      </c>
    </row>
    <row r="12" customFormat="false" ht="23.85" hidden="false" customHeight="false" outlineLevel="0" collapsed="false">
      <c r="A12" s="9" t="n">
        <v>8</v>
      </c>
      <c r="B12" s="5" t="s">
        <v>120</v>
      </c>
      <c r="C12" s="5" t="s">
        <v>121</v>
      </c>
      <c r="D12" s="5" t="s">
        <v>122</v>
      </c>
      <c r="E12" s="5" t="s">
        <v>123</v>
      </c>
      <c r="F12" s="9" t="s">
        <v>124</v>
      </c>
    </row>
    <row r="13" customFormat="false" ht="23.85" hidden="false" customHeight="false" outlineLevel="0" collapsed="false">
      <c r="A13" s="9" t="n">
        <v>9</v>
      </c>
      <c r="B13" s="5" t="s">
        <v>125</v>
      </c>
      <c r="C13" s="5" t="s">
        <v>126</v>
      </c>
      <c r="D13" s="5" t="s">
        <v>127</v>
      </c>
      <c r="E13" s="5" t="s">
        <v>128</v>
      </c>
      <c r="F13" s="9" t="s">
        <v>124</v>
      </c>
    </row>
    <row r="14" customFormat="false" ht="23.85" hidden="false" customHeight="false" outlineLevel="0" collapsed="false">
      <c r="A14" s="9" t="n">
        <v>10</v>
      </c>
      <c r="B14" s="5" t="s">
        <v>129</v>
      </c>
      <c r="C14" s="5" t="s">
        <v>130</v>
      </c>
      <c r="D14" s="5" t="s">
        <v>131</v>
      </c>
      <c r="E14" s="5" t="s">
        <v>132</v>
      </c>
      <c r="F14" s="9" t="s">
        <v>124</v>
      </c>
    </row>
    <row r="15" customFormat="false" ht="23.85" hidden="false" customHeight="false" outlineLevel="0" collapsed="false">
      <c r="A15" s="9" t="n">
        <v>11</v>
      </c>
      <c r="B15" s="5" t="s">
        <v>133</v>
      </c>
      <c r="C15" s="5" t="s">
        <v>134</v>
      </c>
      <c r="D15" s="5" t="s">
        <v>135</v>
      </c>
      <c r="E15" s="5" t="s">
        <v>136</v>
      </c>
      <c r="F15" s="9" t="s">
        <v>124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5"/>
    <col collapsed="false" customWidth="true" hidden="false" outlineLevel="0" max="3" min="3" style="0" width="60"/>
    <col collapsed="false" customWidth="true" hidden="false" outlineLevel="0" max="4" min="4" style="0" width="55"/>
  </cols>
  <sheetData>
    <row r="1" customFormat="false" ht="17.35" hidden="false" customHeight="false" outlineLevel="0" collapsed="false">
      <c r="A1" s="1" t="s">
        <v>137</v>
      </c>
    </row>
    <row r="2" customFormat="false" ht="15" hidden="false" customHeight="false" outlineLevel="0" collapsed="false">
      <c r="A2" s="2" t="s">
        <v>138</v>
      </c>
    </row>
    <row r="4" customFormat="false" ht="15" hidden="false" customHeight="false" outlineLevel="0" collapsed="false">
      <c r="A4" s="4" t="s">
        <v>85</v>
      </c>
      <c r="B4" s="4" t="s">
        <v>139</v>
      </c>
      <c r="C4" s="4" t="s">
        <v>140</v>
      </c>
      <c r="D4" s="4" t="s">
        <v>141</v>
      </c>
    </row>
    <row r="5" customFormat="false" ht="23.85" hidden="false" customHeight="false" outlineLevel="0" collapsed="false">
      <c r="A5" s="9" t="n">
        <v>1</v>
      </c>
      <c r="B5" s="5" t="s">
        <v>142</v>
      </c>
      <c r="C5" s="5" t="s">
        <v>143</v>
      </c>
      <c r="D5" s="5" t="s">
        <v>144</v>
      </c>
    </row>
    <row r="6" customFormat="false" ht="35.05" hidden="false" customHeight="false" outlineLevel="0" collapsed="false">
      <c r="A6" s="9" t="n">
        <v>2</v>
      </c>
      <c r="B6" s="5" t="s">
        <v>145</v>
      </c>
      <c r="C6" s="5" t="s">
        <v>146</v>
      </c>
      <c r="D6" s="5" t="s">
        <v>144</v>
      </c>
    </row>
    <row r="7" customFormat="false" ht="35.05" hidden="false" customHeight="false" outlineLevel="0" collapsed="false">
      <c r="A7" s="9" t="n">
        <v>3</v>
      </c>
      <c r="B7" s="5" t="s">
        <v>147</v>
      </c>
      <c r="C7" s="5" t="s">
        <v>148</v>
      </c>
      <c r="D7" s="5" t="s">
        <v>149</v>
      </c>
    </row>
    <row r="8" customFormat="false" ht="35.05" hidden="false" customHeight="false" outlineLevel="0" collapsed="false">
      <c r="A8" s="9" t="n">
        <v>4</v>
      </c>
      <c r="B8" s="5" t="s">
        <v>150</v>
      </c>
      <c r="C8" s="5" t="s">
        <v>151</v>
      </c>
      <c r="D8" s="5" t="s">
        <v>152</v>
      </c>
    </row>
    <row r="9" customFormat="false" ht="23.85" hidden="false" customHeight="false" outlineLevel="0" collapsed="false">
      <c r="A9" s="9" t="n">
        <v>5</v>
      </c>
      <c r="B9" s="5" t="s">
        <v>153</v>
      </c>
      <c r="C9" s="5" t="s">
        <v>154</v>
      </c>
      <c r="D9" s="5" t="s">
        <v>152</v>
      </c>
    </row>
    <row r="10" customFormat="false" ht="15" hidden="false" customHeight="false" outlineLevel="0" collapsed="false">
      <c r="A10" s="9" t="n">
        <v>6</v>
      </c>
      <c r="B10" s="5" t="s">
        <v>155</v>
      </c>
      <c r="C10" s="5" t="s">
        <v>156</v>
      </c>
      <c r="D10" s="5" t="s">
        <v>157</v>
      </c>
    </row>
    <row r="11" customFormat="false" ht="23.85" hidden="false" customHeight="false" outlineLevel="0" collapsed="false">
      <c r="A11" s="9" t="n">
        <v>7</v>
      </c>
      <c r="B11" s="5" t="s">
        <v>158</v>
      </c>
      <c r="C11" s="5" t="s">
        <v>159</v>
      </c>
      <c r="D11" s="5" t="s">
        <v>152</v>
      </c>
    </row>
    <row r="12" customFormat="false" ht="35.05" hidden="false" customHeight="false" outlineLevel="0" collapsed="false">
      <c r="A12" s="9" t="n">
        <v>8</v>
      </c>
      <c r="B12" s="5" t="s">
        <v>160</v>
      </c>
      <c r="C12" s="5" t="s">
        <v>161</v>
      </c>
      <c r="D12" s="5" t="s">
        <v>162</v>
      </c>
    </row>
    <row r="13" customFormat="false" ht="23.85" hidden="false" customHeight="false" outlineLevel="0" collapsed="false">
      <c r="A13" s="9" t="n">
        <v>9</v>
      </c>
      <c r="B13" s="5" t="s">
        <v>163</v>
      </c>
      <c r="C13" s="5" t="s">
        <v>164</v>
      </c>
      <c r="D13" s="5" t="s">
        <v>162</v>
      </c>
    </row>
    <row r="14" customFormat="false" ht="23.85" hidden="false" customHeight="false" outlineLevel="0" collapsed="false">
      <c r="A14" s="9" t="n">
        <v>10</v>
      </c>
      <c r="B14" s="5" t="s">
        <v>165</v>
      </c>
      <c r="C14" s="5" t="s">
        <v>166</v>
      </c>
      <c r="D14" s="5" t="s">
        <v>162</v>
      </c>
    </row>
    <row r="15" customFormat="false" ht="23.85" hidden="false" customHeight="false" outlineLevel="0" collapsed="false">
      <c r="A15" s="9" t="n">
        <v>11</v>
      </c>
      <c r="B15" s="5" t="s">
        <v>167</v>
      </c>
      <c r="C15" s="5" t="s">
        <v>168</v>
      </c>
      <c r="D15" s="5" t="s">
        <v>144</v>
      </c>
    </row>
    <row r="16" customFormat="false" ht="23.85" hidden="false" customHeight="false" outlineLevel="0" collapsed="false">
      <c r="A16" s="9" t="n">
        <v>12</v>
      </c>
      <c r="B16" s="5" t="s">
        <v>169</v>
      </c>
      <c r="C16" s="5" t="s">
        <v>170</v>
      </c>
      <c r="D16" s="5" t="s">
        <v>144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2"/>
    <col collapsed="false" customWidth="true" hidden="false" outlineLevel="0" max="4" min="4" style="0" width="8"/>
    <col collapsed="false" customWidth="true" hidden="false" outlineLevel="0" max="5" min="5" style="0" width="12"/>
    <col collapsed="false" customWidth="true" hidden="false" outlineLevel="0" max="6" min="6" style="0" width="11"/>
    <col collapsed="false" customWidth="true" hidden="false" outlineLevel="0" max="9" min="7" style="0" width="26"/>
    <col collapsed="false" customWidth="true" hidden="false" outlineLevel="0" max="10" min="10" style="0" width="70"/>
    <col collapsed="false" customWidth="true" hidden="false" outlineLevel="0" max="11" min="11" style="0" width="10"/>
    <col collapsed="false" customWidth="true" hidden="false" outlineLevel="0" max="12" min="12" style="0" width="11"/>
    <col collapsed="false" customWidth="true" hidden="false" outlineLevel="0" max="13" min="13" style="0" width="42"/>
    <col collapsed="false" customWidth="true" hidden="false" outlineLevel="0" max="14" min="14" style="0" width="24"/>
    <col collapsed="false" customWidth="true" hidden="false" outlineLevel="0" max="15" min="15" style="0" width="60"/>
    <col collapsed="false" customWidth="true" hidden="false" outlineLevel="0" max="17" min="16" style="0" width="34"/>
    <col collapsed="false" customWidth="true" hidden="false" outlineLevel="0" max="18" min="18" style="0" width="13"/>
    <col collapsed="false" customWidth="true" hidden="false" outlineLevel="0" max="19" min="19" style="0" width="34"/>
  </cols>
  <sheetData>
    <row r="1" customFormat="false" ht="17.35" hidden="false" customHeight="false" outlineLevel="0" collapsed="false">
      <c r="A1" s="1" t="s">
        <v>171</v>
      </c>
    </row>
    <row r="2" customFormat="false" ht="15" hidden="false" customHeight="false" outlineLevel="0" collapsed="false">
      <c r="A2" s="2" t="s">
        <v>172</v>
      </c>
    </row>
    <row r="4" customFormat="false" ht="35.05" hidden="false" customHeight="false" outlineLevel="0" collapsed="false">
      <c r="A4" s="4" t="s">
        <v>173</v>
      </c>
      <c r="B4" s="4" t="s">
        <v>174</v>
      </c>
      <c r="C4" s="4" t="s">
        <v>175</v>
      </c>
      <c r="D4" s="4" t="s">
        <v>176</v>
      </c>
      <c r="E4" s="4" t="s">
        <v>54</v>
      </c>
      <c r="F4" s="4" t="s">
        <v>177</v>
      </c>
      <c r="G4" s="4" t="s">
        <v>178</v>
      </c>
      <c r="H4" s="4" t="s">
        <v>179</v>
      </c>
      <c r="I4" s="4" t="s">
        <v>180</v>
      </c>
      <c r="J4" s="4" t="s">
        <v>181</v>
      </c>
      <c r="K4" s="4" t="s">
        <v>182</v>
      </c>
      <c r="L4" s="4" t="s">
        <v>183</v>
      </c>
      <c r="M4" s="4" t="s">
        <v>184</v>
      </c>
      <c r="N4" s="4" t="s">
        <v>185</v>
      </c>
      <c r="O4" s="4" t="s">
        <v>186</v>
      </c>
      <c r="P4" s="4" t="s">
        <v>187</v>
      </c>
      <c r="Q4" s="4" t="s">
        <v>188</v>
      </c>
      <c r="R4" s="4" t="s">
        <v>189</v>
      </c>
      <c r="S4" s="4" t="s">
        <v>190</v>
      </c>
    </row>
    <row r="5" customFormat="false" ht="150" hidden="false" customHeight="true" outlineLevel="0" collapsed="false">
      <c r="A5" s="9" t="s">
        <v>191</v>
      </c>
      <c r="B5" s="9" t="n">
        <v>1</v>
      </c>
      <c r="C5" s="10" t="n">
        <v>46329</v>
      </c>
      <c r="D5" s="9" t="str">
        <f aca="false">TEXT(C5,"ddd")</f>
        <v>Tue</v>
      </c>
      <c r="E5" s="5" t="s">
        <v>57</v>
      </c>
      <c r="F5" s="5" t="s">
        <v>192</v>
      </c>
      <c r="G5" s="5" t="s">
        <v>193</v>
      </c>
      <c r="H5" s="5" t="s">
        <v>194</v>
      </c>
      <c r="I5" s="5"/>
      <c r="J5" s="5" t="s">
        <v>195</v>
      </c>
      <c r="K5" s="9" t="n">
        <f aca="false">LEN(J5)</f>
        <v>503</v>
      </c>
      <c r="L5" s="5" t="s">
        <v>196</v>
      </c>
      <c r="M5" s="5" t="s">
        <v>197</v>
      </c>
      <c r="N5" s="5" t="s">
        <v>198</v>
      </c>
      <c r="O5" s="5" t="str">
        <f aca="false">M5&amp;"?utm_source="&amp;Overview!$B$20&amp;"&amp;utm_medium="&amp;Overview!$B$21&amp;"&amp;utm_campaign="&amp;Overview!$B$22&amp;"&amp;utm_content="&amp;N5</f>
        <v>https://preferredfencesolutions.com/fence-repair-okc/?utm_source=google&amp;utm_medium=organic&amp;utm_campaign=gbp-posts-nov26-jan27&amp;utm_content=pf01-fence-repair</v>
      </c>
      <c r="P5" s="5"/>
      <c r="Q5" s="5" t="s">
        <v>199</v>
      </c>
      <c r="R5" s="9" t="s">
        <v>200</v>
      </c>
      <c r="S5" s="5"/>
    </row>
    <row r="6" customFormat="false" ht="150" hidden="false" customHeight="true" outlineLevel="0" collapsed="false">
      <c r="A6" s="9" t="s">
        <v>201</v>
      </c>
      <c r="B6" s="9" t="n">
        <v>1</v>
      </c>
      <c r="C6" s="10" t="n">
        <v>46331</v>
      </c>
      <c r="D6" s="9" t="str">
        <f aca="false">TEXT(C6,"ddd")</f>
        <v>Thu</v>
      </c>
      <c r="E6" s="5" t="s">
        <v>58</v>
      </c>
      <c r="F6" s="5" t="s">
        <v>192</v>
      </c>
      <c r="G6" s="5" t="s">
        <v>202</v>
      </c>
      <c r="H6" s="5" t="s">
        <v>203</v>
      </c>
      <c r="I6" s="5"/>
      <c r="J6" s="5" t="s">
        <v>204</v>
      </c>
      <c r="K6" s="9" t="n">
        <f aca="false">LEN(J6)</f>
        <v>462</v>
      </c>
      <c r="L6" s="5" t="s">
        <v>196</v>
      </c>
      <c r="M6" s="5" t="s">
        <v>102</v>
      </c>
      <c r="N6" s="5" t="s">
        <v>205</v>
      </c>
      <c r="O6" s="5" t="str">
        <f aca="false">M6&amp;"?utm_source="&amp;Overview!$B$20&amp;"&amp;utm_medium="&amp;Overview!$B$21&amp;"&amp;utm_campaign="&amp;Overview!$B$22&amp;"&amp;utm_content="&amp;N6</f>
        <v>https://preferredfencesolutions.com/faq/?utm_source=google&amp;utm_medium=organic&amp;utm_campaign=gbp-posts-nov26-jan27&amp;utm_content=pf02-faq-fence-height</v>
      </c>
      <c r="P6" s="5"/>
      <c r="Q6" s="5" t="s">
        <v>206</v>
      </c>
      <c r="R6" s="9" t="s">
        <v>200</v>
      </c>
      <c r="S6" s="5" t="s">
        <v>207</v>
      </c>
    </row>
    <row r="7" customFormat="false" ht="150" hidden="false" customHeight="true" outlineLevel="0" collapsed="false">
      <c r="A7" s="9" t="s">
        <v>208</v>
      </c>
      <c r="B7" s="9" t="n">
        <v>2</v>
      </c>
      <c r="C7" s="10" t="n">
        <v>46336</v>
      </c>
      <c r="D7" s="9" t="str">
        <f aca="false">TEXT(C7,"ddd")</f>
        <v>Tue</v>
      </c>
      <c r="E7" s="5" t="s">
        <v>59</v>
      </c>
      <c r="F7" s="5" t="s">
        <v>192</v>
      </c>
      <c r="G7" s="5" t="s">
        <v>209</v>
      </c>
      <c r="H7" s="5" t="s">
        <v>210</v>
      </c>
      <c r="I7" s="5"/>
      <c r="J7" s="5" t="s">
        <v>211</v>
      </c>
      <c r="K7" s="9" t="n">
        <f aca="false">LEN(J7)</f>
        <v>476</v>
      </c>
      <c r="L7" s="5" t="s">
        <v>196</v>
      </c>
      <c r="M7" s="5" t="s">
        <v>212</v>
      </c>
      <c r="N7" s="5" t="s">
        <v>213</v>
      </c>
      <c r="O7" s="5" t="str">
        <f aca="false">M7&amp;"?utm_source="&amp;Overview!$B$20&amp;"&amp;utm_medium="&amp;Overview!$B$21&amp;"&amp;utm_campaign="&amp;Overview!$B$22&amp;"&amp;utm_content="&amp;N7</f>
        <v>https://preferredfencesolutions.com/fence-installation-edmond-ok/?utm_source=google&amp;utm_medium=organic&amp;utm_campaign=gbp-posts-nov26-jan27&amp;utm_content=pf03-edmond-installation</v>
      </c>
      <c r="P7" s="5"/>
      <c r="Q7" s="5" t="s">
        <v>214</v>
      </c>
      <c r="R7" s="9" t="s">
        <v>200</v>
      </c>
      <c r="S7" s="5"/>
    </row>
    <row r="8" customFormat="false" ht="150" hidden="false" customHeight="true" outlineLevel="0" collapsed="false">
      <c r="A8" s="9" t="s">
        <v>215</v>
      </c>
      <c r="B8" s="9" t="n">
        <v>2</v>
      </c>
      <c r="C8" s="10" t="n">
        <v>46338</v>
      </c>
      <c r="D8" s="9" t="str">
        <f aca="false">TEXT(C8,"ddd")</f>
        <v>Thu</v>
      </c>
      <c r="E8" s="5" t="s">
        <v>60</v>
      </c>
      <c r="F8" s="5" t="s">
        <v>216</v>
      </c>
      <c r="G8" s="5" t="s">
        <v>217</v>
      </c>
      <c r="H8" s="5" t="s">
        <v>218</v>
      </c>
      <c r="I8" s="5" t="s">
        <v>219</v>
      </c>
      <c r="J8" s="5" t="s">
        <v>220</v>
      </c>
      <c r="K8" s="9" t="n">
        <f aca="false">LEN(J8)</f>
        <v>405</v>
      </c>
      <c r="L8" s="5" t="s">
        <v>221</v>
      </c>
      <c r="M8" s="5" t="s">
        <v>222</v>
      </c>
      <c r="N8" s="5" t="s">
        <v>223</v>
      </c>
      <c r="O8" s="5" t="str">
        <f aca="false">M8&amp;"?utm_source="&amp;Overview!$B$20&amp;"&amp;utm_medium="&amp;Overview!$B$21&amp;"&amp;utm_campaign="&amp;Overview!$B$22&amp;"&amp;utm_content="&amp;N8</f>
        <v>https://preferredfencesolutions.com/?utm_source=google&amp;utm_medium=organic&amp;utm_campaign=gbp-posts-nov26-jan27&amp;utm_content=pf04-free-estimate</v>
      </c>
      <c r="P8" s="5" t="s">
        <v>224</v>
      </c>
      <c r="Q8" s="5" t="s">
        <v>225</v>
      </c>
      <c r="R8" s="9" t="s">
        <v>200</v>
      </c>
      <c r="S8" s="5" t="s">
        <v>226</v>
      </c>
    </row>
    <row r="9" customFormat="false" ht="150" hidden="false" customHeight="true" outlineLevel="0" collapsed="false">
      <c r="A9" s="9" t="s">
        <v>227</v>
      </c>
      <c r="B9" s="9" t="n">
        <v>3</v>
      </c>
      <c r="C9" s="10" t="n">
        <v>46343</v>
      </c>
      <c r="D9" s="9" t="str">
        <f aca="false">TEXT(C9,"ddd")</f>
        <v>Tue</v>
      </c>
      <c r="E9" s="5" t="s">
        <v>57</v>
      </c>
      <c r="F9" s="5" t="s">
        <v>192</v>
      </c>
      <c r="G9" s="5" t="s">
        <v>228</v>
      </c>
      <c r="H9" s="5" t="s">
        <v>229</v>
      </c>
      <c r="I9" s="5"/>
      <c r="J9" s="5" t="s">
        <v>230</v>
      </c>
      <c r="K9" s="9" t="n">
        <f aca="false">LEN(J9)</f>
        <v>432</v>
      </c>
      <c r="L9" s="5" t="s">
        <v>196</v>
      </c>
      <c r="M9" s="5" t="s">
        <v>231</v>
      </c>
      <c r="N9" s="5" t="s">
        <v>232</v>
      </c>
      <c r="O9" s="5" t="str">
        <f aca="false">M9&amp;"?utm_source="&amp;Overview!$B$20&amp;"&amp;utm_medium="&amp;Overview!$B$21&amp;"&amp;utm_campaign="&amp;Overview!$B$22&amp;"&amp;utm_content="&amp;N9</f>
        <v>https://preferredfencesolutions.com/stockade-wood-fence/?utm_source=google&amp;utm_medium=organic&amp;utm_campaign=gbp-posts-nov26-jan27&amp;utm_content=pf05-cedar-stockade</v>
      </c>
      <c r="P9" s="5"/>
      <c r="Q9" s="5" t="s">
        <v>233</v>
      </c>
      <c r="R9" s="9" t="s">
        <v>200</v>
      </c>
      <c r="S9" s="5"/>
    </row>
    <row r="10" customFormat="false" ht="150" hidden="false" customHeight="true" outlineLevel="0" collapsed="false">
      <c r="A10" s="9" t="s">
        <v>234</v>
      </c>
      <c r="B10" s="9" t="n">
        <v>3</v>
      </c>
      <c r="C10" s="10" t="n">
        <v>46345</v>
      </c>
      <c r="D10" s="9" t="str">
        <f aca="false">TEXT(C10,"ddd")</f>
        <v>Thu</v>
      </c>
      <c r="E10" s="5" t="s">
        <v>58</v>
      </c>
      <c r="F10" s="5" t="s">
        <v>192</v>
      </c>
      <c r="G10" s="5" t="s">
        <v>235</v>
      </c>
      <c r="H10" s="5" t="s">
        <v>236</v>
      </c>
      <c r="I10" s="5"/>
      <c r="J10" s="5" t="s">
        <v>237</v>
      </c>
      <c r="K10" s="9" t="n">
        <f aca="false">LEN(J10)</f>
        <v>485</v>
      </c>
      <c r="L10" s="5" t="s">
        <v>196</v>
      </c>
      <c r="M10" s="5" t="s">
        <v>238</v>
      </c>
      <c r="N10" s="5" t="s">
        <v>239</v>
      </c>
      <c r="O10" s="5" t="str">
        <f aca="false">M10&amp;"?utm_source="&amp;Overview!$B$20&amp;"&amp;utm_medium="&amp;Overview!$B$21&amp;"&amp;utm_campaign="&amp;Overview!$B$22&amp;"&amp;utm_content="&amp;N10</f>
        <v>https://preferredfencesolutions.com/fence-repair-vs-replacement-oklahoma-city/?utm_source=google&amp;utm_medium=organic&amp;utm_campaign=gbp-posts-nov26-jan27&amp;utm_content=pf06-faq-repair-vs-replace</v>
      </c>
      <c r="P10" s="5"/>
      <c r="Q10" s="5" t="s">
        <v>240</v>
      </c>
      <c r="R10" s="9" t="s">
        <v>200</v>
      </c>
      <c r="S10" s="5"/>
    </row>
    <row r="11" customFormat="false" ht="150" hidden="false" customHeight="true" outlineLevel="0" collapsed="false">
      <c r="A11" s="9" t="s">
        <v>241</v>
      </c>
      <c r="B11" s="9" t="n">
        <v>4</v>
      </c>
      <c r="C11" s="10" t="n">
        <v>46350</v>
      </c>
      <c r="D11" s="9" t="str">
        <f aca="false">TEXT(C11,"ddd")</f>
        <v>Tue</v>
      </c>
      <c r="E11" s="5" t="s">
        <v>57</v>
      </c>
      <c r="F11" s="5" t="s">
        <v>192</v>
      </c>
      <c r="G11" s="5" t="s">
        <v>242</v>
      </c>
      <c r="H11" s="5" t="s">
        <v>243</v>
      </c>
      <c r="I11" s="5"/>
      <c r="J11" s="5" t="s">
        <v>244</v>
      </c>
      <c r="K11" s="9" t="n">
        <f aca="false">LEN(J11)</f>
        <v>433</v>
      </c>
      <c r="L11" s="5" t="s">
        <v>196</v>
      </c>
      <c r="M11" s="5" t="s">
        <v>245</v>
      </c>
      <c r="N11" s="5" t="s">
        <v>246</v>
      </c>
      <c r="O11" s="5" t="str">
        <f aca="false">M11&amp;"?utm_source="&amp;Overview!$B$20&amp;"&amp;utm_medium="&amp;Overview!$B$21&amp;"&amp;utm_campaign="&amp;Overview!$B$22&amp;"&amp;utm_content="&amp;N11</f>
        <v>https://preferredfencesolutions.com/ornamental-iron-fence/?utm_source=google&amp;utm_medium=organic&amp;utm_campaign=gbp-posts-nov26-jan27&amp;utm_content=pf07-ornamental-iron</v>
      </c>
      <c r="P11" s="5"/>
      <c r="Q11" s="5" t="s">
        <v>247</v>
      </c>
      <c r="R11" s="9" t="s">
        <v>200</v>
      </c>
      <c r="S11" s="5"/>
    </row>
    <row r="12" customFormat="false" ht="150" hidden="false" customHeight="true" outlineLevel="0" collapsed="false">
      <c r="A12" s="9" t="s">
        <v>248</v>
      </c>
      <c r="B12" s="9" t="n">
        <v>4</v>
      </c>
      <c r="C12" s="10" t="n">
        <v>46351</v>
      </c>
      <c r="D12" s="9" t="str">
        <f aca="false">TEXT(C12,"ddd")</f>
        <v>Wed</v>
      </c>
      <c r="E12" s="5" t="s">
        <v>59</v>
      </c>
      <c r="F12" s="5" t="s">
        <v>192</v>
      </c>
      <c r="G12" s="5" t="s">
        <v>249</v>
      </c>
      <c r="H12" s="5" t="s">
        <v>250</v>
      </c>
      <c r="I12" s="5"/>
      <c r="J12" s="5" t="s">
        <v>251</v>
      </c>
      <c r="K12" s="9" t="n">
        <f aca="false">LEN(J12)</f>
        <v>444</v>
      </c>
      <c r="L12" s="5" t="s">
        <v>196</v>
      </c>
      <c r="M12" s="5" t="s">
        <v>252</v>
      </c>
      <c r="N12" s="5" t="s">
        <v>253</v>
      </c>
      <c r="O12" s="5" t="str">
        <f aca="false">M12&amp;"?utm_source="&amp;Overview!$B$20&amp;"&amp;utm_medium="&amp;Overview!$B$21&amp;"&amp;utm_campaign="&amp;Overview!$B$22&amp;"&amp;utm_content="&amp;N12</f>
        <v>https://preferredfencesolutions.com/testimonials/?utm_source=google&amp;utm_medium=organic&amp;utm_campaign=gbp-posts-nov26-jan27&amp;utm_content=pf08-thanksgiving</v>
      </c>
      <c r="P12" s="5"/>
      <c r="Q12" s="5" t="s">
        <v>254</v>
      </c>
      <c r="R12" s="9" t="s">
        <v>200</v>
      </c>
      <c r="S12" s="5" t="s">
        <v>255</v>
      </c>
    </row>
    <row r="13" customFormat="false" ht="150" hidden="false" customHeight="true" outlineLevel="0" collapsed="false">
      <c r="A13" s="9" t="s">
        <v>256</v>
      </c>
      <c r="B13" s="9" t="n">
        <v>5</v>
      </c>
      <c r="C13" s="10" t="n">
        <v>46357</v>
      </c>
      <c r="D13" s="9" t="str">
        <f aca="false">TEXT(C13,"ddd")</f>
        <v>Tue</v>
      </c>
      <c r="E13" s="5" t="s">
        <v>57</v>
      </c>
      <c r="F13" s="5" t="s">
        <v>192</v>
      </c>
      <c r="G13" s="5" t="s">
        <v>257</v>
      </c>
      <c r="H13" s="5" t="s">
        <v>258</v>
      </c>
      <c r="I13" s="5"/>
      <c r="J13" s="5" t="s">
        <v>259</v>
      </c>
      <c r="K13" s="9" t="n">
        <f aca="false">LEN(J13)</f>
        <v>431</v>
      </c>
      <c r="L13" s="5" t="s">
        <v>196</v>
      </c>
      <c r="M13" s="5" t="s">
        <v>260</v>
      </c>
      <c r="N13" s="5" t="s">
        <v>261</v>
      </c>
      <c r="O13" s="5" t="str">
        <f aca="false">M13&amp;"?utm_source="&amp;Overview!$B$20&amp;"&amp;utm_medium="&amp;Overview!$B$21&amp;"&amp;utm_campaign="&amp;Overview!$B$22&amp;"&amp;utm_content="&amp;N13</f>
        <v>https://preferredfencesolutions.com/sheet-metal-fence-oklahoma-city/?utm_source=google&amp;utm_medium=organic&amp;utm_campaign=gbp-posts-nov26-jan27&amp;utm_content=pf09-sheet-metal-commercial</v>
      </c>
      <c r="P13" s="5"/>
      <c r="Q13" s="5" t="s">
        <v>262</v>
      </c>
      <c r="R13" s="9" t="s">
        <v>200</v>
      </c>
      <c r="S13" s="5"/>
    </row>
    <row r="14" customFormat="false" ht="150" hidden="false" customHeight="true" outlineLevel="0" collapsed="false">
      <c r="A14" s="9" t="s">
        <v>263</v>
      </c>
      <c r="B14" s="9" t="n">
        <v>5</v>
      </c>
      <c r="C14" s="10" t="n">
        <v>46359</v>
      </c>
      <c r="D14" s="9" t="str">
        <f aca="false">TEXT(C14,"ddd")</f>
        <v>Thu</v>
      </c>
      <c r="E14" s="5" t="s">
        <v>58</v>
      </c>
      <c r="F14" s="5" t="s">
        <v>192</v>
      </c>
      <c r="G14" s="5" t="s">
        <v>264</v>
      </c>
      <c r="H14" s="5" t="s">
        <v>265</v>
      </c>
      <c r="I14" s="5"/>
      <c r="J14" s="5" t="s">
        <v>266</v>
      </c>
      <c r="K14" s="9" t="n">
        <f aca="false">LEN(J14)</f>
        <v>460</v>
      </c>
      <c r="L14" s="5" t="s">
        <v>196</v>
      </c>
      <c r="M14" s="5" t="s">
        <v>267</v>
      </c>
      <c r="N14" s="5" t="s">
        <v>268</v>
      </c>
      <c r="O14" s="5" t="str">
        <f aca="false">M14&amp;"?utm_source="&amp;Overview!$B$20&amp;"&amp;utm_medium="&amp;Overview!$B$21&amp;"&amp;utm_campaign="&amp;Overview!$B$22&amp;"&amp;utm_content="&amp;N14</f>
        <v>https://preferredfencesolutions.com/why-fence-posts-fail-oklahoma-soil/?utm_source=google&amp;utm_medium=organic&amp;utm_campaign=gbp-posts-nov26-jan27&amp;utm_content=pf10-faq-post-failure</v>
      </c>
      <c r="P14" s="5"/>
      <c r="Q14" s="5" t="s">
        <v>269</v>
      </c>
      <c r="R14" s="9" t="s">
        <v>200</v>
      </c>
      <c r="S14" s="5"/>
    </row>
    <row r="15" customFormat="false" ht="150" hidden="false" customHeight="true" outlineLevel="0" collapsed="false">
      <c r="A15" s="9" t="s">
        <v>270</v>
      </c>
      <c r="B15" s="9" t="n">
        <v>6</v>
      </c>
      <c r="C15" s="10" t="n">
        <v>46364</v>
      </c>
      <c r="D15" s="9" t="str">
        <f aca="false">TEXT(C15,"ddd")</f>
        <v>Tue</v>
      </c>
      <c r="E15" s="5" t="s">
        <v>57</v>
      </c>
      <c r="F15" s="5" t="s">
        <v>192</v>
      </c>
      <c r="G15" s="5" t="s">
        <v>271</v>
      </c>
      <c r="H15" s="5" t="s">
        <v>272</v>
      </c>
      <c r="I15" s="5"/>
      <c r="J15" s="5" t="s">
        <v>273</v>
      </c>
      <c r="K15" s="9" t="n">
        <f aca="false">LEN(J15)</f>
        <v>420</v>
      </c>
      <c r="L15" s="5" t="s">
        <v>196</v>
      </c>
      <c r="M15" s="5" t="s">
        <v>274</v>
      </c>
      <c r="N15" s="5" t="s">
        <v>275</v>
      </c>
      <c r="O15" s="5" t="str">
        <f aca="false">M15&amp;"?utm_source="&amp;Overview!$B$20&amp;"&amp;utm_medium="&amp;Overview!$B$21&amp;"&amp;utm_campaign="&amp;Overview!$B$22&amp;"&amp;utm_content="&amp;N15</f>
        <v>https://preferredfencesolutions.com/chain-link-fence/?utm_source=google&amp;utm_medium=organic&amp;utm_campaign=gbp-posts-nov26-jan27&amp;utm_content=pf11-chain-link</v>
      </c>
      <c r="P15" s="5"/>
      <c r="Q15" s="5" t="s">
        <v>276</v>
      </c>
      <c r="R15" s="9" t="s">
        <v>200</v>
      </c>
      <c r="S15" s="5"/>
    </row>
    <row r="16" customFormat="false" ht="150" hidden="false" customHeight="true" outlineLevel="0" collapsed="false">
      <c r="A16" s="9" t="s">
        <v>277</v>
      </c>
      <c r="B16" s="9" t="n">
        <v>6</v>
      </c>
      <c r="C16" s="10" t="n">
        <v>46366</v>
      </c>
      <c r="D16" s="9" t="str">
        <f aca="false">TEXT(C16,"ddd")</f>
        <v>Thu</v>
      </c>
      <c r="E16" s="5" t="s">
        <v>60</v>
      </c>
      <c r="F16" s="5" t="s">
        <v>192</v>
      </c>
      <c r="G16" s="5" t="s">
        <v>278</v>
      </c>
      <c r="H16" s="5" t="s">
        <v>279</v>
      </c>
      <c r="I16" s="5"/>
      <c r="J16" s="5" t="s">
        <v>280</v>
      </c>
      <c r="K16" s="9" t="n">
        <f aca="false">LEN(J16)</f>
        <v>405</v>
      </c>
      <c r="L16" s="5" t="s">
        <v>196</v>
      </c>
      <c r="M16" s="5" t="s">
        <v>281</v>
      </c>
      <c r="N16" s="5" t="s">
        <v>282</v>
      </c>
      <c r="O16" s="5" t="str">
        <f aca="false">M16&amp;"?utm_source="&amp;Overview!$B$20&amp;"&amp;utm_medium="&amp;Overview!$B$21&amp;"&amp;utm_campaign="&amp;Overview!$B$22&amp;"&amp;utm_content="&amp;N16</f>
        <v>https://preferredfencesolutions.com/fence-gallery/?utm_source=google&amp;utm_medium=organic&amp;utm_campaign=gbp-posts-nov26-jan27&amp;utm_content=pf12-doggie-window</v>
      </c>
      <c r="P16" s="5"/>
      <c r="Q16" s="5" t="s">
        <v>283</v>
      </c>
      <c r="R16" s="9" t="s">
        <v>200</v>
      </c>
      <c r="S16" s="5" t="s">
        <v>284</v>
      </c>
    </row>
    <row r="17" customFormat="false" ht="150" hidden="false" customHeight="true" outlineLevel="0" collapsed="false">
      <c r="A17" s="9" t="s">
        <v>285</v>
      </c>
      <c r="B17" s="9" t="n">
        <v>7</v>
      </c>
      <c r="C17" s="10" t="n">
        <v>46371</v>
      </c>
      <c r="D17" s="9" t="str">
        <f aca="false">TEXT(C17,"ddd")</f>
        <v>Tue</v>
      </c>
      <c r="E17" s="5" t="s">
        <v>59</v>
      </c>
      <c r="F17" s="5" t="s">
        <v>192</v>
      </c>
      <c r="G17" s="5" t="s">
        <v>286</v>
      </c>
      <c r="H17" s="5" t="s">
        <v>287</v>
      </c>
      <c r="I17" s="5"/>
      <c r="J17" s="5" t="s">
        <v>288</v>
      </c>
      <c r="K17" s="9" t="n">
        <f aca="false">LEN(J17)</f>
        <v>451</v>
      </c>
      <c r="L17" s="5" t="s">
        <v>196</v>
      </c>
      <c r="M17" s="5" t="s">
        <v>289</v>
      </c>
      <c r="N17" s="5" t="s">
        <v>290</v>
      </c>
      <c r="O17" s="5" t="str">
        <f aca="false">M17&amp;"?utm_source="&amp;Overview!$B$20&amp;"&amp;utm_medium="&amp;Overview!$B$21&amp;"&amp;utm_campaign="&amp;Overview!$B$22&amp;"&amp;utm_content="&amp;N17</f>
        <v>https://preferredfencesolutions.com/best-fence-oklahoma-wind-okc/?utm_source=google&amp;utm_medium=organic&amp;utm_campaign=gbp-posts-nov26-jan27&amp;utm_content=pf13-oklahoma-wind</v>
      </c>
      <c r="P17" s="5"/>
      <c r="Q17" s="5" t="s">
        <v>291</v>
      </c>
      <c r="R17" s="9" t="s">
        <v>200</v>
      </c>
      <c r="S17" s="5"/>
    </row>
    <row r="18" customFormat="false" ht="150" hidden="false" customHeight="true" outlineLevel="0" collapsed="false">
      <c r="A18" s="9" t="s">
        <v>292</v>
      </c>
      <c r="B18" s="9" t="n">
        <v>7</v>
      </c>
      <c r="C18" s="10" t="n">
        <v>46373</v>
      </c>
      <c r="D18" s="9" t="str">
        <f aca="false">TEXT(C18,"ddd")</f>
        <v>Thu</v>
      </c>
      <c r="E18" s="5" t="s">
        <v>58</v>
      </c>
      <c r="F18" s="5" t="s">
        <v>192</v>
      </c>
      <c r="G18" s="5" t="s">
        <v>293</v>
      </c>
      <c r="H18" s="5" t="s">
        <v>294</v>
      </c>
      <c r="I18" s="5"/>
      <c r="J18" s="5" t="s">
        <v>295</v>
      </c>
      <c r="K18" s="9" t="n">
        <f aca="false">LEN(J18)</f>
        <v>443</v>
      </c>
      <c r="L18" s="5" t="s">
        <v>196</v>
      </c>
      <c r="M18" s="5" t="s">
        <v>102</v>
      </c>
      <c r="N18" s="5" t="s">
        <v>296</v>
      </c>
      <c r="O18" s="5" t="str">
        <f aca="false">M18&amp;"?utm_source="&amp;Overview!$B$20&amp;"&amp;utm_medium="&amp;Overview!$B$21&amp;"&amp;utm_campaign="&amp;Overview!$B$22&amp;"&amp;utm_content="&amp;N18</f>
        <v>https://preferredfencesolutions.com/faq/?utm_source=google&amp;utm_medium=organic&amp;utm_campaign=gbp-posts-nov26-jan27&amp;utm_content=pf14-faq-affordable-fence</v>
      </c>
      <c r="P18" s="5"/>
      <c r="Q18" s="5" t="s">
        <v>297</v>
      </c>
      <c r="R18" s="9" t="s">
        <v>200</v>
      </c>
      <c r="S18" s="5"/>
    </row>
    <row r="19" customFormat="false" ht="150" hidden="false" customHeight="true" outlineLevel="0" collapsed="false">
      <c r="A19" s="9" t="s">
        <v>298</v>
      </c>
      <c r="B19" s="9" t="n">
        <v>8</v>
      </c>
      <c r="C19" s="10" t="n">
        <v>46378</v>
      </c>
      <c r="D19" s="9" t="str">
        <f aca="false">TEXT(C19,"ddd")</f>
        <v>Tue</v>
      </c>
      <c r="E19" s="5" t="s">
        <v>57</v>
      </c>
      <c r="F19" s="5" t="s">
        <v>192</v>
      </c>
      <c r="G19" s="5" t="s">
        <v>299</v>
      </c>
      <c r="H19" s="5" t="s">
        <v>300</v>
      </c>
      <c r="I19" s="5"/>
      <c r="J19" s="5" t="s">
        <v>301</v>
      </c>
      <c r="K19" s="9" t="n">
        <f aca="false">LEN(J19)</f>
        <v>405</v>
      </c>
      <c r="L19" s="5" t="s">
        <v>196</v>
      </c>
      <c r="M19" s="5" t="s">
        <v>302</v>
      </c>
      <c r="N19" s="5" t="s">
        <v>303</v>
      </c>
      <c r="O19" s="5" t="str">
        <f aca="false">M19&amp;"?utm_source="&amp;Overview!$B$20&amp;"&amp;utm_medium="&amp;Overview!$B$21&amp;"&amp;utm_campaign="&amp;Overview!$B$22&amp;"&amp;utm_content="&amp;N19</f>
        <v>https://preferredfencesolutions.com/residential-fence-gate-width-placement-okc/?utm_source=google&amp;utm_medium=organic&amp;utm_campaign=gbp-posts-nov26-jan27&amp;utm_content=pf15-gate-planning</v>
      </c>
      <c r="P19" s="5"/>
      <c r="Q19" s="5" t="s">
        <v>304</v>
      </c>
      <c r="R19" s="9" t="s">
        <v>200</v>
      </c>
      <c r="S19" s="5"/>
    </row>
    <row r="20" customFormat="false" ht="150" hidden="false" customHeight="true" outlineLevel="0" collapsed="false">
      <c r="A20" s="9" t="s">
        <v>305</v>
      </c>
      <c r="B20" s="9" t="n">
        <v>8</v>
      </c>
      <c r="C20" s="10" t="n">
        <v>46385</v>
      </c>
      <c r="D20" s="9" t="str">
        <f aca="false">TEXT(C20,"ddd")</f>
        <v>Tue</v>
      </c>
      <c r="E20" s="5" t="s">
        <v>59</v>
      </c>
      <c r="F20" s="5" t="s">
        <v>192</v>
      </c>
      <c r="G20" s="5" t="s">
        <v>306</v>
      </c>
      <c r="H20" s="5" t="s">
        <v>307</v>
      </c>
      <c r="I20" s="5"/>
      <c r="J20" s="5" t="s">
        <v>308</v>
      </c>
      <c r="K20" s="9" t="n">
        <f aca="false">LEN(J20)</f>
        <v>439</v>
      </c>
      <c r="L20" s="5" t="s">
        <v>196</v>
      </c>
      <c r="M20" s="5" t="s">
        <v>309</v>
      </c>
      <c r="N20" s="5" t="s">
        <v>310</v>
      </c>
      <c r="O20" s="5" t="str">
        <f aca="false">M20&amp;"?utm_source="&amp;Overview!$B$20&amp;"&amp;utm_medium="&amp;Overview!$B$21&amp;"&amp;utm_campaign="&amp;Overview!$B$22&amp;"&amp;utm_content="&amp;N20</f>
        <v>https://preferredfencesolutions.com/pfs-awards/?utm_source=google&amp;utm_medium=organic&amp;utm_campaign=gbp-posts-nov26-jan27&amp;utm_content=pf16-year-end-awards</v>
      </c>
      <c r="P20" s="5"/>
      <c r="Q20" s="5" t="s">
        <v>311</v>
      </c>
      <c r="R20" s="9" t="s">
        <v>200</v>
      </c>
      <c r="S20" s="5" t="s">
        <v>312</v>
      </c>
    </row>
    <row r="21" customFormat="false" ht="150" hidden="false" customHeight="true" outlineLevel="0" collapsed="false">
      <c r="A21" s="9" t="s">
        <v>313</v>
      </c>
      <c r="B21" s="9" t="n">
        <v>9</v>
      </c>
      <c r="C21" s="10" t="n">
        <v>46392</v>
      </c>
      <c r="D21" s="9" t="str">
        <f aca="false">TEXT(C21,"ddd")</f>
        <v>Tue</v>
      </c>
      <c r="E21" s="5" t="s">
        <v>60</v>
      </c>
      <c r="F21" s="5" t="s">
        <v>216</v>
      </c>
      <c r="G21" s="5" t="s">
        <v>314</v>
      </c>
      <c r="H21" s="5" t="s">
        <v>315</v>
      </c>
      <c r="I21" s="5" t="s">
        <v>316</v>
      </c>
      <c r="J21" s="5" t="s">
        <v>317</v>
      </c>
      <c r="K21" s="9" t="n">
        <f aca="false">LEN(J21)</f>
        <v>357</v>
      </c>
      <c r="L21" s="5" t="s">
        <v>221</v>
      </c>
      <c r="M21" s="5" t="s">
        <v>318</v>
      </c>
      <c r="N21" s="5" t="s">
        <v>319</v>
      </c>
      <c r="O21" s="5" t="str">
        <f aca="false">M21&amp;"?utm_source="&amp;Overview!$B$20&amp;"&amp;utm_medium="&amp;Overview!$B$21&amp;"&amp;utm_campaign="&amp;Overview!$B$22&amp;"&amp;utm_content="&amp;N21</f>
        <v>https://preferredfencesolutions.com/fence-design-planning/?utm_source=google&amp;utm_medium=organic&amp;utm_campaign=gbp-posts-nov26-jan27&amp;utm_content=pf17-free-design-consult</v>
      </c>
      <c r="P21" s="5" t="s">
        <v>320</v>
      </c>
      <c r="Q21" s="5" t="s">
        <v>321</v>
      </c>
      <c r="R21" s="9" t="s">
        <v>200</v>
      </c>
      <c r="S21" s="5" t="s">
        <v>322</v>
      </c>
    </row>
    <row r="22" customFormat="false" ht="150" hidden="false" customHeight="true" outlineLevel="0" collapsed="false">
      <c r="A22" s="9" t="s">
        <v>323</v>
      </c>
      <c r="B22" s="9" t="n">
        <v>9</v>
      </c>
      <c r="C22" s="10" t="n">
        <v>46394</v>
      </c>
      <c r="D22" s="9" t="str">
        <f aca="false">TEXT(C22,"ddd")</f>
        <v>Thu</v>
      </c>
      <c r="E22" s="5" t="s">
        <v>57</v>
      </c>
      <c r="F22" s="5" t="s">
        <v>192</v>
      </c>
      <c r="G22" s="5" t="s">
        <v>324</v>
      </c>
      <c r="H22" s="5" t="s">
        <v>325</v>
      </c>
      <c r="I22" s="5"/>
      <c r="J22" s="5" t="s">
        <v>326</v>
      </c>
      <c r="K22" s="9" t="n">
        <f aca="false">LEN(J22)</f>
        <v>421</v>
      </c>
      <c r="L22" s="5" t="s">
        <v>196</v>
      </c>
      <c r="M22" s="5" t="s">
        <v>327</v>
      </c>
      <c r="N22" s="5" t="s">
        <v>328</v>
      </c>
      <c r="O22" s="5" t="str">
        <f aca="false">M22&amp;"?utm_source="&amp;Overview!$B$20&amp;"&amp;utm_medium="&amp;Overview!$B$21&amp;"&amp;utm_campaign="&amp;Overview!$B$22&amp;"&amp;utm_content="&amp;N22</f>
        <v>https://preferredfencesolutions.com/vinyl-fence/?utm_source=google&amp;utm_medium=organic&amp;utm_campaign=gbp-posts-nov26-jan27&amp;utm_content=pf18-vinyl-fence</v>
      </c>
      <c r="P22" s="5"/>
      <c r="Q22" s="5" t="s">
        <v>329</v>
      </c>
      <c r="R22" s="9" t="s">
        <v>200</v>
      </c>
      <c r="S22" s="5"/>
    </row>
    <row r="23" customFormat="false" ht="150" hidden="false" customHeight="true" outlineLevel="0" collapsed="false">
      <c r="A23" s="9" t="s">
        <v>330</v>
      </c>
      <c r="B23" s="9" t="n">
        <v>10</v>
      </c>
      <c r="C23" s="10" t="n">
        <v>46399</v>
      </c>
      <c r="D23" s="9" t="str">
        <f aca="false">TEXT(C23,"ddd")</f>
        <v>Tue</v>
      </c>
      <c r="E23" s="5" t="s">
        <v>58</v>
      </c>
      <c r="F23" s="5" t="s">
        <v>192</v>
      </c>
      <c r="G23" s="5" t="s">
        <v>331</v>
      </c>
      <c r="H23" s="5" t="s">
        <v>332</v>
      </c>
      <c r="I23" s="5"/>
      <c r="J23" s="5" t="s">
        <v>333</v>
      </c>
      <c r="K23" s="9" t="n">
        <f aca="false">LEN(J23)</f>
        <v>424</v>
      </c>
      <c r="L23" s="5" t="s">
        <v>196</v>
      </c>
      <c r="M23" s="5" t="s">
        <v>334</v>
      </c>
      <c r="N23" s="5" t="s">
        <v>335</v>
      </c>
      <c r="O23" s="5" t="str">
        <f aca="false">M23&amp;"?utm_source="&amp;Overview!$B$20&amp;"&amp;utm_medium="&amp;Overview!$B$21&amp;"&amp;utm_campaign="&amp;Overview!$B$22&amp;"&amp;utm_content="&amp;N23</f>
        <v>https://preferredfencesolutions.com/new-cedar-fence-boards-blend-old-fence/?utm_source=google&amp;utm_medium=organic&amp;utm_campaign=gbp-posts-nov26-jan27&amp;utm_content=pf19-faq-cedar-match</v>
      </c>
      <c r="P23" s="5"/>
      <c r="Q23" s="5" t="s">
        <v>336</v>
      </c>
      <c r="R23" s="9" t="s">
        <v>200</v>
      </c>
      <c r="S23" s="5"/>
    </row>
    <row r="24" customFormat="false" ht="150" hidden="false" customHeight="true" outlineLevel="0" collapsed="false">
      <c r="A24" s="9" t="s">
        <v>337</v>
      </c>
      <c r="B24" s="9" t="n">
        <v>10</v>
      </c>
      <c r="C24" s="10" t="n">
        <v>46401</v>
      </c>
      <c r="D24" s="9" t="str">
        <f aca="false">TEXT(C24,"ddd")</f>
        <v>Thu</v>
      </c>
      <c r="E24" s="5" t="s">
        <v>57</v>
      </c>
      <c r="F24" s="5" t="s">
        <v>192</v>
      </c>
      <c r="G24" s="5" t="s">
        <v>338</v>
      </c>
      <c r="H24" s="5" t="s">
        <v>339</v>
      </c>
      <c r="I24" s="5"/>
      <c r="J24" s="5" t="s">
        <v>340</v>
      </c>
      <c r="K24" s="9" t="n">
        <f aca="false">LEN(J24)</f>
        <v>390</v>
      </c>
      <c r="L24" s="5" t="s">
        <v>196</v>
      </c>
      <c r="M24" s="5" t="s">
        <v>341</v>
      </c>
      <c r="N24" s="5" t="s">
        <v>342</v>
      </c>
      <c r="O24" s="5" t="str">
        <f aca="false">M24&amp;"?utm_source="&amp;Overview!$B$20&amp;"&amp;utm_medium="&amp;Overview!$B$21&amp;"&amp;utm_campaign="&amp;Overview!$B$22&amp;"&amp;utm_content="&amp;N24</f>
        <v>https://preferredfencesolutions.com/simtek-fence/?utm_source=google&amp;utm_medium=organic&amp;utm_campaign=gbp-posts-nov26-jan27&amp;utm_content=pf20-simtek</v>
      </c>
      <c r="P24" s="5"/>
      <c r="Q24" s="5" t="s">
        <v>343</v>
      </c>
      <c r="R24" s="9" t="s">
        <v>200</v>
      </c>
      <c r="S24" s="5"/>
    </row>
    <row r="25" customFormat="false" ht="150" hidden="false" customHeight="true" outlineLevel="0" collapsed="false">
      <c r="A25" s="9" t="s">
        <v>344</v>
      </c>
      <c r="B25" s="9" t="n">
        <v>11</v>
      </c>
      <c r="C25" s="10" t="n">
        <v>46406</v>
      </c>
      <c r="D25" s="9" t="str">
        <f aca="false">TEXT(C25,"ddd")</f>
        <v>Tue</v>
      </c>
      <c r="E25" s="5" t="s">
        <v>60</v>
      </c>
      <c r="F25" s="5" t="s">
        <v>216</v>
      </c>
      <c r="G25" s="5" t="s">
        <v>345</v>
      </c>
      <c r="H25" s="5" t="s">
        <v>346</v>
      </c>
      <c r="I25" s="5" t="s">
        <v>347</v>
      </c>
      <c r="J25" s="5" t="s">
        <v>348</v>
      </c>
      <c r="K25" s="9" t="n">
        <f aca="false">LEN(J25)</f>
        <v>335</v>
      </c>
      <c r="L25" s="5" t="s">
        <v>221</v>
      </c>
      <c r="M25" s="5" t="s">
        <v>197</v>
      </c>
      <c r="N25" s="5" t="s">
        <v>349</v>
      </c>
      <c r="O25" s="5" t="str">
        <f aca="false">M25&amp;"?utm_source="&amp;Overview!$B$20&amp;"&amp;utm_medium="&amp;Overview!$B$21&amp;"&amp;utm_campaign="&amp;Overview!$B$22&amp;"&amp;utm_content="&amp;N25</f>
        <v>https://preferredfencesolutions.com/fence-repair-okc/?utm_source=google&amp;utm_medium=organic&amp;utm_campaign=gbp-posts-nov26-jan27&amp;utm_content=pf21-free-repair-estimate</v>
      </c>
      <c r="P25" s="5" t="s">
        <v>350</v>
      </c>
      <c r="Q25" s="5" t="s">
        <v>351</v>
      </c>
      <c r="R25" s="9" t="s">
        <v>200</v>
      </c>
      <c r="S25" s="5"/>
    </row>
    <row r="26" customFormat="false" ht="150" hidden="false" customHeight="true" outlineLevel="0" collapsed="false">
      <c r="A26" s="9" t="s">
        <v>352</v>
      </c>
      <c r="B26" s="9" t="n">
        <v>11</v>
      </c>
      <c r="C26" s="10" t="n">
        <v>46408</v>
      </c>
      <c r="D26" s="9" t="str">
        <f aca="false">TEXT(C26,"ddd")</f>
        <v>Thu</v>
      </c>
      <c r="E26" s="5" t="s">
        <v>59</v>
      </c>
      <c r="F26" s="5" t="s">
        <v>192</v>
      </c>
      <c r="G26" s="5" t="s">
        <v>353</v>
      </c>
      <c r="H26" s="5" t="s">
        <v>354</v>
      </c>
      <c r="I26" s="5"/>
      <c r="J26" s="5" t="s">
        <v>355</v>
      </c>
      <c r="K26" s="9" t="n">
        <f aca="false">LEN(J26)</f>
        <v>412</v>
      </c>
      <c r="L26" s="5" t="s">
        <v>196</v>
      </c>
      <c r="M26" s="5" t="s">
        <v>356</v>
      </c>
      <c r="N26" s="5" t="s">
        <v>357</v>
      </c>
      <c r="O26" s="5" t="str">
        <f aca="false">M26&amp;"?utm_source="&amp;Overview!$B$20&amp;"&amp;utm_medium="&amp;Overview!$B$21&amp;"&amp;utm_campaign="&amp;Overview!$B$22&amp;"&amp;utm_content="&amp;N26</f>
        <v>https://preferredfencesolutions.com/fence-installation-repair-north-okc/?utm_source=google&amp;utm_medium=organic&amp;utm_campaign=gbp-posts-nov26-jan27&amp;utm_content=pf22-north-okc</v>
      </c>
      <c r="P26" s="5"/>
      <c r="Q26" s="5" t="s">
        <v>358</v>
      </c>
      <c r="R26" s="9" t="s">
        <v>200</v>
      </c>
      <c r="S26" s="5"/>
    </row>
  </sheetData>
  <autoFilter ref="A4:S26"/>
  <dataValidations count="1">
    <dataValidation allowBlank="true" errorStyle="stop" operator="between" showDropDown="false" showErrorMessage="false" showInputMessage="false" sqref="R5:R26" type="list">
      <formula1>"Draft,Client review,Approved,Scheduled,Live,Rejected"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2"/>
    <col collapsed="false" customWidth="true" hidden="false" outlineLevel="0" max="4" min="4" style="0" width="8"/>
    <col collapsed="false" customWidth="true" hidden="false" outlineLevel="0" max="5" min="5" style="0" width="9"/>
    <col collapsed="false" customWidth="true" hidden="false" outlineLevel="0" max="7" min="6" style="0" width="8"/>
    <col collapsed="false" customWidth="true" hidden="false" outlineLevel="0" max="8" min="8" style="0" width="12"/>
    <col collapsed="false" customWidth="true" hidden="false" outlineLevel="0" max="9" min="9" style="0" width="18"/>
    <col collapsed="false" customWidth="true" hidden="false" outlineLevel="0" max="10" min="10" style="0" width="14"/>
  </cols>
  <sheetData>
    <row r="1" customFormat="false" ht="17.35" hidden="false" customHeight="false" outlineLevel="0" collapsed="false">
      <c r="A1" s="1" t="s">
        <v>359</v>
      </c>
    </row>
    <row r="2" customFormat="false" ht="15" hidden="false" customHeight="false" outlineLevel="0" collapsed="false">
      <c r="A2" s="2" t="s">
        <v>360</v>
      </c>
    </row>
    <row r="4" customFormat="false" ht="23.85" hidden="false" customHeight="false" outlineLevel="0" collapsed="false">
      <c r="A4" s="4" t="s">
        <v>174</v>
      </c>
      <c r="B4" s="4" t="s">
        <v>361</v>
      </c>
      <c r="C4" s="4" t="s">
        <v>362</v>
      </c>
      <c r="D4" s="4" t="s">
        <v>55</v>
      </c>
      <c r="E4" s="4" t="s">
        <v>57</v>
      </c>
      <c r="F4" s="4" t="s">
        <v>58</v>
      </c>
      <c r="G4" s="4" t="s">
        <v>59</v>
      </c>
      <c r="H4" s="4" t="s">
        <v>60</v>
      </c>
      <c r="I4" s="4" t="s">
        <v>363</v>
      </c>
      <c r="J4" s="4" t="s">
        <v>364</v>
      </c>
    </row>
    <row r="5" customFormat="false" ht="15" hidden="false" customHeight="false" outlineLevel="0" collapsed="false">
      <c r="A5" s="9" t="n">
        <v>1</v>
      </c>
      <c r="B5" s="10" t="n">
        <v>46328</v>
      </c>
      <c r="C5" s="5" t="s">
        <v>365</v>
      </c>
      <c r="D5" s="9" t="n">
        <f aca="false">COUNTIF('Content Calendar'!$B$5:$B$26,A5)</f>
        <v>2</v>
      </c>
      <c r="E5" s="9" t="n">
        <f aca="false">COUNTIFS('Content Calendar'!$B$5:$B$26,A5,'Content Calendar'!$E$5:$E$26,"Service")</f>
        <v>1</v>
      </c>
      <c r="F5" s="9" t="n">
        <f aca="false">COUNTIFS('Content Calendar'!$B$5:$B$26,A5,'Content Calendar'!$E$5:$E$26,"FAQ")</f>
        <v>1</v>
      </c>
      <c r="G5" s="9" t="n">
        <f aca="false">COUNTIFS('Content Calendar'!$B$5:$B$26,A5,'Content Calendar'!$E$5:$E$26,"Local")</f>
        <v>0</v>
      </c>
      <c r="H5" s="9" t="n">
        <f aca="false">COUNTIFS('Content Calendar'!$B$5:$B$26,A5,'Content Calendar'!$E$5:$E$26,"Promotional")</f>
        <v>0</v>
      </c>
      <c r="I5" s="10" t="n">
        <f aca="false">WORKDAY(B5,-2)</f>
        <v>46324</v>
      </c>
      <c r="J5" s="9" t="s">
        <v>366</v>
      </c>
    </row>
    <row r="6" customFormat="false" ht="15" hidden="false" customHeight="false" outlineLevel="0" collapsed="false">
      <c r="A6" s="9" t="n">
        <v>2</v>
      </c>
      <c r="B6" s="10" t="n">
        <v>46335</v>
      </c>
      <c r="C6" s="5" t="s">
        <v>367</v>
      </c>
      <c r="D6" s="9" t="n">
        <f aca="false">COUNTIF('Content Calendar'!$B$5:$B$26,A6)</f>
        <v>2</v>
      </c>
      <c r="E6" s="9" t="n">
        <f aca="false">COUNTIFS('Content Calendar'!$B$5:$B$26,A6,'Content Calendar'!$E$5:$E$26,"Service")</f>
        <v>0</v>
      </c>
      <c r="F6" s="9" t="n">
        <f aca="false">COUNTIFS('Content Calendar'!$B$5:$B$26,A6,'Content Calendar'!$E$5:$E$26,"FAQ")</f>
        <v>0</v>
      </c>
      <c r="G6" s="9" t="n">
        <f aca="false">COUNTIFS('Content Calendar'!$B$5:$B$26,A6,'Content Calendar'!$E$5:$E$26,"Local")</f>
        <v>1</v>
      </c>
      <c r="H6" s="9" t="n">
        <f aca="false">COUNTIFS('Content Calendar'!$B$5:$B$26,A6,'Content Calendar'!$E$5:$E$26,"Promotional")</f>
        <v>1</v>
      </c>
      <c r="I6" s="10" t="n">
        <f aca="false">WORKDAY(B6,-2)</f>
        <v>46331</v>
      </c>
      <c r="J6" s="9" t="s">
        <v>366</v>
      </c>
    </row>
    <row r="7" customFormat="false" ht="15" hidden="false" customHeight="false" outlineLevel="0" collapsed="false">
      <c r="A7" s="9" t="n">
        <v>3</v>
      </c>
      <c r="B7" s="10" t="n">
        <v>46342</v>
      </c>
      <c r="C7" s="5" t="s">
        <v>368</v>
      </c>
      <c r="D7" s="9" t="n">
        <f aca="false">COUNTIF('Content Calendar'!$B$5:$B$26,A7)</f>
        <v>2</v>
      </c>
      <c r="E7" s="9" t="n">
        <f aca="false">COUNTIFS('Content Calendar'!$B$5:$B$26,A7,'Content Calendar'!$E$5:$E$26,"Service")</f>
        <v>1</v>
      </c>
      <c r="F7" s="9" t="n">
        <f aca="false">COUNTIFS('Content Calendar'!$B$5:$B$26,A7,'Content Calendar'!$E$5:$E$26,"FAQ")</f>
        <v>1</v>
      </c>
      <c r="G7" s="9" t="n">
        <f aca="false">COUNTIFS('Content Calendar'!$B$5:$B$26,A7,'Content Calendar'!$E$5:$E$26,"Local")</f>
        <v>0</v>
      </c>
      <c r="H7" s="9" t="n">
        <f aca="false">COUNTIFS('Content Calendar'!$B$5:$B$26,A7,'Content Calendar'!$E$5:$E$26,"Promotional")</f>
        <v>0</v>
      </c>
      <c r="I7" s="10" t="n">
        <f aca="false">WORKDAY(B7,-2)</f>
        <v>46338</v>
      </c>
      <c r="J7" s="9" t="s">
        <v>366</v>
      </c>
    </row>
    <row r="8" customFormat="false" ht="15" hidden="false" customHeight="false" outlineLevel="0" collapsed="false">
      <c r="A8" s="9" t="n">
        <v>4</v>
      </c>
      <c r="B8" s="10" t="n">
        <v>46349</v>
      </c>
      <c r="C8" s="5" t="s">
        <v>369</v>
      </c>
      <c r="D8" s="9" t="n">
        <f aca="false">COUNTIF('Content Calendar'!$B$5:$B$26,A8)</f>
        <v>2</v>
      </c>
      <c r="E8" s="9" t="n">
        <f aca="false">COUNTIFS('Content Calendar'!$B$5:$B$26,A8,'Content Calendar'!$E$5:$E$26,"Service")</f>
        <v>1</v>
      </c>
      <c r="F8" s="9" t="n">
        <f aca="false">COUNTIFS('Content Calendar'!$B$5:$B$26,A8,'Content Calendar'!$E$5:$E$26,"FAQ")</f>
        <v>0</v>
      </c>
      <c r="G8" s="9" t="n">
        <f aca="false">COUNTIFS('Content Calendar'!$B$5:$B$26,A8,'Content Calendar'!$E$5:$E$26,"Local")</f>
        <v>1</v>
      </c>
      <c r="H8" s="9" t="n">
        <f aca="false">COUNTIFS('Content Calendar'!$B$5:$B$26,A8,'Content Calendar'!$E$5:$E$26,"Promotional")</f>
        <v>0</v>
      </c>
      <c r="I8" s="10" t="n">
        <f aca="false">WORKDAY(B8,-2)</f>
        <v>46345</v>
      </c>
      <c r="J8" s="9" t="s">
        <v>366</v>
      </c>
    </row>
    <row r="9" customFormat="false" ht="15" hidden="false" customHeight="false" outlineLevel="0" collapsed="false">
      <c r="A9" s="9" t="n">
        <v>5</v>
      </c>
      <c r="B9" s="10" t="n">
        <v>46356</v>
      </c>
      <c r="C9" s="5" t="s">
        <v>370</v>
      </c>
      <c r="D9" s="9" t="n">
        <f aca="false">COUNTIF('Content Calendar'!$B$5:$B$26,A9)</f>
        <v>2</v>
      </c>
      <c r="E9" s="9" t="n">
        <f aca="false">COUNTIFS('Content Calendar'!$B$5:$B$26,A9,'Content Calendar'!$E$5:$E$26,"Service")</f>
        <v>1</v>
      </c>
      <c r="F9" s="9" t="n">
        <f aca="false">COUNTIFS('Content Calendar'!$B$5:$B$26,A9,'Content Calendar'!$E$5:$E$26,"FAQ")</f>
        <v>1</v>
      </c>
      <c r="G9" s="9" t="n">
        <f aca="false">COUNTIFS('Content Calendar'!$B$5:$B$26,A9,'Content Calendar'!$E$5:$E$26,"Local")</f>
        <v>0</v>
      </c>
      <c r="H9" s="9" t="n">
        <f aca="false">COUNTIFS('Content Calendar'!$B$5:$B$26,A9,'Content Calendar'!$E$5:$E$26,"Promotional")</f>
        <v>0</v>
      </c>
      <c r="I9" s="10" t="n">
        <f aca="false">WORKDAY(B9,-2)</f>
        <v>46352</v>
      </c>
      <c r="J9" s="9" t="s">
        <v>366</v>
      </c>
    </row>
    <row r="10" customFormat="false" ht="15" hidden="false" customHeight="false" outlineLevel="0" collapsed="false">
      <c r="A10" s="9" t="n">
        <v>6</v>
      </c>
      <c r="B10" s="10" t="n">
        <v>46363</v>
      </c>
      <c r="C10" s="5" t="s">
        <v>371</v>
      </c>
      <c r="D10" s="9" t="n">
        <f aca="false">COUNTIF('Content Calendar'!$B$5:$B$26,A10)</f>
        <v>2</v>
      </c>
      <c r="E10" s="9" t="n">
        <f aca="false">COUNTIFS('Content Calendar'!$B$5:$B$26,A10,'Content Calendar'!$E$5:$E$26,"Service")</f>
        <v>1</v>
      </c>
      <c r="F10" s="9" t="n">
        <f aca="false">COUNTIFS('Content Calendar'!$B$5:$B$26,A10,'Content Calendar'!$E$5:$E$26,"FAQ")</f>
        <v>0</v>
      </c>
      <c r="G10" s="9" t="n">
        <f aca="false">COUNTIFS('Content Calendar'!$B$5:$B$26,A10,'Content Calendar'!$E$5:$E$26,"Local")</f>
        <v>0</v>
      </c>
      <c r="H10" s="9" t="n">
        <f aca="false">COUNTIFS('Content Calendar'!$B$5:$B$26,A10,'Content Calendar'!$E$5:$E$26,"Promotional")</f>
        <v>1</v>
      </c>
      <c r="I10" s="10" t="n">
        <f aca="false">WORKDAY(B10,-2)</f>
        <v>46359</v>
      </c>
      <c r="J10" s="9" t="s">
        <v>366</v>
      </c>
    </row>
    <row r="11" customFormat="false" ht="15" hidden="false" customHeight="false" outlineLevel="0" collapsed="false">
      <c r="A11" s="9" t="n">
        <v>7</v>
      </c>
      <c r="B11" s="10" t="n">
        <v>46370</v>
      </c>
      <c r="C11" s="5" t="s">
        <v>372</v>
      </c>
      <c r="D11" s="9" t="n">
        <f aca="false">COUNTIF('Content Calendar'!$B$5:$B$26,A11)</f>
        <v>2</v>
      </c>
      <c r="E11" s="9" t="n">
        <f aca="false">COUNTIFS('Content Calendar'!$B$5:$B$26,A11,'Content Calendar'!$E$5:$E$26,"Service")</f>
        <v>0</v>
      </c>
      <c r="F11" s="9" t="n">
        <f aca="false">COUNTIFS('Content Calendar'!$B$5:$B$26,A11,'Content Calendar'!$E$5:$E$26,"FAQ")</f>
        <v>1</v>
      </c>
      <c r="G11" s="9" t="n">
        <f aca="false">COUNTIFS('Content Calendar'!$B$5:$B$26,A11,'Content Calendar'!$E$5:$E$26,"Local")</f>
        <v>1</v>
      </c>
      <c r="H11" s="9" t="n">
        <f aca="false">COUNTIFS('Content Calendar'!$B$5:$B$26,A11,'Content Calendar'!$E$5:$E$26,"Promotional")</f>
        <v>0</v>
      </c>
      <c r="I11" s="10" t="n">
        <f aca="false">WORKDAY(B11,-2)</f>
        <v>46366</v>
      </c>
      <c r="J11" s="9" t="s">
        <v>366</v>
      </c>
    </row>
    <row r="12" customFormat="false" ht="15" hidden="false" customHeight="false" outlineLevel="0" collapsed="false">
      <c r="A12" s="9" t="n">
        <v>8</v>
      </c>
      <c r="B12" s="10" t="n">
        <v>46377</v>
      </c>
      <c r="C12" s="5" t="s">
        <v>373</v>
      </c>
      <c r="D12" s="9" t="n">
        <f aca="false">COUNTIF('Content Calendar'!$B$5:$B$26,A12)</f>
        <v>2</v>
      </c>
      <c r="E12" s="9" t="n">
        <f aca="false">COUNTIFS('Content Calendar'!$B$5:$B$26,A12,'Content Calendar'!$E$5:$E$26,"Service")</f>
        <v>1</v>
      </c>
      <c r="F12" s="9" t="n">
        <f aca="false">COUNTIFS('Content Calendar'!$B$5:$B$26,A12,'Content Calendar'!$E$5:$E$26,"FAQ")</f>
        <v>0</v>
      </c>
      <c r="G12" s="9" t="n">
        <f aca="false">COUNTIFS('Content Calendar'!$B$5:$B$26,A12,'Content Calendar'!$E$5:$E$26,"Local")</f>
        <v>1</v>
      </c>
      <c r="H12" s="9" t="n">
        <f aca="false">COUNTIFS('Content Calendar'!$B$5:$B$26,A12,'Content Calendar'!$E$5:$E$26,"Promotional")</f>
        <v>0</v>
      </c>
      <c r="I12" s="10" t="n">
        <f aca="false">WORKDAY(B12,-2)</f>
        <v>46373</v>
      </c>
      <c r="J12" s="9" t="s">
        <v>366</v>
      </c>
    </row>
    <row r="13" customFormat="false" ht="15" hidden="false" customHeight="false" outlineLevel="0" collapsed="false">
      <c r="A13" s="9" t="n">
        <v>9</v>
      </c>
      <c r="B13" s="10" t="n">
        <v>46391</v>
      </c>
      <c r="C13" s="5" t="s">
        <v>374</v>
      </c>
      <c r="D13" s="9" t="n">
        <f aca="false">COUNTIF('Content Calendar'!$B$5:$B$26,A13)</f>
        <v>2</v>
      </c>
      <c r="E13" s="9" t="n">
        <f aca="false">COUNTIFS('Content Calendar'!$B$5:$B$26,A13,'Content Calendar'!$E$5:$E$26,"Service")</f>
        <v>1</v>
      </c>
      <c r="F13" s="9" t="n">
        <f aca="false">COUNTIFS('Content Calendar'!$B$5:$B$26,A13,'Content Calendar'!$E$5:$E$26,"FAQ")</f>
        <v>0</v>
      </c>
      <c r="G13" s="9" t="n">
        <f aca="false">COUNTIFS('Content Calendar'!$B$5:$B$26,A13,'Content Calendar'!$E$5:$E$26,"Local")</f>
        <v>0</v>
      </c>
      <c r="H13" s="9" t="n">
        <f aca="false">COUNTIFS('Content Calendar'!$B$5:$B$26,A13,'Content Calendar'!$E$5:$E$26,"Promotional")</f>
        <v>1</v>
      </c>
      <c r="I13" s="10" t="n">
        <f aca="false">WORKDAY(B13,-2)</f>
        <v>46387</v>
      </c>
      <c r="J13" s="9" t="s">
        <v>366</v>
      </c>
    </row>
    <row r="14" customFormat="false" ht="15" hidden="false" customHeight="false" outlineLevel="0" collapsed="false">
      <c r="A14" s="9" t="n">
        <v>10</v>
      </c>
      <c r="B14" s="10" t="n">
        <v>46398</v>
      </c>
      <c r="C14" s="5" t="s">
        <v>375</v>
      </c>
      <c r="D14" s="9" t="n">
        <f aca="false">COUNTIF('Content Calendar'!$B$5:$B$26,A14)</f>
        <v>2</v>
      </c>
      <c r="E14" s="9" t="n">
        <f aca="false">COUNTIFS('Content Calendar'!$B$5:$B$26,A14,'Content Calendar'!$E$5:$E$26,"Service")</f>
        <v>1</v>
      </c>
      <c r="F14" s="9" t="n">
        <f aca="false">COUNTIFS('Content Calendar'!$B$5:$B$26,A14,'Content Calendar'!$E$5:$E$26,"FAQ")</f>
        <v>1</v>
      </c>
      <c r="G14" s="9" t="n">
        <f aca="false">COUNTIFS('Content Calendar'!$B$5:$B$26,A14,'Content Calendar'!$E$5:$E$26,"Local")</f>
        <v>0</v>
      </c>
      <c r="H14" s="9" t="n">
        <f aca="false">COUNTIFS('Content Calendar'!$B$5:$B$26,A14,'Content Calendar'!$E$5:$E$26,"Promotional")</f>
        <v>0</v>
      </c>
      <c r="I14" s="10" t="n">
        <f aca="false">WORKDAY(B14,-2)</f>
        <v>46394</v>
      </c>
      <c r="J14" s="9" t="s">
        <v>366</v>
      </c>
    </row>
    <row r="15" customFormat="false" ht="15" hidden="false" customHeight="false" outlineLevel="0" collapsed="false">
      <c r="A15" s="9" t="n">
        <v>11</v>
      </c>
      <c r="B15" s="10" t="n">
        <v>46405</v>
      </c>
      <c r="C15" s="5" t="s">
        <v>376</v>
      </c>
      <c r="D15" s="9" t="n">
        <f aca="false">COUNTIF('Content Calendar'!$B$5:$B$26,A15)</f>
        <v>2</v>
      </c>
      <c r="E15" s="9" t="n">
        <f aca="false">COUNTIFS('Content Calendar'!$B$5:$B$26,A15,'Content Calendar'!$E$5:$E$26,"Service")</f>
        <v>0</v>
      </c>
      <c r="F15" s="9" t="n">
        <f aca="false">COUNTIFS('Content Calendar'!$B$5:$B$26,A15,'Content Calendar'!$E$5:$E$26,"FAQ")</f>
        <v>0</v>
      </c>
      <c r="G15" s="9" t="n">
        <f aca="false">COUNTIFS('Content Calendar'!$B$5:$B$26,A15,'Content Calendar'!$E$5:$E$26,"Local")</f>
        <v>1</v>
      </c>
      <c r="H15" s="9" t="n">
        <f aca="false">COUNTIFS('Content Calendar'!$B$5:$B$26,A15,'Content Calendar'!$E$5:$E$26,"Promotional")</f>
        <v>1</v>
      </c>
      <c r="I15" s="10" t="n">
        <f aca="false">WORKDAY(B15,-2)</f>
        <v>46401</v>
      </c>
      <c r="J15" s="9" t="s">
        <v>366</v>
      </c>
    </row>
    <row r="16" customFormat="false" ht="15" hidden="false" customHeight="false" outlineLevel="0" collapsed="false">
      <c r="A16" s="3" t="s">
        <v>61</v>
      </c>
      <c r="D16" s="11" t="n">
        <f aca="false">SUM(D5:D15)</f>
        <v>22</v>
      </c>
      <c r="E16" s="11" t="n">
        <f aca="false">SUM(E5:E15)</f>
        <v>8</v>
      </c>
      <c r="F16" s="11" t="n">
        <f aca="false">SUM(F5:F15)</f>
        <v>5</v>
      </c>
      <c r="G16" s="11" t="n">
        <f aca="false">SUM(G5:G15)</f>
        <v>5</v>
      </c>
      <c r="H16" s="11" t="n">
        <f aca="false">SUM(H5:H15)</f>
        <v>4</v>
      </c>
    </row>
  </sheetData>
  <dataValidations count="1">
    <dataValidation allowBlank="true" errorStyle="stop" operator="between" showDropDown="false" showErrorMessage="false" showInputMessage="false" sqref="J5:J15" type="list">
      <formula1>"Not started,Drafted,Client review,Scheduled,Done"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0"/>
    <col collapsed="false" customWidth="true" hidden="false" outlineLevel="0" max="5" min="5" style="0" width="42"/>
    <col collapsed="false" customWidth="true" hidden="false" outlineLevel="0" max="6" min="6" style="0" width="22"/>
    <col collapsed="false" customWidth="true" hidden="false" outlineLevel="0" max="7" min="7" style="0" width="42"/>
    <col collapsed="false" customWidth="true" hidden="false" outlineLevel="0" max="8" min="8" style="0" width="40"/>
    <col collapsed="false" customWidth="true" hidden="false" outlineLevel="0" max="9" min="9" style="0" width="13"/>
    <col collapsed="false" customWidth="true" hidden="false" outlineLevel="0" max="10" min="10" style="0" width="12"/>
    <col collapsed="false" customWidth="true" hidden="false" outlineLevel="0" max="11" min="11" style="0" width="36"/>
  </cols>
  <sheetData>
    <row r="1" customFormat="false" ht="17.35" hidden="false" customHeight="false" outlineLevel="0" collapsed="false">
      <c r="A1" s="1" t="s">
        <v>377</v>
      </c>
    </row>
    <row r="2" customFormat="false" ht="15" hidden="false" customHeight="false" outlineLevel="0" collapsed="false">
      <c r="A2" s="2" t="s">
        <v>378</v>
      </c>
    </row>
    <row r="4" customFormat="false" ht="15" hidden="false" customHeight="true" outlineLevel="0" collapsed="false">
      <c r="B4" s="4" t="s">
        <v>379</v>
      </c>
      <c r="C4" s="4" t="s">
        <v>380</v>
      </c>
      <c r="D4" s="4"/>
      <c r="E4" s="4"/>
    </row>
    <row r="5" customFormat="false" ht="30" hidden="false" customHeight="true" outlineLevel="0" collapsed="false">
      <c r="B5" s="5" t="s">
        <v>6</v>
      </c>
      <c r="C5" s="5" t="s">
        <v>381</v>
      </c>
      <c r="D5" s="5"/>
      <c r="E5" s="5"/>
    </row>
    <row r="6" customFormat="false" ht="15" hidden="false" customHeight="true" outlineLevel="0" collapsed="false">
      <c r="B6" s="5" t="s">
        <v>382</v>
      </c>
      <c r="C6" s="5" t="s">
        <v>383</v>
      </c>
      <c r="D6" s="5"/>
      <c r="E6" s="5"/>
    </row>
    <row r="7" customFormat="false" ht="15" hidden="false" customHeight="true" outlineLevel="0" collapsed="false">
      <c r="B7" s="5" t="s">
        <v>384</v>
      </c>
      <c r="C7" s="5" t="s">
        <v>385</v>
      </c>
      <c r="D7" s="5"/>
      <c r="E7" s="5"/>
    </row>
    <row r="8" customFormat="false" ht="15" hidden="false" customHeight="true" outlineLevel="0" collapsed="false">
      <c r="B8" s="5" t="s">
        <v>386</v>
      </c>
      <c r="C8" s="5" t="s">
        <v>387</v>
      </c>
      <c r="D8" s="5"/>
      <c r="E8" s="5"/>
    </row>
    <row r="9" customFormat="false" ht="15" hidden="false" customHeight="true" outlineLevel="0" collapsed="false">
      <c r="B9" s="5" t="s">
        <v>388</v>
      </c>
      <c r="C9" s="5" t="s">
        <v>222</v>
      </c>
      <c r="D9" s="5"/>
      <c r="E9" s="5"/>
    </row>
    <row r="10" customFormat="false" ht="15" hidden="false" customHeight="true" outlineLevel="0" collapsed="false">
      <c r="B10" s="5" t="s">
        <v>389</v>
      </c>
      <c r="C10" s="5" t="s">
        <v>390</v>
      </c>
      <c r="D10" s="5"/>
      <c r="E10" s="5"/>
    </row>
    <row r="11" customFormat="false" ht="30" hidden="false" customHeight="true" outlineLevel="0" collapsed="false">
      <c r="B11" s="5" t="s">
        <v>15</v>
      </c>
      <c r="C11" s="5" t="s">
        <v>391</v>
      </c>
      <c r="D11" s="5"/>
      <c r="E11" s="5"/>
    </row>
    <row r="12" customFormat="false" ht="15" hidden="false" customHeight="true" outlineLevel="0" collapsed="false">
      <c r="B12" s="5" t="s">
        <v>392</v>
      </c>
      <c r="C12" s="5" t="s">
        <v>393</v>
      </c>
      <c r="D12" s="5"/>
      <c r="E12" s="5"/>
    </row>
    <row r="13" customFormat="false" ht="45" hidden="false" customHeight="true" outlineLevel="0" collapsed="false">
      <c r="B13" s="5" t="s">
        <v>394</v>
      </c>
      <c r="C13" s="5" t="s">
        <v>395</v>
      </c>
      <c r="D13" s="5"/>
      <c r="E13" s="5"/>
    </row>
    <row r="15" customFormat="false" ht="15" hidden="false" customHeight="false" outlineLevel="0" collapsed="false">
      <c r="B15" s="3" t="s">
        <v>396</v>
      </c>
    </row>
    <row r="16" customFormat="false" ht="15" hidden="false" customHeight="false" outlineLevel="0" collapsed="false">
      <c r="A16" s="4" t="s">
        <v>85</v>
      </c>
      <c r="B16" s="4" t="s">
        <v>397</v>
      </c>
      <c r="C16" s="4" t="s">
        <v>398</v>
      </c>
      <c r="D16" s="4" t="s">
        <v>90</v>
      </c>
      <c r="E16" s="4" t="s">
        <v>399</v>
      </c>
      <c r="F16" s="4" t="s">
        <v>400</v>
      </c>
      <c r="G16" s="4" t="s">
        <v>401</v>
      </c>
      <c r="H16" s="4" t="s">
        <v>402</v>
      </c>
      <c r="I16" s="4" t="s">
        <v>403</v>
      </c>
      <c r="J16" s="4" t="s">
        <v>404</v>
      </c>
      <c r="K16" s="4" t="s">
        <v>405</v>
      </c>
    </row>
    <row r="17" customFormat="false" ht="23.85" hidden="false" customHeight="false" outlineLevel="0" collapsed="false">
      <c r="A17" s="9" t="n">
        <v>1</v>
      </c>
      <c r="B17" s="5" t="s">
        <v>406</v>
      </c>
      <c r="C17" s="5" t="s">
        <v>407</v>
      </c>
      <c r="D17" s="9" t="s">
        <v>95</v>
      </c>
      <c r="E17" s="5" t="s">
        <v>408</v>
      </c>
      <c r="F17" s="5" t="s">
        <v>409</v>
      </c>
      <c r="G17" s="5"/>
      <c r="H17" s="5" t="s">
        <v>410</v>
      </c>
      <c r="I17" s="9" t="s">
        <v>366</v>
      </c>
      <c r="J17" s="9"/>
      <c r="K17" s="5"/>
    </row>
    <row r="18" customFormat="false" ht="15" hidden="false" customHeight="false" outlineLevel="0" collapsed="false">
      <c r="A18" s="9" t="n">
        <v>2</v>
      </c>
      <c r="B18" s="5" t="s">
        <v>411</v>
      </c>
      <c r="C18" s="5" t="s">
        <v>407</v>
      </c>
      <c r="D18" s="9" t="s">
        <v>95</v>
      </c>
      <c r="E18" s="5" t="s">
        <v>412</v>
      </c>
      <c r="F18" s="5" t="s">
        <v>413</v>
      </c>
      <c r="G18" s="5"/>
      <c r="H18" s="5" t="s">
        <v>414</v>
      </c>
      <c r="I18" s="9" t="s">
        <v>366</v>
      </c>
      <c r="J18" s="9"/>
      <c r="K18" s="5"/>
    </row>
    <row r="19" customFormat="false" ht="15" hidden="false" customHeight="false" outlineLevel="0" collapsed="false">
      <c r="A19" s="9" t="n">
        <v>3</v>
      </c>
      <c r="B19" s="5" t="s">
        <v>415</v>
      </c>
      <c r="C19" s="5" t="s">
        <v>407</v>
      </c>
      <c r="D19" s="9" t="s">
        <v>95</v>
      </c>
      <c r="E19" s="5" t="s">
        <v>416</v>
      </c>
      <c r="F19" s="5" t="s">
        <v>413</v>
      </c>
      <c r="G19" s="5"/>
      <c r="H19" s="5" t="s">
        <v>417</v>
      </c>
      <c r="I19" s="9" t="s">
        <v>366</v>
      </c>
      <c r="J19" s="9"/>
      <c r="K19" s="5"/>
    </row>
    <row r="20" customFormat="false" ht="15" hidden="false" customHeight="false" outlineLevel="0" collapsed="false">
      <c r="A20" s="9" t="n">
        <v>4</v>
      </c>
      <c r="B20" s="5" t="s">
        <v>418</v>
      </c>
      <c r="C20" s="5" t="s">
        <v>419</v>
      </c>
      <c r="D20" s="9" t="s">
        <v>95</v>
      </c>
      <c r="E20" s="5" t="s">
        <v>131</v>
      </c>
      <c r="F20" s="5" t="s">
        <v>420</v>
      </c>
      <c r="G20" s="5"/>
      <c r="H20" s="5" t="s">
        <v>421</v>
      </c>
      <c r="I20" s="9" t="s">
        <v>366</v>
      </c>
      <c r="J20" s="9"/>
      <c r="K20" s="5"/>
    </row>
    <row r="21" customFormat="false" ht="23.85" hidden="false" customHeight="false" outlineLevel="0" collapsed="false">
      <c r="A21" s="9" t="n">
        <v>5</v>
      </c>
      <c r="B21" s="5" t="s">
        <v>422</v>
      </c>
      <c r="C21" s="5" t="s">
        <v>423</v>
      </c>
      <c r="D21" s="9" t="s">
        <v>108</v>
      </c>
      <c r="E21" s="5" t="s">
        <v>424</v>
      </c>
      <c r="F21" s="5" t="s">
        <v>420</v>
      </c>
      <c r="G21" s="5"/>
      <c r="H21" s="5" t="s">
        <v>425</v>
      </c>
      <c r="I21" s="9" t="s">
        <v>366</v>
      </c>
      <c r="J21" s="9"/>
      <c r="K21" s="5"/>
    </row>
    <row r="22" customFormat="false" ht="23.85" hidden="false" customHeight="false" outlineLevel="0" collapsed="false">
      <c r="A22" s="9" t="n">
        <v>6</v>
      </c>
      <c r="B22" s="5" t="s">
        <v>426</v>
      </c>
      <c r="C22" s="5" t="s">
        <v>407</v>
      </c>
      <c r="D22" s="9" t="s">
        <v>95</v>
      </c>
      <c r="E22" s="5" t="s">
        <v>427</v>
      </c>
      <c r="F22" s="5" t="s">
        <v>428</v>
      </c>
      <c r="G22" s="5" t="s">
        <v>429</v>
      </c>
      <c r="H22" s="5" t="s">
        <v>430</v>
      </c>
      <c r="I22" s="9" t="s">
        <v>366</v>
      </c>
      <c r="J22" s="9"/>
      <c r="K22" s="5"/>
    </row>
    <row r="23" customFormat="false" ht="35.05" hidden="false" customHeight="false" outlineLevel="0" collapsed="false">
      <c r="A23" s="9" t="n">
        <v>7</v>
      </c>
      <c r="B23" s="5" t="s">
        <v>431</v>
      </c>
      <c r="C23" s="5" t="s">
        <v>407</v>
      </c>
      <c r="D23" s="9" t="s">
        <v>95</v>
      </c>
      <c r="E23" s="5" t="s">
        <v>432</v>
      </c>
      <c r="F23" s="5" t="s">
        <v>420</v>
      </c>
      <c r="G23" s="5"/>
      <c r="H23" s="5" t="s">
        <v>433</v>
      </c>
      <c r="I23" s="9" t="s">
        <v>366</v>
      </c>
      <c r="J23" s="9"/>
      <c r="K23" s="5"/>
    </row>
    <row r="24" customFormat="false" ht="35.05" hidden="false" customHeight="false" outlineLevel="0" collapsed="false">
      <c r="A24" s="9" t="n">
        <v>8</v>
      </c>
      <c r="B24" s="5" t="s">
        <v>434</v>
      </c>
      <c r="C24" s="5" t="s">
        <v>435</v>
      </c>
      <c r="D24" s="9" t="s">
        <v>108</v>
      </c>
      <c r="E24" s="5" t="s">
        <v>436</v>
      </c>
      <c r="F24" s="5" t="s">
        <v>420</v>
      </c>
      <c r="G24" s="5"/>
      <c r="H24" s="5" t="s">
        <v>437</v>
      </c>
      <c r="I24" s="9" t="s">
        <v>366</v>
      </c>
      <c r="J24" s="9"/>
      <c r="K24" s="5"/>
    </row>
    <row r="25" customFormat="false" ht="15" hidden="false" customHeight="false" outlineLevel="0" collapsed="false">
      <c r="A25" s="9" t="n">
        <v>9</v>
      </c>
      <c r="B25" s="5" t="s">
        <v>438</v>
      </c>
      <c r="C25" s="5" t="s">
        <v>435</v>
      </c>
      <c r="D25" s="9" t="s">
        <v>108</v>
      </c>
      <c r="E25" s="5" t="s">
        <v>439</v>
      </c>
      <c r="F25" s="5" t="s">
        <v>413</v>
      </c>
      <c r="G25" s="5" t="s">
        <v>440</v>
      </c>
      <c r="H25" s="5" t="s">
        <v>441</v>
      </c>
      <c r="I25" s="9" t="s">
        <v>366</v>
      </c>
      <c r="J25" s="9"/>
      <c r="K25" s="5"/>
    </row>
    <row r="26" customFormat="false" ht="35.05" hidden="false" customHeight="false" outlineLevel="0" collapsed="false">
      <c r="A26" s="9" t="n">
        <v>10</v>
      </c>
      <c r="B26" s="5" t="s">
        <v>442</v>
      </c>
      <c r="C26" s="5" t="s">
        <v>435</v>
      </c>
      <c r="D26" s="9" t="s">
        <v>108</v>
      </c>
      <c r="E26" s="5" t="s">
        <v>443</v>
      </c>
      <c r="F26" s="5" t="s">
        <v>420</v>
      </c>
      <c r="G26" s="5" t="s">
        <v>444</v>
      </c>
      <c r="H26" s="5" t="s">
        <v>445</v>
      </c>
      <c r="I26" s="9" t="s">
        <v>366</v>
      </c>
      <c r="J26" s="9"/>
      <c r="K26" s="5"/>
    </row>
    <row r="27" customFormat="false" ht="23.85" hidden="false" customHeight="false" outlineLevel="0" collapsed="false">
      <c r="A27" s="9" t="n">
        <v>11</v>
      </c>
      <c r="B27" s="5" t="s">
        <v>446</v>
      </c>
      <c r="C27" s="5" t="s">
        <v>435</v>
      </c>
      <c r="D27" s="9" t="s">
        <v>108</v>
      </c>
      <c r="E27" s="5" t="s">
        <v>111</v>
      </c>
      <c r="F27" s="5" t="s">
        <v>447</v>
      </c>
      <c r="G27" s="5" t="s">
        <v>448</v>
      </c>
      <c r="H27" s="5" t="s">
        <v>449</v>
      </c>
      <c r="I27" s="9" t="s">
        <v>366</v>
      </c>
      <c r="J27" s="9"/>
      <c r="K27" s="5"/>
    </row>
    <row r="28" customFormat="false" ht="23.85" hidden="false" customHeight="false" outlineLevel="0" collapsed="false">
      <c r="A28" s="9" t="n">
        <v>12</v>
      </c>
      <c r="B28" s="5" t="s">
        <v>450</v>
      </c>
      <c r="C28" s="5" t="s">
        <v>435</v>
      </c>
      <c r="D28" s="9" t="s">
        <v>108</v>
      </c>
      <c r="E28" s="5" t="s">
        <v>451</v>
      </c>
      <c r="F28" s="5" t="s">
        <v>420</v>
      </c>
      <c r="G28" s="5" t="s">
        <v>452</v>
      </c>
      <c r="H28" s="5" t="s">
        <v>453</v>
      </c>
      <c r="I28" s="9" t="s">
        <v>366</v>
      </c>
      <c r="J28" s="9"/>
      <c r="K28" s="5"/>
    </row>
    <row r="29" customFormat="false" ht="23.85" hidden="false" customHeight="false" outlineLevel="0" collapsed="false">
      <c r="A29" s="9" t="n">
        <v>13</v>
      </c>
      <c r="B29" s="5" t="s">
        <v>454</v>
      </c>
      <c r="C29" s="5" t="s">
        <v>455</v>
      </c>
      <c r="D29" s="9" t="s">
        <v>124</v>
      </c>
      <c r="E29" s="5" t="s">
        <v>456</v>
      </c>
      <c r="F29" s="5" t="s">
        <v>420</v>
      </c>
      <c r="G29" s="5"/>
      <c r="H29" s="5" t="s">
        <v>457</v>
      </c>
      <c r="I29" s="9" t="s">
        <v>366</v>
      </c>
      <c r="J29" s="9"/>
      <c r="K29" s="5"/>
    </row>
    <row r="30" customFormat="false" ht="23.85" hidden="false" customHeight="false" outlineLevel="0" collapsed="false">
      <c r="A30" s="9" t="n">
        <v>14</v>
      </c>
      <c r="B30" s="5" t="s">
        <v>458</v>
      </c>
      <c r="C30" s="5" t="s">
        <v>455</v>
      </c>
      <c r="D30" s="9" t="s">
        <v>124</v>
      </c>
      <c r="E30" s="5" t="s">
        <v>459</v>
      </c>
      <c r="F30" s="5" t="s">
        <v>420</v>
      </c>
      <c r="G30" s="5" t="s">
        <v>460</v>
      </c>
      <c r="H30" s="5" t="s">
        <v>461</v>
      </c>
      <c r="I30" s="9" t="s">
        <v>366</v>
      </c>
      <c r="J30" s="9"/>
      <c r="K30" s="5"/>
    </row>
    <row r="31" customFormat="false" ht="15" hidden="false" customHeight="false" outlineLevel="0" collapsed="false">
      <c r="A31" s="9" t="n">
        <v>15</v>
      </c>
      <c r="B31" s="5" t="s">
        <v>462</v>
      </c>
      <c r="C31" s="5" t="s">
        <v>463</v>
      </c>
      <c r="D31" s="9" t="s">
        <v>124</v>
      </c>
      <c r="E31" s="5" t="s">
        <v>464</v>
      </c>
      <c r="F31" s="5" t="s">
        <v>420</v>
      </c>
      <c r="G31" s="5"/>
      <c r="H31" s="5" t="s">
        <v>465</v>
      </c>
      <c r="I31" s="9" t="s">
        <v>366</v>
      </c>
      <c r="J31" s="9"/>
      <c r="K31" s="5"/>
    </row>
    <row r="32" customFormat="false" ht="15" hidden="false" customHeight="false" outlineLevel="0" collapsed="false">
      <c r="A32" s="9" t="n">
        <v>16</v>
      </c>
      <c r="B32" s="5" t="s">
        <v>466</v>
      </c>
      <c r="C32" s="5" t="s">
        <v>59</v>
      </c>
      <c r="D32" s="9" t="s">
        <v>95</v>
      </c>
      <c r="E32" s="5" t="s">
        <v>467</v>
      </c>
      <c r="F32" s="5" t="s">
        <v>413</v>
      </c>
      <c r="G32" s="5" t="s">
        <v>468</v>
      </c>
      <c r="H32" s="5" t="s">
        <v>469</v>
      </c>
      <c r="I32" s="9" t="s">
        <v>366</v>
      </c>
      <c r="J32" s="9"/>
      <c r="K32" s="5"/>
    </row>
    <row r="33" customFormat="false" ht="15" hidden="false" customHeight="false" outlineLevel="0" collapsed="false">
      <c r="A33" s="9" t="n">
        <v>17</v>
      </c>
      <c r="B33" s="5" t="s">
        <v>470</v>
      </c>
      <c r="C33" s="5" t="s">
        <v>435</v>
      </c>
      <c r="D33" s="9" t="s">
        <v>108</v>
      </c>
      <c r="E33" s="5" t="s">
        <v>471</v>
      </c>
      <c r="F33" s="5" t="s">
        <v>413</v>
      </c>
      <c r="G33" s="5"/>
      <c r="H33" s="5" t="s">
        <v>472</v>
      </c>
      <c r="I33" s="9" t="s">
        <v>366</v>
      </c>
      <c r="J33" s="9"/>
      <c r="K33" s="5"/>
    </row>
    <row r="34" customFormat="false" ht="15" hidden="false" customHeight="false" outlineLevel="0" collapsed="false">
      <c r="A34" s="9" t="n">
        <v>18</v>
      </c>
      <c r="B34" s="5" t="s">
        <v>473</v>
      </c>
      <c r="C34" s="5" t="s">
        <v>455</v>
      </c>
      <c r="D34" s="9" t="s">
        <v>108</v>
      </c>
      <c r="E34" s="5" t="s">
        <v>474</v>
      </c>
      <c r="F34" s="5" t="s">
        <v>413</v>
      </c>
      <c r="G34" s="5"/>
      <c r="H34" s="5" t="s">
        <v>475</v>
      </c>
      <c r="I34" s="9" t="s">
        <v>366</v>
      </c>
      <c r="J34" s="9"/>
      <c r="K34" s="5"/>
    </row>
    <row r="35" customFormat="false" ht="15" hidden="false" customHeight="false" outlineLevel="0" collapsed="false">
      <c r="A35" s="9" t="n">
        <v>19</v>
      </c>
      <c r="B35" s="5" t="s">
        <v>476</v>
      </c>
      <c r="C35" s="5" t="s">
        <v>477</v>
      </c>
      <c r="D35" s="9" t="s">
        <v>108</v>
      </c>
      <c r="E35" s="5" t="s">
        <v>478</v>
      </c>
      <c r="F35" s="5" t="s">
        <v>413</v>
      </c>
      <c r="G35" s="5"/>
      <c r="H35" s="5" t="s">
        <v>457</v>
      </c>
      <c r="I35" s="9" t="s">
        <v>366</v>
      </c>
      <c r="J35" s="9"/>
      <c r="K35" s="5"/>
    </row>
    <row r="36" customFormat="false" ht="15" hidden="false" customHeight="false" outlineLevel="0" collapsed="false">
      <c r="A36" s="9" t="n">
        <v>20</v>
      </c>
      <c r="B36" s="5" t="s">
        <v>479</v>
      </c>
      <c r="C36" s="5" t="s">
        <v>480</v>
      </c>
      <c r="D36" s="9" t="s">
        <v>95</v>
      </c>
      <c r="E36" s="5" t="s">
        <v>481</v>
      </c>
      <c r="F36" s="5" t="s">
        <v>413</v>
      </c>
      <c r="G36" s="5" t="s">
        <v>482</v>
      </c>
      <c r="H36" s="5" t="s">
        <v>483</v>
      </c>
      <c r="I36" s="9" t="s">
        <v>366</v>
      </c>
      <c r="J36" s="9"/>
      <c r="K36" s="5"/>
    </row>
    <row r="37" customFormat="false" ht="23.85" hidden="false" customHeight="false" outlineLevel="0" collapsed="false">
      <c r="A37" s="9" t="n">
        <v>21</v>
      </c>
      <c r="B37" s="5" t="s">
        <v>484</v>
      </c>
      <c r="C37" s="5" t="s">
        <v>480</v>
      </c>
      <c r="D37" s="9" t="s">
        <v>95</v>
      </c>
      <c r="E37" s="5" t="s">
        <v>485</v>
      </c>
      <c r="F37" s="5" t="s">
        <v>413</v>
      </c>
      <c r="G37" s="5"/>
      <c r="H37" s="5" t="s">
        <v>486</v>
      </c>
      <c r="I37" s="9" t="s">
        <v>366</v>
      </c>
      <c r="J37" s="9"/>
      <c r="K37" s="5"/>
    </row>
    <row r="38" customFormat="false" ht="15" hidden="false" customHeight="false" outlineLevel="0" collapsed="false">
      <c r="A38" s="9" t="n">
        <v>22</v>
      </c>
      <c r="B38" s="5" t="s">
        <v>487</v>
      </c>
      <c r="C38" s="5" t="s">
        <v>480</v>
      </c>
      <c r="D38" s="9" t="s">
        <v>95</v>
      </c>
      <c r="E38" s="5" t="s">
        <v>488</v>
      </c>
      <c r="F38" s="5" t="s">
        <v>413</v>
      </c>
      <c r="G38" s="5"/>
      <c r="H38" s="5" t="s">
        <v>486</v>
      </c>
      <c r="I38" s="9" t="s">
        <v>366</v>
      </c>
      <c r="J38" s="9"/>
      <c r="K38" s="5"/>
    </row>
    <row r="39" customFormat="false" ht="15" hidden="false" customHeight="false" outlineLevel="0" collapsed="false">
      <c r="A39" s="9" t="n">
        <v>23</v>
      </c>
      <c r="B39" s="5" t="s">
        <v>489</v>
      </c>
      <c r="C39" s="5" t="s">
        <v>455</v>
      </c>
      <c r="D39" s="9" t="s">
        <v>124</v>
      </c>
      <c r="E39" s="5" t="s">
        <v>490</v>
      </c>
      <c r="F39" s="5" t="s">
        <v>413</v>
      </c>
      <c r="G39" s="5"/>
      <c r="H39" s="5" t="s">
        <v>475</v>
      </c>
      <c r="I39" s="9" t="s">
        <v>366</v>
      </c>
      <c r="J39" s="9"/>
      <c r="K39" s="5"/>
    </row>
    <row r="40" customFormat="false" ht="15" hidden="false" customHeight="false" outlineLevel="0" collapsed="false">
      <c r="A40" s="9" t="n">
        <v>24</v>
      </c>
      <c r="B40" s="5" t="s">
        <v>491</v>
      </c>
      <c r="C40" s="5" t="s">
        <v>455</v>
      </c>
      <c r="D40" s="9" t="s">
        <v>124</v>
      </c>
      <c r="E40" s="5" t="s">
        <v>492</v>
      </c>
      <c r="F40" s="5" t="s">
        <v>413</v>
      </c>
      <c r="G40" s="5"/>
      <c r="H40" s="5" t="s">
        <v>493</v>
      </c>
      <c r="I40" s="9" t="s">
        <v>366</v>
      </c>
      <c r="J40" s="9"/>
      <c r="K40" s="5"/>
    </row>
    <row r="41" customFormat="false" ht="15" hidden="false" customHeight="false" outlineLevel="0" collapsed="false">
      <c r="A41" s="9" t="n">
        <v>25</v>
      </c>
      <c r="B41" s="5" t="s">
        <v>494</v>
      </c>
      <c r="C41" s="5" t="s">
        <v>455</v>
      </c>
      <c r="D41" s="9" t="s">
        <v>124</v>
      </c>
      <c r="E41" s="5" t="s">
        <v>495</v>
      </c>
      <c r="F41" s="5" t="s">
        <v>413</v>
      </c>
      <c r="G41" s="5"/>
      <c r="H41" s="5" t="s">
        <v>493</v>
      </c>
      <c r="I41" s="9" t="s">
        <v>366</v>
      </c>
      <c r="J41" s="9"/>
      <c r="K41" s="5"/>
    </row>
    <row r="42" customFormat="false" ht="15" hidden="false" customHeight="false" outlineLevel="0" collapsed="false">
      <c r="A42" s="9" t="n">
        <v>26</v>
      </c>
      <c r="B42" s="5" t="s">
        <v>496</v>
      </c>
      <c r="C42" s="5" t="s">
        <v>455</v>
      </c>
      <c r="D42" s="9" t="s">
        <v>124</v>
      </c>
      <c r="E42" s="5" t="s">
        <v>497</v>
      </c>
      <c r="F42" s="5" t="s">
        <v>413</v>
      </c>
      <c r="G42" s="5"/>
      <c r="H42" s="5" t="s">
        <v>493</v>
      </c>
      <c r="I42" s="9" t="s">
        <v>366</v>
      </c>
      <c r="J42" s="9"/>
      <c r="K42" s="5"/>
    </row>
    <row r="43" customFormat="false" ht="23.85" hidden="false" customHeight="false" outlineLevel="0" collapsed="false">
      <c r="A43" s="9" t="n">
        <v>27</v>
      </c>
      <c r="B43" s="5" t="s">
        <v>498</v>
      </c>
      <c r="C43" s="5" t="s">
        <v>463</v>
      </c>
      <c r="D43" s="9" t="s">
        <v>108</v>
      </c>
      <c r="E43" s="5" t="s">
        <v>499</v>
      </c>
      <c r="F43" s="5" t="s">
        <v>413</v>
      </c>
      <c r="G43" s="5" t="s">
        <v>500</v>
      </c>
      <c r="H43" s="5" t="s">
        <v>501</v>
      </c>
      <c r="I43" s="9" t="s">
        <v>366</v>
      </c>
      <c r="J43" s="9"/>
      <c r="K43" s="5"/>
    </row>
    <row r="44" customFormat="false" ht="15" hidden="false" customHeight="false" outlineLevel="0" collapsed="false">
      <c r="A44" s="9" t="n">
        <v>28</v>
      </c>
      <c r="B44" s="5" t="s">
        <v>502</v>
      </c>
      <c r="C44" s="5" t="s">
        <v>503</v>
      </c>
      <c r="D44" s="9" t="s">
        <v>108</v>
      </c>
      <c r="E44" s="5" t="s">
        <v>504</v>
      </c>
      <c r="F44" s="5" t="s">
        <v>413</v>
      </c>
      <c r="G44" s="5" t="s">
        <v>505</v>
      </c>
      <c r="H44" s="5" t="s">
        <v>506</v>
      </c>
      <c r="I44" s="9" t="s">
        <v>366</v>
      </c>
      <c r="J44" s="9"/>
      <c r="K44" s="5"/>
    </row>
    <row r="45" customFormat="false" ht="15" hidden="false" customHeight="false" outlineLevel="0" collapsed="false">
      <c r="A45" s="9" t="n">
        <v>29</v>
      </c>
      <c r="B45" s="5" t="s">
        <v>507</v>
      </c>
      <c r="C45" s="5" t="s">
        <v>503</v>
      </c>
      <c r="D45" s="9" t="s">
        <v>108</v>
      </c>
      <c r="E45" s="5" t="s">
        <v>508</v>
      </c>
      <c r="F45" s="5" t="s">
        <v>413</v>
      </c>
      <c r="G45" s="5" t="s">
        <v>509</v>
      </c>
      <c r="H45" s="5" t="s">
        <v>506</v>
      </c>
      <c r="I45" s="9" t="s">
        <v>366</v>
      </c>
      <c r="J45" s="9"/>
      <c r="K45" s="5"/>
    </row>
    <row r="46" customFormat="false" ht="23.85" hidden="false" customHeight="false" outlineLevel="0" collapsed="false">
      <c r="A46" s="9" t="n">
        <v>30</v>
      </c>
      <c r="B46" s="5" t="s">
        <v>510</v>
      </c>
      <c r="C46" s="5" t="s">
        <v>59</v>
      </c>
      <c r="D46" s="9" t="s">
        <v>108</v>
      </c>
      <c r="E46" s="5" t="s">
        <v>511</v>
      </c>
      <c r="F46" s="5" t="s">
        <v>413</v>
      </c>
      <c r="G46" s="5" t="s">
        <v>512</v>
      </c>
      <c r="H46" s="5" t="s">
        <v>513</v>
      </c>
      <c r="I46" s="9" t="s">
        <v>366</v>
      </c>
      <c r="J46" s="9"/>
      <c r="K46" s="5"/>
    </row>
    <row r="48" customFormat="false" ht="15" hidden="false" customHeight="false" outlineLevel="0" collapsed="false">
      <c r="B48" s="3" t="s">
        <v>514</v>
      </c>
    </row>
    <row r="49" customFormat="false" ht="15" hidden="false" customHeight="false" outlineLevel="0" collapsed="false">
      <c r="B49" s="12" t="s">
        <v>515</v>
      </c>
      <c r="C49" s="13" t="n">
        <f aca="false">COUNTA(B17:B46)</f>
        <v>30</v>
      </c>
    </row>
    <row r="50" customFormat="false" ht="15" hidden="false" customHeight="false" outlineLevel="0" collapsed="false">
      <c r="B50" s="12" t="s">
        <v>516</v>
      </c>
      <c r="C50" s="13" t="n">
        <f aca="false">COUNTIF(D17:D46,"High")</f>
        <v>10</v>
      </c>
    </row>
    <row r="51" customFormat="false" ht="15" hidden="false" customHeight="false" outlineLevel="0" collapsed="false">
      <c r="B51" s="12" t="s">
        <v>517</v>
      </c>
      <c r="C51" s="13" t="n">
        <f aca="false">COUNTIF(I17:I46,"Live")</f>
        <v>0</v>
      </c>
    </row>
    <row r="52" customFormat="false" ht="15" hidden="false" customHeight="false" outlineLevel="0" collapsed="false">
      <c r="B52" s="12" t="s">
        <v>518</v>
      </c>
      <c r="C52" s="13" t="n">
        <f aca="false">COUNTIF(I17:I46,"Needs fix")</f>
        <v>0</v>
      </c>
    </row>
    <row r="53" customFormat="false" ht="15" hidden="false" customHeight="false" outlineLevel="0" collapsed="false">
      <c r="B53" s="12" t="s">
        <v>366</v>
      </c>
      <c r="C53" s="13" t="n">
        <f aca="false">COUNTIF(I17:I46,"Not started")</f>
        <v>30</v>
      </c>
    </row>
  </sheetData>
  <mergeCells count="10">
    <mergeCell ref="C4:E4"/>
    <mergeCell ref="C5:E5"/>
    <mergeCell ref="C6:E6"/>
    <mergeCell ref="C7:E7"/>
    <mergeCell ref="C8:E8"/>
    <mergeCell ref="C9:E9"/>
    <mergeCell ref="C10:E10"/>
    <mergeCell ref="C11:E11"/>
    <mergeCell ref="C12:E12"/>
    <mergeCell ref="C13:E13"/>
  </mergeCells>
  <dataValidations count="1">
    <dataValidation allowBlank="true" errorStyle="stop" operator="between" showDropDown="false" showErrorMessage="false" showInputMessage="false" sqref="I17:I46" type="list">
      <formula1>"Not started,In progress,Submitted,Live,Needs fix"</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4"/>
    <col collapsed="false" customWidth="true" hidden="false" outlineLevel="0" max="7" min="4" style="0" width="12"/>
    <col collapsed="false" customWidth="true" hidden="false" outlineLevel="0" max="9" min="8" style="0" width="14"/>
    <col collapsed="false" customWidth="true" hidden="false" outlineLevel="0" max="10" min="10" style="0" width="11"/>
    <col collapsed="false" customWidth="true" hidden="false" outlineLevel="0" max="11" min="11" style="0" width="10"/>
  </cols>
  <sheetData>
    <row r="1" customFormat="false" ht="17.35" hidden="false" customHeight="false" outlineLevel="0" collapsed="false">
      <c r="A1" s="1" t="s">
        <v>519</v>
      </c>
    </row>
    <row r="2" customFormat="false" ht="15" hidden="false" customHeight="false" outlineLevel="0" collapsed="false">
      <c r="A2" s="2" t="s">
        <v>520</v>
      </c>
    </row>
    <row r="4" customFormat="false" ht="35.05" hidden="false" customHeight="false" outlineLevel="0" collapsed="false">
      <c r="A4" s="4" t="s">
        <v>173</v>
      </c>
      <c r="B4" s="4" t="s">
        <v>521</v>
      </c>
      <c r="C4" s="4" t="s">
        <v>522</v>
      </c>
      <c r="D4" s="4" t="s">
        <v>523</v>
      </c>
      <c r="E4" s="4" t="s">
        <v>524</v>
      </c>
      <c r="F4" s="4" t="s">
        <v>525</v>
      </c>
      <c r="G4" s="4" t="s">
        <v>526</v>
      </c>
      <c r="H4" s="4" t="s">
        <v>527</v>
      </c>
      <c r="I4" s="4" t="s">
        <v>528</v>
      </c>
      <c r="J4" s="4" t="s">
        <v>529</v>
      </c>
      <c r="K4" s="4" t="s">
        <v>530</v>
      </c>
    </row>
    <row r="5" customFormat="false" ht="15" hidden="false" customHeight="false" outlineLevel="0" collapsed="false">
      <c r="A5" s="9" t="str">
        <f aca="false">'Content Calendar'!A5</f>
        <v>PF-01</v>
      </c>
      <c r="B5" s="9" t="str">
        <f aca="false">IF(LEN('Content Calendar'!J5)&lt;=1500,"Pass","Fail")</f>
        <v>Pass</v>
      </c>
      <c r="C5" s="9" t="str">
        <f aca="false">IF(SUMPRODUCT(--ISNUMBER(SEARCH({"405","921-3426","473-2695","9213426"},'Content Calendar'!J5)))=0,"Pass","Fail")</f>
        <v>Pass</v>
      </c>
      <c r="D5" s="9" t="str">
        <f aca="false">IF(ISNUMBER(SEARCH("@",'Content Calendar'!J5)),"Fail","Pass")</f>
        <v>Pass</v>
      </c>
      <c r="E5" s="9" t="str">
        <f aca="false">IF(OR(ISNUMBER(SEARCH("http",'Content Calendar'!J5)),ISNUMBER(SEARCH("www.",'Content Calendar'!J5)),ISNUMBER(SEARCH(".com",'Content Calendar'!J5))),"Fail","Pass")</f>
        <v>Pass</v>
      </c>
      <c r="F5" s="9" t="str">
        <f aca="false">IF(LEN('Content Calendar'!L5)&gt;0,"Pass","Fail")</f>
        <v>Pass</v>
      </c>
      <c r="G5" s="9" t="str">
        <f aca="false">IF(AND(ISNUMBER(SEARCH("utm_source=google",'Content Calendar'!O5)),ISNUMBER(SEARCH("utm_content=",'Content Calendar'!O5))),"Pass","Fail")</f>
        <v>Pass</v>
      </c>
      <c r="H5" s="9" t="str">
        <f aca="false">IF(ISNUMBER(SEARCH(Overview!$B$23,'Content Calendar'!M5)),"Pass","Fail")</f>
        <v>Pass</v>
      </c>
      <c r="I5" s="9" t="str">
        <f aca="false">IF('Content Calendar'!F5="Offer",IF(AND(LEN('Content Calendar'!I5)&gt;0,LEN('Content Calendar'!I5)&lt;=58),"Pass","Fail"),"N/A")</f>
        <v>N/A</v>
      </c>
      <c r="J5" s="9" t="str">
        <f aca="false">IF(OR('Content Calendar'!E5="Service",'Content Calendar'!E5="FAQ",'Content Calendar'!E5="Local",'Content Calendar'!E5="Promotional"),"Pass","Fail")</f>
        <v>Pass</v>
      </c>
      <c r="K5" s="9" t="str">
        <f aca="false">IF(COUNTIF(B5:J5,"Fail")=0,"Pass","Fail")</f>
        <v>Pass</v>
      </c>
    </row>
    <row r="6" customFormat="false" ht="15" hidden="false" customHeight="false" outlineLevel="0" collapsed="false">
      <c r="A6" s="9" t="str">
        <f aca="false">'Content Calendar'!A6</f>
        <v>PF-02</v>
      </c>
      <c r="B6" s="9" t="str">
        <f aca="false">IF(LEN('Content Calendar'!J6)&lt;=1500,"Pass","Fail")</f>
        <v>Pass</v>
      </c>
      <c r="C6" s="9" t="str">
        <f aca="false">IF(SUMPRODUCT(--ISNUMBER(SEARCH({"405","921-3426","473-2695","9213426"},'Content Calendar'!J6)))=0,"Pass","Fail")</f>
        <v>Pass</v>
      </c>
      <c r="D6" s="9" t="str">
        <f aca="false">IF(ISNUMBER(SEARCH("@",'Content Calendar'!J6)),"Fail","Pass")</f>
        <v>Pass</v>
      </c>
      <c r="E6" s="9" t="str">
        <f aca="false">IF(OR(ISNUMBER(SEARCH("http",'Content Calendar'!J6)),ISNUMBER(SEARCH("www.",'Content Calendar'!J6)),ISNUMBER(SEARCH(".com",'Content Calendar'!J6))),"Fail","Pass")</f>
        <v>Pass</v>
      </c>
      <c r="F6" s="9" t="str">
        <f aca="false">IF(LEN('Content Calendar'!L6)&gt;0,"Pass","Fail")</f>
        <v>Pass</v>
      </c>
      <c r="G6" s="9" t="str">
        <f aca="false">IF(AND(ISNUMBER(SEARCH("utm_source=google",'Content Calendar'!O6)),ISNUMBER(SEARCH("utm_content=",'Content Calendar'!O6))),"Pass","Fail")</f>
        <v>Pass</v>
      </c>
      <c r="H6" s="9" t="str">
        <f aca="false">IF(ISNUMBER(SEARCH(Overview!$B$23,'Content Calendar'!M6)),"Pass","Fail")</f>
        <v>Pass</v>
      </c>
      <c r="I6" s="9" t="str">
        <f aca="false">IF('Content Calendar'!F6="Offer",IF(AND(LEN('Content Calendar'!I6)&gt;0,LEN('Content Calendar'!I6)&lt;=58),"Pass","Fail"),"N/A")</f>
        <v>N/A</v>
      </c>
      <c r="J6" s="9" t="str">
        <f aca="false">IF(OR('Content Calendar'!E6="Service",'Content Calendar'!E6="FAQ",'Content Calendar'!E6="Local",'Content Calendar'!E6="Promotional"),"Pass","Fail")</f>
        <v>Pass</v>
      </c>
      <c r="K6" s="9" t="str">
        <f aca="false">IF(COUNTIF(B6:J6,"Fail")=0,"Pass","Fail")</f>
        <v>Pass</v>
      </c>
    </row>
    <row r="7" customFormat="false" ht="15" hidden="false" customHeight="false" outlineLevel="0" collapsed="false">
      <c r="A7" s="9" t="str">
        <f aca="false">'Content Calendar'!A7</f>
        <v>PF-03</v>
      </c>
      <c r="B7" s="9" t="str">
        <f aca="false">IF(LEN('Content Calendar'!J7)&lt;=1500,"Pass","Fail")</f>
        <v>Pass</v>
      </c>
      <c r="C7" s="9" t="str">
        <f aca="false">IF(SUMPRODUCT(--ISNUMBER(SEARCH({"405","921-3426","473-2695","9213426"},'Content Calendar'!J7)))=0,"Pass","Fail")</f>
        <v>Pass</v>
      </c>
      <c r="D7" s="9" t="str">
        <f aca="false">IF(ISNUMBER(SEARCH("@",'Content Calendar'!J7)),"Fail","Pass")</f>
        <v>Pass</v>
      </c>
      <c r="E7" s="9" t="str">
        <f aca="false">IF(OR(ISNUMBER(SEARCH("http",'Content Calendar'!J7)),ISNUMBER(SEARCH("www.",'Content Calendar'!J7)),ISNUMBER(SEARCH(".com",'Content Calendar'!J7))),"Fail","Pass")</f>
        <v>Pass</v>
      </c>
      <c r="F7" s="9" t="str">
        <f aca="false">IF(LEN('Content Calendar'!L7)&gt;0,"Pass","Fail")</f>
        <v>Pass</v>
      </c>
      <c r="G7" s="9" t="str">
        <f aca="false">IF(AND(ISNUMBER(SEARCH("utm_source=google",'Content Calendar'!O7)),ISNUMBER(SEARCH("utm_content=",'Content Calendar'!O7))),"Pass","Fail")</f>
        <v>Pass</v>
      </c>
      <c r="H7" s="9" t="str">
        <f aca="false">IF(ISNUMBER(SEARCH(Overview!$B$23,'Content Calendar'!M7)),"Pass","Fail")</f>
        <v>Pass</v>
      </c>
      <c r="I7" s="9" t="str">
        <f aca="false">IF('Content Calendar'!F7="Offer",IF(AND(LEN('Content Calendar'!I7)&gt;0,LEN('Content Calendar'!I7)&lt;=58),"Pass","Fail"),"N/A")</f>
        <v>N/A</v>
      </c>
      <c r="J7" s="9" t="str">
        <f aca="false">IF(OR('Content Calendar'!E7="Service",'Content Calendar'!E7="FAQ",'Content Calendar'!E7="Local",'Content Calendar'!E7="Promotional"),"Pass","Fail")</f>
        <v>Pass</v>
      </c>
      <c r="K7" s="9" t="str">
        <f aca="false">IF(COUNTIF(B7:J7,"Fail")=0,"Pass","Fail")</f>
        <v>Pass</v>
      </c>
    </row>
    <row r="8" customFormat="false" ht="15" hidden="false" customHeight="false" outlineLevel="0" collapsed="false">
      <c r="A8" s="9" t="str">
        <f aca="false">'Content Calendar'!A8</f>
        <v>PF-04</v>
      </c>
      <c r="B8" s="9" t="str">
        <f aca="false">IF(LEN('Content Calendar'!J8)&lt;=1500,"Pass","Fail")</f>
        <v>Pass</v>
      </c>
      <c r="C8" s="9" t="str">
        <f aca="false">IF(SUMPRODUCT(--ISNUMBER(SEARCH({"405","921-3426","473-2695","9213426"},'Content Calendar'!J8)))=0,"Pass","Fail")</f>
        <v>Pass</v>
      </c>
      <c r="D8" s="9" t="str">
        <f aca="false">IF(ISNUMBER(SEARCH("@",'Content Calendar'!J8)),"Fail","Pass")</f>
        <v>Pass</v>
      </c>
      <c r="E8" s="9" t="str">
        <f aca="false">IF(OR(ISNUMBER(SEARCH("http",'Content Calendar'!J8)),ISNUMBER(SEARCH("www.",'Content Calendar'!J8)),ISNUMBER(SEARCH(".com",'Content Calendar'!J8))),"Fail","Pass")</f>
        <v>Pass</v>
      </c>
      <c r="F8" s="9" t="str">
        <f aca="false">IF(LEN('Content Calendar'!L8)&gt;0,"Pass","Fail")</f>
        <v>Pass</v>
      </c>
      <c r="G8" s="9" t="str">
        <f aca="false">IF(AND(ISNUMBER(SEARCH("utm_source=google",'Content Calendar'!O8)),ISNUMBER(SEARCH("utm_content=",'Content Calendar'!O8))),"Pass","Fail")</f>
        <v>Pass</v>
      </c>
      <c r="H8" s="9" t="str">
        <f aca="false">IF(ISNUMBER(SEARCH(Overview!$B$23,'Content Calendar'!M8)),"Pass","Fail")</f>
        <v>Pass</v>
      </c>
      <c r="I8" s="9" t="str">
        <f aca="false">IF('Content Calendar'!F8="Offer",IF(AND(LEN('Content Calendar'!I8)&gt;0,LEN('Content Calendar'!I8)&lt;=58),"Pass","Fail"),"N/A")</f>
        <v>Pass</v>
      </c>
      <c r="J8" s="9" t="str">
        <f aca="false">IF(OR('Content Calendar'!E8="Service",'Content Calendar'!E8="FAQ",'Content Calendar'!E8="Local",'Content Calendar'!E8="Promotional"),"Pass","Fail")</f>
        <v>Pass</v>
      </c>
      <c r="K8" s="9" t="str">
        <f aca="false">IF(COUNTIF(B8:J8,"Fail")=0,"Pass","Fail")</f>
        <v>Pass</v>
      </c>
    </row>
    <row r="9" customFormat="false" ht="15" hidden="false" customHeight="false" outlineLevel="0" collapsed="false">
      <c r="A9" s="9" t="str">
        <f aca="false">'Content Calendar'!A9</f>
        <v>PF-05</v>
      </c>
      <c r="B9" s="9" t="str">
        <f aca="false">IF(LEN('Content Calendar'!J9)&lt;=1500,"Pass","Fail")</f>
        <v>Pass</v>
      </c>
      <c r="C9" s="9" t="str">
        <f aca="false">IF(SUMPRODUCT(--ISNUMBER(SEARCH({"405","921-3426","473-2695","9213426"},'Content Calendar'!J9)))=0,"Pass","Fail")</f>
        <v>Pass</v>
      </c>
      <c r="D9" s="9" t="str">
        <f aca="false">IF(ISNUMBER(SEARCH("@",'Content Calendar'!J9)),"Fail","Pass")</f>
        <v>Pass</v>
      </c>
      <c r="E9" s="9" t="str">
        <f aca="false">IF(OR(ISNUMBER(SEARCH("http",'Content Calendar'!J9)),ISNUMBER(SEARCH("www.",'Content Calendar'!J9)),ISNUMBER(SEARCH(".com",'Content Calendar'!J9))),"Fail","Pass")</f>
        <v>Pass</v>
      </c>
      <c r="F9" s="9" t="str">
        <f aca="false">IF(LEN('Content Calendar'!L9)&gt;0,"Pass","Fail")</f>
        <v>Pass</v>
      </c>
      <c r="G9" s="9" t="str">
        <f aca="false">IF(AND(ISNUMBER(SEARCH("utm_source=google",'Content Calendar'!O9)),ISNUMBER(SEARCH("utm_content=",'Content Calendar'!O9))),"Pass","Fail")</f>
        <v>Pass</v>
      </c>
      <c r="H9" s="9" t="str">
        <f aca="false">IF(ISNUMBER(SEARCH(Overview!$B$23,'Content Calendar'!M9)),"Pass","Fail")</f>
        <v>Pass</v>
      </c>
      <c r="I9" s="9" t="str">
        <f aca="false">IF('Content Calendar'!F9="Offer",IF(AND(LEN('Content Calendar'!I9)&gt;0,LEN('Content Calendar'!I9)&lt;=58),"Pass","Fail"),"N/A")</f>
        <v>N/A</v>
      </c>
      <c r="J9" s="9" t="str">
        <f aca="false">IF(OR('Content Calendar'!E9="Service",'Content Calendar'!E9="FAQ",'Content Calendar'!E9="Local",'Content Calendar'!E9="Promotional"),"Pass","Fail")</f>
        <v>Pass</v>
      </c>
      <c r="K9" s="9" t="str">
        <f aca="false">IF(COUNTIF(B9:J9,"Fail")=0,"Pass","Fail")</f>
        <v>Pass</v>
      </c>
    </row>
    <row r="10" customFormat="false" ht="15" hidden="false" customHeight="false" outlineLevel="0" collapsed="false">
      <c r="A10" s="9" t="str">
        <f aca="false">'Content Calendar'!A10</f>
        <v>PF-06</v>
      </c>
      <c r="B10" s="9" t="str">
        <f aca="false">IF(LEN('Content Calendar'!J10)&lt;=1500,"Pass","Fail")</f>
        <v>Pass</v>
      </c>
      <c r="C10" s="9" t="str">
        <f aca="false">IF(SUMPRODUCT(--ISNUMBER(SEARCH({"405","921-3426","473-2695","9213426"},'Content Calendar'!J10)))=0,"Pass","Fail")</f>
        <v>Pass</v>
      </c>
      <c r="D10" s="9" t="str">
        <f aca="false">IF(ISNUMBER(SEARCH("@",'Content Calendar'!J10)),"Fail","Pass")</f>
        <v>Pass</v>
      </c>
      <c r="E10" s="9" t="str">
        <f aca="false">IF(OR(ISNUMBER(SEARCH("http",'Content Calendar'!J10)),ISNUMBER(SEARCH("www.",'Content Calendar'!J10)),ISNUMBER(SEARCH(".com",'Content Calendar'!J10))),"Fail","Pass")</f>
        <v>Pass</v>
      </c>
      <c r="F10" s="9" t="str">
        <f aca="false">IF(LEN('Content Calendar'!L10)&gt;0,"Pass","Fail")</f>
        <v>Pass</v>
      </c>
      <c r="G10" s="9" t="str">
        <f aca="false">IF(AND(ISNUMBER(SEARCH("utm_source=google",'Content Calendar'!O10)),ISNUMBER(SEARCH("utm_content=",'Content Calendar'!O10))),"Pass","Fail")</f>
        <v>Pass</v>
      </c>
      <c r="H10" s="9" t="str">
        <f aca="false">IF(ISNUMBER(SEARCH(Overview!$B$23,'Content Calendar'!M10)),"Pass","Fail")</f>
        <v>Pass</v>
      </c>
      <c r="I10" s="9" t="str">
        <f aca="false">IF('Content Calendar'!F10="Offer",IF(AND(LEN('Content Calendar'!I10)&gt;0,LEN('Content Calendar'!I10)&lt;=58),"Pass","Fail"),"N/A")</f>
        <v>N/A</v>
      </c>
      <c r="J10" s="9" t="str">
        <f aca="false">IF(OR('Content Calendar'!E10="Service",'Content Calendar'!E10="FAQ",'Content Calendar'!E10="Local",'Content Calendar'!E10="Promotional"),"Pass","Fail")</f>
        <v>Pass</v>
      </c>
      <c r="K10" s="9" t="str">
        <f aca="false">IF(COUNTIF(B10:J10,"Fail")=0,"Pass","Fail")</f>
        <v>Pass</v>
      </c>
    </row>
    <row r="11" customFormat="false" ht="15" hidden="false" customHeight="false" outlineLevel="0" collapsed="false">
      <c r="A11" s="9" t="str">
        <f aca="false">'Content Calendar'!A11</f>
        <v>PF-07</v>
      </c>
      <c r="B11" s="9" t="str">
        <f aca="false">IF(LEN('Content Calendar'!J11)&lt;=1500,"Pass","Fail")</f>
        <v>Pass</v>
      </c>
      <c r="C11" s="9" t="str">
        <f aca="false">IF(SUMPRODUCT(--ISNUMBER(SEARCH({"405","921-3426","473-2695","9213426"},'Content Calendar'!J11)))=0,"Pass","Fail")</f>
        <v>Pass</v>
      </c>
      <c r="D11" s="9" t="str">
        <f aca="false">IF(ISNUMBER(SEARCH("@",'Content Calendar'!J11)),"Fail","Pass")</f>
        <v>Pass</v>
      </c>
      <c r="E11" s="9" t="str">
        <f aca="false">IF(OR(ISNUMBER(SEARCH("http",'Content Calendar'!J11)),ISNUMBER(SEARCH("www.",'Content Calendar'!J11)),ISNUMBER(SEARCH(".com",'Content Calendar'!J11))),"Fail","Pass")</f>
        <v>Pass</v>
      </c>
      <c r="F11" s="9" t="str">
        <f aca="false">IF(LEN('Content Calendar'!L11)&gt;0,"Pass","Fail")</f>
        <v>Pass</v>
      </c>
      <c r="G11" s="9" t="str">
        <f aca="false">IF(AND(ISNUMBER(SEARCH("utm_source=google",'Content Calendar'!O11)),ISNUMBER(SEARCH("utm_content=",'Content Calendar'!O11))),"Pass","Fail")</f>
        <v>Pass</v>
      </c>
      <c r="H11" s="9" t="str">
        <f aca="false">IF(ISNUMBER(SEARCH(Overview!$B$23,'Content Calendar'!M11)),"Pass","Fail")</f>
        <v>Pass</v>
      </c>
      <c r="I11" s="9" t="str">
        <f aca="false">IF('Content Calendar'!F11="Offer",IF(AND(LEN('Content Calendar'!I11)&gt;0,LEN('Content Calendar'!I11)&lt;=58),"Pass","Fail"),"N/A")</f>
        <v>N/A</v>
      </c>
      <c r="J11" s="9" t="str">
        <f aca="false">IF(OR('Content Calendar'!E11="Service",'Content Calendar'!E11="FAQ",'Content Calendar'!E11="Local",'Content Calendar'!E11="Promotional"),"Pass","Fail")</f>
        <v>Pass</v>
      </c>
      <c r="K11" s="9" t="str">
        <f aca="false">IF(COUNTIF(B11:J11,"Fail")=0,"Pass","Fail")</f>
        <v>Pass</v>
      </c>
    </row>
    <row r="12" customFormat="false" ht="15" hidden="false" customHeight="false" outlineLevel="0" collapsed="false">
      <c r="A12" s="9" t="str">
        <f aca="false">'Content Calendar'!A12</f>
        <v>PF-08</v>
      </c>
      <c r="B12" s="9" t="str">
        <f aca="false">IF(LEN('Content Calendar'!J12)&lt;=1500,"Pass","Fail")</f>
        <v>Pass</v>
      </c>
      <c r="C12" s="9" t="str">
        <f aca="false">IF(SUMPRODUCT(--ISNUMBER(SEARCH({"405","921-3426","473-2695","9213426"},'Content Calendar'!J12)))=0,"Pass","Fail")</f>
        <v>Pass</v>
      </c>
      <c r="D12" s="9" t="str">
        <f aca="false">IF(ISNUMBER(SEARCH("@",'Content Calendar'!J12)),"Fail","Pass")</f>
        <v>Pass</v>
      </c>
      <c r="E12" s="9" t="str">
        <f aca="false">IF(OR(ISNUMBER(SEARCH("http",'Content Calendar'!J12)),ISNUMBER(SEARCH("www.",'Content Calendar'!J12)),ISNUMBER(SEARCH(".com",'Content Calendar'!J12))),"Fail","Pass")</f>
        <v>Pass</v>
      </c>
      <c r="F12" s="9" t="str">
        <f aca="false">IF(LEN('Content Calendar'!L12)&gt;0,"Pass","Fail")</f>
        <v>Pass</v>
      </c>
      <c r="G12" s="9" t="str">
        <f aca="false">IF(AND(ISNUMBER(SEARCH("utm_source=google",'Content Calendar'!O12)),ISNUMBER(SEARCH("utm_content=",'Content Calendar'!O12))),"Pass","Fail")</f>
        <v>Pass</v>
      </c>
      <c r="H12" s="9" t="str">
        <f aca="false">IF(ISNUMBER(SEARCH(Overview!$B$23,'Content Calendar'!M12)),"Pass","Fail")</f>
        <v>Pass</v>
      </c>
      <c r="I12" s="9" t="str">
        <f aca="false">IF('Content Calendar'!F12="Offer",IF(AND(LEN('Content Calendar'!I12)&gt;0,LEN('Content Calendar'!I12)&lt;=58),"Pass","Fail"),"N/A")</f>
        <v>N/A</v>
      </c>
      <c r="J12" s="9" t="str">
        <f aca="false">IF(OR('Content Calendar'!E12="Service",'Content Calendar'!E12="FAQ",'Content Calendar'!E12="Local",'Content Calendar'!E12="Promotional"),"Pass","Fail")</f>
        <v>Pass</v>
      </c>
      <c r="K12" s="9" t="str">
        <f aca="false">IF(COUNTIF(B12:J12,"Fail")=0,"Pass","Fail")</f>
        <v>Pass</v>
      </c>
    </row>
    <row r="13" customFormat="false" ht="15" hidden="false" customHeight="false" outlineLevel="0" collapsed="false">
      <c r="A13" s="9" t="str">
        <f aca="false">'Content Calendar'!A13</f>
        <v>PF-09</v>
      </c>
      <c r="B13" s="9" t="str">
        <f aca="false">IF(LEN('Content Calendar'!J13)&lt;=1500,"Pass","Fail")</f>
        <v>Pass</v>
      </c>
      <c r="C13" s="9" t="str">
        <f aca="false">IF(SUMPRODUCT(--ISNUMBER(SEARCH({"405","921-3426","473-2695","9213426"},'Content Calendar'!J13)))=0,"Pass","Fail")</f>
        <v>Pass</v>
      </c>
      <c r="D13" s="9" t="str">
        <f aca="false">IF(ISNUMBER(SEARCH("@",'Content Calendar'!J13)),"Fail","Pass")</f>
        <v>Pass</v>
      </c>
      <c r="E13" s="9" t="str">
        <f aca="false">IF(OR(ISNUMBER(SEARCH("http",'Content Calendar'!J13)),ISNUMBER(SEARCH("www.",'Content Calendar'!J13)),ISNUMBER(SEARCH(".com",'Content Calendar'!J13))),"Fail","Pass")</f>
        <v>Pass</v>
      </c>
      <c r="F13" s="9" t="str">
        <f aca="false">IF(LEN('Content Calendar'!L13)&gt;0,"Pass","Fail")</f>
        <v>Pass</v>
      </c>
      <c r="G13" s="9" t="str">
        <f aca="false">IF(AND(ISNUMBER(SEARCH("utm_source=google",'Content Calendar'!O13)),ISNUMBER(SEARCH("utm_content=",'Content Calendar'!O13))),"Pass","Fail")</f>
        <v>Pass</v>
      </c>
      <c r="H13" s="9" t="str">
        <f aca="false">IF(ISNUMBER(SEARCH(Overview!$B$23,'Content Calendar'!M13)),"Pass","Fail")</f>
        <v>Pass</v>
      </c>
      <c r="I13" s="9" t="str">
        <f aca="false">IF('Content Calendar'!F13="Offer",IF(AND(LEN('Content Calendar'!I13)&gt;0,LEN('Content Calendar'!I13)&lt;=58),"Pass","Fail"),"N/A")</f>
        <v>N/A</v>
      </c>
      <c r="J13" s="9" t="str">
        <f aca="false">IF(OR('Content Calendar'!E13="Service",'Content Calendar'!E13="FAQ",'Content Calendar'!E13="Local",'Content Calendar'!E13="Promotional"),"Pass","Fail")</f>
        <v>Pass</v>
      </c>
      <c r="K13" s="9" t="str">
        <f aca="false">IF(COUNTIF(B13:J13,"Fail")=0,"Pass","Fail")</f>
        <v>Pass</v>
      </c>
    </row>
    <row r="14" customFormat="false" ht="15" hidden="false" customHeight="false" outlineLevel="0" collapsed="false">
      <c r="A14" s="9" t="str">
        <f aca="false">'Content Calendar'!A14</f>
        <v>PF-10</v>
      </c>
      <c r="B14" s="9" t="str">
        <f aca="false">IF(LEN('Content Calendar'!J14)&lt;=1500,"Pass","Fail")</f>
        <v>Pass</v>
      </c>
      <c r="C14" s="9" t="str">
        <f aca="false">IF(SUMPRODUCT(--ISNUMBER(SEARCH({"405","921-3426","473-2695","9213426"},'Content Calendar'!J14)))=0,"Pass","Fail")</f>
        <v>Pass</v>
      </c>
      <c r="D14" s="9" t="str">
        <f aca="false">IF(ISNUMBER(SEARCH("@",'Content Calendar'!J14)),"Fail","Pass")</f>
        <v>Pass</v>
      </c>
      <c r="E14" s="9" t="str">
        <f aca="false">IF(OR(ISNUMBER(SEARCH("http",'Content Calendar'!J14)),ISNUMBER(SEARCH("www.",'Content Calendar'!J14)),ISNUMBER(SEARCH(".com",'Content Calendar'!J14))),"Fail","Pass")</f>
        <v>Pass</v>
      </c>
      <c r="F14" s="9" t="str">
        <f aca="false">IF(LEN('Content Calendar'!L14)&gt;0,"Pass","Fail")</f>
        <v>Pass</v>
      </c>
      <c r="G14" s="9" t="str">
        <f aca="false">IF(AND(ISNUMBER(SEARCH("utm_source=google",'Content Calendar'!O14)),ISNUMBER(SEARCH("utm_content=",'Content Calendar'!O14))),"Pass","Fail")</f>
        <v>Pass</v>
      </c>
      <c r="H14" s="9" t="str">
        <f aca="false">IF(ISNUMBER(SEARCH(Overview!$B$23,'Content Calendar'!M14)),"Pass","Fail")</f>
        <v>Pass</v>
      </c>
      <c r="I14" s="9" t="str">
        <f aca="false">IF('Content Calendar'!F14="Offer",IF(AND(LEN('Content Calendar'!I14)&gt;0,LEN('Content Calendar'!I14)&lt;=58),"Pass","Fail"),"N/A")</f>
        <v>N/A</v>
      </c>
      <c r="J14" s="9" t="str">
        <f aca="false">IF(OR('Content Calendar'!E14="Service",'Content Calendar'!E14="FAQ",'Content Calendar'!E14="Local",'Content Calendar'!E14="Promotional"),"Pass","Fail")</f>
        <v>Pass</v>
      </c>
      <c r="K14" s="9" t="str">
        <f aca="false">IF(COUNTIF(B14:J14,"Fail")=0,"Pass","Fail")</f>
        <v>Pass</v>
      </c>
    </row>
    <row r="15" customFormat="false" ht="15" hidden="false" customHeight="false" outlineLevel="0" collapsed="false">
      <c r="A15" s="9" t="str">
        <f aca="false">'Content Calendar'!A15</f>
        <v>PF-11</v>
      </c>
      <c r="B15" s="9" t="str">
        <f aca="false">IF(LEN('Content Calendar'!J15)&lt;=1500,"Pass","Fail")</f>
        <v>Pass</v>
      </c>
      <c r="C15" s="9" t="str">
        <f aca="false">IF(SUMPRODUCT(--ISNUMBER(SEARCH({"405","921-3426","473-2695","9213426"},'Content Calendar'!J15)))=0,"Pass","Fail")</f>
        <v>Pass</v>
      </c>
      <c r="D15" s="9" t="str">
        <f aca="false">IF(ISNUMBER(SEARCH("@",'Content Calendar'!J15)),"Fail","Pass")</f>
        <v>Pass</v>
      </c>
      <c r="E15" s="9" t="str">
        <f aca="false">IF(OR(ISNUMBER(SEARCH("http",'Content Calendar'!J15)),ISNUMBER(SEARCH("www.",'Content Calendar'!J15)),ISNUMBER(SEARCH(".com",'Content Calendar'!J15))),"Fail","Pass")</f>
        <v>Pass</v>
      </c>
      <c r="F15" s="9" t="str">
        <f aca="false">IF(LEN('Content Calendar'!L15)&gt;0,"Pass","Fail")</f>
        <v>Pass</v>
      </c>
      <c r="G15" s="9" t="str">
        <f aca="false">IF(AND(ISNUMBER(SEARCH("utm_source=google",'Content Calendar'!O15)),ISNUMBER(SEARCH("utm_content=",'Content Calendar'!O15))),"Pass","Fail")</f>
        <v>Pass</v>
      </c>
      <c r="H15" s="9" t="str">
        <f aca="false">IF(ISNUMBER(SEARCH(Overview!$B$23,'Content Calendar'!M15)),"Pass","Fail")</f>
        <v>Pass</v>
      </c>
      <c r="I15" s="9" t="str">
        <f aca="false">IF('Content Calendar'!F15="Offer",IF(AND(LEN('Content Calendar'!I15)&gt;0,LEN('Content Calendar'!I15)&lt;=58),"Pass","Fail"),"N/A")</f>
        <v>N/A</v>
      </c>
      <c r="J15" s="9" t="str">
        <f aca="false">IF(OR('Content Calendar'!E15="Service",'Content Calendar'!E15="FAQ",'Content Calendar'!E15="Local",'Content Calendar'!E15="Promotional"),"Pass","Fail")</f>
        <v>Pass</v>
      </c>
      <c r="K15" s="9" t="str">
        <f aca="false">IF(COUNTIF(B15:J15,"Fail")=0,"Pass","Fail")</f>
        <v>Pass</v>
      </c>
    </row>
    <row r="16" customFormat="false" ht="15" hidden="false" customHeight="false" outlineLevel="0" collapsed="false">
      <c r="A16" s="9" t="str">
        <f aca="false">'Content Calendar'!A16</f>
        <v>PF-12</v>
      </c>
      <c r="B16" s="9" t="str">
        <f aca="false">IF(LEN('Content Calendar'!J16)&lt;=1500,"Pass","Fail")</f>
        <v>Pass</v>
      </c>
      <c r="C16" s="9" t="str">
        <f aca="false">IF(SUMPRODUCT(--ISNUMBER(SEARCH({"405","921-3426","473-2695","9213426"},'Content Calendar'!J16)))=0,"Pass","Fail")</f>
        <v>Pass</v>
      </c>
      <c r="D16" s="9" t="str">
        <f aca="false">IF(ISNUMBER(SEARCH("@",'Content Calendar'!J16)),"Fail","Pass")</f>
        <v>Pass</v>
      </c>
      <c r="E16" s="9" t="str">
        <f aca="false">IF(OR(ISNUMBER(SEARCH("http",'Content Calendar'!J16)),ISNUMBER(SEARCH("www.",'Content Calendar'!J16)),ISNUMBER(SEARCH(".com",'Content Calendar'!J16))),"Fail","Pass")</f>
        <v>Pass</v>
      </c>
      <c r="F16" s="9" t="str">
        <f aca="false">IF(LEN('Content Calendar'!L16)&gt;0,"Pass","Fail")</f>
        <v>Pass</v>
      </c>
      <c r="G16" s="9" t="str">
        <f aca="false">IF(AND(ISNUMBER(SEARCH("utm_source=google",'Content Calendar'!O16)),ISNUMBER(SEARCH("utm_content=",'Content Calendar'!O16))),"Pass","Fail")</f>
        <v>Pass</v>
      </c>
      <c r="H16" s="9" t="str">
        <f aca="false">IF(ISNUMBER(SEARCH(Overview!$B$23,'Content Calendar'!M16)),"Pass","Fail")</f>
        <v>Pass</v>
      </c>
      <c r="I16" s="9" t="str">
        <f aca="false">IF('Content Calendar'!F16="Offer",IF(AND(LEN('Content Calendar'!I16)&gt;0,LEN('Content Calendar'!I16)&lt;=58),"Pass","Fail"),"N/A")</f>
        <v>N/A</v>
      </c>
      <c r="J16" s="9" t="str">
        <f aca="false">IF(OR('Content Calendar'!E16="Service",'Content Calendar'!E16="FAQ",'Content Calendar'!E16="Local",'Content Calendar'!E16="Promotional"),"Pass","Fail")</f>
        <v>Pass</v>
      </c>
      <c r="K16" s="9" t="str">
        <f aca="false">IF(COUNTIF(B16:J16,"Fail")=0,"Pass","Fail")</f>
        <v>Pass</v>
      </c>
    </row>
    <row r="17" customFormat="false" ht="15" hidden="false" customHeight="false" outlineLevel="0" collapsed="false">
      <c r="A17" s="9" t="str">
        <f aca="false">'Content Calendar'!A17</f>
        <v>PF-13</v>
      </c>
      <c r="B17" s="9" t="str">
        <f aca="false">IF(LEN('Content Calendar'!J17)&lt;=1500,"Pass","Fail")</f>
        <v>Pass</v>
      </c>
      <c r="C17" s="9" t="str">
        <f aca="false">IF(SUMPRODUCT(--ISNUMBER(SEARCH({"405","921-3426","473-2695","9213426"},'Content Calendar'!J17)))=0,"Pass","Fail")</f>
        <v>Pass</v>
      </c>
      <c r="D17" s="9" t="str">
        <f aca="false">IF(ISNUMBER(SEARCH("@",'Content Calendar'!J17)),"Fail","Pass")</f>
        <v>Pass</v>
      </c>
      <c r="E17" s="9" t="str">
        <f aca="false">IF(OR(ISNUMBER(SEARCH("http",'Content Calendar'!J17)),ISNUMBER(SEARCH("www.",'Content Calendar'!J17)),ISNUMBER(SEARCH(".com",'Content Calendar'!J17))),"Fail","Pass")</f>
        <v>Pass</v>
      </c>
      <c r="F17" s="9" t="str">
        <f aca="false">IF(LEN('Content Calendar'!L17)&gt;0,"Pass","Fail")</f>
        <v>Pass</v>
      </c>
      <c r="G17" s="9" t="str">
        <f aca="false">IF(AND(ISNUMBER(SEARCH("utm_source=google",'Content Calendar'!O17)),ISNUMBER(SEARCH("utm_content=",'Content Calendar'!O17))),"Pass","Fail")</f>
        <v>Pass</v>
      </c>
      <c r="H17" s="9" t="str">
        <f aca="false">IF(ISNUMBER(SEARCH(Overview!$B$23,'Content Calendar'!M17)),"Pass","Fail")</f>
        <v>Pass</v>
      </c>
      <c r="I17" s="9" t="str">
        <f aca="false">IF('Content Calendar'!F17="Offer",IF(AND(LEN('Content Calendar'!I17)&gt;0,LEN('Content Calendar'!I17)&lt;=58),"Pass","Fail"),"N/A")</f>
        <v>N/A</v>
      </c>
      <c r="J17" s="9" t="str">
        <f aca="false">IF(OR('Content Calendar'!E17="Service",'Content Calendar'!E17="FAQ",'Content Calendar'!E17="Local",'Content Calendar'!E17="Promotional"),"Pass","Fail")</f>
        <v>Pass</v>
      </c>
      <c r="K17" s="9" t="str">
        <f aca="false">IF(COUNTIF(B17:J17,"Fail")=0,"Pass","Fail")</f>
        <v>Pass</v>
      </c>
    </row>
    <row r="18" customFormat="false" ht="15" hidden="false" customHeight="false" outlineLevel="0" collapsed="false">
      <c r="A18" s="9" t="str">
        <f aca="false">'Content Calendar'!A18</f>
        <v>PF-14</v>
      </c>
      <c r="B18" s="9" t="str">
        <f aca="false">IF(LEN('Content Calendar'!J18)&lt;=1500,"Pass","Fail")</f>
        <v>Pass</v>
      </c>
      <c r="C18" s="9" t="str">
        <f aca="false">IF(SUMPRODUCT(--ISNUMBER(SEARCH({"405","921-3426","473-2695","9213426"},'Content Calendar'!J18)))=0,"Pass","Fail")</f>
        <v>Pass</v>
      </c>
      <c r="D18" s="9" t="str">
        <f aca="false">IF(ISNUMBER(SEARCH("@",'Content Calendar'!J18)),"Fail","Pass")</f>
        <v>Pass</v>
      </c>
      <c r="E18" s="9" t="str">
        <f aca="false">IF(OR(ISNUMBER(SEARCH("http",'Content Calendar'!J18)),ISNUMBER(SEARCH("www.",'Content Calendar'!J18)),ISNUMBER(SEARCH(".com",'Content Calendar'!J18))),"Fail","Pass")</f>
        <v>Pass</v>
      </c>
      <c r="F18" s="9" t="str">
        <f aca="false">IF(LEN('Content Calendar'!L18)&gt;0,"Pass","Fail")</f>
        <v>Pass</v>
      </c>
      <c r="G18" s="9" t="str">
        <f aca="false">IF(AND(ISNUMBER(SEARCH("utm_source=google",'Content Calendar'!O18)),ISNUMBER(SEARCH("utm_content=",'Content Calendar'!O18))),"Pass","Fail")</f>
        <v>Pass</v>
      </c>
      <c r="H18" s="9" t="str">
        <f aca="false">IF(ISNUMBER(SEARCH(Overview!$B$23,'Content Calendar'!M18)),"Pass","Fail")</f>
        <v>Pass</v>
      </c>
      <c r="I18" s="9" t="str">
        <f aca="false">IF('Content Calendar'!F18="Offer",IF(AND(LEN('Content Calendar'!I18)&gt;0,LEN('Content Calendar'!I18)&lt;=58),"Pass","Fail"),"N/A")</f>
        <v>N/A</v>
      </c>
      <c r="J18" s="9" t="str">
        <f aca="false">IF(OR('Content Calendar'!E18="Service",'Content Calendar'!E18="FAQ",'Content Calendar'!E18="Local",'Content Calendar'!E18="Promotional"),"Pass","Fail")</f>
        <v>Pass</v>
      </c>
      <c r="K18" s="9" t="str">
        <f aca="false">IF(COUNTIF(B18:J18,"Fail")=0,"Pass","Fail")</f>
        <v>Pass</v>
      </c>
    </row>
    <row r="19" customFormat="false" ht="15" hidden="false" customHeight="false" outlineLevel="0" collapsed="false">
      <c r="A19" s="9" t="str">
        <f aca="false">'Content Calendar'!A19</f>
        <v>PF-15</v>
      </c>
      <c r="B19" s="9" t="str">
        <f aca="false">IF(LEN('Content Calendar'!J19)&lt;=1500,"Pass","Fail")</f>
        <v>Pass</v>
      </c>
      <c r="C19" s="9" t="str">
        <f aca="false">IF(SUMPRODUCT(--ISNUMBER(SEARCH({"405","921-3426","473-2695","9213426"},'Content Calendar'!J19)))=0,"Pass","Fail")</f>
        <v>Pass</v>
      </c>
      <c r="D19" s="9" t="str">
        <f aca="false">IF(ISNUMBER(SEARCH("@",'Content Calendar'!J19)),"Fail","Pass")</f>
        <v>Pass</v>
      </c>
      <c r="E19" s="9" t="str">
        <f aca="false">IF(OR(ISNUMBER(SEARCH("http",'Content Calendar'!J19)),ISNUMBER(SEARCH("www.",'Content Calendar'!J19)),ISNUMBER(SEARCH(".com",'Content Calendar'!J19))),"Fail","Pass")</f>
        <v>Pass</v>
      </c>
      <c r="F19" s="9" t="str">
        <f aca="false">IF(LEN('Content Calendar'!L19)&gt;0,"Pass","Fail")</f>
        <v>Pass</v>
      </c>
      <c r="G19" s="9" t="str">
        <f aca="false">IF(AND(ISNUMBER(SEARCH("utm_source=google",'Content Calendar'!O19)),ISNUMBER(SEARCH("utm_content=",'Content Calendar'!O19))),"Pass","Fail")</f>
        <v>Pass</v>
      </c>
      <c r="H19" s="9" t="str">
        <f aca="false">IF(ISNUMBER(SEARCH(Overview!$B$23,'Content Calendar'!M19)),"Pass","Fail")</f>
        <v>Pass</v>
      </c>
      <c r="I19" s="9" t="str">
        <f aca="false">IF('Content Calendar'!F19="Offer",IF(AND(LEN('Content Calendar'!I19)&gt;0,LEN('Content Calendar'!I19)&lt;=58),"Pass","Fail"),"N/A")</f>
        <v>N/A</v>
      </c>
      <c r="J19" s="9" t="str">
        <f aca="false">IF(OR('Content Calendar'!E19="Service",'Content Calendar'!E19="FAQ",'Content Calendar'!E19="Local",'Content Calendar'!E19="Promotional"),"Pass","Fail")</f>
        <v>Pass</v>
      </c>
      <c r="K19" s="9" t="str">
        <f aca="false">IF(COUNTIF(B19:J19,"Fail")=0,"Pass","Fail")</f>
        <v>Pass</v>
      </c>
    </row>
    <row r="20" customFormat="false" ht="15" hidden="false" customHeight="false" outlineLevel="0" collapsed="false">
      <c r="A20" s="9" t="str">
        <f aca="false">'Content Calendar'!A20</f>
        <v>PF-16</v>
      </c>
      <c r="B20" s="9" t="str">
        <f aca="false">IF(LEN('Content Calendar'!J20)&lt;=1500,"Pass","Fail")</f>
        <v>Pass</v>
      </c>
      <c r="C20" s="9" t="str">
        <f aca="false">IF(SUMPRODUCT(--ISNUMBER(SEARCH({"405","921-3426","473-2695","9213426"},'Content Calendar'!J20)))=0,"Pass","Fail")</f>
        <v>Pass</v>
      </c>
      <c r="D20" s="9" t="str">
        <f aca="false">IF(ISNUMBER(SEARCH("@",'Content Calendar'!J20)),"Fail","Pass")</f>
        <v>Pass</v>
      </c>
      <c r="E20" s="9" t="str">
        <f aca="false">IF(OR(ISNUMBER(SEARCH("http",'Content Calendar'!J20)),ISNUMBER(SEARCH("www.",'Content Calendar'!J20)),ISNUMBER(SEARCH(".com",'Content Calendar'!J20))),"Fail","Pass")</f>
        <v>Pass</v>
      </c>
      <c r="F20" s="9" t="str">
        <f aca="false">IF(LEN('Content Calendar'!L20)&gt;0,"Pass","Fail")</f>
        <v>Pass</v>
      </c>
      <c r="G20" s="9" t="str">
        <f aca="false">IF(AND(ISNUMBER(SEARCH("utm_source=google",'Content Calendar'!O20)),ISNUMBER(SEARCH("utm_content=",'Content Calendar'!O20))),"Pass","Fail")</f>
        <v>Pass</v>
      </c>
      <c r="H20" s="9" t="str">
        <f aca="false">IF(ISNUMBER(SEARCH(Overview!$B$23,'Content Calendar'!M20)),"Pass","Fail")</f>
        <v>Pass</v>
      </c>
      <c r="I20" s="9" t="str">
        <f aca="false">IF('Content Calendar'!F20="Offer",IF(AND(LEN('Content Calendar'!I20)&gt;0,LEN('Content Calendar'!I20)&lt;=58),"Pass","Fail"),"N/A")</f>
        <v>N/A</v>
      </c>
      <c r="J20" s="9" t="str">
        <f aca="false">IF(OR('Content Calendar'!E20="Service",'Content Calendar'!E20="FAQ",'Content Calendar'!E20="Local",'Content Calendar'!E20="Promotional"),"Pass","Fail")</f>
        <v>Pass</v>
      </c>
      <c r="K20" s="9" t="str">
        <f aca="false">IF(COUNTIF(B20:J20,"Fail")=0,"Pass","Fail")</f>
        <v>Pass</v>
      </c>
    </row>
    <row r="21" customFormat="false" ht="15" hidden="false" customHeight="false" outlineLevel="0" collapsed="false">
      <c r="A21" s="9" t="str">
        <f aca="false">'Content Calendar'!A21</f>
        <v>PF-17</v>
      </c>
      <c r="B21" s="9" t="str">
        <f aca="false">IF(LEN('Content Calendar'!J21)&lt;=1500,"Pass","Fail")</f>
        <v>Pass</v>
      </c>
      <c r="C21" s="9" t="str">
        <f aca="false">IF(SUMPRODUCT(--ISNUMBER(SEARCH({"405","921-3426","473-2695","9213426"},'Content Calendar'!J21)))=0,"Pass","Fail")</f>
        <v>Pass</v>
      </c>
      <c r="D21" s="9" t="str">
        <f aca="false">IF(ISNUMBER(SEARCH("@",'Content Calendar'!J21)),"Fail","Pass")</f>
        <v>Pass</v>
      </c>
      <c r="E21" s="9" t="str">
        <f aca="false">IF(OR(ISNUMBER(SEARCH("http",'Content Calendar'!J21)),ISNUMBER(SEARCH("www.",'Content Calendar'!J21)),ISNUMBER(SEARCH(".com",'Content Calendar'!J21))),"Fail","Pass")</f>
        <v>Pass</v>
      </c>
      <c r="F21" s="9" t="str">
        <f aca="false">IF(LEN('Content Calendar'!L21)&gt;0,"Pass","Fail")</f>
        <v>Pass</v>
      </c>
      <c r="G21" s="9" t="str">
        <f aca="false">IF(AND(ISNUMBER(SEARCH("utm_source=google",'Content Calendar'!O21)),ISNUMBER(SEARCH("utm_content=",'Content Calendar'!O21))),"Pass","Fail")</f>
        <v>Pass</v>
      </c>
      <c r="H21" s="9" t="str">
        <f aca="false">IF(ISNUMBER(SEARCH(Overview!$B$23,'Content Calendar'!M21)),"Pass","Fail")</f>
        <v>Pass</v>
      </c>
      <c r="I21" s="9" t="str">
        <f aca="false">IF('Content Calendar'!F21="Offer",IF(AND(LEN('Content Calendar'!I21)&gt;0,LEN('Content Calendar'!I21)&lt;=58),"Pass","Fail"),"N/A")</f>
        <v>Pass</v>
      </c>
      <c r="J21" s="9" t="str">
        <f aca="false">IF(OR('Content Calendar'!E21="Service",'Content Calendar'!E21="FAQ",'Content Calendar'!E21="Local",'Content Calendar'!E21="Promotional"),"Pass","Fail")</f>
        <v>Pass</v>
      </c>
      <c r="K21" s="9" t="str">
        <f aca="false">IF(COUNTIF(B21:J21,"Fail")=0,"Pass","Fail")</f>
        <v>Pass</v>
      </c>
    </row>
    <row r="22" customFormat="false" ht="15" hidden="false" customHeight="false" outlineLevel="0" collapsed="false">
      <c r="A22" s="9" t="str">
        <f aca="false">'Content Calendar'!A22</f>
        <v>PF-18</v>
      </c>
      <c r="B22" s="9" t="str">
        <f aca="false">IF(LEN('Content Calendar'!J22)&lt;=1500,"Pass","Fail")</f>
        <v>Pass</v>
      </c>
      <c r="C22" s="9" t="str">
        <f aca="false">IF(SUMPRODUCT(--ISNUMBER(SEARCH({"405","921-3426","473-2695","9213426"},'Content Calendar'!J22)))=0,"Pass","Fail")</f>
        <v>Pass</v>
      </c>
      <c r="D22" s="9" t="str">
        <f aca="false">IF(ISNUMBER(SEARCH("@",'Content Calendar'!J22)),"Fail","Pass")</f>
        <v>Pass</v>
      </c>
      <c r="E22" s="9" t="str">
        <f aca="false">IF(OR(ISNUMBER(SEARCH("http",'Content Calendar'!J22)),ISNUMBER(SEARCH("www.",'Content Calendar'!J22)),ISNUMBER(SEARCH(".com",'Content Calendar'!J22))),"Fail","Pass")</f>
        <v>Pass</v>
      </c>
      <c r="F22" s="9" t="str">
        <f aca="false">IF(LEN('Content Calendar'!L22)&gt;0,"Pass","Fail")</f>
        <v>Pass</v>
      </c>
      <c r="G22" s="9" t="str">
        <f aca="false">IF(AND(ISNUMBER(SEARCH("utm_source=google",'Content Calendar'!O22)),ISNUMBER(SEARCH("utm_content=",'Content Calendar'!O22))),"Pass","Fail")</f>
        <v>Pass</v>
      </c>
      <c r="H22" s="9" t="str">
        <f aca="false">IF(ISNUMBER(SEARCH(Overview!$B$23,'Content Calendar'!M22)),"Pass","Fail")</f>
        <v>Pass</v>
      </c>
      <c r="I22" s="9" t="str">
        <f aca="false">IF('Content Calendar'!F22="Offer",IF(AND(LEN('Content Calendar'!I22)&gt;0,LEN('Content Calendar'!I22)&lt;=58),"Pass","Fail"),"N/A")</f>
        <v>N/A</v>
      </c>
      <c r="J22" s="9" t="str">
        <f aca="false">IF(OR('Content Calendar'!E22="Service",'Content Calendar'!E22="FAQ",'Content Calendar'!E22="Local",'Content Calendar'!E22="Promotional"),"Pass","Fail")</f>
        <v>Pass</v>
      </c>
      <c r="K22" s="9" t="str">
        <f aca="false">IF(COUNTIF(B22:J22,"Fail")=0,"Pass","Fail")</f>
        <v>Pass</v>
      </c>
    </row>
    <row r="23" customFormat="false" ht="15" hidden="false" customHeight="false" outlineLevel="0" collapsed="false">
      <c r="A23" s="9" t="str">
        <f aca="false">'Content Calendar'!A23</f>
        <v>PF-19</v>
      </c>
      <c r="B23" s="9" t="str">
        <f aca="false">IF(LEN('Content Calendar'!J23)&lt;=1500,"Pass","Fail")</f>
        <v>Pass</v>
      </c>
      <c r="C23" s="9" t="str">
        <f aca="false">IF(SUMPRODUCT(--ISNUMBER(SEARCH({"405","921-3426","473-2695","9213426"},'Content Calendar'!J23)))=0,"Pass","Fail")</f>
        <v>Pass</v>
      </c>
      <c r="D23" s="9" t="str">
        <f aca="false">IF(ISNUMBER(SEARCH("@",'Content Calendar'!J23)),"Fail","Pass")</f>
        <v>Pass</v>
      </c>
      <c r="E23" s="9" t="str">
        <f aca="false">IF(OR(ISNUMBER(SEARCH("http",'Content Calendar'!J23)),ISNUMBER(SEARCH("www.",'Content Calendar'!J23)),ISNUMBER(SEARCH(".com",'Content Calendar'!J23))),"Fail","Pass")</f>
        <v>Pass</v>
      </c>
      <c r="F23" s="9" t="str">
        <f aca="false">IF(LEN('Content Calendar'!L23)&gt;0,"Pass","Fail")</f>
        <v>Pass</v>
      </c>
      <c r="G23" s="9" t="str">
        <f aca="false">IF(AND(ISNUMBER(SEARCH("utm_source=google",'Content Calendar'!O23)),ISNUMBER(SEARCH("utm_content=",'Content Calendar'!O23))),"Pass","Fail")</f>
        <v>Pass</v>
      </c>
      <c r="H23" s="9" t="str">
        <f aca="false">IF(ISNUMBER(SEARCH(Overview!$B$23,'Content Calendar'!M23)),"Pass","Fail")</f>
        <v>Pass</v>
      </c>
      <c r="I23" s="9" t="str">
        <f aca="false">IF('Content Calendar'!F23="Offer",IF(AND(LEN('Content Calendar'!I23)&gt;0,LEN('Content Calendar'!I23)&lt;=58),"Pass","Fail"),"N/A")</f>
        <v>N/A</v>
      </c>
      <c r="J23" s="9" t="str">
        <f aca="false">IF(OR('Content Calendar'!E23="Service",'Content Calendar'!E23="FAQ",'Content Calendar'!E23="Local",'Content Calendar'!E23="Promotional"),"Pass","Fail")</f>
        <v>Pass</v>
      </c>
      <c r="K23" s="9" t="str">
        <f aca="false">IF(COUNTIF(B23:J23,"Fail")=0,"Pass","Fail")</f>
        <v>Pass</v>
      </c>
    </row>
    <row r="24" customFormat="false" ht="15" hidden="false" customHeight="false" outlineLevel="0" collapsed="false">
      <c r="A24" s="9" t="str">
        <f aca="false">'Content Calendar'!A24</f>
        <v>PF-20</v>
      </c>
      <c r="B24" s="9" t="str">
        <f aca="false">IF(LEN('Content Calendar'!J24)&lt;=1500,"Pass","Fail")</f>
        <v>Pass</v>
      </c>
      <c r="C24" s="9" t="str">
        <f aca="false">IF(SUMPRODUCT(--ISNUMBER(SEARCH({"405","921-3426","473-2695","9213426"},'Content Calendar'!J24)))=0,"Pass","Fail")</f>
        <v>Pass</v>
      </c>
      <c r="D24" s="9" t="str">
        <f aca="false">IF(ISNUMBER(SEARCH("@",'Content Calendar'!J24)),"Fail","Pass")</f>
        <v>Pass</v>
      </c>
      <c r="E24" s="9" t="str">
        <f aca="false">IF(OR(ISNUMBER(SEARCH("http",'Content Calendar'!J24)),ISNUMBER(SEARCH("www.",'Content Calendar'!J24)),ISNUMBER(SEARCH(".com",'Content Calendar'!J24))),"Fail","Pass")</f>
        <v>Pass</v>
      </c>
      <c r="F24" s="9" t="str">
        <f aca="false">IF(LEN('Content Calendar'!L24)&gt;0,"Pass","Fail")</f>
        <v>Pass</v>
      </c>
      <c r="G24" s="9" t="str">
        <f aca="false">IF(AND(ISNUMBER(SEARCH("utm_source=google",'Content Calendar'!O24)),ISNUMBER(SEARCH("utm_content=",'Content Calendar'!O24))),"Pass","Fail")</f>
        <v>Pass</v>
      </c>
      <c r="H24" s="9" t="str">
        <f aca="false">IF(ISNUMBER(SEARCH(Overview!$B$23,'Content Calendar'!M24)),"Pass","Fail")</f>
        <v>Pass</v>
      </c>
      <c r="I24" s="9" t="str">
        <f aca="false">IF('Content Calendar'!F24="Offer",IF(AND(LEN('Content Calendar'!I24)&gt;0,LEN('Content Calendar'!I24)&lt;=58),"Pass","Fail"),"N/A")</f>
        <v>N/A</v>
      </c>
      <c r="J24" s="9" t="str">
        <f aca="false">IF(OR('Content Calendar'!E24="Service",'Content Calendar'!E24="FAQ",'Content Calendar'!E24="Local",'Content Calendar'!E24="Promotional"),"Pass","Fail")</f>
        <v>Pass</v>
      </c>
      <c r="K24" s="9" t="str">
        <f aca="false">IF(COUNTIF(B24:J24,"Fail")=0,"Pass","Fail")</f>
        <v>Pass</v>
      </c>
    </row>
    <row r="25" customFormat="false" ht="15" hidden="false" customHeight="false" outlineLevel="0" collapsed="false">
      <c r="A25" s="9" t="str">
        <f aca="false">'Content Calendar'!A25</f>
        <v>PF-21</v>
      </c>
      <c r="B25" s="9" t="str">
        <f aca="false">IF(LEN('Content Calendar'!J25)&lt;=1500,"Pass","Fail")</f>
        <v>Pass</v>
      </c>
      <c r="C25" s="9" t="str">
        <f aca="false">IF(SUMPRODUCT(--ISNUMBER(SEARCH({"405","921-3426","473-2695","9213426"},'Content Calendar'!J25)))=0,"Pass","Fail")</f>
        <v>Pass</v>
      </c>
      <c r="D25" s="9" t="str">
        <f aca="false">IF(ISNUMBER(SEARCH("@",'Content Calendar'!J25)),"Fail","Pass")</f>
        <v>Pass</v>
      </c>
      <c r="E25" s="9" t="str">
        <f aca="false">IF(OR(ISNUMBER(SEARCH("http",'Content Calendar'!J25)),ISNUMBER(SEARCH("www.",'Content Calendar'!J25)),ISNUMBER(SEARCH(".com",'Content Calendar'!J25))),"Fail","Pass")</f>
        <v>Pass</v>
      </c>
      <c r="F25" s="9" t="str">
        <f aca="false">IF(LEN('Content Calendar'!L25)&gt;0,"Pass","Fail")</f>
        <v>Pass</v>
      </c>
      <c r="G25" s="9" t="str">
        <f aca="false">IF(AND(ISNUMBER(SEARCH("utm_source=google",'Content Calendar'!O25)),ISNUMBER(SEARCH("utm_content=",'Content Calendar'!O25))),"Pass","Fail")</f>
        <v>Pass</v>
      </c>
      <c r="H25" s="9" t="str">
        <f aca="false">IF(ISNUMBER(SEARCH(Overview!$B$23,'Content Calendar'!M25)),"Pass","Fail")</f>
        <v>Pass</v>
      </c>
      <c r="I25" s="9" t="str">
        <f aca="false">IF('Content Calendar'!F25="Offer",IF(AND(LEN('Content Calendar'!I25)&gt;0,LEN('Content Calendar'!I25)&lt;=58),"Pass","Fail"),"N/A")</f>
        <v>Pass</v>
      </c>
      <c r="J25" s="9" t="str">
        <f aca="false">IF(OR('Content Calendar'!E25="Service",'Content Calendar'!E25="FAQ",'Content Calendar'!E25="Local",'Content Calendar'!E25="Promotional"),"Pass","Fail")</f>
        <v>Pass</v>
      </c>
      <c r="K25" s="9" t="str">
        <f aca="false">IF(COUNTIF(B25:J25,"Fail")=0,"Pass","Fail")</f>
        <v>Pass</v>
      </c>
    </row>
    <row r="26" customFormat="false" ht="15" hidden="false" customHeight="false" outlineLevel="0" collapsed="false">
      <c r="A26" s="9" t="str">
        <f aca="false">'Content Calendar'!A26</f>
        <v>PF-22</v>
      </c>
      <c r="B26" s="9" t="str">
        <f aca="false">IF(LEN('Content Calendar'!J26)&lt;=1500,"Pass","Fail")</f>
        <v>Pass</v>
      </c>
      <c r="C26" s="9" t="str">
        <f aca="false">IF(SUMPRODUCT(--ISNUMBER(SEARCH({"405","921-3426","473-2695","9213426"},'Content Calendar'!J26)))=0,"Pass","Fail")</f>
        <v>Pass</v>
      </c>
      <c r="D26" s="9" t="str">
        <f aca="false">IF(ISNUMBER(SEARCH("@",'Content Calendar'!J26)),"Fail","Pass")</f>
        <v>Pass</v>
      </c>
      <c r="E26" s="9" t="str">
        <f aca="false">IF(OR(ISNUMBER(SEARCH("http",'Content Calendar'!J26)),ISNUMBER(SEARCH("www.",'Content Calendar'!J26)),ISNUMBER(SEARCH(".com",'Content Calendar'!J26))),"Fail","Pass")</f>
        <v>Pass</v>
      </c>
      <c r="F26" s="9" t="str">
        <f aca="false">IF(LEN('Content Calendar'!L26)&gt;0,"Pass","Fail")</f>
        <v>Pass</v>
      </c>
      <c r="G26" s="9" t="str">
        <f aca="false">IF(AND(ISNUMBER(SEARCH("utm_source=google",'Content Calendar'!O26)),ISNUMBER(SEARCH("utm_content=",'Content Calendar'!O26))),"Pass","Fail")</f>
        <v>Pass</v>
      </c>
      <c r="H26" s="9" t="str">
        <f aca="false">IF(ISNUMBER(SEARCH(Overview!$B$23,'Content Calendar'!M26)),"Pass","Fail")</f>
        <v>Pass</v>
      </c>
      <c r="I26" s="9" t="str">
        <f aca="false">IF('Content Calendar'!F26="Offer",IF(AND(LEN('Content Calendar'!I26)&gt;0,LEN('Content Calendar'!I26)&lt;=58),"Pass","Fail"),"N/A")</f>
        <v>N/A</v>
      </c>
      <c r="J26" s="9" t="str">
        <f aca="false">IF(OR('Content Calendar'!E26="Service",'Content Calendar'!E26="FAQ",'Content Calendar'!E26="Local",'Content Calendar'!E26="Promotional"),"Pass","Fail")</f>
        <v>Pass</v>
      </c>
      <c r="K26" s="9" t="str">
        <f aca="false">IF(COUNTIF(B26:J26,"Fail")=0,"Pass","Fail")</f>
        <v>Pass</v>
      </c>
    </row>
    <row r="28" customFormat="false" ht="15" hidden="false" customHeight="false" outlineLevel="0" collapsed="false">
      <c r="A28" s="3" t="s">
        <v>531</v>
      </c>
      <c r="B28" s="3" t="str">
        <f aca="false">COUNTIF(K5:K26,"Pass")&amp;" of "&amp;COUNTA(A5:A26)</f>
        <v>22 of 22</v>
      </c>
    </row>
    <row r="29" customFormat="false" ht="15" hidden="false" customHeight="false" outlineLevel="0" collapsed="false">
      <c r="A29" s="14" t="s">
        <v>40</v>
      </c>
      <c r="B29" s="2" t="s">
        <v>532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2026-10-26T09:08:59Z</dcterms:created>
  <dc:creator>openpyxl</dc:creator>
  <dc:description/>
  <dc:language>en-US</dc:language>
  <cp:lastModifiedBy/>
  <dcterms:modified xsi:type="dcterms:W3CDTF">2026-10-26T09:08:59Z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