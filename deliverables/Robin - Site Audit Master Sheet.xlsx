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9.xml.rels" ContentType="application/vnd.openxmlformats-package.relationships+xml"/>
  <Override PartName="/xl/worksheets/_rels/sheet38.xml.rels" ContentType="application/vnd.openxmlformats-package.relationships+xml"/>
  <Override PartName="/xl/worksheets/_rels/sheet8.xml.rels" ContentType="application/vnd.openxmlformats-package.relationships+xml"/>
  <Override PartName="/xl/worksheets/_rels/sheet37.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34.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2.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_rels/sheet30.xml.rels" ContentType="application/vnd.openxmlformats-package.relationships+xml"/>
  <Override PartName="/xl/worksheets/_rels/sheet1.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Overview" sheetId="1" state="visible" r:id="rId3"/>
    <sheet name="Issue Tracker" sheetId="2" state="visible" r:id="rId4"/>
    <sheet name="File Inventory" sheetId="3" state="visible" r:id="rId5"/>
    <sheet name="BBB_Master Checklist" sheetId="4" state="visible" r:id="rId6"/>
    <sheet name="BBB_Broken Links" sheetId="5" state="visible" r:id="rId7"/>
    <sheet name="BBB_Broken Internal Link" sheetId="6" state="visible" r:id="rId8"/>
    <sheet name="BBB_Pages Marked No Index" sheetId="7" state="visible" r:id="rId9"/>
    <sheet name="BBB_Not submitted to IndexNow" sheetId="8" state="visible" r:id="rId10"/>
    <sheet name="BBB_Page has links to broken pa" sheetId="9" state="visible" r:id="rId11"/>
    <sheet name="BBB_Redirecting URLs" sheetId="10" state="visible" r:id="rId12"/>
    <sheet name="BBB_Too Long Meta Title" sheetId="11" state="visible" r:id="rId13"/>
    <sheet name="BBB_Too Long Meta Description" sheetId="12" state="visible" r:id="rId14"/>
    <sheet name="BBB_Missing H1 Tag" sheetId="13" state="visible" r:id="rId15"/>
    <sheet name="BBB_Missing Meta Description" sheetId="14" state="visible" r:id="rId16"/>
    <sheet name="BBB_Multiple H1 Tag" sheetId="15" state="visible" r:id="rId17"/>
    <sheet name="BBB_Page and SERP titles do not" sheetId="16" state="visible" r:id="rId18"/>
    <sheet name="BBB_Twitter and Open Graph tags" sheetId="17" state="visible" r:id="rId19"/>
    <sheet name="BBB_Image file size too large" sheetId="18" state="visible" r:id="rId20"/>
    <sheet name="BBB_Images Missing ALT text" sheetId="19" state="visible" r:id="rId21"/>
    <sheet name="HS_Missing H1 Tag" sheetId="20" state="visible" r:id="rId22"/>
    <sheet name="HS_Multiple H1 Tag" sheetId="21" state="visible" r:id="rId23"/>
    <sheet name="HS_Too Long Meta Title" sheetId="22" state="visible" r:id="rId24"/>
    <sheet name="HS_Too Long Meta Description" sheetId="23" state="visible" r:id="rId25"/>
    <sheet name="HS_Pages droped from top 10 Pos" sheetId="24" state="visible" r:id="rId26"/>
    <sheet name="OGU_Blog Pages" sheetId="25" state="visible" r:id="rId27"/>
    <sheet name="OGU_Countries" sheetId="26" state="visible" r:id="rId28"/>
    <sheet name="OGU_Filters" sheetId="27" state="visible" r:id="rId29"/>
    <sheet name="SV_4xx" sheetId="28" state="visible" r:id="rId30"/>
    <sheet name="SV_3xx Redirection" sheetId="29" state="visible" r:id="rId31"/>
    <sheet name="SV_Page has links to broken pag" sheetId="30" state="visible" r:id="rId32"/>
    <sheet name="SV_Meta description too long" sheetId="31" state="visible" r:id="rId33"/>
    <sheet name="SV_Title too long" sheetId="32" state="visible" r:id="rId34"/>
    <sheet name="SV_Missing H1" sheetId="33" state="visible" r:id="rId35"/>
    <sheet name="SV_Meta description too short" sheetId="34" state="visible" r:id="rId36"/>
    <sheet name="SV_Meta description tag missing" sheetId="35" state="visible" r:id="rId37"/>
    <sheet name="SV_Multiple H1 tags" sheetId="36" state="visible" r:id="rId38"/>
    <sheet name="SV_Pages have high AI content l" sheetId="37" state="visible" r:id="rId39"/>
    <sheet name="SV_Missing alt text" sheetId="38" state="visible" r:id="rId40"/>
    <sheet name="SV_External 4XX" sheetId="39" state="visible" r:id="rId41"/>
  </sheets>
  <definedNames>
    <definedName function="false" hidden="true" localSheetId="1" name="_xlnm._FilterDatabase" vbProcedure="false">'Issue Tracker'!$A$4:$M$84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<sst xmlns="http://schemas.openxmlformats.org/spreadsheetml/2006/main" count="18963" uniqueCount="10651">
  <si>
    <t xml:space="preserve">Robin - Site Audit &amp; Analysis | Master Sheet</t>
  </si>
  <si>
    <t xml:space="preserve">Priority list (revenue, markets, flags) as provided by the user; audit columns pull live from the Issue Tracker. Blue = typed inputs, black = formulas.</t>
  </si>
  <si>
    <t xml:space="preserve">#</t>
  </si>
  <si>
    <t xml:space="preserve">Ahrefs project</t>
  </si>
  <si>
    <t xml:space="preserve">D2C net rev TTM (€k)</t>
  </si>
  <si>
    <t xml:space="preserve">Brand total, all ch. (€k)</t>
  </si>
  <si>
    <t xml:space="preserve">Brand total note</t>
  </si>
  <si>
    <t xml:space="preserve">Focus markets</t>
  </si>
  <si>
    <t xml:space="preserve">Flag</t>
  </si>
  <si>
    <t xml:space="preserve">D2C share of brand</t>
  </si>
  <si>
    <t xml:space="preserve">Audit status</t>
  </si>
  <si>
    <t xml:space="preserve">Audit deliverables</t>
  </si>
  <si>
    <t xml:space="preserve">Issues logged</t>
  </si>
  <si>
    <t xml:space="preserve">Open issues</t>
  </si>
  <si>
    <t xml:space="preserve">High / Critical open</t>
  </si>
  <si>
    <t xml:space="preserve">Affected URLs / rows</t>
  </si>
  <si>
    <t xml:space="preserve">Worksheet tabs in this file</t>
  </si>
  <si>
    <t xml:space="preserve">Key finding</t>
  </si>
  <si>
    <t xml:space="preserve">Open Goaaal USA</t>
  </si>
  <si>
    <t xml:space="preserve">both stores</t>
  </si>
  <si>
    <t xml:space="preserve">US</t>
  </si>
  <si>
    <t xml:space="preserve">Only 21 kw tracked</t>
  </si>
  <si>
    <t xml:space="preserve">Blog content sheet + GSC countries; Duplicate content report; Site audit doc (images only)</t>
  </si>
  <si>
    <t xml:space="preserve">OGU_Blog Pages, OGU_Countries, OGU_Filters</t>
  </si>
  <si>
    <t xml:space="preserve">Duplicate blog content vs opengoaaal.com already triggered a penalty; US clicks 4.3k vs 10.4k prior 6 mo</t>
  </si>
  <si>
    <t xml:space="preserve">Bigbatbox (WildYard)</t>
  </si>
  <si>
    <t xml:space="preserve">US 49, DE 7</t>
  </si>
  <si>
    <t xml:space="preserve">Unverified</t>
  </si>
  <si>
    <t xml:space="preserve">Site audit workbook (16 tabs); Site audit doc; Issues doc (translation)</t>
  </si>
  <si>
    <t xml:space="preserve">BBB_Master Checklist, BBB_Broken Links, BBB_Broken Internal Link, BBB_Pages Marked No Index, BBB_Not submitted to IndexNow, BBB_Page has links to broken pa, BBB_Redirecting URLs, BBB_Too Long Meta Title, BBB_Too Long Meta Description, BBB_Missing H1 Tag, BBB_Missing Meta Description, BBB_Multiple H1 Tag, BBB_Page and SERP titles do not, BBB_Twitter and Open Graph tags, BBB_Image file size too large, BBB_Images Missing ALT text</t>
  </si>
  <si>
    <t xml:space="preserve">Manual action for thin content; 170/761 pages not indexed; 'bat house' impressions down</t>
  </si>
  <si>
    <t xml:space="preserve">Luonkos Finland (.fi)</t>
  </si>
  <si>
    <t xml:space="preserve">FI</t>
  </si>
  <si>
    <t xml:space="preserve">Audit &amp; Analysis doc; Merge 404 report; Draft audit (not final)</t>
  </si>
  <si>
    <t xml:space="preserve">-</t>
  </si>
  <si>
    <t xml:space="preserve">After .fi/.com merge, EN &amp; SV URLs with traffic return 404 - redirect map needed</t>
  </si>
  <si>
    <t xml:space="preserve">Senseball</t>
  </si>
  <si>
    <t xml:space="preserve">US 40, +UK/DE/FR/ES/IT</t>
  </si>
  <si>
    <t xml:space="preserve">Declining fast (H2 39k vs H1 79k)</t>
  </si>
  <si>
    <t xml:space="preserve">No audit file in folder</t>
  </si>
  <si>
    <t xml:space="preserve">Indo</t>
  </si>
  <si>
    <t xml:space="preserve">US, UK, FI, CA, AU, DE, PL, FR, DK, CZ</t>
  </si>
  <si>
    <t xml:space="preserve">Unverified; 10 markets on 86 kw = thin</t>
  </si>
  <si>
    <t xml:space="preserve">Opengoaaal UK-EU</t>
  </si>
  <si>
    <t xml:space="preserve">UK 20, DE/FR/SE/IT/ES</t>
  </si>
  <si>
    <t xml:space="preserve">70 kw for 5% of Open Goaaal D2C</t>
  </si>
  <si>
    <t xml:space="preserve">Duplicate content report (shared with USA)</t>
  </si>
  <si>
    <t xml:space="preserve">Duplicate blog content shared with opengoaaalusa.com</t>
  </si>
  <si>
    <t xml:space="preserve">Bodyotics</t>
  </si>
  <si>
    <t xml:space="preserve">US, UK, DE, FI</t>
  </si>
  <si>
    <t xml:space="preserve">Analysis doc</t>
  </si>
  <si>
    <t xml:space="preserve">Wrong language URLs ranking in DE / NL / FR</t>
  </si>
  <si>
    <t xml:space="preserve">ANSWR US (3P)</t>
  </si>
  <si>
    <t xml:space="preserve">3P - keep out of 1P totals</t>
  </si>
  <si>
    <t xml:space="preserve">Angles90</t>
  </si>
  <si>
    <t xml:space="preserve">US 40, DE 8</t>
  </si>
  <si>
    <t xml:space="preserve">Happy Sinks</t>
  </si>
  <si>
    <t xml:space="preserve">US 50</t>
  </si>
  <si>
    <t xml:space="preserve">URL report workbook (5 tabs); SEO audit doc</t>
  </si>
  <si>
    <t xml:space="preserve">HS_Missing H1 Tag, HS_Multiple H1 Tag, HS_Too Long Meta Title, HS_Too Long Meta Description, HS_Pages droped from top 10 Pos</t>
  </si>
  <si>
    <t xml:space="preserve">Pages dropped out of top 10 (homepage 249 -&gt; 0 traffic); slow site; untranslated slugs</t>
  </si>
  <si>
    <t xml:space="preserve">Striking Viking</t>
  </si>
  <si>
    <t xml:space="preserve">US 31, DE 8</t>
  </si>
  <si>
    <t xml:space="preserve">Biggest brand, 1.3% D2C</t>
  </si>
  <si>
    <t xml:space="preserve">Issues workbook (12 tabs)</t>
  </si>
  <si>
    <t xml:space="preserve">SV_4xx, SV_3xx Redirection, SV_Page has links to broken pag, SV_Meta description too long, SV_Title too long, SV_Missing H1, SV_Meta description too short, SV_Meta description tag missing, SV_Multiple H1 tags, SV_Pages have high AI content l, SV_Missing alt text, SV_External 4XX</t>
  </si>
  <si>
    <t xml:space="preserve">4xx / broken links incl. external 404s; 1.2k long meta descriptions</t>
  </si>
  <si>
    <t xml:space="preserve">Luxsports (LUX)</t>
  </si>
  <si>
    <t xml:space="preserve">US, UK, DE, ES, FR</t>
  </si>
  <si>
    <t xml:space="preserve">Technical SEO audit doc</t>
  </si>
  <si>
    <t xml:space="preserve">en-NZ hreflang points to /en-au; overlapping &amp; empty collections</t>
  </si>
  <si>
    <t xml:space="preserve">Babysunnies</t>
  </si>
  <si>
    <t xml:space="preserve">Not on priority list - audit delivered</t>
  </si>
  <si>
    <t xml:space="preserve">Technical SEO audit doc (3 versions - latest used)</t>
  </si>
  <si>
    <t xml:space="preserve">robots.txt keeps 120 dead URLs indexed</t>
  </si>
  <si>
    <t xml:space="preserve">Coachsoak</t>
  </si>
  <si>
    <t xml:space="preserve">SEO audit &amp; analysis doc</t>
  </si>
  <si>
    <t xml:space="preserve">Sep clicks -40% vs Jul; broken sitemap in GSC</t>
  </si>
  <si>
    <t xml:space="preserve">Total priority list (1P, excl. ANSWR 3P)</t>
  </si>
  <si>
    <t xml:space="preserve">Brand total for Opengoaaal UK-EU is blank in the source list; Open Goaaal USA / Luonkos brand totals cover both stores. Revenue, markets and flags: from the user's priority list screenshot (12-Oct-2026).</t>
  </si>
  <si>
    <t xml:space="preserve">Issue status summary</t>
  </si>
  <si>
    <t xml:space="preserve">Status</t>
  </si>
  <si>
    <t xml:space="preserve">Issues</t>
  </si>
  <si>
    <t xml:space="preserve">Share</t>
  </si>
  <si>
    <t xml:space="preserve">Need to Fix</t>
  </si>
  <si>
    <t xml:space="preserve">In Progress</t>
  </si>
  <si>
    <t xml:space="preserve">To Validate</t>
  </si>
  <si>
    <t xml:space="preserve">Fixed</t>
  </si>
  <si>
    <t xml:space="preserve">Already Fixed</t>
  </si>
  <si>
    <t xml:space="preserve">Won't Fix</t>
  </si>
  <si>
    <t xml:space="preserve">Total</t>
  </si>
  <si>
    <t xml:space="preserve">Legend: blue = typed input from source; black = formula; yellow cells on Issue Tracker = edit Priority / Status / Owner / Due date / Notes.</t>
  </si>
  <si>
    <t xml:space="preserve">Issue Tracker - all projects</t>
  </si>
  <si>
    <t xml:space="preserve">One row per issue. Counts in black are live formulas on the project tabs; blue counts are typed from the Word reports. Edit Priority / Status / Owner / Notes (yellow).</t>
  </si>
  <si>
    <t xml:space="preserve">Project</t>
  </si>
  <si>
    <t xml:space="preserve">Issue</t>
  </si>
  <si>
    <t xml:space="preserve">Category</t>
  </si>
  <si>
    <t xml:space="preserve">Source</t>
  </si>
  <si>
    <t xml:space="preserve">Source file</t>
  </si>
  <si>
    <t xml:space="preserve">Open tab</t>
  </si>
  <si>
    <t xml:space="preserve">Priority</t>
  </si>
  <si>
    <t xml:space="preserve">Owner</t>
  </si>
  <si>
    <t xml:space="preserve">Due date</t>
  </si>
  <si>
    <t xml:space="preserve">Notes</t>
  </si>
  <si>
    <t xml:space="preserve">Broken links (4xx pages)</t>
  </si>
  <si>
    <t xml:space="preserve">Links &amp; Status Codes</t>
  </si>
  <si>
    <t xml:space="preserve">Sheet</t>
  </si>
  <si>
    <t xml:space="preserve">Bigbatbox - Site Audit.xlsx</t>
  </si>
  <si>
    <t xml:space="preserve">High</t>
  </si>
  <si>
    <t xml:space="preserve">Broken Internal Link</t>
  </si>
  <si>
    <t xml:space="preserve">Pages Marked No Index</t>
  </si>
  <si>
    <t xml:space="preserve">Indexing / Intl / Content</t>
  </si>
  <si>
    <t xml:space="preserve">URLs not submitted to IndexNow</t>
  </si>
  <si>
    <t xml:space="preserve">Page has links to broken page</t>
  </si>
  <si>
    <t xml:space="preserve">Redirecting URLs</t>
  </si>
  <si>
    <t xml:space="preserve">Too Long Meta Title</t>
  </si>
  <si>
    <t xml:space="preserve">On-page Meta &amp; Headings</t>
  </si>
  <si>
    <t xml:space="preserve">Medium</t>
  </si>
  <si>
    <t xml:space="preserve">Too Long Meta Description</t>
  </si>
  <si>
    <t xml:space="preserve">Missing H1 Tag</t>
  </si>
  <si>
    <t xml:space="preserve">Missing Meta Description</t>
  </si>
  <si>
    <t xml:space="preserve">Multiple H1 Tag</t>
  </si>
  <si>
    <t xml:space="preserve">Page and SERP titles do not match</t>
  </si>
  <si>
    <t xml:space="preserve">Twitter &amp; Open Graph tags incomplete</t>
  </si>
  <si>
    <t xml:space="preserve">Media / Markup</t>
  </si>
  <si>
    <t xml:space="preserve">Low</t>
  </si>
  <si>
    <t xml:space="preserve">Image file size too large</t>
  </si>
  <si>
    <t xml:space="preserve">Performance &amp; Media</t>
  </si>
  <si>
    <t xml:space="preserve">Images Missing ALT text</t>
  </si>
  <si>
    <t xml:space="preserve">https_happy-sinks.com_ - URL Report.xlsx</t>
  </si>
  <si>
    <t xml:space="preserve">Pages dropped from top-10 positions</t>
  </si>
  <si>
    <t xml:space="preserve">4xx</t>
  </si>
  <si>
    <t xml:space="preserve">striking-viking - Issues.xlsx</t>
  </si>
  <si>
    <t xml:space="preserve">3xx Redirection</t>
  </si>
  <si>
    <t xml:space="preserve">Meta description too long</t>
  </si>
  <si>
    <t xml:space="preserve">Title too long</t>
  </si>
  <si>
    <t xml:space="preserve">Missing H1</t>
  </si>
  <si>
    <t xml:space="preserve">Meta description too short</t>
  </si>
  <si>
    <t xml:space="preserve">Meta description tag missing or empty</t>
  </si>
  <si>
    <t xml:space="preserve">Multiple H1 tags</t>
  </si>
  <si>
    <t xml:space="preserve">Pages have high AI content levels</t>
  </si>
  <si>
    <t xml:space="preserve">Missing alt text</t>
  </si>
  <si>
    <t xml:space="preserve">External 4XX</t>
  </si>
  <si>
    <t xml:space="preserve">Pages not indexed in Google (GSC)</t>
  </si>
  <si>
    <t xml:space="preserve">Report</t>
  </si>
  <si>
    <t xml:space="preserve">Site Audit &amp; Analysis - Bigbatbox.docx</t>
  </si>
  <si>
    <t xml:space="preserve">170 of 761 pages not indexed</t>
  </si>
  <si>
    <t xml:space="preserve">Manual action: thin content with little or no added value</t>
  </si>
  <si>
    <t xml:space="preserve">Critical</t>
  </si>
  <si>
    <t xml:space="preserve">Google manual spam action on /blogs section - top priority</t>
  </si>
  <si>
    <t xml:space="preserve">Organic traffic drop on key product/category pages</t>
  </si>
  <si>
    <t xml:space="preserve">Homepage -435 clicks; 'bat house' impressions -12.5k</t>
  </si>
  <si>
    <t xml:space="preserve">Translation issue: /de /es /fr /it /en-ca blog URLs still show English</t>
  </si>
  <si>
    <t xml:space="preserve">Big Bat Box - Issues.docx</t>
  </si>
  <si>
    <t xml:space="preserve">18 example URLs listed in report</t>
  </si>
  <si>
    <t xml:space="preserve">English pages not fully localized (Finnish text / Finnish slugs)</t>
  </si>
  <si>
    <t xml:space="preserve">Other</t>
  </si>
  <si>
    <t xml:space="preserve">Luonkos - Audit &amp; Analysis.docx</t>
  </si>
  <si>
    <t xml:space="preserve">luonkos.fi/en</t>
  </si>
  <si>
    <t xml:space="preserve">luonkos.com weak and overlapping with luonkos.fi/en</t>
  </si>
  <si>
    <t xml:space="preserve">Regional product pages not indexed (Google picks generic canonical)</t>
  </si>
  <si>
    <t xml:space="preserve">e.g. /en-nl/ product URLs</t>
  </si>
  <si>
    <t xml:space="preserve">Post-merge: English URLs on luonkos.fi return 404</t>
  </si>
  <si>
    <t xml:space="preserve">Luonkos_Merge_404_Report.docx</t>
  </si>
  <si>
    <t xml:space="preserve">Report dated 23 Sep 2026; redirect map provided</t>
  </si>
  <si>
    <t xml:space="preserve">Post-merge: Swedish URLs with traffic return 404</t>
  </si>
  <si>
    <t xml:space="preserve">Hreflang now points other languages to luonkos.com</t>
  </si>
  <si>
    <t xml:space="preserve">Spanish URL ranking in Germany (wrong language/market)</t>
  </si>
  <si>
    <t xml:space="preserve">Bodyotics Analysis.docx</t>
  </si>
  <si>
    <t xml:space="preserve">'disco menstrual' query</t>
  </si>
  <si>
    <t xml:space="preserve">English URLs ranking for NL and FR queries</t>
  </si>
  <si>
    <t xml:space="preserve">Blog index outranks translated articles</t>
  </si>
  <si>
    <t xml:space="preserve">Duplicate blog content between opengoaaal.com and opengoaaalusa.com</t>
  </si>
  <si>
    <t xml:space="preserve">Opengoaaal - Duplicate Content Report.docx</t>
  </si>
  <si>
    <t xml:space="preserve">3 cases documented; already caused a ranking penalty</t>
  </si>
  <si>
    <t xml:space="preserve">Same report - affects both stores</t>
  </si>
  <si>
    <t xml:space="preserve">Slow website speed (mobile &amp; desktop)</t>
  </si>
  <si>
    <t xml:space="preserve">https_happy-sinks.com_  -  SEO Audit &amp; Analysis Report.docx</t>
  </si>
  <si>
    <t xml:space="preserve">Home, collection, product pages tested</t>
  </si>
  <si>
    <t xml:space="preserve">Localized URL slugs not translated (e.g. /fi/)</t>
  </si>
  <si>
    <t xml:space="preserve">Empty metaobject sitemap files</t>
  </si>
  <si>
    <t xml:space="preserve">Incorrect en-NZ hreflang mapping (points to /en-au)</t>
  </si>
  <si>
    <t xml:space="preserve">https_luxsports.co_.docx</t>
  </si>
  <si>
    <t xml:space="preserve">Duplicate product listed across multiple collection pages</t>
  </si>
  <si>
    <t xml:space="preserve">Language URLs not maintained across localized pages</t>
  </si>
  <si>
    <t xml:space="preserve">Marked {Already Fixed} in report</t>
  </si>
  <si>
    <t xml:space="preserve">Empty collection page (LUX - Retail Collection FAIRE)</t>
  </si>
  <si>
    <t xml:space="preserve">Overlapping collection pages (/all vs /all-products-luxsports)</t>
  </si>
  <si>
    <t xml:space="preserve">Search/filter URL crawl</t>
  </si>
  <si>
    <t xml:space="preserve">Report says 'Need to validate'</t>
  </si>
  <si>
    <t xml:space="preserve">Inconsistent meta title localization across language pages</t>
  </si>
  <si>
    <t xml:space="preserve">Broken internal links (404)</t>
  </si>
  <si>
    <t xml:space="preserve">Website speed (Home: mobile 55 / desktop 74)</t>
  </si>
  <si>
    <t xml:space="preserve">Checked 07-10-2026</t>
  </si>
  <si>
    <t xml:space="preserve">robots.txt keeping dead URLs stuck in Google</t>
  </si>
  <si>
    <t xml:space="preserve">Babysunnies.com _ Technical SEO Audit(1).docx</t>
  </si>
  <si>
    <t xml:space="preserve">Homepage has no H1 tag</t>
  </si>
  <si>
    <t xml:space="preserve">Also Contact Us &amp; Customer Reviews</t>
  </si>
  <si>
    <t xml:space="preserve">Comparison pages show the same H1 twice</t>
  </si>
  <si>
    <t xml:space="preserve">Brand name repeated in page titles</t>
  </si>
  <si>
    <t xml:space="preserve">Most page titles too long / truncated</t>
  </si>
  <si>
    <t xml:space="preserve">Meta descriptions missing or copied from page text</t>
  </si>
  <si>
    <t xml:space="preserve">Key images have no alt text</t>
  </si>
  <si>
    <t xml:space="preserve">Product schema missing shipping &amp; return details</t>
  </si>
  <si>
    <t xml:space="preserve">Homepage slow on mobile (PageSpeed lab test)</t>
  </si>
  <si>
    <t xml:space="preserve">Adult Cloudfield sunglasses on a baby sunglasses site</t>
  </si>
  <si>
    <t xml:space="preserve">Old/broken sitemap in Search Console</t>
  </si>
  <si>
    <t xml:space="preserve">coachsoak.com - SEO Audit &amp; Analysis Report.docx</t>
  </si>
  <si>
    <t xml:space="preserve">Clicks Sep vs Jul -40%</t>
  </si>
  <si>
    <t xml:space="preserve">Traffic concentrated on one blog post</t>
  </si>
  <si>
    <t xml:space="preserve">Pages get impressions but low CTR (rewrite titles/meta)</t>
  </si>
  <si>
    <t xml:space="preserve">Rich result warnings on products</t>
  </si>
  <si>
    <t xml:space="preserve">Custom robots.txt rules do not work</t>
  </si>
  <si>
    <t xml:space="preserve">Large image banner</t>
  </si>
  <si>
    <t xml:space="preserve">Low mobile page speed / poor LCP</t>
  </si>
  <si>
    <t xml:space="preserve">Sold-out item at top of page</t>
  </si>
  <si>
    <t xml:space="preserve">Thin content &amp; weak internal linking on collections</t>
  </si>
  <si>
    <t xml:space="preserve">H1 tag missing on multiple pages</t>
  </si>
  <si>
    <t xml:space="preserve">High bounce rate</t>
  </si>
  <si>
    <t xml:space="preserve">Translation not working properly</t>
  </si>
  <si>
    <t xml:space="preserve">File Inventory - Robin - Site Audit &amp; Analysis folder</t>
  </si>
  <si>
    <t xml:space="preserve">Every file in the uploaded zip, what it contains, and where it lives in this master sheet.</t>
  </si>
  <si>
    <t xml:space="preserve">File</t>
  </si>
  <si>
    <t xml:space="preserve">Type</t>
  </si>
  <si>
    <t xml:space="preserve">Last modified</t>
  </si>
  <si>
    <t xml:space="preserve">Contents</t>
  </si>
  <si>
    <t xml:space="preserve">In master as</t>
  </si>
  <si>
    <t xml:space="preserve">Note</t>
  </si>
  <si>
    <t xml:space="preserve">xlsx</t>
  </si>
  <si>
    <t xml:space="preserve">Master checklist + 15 Ahrefs issue tabs</t>
  </si>
  <si>
    <t xml:space="preserve">docx</t>
  </si>
  <si>
    <t xml:space="preserve">GSC indexing, traffic drop, manual action, tech issues</t>
  </si>
  <si>
    <t xml:space="preserve">Issue Tracker (Source = Report)</t>
  </si>
  <si>
    <t xml:space="preserve">Translation issue - language URLs show English</t>
  </si>
  <si>
    <t xml:space="preserve">H1, meta title/description, pages dropped from top 10</t>
  </si>
  <si>
    <t xml:space="preserve">Speed, translation, hreflang, sitemap, headings, meta, GSC</t>
  </si>
  <si>
    <t xml:space="preserve">opengoaaalusa.com - Blog Content_.xlsx</t>
  </si>
  <si>
    <t xml:space="preserve">Blog pages clicks/impressions (6 mo vs prior), GSC countries, filters</t>
  </si>
  <si>
    <t xml:space="preserve">Site Audit &amp; Analysis - opengoaaalusa.com.docx</t>
  </si>
  <si>
    <t xml:space="preserve">Screenshots only - no text</t>
  </si>
  <si>
    <t xml:space="preserve">No text content to extract</t>
  </si>
  <si>
    <t xml:space="preserve">Open Goaaal USA / UK-EU</t>
  </si>
  <si>
    <t xml:space="preserve">Duplicate blog content across the two stores (3 cases)</t>
  </si>
  <si>
    <t xml:space="preserve">12 Ahrefs issue tabs with Status column</t>
  </si>
  <si>
    <t xml:space="preserve">hreflang &amp; canonical review, localization, regional indexing</t>
  </si>
  <si>
    <t xml:space="preserve">Luonkos-audit-------- Not Final.docx</t>
  </si>
  <si>
    <t xml:space="preserve">Draft long-form audit + duplication assessment</t>
  </si>
  <si>
    <t xml:space="preserve">Draft - superseded by 'Luonkos - Audit &amp; Analysis'</t>
  </si>
  <si>
    <t xml:space="preserve">Post-merge 404s on EN/SV URLs, hreflang, redirect map</t>
  </si>
  <si>
    <t xml:space="preserve">Wrong-language URLs ranking in DE / NL / FR</t>
  </si>
  <si>
    <t xml:space="preserve">9 technical/international SEO issues</t>
  </si>
  <si>
    <t xml:space="preserve">10 technical SEO issues</t>
  </si>
  <si>
    <t xml:space="preserve">Version used in tracker (states 120 dead URLs)</t>
  </si>
  <si>
    <t xml:space="preserve">Babysunnies.com _ Technical SEO Audit.docx</t>
  </si>
  <si>
    <t xml:space="preserve">Same audit, alternate version</t>
  </si>
  <si>
    <t xml:space="preserve">Duplicate version - consolidate</t>
  </si>
  <si>
    <t xml:space="preserve">babysunnies.com Technical SEO Audit--.docx</t>
  </si>
  <si>
    <t xml:space="preserve">13 GSC / on-page / technical issues</t>
  </si>
  <si>
    <t xml:space="preserve">Untitled spreadsheet.xlsx</t>
  </si>
  <si>
    <t xml:space="preserve">Empty sheet</t>
  </si>
  <si>
    <t xml:space="preserve">Empty - can be deleted</t>
  </si>
  <si>
    <t xml:space="preserve">Coach/ (folder)</t>
  </si>
  <si>
    <t xml:space="preserve">folder</t>
  </si>
  <si>
    <t xml:space="preserve">Empty folder</t>
  </si>
  <si>
    <t xml:space="preserve">Empty</t>
  </si>
  <si>
    <t xml:space="preserve">Project Name - Bigbatbox</t>
  </si>
  <si>
    <t xml:space="preserve">Website URL - https://www.bigbatbox.com/</t>
  </si>
  <si>
    <t xml:space="preserve">Source: Bigbatbox - Site Audit.xlsx / Master Checklist</t>
  </si>
  <si>
    <t xml:space="preserve">Task - SEO Audit</t>
  </si>
  <si>
    <t xml:space="preserve">S.No</t>
  </si>
  <si>
    <t xml:space="preserve">Broken Links</t>
  </si>
  <si>
    <t xml:space="preserve">Broken Internal Links</t>
  </si>
  <si>
    <t xml:space="preserve">URLs Not Submitted to Index Now</t>
  </si>
  <si>
    <t xml:space="preserve">Twitter and Open Graph tags incomplete</t>
  </si>
  <si>
    <t xml:space="preserve">URL</t>
  </si>
  <si>
    <t xml:space="preserve">https://www.bigbatbox.com/blogs/all-about-bats/big-bat-box-comparison</t>
  </si>
  <si>
    <t xml:space="preserve">Source: Bigbatbox - Site Audit.xlsx / Broken Links</t>
  </si>
  <si>
    <t xml:space="preserve">https://www.bigbatbox.com/blogs/all-about-bees/how-to-maintain-your-bee-house-through-the-seasons</t>
  </si>
  <si>
    <t xml:space="preserve">https://www.bigbatbox.com/blogs/all-about-bats/14-fascinating-facts-about-bats</t>
  </si>
  <si>
    <t xml:space="preserve">https://www.bigbatbox.com/blogs/all-about-bats/the-surprising-benefits-of-bat-boxes-and-why-you-should-have-one</t>
  </si>
  <si>
    <t xml:space="preserve">https://www.bigbatbox.com/blogs/news/introducing-the-wildyard-x-angry-birds%E2%84%A2-collection-turn-your-garden-into-a-wildlife-habitat</t>
  </si>
  <si>
    <t xml:space="preserve">https://www.bigbatbox.com/it/products/bee-house-big-bee-box</t>
  </si>
  <si>
    <t xml:space="preserve">https://www.bigbatbox.com/collections/3-chamber-bat-houses</t>
  </si>
  <si>
    <t xml:space="preserve">https://www.bigbatbox.com/products/bee-house-big-bee-box</t>
  </si>
  <si>
    <t xml:space="preserve">https://www.bigbatbox.com/en-ca/products/bee-house-big-bee-box</t>
  </si>
  <si>
    <t xml:space="preserve">https://www.bigbatbox.com/fr/collections/3-chamber-bat-houses</t>
  </si>
  <si>
    <t xml:space="preserve">https://www.bigbatbox.com/es/products/big-bat-barn-certified-bat-house</t>
  </si>
  <si>
    <t xml:space="preserve">https://www.bigbatbox.com/de/blogs/all-about-bats/how-to-attract-bats-to-your-backyard</t>
  </si>
  <si>
    <t xml:space="preserve">https://www.bigbatbox.com/en-ca/collections/3-chamber-bat-houses</t>
  </si>
  <si>
    <t xml:space="preserve">https://www.bigbatbox.com/products/big-bat-barn-certified-bat-house</t>
  </si>
  <si>
    <t xml:space="preserve">https://www.bigbatbox.com/blogs/all-about-bats/big-bat-box-comparison%22%3Ebat%20house%20comparison</t>
  </si>
  <si>
    <t xml:space="preserve">https://www.bigbatbox.com/it/collections/3-chamber-bat-houses</t>
  </si>
  <si>
    <t xml:space="preserve">https://www.bigbatbox.com/en-ca/blogs/news/introducing-the-wildyard-x-angry-birds%E2%84%A2-collection-turn-your-garden-into-a-wildlife-habitat</t>
  </si>
  <si>
    <t xml:space="preserve">https://www.bigbatbox.com/fr/products/bee-house-big-bee-box</t>
  </si>
  <si>
    <t xml:space="preserve">https://www.bigbatbox.com/de/blogs/news/introducing-the-wildyard-x-angry-birds%E2%84%A2-collection-turn-your-garden-into-a-wildlife-habitat</t>
  </si>
  <si>
    <t xml:space="preserve">https://www.bigbatbox.com/es/collections/3-chamber-bat-houses</t>
  </si>
  <si>
    <t xml:space="preserve">https://www.bigbatbox.com/es/blogs/news/introducing-the-wildyard-x-angry-birds%E2%84%A2-collection-turn-your-garden-into-a-wildlife-habitat</t>
  </si>
  <si>
    <t xml:space="preserve">https://www.bigbatbox.com/fr/blogs/news/introducing-the-wildyard-x-angry-birds%E2%84%A2-collection-turn-your-garden-into-a-wildlife-habitat</t>
  </si>
  <si>
    <t xml:space="preserve">https://www.bigbatbox.com/it/blogs/news/introducing-the-wildyard-x-angry-birds%E2%84%A2-collection-turn-your-garden-into-a-wildlife-habitat</t>
  </si>
  <si>
    <t xml:space="preserve">https://www.bigbatbox.com/en-ca/products/big-bat-barn-certified-bat-house</t>
  </si>
  <si>
    <t xml:space="preserve">https://www.bigbatbox.com/fr/products/big-bat-barn-certified-bat-house</t>
  </si>
  <si>
    <t xml:space="preserve">https://www.bigbatbox.com/products/single-chamber-bat-househttps://www.bigbatbox.com/products/single-chamber-bat-house</t>
  </si>
  <si>
    <t xml:space="preserve">https://www.bigbatbox.com/it/products/big-bat-barn-certified-bat-house</t>
  </si>
  <si>
    <t xml:space="preserve">https://www.bigbatbox.com/es/products/bee-house-big-bee-box</t>
  </si>
  <si>
    <t xml:space="preserve">https://www.bigbatbox.com/de/products/big-bat-barn-certified-bat-house</t>
  </si>
  <si>
    <t xml:space="preserve">https://www.bigbatbox.com/de/products/bee-house-big-bee-box</t>
  </si>
  <si>
    <t xml:space="preserve">https://www.bigbatbox.com/de/collections/3-chamber-bat-houses</t>
  </si>
  <si>
    <t xml:space="preserve">https://www.bigbatbox.com/de/blogs/habitat-of-bats/some-interesting-busted-myths-and-facts-about-bats</t>
  </si>
  <si>
    <t xml:space="preserve">Source: Bigbatbox - Site Audit.xlsx / Broken Internal Link</t>
  </si>
  <si>
    <t xml:space="preserve">https://www.bigbatbox.com/de/blogs/bee-species/bee-wise-how-bee-houses-and-hotels-can-help-save-bees-the-environment</t>
  </si>
  <si>
    <t xml:space="preserve">https://www.bigbatbox.com/de/blogs/habitat-of-bats/9-fantastic-bat-facts-you-need-to-know</t>
  </si>
  <si>
    <t xml:space="preserve">https://www.bigbatbox.com/de/blogs/habitat-of-bats/eco-friendly-bat-house-for-backyard-the-complete-guide</t>
  </si>
  <si>
    <t xml:space="preserve">https://www.bigbatbox.com/products/angry-birds-wildyard-diy-birdhouse-kit</t>
  </si>
  <si>
    <t xml:space="preserve">https://www.bigbatbox.com/it/blogs/habitat-of-bats/bat-box-casetta-pipistrelli-guida</t>
  </si>
  <si>
    <t xml:space="preserve">https://www.bigbatbox.com/blogs/habitat-of-bats/how-to-hang-a-bat-house-complete-guide</t>
  </si>
  <si>
    <t xml:space="preserve">https://www.bigbatbox.com/en-ca/blogs/habitat-of-bats/how-to-hang-a-bat-house-complete-guide</t>
  </si>
  <si>
    <t xml:space="preserve">https://www.bigbatbox.com/fr/blogs/habitat-of-bats/nichoir-chauve-souris-guide-installation</t>
  </si>
  <si>
    <t xml:space="preserve">https://www.bigbatbox.com/es/blogs/habitat-of-bats/how-to-hang-a-bat-house-complete-guide</t>
  </si>
  <si>
    <t xml:space="preserve">https://www.bigbatbox.com/de/blogs/habitat-of-bats/the-definitive-guide-to-backyard-mosquito-control</t>
  </si>
  <si>
    <t xml:space="preserve">https://www.bigbatbox.com/de/blogs/habitat-of-bats/cedar-bat-box-for-cold-climates-what-you-need-to-know</t>
  </si>
  <si>
    <t xml:space="preserve">https://www.bigbatbox.com/en-ca/products/angry-birds-wildyard-diy-birdhouse-kit</t>
  </si>
  <si>
    <t xml:space="preserve">https://www.bigbatbox.com/de/products/angry-birds-wildyard-diy-birdhouse-kit</t>
  </si>
  <si>
    <t xml:space="preserve">https://www.bigbatbox.com/es/products/angry-birds-wildyard-diy-birdhouse-kit</t>
  </si>
  <si>
    <t xml:space="preserve">https://www.bigbatbox.com/fr/products/angry-birds-wildyard-diy-birdhouse-kit</t>
  </si>
  <si>
    <t xml:space="preserve">https://www.bigbatbox.com/it/products/angry-birds-wildyard-diy-birdhouse-kit</t>
  </si>
  <si>
    <t xml:space="preserve">https://www.bigbatbox.com/de/blogs/habitat-of-bats/difference-between-one-two-and-three-chamber-bat-boxes-simple-guide-for-homeowners</t>
  </si>
  <si>
    <t xml:space="preserve">https://www.bigbatbox.com/de/blogs/habitat-of-bats/fledermauskasten-aufhaengen-leitfaden</t>
  </si>
  <si>
    <t xml:space="preserve">https://www.bigbatbox.com/products/discreet-packaging</t>
  </si>
  <si>
    <t xml:space="preserve">Source: Bigbatbox - Site Audit.xlsx / Pages Marked No Index</t>
  </si>
  <si>
    <t xml:space="preserve">https://www.bigbatbox.com/de/products/discreet-packaging</t>
  </si>
  <si>
    <t xml:space="preserve">https://www.bigbatbox.com/fr/products/discreet-packaging</t>
  </si>
  <si>
    <t xml:space="preserve">https://www.bigbatbox.com/it/products/discreet-packaging</t>
  </si>
  <si>
    <t xml:space="preserve">https://www.bigbatbox.com/es/products/discreet-packaging</t>
  </si>
  <si>
    <t xml:space="preserve">https://www.bigbatbox.com/en-ca</t>
  </si>
  <si>
    <t xml:space="preserve">Source: Bigbatbox - Site Audit.xlsx / Not submitted to IndexNow</t>
  </si>
  <si>
    <t xml:space="preserve">https://www.bigbatbox.com/en-ca/products/squirrel-house-hideout-feeder</t>
  </si>
  <si>
    <t xml:space="preserve">https://www.bigbatbox.com/en-ca/products/squirrel-feeder</t>
  </si>
  <si>
    <t xml:space="preserve">https://www.bigbatbox.com/en-ca/products/owl-box</t>
  </si>
  <si>
    <t xml:space="preserve">https://www.bigbatbox.com/en-ca/cart</t>
  </si>
  <si>
    <t xml:space="preserve">https://www.bigbatbox.com/de/search</t>
  </si>
  <si>
    <t xml:space="preserve">https://www.bigbatbox.com/it/blogs/wildyard-learn</t>
  </si>
  <si>
    <t xml:space="preserve">https://www.bigbatbox.com/fr/products/squirrel-feeder</t>
  </si>
  <si>
    <t xml:space="preserve">https://www.bigbatbox.com/en-ca/collections/angry-birds-x-wildyard-birdhouses</t>
  </si>
  <si>
    <t xml:space="preserve">https://www.bigbatbox.com/fr/pages/warranty-registration</t>
  </si>
  <si>
    <t xml:space="preserve">https://www.bigbatbox.com/it/pages/work-with-us</t>
  </si>
  <si>
    <t xml:space="preserve">https://www.bigbatbox.com/fr/products/owl-box</t>
  </si>
  <si>
    <t xml:space="preserve">https://www.bigbatbox.com/es/cart</t>
  </si>
  <si>
    <t xml:space="preserve">https://www.bigbatbox.com/fr/products/bee-house</t>
  </si>
  <si>
    <t xml:space="preserve">https://www.bigbatbox.com/en-ca/pages/warranty-registration</t>
  </si>
  <si>
    <t xml:space="preserve">https://www.bigbatbox.com/en-ca/blogs/wildyard-learn</t>
  </si>
  <si>
    <t xml:space="preserve">https://www.bigbatbox.com/fr/blogs/fun-facts-about-owls</t>
  </si>
  <si>
    <t xml:space="preserve">https://www.bigbatbox.com/it</t>
  </si>
  <si>
    <t xml:space="preserve">https://www.bigbatbox.com/fr</t>
  </si>
  <si>
    <t xml:space="preserve">https://www.bigbatbox.com/fr/pages/work-with-us</t>
  </si>
  <si>
    <t xml:space="preserve">https://www.bigbatbox.com/en-ca/collections/bat-houses</t>
  </si>
  <si>
    <t xml:space="preserve">https://www.bigbatbox.com/fr/search</t>
  </si>
  <si>
    <t xml:space="preserve">https://www.bigbatbox.com/it/products/owl-box</t>
  </si>
  <si>
    <t xml:space="preserve">https://www.bigbatbox.com/it/pages/guide</t>
  </si>
  <si>
    <t xml:space="preserve">https://www.bigbatbox.com/en-ca/pages/cookie-policy</t>
  </si>
  <si>
    <t xml:space="preserve">https://www.bigbatbox.com/it/pages/become-a-reseller</t>
  </si>
  <si>
    <t xml:space="preserve">https://www.bigbatbox.com/fr/cart</t>
  </si>
  <si>
    <t xml:space="preserve">https://www.bigbatbox.com/en-ca/blogs/habitat-of-bats</t>
  </si>
  <si>
    <t xml:space="preserve">https://www.bigbatbox.com/it/collections/angry-birds-x-wildyard-birdhouses</t>
  </si>
  <si>
    <t xml:space="preserve">https://www.bigbatbox.com/fr/pages/1-for-the-planet</t>
  </si>
  <si>
    <t xml:space="preserve">https://www.bigbatbox.com/fr/blogs/bee-species</t>
  </si>
  <si>
    <t xml:space="preserve">https://www.bigbatbox.com/it/collections/bat-houses</t>
  </si>
  <si>
    <t xml:space="preserve">https://www.bigbatbox.com/it/products/squirrel-house-hideout-feeder</t>
  </si>
  <si>
    <t xml:space="preserve">https://www.bigbatbox.com/it/blogs/bee-species</t>
  </si>
  <si>
    <t xml:space="preserve">https://www.bigbatbox.com/en-ca/blogs/types-of-squirrels</t>
  </si>
  <si>
    <t xml:space="preserve">https://www.bigbatbox.com/en-ca/blogs/bee-species</t>
  </si>
  <si>
    <t xml:space="preserve">https://www.bigbatbox.com/fr/pages/guide</t>
  </si>
  <si>
    <t xml:space="preserve">https://www.bigbatbox.com/en-ca/pages/work-with-us</t>
  </si>
  <si>
    <t xml:space="preserve">https://www.bigbatbox.com/it/products/angry-birds-wildyard-flowerpot-birdhouse</t>
  </si>
  <si>
    <t xml:space="preserve">https://www.bigbatbox.com/it/pages/1-for-the-planet</t>
  </si>
  <si>
    <t xml:space="preserve">https://www.bigbatbox.com/en-ca/search</t>
  </si>
  <si>
    <t xml:space="preserve">https://www.bigbatbox.com/en-ca/blogs/fun-facts-about-owls</t>
  </si>
  <si>
    <t xml:space="preserve">https://www.bigbatbox.com/fr/blogs/types-of-squirrels</t>
  </si>
  <si>
    <t xml:space="preserve">https://www.bigbatbox.com/fr/products/angry-birds-wildyard-flowerpot-birdhouse</t>
  </si>
  <si>
    <t xml:space="preserve">https://www.bigbatbox.com/fr/blogs/habitat-of-bats</t>
  </si>
  <si>
    <t xml:space="preserve">https://www.bigbatbox.com/en-ca/products/angry-birds-wildyard-flowerpot-birdhouse</t>
  </si>
  <si>
    <t xml:space="preserve">https://www.bigbatbox.com/fr/collections/bat-houses</t>
  </si>
  <si>
    <t xml:space="preserve">https://www.bigbatbox.com/fr/products/squirrel-house-hideout-feeder</t>
  </si>
  <si>
    <t xml:space="preserve">https://www.bigbatbox.com/fr/pages/become-a-reseller</t>
  </si>
  <si>
    <t xml:space="preserve">https://www.bigbatbox.com/it/cart</t>
  </si>
  <si>
    <t xml:space="preserve">https://www.bigbatbox.com/es/search</t>
  </si>
  <si>
    <t xml:space="preserve">https://www.bigbatbox.com/fr/blogs/wildyard-learn</t>
  </si>
  <si>
    <t xml:space="preserve">https://www.bigbatbox.com/en-ca/pages/become-a-reseller</t>
  </si>
  <si>
    <t xml:space="preserve">https://www.bigbatbox.com/fr/pages/cookie-policy</t>
  </si>
  <si>
    <t xml:space="preserve">https://www.bigbatbox.com/fr/collections/angry-birds-x-wildyard-birdhouses</t>
  </si>
  <si>
    <t xml:space="preserve">https://www.bigbatbox.com/it/products/bee-house</t>
  </si>
  <si>
    <t xml:space="preserve">https://www.bigbatbox.com/en-ca/pages/1-for-the-planet</t>
  </si>
  <si>
    <t xml:space="preserve">https://www.bigbatbox.com/en-ca/pages/guide</t>
  </si>
  <si>
    <t xml:space="preserve">https://www.bigbatbox.com/en-ca/products/bee-house</t>
  </si>
  <si>
    <t xml:space="preserve">https://www.bigbatbox.com/it/blogs/types-of-squirrels</t>
  </si>
  <si>
    <t xml:space="preserve">https://www.bigbatbox.com/it/blogs/fun-facts-about-owls</t>
  </si>
  <si>
    <t xml:space="preserve">https://www.bigbatbox.com/it/search</t>
  </si>
  <si>
    <t xml:space="preserve">https://www.bigbatbox.com/de/cart</t>
  </si>
  <si>
    <t xml:space="preserve">https://www.bigbatbox.com/it/pages/warranty-registration</t>
  </si>
  <si>
    <t xml:space="preserve">https://www.bigbatbox.com/it/pages/cookie-policy</t>
  </si>
  <si>
    <t xml:space="preserve">https://www.bigbatbox.com/it/blogs/habitat-of-bats</t>
  </si>
  <si>
    <t xml:space="preserve">https://www.bigbatbox.com/en-ca/pages/wildyard-affiliate-program</t>
  </si>
  <si>
    <t xml:space="preserve">https://www.bigbatbox.com/en-ca/pages/collab</t>
  </si>
  <si>
    <t xml:space="preserve">https://www.bigbatbox.com/en-ca/products/double-chamber-bat-house-cedar</t>
  </si>
  <si>
    <t xml:space="preserve">https://www.bigbatbox.com/fr/products/three-chamber-bat-house-certified-brown</t>
  </si>
  <si>
    <t xml:space="preserve">https://www.bigbatbox.com/en-ca/products/big-bat-barn</t>
  </si>
  <si>
    <t xml:space="preserve">https://www.bigbatbox.com/fr/products/double-chamber-bat-house-brown</t>
  </si>
  <si>
    <t xml:space="preserve">https://www.bigbatbox.com/en-ca/products/three-chamber-bat-house-certified-brown</t>
  </si>
  <si>
    <t xml:space="preserve">https://www.bigbatbox.com/en-ca/products/certified-triple-chamber-bat-house-unfinished</t>
  </si>
  <si>
    <t xml:space="preserve">https://www.bigbatbox.com/en-ca/products/big-bat-barn-three-chamber-premium-cedar-bat-barn-black</t>
  </si>
  <si>
    <t xml:space="preserve">https://www.bigbatbox.com/en-ca/blogs/bee-species/bee-wise-how-bee-houses-and-hotels-can-help-save-bees-the-environment</t>
  </si>
  <si>
    <t xml:space="preserve">https://www.bigbatbox.com/fr/products/double-chamber-bat-house-black</t>
  </si>
  <si>
    <t xml:space="preserve">https://www.bigbatbox.com/fr/products/double-chamber-bat-house-cedar</t>
  </si>
  <si>
    <t xml:space="preserve">https://www.bigbatbox.com/en-ca/blogs/habitat-of-bats/how-to-attract-bats-to-a-bat-house</t>
  </si>
  <si>
    <t xml:space="preserve">https://www.bigbatbox.com/en-ca/products/double-chamber-bat-house-black</t>
  </si>
  <si>
    <t xml:space="preserve">https://www.bigbatbox.com/en-ca/blogs/bee-species/how-to-maintain-your-bee-house-through-the-seasons</t>
  </si>
  <si>
    <t xml:space="preserve">https://www.bigbatbox.com/en-ca/products/double-chamber-bat-house-brown</t>
  </si>
  <si>
    <t xml:space="preserve">https://www.bigbatbox.com/blogs/habitat-of-bats/tagged/backyard-pest-control</t>
  </si>
  <si>
    <t xml:space="preserve">https://www.bigbatbox.com/blogs/bee-species/tagged/garden-biodiversity</t>
  </si>
  <si>
    <t xml:space="preserve">https://www.bigbatbox.com/blogs/types-of-squirrels/tagged/squirrel-feeder-ideas</t>
  </si>
  <si>
    <t xml:space="preserve">https://www.bigbatbox.com/blogs/fun-facts-about-owls/tagged/wildlife-conservation</t>
  </si>
  <si>
    <t xml:space="preserve">https://www.bigbatbox.com/blogs/fun-facts-about-owls/tagged/conservation</t>
  </si>
  <si>
    <t xml:space="preserve">https://www.bigbatbox.com/blogs/habitat-of-bats/tagged/pollination</t>
  </si>
  <si>
    <t xml:space="preserve">https://www.bigbatbox.com/en-ca/blogs/habitat-of-bats/tagged/bat-species</t>
  </si>
  <si>
    <t xml:space="preserve">https://www.bigbatbox.com/en-ca/blogs/habitat-of-bats/tagged/megabats</t>
  </si>
  <si>
    <t xml:space="preserve">https://www.bigbatbox.com/blogs/habitat-of-bats/tagged/wildlife</t>
  </si>
  <si>
    <t xml:space="preserve">https://www.bigbatbox.com/en-ca/blogs/types-of-squirrels/do-squirrels-hibernate</t>
  </si>
  <si>
    <t xml:space="preserve">https://www.bigbatbox.com/blogs/habitat-of-bats/tagged/pest-control</t>
  </si>
  <si>
    <t xml:space="preserve">https://www.bigbatbox.com/en-ca/collections/1-chamber-bat-houses</t>
  </si>
  <si>
    <t xml:space="preserve">https://www.bigbatbox.com/blogs/types-of-squirrels/tagged/backyard-habitat</t>
  </si>
  <si>
    <t xml:space="preserve">https://www.bigbatbox.com/blogs/habitat-of-bats/tagged/bat-box-placement</t>
  </si>
  <si>
    <t xml:space="preserve">https://www.bigbatbox.com/blogs/fun-facts-about-owls/tagged/wildlife-lifespan</t>
  </si>
  <si>
    <t xml:space="preserve">https://www.bigbatbox.com/en-ca/pages/faq</t>
  </si>
  <si>
    <t xml:space="preserve">https://www.bigbatbox.com/blogs/habitat-of-bats?page=4</t>
  </si>
  <si>
    <t xml:space="preserve">https://www.bigbatbox.com/blogs/types-of-squirrels/tagged/species-facts</t>
  </si>
  <si>
    <t xml:space="preserve">https://www.bigbatbox.com/blogs/types-of-squirrels/tagged/diy-squirrel-feeder</t>
  </si>
  <si>
    <t xml:space="preserve">https://www.bigbatbox.com/en-ca/collections/certified-bat-houses</t>
  </si>
  <si>
    <t xml:space="preserve">https://www.bigbatbox.com/en-ca/blogs/habitat-of-bats/tagged/vampire-bats</t>
  </si>
  <si>
    <t xml:space="preserve">https://www.bigbatbox.com/blogs/types-of-squirrels/tagged/squirrel-feeder</t>
  </si>
  <si>
    <t xml:space="preserve">https://www.bigbatbox.com/blogs/bee-species/tagged/pollination</t>
  </si>
  <si>
    <t xml:space="preserve">https://www.bigbatbox.com/blogs/bee-species/tagged/bee-conservation</t>
  </si>
  <si>
    <t xml:space="preserve">https://www.bigbatbox.com/en-ca/blogs/habitat-of-bats/tagged/microbats</t>
  </si>
  <si>
    <t xml:space="preserve">https://www.bigbatbox.com/blogs/types-of-squirrels/tagged/squirrel-box</t>
  </si>
  <si>
    <t xml:space="preserve">https://www.bigbatbox.com/en-ca/products/certified-triple-chamber-bat-house-black</t>
  </si>
  <si>
    <t xml:space="preserve">https://www.bigbatbox.com/blogs/bee-species/tagged/environmental-sustainability</t>
  </si>
  <si>
    <t xml:space="preserve">https://www.bigbatbox.com/blogs/habitat-of-bats/tagged/are-bats-dangerous</t>
  </si>
  <si>
    <t xml:space="preserve">https://www.bigbatbox.com/blogs/types-of-squirrels/tagged/squirrel-care</t>
  </si>
  <si>
    <t xml:space="preserve">https://www.bigbatbox.com/en-ca/products/bat-house-single-chamber-black</t>
  </si>
  <si>
    <t xml:space="preserve">https://www.bigbatbox.com/blogs/habitat-of-bats/tagged/home-pest-control</t>
  </si>
  <si>
    <t xml:space="preserve">https://www.bigbatbox.com/blogs/wildyard-learn/tagged/bat-houses</t>
  </si>
  <si>
    <t xml:space="preserve">https://www.bigbatbox.com/blogs/habitat-of-bats/tagged/attract-bats-to-yard</t>
  </si>
  <si>
    <t xml:space="preserve">https://www.bigbatbox.com/blogs/bee-species/tagged/bees</t>
  </si>
  <si>
    <t xml:space="preserve">https://www.bigbatbox.com/blogs/habitat-of-bats/tagged/biodiversity</t>
  </si>
  <si>
    <t xml:space="preserve">https://www.bigbatbox.com/en-ca/collections/2-chamber-bat-houses</t>
  </si>
  <si>
    <t xml:space="preserve">https://www.bigbatbox.com/blogs/habitat-of-bats/tagged/bat-benefits</t>
  </si>
  <si>
    <t xml:space="preserve">https://www.bigbatbox.com/blogs/habitat-of-bats/tagged/bat-prevention</t>
  </si>
  <si>
    <t xml:space="preserve">https://www.bigbatbox.com/blogs/habitat-of-bats/tagged/bats</t>
  </si>
  <si>
    <t xml:space="preserve">https://www.bigbatbox.com/en-ca/blogs/types-of-squirrels/what-to-feed-squirrels-year-round</t>
  </si>
  <si>
    <t xml:space="preserve">https://www.bigbatbox.com/blogs/habitat-of-bats/tagged/conservation</t>
  </si>
  <si>
    <t xml:space="preserve">https://www.bigbatbox.com/blogs/bee-species/tagged/bee-houses</t>
  </si>
  <si>
    <t xml:space="preserve">https://www.bigbatbox.com/blogs/habitat-of-bats/tagged/bat-box-installation</t>
  </si>
  <si>
    <t xml:space="preserve">https://www.bigbatbox.com/blogs/fun-facts-about-owls/tagged/backyard-wildlife</t>
  </si>
  <si>
    <t xml:space="preserve">https://www.bigbatbox.com/blogs/habitat-of-bats/tagged/bat-box-guide</t>
  </si>
  <si>
    <t xml:space="preserve">https://www.bigbatbox.com/en-ca/blogs/habitat-of-bats/best-backyard-bat-conservation-and-wildlife-habitat-trends-for-2026-so-far</t>
  </si>
  <si>
    <t xml:space="preserve">https://www.bigbatbox.com/blogs/fun-facts-about-owls/tagged/owl-nesting-box</t>
  </si>
  <si>
    <t xml:space="preserve">https://www.bigbatbox.com/blogs/habitat-of-bats/tagged/get-rid-of-bats</t>
  </si>
  <si>
    <t xml:space="preserve">https://www.bigbatbox.com/en-ca/pages/1-for-the-planet-merlin-tuttle-x-wild-yard</t>
  </si>
  <si>
    <t xml:space="preserve">https://www.bigbatbox.com/blogs/bee-species/tagged/pollinators</t>
  </si>
  <si>
    <t xml:space="preserve">https://www.bigbatbox.com/en-ca/blogs/bee-species/fun-facts-about-bees</t>
  </si>
  <si>
    <t xml:space="preserve">https://www.bigbatbox.com/blogs/fun-facts-about-owls/tagged/owl-nesting-boxes</t>
  </si>
  <si>
    <t xml:space="preserve">https://www.bigbatbox.com/blogs/types-of-squirrels/tagged/squirrel-behavior</t>
  </si>
  <si>
    <t xml:space="preserve">https://www.bigbatbox.com/blogs/fun-facts-about-owls/tagged/barn-owl-box</t>
  </si>
  <si>
    <t xml:space="preserve">https://www.bigbatbox.com/blogs/bee-species/tagged/biodiversity</t>
  </si>
  <si>
    <t xml:space="preserve">https://www.bigbatbox.com/blogs/wildyard-learn/tagged/wildlife-habitat-tips</t>
  </si>
  <si>
    <t xml:space="preserve">https://www.bigbatbox.com/fr/collections/all</t>
  </si>
  <si>
    <t xml:space="preserve">https://www.bigbatbox.com/fr/products/certified-triple-chamber-bat-house-unfinished</t>
  </si>
  <si>
    <t xml:space="preserve">https://www.bigbatbox.com/blogs/habitat-of-bats/tagged/attract-bats</t>
  </si>
  <si>
    <t xml:space="preserve">https://www.bigbatbox.com/blogs/habitat-of-bats/tagged/bat-removal</t>
  </si>
  <si>
    <t xml:space="preserve">https://www.bigbatbox.com/blogs/wildyard-learn/tagged/owl-houses</t>
  </si>
  <si>
    <t xml:space="preserve">https://www.bigbatbox.com/blogs/habitat-of-bats?page=2</t>
  </si>
  <si>
    <t xml:space="preserve">https://www.bigbatbox.com/fr/blogs/bee-species/where-to-hang-a-bee-house</t>
  </si>
  <si>
    <t xml:space="preserve">https://www.bigbatbox.com/en-ca/collections/bat-barn-junior</t>
  </si>
  <si>
    <t xml:space="preserve">https://www.bigbatbox.com/en-ca/blogs/habitat-of-bats/tagged/bat-diet</t>
  </si>
  <si>
    <t xml:space="preserve">https://www.bigbatbox.com/en-ca/blogs/habitat-of-bats/tagged/what-do-bats-eat</t>
  </si>
  <si>
    <t xml:space="preserve">https://www.bigbatbox.com/blogs/types-of-squirrels/tagged/nocturnal-animals</t>
  </si>
  <si>
    <t xml:space="preserve">https://www.bigbatbox.com/blogs/habitat-of-bats/tagged/backyard-eco-tips</t>
  </si>
  <si>
    <t xml:space="preserve">https://www.bigbatbox.com/blogs/fun-facts-about-owls/tagged/owl-nest-box</t>
  </si>
  <si>
    <t xml:space="preserve">https://www.bigbatbox.com/collections</t>
  </si>
  <si>
    <t xml:space="preserve">https://www.bigbatbox.com/blogs/fun-facts-about-owls/tagged/screech-owl-box</t>
  </si>
  <si>
    <t xml:space="preserve">https://www.bigbatbox.com/blogs/fun-facts-about-owls/tagged/owl-facts</t>
  </si>
  <si>
    <t xml:space="preserve">https://www.bigbatbox.com/blogs/habitat-of-bats?page=3</t>
  </si>
  <si>
    <t xml:space="preserve">https://www.bigbatbox.com/en-ca/products/wildyard-digital-gift-card</t>
  </si>
  <si>
    <t xml:space="preserve">https://www.bigbatbox.com/en-ca/blogs/types-of-squirrels/how-long-do-squirrels-live</t>
  </si>
  <si>
    <t xml:space="preserve">https://www.bigbatbox.com/blogs/types-of-squirrels/tagged/seasonal-guide</t>
  </si>
  <si>
    <t xml:space="preserve">https://www.bigbatbox.com/blogs/wildyard-learn/tagged/wildlife-maintenance</t>
  </si>
  <si>
    <t xml:space="preserve">https://www.bigbatbox.com/en-ca/blogs/types-of-squirrels/when-do-squirrels-have-babies</t>
  </si>
  <si>
    <t xml:space="preserve">https://www.bigbatbox.com/blogs/types-of-squirrels/tagged/buying-guide</t>
  </si>
  <si>
    <t xml:space="preserve">https://www.bigbatbox.com/en-ca/products/single-chamber-bat-house</t>
  </si>
  <si>
    <t xml:space="preserve">https://www.bigbatbox.com/fr/products/big-bat-barn-three-chamber-premium-cedar-bat-barn-black</t>
  </si>
  <si>
    <t xml:space="preserve">https://www.bigbatbox.com/blogs/bee-species/tagged/ecosystem</t>
  </si>
  <si>
    <t xml:space="preserve">https://www.bigbatbox.com/blogs/habitat-of-bats/tagged/bat-control</t>
  </si>
  <si>
    <t xml:space="preserve">https://www.bigbatbox.com/en-ca/blogs/types-of-squirrels/squirrel-house-vs-squirrel-feeder</t>
  </si>
  <si>
    <t xml:space="preserve">https://www.bigbatbox.com/fr/blogs/bee-species/do-solitary-bees-sting</t>
  </si>
  <si>
    <t xml:space="preserve">https://www.bigbatbox.com/en-ca/collections/all</t>
  </si>
  <si>
    <t xml:space="preserve">https://www.bigbatbox.com/en-ca/blogs/habitat-of-bats/5-best-tips-for-bat-house-maintenance</t>
  </si>
  <si>
    <t xml:space="preserve">https://www.bigbatbox.com/blogs/fun-facts-about-owls/tagged/owls</t>
  </si>
  <si>
    <t xml:space="preserve">https://www.bigbatbox.com/fr/products/big-bat-barn</t>
  </si>
  <si>
    <t xml:space="preserve">https://www.bigbatbox.com/blogs/habitat-of-bats/tagged/2026-trends</t>
  </si>
  <si>
    <t xml:space="preserve">https://www.bigbatbox.com/en-ca/blogs/habitat-of-bats/tagged/bat-food</t>
  </si>
  <si>
    <t xml:space="preserve">https://www.bigbatbox.com/blogs/fun-facts-about-owls/tagged/owl-box</t>
  </si>
  <si>
    <t xml:space="preserve">https://www.bigbatbox.com/blogs/fun-facts-about-owls/tagged/bird-house</t>
  </si>
  <si>
    <t xml:space="preserve">https://www.bigbatbox.com/blogs/bee-species/tagged/environmental-health</t>
  </si>
  <si>
    <t xml:space="preserve">https://www.bigbatbox.com/en-ca/collections/big-bat-barn-three-chamber-premium</t>
  </si>
  <si>
    <t xml:space="preserve">https://www.bigbatbox.com/en-ca/products/bat-barn-junior-brown</t>
  </si>
  <si>
    <t xml:space="preserve">https://www.bigbatbox.com/blogs/types-of-squirrels/tagged/cedar-habitat</t>
  </si>
  <si>
    <t xml:space="preserve">https://www.bigbatbox.com/blogs/habitat-of-bats/tagged/avoid-pesticides</t>
  </si>
  <si>
    <t xml:space="preserve">https://www.bigbatbox.com/blogs/habitat-of-bats/tagged/bat-boxes</t>
  </si>
  <si>
    <t xml:space="preserve">https://www.bigbatbox.com/blogs/wildyard-learn/tagged/bee-houses</t>
  </si>
  <si>
    <t xml:space="preserve">https://www.bigbatbox.com/blogs/types-of-squirrels/tagged/nest-box-maintenance</t>
  </si>
  <si>
    <t xml:space="preserve">https://www.bigbatbox.com/blogs/wildyard-learn/tagged/habitat-conservation</t>
  </si>
  <si>
    <t xml:space="preserve">https://www.bigbatbox.com/en-ca/blogs/types-of-squirrels/how-to-attract-squirrels-to-your-backyard</t>
  </si>
  <si>
    <t xml:space="preserve">https://www.bigbatbox.com/fr/products/single-chamber-bat-house</t>
  </si>
  <si>
    <t xml:space="preserve">https://www.bigbatbox.com/blogs/habitat-of-bats/tagged/ecosystem</t>
  </si>
  <si>
    <t xml:space="preserve">https://www.bigbatbox.com/blogs/habitat-of-bats/tagged/backyard-wildlife</t>
  </si>
  <si>
    <t xml:space="preserve">https://www.bigbatbox.com/blogs/bee-species/tagged/bee-hotels</t>
  </si>
  <si>
    <t xml:space="preserve">https://www.bigbatbox.com/en-ca/blogs/habitat-of-bats/some-interesting-busted-myths-and-facts-about-bats</t>
  </si>
  <si>
    <t xml:space="preserve">https://www.bigbatbox.com/fr/blogs/bee-species/mason-bees-vs-leafcutter-bees</t>
  </si>
  <si>
    <t xml:space="preserve">https://www.bigbatbox.com/en-ca/products/bat-barn-junior-black</t>
  </si>
  <si>
    <t xml:space="preserve">https://www.bigbatbox.com/blogs/wildyard-learn/tagged/wildlife-care</t>
  </si>
  <si>
    <t xml:space="preserve">https://www.bigbatbox.com/fr/products/certified-triple-chamber-bat-house-black</t>
  </si>
  <si>
    <t xml:space="preserve">https://www.bigbatbox.com/blogs/habitat-of-bats/tagged/night-guardians</t>
  </si>
  <si>
    <t xml:space="preserve">https://www.bigbatbox.com/blogs/wildyard-learn/tagged/wildlife-shelter</t>
  </si>
  <si>
    <t xml:space="preserve">https://www.bigbatbox.com/fr/pages/faq</t>
  </si>
  <si>
    <t xml:space="preserve">https://www.bigbatbox.com/blogs/habitat-of-bats/tagged/bat-box-sunlight-requirements</t>
  </si>
  <si>
    <t xml:space="preserve">https://www.bigbatbox.com/blogs/fun-facts-about-owls/tagged/bird-watching</t>
  </si>
  <si>
    <t xml:space="preserve">https://www.bigbatbox.com/blogs/types-of-squirrels/tagged/backyard-wildlife</t>
  </si>
  <si>
    <t xml:space="preserve">https://www.bigbatbox.com/blogs/habitat-of-bats/tagged/backyard-conservation</t>
  </si>
  <si>
    <t xml:space="preserve">https://www.bigbatbox.com/blogs/types-of-squirrels/tagged/habitat</t>
  </si>
  <si>
    <t xml:space="preserve">https://www.bigbatbox.com/fr/blogs/wildyard-learn/wildlife-care-expert-guide-to-maintaining-bat-owl-and-bee-houses</t>
  </si>
  <si>
    <t xml:space="preserve">https://www.bigbatbox.com/fr/blogs/habitat-of-bats/how-to-get-rid-of-bats</t>
  </si>
  <si>
    <t xml:space="preserve">https://www.bigbatbox.com/en-ca/blogs/bee-species/why-are-bees-important</t>
  </si>
  <si>
    <t xml:space="preserve">https://www.bigbatbox.com/en-ca/blogs/fun-facts-about-owls/owl-nesting-boxes-providing-safe-havens-for-nighttime-raptors</t>
  </si>
  <si>
    <t xml:space="preserve">https://www.bigbatbox.com/en-ca/blogs/wildyard-learn/wildlife-care-expert-guide-to-maintaining-bat-owl-and-bee-houses</t>
  </si>
  <si>
    <t xml:space="preserve">https://www.bigbatbox.com/fr/blogs/bee-species/bee-wise-how-bee-houses-and-hotels-can-help-save-bees-the-environment</t>
  </si>
  <si>
    <t xml:space="preserve">https://www.bigbatbox.com/en-ca/blogs/habitat-of-bats/the-night-guardians-the-importance-of-bats-to-our-world</t>
  </si>
  <si>
    <t xml:space="preserve">https://www.bigbatbox.com/fr/blogs/fun-facts-about-owls/owl-nesting-boxes-providing-safe-havens-for-nighttime-raptors</t>
  </si>
  <si>
    <t xml:space="preserve">https://www.bigbatbox.com/fr/blogs/bee-species/why-are-bees-important</t>
  </si>
  <si>
    <t xml:space="preserve">https://www.bigbatbox.com/fr/blogs/habitat-of-bats/the-night-guardians-the-importance-of-bats-to-our-world</t>
  </si>
  <si>
    <t xml:space="preserve">https://www.bigbatbox.com/en-ca/blogs/habitat-of-bats/how-to-get-rid-of-bats</t>
  </si>
  <si>
    <t xml:space="preserve">https://www.bigbatbox.com/es/blogs/fun-facts-about-owls/tagged/owl-nest-box</t>
  </si>
  <si>
    <t xml:space="preserve">https://www.bigbatbox.com/en-ca/collections/owl-boxes</t>
  </si>
  <si>
    <t xml:space="preserve">https://www.bigbatbox.com/en-ca/blogs/bee-species/tagged/bee-conservation</t>
  </si>
  <si>
    <t xml:space="preserve">https://www.bigbatbox.com/fr/blogs/habitat-of-bats/tagged/biodiversity</t>
  </si>
  <si>
    <t xml:space="preserve">https://www.bigbatbox.com/de/blogs/wildyard-learn/tagged/bat-houses</t>
  </si>
  <si>
    <t xml:space="preserve">https://www.bigbatbox.com/de/blogs/habitat-of-bats/tagged/bat-prevention</t>
  </si>
  <si>
    <t xml:space="preserve">https://www.bigbatbox.com/de/blogs/bee-species/tagged/bee-hotels</t>
  </si>
  <si>
    <t xml:space="preserve">https://www.bigbatbox.com/fr/blogs/habitat-of-bats/tagged/pollination</t>
  </si>
  <si>
    <t xml:space="preserve">https://www.bigbatbox.com/en-ca/blogs/wildyard-learn/tagged/wildlife-care</t>
  </si>
  <si>
    <t xml:space="preserve">https://www.bigbatbox.com/en-ca/blogs/habitat-of-bats/tagged/bat-removal</t>
  </si>
  <si>
    <t xml:space="preserve">https://www.bigbatbox.com/fr/blogs/fun-facts-about-owls/tagged/owl-nesting-boxes</t>
  </si>
  <si>
    <t xml:space="preserve">https://www.bigbatbox.com/en-ca/blogs/fun-facts-about-owls/tagged/bird-watching</t>
  </si>
  <si>
    <t xml:space="preserve">https://www.bigbatbox.com/en-ca/blogs/bee-species/tagged/bee-houses</t>
  </si>
  <si>
    <t xml:space="preserve">https://www.bigbatbox.com/fr/blogs/habitat-of-bats/tagged/bats</t>
  </si>
  <si>
    <t xml:space="preserve">https://www.bigbatbox.com/es/blogs/bee-species/tagged/pollination</t>
  </si>
  <si>
    <t xml:space="preserve">https://www.bigbatbox.com/es/blogs/habitat-of-bats/tagged/ecosystem</t>
  </si>
  <si>
    <t xml:space="preserve">https://www.bigbatbox.com/fr/blogs/habitat-of-bats/tagged/bat-control</t>
  </si>
  <si>
    <t xml:space="preserve">https://www.bigbatbox.com/es/blogs/habitat-of-bats/tagged/conservation</t>
  </si>
  <si>
    <t xml:space="preserve">https://www.bigbatbox.com/de/blogs/fun-facts-about-owls/tagged/bird-watching</t>
  </si>
  <si>
    <t xml:space="preserve">https://www.bigbatbox.com/en-ca/blogs/habitat-of-bats/tagged/bat-control</t>
  </si>
  <si>
    <t xml:space="preserve">https://www.bigbatbox.com/en-ca/blogs/habitat-of-bats/tagged/home-pest-control</t>
  </si>
  <si>
    <t xml:space="preserve">https://www.bigbatbox.com/es/blogs/bee-species/tagged/bees</t>
  </si>
  <si>
    <t xml:space="preserve">https://www.bigbatbox.com/es/blogs/wildyard-learn/tagged/wildlife-care</t>
  </si>
  <si>
    <t xml:space="preserve">https://www.bigbatbox.com/en-ca/blogs/habitat-of-bats/tagged/night-guardians</t>
  </si>
  <si>
    <t xml:space="preserve">https://www.bigbatbox.com/fr/blogs/habitat-of-bats/tagged/bat-removal</t>
  </si>
  <si>
    <t xml:space="preserve">https://www.bigbatbox.com/en-ca/blogs/bee-species/tagged/pollinators</t>
  </si>
  <si>
    <t xml:space="preserve">https://www.bigbatbox.com/de/blogs/bee-species/tagged/environmental-health</t>
  </si>
  <si>
    <t xml:space="preserve">https://www.bigbatbox.com/es/blogs/habitat-of-bats/tagged/pest-control</t>
  </si>
  <si>
    <t xml:space="preserve">https://www.bigbatbox.com/es/blogs/bee-species/tagged/environmental-health</t>
  </si>
  <si>
    <t xml:space="preserve">https://www.bigbatbox.com/fr/blogs/habitat-of-bats/tagged/pest-control</t>
  </si>
  <si>
    <t xml:space="preserve">https://www.bigbatbox.com/de/blogs/habitat-of-bats/tagged/night-guardians</t>
  </si>
  <si>
    <t xml:space="preserve">https://www.bigbatbox.com/es/blogs/habitat-of-bats/tagged/biodiversity</t>
  </si>
  <si>
    <t xml:space="preserve">https://www.bigbatbox.com/fr/blogs/bee-species/tagged/environmental-health</t>
  </si>
  <si>
    <t xml:space="preserve">https://www.bigbatbox.com/en-ca/blogs/wildyard-learn/tagged/wildlife-habitat-tips</t>
  </si>
  <si>
    <t xml:space="preserve">https://www.bigbatbox.com/en-ca/blogs/fun-facts-about-owls/tagged/barn-owl-box</t>
  </si>
  <si>
    <t xml:space="preserve">https://www.bigbatbox.com/de/blogs/wildyard-learn/tagged/bee-houses</t>
  </si>
  <si>
    <t xml:space="preserve">https://www.bigbatbox.com/fr/blogs/habitat-of-bats/tagged/home-pest-control</t>
  </si>
  <si>
    <t xml:space="preserve">https://www.bigbatbox.com/fr/blogs/bee-species/tagged/biodiversity</t>
  </si>
  <si>
    <t xml:space="preserve">https://www.bigbatbox.com/es/blogs/habitat-of-bats/tagged/bats</t>
  </si>
  <si>
    <t xml:space="preserve">https://www.bigbatbox.com/en-ca/blogs/bee-species/tagged/bees</t>
  </si>
  <si>
    <t xml:space="preserve">https://www.bigbatbox.com/es/blogs/wildyard-learn/tagged/habitat-conservation</t>
  </si>
  <si>
    <t xml:space="preserve">https://www.bigbatbox.com/es/blogs/wildyard-learn/tagged/wildlife-habitat-tips</t>
  </si>
  <si>
    <t xml:space="preserve">https://www.bigbatbox.com/de/blogs/bee-species/tagged/bee-houses</t>
  </si>
  <si>
    <t xml:space="preserve">https://www.bigbatbox.com/de/blogs/wildyard-learn/tagged/wildlife-habitat-tips</t>
  </si>
  <si>
    <t xml:space="preserve">https://www.bigbatbox.com/fr/blogs/fun-facts-about-owls/tagged/wildlife-conservation</t>
  </si>
  <si>
    <t xml:space="preserve">https://www.bigbatbox.com/fr/blogs/fun-facts-about-owls/tagged/bird-house</t>
  </si>
  <si>
    <t xml:space="preserve">https://www.bigbatbox.com/de/blogs/bee-species/tagged/pollinators</t>
  </si>
  <si>
    <t xml:space="preserve">https://www.bigbatbox.com/de/blogs/bee-species/tagged/pollination</t>
  </si>
  <si>
    <t xml:space="preserve">https://www.bigbatbox.com/de/blogs/wildyard-learn/tagged/wildlife-maintenance</t>
  </si>
  <si>
    <t xml:space="preserve">https://www.bigbatbox.com/es/blogs/fun-facts-about-owls/tagged/wildlife-conservation</t>
  </si>
  <si>
    <t xml:space="preserve">https://www.bigbatbox.com/fr/blogs/habitat-of-bats/tagged/bat-prevention</t>
  </si>
  <si>
    <t xml:space="preserve">https://www.bigbatbox.com/fr/blogs/habitat-of-bats/tagged/night-guardians</t>
  </si>
  <si>
    <t xml:space="preserve">https://www.bigbatbox.com/es/blogs/wildyard-learn/tagged/wildlife-maintenance</t>
  </si>
  <si>
    <t xml:space="preserve">https://www.bigbatbox.com/de/blogs/habitat-of-bats/tagged/get-rid-of-bats</t>
  </si>
  <si>
    <t xml:space="preserve">https://www.bigbatbox.com/es/blogs/habitat-of-bats/tagged/wildlife</t>
  </si>
  <si>
    <t xml:space="preserve">https://www.bigbatbox.com/en-ca/blogs/habitat-of-bats/tagged/pest-control</t>
  </si>
  <si>
    <t xml:space="preserve">https://www.bigbatbox.com/en-ca/blogs/habitat-of-bats/tagged/bats</t>
  </si>
  <si>
    <t xml:space="preserve">https://www.bigbatbox.com/es/blogs/bee-species/tagged/garden-biodiversity</t>
  </si>
  <si>
    <t xml:space="preserve">https://www.bigbatbox.com/en-ca/blogs/wildyard-learn/tagged/habitat-conservation</t>
  </si>
  <si>
    <t xml:space="preserve">https://www.bigbatbox.com/en-ca/blogs/fun-facts-about-owls/tagged/owl-nesting-boxes</t>
  </si>
  <si>
    <t xml:space="preserve">https://www.bigbatbox.com/fr/blogs/bee-species/tagged/ecosystem</t>
  </si>
  <si>
    <t xml:space="preserve">https://www.bigbatbox.com/fr/blogs/habitat-of-bats/tagged/ecosystem</t>
  </si>
  <si>
    <t xml:space="preserve">https://www.bigbatbox.com/en-ca/blogs/fun-facts-about-owls/tagged/owl-nest-box</t>
  </si>
  <si>
    <t xml:space="preserve">https://www.bigbatbox.com/de/blogs/bee-species/tagged/ecosystem</t>
  </si>
  <si>
    <t xml:space="preserve">https://www.bigbatbox.com/es/blogs/habitat-of-bats/tagged/home-pest-control</t>
  </si>
  <si>
    <t xml:space="preserve">https://www.bigbatbox.com/fr/blogs/wildyard-learn/tagged/wildlife-shelter</t>
  </si>
  <si>
    <t xml:space="preserve">https://www.bigbatbox.com/es/blogs/fun-facts-about-owls/tagged/owl-nesting-box</t>
  </si>
  <si>
    <t xml:space="preserve">https://www.bigbatbox.com/es/blogs/bee-species/tagged/environmental-sustainability</t>
  </si>
  <si>
    <t xml:space="preserve">https://www.bigbatbox.com/es/blogs/habitat-of-bats/tagged/bat-prevention</t>
  </si>
  <si>
    <t xml:space="preserve">https://www.bigbatbox.com/fr/blogs/bee-species/tagged/bee-houses</t>
  </si>
  <si>
    <t xml:space="preserve">https://www.bigbatbox.com/es/blogs/bee-species/tagged/ecosystem</t>
  </si>
  <si>
    <t xml:space="preserve">https://www.bigbatbox.com/en-ca/blogs/bee-species/tagged/pollination</t>
  </si>
  <si>
    <t xml:space="preserve">https://www.bigbatbox.com/fr/blogs/wildyard-learn/tagged/bee-houses</t>
  </si>
  <si>
    <t xml:space="preserve">https://www.bigbatbox.com/de/blogs/habitat-of-bats/tagged/home-pest-control</t>
  </si>
  <si>
    <t xml:space="preserve">https://www.bigbatbox.com/es/blogs/fun-facts-about-owls/tagged/bird-watching</t>
  </si>
  <si>
    <t xml:space="preserve">https://www.bigbatbox.com/es/blogs/habitat-of-bats/tagged/get-rid-of-bats</t>
  </si>
  <si>
    <t xml:space="preserve">https://www.bigbatbox.com/de/blogs/fun-facts-about-owls/tagged/wildlife-conservation</t>
  </si>
  <si>
    <t xml:space="preserve">https://www.bigbatbox.com/es/blogs/wildyard-learn/tagged/bee-houses</t>
  </si>
  <si>
    <t xml:space="preserve">https://www.bigbatbox.com/fr/blogs/habitat-of-bats/tagged/wildlife</t>
  </si>
  <si>
    <t xml:space="preserve">https://www.bigbatbox.com/fr/blogs/fun-facts-about-owls/tagged/screech-owl-box</t>
  </si>
  <si>
    <t xml:space="preserve">https://www.bigbatbox.com/es/blogs/fun-facts-about-owls/tagged/barn-owl-box</t>
  </si>
  <si>
    <t xml:space="preserve">https://www.bigbatbox.com/fr/blogs/wildyard-learn/tagged/wildlife-care</t>
  </si>
  <si>
    <t xml:space="preserve">https://www.bigbatbox.com/fr/blogs/wildyard-learn/tagged/wildlife-maintenance</t>
  </si>
  <si>
    <t xml:space="preserve">https://www.bigbatbox.com/es/blogs/habitat-of-bats/tagged/night-guardians</t>
  </si>
  <si>
    <t xml:space="preserve">https://www.bigbatbox.com/de/blogs/fun-facts-about-owls/tagged/bird-house</t>
  </si>
  <si>
    <t xml:space="preserve">https://www.bigbatbox.com/de/blogs/fun-facts-about-owls/tagged/owl-nesting-boxes</t>
  </si>
  <si>
    <t xml:space="preserve">https://www.bigbatbox.com/de/blogs/wildyard-learn/tagged/habitat-conservation</t>
  </si>
  <si>
    <t xml:space="preserve">https://www.bigbatbox.com/en-ca/blogs/wildyard-learn/tagged/wildlife-maintenance</t>
  </si>
  <si>
    <t xml:space="preserve">https://www.bigbatbox.com/en-ca/blogs/habitat-of-bats/tagged/get-rid-of-bats</t>
  </si>
  <si>
    <t xml:space="preserve">https://www.bigbatbox.com/fr/blogs/bee-species/tagged/environmental-sustainability</t>
  </si>
  <si>
    <t xml:space="preserve">https://www.bigbatbox.com/fr/products/bat-barn-junior-brown</t>
  </si>
  <si>
    <t xml:space="preserve">https://www.bigbatbox.com/fr/blogs/fun-facts-about-owls/tagged/owl-nest-box</t>
  </si>
  <si>
    <t xml:space="preserve">https://www.bigbatbox.com/de/blogs/bee-species/tagged/environmental-sustainability</t>
  </si>
  <si>
    <t xml:space="preserve">https://www.bigbatbox.com/fr/collections/owl-boxes</t>
  </si>
  <si>
    <t xml:space="preserve">https://www.bigbatbox.com/fr/blogs/bee-species/tagged/pollination</t>
  </si>
  <si>
    <t xml:space="preserve">https://www.bigbatbox.com/es/blogs/habitat-of-bats/tagged/bat-removal</t>
  </si>
  <si>
    <t xml:space="preserve">https://www.bigbatbox.com/de/blogs/habitat-of-bats/tagged/ecosystem</t>
  </si>
  <si>
    <t xml:space="preserve">https://www.bigbatbox.com/fr/products/bat-barn-junior-black</t>
  </si>
  <si>
    <t xml:space="preserve">https://www.bigbatbox.com/es/blogs/habitat-of-bats/tagged/bat-control</t>
  </si>
  <si>
    <t xml:space="preserve">https://www.bigbatbox.com/es/blogs/bee-species/tagged/pollinators</t>
  </si>
  <si>
    <t xml:space="preserve">https://www.bigbatbox.com/es/blogs/bee-species/tagged/biodiversity</t>
  </si>
  <si>
    <t xml:space="preserve">https://www.bigbatbox.com/fr/blogs/fun-facts-about-owls/tagged/bird-watching</t>
  </si>
  <si>
    <t xml:space="preserve">https://www.bigbatbox.com/de/blogs/bee-species/tagged/bees</t>
  </si>
  <si>
    <t xml:space="preserve">https://www.bigbatbox.com/en-ca/blogs/wildyard-learn/tagged/bee-houses</t>
  </si>
  <si>
    <t xml:space="preserve">https://www.bigbatbox.com/en-ca/blogs/habitat-of-bats/tagged/biodiversity</t>
  </si>
  <si>
    <t xml:space="preserve">https://www.bigbatbox.com/en-ca/blogs/fun-facts-about-owls/tagged/bird-house</t>
  </si>
  <si>
    <t xml:space="preserve">https://www.bigbatbox.com/es/blogs/wildyard-learn/tagged/wildlife-shelter</t>
  </si>
  <si>
    <t xml:space="preserve">https://www.bigbatbox.com/de/blogs/habitat-of-bats/tagged/bats</t>
  </si>
  <si>
    <t xml:space="preserve">https://www.bigbatbox.com/en-ca/blogs/fun-facts-about-owls/tagged/owl-box</t>
  </si>
  <si>
    <t xml:space="preserve">https://www.bigbatbox.com/fr/blogs/wildyard-learn/tagged/wildlife-habitat-tips</t>
  </si>
  <si>
    <t xml:space="preserve">https://www.bigbatbox.com/de/blogs/habitat-of-bats/tagged/biodiversity</t>
  </si>
  <si>
    <t xml:space="preserve">https://www.bigbatbox.com/es/blogs/bee-species/tagged/bee-houses</t>
  </si>
  <si>
    <t xml:space="preserve">https://www.bigbatbox.com/fr/blogs/bee-species/tagged/bee-conservation</t>
  </si>
  <si>
    <t xml:space="preserve">https://www.bigbatbox.com/de/blogs/habitat-of-bats/tagged/bat-control</t>
  </si>
  <si>
    <t xml:space="preserve">https://www.bigbatbox.com/fr/blogs/wildyard-learn/tagged/bat-houses</t>
  </si>
  <si>
    <t xml:space="preserve">https://www.bigbatbox.com/en-ca/blogs/bee-species/tagged/environmental-sustainability</t>
  </si>
  <si>
    <t xml:space="preserve">https://www.bigbatbox.com/fr/products/bat-house-single-chamber-black</t>
  </si>
  <si>
    <t xml:space="preserve">https://www.bigbatbox.com/en-ca/blogs/wildyard-learn/tagged/bat-houses</t>
  </si>
  <si>
    <t xml:space="preserve">https://www.bigbatbox.com/de/blogs/habitat-of-bats/tagged/wildlife</t>
  </si>
  <si>
    <t xml:space="preserve">https://www.bigbatbox.com/fr/blogs/habitat-of-bats/tagged/conservation</t>
  </si>
  <si>
    <t xml:space="preserve">https://www.bigbatbox.com/en-ca/blogs/fun-facts-about-owls/tagged/owl-nesting-box</t>
  </si>
  <si>
    <t xml:space="preserve">https://www.bigbatbox.com/de/blogs/bee-species/tagged/garden-biodiversity</t>
  </si>
  <si>
    <t xml:space="preserve">https://www.bigbatbox.com/fr/blogs/bee-species/tagged/garden-biodiversity</t>
  </si>
  <si>
    <t xml:space="preserve">https://www.bigbatbox.com/fr/blogs/fun-facts-about-owls/tagged/owl-nesting-box</t>
  </si>
  <si>
    <t xml:space="preserve">https://www.bigbatbox.com/en-ca/blogs/habitat-of-bats/tagged/wildlife</t>
  </si>
  <si>
    <t xml:space="preserve">https://www.bigbatbox.com/fr/blogs/bee-species/tagged/pollinators</t>
  </si>
  <si>
    <t xml:space="preserve">https://www.bigbatbox.com/es/blogs/fun-facts-about-owls/tagged/bird-house</t>
  </si>
  <si>
    <t xml:space="preserve">https://www.bigbatbox.com/es/blogs/bee-species/tagged/bee-conservation</t>
  </si>
  <si>
    <t xml:space="preserve">https://www.bigbatbox.com/de/blogs/wildyard-learn/tagged/owl-houses</t>
  </si>
  <si>
    <t xml:space="preserve">https://www.bigbatbox.com/fr/blogs/wildyard-learn/tagged/owl-houses</t>
  </si>
  <si>
    <t xml:space="preserve">https://www.bigbatbox.com/en-ca/blogs/habitat-of-bats/tagged/conservation</t>
  </si>
  <si>
    <t xml:space="preserve">https://www.bigbatbox.com/en-ca/blogs/fun-facts-about-owls/tagged/wildlife-conservation</t>
  </si>
  <si>
    <t xml:space="preserve">https://www.bigbatbox.com/es/blogs/wildyard-learn/tagged/bat-houses</t>
  </si>
  <si>
    <t xml:space="preserve">https://www.bigbatbox.com/en-ca/blogs/habitat-of-bats/tagged/ecosystem</t>
  </si>
  <si>
    <t xml:space="preserve">https://www.bigbatbox.com/de/blogs/bee-species/tagged/bee-conservation</t>
  </si>
  <si>
    <t xml:space="preserve">https://www.bigbatbox.com/en-ca/collections/bee-houses</t>
  </si>
  <si>
    <t xml:space="preserve">https://www.bigbatbox.com/en-ca/blogs/wildyard-learn/tagged/wildlife-shelter</t>
  </si>
  <si>
    <t xml:space="preserve">https://www.bigbatbox.com/de/blogs/habitat-of-bats/tagged/conservation</t>
  </si>
  <si>
    <t xml:space="preserve">https://www.bigbatbox.com/es/blogs/wildyard-learn/tagged/owl-houses</t>
  </si>
  <si>
    <t xml:space="preserve">https://www.bigbatbox.com/en-ca/blogs/wildyard-learn/tagged/owl-houses</t>
  </si>
  <si>
    <t xml:space="preserve">https://www.bigbatbox.com/en-ca/blogs/bee-species/tagged/environmental-health</t>
  </si>
  <si>
    <t xml:space="preserve">https://www.bigbatbox.com/es/blogs/fun-facts-about-owls/tagged/screech-owl-box</t>
  </si>
  <si>
    <t xml:space="preserve">https://www.bigbatbox.com/en-ca/blogs/bee-species/tagged/biodiversity</t>
  </si>
  <si>
    <t xml:space="preserve">https://www.bigbatbox.com/de/blogs/habitat-of-bats/tagged/bat-removal</t>
  </si>
  <si>
    <t xml:space="preserve">https://www.bigbatbox.com/de/blogs/wildyard-learn/tagged/wildlife-care</t>
  </si>
  <si>
    <t xml:space="preserve">https://www.bigbatbox.com/fr/collections/big-bat-barn-three-chamber-premium</t>
  </si>
  <si>
    <t xml:space="preserve">https://www.bigbatbox.com/fr/collections/bee-houses</t>
  </si>
  <si>
    <t xml:space="preserve">https://www.bigbatbox.com/fr/blogs/wildyard-learn/tagged/habitat-conservation</t>
  </si>
  <si>
    <t xml:space="preserve">https://www.bigbatbox.com/de/blogs/habitat-of-bats/tagged/pest-control</t>
  </si>
  <si>
    <t xml:space="preserve">https://www.bigbatbox.com/en-ca/blogs/bee-species/tagged/ecosystem</t>
  </si>
  <si>
    <t xml:space="preserve">https://www.bigbatbox.com/fr/blogs/fun-facts-about-owls/tagged/owl-box</t>
  </si>
  <si>
    <t xml:space="preserve">https://www.bigbatbox.com/fr/blogs/habitat-of-bats/tagged/get-rid-of-bats</t>
  </si>
  <si>
    <t xml:space="preserve">https://www.bigbatbox.com/es/blogs/habitat-of-bats/tagged/pollination</t>
  </si>
  <si>
    <t xml:space="preserve">https://www.bigbatbox.com/en-ca/blogs/bee-species/tagged/bee-hotels</t>
  </si>
  <si>
    <t xml:space="preserve">https://www.bigbatbox.com/en-ca/blogs/bee-species/tagged/garden-biodiversity</t>
  </si>
  <si>
    <t xml:space="preserve">https://www.bigbatbox.com/fr/blogs/fun-facts-about-owls/tagged/barn-owl-box</t>
  </si>
  <si>
    <t xml:space="preserve">https://www.bigbatbox.com/de/blogs/habitat-of-bats/tagged/pollination</t>
  </si>
  <si>
    <t xml:space="preserve">https://www.bigbatbox.com/de/blogs/bee-species/tagged/biodiversity</t>
  </si>
  <si>
    <t xml:space="preserve">https://www.bigbatbox.com/fr/blogs/bee-species/tagged/bee-hotels</t>
  </si>
  <si>
    <t xml:space="preserve">https://www.bigbatbox.com/es/blogs/bee-species/tagged/bee-hotels</t>
  </si>
  <si>
    <t xml:space="preserve">https://www.bigbatbox.com/de/blogs/wildyard-learn/tagged/wildlife-shelter</t>
  </si>
  <si>
    <t xml:space="preserve">https://www.bigbatbox.com/es/blogs/fun-facts-about-owls/tagged/owl-box</t>
  </si>
  <si>
    <t xml:space="preserve">https://www.bigbatbox.com/en-ca/blogs/fun-facts-about-owls/tagged/screech-owl-box</t>
  </si>
  <si>
    <t xml:space="preserve">https://www.bigbatbox.com/en-ca/blogs/habitat-of-bats/tagged/pollination</t>
  </si>
  <si>
    <t xml:space="preserve">https://www.bigbatbox.com/en-ca/blogs/habitat-of-bats/tagged/bat-prevention</t>
  </si>
  <si>
    <t xml:space="preserve">https://www.bigbatbox.com/fr/blogs/bee-species/tagged/bees</t>
  </si>
  <si>
    <t xml:space="preserve">https://www.bigbatbox.com/fr/pages/data-sharing-opt-out</t>
  </si>
  <si>
    <t xml:space="preserve">https://www.bigbatbox.com/it/pages/data-sharing-opt-out</t>
  </si>
  <si>
    <t xml:space="preserve">https://www.bigbatbox.com/en-ca/pages/data-sharing-opt-out</t>
  </si>
  <si>
    <t xml:space="preserve">https://www.bigbatbox.com/it/products/squirrel-feeder</t>
  </si>
  <si>
    <t xml:space="preserve">https://www.bigbatbox.com/it/products/bird-suet-feeder</t>
  </si>
  <si>
    <t xml:space="preserve">https://www.bigbatbox.com/fr/products/bird-suet-feeder</t>
  </si>
  <si>
    <t xml:space="preserve">https://www.bigbatbox.com/en-ca/products/bird-suet-feeder</t>
  </si>
  <si>
    <t xml:space="preserve">https://www.bigbatbox.com/en-ca/blogs/habitat-of-bats/where-to-mount-a-bat-house-in-the-usa-simple-guide-for-best-results</t>
  </si>
  <si>
    <t xml:space="preserve">https://www.bigbatbox.com/products/bird-suet-feeder</t>
  </si>
  <si>
    <t xml:space="preserve">https://www.bigbatbox.com/it/blogs/habitat-of-bats/where-to-mount-a-bat-house-in-the-usa-simple-guide-for-best-results</t>
  </si>
  <si>
    <t xml:space="preserve">https://www.bigbatbox.com/fr/blogs/habitat-of-bats/where-to-mount-a-bat-house-in-the-usa-simple-guide-for-best-results</t>
  </si>
  <si>
    <t xml:space="preserve">https://www.bigbatbox.com/de/products/bird-suet-feeder</t>
  </si>
  <si>
    <t xml:space="preserve">https://www.bigbatbox.com/it/blogs/habitat-of-bats/difference-between-one-two-and-three-chamber-bat-boxes-simple-guide-for-homeowners</t>
  </si>
  <si>
    <t xml:space="preserve">https://www.bigbatbox.com/es/products/bird-suet-feeder</t>
  </si>
  <si>
    <t xml:space="preserve">https://www.bigbatbox.com/fr/blogs/habitat-of-bats/difference-between-one-two-and-three-chamber-bat-boxes-simple-guide-for-homeowners</t>
  </si>
  <si>
    <t xml:space="preserve">https://www.bigbatbox.com/en-ca/blogs/habitat-of-bats/difference-between-one-two-and-three-chamber-bat-boxes-simple-guide-for-homeowners</t>
  </si>
  <si>
    <t xml:space="preserve">https://www.bigbatbox.com/fr/blogs/types-of-squirrels/squirrel-feeder-guide</t>
  </si>
  <si>
    <t xml:space="preserve">https://www.bigbatbox.com/en-ca/blogs/fun-facts-about-owls/why-owl-boxes-are-the-best-natural-pest-control</t>
  </si>
  <si>
    <t xml:space="preserve">https://www.bigbatbox.com/it/products/double-chamber-bat-house-brown</t>
  </si>
  <si>
    <t xml:space="preserve">https://www.bigbatbox.com/fr/blogs/types-of-squirrels/squirrel-house-guide</t>
  </si>
  <si>
    <t xml:space="preserve">https://www.bigbatbox.com/en-ca/blogs/bee-species/how-do-bees-pollinate</t>
  </si>
  <si>
    <t xml:space="preserve">https://www.bigbatbox.com/fr/blogs/fun-facts-about-owls/how-to-attract-owls-a-comprehensive-guide</t>
  </si>
  <si>
    <t xml:space="preserve">https://www.bigbatbox.com/it/blogs/types-of-squirrels/what-to-feed-squirrels-year-round</t>
  </si>
  <si>
    <t xml:space="preserve">https://www.bigbatbox.com/fr/blogs/bee-species/how-do-bees-pollinate</t>
  </si>
  <si>
    <t xml:space="preserve">https://www.bigbatbox.com/it/blogs/types-of-squirrels/squirrel-feeder-guide</t>
  </si>
  <si>
    <t xml:space="preserve">https://www.bigbatbox.com/fr/blogs/types-of-squirrels/squirrel-house-vs-squirrel-feeder</t>
  </si>
  <si>
    <t xml:space="preserve">https://www.bigbatbox.com/fr/blogs/bee-species/what-do-bees-eat</t>
  </si>
  <si>
    <t xml:space="preserve">https://www.bigbatbox.com/fr/blogs/types-of-squirrels/tagged/nocturnal-animals</t>
  </si>
  <si>
    <t xml:space="preserve">https://www.bigbatbox.com/it/blogs/bee-species/how-to-maintain-your-bee-house-through-the-seasons</t>
  </si>
  <si>
    <t xml:space="preserve">https://www.bigbatbox.com/en-ca/blogs/bee-species/what-do-bees-eat</t>
  </si>
  <si>
    <t xml:space="preserve">https://www.bigbatbox.com/fr/blogs/habitat-of-bats/can-bats-live-near-people-safely</t>
  </si>
  <si>
    <t xml:space="preserve">https://www.bigbatbox.com/it/blogs/fun-facts-about-owls/5-things-you-didn-t-know-about-eastern-screech-owls</t>
  </si>
  <si>
    <t xml:space="preserve">https://www.bigbatbox.com/it/blogs/types-of-squirrels/squirrel-house-vs-squirrel-feeder</t>
  </si>
  <si>
    <t xml:space="preserve">https://www.bigbatbox.com/en-ca/blogs/types-of-squirrels/squirrel-feeder-guide</t>
  </si>
  <si>
    <t xml:space="preserve">https://www.bigbatbox.com/fr/blogs/types-of-squirrels/what-to-feed-squirrels-year-round</t>
  </si>
  <si>
    <t xml:space="preserve">https://www.bigbatbox.com/en-ca/blogs/habitat-of-bats/what-do-bats-eat-find-out-some-interesting-bat-food-choices</t>
  </si>
  <si>
    <t xml:space="preserve">https://www.bigbatbox.com/it/blogs/habitat-of-bats/what-do-bats-eat-find-out-some-interesting-bat-food-choices</t>
  </si>
  <si>
    <t xml:space="preserve">https://www.bigbatbox.com/en-ca/blogs/fun-facts-about-owls/5-things-you-didn-t-know-about-eastern-screech-owls</t>
  </si>
  <si>
    <t xml:space="preserve">https://www.bigbatbox.com/en-ca/blogs/fun-facts-about-owls/the-silent-hunters-why-owl-boxes-and-bat-boxes-shouldnt-mix</t>
  </si>
  <si>
    <t xml:space="preserve">https://www.bigbatbox.com/it/blogs/bee-species/why-are-bees-important</t>
  </si>
  <si>
    <t xml:space="preserve">https://www.bigbatbox.com/it/products/big-bat-barn</t>
  </si>
  <si>
    <t xml:space="preserve">https://www.bigbatbox.com/it/blogs/types-of-squirrels/squirrel-house-guide</t>
  </si>
  <si>
    <t xml:space="preserve">https://www.bigbatbox.com/fr/blogs/fun-facts-about-owls/the-silent-hunters-why-owl-boxes-and-bat-boxes-shouldnt-mix</t>
  </si>
  <si>
    <t xml:space="preserve">https://www.bigbatbox.com/it/blogs/bee-species/how-do-bees-pollinate</t>
  </si>
  <si>
    <t xml:space="preserve">https://www.bigbatbox.com/fr/blogs/fun-facts-about-owls/5-things-you-didn-t-know-about-eastern-screech-owls</t>
  </si>
  <si>
    <t xml:space="preserve">https://www.bigbatbox.com/it/products/double-chamber-bat-house-cedar</t>
  </si>
  <si>
    <t xml:space="preserve">https://www.bigbatbox.com/it/blogs/fun-facts-about-owls/the-silent-hunters-why-owl-boxes-and-bat-boxes-shouldnt-mix</t>
  </si>
  <si>
    <t xml:space="preserve">https://www.bigbatbox.com/en-ca/blogs/habitat-of-bats/can-bats-live-near-people-safely</t>
  </si>
  <si>
    <t xml:space="preserve">https://www.bigbatbox.com/fr/blogs/bee-species/how-to-maintain-your-bee-house-through-the-seasons</t>
  </si>
  <si>
    <t xml:space="preserve">https://www.bigbatbox.com/it/blogs/fun-facts-about-owls/how-to-attract-owls-a-comprehensive-guide</t>
  </si>
  <si>
    <t xml:space="preserve">https://www.bigbatbox.com/it/products/certified-triple-chamber-bat-house-unfinished</t>
  </si>
  <si>
    <t xml:space="preserve">https://www.bigbatbox.com/it/blogs/bee-species/what-do-bees-eat</t>
  </si>
  <si>
    <t xml:space="preserve">https://www.bigbatbox.com/fr/blogs/fun-facts-about-owls/why-owl-boxes-are-the-best-natural-pest-control</t>
  </si>
  <si>
    <t xml:space="preserve">https://www.bigbatbox.com/it/products/double-chamber-bat-house-black</t>
  </si>
  <si>
    <t xml:space="preserve">https://www.bigbatbox.com/it/products/big-bat-barn-three-chamber-premium-cedar-bat-barn-black</t>
  </si>
  <si>
    <t xml:space="preserve">https://www.bigbatbox.com/it/blogs/bee-species/bee-wise-how-bee-houses-and-hotels-can-help-save-bees-the-environment</t>
  </si>
  <si>
    <t xml:space="preserve">https://www.bigbatbox.com/it/blogs/habitat-of-bats/can-bats-live-near-people-safely</t>
  </si>
  <si>
    <t xml:space="preserve">https://www.bigbatbox.com/en-ca/blogs/fun-facts-about-owls/how-to-attract-owls-a-comprehensive-guide</t>
  </si>
  <si>
    <t xml:space="preserve">https://www.bigbatbox.com/it/products/certified-triple-chamber-bat-house-black</t>
  </si>
  <si>
    <t xml:space="preserve">https://www.bigbatbox.com/fr/blogs/habitat-of-bats/what-do-bats-eat-find-out-some-interesting-bat-food-choices</t>
  </si>
  <si>
    <t xml:space="preserve">https://www.bigbatbox.com/en-ca/blogs/types-of-squirrels/squirrel-house-guide</t>
  </si>
  <si>
    <t xml:space="preserve">https://www.bigbatbox.com/it/products/three-chamber-bat-house-certified-brown</t>
  </si>
  <si>
    <t xml:space="preserve">https://www.bigbatbox.com/es/blogs/types-of-squirrels/squirrel-house-guide</t>
  </si>
  <si>
    <t xml:space="preserve">https://www.bigbatbox.com/it/blogs/fun-facts-about-owls/why-owl-boxes-are-the-best-natural-pest-control</t>
  </si>
  <si>
    <t xml:space="preserve">https://www.bigbatbox.com/it/blogs/fun-facts-about-owls/owl-nesting-boxes-providing-safe-havens-for-nighttime-raptors</t>
  </si>
  <si>
    <t xml:space="preserve">https://www.bigbatbox.com/it/blogs/habitat-of-bats/big-bat-box-comparison</t>
  </si>
  <si>
    <t xml:space="preserve">https://www.bigbatbox.com/en-ca/blogs/types-of-squirrels/tagged/squirrel-care</t>
  </si>
  <si>
    <t xml:space="preserve">https://www.bigbatbox.com/en-ca/blogs/backyard-birds</t>
  </si>
  <si>
    <t xml:space="preserve">https://www.bigbatbox.com/en-ca/blogs/habitat-of-bats/bci-certificate-why-you-should-care-about-it</t>
  </si>
  <si>
    <t xml:space="preserve">https://www.bigbatbox.com/it/blogs/bee-species/tagged/pollinators</t>
  </si>
  <si>
    <t xml:space="preserve">https://www.bigbatbox.com/es/blogs/habitat-of-bats/tagged/mosquito-controlbackyard-wildlife</t>
  </si>
  <si>
    <t xml:space="preserve">https://www.bigbatbox.com/fr/blogs/habitat-of-bats/tagged/home-conservation-tips</t>
  </si>
  <si>
    <t xml:space="preserve">https://www.bigbatbox.com/en-ca/blogs/backyard-birds/tagged/suet-feeder</t>
  </si>
  <si>
    <t xml:space="preserve">https://www.bigbatbox.com/it/blogs/habitat-of-bats/tagged/bat-conservation</t>
  </si>
  <si>
    <t xml:space="preserve">https://www.bigbatbox.com/fr/blogs/habitat-of-bats/the-surprising-benefits-of-bat-boxes-and-why-you-should-have-one</t>
  </si>
  <si>
    <t xml:space="preserve">https://www.bigbatbox.com/it/blogs/habitat-of-bats/tagged/bat-house-wall-mount</t>
  </si>
  <si>
    <t xml:space="preserve">https://www.bigbatbox.com/fr/blogs/habitat-of-bats/tagged/one-chamber-bat-box</t>
  </si>
  <si>
    <t xml:space="preserve">https://www.bigbatbox.com/en-ca/blogs/backyard-birds/tagged/woodpeckers</t>
  </si>
  <si>
    <t xml:space="preserve">https://www.bigbatbox.com/de/blogs/types-of-squirrels/tagged/squirrel-behavior</t>
  </si>
  <si>
    <t xml:space="preserve">https://www.bigbatbox.com/it/blogs/habitat-of-bats/tagged/dark-bat-houses</t>
  </si>
  <si>
    <t xml:space="preserve">https://www.bigbatbox.com/fr/blogs/types-of-squirrels/tagged/cedar-habitat</t>
  </si>
  <si>
    <t xml:space="preserve">https://www.bigbatbox.com/it/collections/big-bat-barn-three-chamber-premium</t>
  </si>
  <si>
    <t xml:space="preserve">https://www.bigbatbox.com/de/blogs/habitat-of-bats/tagged/best-bat-houses-for-cold-states</t>
  </si>
  <si>
    <t xml:space="preserve">https://www.bigbatbox.com/de/blogs/habitat-of-bats/tagged/bat-house-chambers</t>
  </si>
  <si>
    <t xml:space="preserve">https://www.bigbatbox.com/it/blogs/habitat-of-bats/tagged/2026-trends</t>
  </si>
  <si>
    <t xml:space="preserve">https://www.bigbatbox.com/de/blogs/habitat-of-bats/tagged/bat-house-advice</t>
  </si>
  <si>
    <t xml:space="preserve">https://www.bigbatbox.com/en-ca/blogs/habitat-of-bats?page=2</t>
  </si>
  <si>
    <t xml:space="preserve">https://www.bigbatbox.com/fr/blogs/habitat-of-bats/tagged/three-chamber-bat-box</t>
  </si>
  <si>
    <t xml:space="preserve">https://www.bigbatbox.com/de/blogs/backyard-birds/tagged/summer-feeding</t>
  </si>
  <si>
    <t xml:space="preserve">https://www.bigbatbox.com/es/blogs/types-of-squirrels/tagged/squirrel-habitat</t>
  </si>
  <si>
    <t xml:space="preserve">https://www.bigbatbox.com/fr/blogs/fun-facts-about-owls/tagged/owl-diet</t>
  </si>
  <si>
    <t xml:space="preserve">https://www.bigbatbox.com/it/collections/bat-barn-junior</t>
  </si>
  <si>
    <t xml:space="preserve">https://www.bigbatbox.com/de/blogs/habitat-of-bats/tagged/bat-box-guide</t>
  </si>
  <si>
    <t xml:space="preserve">https://www.bigbatbox.com/it/blogs/habitat-of-bats/tagged/night-guardians</t>
  </si>
  <si>
    <t xml:space="preserve">https://www.bigbatbox.com/fr/blogs/bee-species/tagged/fun-facts-about-bees</t>
  </si>
  <si>
    <t xml:space="preserve">https://www.bigbatbox.com/en-ca/blogs/fun-facts-about-owls?page=2</t>
  </si>
  <si>
    <t xml:space="preserve">https://www.bigbatbox.com/it/blogs/wildyard-learn/tagged/eco-friendly-gardening</t>
  </si>
  <si>
    <t xml:space="preserve">https://www.bigbatbox.com/fr/blogs/backyard-birds/tagged/suet-for-birds</t>
  </si>
  <si>
    <t xml:space="preserve">https://www.bigbatbox.com/fr/blogs/habitat-of-bats/7-benefits-of-bat-houses</t>
  </si>
  <si>
    <t xml:space="preserve">https://www.bigbatbox.com/en-ca/blogs/habitat-of-bats/tagged/wildlife-friendly-home</t>
  </si>
  <si>
    <t xml:space="preserve">https://www.bigbatbox.com/blogs/habitat-of-bats/tagged/bat-in-the-house-in-winter</t>
  </si>
  <si>
    <t xml:space="preserve">https://www.bigbatbox.com/blogs/fun-facts-about-owls/tagged/ecological-balance</t>
  </si>
  <si>
    <t xml:space="preserve">https://www.bigbatbox.com/it/blogs/habitat-of-bats/tagged/backyard-pest-control</t>
  </si>
  <si>
    <t xml:space="preserve">https://www.bigbatbox.com/it/blogs/habitat-of-bats/tagged/pollination</t>
  </si>
  <si>
    <t xml:space="preserve">https://www.bigbatbox.com/de/blogs/backyard-birds/tagged/seasonal-feeding</t>
  </si>
  <si>
    <t xml:space="preserve">https://www.bigbatbox.com/es/blogs/habitat-of-bats/tagged/one-chamber-bat-box</t>
  </si>
  <si>
    <t xml:space="preserve">https://www.bigbatbox.com/it/blogs/habitat-of-bats/tagged/bat-house-pole</t>
  </si>
  <si>
    <t xml:space="preserve">https://www.bigbatbox.com/en-ca/blogs/habitat-of-bats/tagged/bat-hibernation</t>
  </si>
  <si>
    <t xml:space="preserve">https://www.bigbatbox.com/it/blogs/backyard-birds/tagged/starlings</t>
  </si>
  <si>
    <t xml:space="preserve">https://www.bigbatbox.com/de/blogs/fun-facts-about-owls/tagged/wildlife-lifespan</t>
  </si>
  <si>
    <t xml:space="preserve">https://www.bigbatbox.com/es/blogs/fun-facts-about-owls/tagged/owl-calls</t>
  </si>
  <si>
    <t xml:space="preserve">https://www.bigbatbox.com/blogs/habitat-of-bats/tagged/home-conservation-tips</t>
  </si>
  <si>
    <t xml:space="preserve">https://www.bigbatbox.com/fr/blogs/habitat-of-bats/tagged/bat-roost-guide</t>
  </si>
  <si>
    <t xml:space="preserve">https://www.bigbatbox.com/it/blogs/habitat-of-bats/tagged/bat-hibernation</t>
  </si>
  <si>
    <t xml:space="preserve">https://www.bigbatbox.com/en-ca/blogs/backyard-birds/tagged/hot-pepper-suet</t>
  </si>
  <si>
    <t xml:space="preserve">https://www.bigbatbox.com/fr/blogs/habitat-of-bats/tagged/bat-houses-for-cold-climates</t>
  </si>
  <si>
    <t xml:space="preserve">https://www.bigbatbox.com/it/blogs/habitat-of-bats/tagged/bat-house-chambers</t>
  </si>
  <si>
    <t xml:space="preserve">https://www.bigbatbox.com/it/blogs/fun-facts-about-owls/tagged/bird-habitats</t>
  </si>
  <si>
    <t xml:space="preserve">https://www.bigbatbox.com/blogs/types-of-squirrels/tagged/squirrel-nesting-box</t>
  </si>
  <si>
    <t xml:space="preserve">https://www.bigbatbox.com/fr/blogs/types-of-squirrels/tagged/squirrel-habitat</t>
  </si>
  <si>
    <t xml:space="preserve">https://www.bigbatbox.com/it/blogs/habitat-of-bats/tagged/bat-house-for-cold-climates</t>
  </si>
  <si>
    <t xml:space="preserve">https://www.bigbatbox.com/it/pages/wildyard-affiliate-program</t>
  </si>
  <si>
    <t xml:space="preserve">https://www.bigbatbox.com/de/blogs/habitat-of-bats/tagged/bat-roost-guide</t>
  </si>
  <si>
    <t xml:space="preserve">https://www.bigbatbox.com/fr/blogs/fun-facts-about-owls/owl-sounds-decoded</t>
  </si>
  <si>
    <t xml:space="preserve">https://www.bigbatbox.com/es/blogs/habitat-of-bats/tagged/endangered-bats</t>
  </si>
  <si>
    <t xml:space="preserve">https://www.bigbatbox.com/en-ca/blogs/habitat-of-bats/tagged/pollinator-friendly-yard</t>
  </si>
  <si>
    <t xml:space="preserve">https://www.bigbatbox.com/it/blogs/habitat-of-bats/the-night-guardians-the-importance-of-bats-to-our-world</t>
  </si>
  <si>
    <t xml:space="preserve">https://www.bigbatbox.com/en-ca/blogs/habitat-of-bats/tagged/bat-roost-guide</t>
  </si>
  <si>
    <t xml:space="preserve">https://www.bigbatbox.com/en-ca/blogs/wildyard-news</t>
  </si>
  <si>
    <t xml:space="preserve">https://www.bigbatbox.com/en-ca/blogs/bee-species/tagged/leafcutter-bees</t>
  </si>
  <si>
    <t xml:space="preserve">https://www.bigbatbox.com/fr/blogs/bee-species/tagged/pollinator-habitat</t>
  </si>
  <si>
    <t xml:space="preserve">https://www.bigbatbox.com/de/blogs/habitat-of-bats/tagged/bat-conservation</t>
  </si>
  <si>
    <t xml:space="preserve">https://www.bigbatbox.com/fr/blogs/habitat-of-bats/tagged/help-bats-at-home</t>
  </si>
  <si>
    <t xml:space="preserve">https://www.bigbatbox.com/de/blogs/backyard-birds/can-you-feed-suet-in-summer</t>
  </si>
  <si>
    <t xml:space="preserve">https://www.bigbatbox.com/it/blogs/types-of-squirrels/tagged/buying-guide</t>
  </si>
  <si>
    <t xml:space="preserve">https://www.bigbatbox.com/de/blogs/bee-species/tagged/bee-house</t>
  </si>
  <si>
    <t xml:space="preserve">https://www.bigbatbox.com/fr/pages/bat-house-guide</t>
  </si>
  <si>
    <t xml:space="preserve">https://www.bigbatbox.com/blogs/bee-species/tagged/bee-biology</t>
  </si>
  <si>
    <t xml:space="preserve">https://www.bigbatbox.com/es/blogs/wildyard-learn/tagged/eco-friendly-gardening</t>
  </si>
  <si>
    <t xml:space="preserve">https://www.bigbatbox.com/fr/pages/wildyard-x-angry-birds-flowerpot-birdhouse-instructions</t>
  </si>
  <si>
    <t xml:space="preserve">https://www.bigbatbox.com/de/blogs/habitat-of-bats/tagged/endangered-bats</t>
  </si>
  <si>
    <t xml:space="preserve">https://www.bigbatbox.com/de/blogs/types-of-squirrels/tagged/wildlife-feeding</t>
  </si>
  <si>
    <t xml:space="preserve">https://www.bigbatbox.com/es/blogs/bee-species/tagged/bee-food-sources</t>
  </si>
  <si>
    <t xml:space="preserve">https://www.bigbatbox.com/es/blogs/habitat-of-bats/tagged/two-chamber-bat-box</t>
  </si>
  <si>
    <t xml:space="preserve">https://www.bigbatbox.com/es/blogs/bee-species/tagged/honey-production</t>
  </si>
  <si>
    <t xml:space="preserve">https://www.bigbatbox.com/fr/blogs/conservation-partners/tagged/birds</t>
  </si>
  <si>
    <t xml:space="preserve">https://www.bigbatbox.com/en-ca/blogs/habitat-of-bats/tagged/wildlife-habitat</t>
  </si>
  <si>
    <t xml:space="preserve">https://www.bigbatbox.com/de/blogs/fun-facts-about-owls/tagged/great-horned-owl</t>
  </si>
  <si>
    <t xml:space="preserve">https://www.bigbatbox.com/fr/blogs/types-of-squirrels/tagged/squirrel-house</t>
  </si>
  <si>
    <t xml:space="preserve">https://www.bigbatbox.com/it/blogs/habitat-of-bats/how-to-get-rid-of-bats</t>
  </si>
  <si>
    <t xml:space="preserve">https://www.bigbatbox.com/it/blogs/habitat-of-bats/tagged/tall-bat-house-design</t>
  </si>
  <si>
    <t xml:space="preserve">https://www.bigbatbox.com/fr/blogs/bee-species/tagged/honey-bees</t>
  </si>
  <si>
    <t xml:space="preserve">https://www.bigbatbox.com/en-ca/blogs/fun-facts-about-owls/tagged/night-sounds</t>
  </si>
  <si>
    <t xml:space="preserve">https://www.bigbatbox.com/it/blogs/habitat-of-bats/11-interesting-things-to-know-about-bat-houses</t>
  </si>
  <si>
    <t xml:space="preserve">https://www.bigbatbox.com/es/blogs/fun-facts-about-owls/tagged/owl-diet</t>
  </si>
  <si>
    <t xml:space="preserve">https://www.bigbatbox.com/it/blogs/habitat-of-bats/tagged/backyard-conservation</t>
  </si>
  <si>
    <t xml:space="preserve">https://www.bigbatbox.com/it/blogs/habitat-of-bats/tagged/bat-house-tips</t>
  </si>
  <si>
    <t xml:space="preserve">https://www.bigbatbox.com/it/blogs/types-of-squirrels/tagged/squirrel-box</t>
  </si>
  <si>
    <t xml:space="preserve">https://www.bigbatbox.com/es/blogs/habitat-of-bats/tagged/bat-boxes</t>
  </si>
  <si>
    <t xml:space="preserve">https://www.bigbatbox.com/it/blogs/habitat-of-bats/tagged/bat-boxes</t>
  </si>
  <si>
    <t xml:space="preserve">https://www.bigbatbox.com/es/blogs/bee-species/tagged/solitary-bees</t>
  </si>
  <si>
    <t xml:space="preserve">https://www.bigbatbox.com/es/blogs/bee-species/tagged/honey-bees</t>
  </si>
  <si>
    <t xml:space="preserve">https://www.bigbatbox.com/fr/blogs/habitat-of-bats/tagged/insect-control-naturally</t>
  </si>
  <si>
    <t xml:space="preserve">https://www.bigbatbox.com/en-ca/blogs/habitat-of-bats/tagged/black-bat-house</t>
  </si>
  <si>
    <t xml:space="preserve">https://www.bigbatbox.com/en-ca/blogs/habitat-of-bats/a-brief-guide-to-building-and-installing-bat-boxes</t>
  </si>
  <si>
    <t xml:space="preserve">https://www.bigbatbox.com/en-ca/blogs/habitat-of-bats/tagged/usa-bat-house-guide</t>
  </si>
  <si>
    <t xml:space="preserve">https://www.bigbatbox.com/en-ca/blogs/types-of-squirrels/tagged/wildlife-lifespan</t>
  </si>
  <si>
    <t xml:space="preserve">https://www.bigbatbox.com/de/blogs/habitat-of-bats/tagged/bat-benefits</t>
  </si>
  <si>
    <t xml:space="preserve">https://www.bigbatbox.com/es/blogs/types-of-squirrels/tagged/wildyard</t>
  </si>
  <si>
    <t xml:space="preserve">https://www.bigbatbox.com/blogs/habitat-of-bats/tagged/mounting-bat-houses</t>
  </si>
  <si>
    <t xml:space="preserve">https://www.bigbatbox.com/fr/blogs/bee-species/tagged/backyard-wildlife</t>
  </si>
  <si>
    <t xml:space="preserve">https://www.bigbatbox.com/it/blogs/conservation-partners/tagged/birds</t>
  </si>
  <si>
    <t xml:space="preserve">https://www.bigbatbox.com/fr/blogs/habitat-of-bats/tagged/cedar-bat-house</t>
  </si>
  <si>
    <t xml:space="preserve">https://www.bigbatbox.com/it/blogs/fun-facts-about-owls/tagged/owl-diet</t>
  </si>
  <si>
    <t xml:space="preserve">https://www.bigbatbox.com/it/blogs/habitat-of-bats/tagged/wildlife-friendly-backyard</t>
  </si>
  <si>
    <t xml:space="preserve">https://www.bigbatbox.com/es/blogs/backyard-birds/tagged/backyard-birds</t>
  </si>
  <si>
    <t xml:space="preserve">https://www.bigbatbox.com/en-ca/blogs/habitat-of-bats/tagged/bat-box-installation</t>
  </si>
  <si>
    <t xml:space="preserve">https://www.bigbatbox.com/it/blogs/wildyard-learn/wildlife-care-expert-guide-to-maintaining-bat-owl-and-bee-houses</t>
  </si>
  <si>
    <t xml:space="preserve">https://www.bigbatbox.com/es/blogs/habitat-of-bats/tagged/night-wildlife-support</t>
  </si>
  <si>
    <t xml:space="preserve">https://www.bigbatbox.com/de/blogs/backyard-birds/keep-squirrels-starlings-off-suet-feeder</t>
  </si>
  <si>
    <t xml:space="preserve">https://www.bigbatbox.com/en-ca/blogs/habitat-of-bats/the-surprising-benefits-of-bat-boxes-and-why-you-should-have-one</t>
  </si>
  <si>
    <t xml:space="preserve">https://www.bigbatbox.com/it/blogs/bee-species/tagged/bees-diet</t>
  </si>
  <si>
    <t xml:space="preserve">https://www.bigbatbox.com/fr/blogs/habitat-of-bats/tagged/wildlife-bat-box-guide</t>
  </si>
  <si>
    <t xml:space="preserve">https://www.bigbatbox.com/de/blogs/habitat-of-bats/tagged/bat-safety</t>
  </si>
  <si>
    <t xml:space="preserve">https://www.bigbatbox.com/de/blogs/habitat-of-bats/tagged/bat-house-height</t>
  </si>
  <si>
    <t xml:space="preserve">https://www.bigbatbox.com/it/blogs/fun-facts-about-owls/tagged/conservation</t>
  </si>
  <si>
    <t xml:space="preserve">https://www.bigbatbox.com/en-ca/blogs/habitat-of-bats/tagged/safe-wildlife-practices</t>
  </si>
  <si>
    <t xml:space="preserve">https://www.bigbatbox.com/es/blogs/bee-species/do-solitary-bees-sting</t>
  </si>
  <si>
    <t xml:space="preserve">https://www.bigbatbox.com/it/blogs/fun-facts-about-owls/tagged/bird-watching</t>
  </si>
  <si>
    <t xml:space="preserve">https://www.bigbatbox.com/de/blogs/wildyard-learn/tagged/bees-and-bats</t>
  </si>
  <si>
    <t xml:space="preserve">https://www.bigbatbox.com/en-ca/blogs/habitat-of-bats/why-bats-are-the-best-mosquito-eaters</t>
  </si>
  <si>
    <t xml:space="preserve">https://www.bigbatbox.com/fr/blogs/habitat-of-bats/how-to-attract-bats-your-go-to-guide</t>
  </si>
  <si>
    <t xml:space="preserve">https://www.bigbatbox.com/blogs/types-of-squirrels/tagged/winter-wildlife</t>
  </si>
  <si>
    <t xml:space="preserve">https://www.bigbatbox.com/de/blogs/fun-facts-about-owls/tagged/owl-facts</t>
  </si>
  <si>
    <t xml:space="preserve">https://www.bigbatbox.com/es/blogs/wildyard-learn/tagged/wildlife-garden</t>
  </si>
  <si>
    <t xml:space="preserve">https://www.bigbatbox.com/es/blogs/backyard-birds/can-you-feed-suet-in-summer</t>
  </si>
  <si>
    <t xml:space="preserve">https://www.bigbatbox.com/de/blogs/fun-facts-about-owls/tagged/owl-box-faq</t>
  </si>
  <si>
    <t xml:space="preserve">https://www.bigbatbox.com/de/blogs/types-of-squirrels/tagged/squirrel-box</t>
  </si>
  <si>
    <t xml:space="preserve">https://www.bigbatbox.com/it/blogs/types-of-squirrels/tagged/squirrel-behavior</t>
  </si>
  <si>
    <t xml:space="preserve">https://www.bigbatbox.com/de/blogs/fun-facts-about-owls/tagged/screech-owl-box</t>
  </si>
  <si>
    <t xml:space="preserve">https://www.bigbatbox.com/it/blogs/habitat-of-bats/5-best-tips-for-bat-house-maintenance</t>
  </si>
  <si>
    <t xml:space="preserve">https://www.bigbatbox.com/de/blogs/backyard-birds/what-birds-eat-suet</t>
  </si>
  <si>
    <t xml:space="preserve">https://www.bigbatbox.com/blogs/types-of-squirrels/tagged/squirrels</t>
  </si>
  <si>
    <t xml:space="preserve">https://www.bigbatbox.com/en-ca/blogs/bee-species/tagged/bee-biology</t>
  </si>
  <si>
    <t xml:space="preserve">https://www.bigbatbox.com/de/blogs/bee-species/tagged/fun-facts-about-bees</t>
  </si>
  <si>
    <t xml:space="preserve">https://www.bigbatbox.com/it/blogs/conservation-partners/tagged/conservation</t>
  </si>
  <si>
    <t xml:space="preserve">https://www.bigbatbox.com/fr/blogs/backyard-birds/tagged/seasonal-feeding</t>
  </si>
  <si>
    <t xml:space="preserve">https://www.bigbatbox.com/en-ca/blogs/backyard-birds/can-you-feed-suet-in-summer</t>
  </si>
  <si>
    <t xml:space="preserve">https://www.bigbatbox.com/es/blogs/fun-facts-about-owls/tagged/owl-nesting-boxes</t>
  </si>
  <si>
    <t xml:space="preserve">https://www.bigbatbox.com/en-ca/blogs/wildyard-learn/bats-bees-as-your-garden-pollinators</t>
  </si>
  <si>
    <t xml:space="preserve">https://www.bigbatbox.com/it/blogs/habitat-of-bats/tagged/bat-house-colors</t>
  </si>
  <si>
    <t xml:space="preserve">https://www.bigbatbox.com/es/blogs/habitat-of-bats/tagged/megabats</t>
  </si>
  <si>
    <t xml:space="preserve">https://www.bigbatbox.com/fr/collections</t>
  </si>
  <si>
    <t xml:space="preserve">https://www.bigbatbox.com/en-ca/blogs/habitat-of-bats/tagged/bat-habitat</t>
  </si>
  <si>
    <t xml:space="preserve">https://www.bigbatbox.com/blogs/bee-species/tagged/honey-making</t>
  </si>
  <si>
    <t xml:space="preserve">https://www.bigbatbox.com/de/blogs/habitat-of-bats/tagged/mosquito-reduction-with-bats</t>
  </si>
  <si>
    <t xml:space="preserve">https://www.bigbatbox.com/es/blogs/types-of-squirrels/tagged/squirrel-care</t>
  </si>
  <si>
    <t xml:space="preserve">https://www.bigbatbox.com/it/blogs/types-of-squirrels/tagged/habitat</t>
  </si>
  <si>
    <t xml:space="preserve">https://www.bigbatbox.com/blogs/habitat-of-bats/tagged/echolocation</t>
  </si>
  <si>
    <t xml:space="preserve">https://www.bigbatbox.com/fr/blogs/habitat-of-bats/tagged/native-plants-for-bats</t>
  </si>
  <si>
    <t xml:space="preserve">https://www.bigbatbox.com/es/blogs/habitat-of-bats/tagged/where-to-mount-bat-house</t>
  </si>
  <si>
    <t xml:space="preserve">https://www.bigbatbox.com/blogs/habitat-of-bats/tagged/bat-house-mosquito-control</t>
  </si>
  <si>
    <t xml:space="preserve">https://www.bigbatbox.com/en-ca/blogs/habitat-of-bats/what-are-the-bat-house-kits</t>
  </si>
  <si>
    <t xml:space="preserve">https://www.bigbatbox.com/fr/blogs/backyard-birds/tagged/squirrels</t>
  </si>
  <si>
    <t xml:space="preserve">https://www.bigbatbox.com/fr/blogs/habitat-of-bats/tagged/best-bat-houses-for-cold-states</t>
  </si>
  <si>
    <t xml:space="preserve">https://www.bigbatbox.com/es/blogs/bee-species/tagged/backyard-wildlife</t>
  </si>
  <si>
    <t xml:space="preserve">https://www.bigbatbox.com/fr/blogs/habitat-of-bats/tagged/coexist-with-bats</t>
  </si>
  <si>
    <t xml:space="preserve">https://www.bigbatbox.com/en-ca/blogs/habitat-of-bats/tagged/eco-friendly-bat-house</t>
  </si>
  <si>
    <t xml:space="preserve">https://www.bigbatbox.com/es/blogs/habitat-of-bats/tagged/winter-bat-house-tips</t>
  </si>
  <si>
    <t xml:space="preserve">https://www.bigbatbox.com/it/pages/bat-house-guide</t>
  </si>
  <si>
    <t xml:space="preserve">https://www.bigbatbox.com/de/blogs/habitat-of-bats/tagged/winter-wildlife</t>
  </si>
  <si>
    <t xml:space="preserve">https://www.bigbatbox.com/blogs/habitat-of-bats/tagged/bat-habitat</t>
  </si>
  <si>
    <t xml:space="preserve">https://www.bigbatbox.com/it/blogs/habitat-of-bats/tagged/black-cedar-bat-house</t>
  </si>
  <si>
    <t xml:space="preserve">https://www.bigbatbox.com/it/blogs/fun-facts-about-owls/tagged/owl-safety</t>
  </si>
  <si>
    <t xml:space="preserve">https://www.bigbatbox.com/de/blogs/habitat-of-bats/tagged/help-bats-at-home</t>
  </si>
  <si>
    <t xml:space="preserve">https://www.bigbatbox.com/blogs/wildyard-learn/tagged/wildlife-garden</t>
  </si>
  <si>
    <t xml:space="preserve">https://www.bigbatbox.com/de/blogs/habitat-of-bats/tagged/wildyard-bat-houses</t>
  </si>
  <si>
    <t xml:space="preserve">https://www.bigbatbox.com/de/blogs/habitat-of-bats/tagged/native-plants-for-bats</t>
  </si>
  <si>
    <t xml:space="preserve">https://www.bigbatbox.com/en-ca/blogs/bee-species/mason-bees-vs-leafcutter-bees</t>
  </si>
  <si>
    <t xml:space="preserve">https://www.bigbatbox.com/en-ca/blogs/habitat-of-bats/tagged/bat-house-sun-exposure</t>
  </si>
  <si>
    <t xml:space="preserve">https://www.bigbatbox.com/fr/blogs/types-of-squirrels/tagged/nest-box-maintenance</t>
  </si>
  <si>
    <t xml:space="preserve">https://www.bigbatbox.com/fr/blogs/fun-facts-about-owls/tagged/owl-boxes</t>
  </si>
  <si>
    <t xml:space="preserve">https://www.bigbatbox.com/de/blogs/habitat-of-bats/tagged/painted-cedar-bat-house</t>
  </si>
  <si>
    <t xml:space="preserve">https://www.bigbatbox.com/blogs/fun-facts-about-owls/tagged/snowy-owl</t>
  </si>
  <si>
    <t xml:space="preserve">https://www.bigbatbox.com/es/blogs/habitat-of-bats/tagged/mosquito-control</t>
  </si>
  <si>
    <t xml:space="preserve">https://www.bigbatbox.com/fr/blogs/habitat-of-bats/tagged/best-bat-boxes-for-mosquito-control</t>
  </si>
  <si>
    <t xml:space="preserve">https://www.bigbatbox.com/de/blogs/habitat-of-bats/tagged/bci-certified-bat-house</t>
  </si>
  <si>
    <t xml:space="preserve">https://www.bigbatbox.com/es/blogs/bee-species/tagged/bee-identification</t>
  </si>
  <si>
    <t xml:space="preserve">https://www.bigbatbox.com/de/blogs/bee-species/tagged/pollination-process</t>
  </si>
  <si>
    <t xml:space="preserve">https://www.bigbatbox.com/es/blogs/bee-species/tagged/honey-making</t>
  </si>
  <si>
    <t xml:space="preserve">https://www.bigbatbox.com/en-ca/blogs/habitat-of-bats/tagged/multi-chamber-bat-house</t>
  </si>
  <si>
    <t xml:space="preserve">https://www.bigbatbox.com/it/blogs/habitat-of-bats/tagged/cedar-bat-box</t>
  </si>
  <si>
    <t xml:space="preserve">https://www.bigbatbox.com/de/blogs/habitat-of-bats/tagged/bat-house-pole</t>
  </si>
  <si>
    <t xml:space="preserve">https://www.bigbatbox.com/fr/blogs/types-of-squirrels/tagged/squirrel-behavior</t>
  </si>
  <si>
    <t xml:space="preserve">https://www.bigbatbox.com/it/blogs/types-of-squirrels/tagged/squirrel-house</t>
  </si>
  <si>
    <t xml:space="preserve">https://www.bigbatbox.com/it/blogs/habitat-of-bats/tagged/yard-wildlife-guide</t>
  </si>
  <si>
    <t xml:space="preserve">https://www.bigbatbox.com/es/blogs/habitat-of-bats/tagged/bat-house-chambers</t>
  </si>
  <si>
    <t xml:space="preserve">https://www.bigbatbox.com/de/blogs/fun-facts-about-owls/tagged/bat-and-owl</t>
  </si>
  <si>
    <t xml:space="preserve">https://www.bigbatbox.com/de/blogs/bee-species/tagged/nature-s-architects</t>
  </si>
  <si>
    <t xml:space="preserve">https://www.bigbatbox.com/it/blogs/habitat-of-bats/tagged/bat-conservation-guide</t>
  </si>
  <si>
    <t xml:space="preserve">https://www.bigbatbox.com/es/blogs/habitat-of-bats/tagged/bat-proofing-tips</t>
  </si>
  <si>
    <t xml:space="preserve">https://www.bigbatbox.com/blogs/fun-facts-about-owls/tagged/predators</t>
  </si>
  <si>
    <t xml:space="preserve">https://www.bigbatbox.com/fr/blogs/habitat-of-bats/tagged/tall-bat-house-design</t>
  </si>
  <si>
    <t xml:space="preserve">https://www.bigbatbox.com/de/blogs/bee-species?page=2</t>
  </si>
  <si>
    <t xml:space="preserve">https://www.bigbatbox.com/blogs/habitat-of-bats/tagged/natural-mosquito-control</t>
  </si>
  <si>
    <t xml:space="preserve">https://www.bigbatbox.com/it/blogs/types-of-squirrels/tagged/wildlife-habitat</t>
  </si>
  <si>
    <t xml:space="preserve">https://www.bigbatbox.com/it/blogs/habitat-of-bats/tagged/bat-proofing-tips</t>
  </si>
  <si>
    <t xml:space="preserve">https://www.bigbatbox.com/es/blogs/habitat-of-bats/tagged/help-bats-at-home</t>
  </si>
  <si>
    <t xml:space="preserve">https://www.bigbatbox.com/en-ca/blogs/habitat-of-bats/tagged/diy-bat-house</t>
  </si>
  <si>
    <t xml:space="preserve">https://www.bigbatbox.com/fr/blogs/bee-species/tagged/bee-lifecycle</t>
  </si>
  <si>
    <t xml:space="preserve">https://www.bigbatbox.com/es/blogs/habitat-of-bats/tagged/bat-box-guide</t>
  </si>
  <si>
    <t xml:space="preserve">https://www.bigbatbox.com/fr/blogs/types-of-squirrels/tagged/squirrel-feeder-ideas</t>
  </si>
  <si>
    <t xml:space="preserve">https://www.bigbatbox.com/en-ca/blogs/habitat-of-bats/tagged/mosquito-reduction-with-bats</t>
  </si>
  <si>
    <t xml:space="preserve">https://www.bigbatbox.com/de/blogs/fun-facts-about-owls/tagged/conservation</t>
  </si>
  <si>
    <t xml:space="preserve">https://www.bigbatbox.com/en-ca/blogs/types-of-squirrels/tagged/squirrel-feeder</t>
  </si>
  <si>
    <t xml:space="preserve">https://www.bigbatbox.com/it/blogs/habitat-of-bats/tagged/cold-climate-bat-box</t>
  </si>
  <si>
    <t xml:space="preserve">https://www.bigbatbox.com/es/blogs/habitat-of-bats/tagged/bat-house-height</t>
  </si>
  <si>
    <t xml:space="preserve">https://www.bigbatbox.com/en-ca/blogs/types-of-squirrels/tagged/squirrel-habitat</t>
  </si>
  <si>
    <t xml:space="preserve">https://www.bigbatbox.com/blogs/habitat-of-bats/tagged/black-bat-house</t>
  </si>
  <si>
    <t xml:space="preserve">https://www.bigbatbox.com/de/blogs/habitat-of-bats/tagged/megabats</t>
  </si>
  <si>
    <t xml:space="preserve">https://www.bigbatbox.com/es/blogs/types-of-squirrels/tagged/nocturnal-animals</t>
  </si>
  <si>
    <t xml:space="preserve">https://www.bigbatbox.com/de/blogs/habitat-of-bats/tagged/eco-friendly-bat-shelter</t>
  </si>
  <si>
    <t xml:space="preserve">https://www.bigbatbox.com/de/blogs/habitat-of-bats/tagged/protect-bats</t>
  </si>
  <si>
    <t xml:space="preserve">https://www.bigbatbox.com/de/blogs/habitat-of-bats/tagged/insect-control-naturally</t>
  </si>
  <si>
    <t xml:space="preserve">https://www.bigbatbox.com/es/blogs/habitat-of-bats/tagged/safe-wildlife-practices</t>
  </si>
  <si>
    <t xml:space="preserve">https://www.bigbatbox.com/de/blogs/habitat-of-bats/tagged/microbats</t>
  </si>
  <si>
    <t xml:space="preserve">https://www.bigbatbox.com/it/blogs/fun-facts-about-owls/tagged/owl-facts</t>
  </si>
  <si>
    <t xml:space="preserve">https://www.bigbatbox.com/it/blogs/habitat-of-bats/tagged/native-plants-for-bats</t>
  </si>
  <si>
    <t xml:space="preserve">https://www.bigbatbox.com/es/blogs/conservation-partners/tagged/partnership</t>
  </si>
  <si>
    <t xml:space="preserve">https://www.bigbatbox.com/it/blogs/habitat-of-bats?page=3</t>
  </si>
  <si>
    <t xml:space="preserve">https://www.bigbatbox.com/fr/blogs/habitat-of-bats/bci-certificate-why-you-should-care-about-it</t>
  </si>
  <si>
    <t xml:space="preserve">https://www.bigbatbox.com/fr/blogs/fun-facts-about-owls/tagged/wildlife-lifespan</t>
  </si>
  <si>
    <t xml:space="preserve">https://www.bigbatbox.com/en-ca/blogs/types-of-squirrels/tagged/backyard-wildlife</t>
  </si>
  <si>
    <t xml:space="preserve">https://www.bigbatbox.com/blogs/backyard-birds/tagged/bird-feeding</t>
  </si>
  <si>
    <t xml:space="preserve">https://www.bigbatbox.com/en-ca/blogs/bee-species/tagged/pollinator-habitat</t>
  </si>
  <si>
    <t xml:space="preserve">https://www.bigbatbox.com/de/blogs/fun-facts-about-owls/tagged/owl-boxes</t>
  </si>
  <si>
    <t xml:space="preserve">https://www.bigbatbox.com/es/blogs/habitat-of-bats/tagged/best-bat-house-setup</t>
  </si>
  <si>
    <t xml:space="preserve">https://www.bigbatbox.com/es/blogs/habitat-of-bats/tagged/avoid-pesticides</t>
  </si>
  <si>
    <t xml:space="preserve">https://www.bigbatbox.com/blogs/habitat-of-bats/tagged/eco-friendly-bat-shelter</t>
  </si>
  <si>
    <t xml:space="preserve">https://www.bigbatbox.com/it/blogs/habitat-of-bats/tagged/where-to-mount-bat-house</t>
  </si>
  <si>
    <t xml:space="preserve">https://www.bigbatbox.com/es/blogs/fun-facts-about-owls/tagged/bat-and-owl</t>
  </si>
  <si>
    <t xml:space="preserve">https://www.bigbatbox.com/fr/blogs/habitat-of-bats?page=3</t>
  </si>
  <si>
    <t xml:space="preserve">https://www.bigbatbox.com/es/blogs/bee-species/tagged/nature-s-architects</t>
  </si>
  <si>
    <t xml:space="preserve">https://www.bigbatbox.com/en-ca/blogs/habitat-of-bats/tagged/bci-certified-bat-house</t>
  </si>
  <si>
    <t xml:space="preserve">https://www.bigbatbox.com/es/blogs/habitat-of-bats/tagged/bci-certified-bat-house</t>
  </si>
  <si>
    <t xml:space="preserve">https://www.bigbatbox.com/en-ca/blogs/habitat-of-bats/tagged/endangered-bats</t>
  </si>
  <si>
    <t xml:space="preserve">https://www.bigbatbox.com/en-ca/blogs/bee-species/tagged/bee-lifecycle</t>
  </si>
  <si>
    <t xml:space="preserve">https://www.bigbatbox.com/en-ca/blogs/types-of-squirrels/tagged/habitat</t>
  </si>
  <si>
    <t xml:space="preserve">https://www.bigbatbox.com/es/blogs/habitat-of-bats/tagged/bat-house-warmth-retention</t>
  </si>
  <si>
    <t xml:space="preserve">https://www.bigbatbox.com/it/blogs/bee-species/tagged/pollinator-habitat</t>
  </si>
  <si>
    <t xml:space="preserve">https://www.bigbatbox.com/de/blogs/habitat-of-bats/tagged/bat-house-temperature</t>
  </si>
  <si>
    <t xml:space="preserve">https://www.bigbatbox.com/de/blogs/habitat-of-bats/tagged/tall-bat-house-design</t>
  </si>
  <si>
    <t xml:space="preserve">https://www.bigbatbox.com/de/blogs/habitat-of-bats/tagged/mammal-facts</t>
  </si>
  <si>
    <t xml:space="preserve">https://www.bigbatbox.com/de/blogs/fun-facts-about-owls/tagged/night-sounds</t>
  </si>
  <si>
    <t xml:space="preserve">https://www.bigbatbox.com/blogs/fun-facts-about-owls/tagged/nocturnal-animals</t>
  </si>
  <si>
    <t xml:space="preserve">https://www.bigbatbox.com/de/blogs/habitat-of-bats/tagged/bat-house-placement-guide</t>
  </si>
  <si>
    <t xml:space="preserve">https://www.bigbatbox.com/blogs/backyard-birds/tagged/squirrels</t>
  </si>
  <si>
    <t xml:space="preserve">https://www.bigbatbox.com/blogs/habitat-of-bats/tagged/diy-bat-box</t>
  </si>
  <si>
    <t xml:space="preserve">https://www.bigbatbox.com/es/blogs/fun-facts-about-owls/tagged/owl-box-faq</t>
  </si>
  <si>
    <t xml:space="preserve">https://www.bigbatbox.com/es/blogs/habitat-of-bats/tagged/ecosystem-guardians</t>
  </si>
  <si>
    <t xml:space="preserve">https://www.bigbatbox.com/fr/blogs/habitat-of-bats/tagged/wildlife-conservation</t>
  </si>
  <si>
    <t xml:space="preserve">https://www.bigbatbox.com/en-ca/blogs/habitat-of-bats/tagged/cold-climate-bat-box</t>
  </si>
  <si>
    <t xml:space="preserve">https://www.bigbatbox.com/fr/blogs/habitat-of-bats/tagged/bat-in-the-house-in-winter</t>
  </si>
  <si>
    <t xml:space="preserve">https://www.bigbatbox.com/de/blogs/fun-facts-about-owls/tagged/barn-owl-box</t>
  </si>
  <si>
    <t xml:space="preserve">https://www.bigbatbox.com/blogs/habitat-of-bats/tagged/humane-bat-removal</t>
  </si>
  <si>
    <t xml:space="preserve">https://www.bigbatbox.com/blogs/habitat-of-bats/tagged/safe-bat-habitat</t>
  </si>
  <si>
    <t xml:space="preserve">https://www.bigbatbox.com/it/blogs/habitat-of-bats/tagged/wildlife-management</t>
  </si>
  <si>
    <t xml:space="preserve">https://www.bigbatbox.com/fr/blogs/fun-facts-about-owls/tagged/owl-attraction</t>
  </si>
  <si>
    <t xml:space="preserve">https://www.bigbatbox.com/en-ca/blogs/fun-facts-about-owls/what-do-owls-eat</t>
  </si>
  <si>
    <t xml:space="preserve">https://www.bigbatbox.com/blogs/wildyard-learn/tagged/pollination</t>
  </si>
  <si>
    <t xml:space="preserve">https://www.bigbatbox.com/it/blogs/types-of-squirrels/when-do-squirrels-have-babies</t>
  </si>
  <si>
    <t xml:space="preserve">https://www.bigbatbox.com/fr/blogs/habitat-of-bats/tagged/megabats</t>
  </si>
  <si>
    <t xml:space="preserve">https://www.bigbatbox.com/blogs/habitat-of-bats/tagged/how-to-attract-bats</t>
  </si>
  <si>
    <t xml:space="preserve">https://www.bigbatbox.com/de/blogs/types-of-squirrels/tagged/diy-squirrel-feeder</t>
  </si>
  <si>
    <t xml:space="preserve">https://www.bigbatbox.com/fr/blogs/backyard-birds/tagged/suet-feeder</t>
  </si>
  <si>
    <t xml:space="preserve">https://www.bigbatbox.com/blogs/fun-facts-about-owls/tagged/owl-identification</t>
  </si>
  <si>
    <t xml:space="preserve">https://www.bigbatbox.com/it/blogs/fun-facts-about-owls/tagged/wildlife-gardening</t>
  </si>
  <si>
    <t xml:space="preserve">https://www.bigbatbox.com/it/blogs/habitat-of-bats/tagged/endangered-bats</t>
  </si>
  <si>
    <t xml:space="preserve">https://www.bigbatbox.com/de/blogs/bee-species/tagged/bee-communication</t>
  </si>
  <si>
    <t xml:space="preserve">https://www.bigbatbox.com/es/blogs/bee-species/tagged/fun-facts-about-bees</t>
  </si>
  <si>
    <t xml:space="preserve">https://www.bigbatbox.com/fr/blogs/habitat-of-bats/found-a-bat-in-the-house-in-winter-help-them-survive</t>
  </si>
  <si>
    <t xml:space="preserve">https://www.bigbatbox.com/en-ca/blogs/habitat-of-bats?page=4</t>
  </si>
  <si>
    <t xml:space="preserve">https://www.bigbatbox.com/fr/blogs/habitat-of-bats/tagged/bat-hibernation</t>
  </si>
  <si>
    <t xml:space="preserve">https://www.bigbatbox.com/it/blogs/wildyard-learn/tagged/wildlife-habitat-tips</t>
  </si>
  <si>
    <t xml:space="preserve">https://www.bigbatbox.com/en-ca/blogs/habitat-of-bats/tagged/bat-safety</t>
  </si>
  <si>
    <t xml:space="preserve">https://www.bigbatbox.com/de/blogs/bee-species/tagged/bee-lifecycle</t>
  </si>
  <si>
    <t xml:space="preserve">https://www.bigbatbox.com/it/blogs/habitat-of-bats/tagged/how-to-attract-bats</t>
  </si>
  <si>
    <t xml:space="preserve">https://www.bigbatbox.com/blogs/wildyard-learn/tagged/eco-friendly-gardening</t>
  </si>
  <si>
    <t xml:space="preserve">https://www.bigbatbox.com/es/blogs/habitat-of-bats/tagged/bat-box-sunlight-requirements</t>
  </si>
  <si>
    <t xml:space="preserve">https://www.bigbatbox.com/fr/blogs/fun-facts-about-owls/tagged/predators</t>
  </si>
  <si>
    <t xml:space="preserve">https://www.bigbatbox.com/fr/blogs/habitat-of-bats/everything-you-need-to-know-about-bat-boxes-installation-features-placement-and-more</t>
  </si>
  <si>
    <t xml:space="preserve">https://www.bigbatbox.com/en-ca/blogs/habitat-of-bats/tagged/bat-benefits</t>
  </si>
  <si>
    <t xml:space="preserve">https://www.bigbatbox.com/en-ca/blogs/fun-facts-about-owls/tagged/wildlife-habitats</t>
  </si>
  <si>
    <t xml:space="preserve">https://www.bigbatbox.com/de/blogs/habitat-of-bats/tagged/bat-facts</t>
  </si>
  <si>
    <t xml:space="preserve">https://www.bigbatbox.com/it/blogs/types-of-squirrels/tagged/squirrel-nesting-box</t>
  </si>
  <si>
    <t xml:space="preserve">https://www.bigbatbox.com/blogs/habitat-of-bats/tagged/bat-house-sun-exposure</t>
  </si>
  <si>
    <t xml:space="preserve">https://www.bigbatbox.com/it/blogs/habitat-of-bats/tagged/avoid-pesticides</t>
  </si>
  <si>
    <t xml:space="preserve">https://www.bigbatbox.com/de/blogs/bee-species/tagged/pollinator-habitat</t>
  </si>
  <si>
    <t xml:space="preserve">https://www.bigbatbox.com/en-ca/blogs/types-of-squirrels/tagged/squirrel-nesting-box</t>
  </si>
  <si>
    <t xml:space="preserve">https://www.bigbatbox.com/es/blogs/types-of-squirrels/tagged/wildlife-behavior</t>
  </si>
  <si>
    <t xml:space="preserve">https://www.bigbatbox.com/en-ca/blogs/types-of-squirrels/tagged/backyard-habitat</t>
  </si>
  <si>
    <t xml:space="preserve">https://www.bigbatbox.com/en-ca/blogs/habitat-of-bats/tagged/echolocation</t>
  </si>
  <si>
    <t xml:space="preserve">https://www.bigbatbox.com/it/blogs/habitat-of-bats/tagged/mammal-facts</t>
  </si>
  <si>
    <t xml:space="preserve">https://www.bigbatbox.com/es/blogs/habitat-of-bats?page=2</t>
  </si>
  <si>
    <t xml:space="preserve">https://www.bigbatbox.com/blogs/backyard-birds/tagged/clinging-birds</t>
  </si>
  <si>
    <t xml:space="preserve">https://www.bigbatbox.com/blogs/habitat-of-bats/tagged/endangered-bats</t>
  </si>
  <si>
    <t xml:space="preserve">https://www.bigbatbox.com/fr/blogs/types-of-squirrels/tagged/habitat</t>
  </si>
  <si>
    <t xml:space="preserve">https://www.bigbatbox.com/en-ca/blogs/habitat-of-bats/eco-friendly-bat-house-for-backyard-the-complete-guide</t>
  </si>
  <si>
    <t xml:space="preserve">https://www.bigbatbox.com/fr/pages/contact</t>
  </si>
  <si>
    <t xml:space="preserve">https://www.bigbatbox.com/es/blogs/types-of-squirrels/tagged/squirrel-box</t>
  </si>
  <si>
    <t xml:space="preserve">https://www.bigbatbox.com/en-ca/blogs/habitat-of-bats/tagged/bat-ecology-at-home</t>
  </si>
  <si>
    <t xml:space="preserve">https://www.bigbatbox.com/fr/blogs/bee-species/tagged/honey-making</t>
  </si>
  <si>
    <t xml:space="preserve">https://www.bigbatbox.com/en-ca/pages/contact</t>
  </si>
  <si>
    <t xml:space="preserve">https://www.bigbatbox.com/blogs/habitat-of-bats/tagged/wildyard-bat-house-guide</t>
  </si>
  <si>
    <t xml:space="preserve">https://www.bigbatbox.com/en-ca/blogs/types-of-squirrels/tagged/squirrel-house-feeder</t>
  </si>
  <si>
    <t xml:space="preserve">https://www.bigbatbox.com/en-ca/blogs/backyard-birds/tagged/starlings</t>
  </si>
  <si>
    <t xml:space="preserve">https://www.bigbatbox.com/de/blogs/habitat-of-bats/tagged/bat-house-placement</t>
  </si>
  <si>
    <t xml:space="preserve">https://www.bigbatbox.com/en-ca/blogs/types-of-squirrels/tagged/squirrel-food</t>
  </si>
  <si>
    <t xml:space="preserve">https://www.bigbatbox.com/de/blogs/fun-facts-about-owls/tagged/wildlife-gardening</t>
  </si>
  <si>
    <t xml:space="preserve">https://www.bigbatbox.com/blogs/habitat-of-bats/tagged/water-for-bats</t>
  </si>
  <si>
    <t xml:space="preserve">https://www.bigbatbox.com/en-ca/blogs/bee-species/do-solitary-bees-sting</t>
  </si>
  <si>
    <t xml:space="preserve">https://www.bigbatbox.com/fr/blogs/habitat-of-bats/best-bat-boxes-for-mosquito-control-simple-guide-real-example</t>
  </si>
  <si>
    <t xml:space="preserve">https://www.bigbatbox.com/es/blogs/habitat-of-bats/tagged/microbats</t>
  </si>
  <si>
    <t xml:space="preserve">https://www.bigbatbox.com/fr/blogs/habitat-of-bats/tagged/bat-box-installation</t>
  </si>
  <si>
    <t xml:space="preserve">https://www.bigbatbox.com/es/blogs/types-of-squirrels/tagged/seasonal-guide</t>
  </si>
  <si>
    <t xml:space="preserve">https://www.bigbatbox.com/de/blogs/habitat-of-bats/tagged/wildlife-conservation</t>
  </si>
  <si>
    <t xml:space="preserve">https://www.bigbatbox.com/de/blogs/habitat-of-bats/tagged/bat-roosting-guide</t>
  </si>
  <si>
    <t xml:space="preserve">https://www.bigbatbox.com/en-ca/blogs/habitat-of-bats/tagged/native-plants-for-bats</t>
  </si>
  <si>
    <t xml:space="preserve">https://www.bigbatbox.com/blogs/habitat-of-bats/tagged/what-do-bats-eat</t>
  </si>
  <si>
    <t xml:space="preserve">https://www.bigbatbox.com/en-ca/blogs/habitat-of-bats/14-fascinating-facts-about-bats</t>
  </si>
  <si>
    <t xml:space="preserve">https://www.bigbatbox.com/blogs/fun-facts-about-owls/tagged/owl-attraction</t>
  </si>
  <si>
    <t xml:space="preserve">https://www.bigbatbox.com/fr/blogs/habitat-of-bats/tagged/pollinator-friendly-yard</t>
  </si>
  <si>
    <t xml:space="preserve">https://www.bigbatbox.com/fr/blogs/fun-facts-about-owls/tagged/owl-sounds</t>
  </si>
  <si>
    <t xml:space="preserve">https://www.bigbatbox.com/en-ca/blogs/types-of-squirrels/tagged/squirrel-box</t>
  </si>
  <si>
    <t xml:space="preserve">https://www.bigbatbox.com/it/blogs/habitat-of-bats/tagged/bat-food</t>
  </si>
  <si>
    <t xml:space="preserve">https://www.bigbatbox.com/blogs/habitat-of-bats/tagged/bat-safety</t>
  </si>
  <si>
    <t xml:space="preserve">https://www.bigbatbox.com/es/blogs/habitat-of-bats/tagged/bat-box-installation</t>
  </si>
  <si>
    <t xml:space="preserve">https://www.bigbatbox.com/de/blogs/habitat-of-bats/tagged/cedar-bat-house</t>
  </si>
  <si>
    <t xml:space="preserve">https://www.bigbatbox.com/fr/blogs/habitat-of-bats/tagged/where-to-mount-bat-house</t>
  </si>
  <si>
    <t xml:space="preserve">https://www.bigbatbox.com/blogs/habitat-of-bats/tagged/safe-wildlife-practices</t>
  </si>
  <si>
    <t xml:space="preserve">https://www.bigbatbox.com/it/blogs/fun-facts-about-owls/tagged/nocturnal-animals</t>
  </si>
  <si>
    <t xml:space="preserve">https://www.bigbatbox.com/en-ca/blogs/habitat-of-bats/tagged/best-bat-houses-for-cold-states</t>
  </si>
  <si>
    <t xml:space="preserve">https://www.bigbatbox.com/it/blogs/habitat-of-bats/tagged/wildlife</t>
  </si>
  <si>
    <t xml:space="preserve">https://www.bigbatbox.com/en-ca/blogs/fun-facts-about-owls/tagged/snowy-owl</t>
  </si>
  <si>
    <t xml:space="preserve">https://www.bigbatbox.com/fr/blogs/habitat-of-bats/tagged/bat-house-placement</t>
  </si>
  <si>
    <t xml:space="preserve">https://www.bigbatbox.com/it/blogs/habitat-of-bats/tagged/wildlife-habitat</t>
  </si>
  <si>
    <t xml:space="preserve">https://www.bigbatbox.com/fr/blogs/bee-species/tagged/bees-diet</t>
  </si>
  <si>
    <t xml:space="preserve">https://www.bigbatbox.com/de/blogs/habitat-of-bats/tagged/cooler-climate-bat-habitat</t>
  </si>
  <si>
    <t xml:space="preserve">https://www.bigbatbox.com/it/blogs/habitat-of-bats/tagged/bat-prevention</t>
  </si>
  <si>
    <t xml:space="preserve">https://www.bigbatbox.com/it/blogs/habitat-of-bats/why-bats-are-the-best-mosquito-eaters</t>
  </si>
  <si>
    <t xml:space="preserve">https://www.bigbatbox.com/fr/blogs/habitat-of-bats/where-to-put-a-bat-house-in-your-yard</t>
  </si>
  <si>
    <t xml:space="preserve">https://www.bigbatbox.com/es/blogs/types-of-squirrels/do-squirrels-hibernate</t>
  </si>
  <si>
    <t xml:space="preserve">https://www.bigbatbox.com/blogs/habitat-of-bats/tagged/wildlife-friendly-backyard</t>
  </si>
  <si>
    <t xml:space="preserve">https://www.bigbatbox.com/fr/blogs/bee-species/tagged/bumblebees</t>
  </si>
  <si>
    <t xml:space="preserve">https://www.bigbatbox.com/it/pages/collab</t>
  </si>
  <si>
    <t xml:space="preserve">https://www.bigbatbox.com/en-ca/blogs/habitat-of-bats/tagged/safe-bat-habitat</t>
  </si>
  <si>
    <t xml:space="preserve">https://www.bigbatbox.com/de/blogs/bee-species/tagged/bee-identification</t>
  </si>
  <si>
    <t xml:space="preserve">https://www.bigbatbox.com/blogs/habitat-of-bats/tagged/multi-chamber-bat-house</t>
  </si>
  <si>
    <t xml:space="preserve">https://www.bigbatbox.com/it/products/wildyard-digital-gift-card</t>
  </si>
  <si>
    <t xml:space="preserve">https://www.bigbatbox.com/it/blogs/habitat-of-bats/tagged/bats-as-pollinators</t>
  </si>
  <si>
    <t xml:space="preserve">https://www.bigbatbox.com/blogs/habitat-of-bats/tagged/insect-control</t>
  </si>
  <si>
    <t xml:space="preserve">https://www.bigbatbox.com/en-ca/blogs/habitat-of-bats/big-bat-box-comparison</t>
  </si>
  <si>
    <t xml:space="preserve">https://www.bigbatbox.com/blogs/fun-facts-about-owls/tagged/squirrels</t>
  </si>
  <si>
    <t xml:space="preserve">https://www.bigbatbox.com/en-ca/blogs/fun-facts-about-owls/tagged/nocturnal-animals</t>
  </si>
  <si>
    <t xml:space="preserve">https://www.bigbatbox.com/fr/blogs/habitat-of-bats/tagged/mounting-bat-houses</t>
  </si>
  <si>
    <t xml:space="preserve">https://www.bigbatbox.com/en-ca/blogs/fun-facts-about-owls/tagged/bird-habitats</t>
  </si>
  <si>
    <t xml:space="preserve">https://www.bigbatbox.com/de/blogs/types-of-squirrels/tagged/habitat</t>
  </si>
  <si>
    <t xml:space="preserve">https://www.bigbatbox.com/es/blogs/backyard-birds/tagged/summer-feeding</t>
  </si>
  <si>
    <t xml:space="preserve">https://www.bigbatbox.com/fr/blogs/habitat-of-bats/tagged/guano</t>
  </si>
  <si>
    <t xml:space="preserve">https://www.bigbatbox.com/es/blogs/fun-facts-about-owls/tagged/wildlife-gardening</t>
  </si>
  <si>
    <t xml:space="preserve">https://www.bigbatbox.com/es/blogs/fun-facts-about-owls/tagged/bird-habitats</t>
  </si>
  <si>
    <t xml:space="preserve">https://www.bigbatbox.com/it/blogs/bee-species/tagged/bee-facts</t>
  </si>
  <si>
    <t xml:space="preserve">https://www.bigbatbox.com/fr/blogs/types-of-squirrels/tagged/wildlife-habitat</t>
  </si>
  <si>
    <t xml:space="preserve">https://www.bigbatbox.com/fr/blogs/backyard-birds/can-you-feed-suet-in-summer</t>
  </si>
  <si>
    <t xml:space="preserve">https://www.bigbatbox.com/it/blogs/fun-facts-about-owls?page=2</t>
  </si>
  <si>
    <t xml:space="preserve">https://www.bigbatbox.com/fr/blogs/habitat-of-bats/tagged/cold-climate-bat-box</t>
  </si>
  <si>
    <t xml:space="preserve">https://www.bigbatbox.com/it/blogs/bee-species/fun-facts-about-bees</t>
  </si>
  <si>
    <t xml:space="preserve">https://www.bigbatbox.com/it/blogs/types-of-squirrels/tagged/squirrel-feeder</t>
  </si>
  <si>
    <t xml:space="preserve">https://www.bigbatbox.com/fr/blogs/habitat-of-bats/tagged/bats-as-pollinators</t>
  </si>
  <si>
    <t xml:space="preserve">https://www.bigbatbox.com/es/blogs/habitat-of-bats/tagged/bigbatbox</t>
  </si>
  <si>
    <t xml:space="preserve">https://www.bigbatbox.com/en-ca/blogs/fun-facts-about-owls/tagged/barn-owl</t>
  </si>
  <si>
    <t xml:space="preserve">https://www.bigbatbox.com/fr/blogs/conservation-partners/tagged/partnership</t>
  </si>
  <si>
    <t xml:space="preserve">https://www.bigbatbox.com/fr/blogs/habitat-of-bats/tagged/dark-bat-houses</t>
  </si>
  <si>
    <t xml:space="preserve">https://www.bigbatbox.com/es/blogs/types-of-squirrels/tagged/backyard-wildlife</t>
  </si>
  <si>
    <t xml:space="preserve">https://www.bigbatbox.com/fr/blogs/backyard-birds/keep-squirrels-starlings-off-suet-feeder</t>
  </si>
  <si>
    <t xml:space="preserve">https://www.bigbatbox.com/fr/blogs/types-of-squirrels/tagged/squirrel-feeder</t>
  </si>
  <si>
    <t xml:space="preserve">https://www.bigbatbox.com/en-ca/blogs/types-of-squirrels/tagged/wildyard</t>
  </si>
  <si>
    <t xml:space="preserve">https://www.bigbatbox.com/de/blogs/habitat-of-bats/tagged/mounting-bat-houses</t>
  </si>
  <si>
    <t xml:space="preserve">https://www.bigbatbox.com/blogs/habitat-of-bats/tagged/wildlife-bat-box-guide</t>
  </si>
  <si>
    <t xml:space="preserve">https://www.bigbatbox.com/de/blogs/habitat-of-bats/tagged/avoid-pesticides</t>
  </si>
  <si>
    <t xml:space="preserve">https://www.bigbatbox.com/es/blogs/conservation-partners/tagged/birds</t>
  </si>
  <si>
    <t xml:space="preserve">https://www.bigbatbox.com/de/blogs/habitat-of-bats/tagged/bat-ecology-at-home</t>
  </si>
  <si>
    <t xml:space="preserve">https://www.bigbatbox.com/en-ca/blogs/habitat-of-bats/how-to-attract-bats-your-go-to-guide</t>
  </si>
  <si>
    <t xml:space="preserve">https://www.bigbatbox.com/en-ca/blogs/bee-species/tagged/bee-house</t>
  </si>
  <si>
    <t xml:space="preserve">https://www.bigbatbox.com/de/blogs/habitat-of-bats/tagged/what-do-bats-eat</t>
  </si>
  <si>
    <t xml:space="preserve">https://www.bigbatbox.com/blogs/habitat-of-bats/tagged/help-bats-at-home</t>
  </si>
  <si>
    <t xml:space="preserve">https://www.bigbatbox.com/de/blogs/habitat-of-bats?page=3</t>
  </si>
  <si>
    <t xml:space="preserve">https://www.bigbatbox.com/es/blogs/fun-facts-about-owls/tagged/predators</t>
  </si>
  <si>
    <t xml:space="preserve">https://www.bigbatbox.com/es/blogs/habitat-of-bats/tagged/tall-bat-house-design</t>
  </si>
  <si>
    <t xml:space="preserve">https://www.bigbatbox.com/es/blogs/habitat-of-bats/tagged/building-and-installing-bat-boxes</t>
  </si>
  <si>
    <t xml:space="preserve">https://www.bigbatbox.com/en-ca/blogs/habitat-of-bats/tagged/bat-house-warmth-retention</t>
  </si>
  <si>
    <t xml:space="preserve">https://www.bigbatbox.com/fr/blogs/wildyard-learn/tagged/wildlife-garden</t>
  </si>
  <si>
    <t xml:space="preserve">https://www.bigbatbox.com/de/blogs/fun-facts-about-owls/tagged/owl-nesting-box</t>
  </si>
  <si>
    <t xml:space="preserve">https://www.bigbatbox.com/es/blogs/habitat-of-bats/tagged/bat-in-the-house-in-winter</t>
  </si>
  <si>
    <t xml:space="preserve">https://www.bigbatbox.com/it/blogs/types-of-squirrels/tagged/squirrel-care</t>
  </si>
  <si>
    <t xml:space="preserve">https://www.bigbatbox.com/fr/blogs/backyard-birds/tagged/backyard-birds</t>
  </si>
  <si>
    <t xml:space="preserve">https://www.bigbatbox.com/de/blogs/types-of-squirrels/tagged/squirrel-nesting-box</t>
  </si>
  <si>
    <t xml:space="preserve">https://www.bigbatbox.com/it/blogs/habitat-of-bats/tagged/mounting-bat-houses</t>
  </si>
  <si>
    <t xml:space="preserve">https://www.bigbatbox.com/it/blogs/backyard-birds/tagged/clinging-birds</t>
  </si>
  <si>
    <t xml:space="preserve">https://www.bigbatbox.com/es/blogs/habitat-of-bats/tagged/bat-house</t>
  </si>
  <si>
    <t xml:space="preserve">https://www.bigbatbox.com/en-ca/blogs/habitat-of-bats/tagged/black-cedar-bat-house</t>
  </si>
  <si>
    <t xml:space="preserve">https://www.bigbatbox.com/es/blogs/backyard-birds/tagged/starlings</t>
  </si>
  <si>
    <t xml:space="preserve">https://www.bigbatbox.com/de/blogs/habitat-of-bats/tagged/bat-houses</t>
  </si>
  <si>
    <t xml:space="preserve">https://www.bigbatbox.com/es/blogs/habitat-of-bats/tagged/bat-house-tips</t>
  </si>
  <si>
    <t xml:space="preserve">https://www.bigbatbox.com/it/blogs/bee-species/tagged/bees</t>
  </si>
  <si>
    <t xml:space="preserve">https://www.bigbatbox.com/it/blogs/bee-species/mason-bees-vs-leafcutter-bees</t>
  </si>
  <si>
    <t xml:space="preserve">https://www.bigbatbox.com/de/blogs/fun-facts-about-owls/tagged/owl-behavior</t>
  </si>
  <si>
    <t xml:space="preserve">https://www.bigbatbox.com/de/blogs/habitat-of-bats/tagged/south-facing-bat-house</t>
  </si>
  <si>
    <t xml:space="preserve">https://www.bigbatbox.com/blogs/habitat-of-bats/tagged/bat-house-installation</t>
  </si>
  <si>
    <t xml:space="preserve">https://www.bigbatbox.com/blogs/fun-facts-about-owls/tagged/owl-boxes</t>
  </si>
  <si>
    <t xml:space="preserve">https://www.bigbatbox.com/fr/blogs/habitat-of-bats/tagged/dark-bat-house-benefits</t>
  </si>
  <si>
    <t xml:space="preserve">https://www.bigbatbox.com/fr/blogs/habitat-of-bats/tagged/safe-bat-habitat</t>
  </si>
  <si>
    <t xml:space="preserve">https://www.bigbatbox.com/fr/blogs/bee-species/tagged/pollinator-nutrition</t>
  </si>
  <si>
    <t xml:space="preserve">https://www.bigbatbox.com/en-ca/blogs/habitat-of-bats/tagged/wildyard-bat-house-guide</t>
  </si>
  <si>
    <t xml:space="preserve">https://www.bigbatbox.com/blogs/bee-species/tagged/nature-s-architects</t>
  </si>
  <si>
    <t xml:space="preserve">https://www.bigbatbox.com/de/blogs/habitat-of-bats/tagged/winter-bat-house-tips</t>
  </si>
  <si>
    <t xml:space="preserve">https://www.bigbatbox.com/es/blogs/habitat-of-bats/tagged/natural-pest-control</t>
  </si>
  <si>
    <t xml:space="preserve">https://www.bigbatbox.com/fr/blogs/habitat-of-bats/tagged/bat-house-wall-mount</t>
  </si>
  <si>
    <t xml:space="preserve">https://www.bigbatbox.com/fr/blogs/habitat-of-bats/tagged/black-cedar-bat-house</t>
  </si>
  <si>
    <t xml:space="preserve">https://www.bigbatbox.com/de/blogs/fun-facts-about-owls/tagged/owl-hooting</t>
  </si>
  <si>
    <t xml:space="preserve">https://www.bigbatbox.com/it/blogs/types-of-squirrels/tagged/squirrel-habitat</t>
  </si>
  <si>
    <t xml:space="preserve">https://www.bigbatbox.com/it/blogs/habitat-of-bats/bat-conservation-tips-for-homeowners-simple-ways-to-help-bats-at-home</t>
  </si>
  <si>
    <t xml:space="preserve">https://www.bigbatbox.com/fr/blogs/habitat-of-bats/tagged/bat-house-direction</t>
  </si>
  <si>
    <t xml:space="preserve">https://www.bigbatbox.com/de/blogs/habitat-of-bats/tagged/safe-wildlife-practices</t>
  </si>
  <si>
    <t xml:space="preserve">https://www.bigbatbox.com/fr/blogs/habitat-of-bats/tagged/winter-bat-house-tips</t>
  </si>
  <si>
    <t xml:space="preserve">https://www.bigbatbox.com/fr/blogs/habitat-of-bats/tagged/bat-house-for-cold-climates</t>
  </si>
  <si>
    <t xml:space="preserve">https://www.bigbatbox.com/it/products/bat-house-single-chamber-black</t>
  </si>
  <si>
    <t xml:space="preserve">https://www.bigbatbox.com/fr/blogs/habitat-of-bats/tagged/bat-house-sun-exposure</t>
  </si>
  <si>
    <t xml:space="preserve">https://www.bigbatbox.com/es/blogs/bee-species/tagged/pollinator-habitat</t>
  </si>
  <si>
    <t xml:space="preserve">https://www.bigbatbox.com/it/blogs/bee-species/tagged/leafcutter-bees</t>
  </si>
  <si>
    <t xml:space="preserve">https://www.bigbatbox.com/it/blogs/bee-species/tagged/wildlife</t>
  </si>
  <si>
    <t xml:space="preserve">https://www.bigbatbox.com/it/blogs/conservation-partners/tagged/1-for-the-planet</t>
  </si>
  <si>
    <t xml:space="preserve">https://www.bigbatbox.com/es/blogs/habitat-of-bats/tagged/dark-bat-houses</t>
  </si>
  <si>
    <t xml:space="preserve">https://www.bigbatbox.com/fr/blogs/habitat-of-bats?page=4</t>
  </si>
  <si>
    <t xml:space="preserve">https://www.bigbatbox.com/it/blogs/types-of-squirrels/tagged/squirrel-food</t>
  </si>
  <si>
    <t xml:space="preserve">https://www.bigbatbox.com/de/blogs/habitat-of-bats/tagged/humane-bat-removal</t>
  </si>
  <si>
    <t xml:space="preserve">https://www.bigbatbox.com/it/blogs/habitat-of-bats/everything-you-need-to-know-about-bat-boxes-installation-features-placement-and-more</t>
  </si>
  <si>
    <t xml:space="preserve">https://www.bigbatbox.com/es/blogs/habitat-of-bats/tagged/bat-friendly-backyard</t>
  </si>
  <si>
    <t xml:space="preserve">https://www.bigbatbox.com/it/blogs/habitat-of-bats/tagged/eco-friendly-bat-house</t>
  </si>
  <si>
    <t xml:space="preserve">https://www.bigbatbox.com/de/blogs/bee-species/tagged/wildlife</t>
  </si>
  <si>
    <t xml:space="preserve">https://www.bigbatbox.com/it/blogs/habitat-of-bats/why-a-black-bat-house-is-perfect-for-cooler-climates</t>
  </si>
  <si>
    <t xml:space="preserve">https://www.bigbatbox.com/de/blogs/habitat-of-bats/tagged/natural-mosquito-control</t>
  </si>
  <si>
    <t xml:space="preserve">https://www.bigbatbox.com/es/blogs/habitat-of-bats/tagged/eco-friendly-bat-house</t>
  </si>
  <si>
    <t xml:space="preserve">https://www.bigbatbox.com/it/blogs/habitat-of-bats/tagged/insect-control-naturally</t>
  </si>
  <si>
    <t xml:space="preserve">https://www.bigbatbox.com/en-ca/blogs/habitat-of-bats/tagged/northern-state-bat-box</t>
  </si>
  <si>
    <t xml:space="preserve">https://www.bigbatbox.com/it/blogs/habitat-of-bats/tagged/sustainable-gardens</t>
  </si>
  <si>
    <t xml:space="preserve">https://www.bigbatbox.com/de/blogs/habitat-of-bats/tagged/garden-insect-control</t>
  </si>
  <si>
    <t xml:space="preserve">https://www.bigbatbox.com/es/blogs/habitat-of-bats/tagged/what-do-bats-eat</t>
  </si>
  <si>
    <t xml:space="preserve">https://www.bigbatbox.com/de/blogs/habitat-of-bats/tagged/backyard-conservation</t>
  </si>
  <si>
    <t xml:space="preserve">https://www.bigbatbox.com/en-ca/blogs/habitat-of-bats/tagged/backyard-eco-tips</t>
  </si>
  <si>
    <t xml:space="preserve">https://www.bigbatbox.com/es/blogs/backyard-birds/tagged/bird-feeding</t>
  </si>
  <si>
    <t xml:space="preserve">https://www.bigbatbox.com/fr/blogs/types-of-squirrels/tagged/squirrel-box</t>
  </si>
  <si>
    <t xml:space="preserve">https://www.bigbatbox.com/es/blogs/bee-species/tagged/bee-facts</t>
  </si>
  <si>
    <t xml:space="preserve">https://www.bigbatbox.com/de/collections</t>
  </si>
  <si>
    <t xml:space="preserve">https://www.bigbatbox.com/en-ca/blogs/bee-species/tagged/bee-identification</t>
  </si>
  <si>
    <t xml:space="preserve">https://www.bigbatbox.com/en-ca/blogs/habitat-of-bats/bat-conservation-tips-for-homeowners-simple-ways-to-help-bats-at-home</t>
  </si>
  <si>
    <t xml:space="preserve">https://www.bigbatbox.com/it/blogs/habitat-of-bats/tagged/mosquito-controlbackyard-wildlife</t>
  </si>
  <si>
    <t xml:space="preserve">https://www.bigbatbox.com/it/blogs/habitat-of-bats/tagged/attract-bats-to-yard</t>
  </si>
  <si>
    <t xml:space="preserve">https://www.bigbatbox.com/es/blogs/habitat-of-bats/tagged/bat-house-distance-from-trees</t>
  </si>
  <si>
    <t xml:space="preserve">https://www.bigbatbox.com/blogs/habitat-of-bats/tagged/eco-friendly</t>
  </si>
  <si>
    <t xml:space="preserve">https://www.bigbatbox.com/blogs/habitat-of-bats/tagged/best-bat-house-placement</t>
  </si>
  <si>
    <t xml:space="preserve">https://www.bigbatbox.com/fr/pages/cedar-squirrel-house</t>
  </si>
  <si>
    <t xml:space="preserve">https://www.bigbatbox.com/de/blogs/types-of-squirrels/tagged/backyard-habitat</t>
  </si>
  <si>
    <t xml:space="preserve">https://www.bigbatbox.com/fr/blogs/fun-facts-about-owls/what-do-owls-eat</t>
  </si>
  <si>
    <t xml:space="preserve">https://www.bigbatbox.com/en-ca/blogs/habitat-of-bats/tagged/wildlife-bat-box-guide</t>
  </si>
  <si>
    <t xml:space="preserve">https://www.bigbatbox.com/blogs/habitat-of-bats/tagged/bat-house</t>
  </si>
  <si>
    <t xml:space="preserve">https://www.bigbatbox.com/blogs/bee-species/tagged/pollinator-habitat</t>
  </si>
  <si>
    <t xml:space="preserve">https://www.bigbatbox.com/de/blogs/habitat-of-bats/tagged/best-bat-boxes-for-mosquito-control</t>
  </si>
  <si>
    <t xml:space="preserve">https://www.bigbatbox.com/blogs/backyard-birds/tagged/starlings</t>
  </si>
  <si>
    <t xml:space="preserve">https://www.bigbatbox.com/de/blogs/habitat-of-bats/tagged/best-bat-house-placement</t>
  </si>
  <si>
    <t xml:space="preserve">https://www.bigbatbox.com/de/blogs/fun-facts-about-owls/tagged/owls</t>
  </si>
  <si>
    <t xml:space="preserve">https://www.bigbatbox.com/en-ca/blogs/bee-species/tagged/backyard-wildlife</t>
  </si>
  <si>
    <t xml:space="preserve">https://www.bigbatbox.com/en-ca/blogs/habitat-of-bats/tagged/bat-houses</t>
  </si>
  <si>
    <t xml:space="preserve">https://www.bigbatbox.com/it/blogs/habitat-of-bats/tagged/bats-near-home</t>
  </si>
  <si>
    <t xml:space="preserve">https://www.bigbatbox.com/fr/blogs/types-of-squirrels/tagged/winter-wildlife</t>
  </si>
  <si>
    <t xml:space="preserve">https://www.bigbatbox.com/it/blogs/types-of-squirrels/do-squirrels-hibernate</t>
  </si>
  <si>
    <t xml:space="preserve">https://www.bigbatbox.com/de/blogs/types-of-squirrels/tagged/nocturnal-animals</t>
  </si>
  <si>
    <t xml:space="preserve">https://www.bigbatbox.com/de/blogs/fun-facts-about-owls?page=2</t>
  </si>
  <si>
    <t xml:space="preserve">https://www.bigbatbox.com/it/blogs/habitat-of-bats/tagged/are-bats-dangerous</t>
  </si>
  <si>
    <t xml:space="preserve">https://www.bigbatbox.com/it/blogs/habitat-of-bats/tagged/ecosystem-guardians</t>
  </si>
  <si>
    <t xml:space="preserve">https://www.bigbatbox.com/en-ca/blogs/fun-facts-about-owls/how-long-do-owls-live</t>
  </si>
  <si>
    <t xml:space="preserve">https://www.bigbatbox.com/fr/blogs/habitat-of-bats/why-you-need-a-bat-house-your-go-to-guide</t>
  </si>
  <si>
    <t xml:space="preserve">https://www.bigbatbox.com/it/blogs/habitat-of-bats/tagged/what-do-bats-eat</t>
  </si>
  <si>
    <t xml:space="preserve">https://www.bigbatbox.com/fr/blogs/habitat-of-bats/tagged/water-for-bats</t>
  </si>
  <si>
    <t xml:space="preserve">https://www.bigbatbox.com/it/blogs/fun-facts-about-owls/tagged/owl-boxes</t>
  </si>
  <si>
    <t xml:space="preserve">https://www.bigbatbox.com/es/blogs/habitat-of-bats/tagged/bat-houses</t>
  </si>
  <si>
    <t xml:space="preserve">https://www.bigbatbox.com/fr/blogs/habitat-of-bats/tagged/multi-chamber-bat-house</t>
  </si>
  <si>
    <t xml:space="preserve">https://www.bigbatbox.com/de/blogs/habitat-of-bats/tagged/wildlife-friendly-backyard</t>
  </si>
  <si>
    <t xml:space="preserve">https://www.bigbatbox.com/en-ca/blogs/habitat-of-bats/tagged/bat-house-chambers</t>
  </si>
  <si>
    <t xml:space="preserve">https://www.bigbatbox.com/es/blogs/types-of-squirrels/tagged/wildlife-feeding</t>
  </si>
  <si>
    <t xml:space="preserve">https://www.bigbatbox.com/blogs/habitat-of-bats/tagged/bat-roost-guide</t>
  </si>
  <si>
    <t xml:space="preserve">https://www.bigbatbox.com/fr/blogs/bee-species/tagged/bee-identification</t>
  </si>
  <si>
    <t xml:space="preserve">https://www.bigbatbox.com/blogs/habitat-of-bats/tagged/bat-housebat-conservation</t>
  </si>
  <si>
    <t xml:space="preserve">https://www.bigbatbox.com/fr/blogs/habitat-of-bats/tagged/natural-mosquito-control</t>
  </si>
  <si>
    <t xml:space="preserve">https://www.bigbatbox.com/fr/blogs/fun-facts-about-owls/tagged/nocturnal-animals</t>
  </si>
  <si>
    <t xml:space="preserve">https://www.bigbatbox.com/fr/blogs/conservation-partners/wildyard-bird-conservancy-of-the-rockies-partnership</t>
  </si>
  <si>
    <t xml:space="preserve">https://www.bigbatbox.com/de/blogs/bee-species/tagged/honey-production</t>
  </si>
  <si>
    <t xml:space="preserve">https://www.bigbatbox.com/en-ca/blogs/habitat-of-bats/tagged/bat-house-placement-guide</t>
  </si>
  <si>
    <t xml:space="preserve">https://www.bigbatbox.com/it/blogs/fun-facts-about-owls/tagged/owl-behavior</t>
  </si>
  <si>
    <t xml:space="preserve">https://www.bigbatbox.com/it/blogs/types-of-squirrels/how-to-attract-squirrels-to-your-backyard</t>
  </si>
  <si>
    <t xml:space="preserve">https://www.bigbatbox.com/it/blogs/backyard-birds/tagged/summer-feeding</t>
  </si>
  <si>
    <t xml:space="preserve">https://www.bigbatbox.com/it/blogs/fun-facts-about-owls/why-do-owls-hoot-at-night</t>
  </si>
  <si>
    <t xml:space="preserve">https://www.bigbatbox.com/es/blogs/fun-facts-about-owls/tagged/owl-behavior</t>
  </si>
  <si>
    <t xml:space="preserve">https://www.bigbatbox.com/es/blogs/habitat-of-bats/tagged/bat-house-placement-guide</t>
  </si>
  <si>
    <t xml:space="preserve">https://www.bigbatbox.com/de/blogs/habitat-of-bats?page=4</t>
  </si>
  <si>
    <t xml:space="preserve">https://www.bigbatbox.com/es/blogs/fun-facts-about-owls/tagged/barn-owl</t>
  </si>
  <si>
    <t xml:space="preserve">https://www.bigbatbox.com/es/blogs/wildyard-learn/tagged/bees-and-bats</t>
  </si>
  <si>
    <t xml:space="preserve">https://www.bigbatbox.com/de/blogs/habitat-of-bats/tagged/yard-wildlife-guide</t>
  </si>
  <si>
    <t xml:space="preserve">https://www.bigbatbox.com/it/blogs/habitat-of-bats/tagged/cooler-climate-bat-habitat</t>
  </si>
  <si>
    <t xml:space="preserve">https://www.bigbatbox.com/es/blogs/habitat-of-bats/tagged/bat-food</t>
  </si>
  <si>
    <t xml:space="preserve">https://www.bigbatbox.com/blogs/bee-species/tagged/bumblebees</t>
  </si>
  <si>
    <t xml:space="preserve">https://www.bigbatbox.com/fr/blogs/types-of-squirrels/tagged/wildlife-feeding</t>
  </si>
  <si>
    <t xml:space="preserve">https://www.bigbatbox.com/es/blogs/habitat-of-bats/tagged/bats-as-pollinators</t>
  </si>
  <si>
    <t xml:space="preserve">https://www.bigbatbox.com/en-ca/blogs/habitat-of-bats/tagged/how-to-attract-bats</t>
  </si>
  <si>
    <t xml:space="preserve">https://www.bigbatbox.com/fr/blogs/fun-facts-about-owls?page=2</t>
  </si>
  <si>
    <t xml:space="preserve">https://www.bigbatbox.com/fr/blogs/habitat-of-bats/tagged/mosquito-control</t>
  </si>
  <si>
    <t xml:space="preserve">https://www.bigbatbox.com/fr/blogs/fun-facts-about-owls/tagged/squirrels</t>
  </si>
  <si>
    <t xml:space="preserve">https://www.bigbatbox.com/es/blogs/conservation-partners/wildyard-bird-conservancy-of-the-rockies-partnership</t>
  </si>
  <si>
    <t xml:space="preserve">https://www.bigbatbox.com/fr/blogs/backyard-birds/tagged/woodpeckers</t>
  </si>
  <si>
    <t xml:space="preserve">https://www.bigbatbox.com/es/blogs/fun-facts-about-owls/are-owls-dangerous</t>
  </si>
  <si>
    <t xml:space="preserve">https://www.bigbatbox.com/fr/blogs/fun-facts-about-owls/tagged/owl-hooting</t>
  </si>
  <si>
    <t xml:space="preserve">https://www.bigbatbox.com/de/blogs/fun-facts-about-owls/tagged/owl-attraction</t>
  </si>
  <si>
    <t xml:space="preserve">https://www.bigbatbox.com/it/blogs/wildyard-news/introducing-the-wildyard-x-angry-birds%E2%84%A2-collection-turn-your-garden-into-a-wildlife-habitat</t>
  </si>
  <si>
    <t xml:space="preserve">https://www.bigbatbox.com/en-ca/blogs/fun-facts-about-owls/tagged/conservation</t>
  </si>
  <si>
    <t xml:space="preserve">https://www.bigbatbox.com/it/blogs/types-of-squirrels/tagged/species-facts</t>
  </si>
  <si>
    <t xml:space="preserve">https://www.bigbatbox.com/en-ca/blogs/habitat-of-bats/tagged/painted-cedar-bat-house</t>
  </si>
  <si>
    <t xml:space="preserve">https://www.bigbatbox.com/fr/blogs/fun-facts-about-owls/tagged/barn-owl</t>
  </si>
  <si>
    <t xml:space="preserve">https://www.bigbatbox.com/fr/blogs/habitat-of-bats/tagged/vampire-bats</t>
  </si>
  <si>
    <t xml:space="preserve">https://www.bigbatbox.com/de/blogs/fun-facts-about-owls/tagged/backyard-wildlife</t>
  </si>
  <si>
    <t xml:space="preserve">https://www.bigbatbox.com/fr/blogs/types-of-squirrels/tagged/wildlife-lifespan</t>
  </si>
  <si>
    <t xml:space="preserve">https://www.bigbatbox.com/blogs/types-of-squirrels/tagged/wildlife-lifespan</t>
  </si>
  <si>
    <t xml:space="preserve">https://www.bigbatbox.com/blogs/habitat-of-bats/tagged/mosquito-control</t>
  </si>
  <si>
    <t xml:space="preserve">https://www.bigbatbox.com/de/blogs/types-of-squirrels/tagged/squirrels</t>
  </si>
  <si>
    <t xml:space="preserve">https://www.bigbatbox.com/en-ca/blogs/bee-species/tagged/bee-food-sources</t>
  </si>
  <si>
    <t xml:space="preserve">https://www.bigbatbox.com/es/blogs/habitat-of-bats/tagged/natural-mosquito-control</t>
  </si>
  <si>
    <t xml:space="preserve">https://www.bigbatbox.com/de/blogs/habitat-of-bats/tagged/coexist-with-bats</t>
  </si>
  <si>
    <t xml:space="preserve">https://www.bigbatbox.com/it/blogs/bee-species/tagged/pollination</t>
  </si>
  <si>
    <t xml:space="preserve">https://www.bigbatbox.com/en-ca/blogs/habitat-of-bats/tagged/best-bat-house-setup</t>
  </si>
  <si>
    <t xml:space="preserve">https://www.bigbatbox.com/en-ca/blogs/fun-facts-about-owls/tagged/owl-sounds</t>
  </si>
  <si>
    <t xml:space="preserve">https://www.bigbatbox.com/en-ca/blogs/habitat-of-bats/tagged/bats-near-home</t>
  </si>
  <si>
    <t xml:space="preserve">https://www.bigbatbox.com/en-ca/blogs/habitat-of-bats/tagged/backyard-wildlife</t>
  </si>
  <si>
    <t xml:space="preserve">https://www.bigbatbox.com/es/blogs/habitat-of-bats/tagged/bat-facts</t>
  </si>
  <si>
    <t xml:space="preserve">https://www.bigbatbox.com/blogs/habitat-of-bats/tagged/vampire-bats</t>
  </si>
  <si>
    <t xml:space="preserve">https://www.bigbatbox.com/de/blogs/habitat-of-bats/tagged/bat-conservation-tips</t>
  </si>
  <si>
    <t xml:space="preserve">https://www.bigbatbox.com/de/blogs/wildyard-learn/tagged/pollination</t>
  </si>
  <si>
    <t xml:space="preserve">https://www.bigbatbox.com/de/blogs/backyard-birds/tagged/backyard-birds</t>
  </si>
  <si>
    <t xml:space="preserve">https://www.bigbatbox.com/blogs/backyard-birds/tagged/suet-feeder</t>
  </si>
  <si>
    <t xml:space="preserve">https://www.bigbatbox.com/en-ca/blogs/bee-species/tagged/bumblebees</t>
  </si>
  <si>
    <t xml:space="preserve">https://www.bigbatbox.com/fr/collections/bat-barn-junior</t>
  </si>
  <si>
    <t xml:space="preserve">https://www.bigbatbox.com/it/blogs/habitat-of-bats/do-bats-eat-mosquitoes-everything-you-need-to-know</t>
  </si>
  <si>
    <t xml:space="preserve">https://www.bigbatbox.com/es/blogs/backyard-birds/tagged/hot-pepper-suet</t>
  </si>
  <si>
    <t xml:space="preserve">https://www.bigbatbox.com/de/blogs/types-of-squirrels/tagged/wildlife-behavior</t>
  </si>
  <si>
    <t xml:space="preserve">https://www.bigbatbox.com/es/blogs/habitat-of-bats/tagged/mammal-facts</t>
  </si>
  <si>
    <t xml:space="preserve">https://www.bigbatbox.com/es/blogs/habitat-of-bats/tagged/safe-bat-habitat</t>
  </si>
  <si>
    <t xml:space="preserve">https://www.bigbatbox.com/en-ca/blogs/wildyard-news/introducing-the-wildyard-x-angry-birds%E2%84%A2-collection-turn-your-garden-into-a-wildlife-habitat</t>
  </si>
  <si>
    <t xml:space="preserve">https://www.bigbatbox.com/it/blogs/habitat-of-bats/tagged/bat-safety</t>
  </si>
  <si>
    <t xml:space="preserve">https://www.bigbatbox.com/it/blogs/habitat-of-bats?page=2</t>
  </si>
  <si>
    <t xml:space="preserve">https://www.bigbatbox.com/blogs/fun-facts-about-owls/tagged/wildlife-gardening</t>
  </si>
  <si>
    <t xml:space="preserve">https://www.bigbatbox.com/en-ca/blogs/backyard-birds/tagged/seasonal-feeding</t>
  </si>
  <si>
    <t xml:space="preserve">https://www.bigbatbox.com/it/blogs/wildyard-learn/tagged/wildlife-garden</t>
  </si>
  <si>
    <t xml:space="preserve">https://www.bigbatbox.com/en-ca/blogs/habitat-of-bats/tagged/bat-house-advice</t>
  </si>
  <si>
    <t xml:space="preserve">https://www.bigbatbox.com/it/blogs/habitat-of-bats/tagged/bat-in-the-house-in-winter</t>
  </si>
  <si>
    <t xml:space="preserve">https://www.bigbatbox.com/fr/pages/about</t>
  </si>
  <si>
    <t xml:space="preserve">https://www.bigbatbox.com/es/blogs/habitat-of-bats/tagged/2026-trends</t>
  </si>
  <si>
    <t xml:space="preserve">https://www.bigbatbox.com/en-ca/blogs/types-of-squirrels/tagged/wildlife-guide</t>
  </si>
  <si>
    <t xml:space="preserve">https://www.bigbatbox.com/fr/blogs/habitat-of-bats/tagged/best-bat-houses</t>
  </si>
  <si>
    <t xml:space="preserve">https://www.bigbatbox.com/blogs/habitat-of-bats/tagged/best-bat-house-setup</t>
  </si>
  <si>
    <t xml:space="preserve">https://www.bigbatbox.com/it/blogs/conservation-partners</t>
  </si>
  <si>
    <t xml:space="preserve">https://www.bigbatbox.com/en-ca/blogs/backyard-birds/tagged/bird-feeding</t>
  </si>
  <si>
    <t xml:space="preserve">https://www.bigbatbox.com/blogs/fun-facts-about-owls/tagged/wildlife-habitats</t>
  </si>
  <si>
    <t xml:space="preserve">https://www.bigbatbox.com/blogs/habitat-of-bats/tagged/dark-bat-houses</t>
  </si>
  <si>
    <t xml:space="preserve">https://www.bigbatbox.com/blogs/habitat-of-bats/tagged/bat-house-height</t>
  </si>
  <si>
    <t xml:space="preserve">https://www.bigbatbox.com/de/blogs/habitat-of-bats/tagged/building-and-installing-bat-boxes</t>
  </si>
  <si>
    <t xml:space="preserve">https://www.bigbatbox.com/blogs/bee-species/tagged/pollinator-nutrition</t>
  </si>
  <si>
    <t xml:space="preserve">https://www.bigbatbox.com/it/blogs/habitat-of-bats/9-fantastic-bat-facts-you-need-to-know</t>
  </si>
  <si>
    <t xml:space="preserve">https://www.bigbatbox.com/fr/blogs/backyard-birds/tagged/starlings</t>
  </si>
  <si>
    <t xml:space="preserve">https://www.bigbatbox.com/en-ca/blogs/habitat-of-bats/tagged/attract-bats-to-yard</t>
  </si>
  <si>
    <t xml:space="preserve">https://www.bigbatbox.com/it/blogs/fun-facts-about-owls/tagged/owl-nesting-box</t>
  </si>
  <si>
    <t xml:space="preserve">https://www.bigbatbox.com/es/blogs/backyard-birds/tagged/clinging-birds</t>
  </si>
  <si>
    <t xml:space="preserve">https://www.bigbatbox.com/blogs/habitat-of-bats/tagged/bat-houses-for-cold-climates</t>
  </si>
  <si>
    <t xml:space="preserve">https://www.bigbatbox.com/es/blogs/habitat-of-bats/tagged/cold-climate-bat-box</t>
  </si>
  <si>
    <t xml:space="preserve">https://www.bigbatbox.com/en-ca/blogs/bee-species/tagged/honey-making</t>
  </si>
  <si>
    <t xml:space="preserve">https://www.bigbatbox.com/blogs/backyard-birds/keep-squirrels-starlings-off-suet-feeder</t>
  </si>
  <si>
    <t xml:space="preserve">https://www.bigbatbox.com/de/blogs/bee-species/tagged/mason-bees</t>
  </si>
  <si>
    <t xml:space="preserve">https://www.bigbatbox.com/blogs/habitat-of-bats/tagged/where-to-mount-bat-house</t>
  </si>
  <si>
    <t xml:space="preserve">https://www.bigbatbox.com/blogs/backyard-birds</t>
  </si>
  <si>
    <t xml:space="preserve">https://www.bigbatbox.com/en-ca/blogs/bee-species/tagged/bee-habitat-faq</t>
  </si>
  <si>
    <t xml:space="preserve">https://www.bigbatbox.com/blogs/habitat-of-bats/tagged/microbats</t>
  </si>
  <si>
    <t xml:space="preserve">https://www.bigbatbox.com/es/blogs/fun-facts-about-owls?page=2</t>
  </si>
  <si>
    <t xml:space="preserve">https://www.bigbatbox.com/blogs/bee-species/tagged/honey-production</t>
  </si>
  <si>
    <t xml:space="preserve">https://www.bigbatbox.com/en-ca/blogs/conservation-partners/tagged/birds</t>
  </si>
  <si>
    <t xml:space="preserve">https://www.bigbatbox.com/de/blogs/habitat-of-bats/tagged/cedar-bat-box</t>
  </si>
  <si>
    <t xml:space="preserve">https://www.bigbatbox.com/de/blogs/habitat-of-bats/tagged/bat-house-usa-climate</t>
  </si>
  <si>
    <t xml:space="preserve">https://www.bigbatbox.com/fr/collections/1-chamber-bat-houses</t>
  </si>
  <si>
    <t xml:space="preserve">https://www.bigbatbox.com/en-ca/blogs/backyard-birds/tagged/summer-feeding</t>
  </si>
  <si>
    <t xml:space="preserve">https://www.bigbatbox.com/it/blogs/habitat-of-bats/tagged/night-wildlife-support</t>
  </si>
  <si>
    <t xml:space="preserve">https://www.bigbatbox.com/it/blogs/habitat-of-bats/tagged/megabats</t>
  </si>
  <si>
    <t xml:space="preserve">https://www.bigbatbox.com/es/blogs/habitat-of-bats/tagged/bat-house-wall-mount</t>
  </si>
  <si>
    <t xml:space="preserve">https://www.bigbatbox.com/it/blogs/habitat-of-bats/how-to-get-bats-in-a-bat-house</t>
  </si>
  <si>
    <t xml:space="preserve">https://www.bigbatbox.com/de/blogs/fun-facts-about-owls/tagged/owl-box</t>
  </si>
  <si>
    <t xml:space="preserve">https://www.bigbatbox.com/it/blogs/bee-species/tagged/bee-habitat-faq</t>
  </si>
  <si>
    <t xml:space="preserve">https://www.bigbatbox.com/en-ca/blogs/habitat-of-bats/tagged/bat-house-for-cold-climates</t>
  </si>
  <si>
    <t xml:space="preserve">https://www.bigbatbox.com/de/blogs/types-of-squirrels/tagged/cedar-habitat</t>
  </si>
  <si>
    <t xml:space="preserve">https://www.bigbatbox.com/it/products/single-chamber-bat-house</t>
  </si>
  <si>
    <t xml:space="preserve">https://www.bigbatbox.com/fr/blogs/habitat-of-bats/tagged/bat-box-guide</t>
  </si>
  <si>
    <t xml:space="preserve">https://www.bigbatbox.com/it/blogs/habitat-of-bats/tagged/bat-facts</t>
  </si>
  <si>
    <t xml:space="preserve">https://www.bigbatbox.com/blogs/conservation-partners/tagged/conservation</t>
  </si>
  <si>
    <t xml:space="preserve">https://www.bigbatbox.com/de/blogs/habitat-of-bats/tagged/bat-house-warmth-retention</t>
  </si>
  <si>
    <t xml:space="preserve">https://www.bigbatbox.com/fr/blogs/habitat-of-bats/tagged/bat-house-warmth-retention</t>
  </si>
  <si>
    <t xml:space="preserve">https://www.bigbatbox.com/en-ca/blogs/habitat-of-bats/how-to-get-bats-in-a-bat-house</t>
  </si>
  <si>
    <t xml:space="preserve">https://www.bigbatbox.com/de/blogs/habitat-of-bats/tagged/best-bat-house-setup</t>
  </si>
  <si>
    <t xml:space="preserve">https://www.bigbatbox.com/es/blogs/habitat-of-bats?page=3</t>
  </si>
  <si>
    <t xml:space="preserve">https://www.bigbatbox.com/it/blogs/habitat-of-bats/bats-as-pollinators-guardians-of-ecosystems</t>
  </si>
  <si>
    <t xml:space="preserve">https://www.bigbatbox.com/fr/blogs/bee-species?page=2</t>
  </si>
  <si>
    <t xml:space="preserve">https://www.bigbatbox.com/fr/blogs/habitat-of-bats/eco-friendly-bat-house-for-backyard-the-complete-guide</t>
  </si>
  <si>
    <t xml:space="preserve">https://www.bigbatbox.com/de/blogs/bee-species/tagged/bumblebees</t>
  </si>
  <si>
    <t xml:space="preserve">https://www.bigbatbox.com/it/blogs/habitat-of-bats/casetta-per-pipistrelli-come-attirarli</t>
  </si>
  <si>
    <t xml:space="preserve">https://www.bigbatbox.com/en-ca/blogs/habitat-of-bats/tagged/humane-bat-removal</t>
  </si>
  <si>
    <t xml:space="preserve">https://www.bigbatbox.com/it/blogs/bee-species/tagged/honey-making</t>
  </si>
  <si>
    <t xml:space="preserve">https://www.bigbatbox.com/es/blogs/types-of-squirrels/tagged/diy-squirrel-feeder</t>
  </si>
  <si>
    <t xml:space="preserve">https://www.bigbatbox.com/blogs/habitat-of-bats/tagged/bat-houses</t>
  </si>
  <si>
    <t xml:space="preserve">https://www.bigbatbox.com/es/blogs/fun-facts-about-owls/owl-sounds-decoded</t>
  </si>
  <si>
    <t xml:space="preserve">https://www.bigbatbox.com/de/blogs/backyard-birds/tagged/suet-feeder</t>
  </si>
  <si>
    <t xml:space="preserve">https://www.bigbatbox.com/it/blogs/fun-facts-about-owls/tagged/night-sounds</t>
  </si>
  <si>
    <t xml:space="preserve">https://www.bigbatbox.com/it/blogs/habitat-of-bats/tagged/coexist-with-bats</t>
  </si>
  <si>
    <t xml:space="preserve">https://www.bigbatbox.com/it/pages/about</t>
  </si>
  <si>
    <t xml:space="preserve">https://www.bigbatbox.com/de/blogs/fun-facts-about-owls/tagged/owl-diet</t>
  </si>
  <si>
    <t xml:space="preserve">https://www.bigbatbox.com/en-ca/blogs/types-of-squirrels/tagged/squirrels</t>
  </si>
  <si>
    <t xml:space="preserve">https://www.bigbatbox.com/blogs/habitat-of-bats/tagged/two-chamber-bat-box</t>
  </si>
  <si>
    <t xml:space="preserve">https://www.bigbatbox.com/blogs/habitat-of-bats/tagged/bat-house-placement</t>
  </si>
  <si>
    <t xml:space="preserve">https://www.bigbatbox.com/en-ca/blogs/habitat-of-bats/tagged/building-and-installing-bat-boxes</t>
  </si>
  <si>
    <t xml:space="preserve">https://www.bigbatbox.com/es/blogs/habitat-of-bats/tagged/bat-box-placement</t>
  </si>
  <si>
    <t xml:space="preserve">https://www.bigbatbox.com/es/blogs/habitat-of-bats/tagged/dark-bat-house-benefits</t>
  </si>
  <si>
    <t xml:space="preserve">https://www.bigbatbox.com/blogs/habitat-of-bats/tagged/bat-facts</t>
  </si>
  <si>
    <t xml:space="preserve">https://www.bigbatbox.com/blogs/habitat-of-bats/tagged/best-bat-houses</t>
  </si>
  <si>
    <t xml:space="preserve">https://www.bigbatbox.com/en-ca/blogs/wildyard-learn/tagged/bees-and-bats</t>
  </si>
  <si>
    <t xml:space="preserve">https://www.bigbatbox.com/blogs/habitat-of-bats/tagged/bat-house-pole</t>
  </si>
  <si>
    <t xml:space="preserve">https://www.bigbatbox.com/it/blogs/fun-facts-about-owls/tagged/owl-nest-box</t>
  </si>
  <si>
    <t xml:space="preserve">https://www.bigbatbox.com/en-ca/blogs/fun-facts-about-owls/tagged/owl-box-faq</t>
  </si>
  <si>
    <t xml:space="preserve">https://www.bigbatbox.com/de/blogs/fun-facts-about-owls/tagged/owl-identification</t>
  </si>
  <si>
    <t xml:space="preserve">https://www.bigbatbox.com/blogs/types-of-squirrels/tagged/wildyard</t>
  </si>
  <si>
    <t xml:space="preserve">https://www.bigbatbox.com/blogs/habitat-of-bats/tagged/guano</t>
  </si>
  <si>
    <t xml:space="preserve">https://www.bigbatbox.com/en-ca/blogs/fun-facts-about-owls/tagged/owl-identification</t>
  </si>
  <si>
    <t xml:space="preserve">https://www.bigbatbox.com/blogs/bee-species/tagged/pollination-process</t>
  </si>
  <si>
    <t xml:space="preserve">https://www.bigbatbox.com/es/blogs/bee-species/tagged/pollination-process</t>
  </si>
  <si>
    <t xml:space="preserve">https://www.bigbatbox.com/fr/blogs/fun-facts-about-owls/tagged/owls</t>
  </si>
  <si>
    <t xml:space="preserve">https://www.bigbatbox.com/it/pages/bat-houses-for-sale</t>
  </si>
  <si>
    <t xml:space="preserve">https://www.bigbatbox.com/blogs/backyard-birds/tagged/no-melt-suet</t>
  </si>
  <si>
    <t xml:space="preserve">https://www.bigbatbox.com/it/blogs/habitat-of-bats/tagged/backyard-eco-tips</t>
  </si>
  <si>
    <t xml:space="preserve">https://www.bigbatbox.com/it/blogs/bee-species/tagged/solitary-bees</t>
  </si>
  <si>
    <t xml:space="preserve">https://www.bigbatbox.com/it/blogs/habitat-of-bats/tagged/best-bat-houses-for-cold-states</t>
  </si>
  <si>
    <t xml:space="preserve">https://www.bigbatbox.com/it/blogs/wildyard-learn/tagged/habitat-conservation</t>
  </si>
  <si>
    <t xml:space="preserve">https://www.bigbatbox.com/es/blogs/habitat-of-bats/tagged/bat-house-direction</t>
  </si>
  <si>
    <t xml:space="preserve">https://www.bigbatbox.com/blogs/habitat-of-bats/tagged/ecosystem-guardians</t>
  </si>
  <si>
    <t xml:space="preserve">https://www.bigbatbox.com/es/blogs/habitat-of-bats/tagged/eco-friendly</t>
  </si>
  <si>
    <t xml:space="preserve">https://www.bigbatbox.com/de/blogs/backyard-birds/tagged/hot-pepper-suet</t>
  </si>
  <si>
    <t xml:space="preserve">https://www.bigbatbox.com/es/blogs/habitat-of-bats/tagged/bat-house-sun-exposure</t>
  </si>
  <si>
    <t xml:space="preserve">https://www.bigbatbox.com/it/blogs/habitat-of-bats/tagged/humane-bat-removal</t>
  </si>
  <si>
    <t xml:space="preserve">https://www.bigbatbox.com/blogs/habitat-of-bats/tagged/megabats</t>
  </si>
  <si>
    <t xml:space="preserve">https://www.bigbatbox.com/en-ca/blogs/habitat-of-bats/tagged/avoid-pesticides</t>
  </si>
  <si>
    <t xml:space="preserve">https://www.bigbatbox.com/en-ca/blogs/habitat-of-bats/tagged/bat-conservation-tips</t>
  </si>
  <si>
    <t xml:space="preserve">https://www.bigbatbox.com/es/blogs/bee-species/tagged/wildlife</t>
  </si>
  <si>
    <t xml:space="preserve">https://www.bigbatbox.com/it/blogs/habitat-of-bats/tagged/bat-house-placement</t>
  </si>
  <si>
    <t xml:space="preserve">https://www.bigbatbox.com/es/blogs/wildyard-learn/tagged/pollination</t>
  </si>
  <si>
    <t xml:space="preserve">https://www.bigbatbox.com/de/blogs/habitat-of-bats/tagged/where-to-mount-bat-house</t>
  </si>
  <si>
    <t xml:space="preserve">https://www.bigbatbox.com/it/blogs/bee-species/tagged/bee-biology</t>
  </si>
  <si>
    <t xml:space="preserve">https://www.bigbatbox.com/it/blogs/habitat-of-bats/tagged/winter-wildlife</t>
  </si>
  <si>
    <t xml:space="preserve">https://www.bigbatbox.com/en-ca/blogs/fun-facts-about-owls/tagged/owl-boxes</t>
  </si>
  <si>
    <t xml:space="preserve">https://www.bigbatbox.com/es/blogs/types-of-squirrels/tagged/squirrel-feeder</t>
  </si>
  <si>
    <t xml:space="preserve">https://www.bigbatbox.com/es/blogs/backyard-birds/tagged/no-melt-suet</t>
  </si>
  <si>
    <t xml:space="preserve">https://www.bigbatbox.com/blogs/backyard-birds/tagged/suet-for-birds</t>
  </si>
  <si>
    <t xml:space="preserve">https://www.bigbatbox.com/blogs/bee-species/tagged/bee-communication</t>
  </si>
  <si>
    <t xml:space="preserve">https://www.bigbatbox.com/blogs/types-of-squirrels/tagged/squirrel-house</t>
  </si>
  <si>
    <t xml:space="preserve">https://www.bigbatbox.com/fr/blogs/habitat-of-bats/tagged/natural-pest-control</t>
  </si>
  <si>
    <t xml:space="preserve">https://www.bigbatbox.com/en-ca/blogs/bee-species/unveiling-the-world-of-bees-nature-s-tiny-architects</t>
  </si>
  <si>
    <t xml:space="preserve">https://www.bigbatbox.com/en-ca/blogs/types-of-squirrels/are-squirrels-nocturnal</t>
  </si>
  <si>
    <t xml:space="preserve">https://www.bigbatbox.com/blogs/bee-species/tagged/fun-facts-about-bees</t>
  </si>
  <si>
    <t xml:space="preserve">https://www.bigbatbox.com/en-ca/blogs/habitat-of-bats/tagged/bat-house-usa-climate</t>
  </si>
  <si>
    <t xml:space="preserve">https://www.bigbatbox.com/it/blogs/habitat-of-bats/tagged/three-chamber-bat-box</t>
  </si>
  <si>
    <t xml:space="preserve">https://www.bigbatbox.com/fr/blogs/wildyard-learn/tagged/garden-pollinators</t>
  </si>
  <si>
    <t xml:space="preserve">https://www.bigbatbox.com/de/blogs/conservation-partners/tagged/conservation</t>
  </si>
  <si>
    <t xml:space="preserve">https://www.bigbatbox.com/blogs/habitat-of-bats/tagged/bat-house-distance-from-trees</t>
  </si>
  <si>
    <t xml:space="preserve">https://www.bigbatbox.com/en-ca/blogs/habitat-of-bats/tagged/winter-bat-house-tips</t>
  </si>
  <si>
    <t xml:space="preserve">https://www.bigbatbox.com/blogs/conservation-partners/tagged/partnership</t>
  </si>
  <si>
    <t xml:space="preserve">https://www.bigbatbox.com/de/blogs/habitat-of-bats/tagged/one-chamber-bat-box</t>
  </si>
  <si>
    <t xml:space="preserve">https://www.bigbatbox.com/it/blogs/backyard-birds/tagged/bird-feeding</t>
  </si>
  <si>
    <t xml:space="preserve">https://www.bigbatbox.com/blogs/bee-species/tagged/mason-bees</t>
  </si>
  <si>
    <t xml:space="preserve">https://www.bigbatbox.com/es/blogs/habitat-of-bats/tagged/wildlife-friendly-home</t>
  </si>
  <si>
    <t xml:space="preserve">https://www.bigbatbox.com/blogs/fun-facts-about-owls/tagged/pet-safety</t>
  </si>
  <si>
    <t xml:space="preserve">https://www.bigbatbox.com/de/blogs/fun-facts-about-owls/tagged/owl-sounds</t>
  </si>
  <si>
    <t xml:space="preserve">https://www.bigbatbox.com/fr/blogs/habitat-of-bats/tagged/wildyard-bat-house-guide</t>
  </si>
  <si>
    <t xml:space="preserve">https://www.bigbatbox.com/en-ca/blogs/habitat-of-bats/tagged/best-bat-house-placement</t>
  </si>
  <si>
    <t xml:space="preserve">https://www.bigbatbox.com/fr/blogs/fun-facts-about-owls/tagged/owl-box-faq</t>
  </si>
  <si>
    <t xml:space="preserve">https://www.bigbatbox.com/de/blogs/fun-facts-about-owls/tagged/nocturnal-animals</t>
  </si>
  <si>
    <t xml:space="preserve">https://www.bigbatbox.com/en-ca/blogs/habitat-of-bats/tagged/bat-house-pole</t>
  </si>
  <si>
    <t xml:space="preserve">https://www.bigbatbox.com/es/blogs/habitat-of-bats/tagged/northern-state-bat-box</t>
  </si>
  <si>
    <t xml:space="preserve">https://www.bigbatbox.com/blogs/habitat-of-bats/tagged/mosquito-reduction-with-bats</t>
  </si>
  <si>
    <t xml:space="preserve">https://www.bigbatbox.com/en-ca/blogs/fun-facts-about-owls/tagged/ecological-balance</t>
  </si>
  <si>
    <t xml:space="preserve">https://www.bigbatbox.com/fr/blogs/habitat-of-bats/cedar-bat-box-for-cold-climates-what-you-need-to-know</t>
  </si>
  <si>
    <t xml:space="preserve">https://www.bigbatbox.com/es/blogs/habitat-of-bats/tagged/cedar-bat-house</t>
  </si>
  <si>
    <t xml:space="preserve">https://www.bigbatbox.com/en-ca/blogs/bee-species/tagged/mason-bees</t>
  </si>
  <si>
    <t xml:space="preserve">https://www.bigbatbox.com/fr/blogs/habitat-of-bats/bats-as-pollinators-guardians-of-ecosystems</t>
  </si>
  <si>
    <t xml:space="preserve">https://www.bigbatbox.com/blogs/wildyard-learn/tagged/bees-and-bats</t>
  </si>
  <si>
    <t xml:space="preserve">https://www.bigbatbox.com/blogs/habitat-of-bats/tagged/protect-bats</t>
  </si>
  <si>
    <t xml:space="preserve">https://www.bigbatbox.com/it/blogs/types-of-squirrels/tagged/nocturnal-animals</t>
  </si>
  <si>
    <t xml:space="preserve">https://www.bigbatbox.com/es/blogs/habitat-of-bats/tagged/bat-houses-for-cold-climates</t>
  </si>
  <si>
    <t xml:space="preserve">https://www.bigbatbox.com/de/blogs/bee-species/tagged/solitary-bees</t>
  </si>
  <si>
    <t xml:space="preserve">https://www.bigbatbox.com/fr/blogs/backyard-birds/tagged/summer-feeding</t>
  </si>
  <si>
    <t xml:space="preserve">https://www.bigbatbox.com/fr/blogs/habitat-of-bats/tagged/wildlife-habitat</t>
  </si>
  <si>
    <t xml:space="preserve">https://www.bigbatbox.com/fr/blogs/habitat-of-bats/tagged/bat-house-tips</t>
  </si>
  <si>
    <t xml:space="preserve">https://www.bigbatbox.com/blogs/habitat-of-bats/tagged/eco-friendly-pest-solutions</t>
  </si>
  <si>
    <t xml:space="preserve">https://www.bigbatbox.com/it/blogs/habitat-of-bats/tagged/wildyard-bat-house-guide</t>
  </si>
  <si>
    <t xml:space="preserve">https://www.bigbatbox.com/es/blogs/habitat-of-bats/tagged/black-cedar-bat-house</t>
  </si>
  <si>
    <t xml:space="preserve">https://www.bigbatbox.com/fr/blogs/habitat-of-bats?page=2</t>
  </si>
  <si>
    <t xml:space="preserve">https://www.bigbatbox.com/en-ca/blogs/wildyard-learn/tagged/pollination</t>
  </si>
  <si>
    <t xml:space="preserve">https://www.bigbatbox.com/fr/blogs/habitat-of-bats/tagged/ecosystem-guardians</t>
  </si>
  <si>
    <t xml:space="preserve">https://www.bigbatbox.com/fr/pages/wildyard-x-angry-birds-diy-birdhouse-instructions</t>
  </si>
  <si>
    <t xml:space="preserve">https://www.bigbatbox.com/fr/pages/1-for-the-planet-merlin-tuttle-x-wild-yard</t>
  </si>
  <si>
    <t xml:space="preserve">https://www.bigbatbox.com/en-ca/blogs/habitat-of-bats/best-bat-boxes-for-mosquito-control-simple-guide-real-example</t>
  </si>
  <si>
    <t xml:space="preserve">https://www.bigbatbox.com/it/blogs/habitat-of-bats/tagged/best-bat-houses</t>
  </si>
  <si>
    <t xml:space="preserve">https://www.bigbatbox.com/en-ca/blogs/habitat-of-bats/bats-as-pollinators-guardians-of-ecosystems</t>
  </si>
  <si>
    <t xml:space="preserve">https://www.bigbatbox.com/en-ca/blogs/habitat-of-bats/tagged/bats-as-pollinators</t>
  </si>
  <si>
    <t xml:space="preserve">https://www.bigbatbox.com/it/blogs/habitat-of-bats/tagged/black-bat-house</t>
  </si>
  <si>
    <t xml:space="preserve">https://www.bigbatbox.com/blogs/habitat-of-bats/tagged/wildlife-conservation</t>
  </si>
  <si>
    <t xml:space="preserve">https://www.bigbatbox.com/it/blogs/habitat-of-bats/tagged/two-chamber-bat-box</t>
  </si>
  <si>
    <t xml:space="preserve">https://www.bigbatbox.com/it/blogs/habitat-of-bats/tagged/bat-species</t>
  </si>
  <si>
    <t xml:space="preserve">https://www.bigbatbox.com/it/blogs/conservation-partners/wildyard-bird-conservancy-of-the-rockies-partnership</t>
  </si>
  <si>
    <t xml:space="preserve">https://www.bigbatbox.com/blogs/habitat-of-bats/tagged/winter-bat-house-tips</t>
  </si>
  <si>
    <t xml:space="preserve">https://www.bigbatbox.com/it/blogs/habitat-of-bats/tagged/bat-benefits</t>
  </si>
  <si>
    <t xml:space="preserve">https://www.bigbatbox.com/de/blogs/habitat-of-bats/tagged/attract-bats-to-yard</t>
  </si>
  <si>
    <t xml:space="preserve">https://www.bigbatbox.com/blogs/bee-species/tagged/bee-food-sources</t>
  </si>
  <si>
    <t xml:space="preserve">https://www.bigbatbox.com/it/blogs/types-of-squirrels/are-squirrels-nocturnal</t>
  </si>
  <si>
    <t xml:space="preserve">https://www.bigbatbox.com/blogs/habitat-of-bats/tagged/best-bat-houses-for-cold-states</t>
  </si>
  <si>
    <t xml:space="preserve">https://www.bigbatbox.com/fr/blogs/fun-facts-about-owls/tagged/owl-facts</t>
  </si>
  <si>
    <t xml:space="preserve">https://www.bigbatbox.com/blogs/habitat-of-bats/tagged/bat-diet</t>
  </si>
  <si>
    <t xml:space="preserve">https://www.bigbatbox.com/es/blogs/habitat-of-bats/tagged/cooler-climate-bat-habitat</t>
  </si>
  <si>
    <t xml:space="preserve">https://www.bigbatbox.com/blogs/habitat-of-bats/tagged/garden-insect-control</t>
  </si>
  <si>
    <t xml:space="preserve">https://www.bigbatbox.com/es/blogs/fun-facts-about-owls/tagged/squirrels</t>
  </si>
  <si>
    <t xml:space="preserve">https://www.bigbatbox.com/en-ca/blogs/habitat-of-bats/do-bats-eat-mosquitoes-everything-you-need-to-know</t>
  </si>
  <si>
    <t xml:space="preserve">https://www.bigbatbox.com/en-ca/blogs/habitat-of-bats/bat-box-placement-guide-how-to-get-it-right</t>
  </si>
  <si>
    <t xml:space="preserve">https://www.bigbatbox.com/en-ca/pages/about</t>
  </si>
  <si>
    <t xml:space="preserve">https://www.bigbatbox.com/de/blogs/types-of-squirrels/tagged/winter-wildlife</t>
  </si>
  <si>
    <t xml:space="preserve">https://www.bigbatbox.com/fr/blogs/bee-species/tagged/bee-biology</t>
  </si>
  <si>
    <t xml:space="preserve">https://www.bigbatbox.com/fr/blogs/habitat-of-bats/tagged/protect-bats</t>
  </si>
  <si>
    <t xml:space="preserve">https://www.bigbatbox.com/en-ca/blogs/bee-species/tagged/bee-facts</t>
  </si>
  <si>
    <t xml:space="preserve">https://www.bigbatbox.com/blogs/fun-facts-about-owls/tagged/great-horned-owl</t>
  </si>
  <si>
    <t xml:space="preserve">https://www.bigbatbox.com/blogs/types-of-squirrels/tagged/wildlife-guide</t>
  </si>
  <si>
    <t xml:space="preserve">https://www.bigbatbox.com/blogs/habitat-of-bats/tagged/wildlife-management</t>
  </si>
  <si>
    <t xml:space="preserve">https://www.bigbatbox.com/es/blogs/habitat-of-bats/tagged/echolocation</t>
  </si>
  <si>
    <t xml:space="preserve">https://www.bigbatbox.com/fr/blogs/habitat-of-bats/tagged/endangered-bats</t>
  </si>
  <si>
    <t xml:space="preserve">https://www.bigbatbox.com/it/pages/wildyard-x-angry-birds-flowerpot-birdhouse-instructions</t>
  </si>
  <si>
    <t xml:space="preserve">https://www.bigbatbox.com/it/blogs/habitat-of-bats/eco-friendly-bat-house-for-backyard-the-complete-guide</t>
  </si>
  <si>
    <t xml:space="preserve">https://www.bigbatbox.com/fr/pages/collab</t>
  </si>
  <si>
    <t xml:space="preserve">https://www.bigbatbox.com/it/blogs/habitat-of-bats/tagged/echolocation</t>
  </si>
  <si>
    <t xml:space="preserve">https://www.bigbatbox.com/en-ca/blogs/habitat-of-bats/found-a-bat-in-the-house-in-winter-help-them-survive</t>
  </si>
  <si>
    <t xml:space="preserve">https://www.bigbatbox.com/de/blogs/habitat-of-bats/tagged/diy-bat-house</t>
  </si>
  <si>
    <t xml:space="preserve">https://www.bigbatbox.com/en-ca/pages/bat-house-guide</t>
  </si>
  <si>
    <t xml:space="preserve">https://www.bigbatbox.com/de/blogs/bee-species/tagged/bee-food-sources</t>
  </si>
  <si>
    <t xml:space="preserve">https://www.bigbatbox.com/de/blogs/backyard-birds/tagged/bird-feeding</t>
  </si>
  <si>
    <t xml:space="preserve">https://www.bigbatbox.com/de/blogs/habitat-of-bats/tagged/best-bat-houses</t>
  </si>
  <si>
    <t xml:space="preserve">https://www.bigbatbox.com/fr/blogs/conservation-partners</t>
  </si>
  <si>
    <t xml:space="preserve">https://www.bigbatbox.com/en-ca/blogs/habitat-of-bats/tagged/protect-bats</t>
  </si>
  <si>
    <t xml:space="preserve">https://www.bigbatbox.com/de/blogs/habitat-of-bats/tagged/bat-box-installation</t>
  </si>
  <si>
    <t xml:space="preserve">https://www.bigbatbox.com/blogs/bee-species/tagged/backyard-wildlife</t>
  </si>
  <si>
    <t xml:space="preserve">https://www.bigbatbox.com/blogs/types-of-squirrels/tagged/wildlife-habitat</t>
  </si>
  <si>
    <t xml:space="preserve">https://www.bigbatbox.com/fr/blogs/habitat-of-bats/tagged/cooler-climate-bat-habitat</t>
  </si>
  <si>
    <t xml:space="preserve">https://www.bigbatbox.com/en-ca/blogs/habitat-of-bats/tagged/attract-bats</t>
  </si>
  <si>
    <t xml:space="preserve">https://www.bigbatbox.com/en-ca/blogs/habitat-of-bats/tagged/bat-conservation-guide</t>
  </si>
  <si>
    <t xml:space="preserve">https://www.bigbatbox.com/en-ca/blogs/habitat-of-bats/tagged/bat-house-installation</t>
  </si>
  <si>
    <t xml:space="preserve">https://www.bigbatbox.com/en-ca/blogs/wildyard-learn/tagged/wildlife-garden</t>
  </si>
  <si>
    <t xml:space="preserve">https://www.bigbatbox.com/en-ca/blogs/habitat-of-bats/tagged/cedar-bat-box</t>
  </si>
  <si>
    <t xml:space="preserve">https://www.bigbatbox.com/blogs/habitat-of-bats/tagged/bat-house-direction</t>
  </si>
  <si>
    <t xml:space="preserve">https://www.bigbatbox.com/it/blogs/habitat-of-bats/tagged/winter-bat-house-tips</t>
  </si>
  <si>
    <t xml:space="preserve">https://www.bigbatbox.com/fr/blogs/habitat-of-bats/tagged/backyard-pest-control</t>
  </si>
  <si>
    <t xml:space="preserve">https://www.bigbatbox.com/blogs/fun-facts-about-owls/tagged/owl-sounds</t>
  </si>
  <si>
    <t xml:space="preserve">https://www.bigbatbox.com/it/blogs/habitat-of-bats/tagged/bat-ecology-at-home</t>
  </si>
  <si>
    <t xml:space="preserve">https://www.bigbatbox.com/en-ca/blogs/habitat-of-bats/the-definitive-guide-to-backyard-mosquito-control</t>
  </si>
  <si>
    <t xml:space="preserve">https://www.bigbatbox.com/en-ca/blogs/habitat-of-bats/tagged/bat-house-height</t>
  </si>
  <si>
    <t xml:space="preserve">https://www.bigbatbox.com/de/blogs/habitat-of-bats/tagged/bat-food</t>
  </si>
  <si>
    <t xml:space="preserve">https://www.bigbatbox.com/it/blogs/habitat-of-bats/tagged/conservation</t>
  </si>
  <si>
    <t xml:space="preserve">https://www.bigbatbox.com/it/blogs/conservation-partners/tagged/partnership</t>
  </si>
  <si>
    <t xml:space="preserve">https://www.bigbatbox.com/blogs/habitat-of-bats/tagged/sustainable-gardens</t>
  </si>
  <si>
    <t xml:space="preserve">https://www.bigbatbox.com/en-ca/blogs/habitat-of-bats/tagged/guano</t>
  </si>
  <si>
    <t xml:space="preserve">https://www.bigbatbox.com/es/blogs/habitat-of-bats/tagged/insect-control</t>
  </si>
  <si>
    <t xml:space="preserve">https://www.bigbatbox.com/es/blogs/habitat-of-bats/tagged/usa-bat-house-guide</t>
  </si>
  <si>
    <t xml:space="preserve">https://www.bigbatbox.com/de/blogs/habitat-of-bats/tagged/vampire-bats</t>
  </si>
  <si>
    <t xml:space="preserve">https://www.bigbatbox.com/en-ca/blogs/habitat-of-bats/tagged/bat-in-the-house-in-winter</t>
  </si>
  <si>
    <t xml:space="preserve">https://www.bigbatbox.com/it/blogs/bee-species/tagged/nature-s-architects</t>
  </si>
  <si>
    <t xml:space="preserve">https://www.bigbatbox.com/de/blogs/habitat-of-bats/tagged/cold-climate-bat-box</t>
  </si>
  <si>
    <t xml:space="preserve">https://www.bigbatbox.com/de/blogs/fun-facts-about-owls/tagged/snowy-owl</t>
  </si>
  <si>
    <t xml:space="preserve">https://www.bigbatbox.com/es/blogs/habitat-of-bats/tagged/mosquito-reduction-with-bats</t>
  </si>
  <si>
    <t xml:space="preserve">https://www.bigbatbox.com/en-ca/blogs/fun-facts-about-owls/tagged/owl-facts</t>
  </si>
  <si>
    <t xml:space="preserve">https://www.bigbatbox.com/it/blogs/habitat-of-bats/some-interesting-busted-myths-and-facts-about-bats</t>
  </si>
  <si>
    <t xml:space="preserve">https://www.bigbatbox.com/it/blogs/habitat-of-bats/tagged/pest-control</t>
  </si>
  <si>
    <t xml:space="preserve">https://www.bigbatbox.com/de/blogs/wildyard-learn/tagged/wildlife-garden</t>
  </si>
  <si>
    <t xml:space="preserve">https://www.bigbatbox.com/it/blogs/habitat-of-bats/tagged/bat-box-installation</t>
  </si>
  <si>
    <t xml:space="preserve">https://www.bigbatbox.com/blogs/bee-species/tagged/hive-behavior</t>
  </si>
  <si>
    <t xml:space="preserve">https://www.bigbatbox.com/it/blogs/fun-facts-about-owls/tagged/bird-house</t>
  </si>
  <si>
    <t xml:space="preserve">https://www.bigbatbox.com/fr/blogs/habitat-of-bats/what-are-the-bat-house-kits</t>
  </si>
  <si>
    <t xml:space="preserve">https://www.bigbatbox.com/es/blogs/types-of-squirrels/tagged/species-facts</t>
  </si>
  <si>
    <t xml:space="preserve">https://www.bigbatbox.com/de/blogs/habitat-of-bats/tagged/bat-house-for-cold-climates</t>
  </si>
  <si>
    <t xml:space="preserve">https://www.bigbatbox.com/it/blogs/bee-species/tagged/bee-lifecycle</t>
  </si>
  <si>
    <t xml:space="preserve">https://www.bigbatbox.com/fr/blogs/types-of-squirrels/tagged/diy-squirrel-feeder</t>
  </si>
  <si>
    <t xml:space="preserve">https://www.bigbatbox.com/en-ca/blogs/habitat-of-bats/tagged/bat-box-sunlight-requirements</t>
  </si>
  <si>
    <t xml:space="preserve">https://www.bigbatbox.com/en-ca/blogs/backyard-birds/keep-squirrels-starlings-off-suet-feeder</t>
  </si>
  <si>
    <t xml:space="preserve">https://www.bigbatbox.com/es/blogs/fun-facts-about-owls/tagged/owl-safety</t>
  </si>
  <si>
    <t xml:space="preserve">https://www.bigbatbox.com/en-ca/blogs/habitat-of-bats/tagged/natural-mosquito-control</t>
  </si>
  <si>
    <t xml:space="preserve">https://www.bigbatbox.com/it/blogs/habitat-of-bats/tagged/bat-box-sunlight-requirements</t>
  </si>
  <si>
    <t xml:space="preserve">https://www.bigbatbox.com/de/blogs/habitat-of-bats/tagged/bat-box-placement</t>
  </si>
  <si>
    <t xml:space="preserve">https://www.bigbatbox.com/it/blogs/wildyard-learn/tagged/bat-houses</t>
  </si>
  <si>
    <t xml:space="preserve">https://www.bigbatbox.com/it/blogs/habitat-of-bats/tagged/guano</t>
  </si>
  <si>
    <t xml:space="preserve">https://www.bigbatbox.com/de/blogs/backyard-birds/tagged/squirrels</t>
  </si>
  <si>
    <t xml:space="preserve">https://www.bigbatbox.com/fr/blogs/types-of-squirrels/how-to-attract-squirrels-to-your-backyard</t>
  </si>
  <si>
    <t xml:space="preserve">https://www.bigbatbox.com/fr/blogs/habitat-of-bats/tagged/bat-ecology-at-home</t>
  </si>
  <si>
    <t xml:space="preserve">https://www.bigbatbox.com/es/blogs/fun-facts-about-owls/tagged/conservation</t>
  </si>
  <si>
    <t xml:space="preserve">https://www.bigbatbox.com/de/blogs/bee-species/tagged/honey-bees</t>
  </si>
  <si>
    <t xml:space="preserve">https://www.bigbatbox.com/it/blogs/habitat-of-bats/tagged/bat-house-sun-exposure</t>
  </si>
  <si>
    <t xml:space="preserve">https://www.bigbatbox.com/de/blogs/habitat-of-bats/tagged/bat-boxes</t>
  </si>
  <si>
    <t xml:space="preserve">https://www.bigbatbox.com/en-ca/blogs/types-of-squirrels/tagged/diy-squirrel-feeder</t>
  </si>
  <si>
    <t xml:space="preserve">https://www.bigbatbox.com/it/blogs/habitat-of-bats/tagged/biodiversity</t>
  </si>
  <si>
    <t xml:space="preserve">https://www.bigbatbox.com/de/blogs/habitat-of-bats/tagged/multi-chamber-bat-house</t>
  </si>
  <si>
    <t xml:space="preserve">https://www.bigbatbox.com/en-ca/blogs/habitat-of-bats/tagged/mosquito-control</t>
  </si>
  <si>
    <t xml:space="preserve">https://www.bigbatbox.com/en-ca/blogs/types-of-squirrels/tagged/nocturnal-animals</t>
  </si>
  <si>
    <t xml:space="preserve">https://www.bigbatbox.com/en-ca/blogs/habitat-of-bats/tagged/insect-control</t>
  </si>
  <si>
    <t xml:space="preserve">https://www.bigbatbox.com/blogs/backyard-birds/tagged/summer-feeding</t>
  </si>
  <si>
    <t xml:space="preserve">https://www.bigbatbox.com/it/blogs/backyard-birds/keep-squirrels-starlings-off-suet-feeder</t>
  </si>
  <si>
    <t xml:space="preserve">https://www.bigbatbox.com/de/blogs/habitat-of-bats/tagged/echolocation</t>
  </si>
  <si>
    <t xml:space="preserve">https://www.bigbatbox.com/fr/blogs/fun-facts-about-owls/tagged/wildlife-habitats</t>
  </si>
  <si>
    <t xml:space="preserve">https://www.bigbatbox.com/it/blogs/fun-facts-about-owls/tagged/squirrels</t>
  </si>
  <si>
    <t xml:space="preserve">https://www.bigbatbox.com/fr/blogs/habitat-of-bats/tagged/avoid-pesticides</t>
  </si>
  <si>
    <t xml:space="preserve">https://www.bigbatbox.com/blogs/habitat-of-bats/tagged/bat-house-placement-guide</t>
  </si>
  <si>
    <t xml:space="preserve">https://www.bigbatbox.com/es/blogs/habitat-of-bats/tagged/bat-hibernation</t>
  </si>
  <si>
    <t xml:space="preserve">https://www.bigbatbox.com/es/blogs/backyard-birds</t>
  </si>
  <si>
    <t xml:space="preserve">https://www.bigbatbox.com/en-ca/blogs/habitat-of-bats/tagged/diy-bat-box</t>
  </si>
  <si>
    <t xml:space="preserve">https://www.bigbatbox.com/es/blogs/types-of-squirrels/tagged/squirrel-house</t>
  </si>
  <si>
    <t xml:space="preserve">https://www.bigbatbox.com/blogs/habitat-of-bats/tagged/mosquito-controlbackyard-wildlife</t>
  </si>
  <si>
    <t xml:space="preserve">https://www.bigbatbox.com/en-ca/blogs/habitat-of-bats/cedar-bat-box-for-cold-climates-what-you-need-to-know</t>
  </si>
  <si>
    <t xml:space="preserve">https://www.bigbatbox.com/fr/blogs/habitat-of-bats/tagged/bat-house-installation</t>
  </si>
  <si>
    <t xml:space="preserve">https://www.bigbatbox.com/es/blogs/habitat-of-bats/tagged/coexist-with-bats</t>
  </si>
  <si>
    <t xml:space="preserve">https://www.bigbatbox.com/it/blogs/habitat-of-bats/tagged/bat-habitat</t>
  </si>
  <si>
    <t xml:space="preserve">https://www.bigbatbox.com/fr/collections/2-chamber-bat-houses</t>
  </si>
  <si>
    <t xml:space="preserve">https://www.bigbatbox.com/en-ca/blogs/habitat-of-bats/tagged/wildlife-friendly-backyard</t>
  </si>
  <si>
    <t xml:space="preserve">https://www.bigbatbox.com/en-ca/blogs/conservation-partners/tagged/partnership</t>
  </si>
  <si>
    <t xml:space="preserve">https://www.bigbatbox.com/en-ca/blogs/habitat-of-bats/tagged/one-chamber-bat-box</t>
  </si>
  <si>
    <t xml:space="preserve">https://www.bigbatbox.com/it/blogs/habitat-of-bats/tagged/safe-bat-habitat</t>
  </si>
  <si>
    <t xml:space="preserve">https://www.bigbatbox.com/fr/blogs/types-of-squirrels/tagged/squirrels</t>
  </si>
  <si>
    <t xml:space="preserve">https://www.bigbatbox.com/en-ca/blogs/habitat-of-bats/9-fantastic-bat-facts-you-need-to-know</t>
  </si>
  <si>
    <t xml:space="preserve">https://www.bigbatbox.com/es/blogs/habitat-of-bats/tagged/bat-house-placement</t>
  </si>
  <si>
    <t xml:space="preserve">https://www.bigbatbox.com/it/blogs/bee-species/tagged/garden-biodiversity</t>
  </si>
  <si>
    <t xml:space="preserve">https://www.bigbatbox.com/it/blogs/habitat-of-bats/tagged/wildyard-bat-houses</t>
  </si>
  <si>
    <t xml:space="preserve">https://www.bigbatbox.com/de/blogs/habitat-of-bats/tagged/wildlife-friendly-home</t>
  </si>
  <si>
    <t xml:space="preserve">https://www.bigbatbox.com/en-ca/blogs/habitat-of-bats/tagged/insect-control-naturally</t>
  </si>
  <si>
    <t xml:space="preserve">https://www.bigbatbox.com/it/blogs/bee-species/tagged/hive-behavior</t>
  </si>
  <si>
    <t xml:space="preserve">https://www.bigbatbox.com/it/blogs/habitat-of-bats/tagged/garden-insect-control</t>
  </si>
  <si>
    <t xml:space="preserve">https://www.bigbatbox.com/it/blogs/fun-facts-about-owls/tagged/owl-nesting-boxes</t>
  </si>
  <si>
    <t xml:space="preserve">https://www.bigbatbox.com/it/blogs/bee-species/tagged/bee-communication</t>
  </si>
  <si>
    <t xml:space="preserve">https://www.bigbatbox.com/blogs/bee-species/tagged/bee-lifecycle</t>
  </si>
  <si>
    <t xml:space="preserve">https://www.bigbatbox.com/it/blogs/backyard-birds/tagged/suet-for-birds</t>
  </si>
  <si>
    <t xml:space="preserve">https://www.bigbatbox.com/fr/blogs/habitat-of-bats/bat-house-certification-explained</t>
  </si>
  <si>
    <t xml:space="preserve">https://www.bigbatbox.com/fr/blogs/conservation-partners/tagged/conservation</t>
  </si>
  <si>
    <t xml:space="preserve">https://www.bigbatbox.com/fr/blogs/habitat-of-bats/tagged/bat-house-advice</t>
  </si>
  <si>
    <t xml:space="preserve">https://www.bigbatbox.com/fr/blogs/types-of-squirrels/tagged/species-facts</t>
  </si>
  <si>
    <t xml:space="preserve">https://www.bigbatbox.com/de/blogs/types-of-squirrels/tagged/squirrel-food</t>
  </si>
  <si>
    <t xml:space="preserve">https://www.bigbatbox.com/en-ca/blogs/fun-facts-about-owls/owl-sounds-decoded</t>
  </si>
  <si>
    <t xml:space="preserve">https://www.bigbatbox.com/de/blogs/types-of-squirrels/tagged/squirrel-care</t>
  </si>
  <si>
    <t xml:space="preserve">https://www.bigbatbox.com/en-ca/collections</t>
  </si>
  <si>
    <t xml:space="preserve">https://www.bigbatbox.com/blogs/habitat-of-bats/tagged/bat-conservation-guide</t>
  </si>
  <si>
    <t xml:space="preserve">https://www.bigbatbox.com/it/blogs/habitat-of-bats/tagged/mosquito-control</t>
  </si>
  <si>
    <t xml:space="preserve">https://www.bigbatbox.com/en-ca/blogs/habitat-of-bats/tagged/wildlife-conservation</t>
  </si>
  <si>
    <t xml:space="preserve">https://www.bigbatbox.com/it/blogs/fun-facts-about-owls/tagged/barn-owl</t>
  </si>
  <si>
    <t xml:space="preserve">https://www.bigbatbox.com/fr/pages/wildyard-affiliate-program</t>
  </si>
  <si>
    <t xml:space="preserve">https://www.bigbatbox.com/blogs/fun-facts-about-owls/tagged/owl-diet</t>
  </si>
  <si>
    <t xml:space="preserve">https://www.bigbatbox.com/it/blogs/backyard-birds/tagged/seasonal-feeding</t>
  </si>
  <si>
    <t xml:space="preserve">https://www.bigbatbox.com/es/blogs/types-of-squirrels/tagged/wildlife-guide</t>
  </si>
  <si>
    <t xml:space="preserve">https://www.bigbatbox.com/fr/blogs/backyard-birds/tagged/clinging-birds</t>
  </si>
  <si>
    <t xml:space="preserve">https://www.bigbatbox.com/it/collections/2-chamber-bat-houses</t>
  </si>
  <si>
    <t xml:space="preserve">https://www.bigbatbox.com/it/blogs/backyard-birds</t>
  </si>
  <si>
    <t xml:space="preserve">https://www.bigbatbox.com/de/blogs/habitat-of-bats/tagged/backyard-eco-tips</t>
  </si>
  <si>
    <t xml:space="preserve">https://www.bigbatbox.com/it/blogs/habitat-of-bats/tagged/bat-houses</t>
  </si>
  <si>
    <t xml:space="preserve">https://www.bigbatbox.com/it/blogs/fun-facts-about-owls/how-long-do-owls-live</t>
  </si>
  <si>
    <t xml:space="preserve">https://www.bigbatbox.com/it/blogs/types-of-squirrels/tagged/wildlife-behavior</t>
  </si>
  <si>
    <t xml:space="preserve">https://www.bigbatbox.com/it/blogs/bee-species/tagged/bee-food-sources</t>
  </si>
  <si>
    <t xml:space="preserve">https://www.bigbatbox.com/es/blogs/habitat-of-bats/tagged/home-conservation-tips</t>
  </si>
  <si>
    <t xml:space="preserve">https://www.bigbatbox.com/de/blogs/backyard-birds/tagged/no-melt-suet</t>
  </si>
  <si>
    <t xml:space="preserve">https://www.bigbatbox.com/en-ca/blogs/habitat-of-bats/tagged/three-chamber-bat-box</t>
  </si>
  <si>
    <t xml:space="preserve">https://www.bigbatbox.com/fr/blogs/types-of-squirrels/tagged/buying-guide</t>
  </si>
  <si>
    <t xml:space="preserve">https://www.bigbatbox.com/en-ca/blogs/types-of-squirrels/tagged/wildlife-habitat</t>
  </si>
  <si>
    <t xml:space="preserve">https://www.bigbatbox.com/de/blogs/habitat-of-bats/tagged/bat-species</t>
  </si>
  <si>
    <t xml:space="preserve">https://www.bigbatbox.com/it/blogs/habitat-of-bats/tagged/bat-house-direction</t>
  </si>
  <si>
    <t xml:space="preserve">https://www.bigbatbox.com/blogs/fun-facts-about-owls/tagged/owl-behavior</t>
  </si>
  <si>
    <t xml:space="preserve">https://www.bigbatbox.com/de/blogs/habitat-of-bats/tagged/two-chamber-bat-box</t>
  </si>
  <si>
    <t xml:space="preserve">https://www.bigbatbox.com/de/blogs/habitat-of-bats/tagged/eco-friendly</t>
  </si>
  <si>
    <t xml:space="preserve">https://www.bigbatbox.com/it/collections/all</t>
  </si>
  <si>
    <t xml:space="preserve">https://www.bigbatbox.com/fr/blogs/wildyard-learn/tagged/bees-and-bats</t>
  </si>
  <si>
    <t xml:space="preserve">https://www.bigbatbox.com/es/blogs/habitat-of-bats/tagged/bat-house-mosquito-control</t>
  </si>
  <si>
    <t xml:space="preserve">https://www.bigbatbox.com/de/blogs/habitat-of-bats/tagged/2026-trends</t>
  </si>
  <si>
    <t xml:space="preserve">https://www.bigbatbox.com/en-ca/blogs/bee-species/tagged/fun-facts-about-bees</t>
  </si>
  <si>
    <t xml:space="preserve">https://www.bigbatbox.com/es/blogs/habitat-of-bats/tagged/bat-house-temperature</t>
  </si>
  <si>
    <t xml:space="preserve">https://www.bigbatbox.com/es/blogs/habitat-of-bats/tagged/bats-near-home</t>
  </si>
  <si>
    <t xml:space="preserve">https://www.bigbatbox.com/blogs/bee-species?page=2</t>
  </si>
  <si>
    <t xml:space="preserve">https://www.bigbatbox.com/es/blogs/habitat-of-bats/tagged/native-plants-for-bats</t>
  </si>
  <si>
    <t xml:space="preserve">https://www.bigbatbox.com/fr/blogs/habitat-of-bats/tagged/bat-house</t>
  </si>
  <si>
    <t xml:space="preserve">https://www.bigbatbox.com/es/blogs/types-of-squirrels/are-squirrels-nocturnal</t>
  </si>
  <si>
    <t xml:space="preserve">https://www.bigbatbox.com/blogs/habitat-of-bats/tagged/wildyard-bat-houses</t>
  </si>
  <si>
    <t xml:space="preserve">https://www.bigbatbox.com/de/blogs/habitat-of-bats/tagged/black-bat-house</t>
  </si>
  <si>
    <t xml:space="preserve">https://www.bigbatbox.com/it/blogs/fun-facts-about-owls/tagged/backyard-wildlife</t>
  </si>
  <si>
    <t xml:space="preserve">https://www.bigbatbox.com/fr/blogs/habitat-of-bats/tagged/sustainable-gardens</t>
  </si>
  <si>
    <t xml:space="preserve">https://www.bigbatbox.com/fr/blogs/habitat-of-bats/tagged/bat-species</t>
  </si>
  <si>
    <t xml:space="preserve">https://www.bigbatbox.com/es/blogs/habitat-of-bats/tagged/eco-friendly-bat-shelter</t>
  </si>
  <si>
    <t xml:space="preserve">https://www.bigbatbox.com/fr/blogs/habitat-of-bats/tagged/bat-housebat-conservation</t>
  </si>
  <si>
    <t xml:space="preserve">https://www.bigbatbox.com/fr/blogs/fun-facts-about-owls/tagged/pet-safety</t>
  </si>
  <si>
    <t xml:space="preserve">https://www.bigbatbox.com/fr/blogs/fun-facts-about-owls/tagged/wildlife-gardening</t>
  </si>
  <si>
    <t xml:space="preserve">https://www.bigbatbox.com/fr/blogs/fun-facts-about-owls/tagged/night-sounds</t>
  </si>
  <si>
    <t xml:space="preserve">https://www.bigbatbox.com/fr/blogs/fun-facts-about-owls/tagged/bat-and-owl</t>
  </si>
  <si>
    <t xml:space="preserve">https://www.bigbatbox.com/de/blogs/types-of-squirrels/tagged/species-facts</t>
  </si>
  <si>
    <t xml:space="preserve">https://www.bigbatbox.com/it/blogs/habitat-of-bats/tagged/dark-bat-house-benefits</t>
  </si>
  <si>
    <t xml:space="preserve">https://www.bigbatbox.com/fr/blogs/habitat-of-bats/big-bat-box-comparison</t>
  </si>
  <si>
    <t xml:space="preserve">https://www.bigbatbox.com/es/blogs/fun-facts-about-owls/tagged/backyard-wildlife</t>
  </si>
  <si>
    <t xml:space="preserve">https://www.bigbatbox.com/de/blogs/fun-facts-about-owls/tagged/pet-safety</t>
  </si>
  <si>
    <t xml:space="preserve">https://www.bigbatbox.com/en-ca/blogs/fun-facts-about-owls/are-owls-dangerous</t>
  </si>
  <si>
    <t xml:space="preserve">https://www.bigbatbox.com/blogs/bee-species/tagged/leafcutter-bees</t>
  </si>
  <si>
    <t xml:space="preserve">https://www.bigbatbox.com/blogs/fun-facts-about-owls/tagged/owl-box-faq</t>
  </si>
  <si>
    <t xml:space="preserve">https://www.bigbatbox.com/blogs/habitat-of-bats/tagged/cedar-bat-house</t>
  </si>
  <si>
    <t xml:space="preserve">https://www.bigbatbox.com/it/blogs/habitat-of-bats/tagged/bat-house-distance-from-trees</t>
  </si>
  <si>
    <t xml:space="preserve">https://www.bigbatbox.com/blogs/habitat-of-bats/tagged/winter-wildlife</t>
  </si>
  <si>
    <t xml:space="preserve">https://www.bigbatbox.com/es/blogs/habitat-of-bats/tagged/bat-roost-guide</t>
  </si>
  <si>
    <t xml:space="preserve">https://www.bigbatbox.com/blogs/backyard-birds/tagged/hot-pepper-suet</t>
  </si>
  <si>
    <t xml:space="preserve">https://www.bigbatbox.com/it/blogs/habitat-of-bats/tagged/home-conservation-tips</t>
  </si>
  <si>
    <t xml:space="preserve">https://www.bigbatbox.com/en-ca/blogs/fun-facts-about-owls/tagged/owl-calls</t>
  </si>
  <si>
    <t xml:space="preserve">https://www.bigbatbox.com/fr/blogs/habitat-of-bats/tagged/attract-bats</t>
  </si>
  <si>
    <t xml:space="preserve">https://www.bigbatbox.com/blogs/habitat-of-bats/tagged/bat-house-for-cold-climates</t>
  </si>
  <si>
    <t xml:space="preserve">https://www.bigbatbox.com/fr/blogs/fun-facts-about-owls/tagged/owl-identification</t>
  </si>
  <si>
    <t xml:space="preserve">https://www.bigbatbox.com/de/blogs/backyard-birds/tagged/suet-for-birds</t>
  </si>
  <si>
    <t xml:space="preserve">https://www.bigbatbox.com/fr/blogs/habitat-of-bats/tagged/eco-friendly-bat-shelter</t>
  </si>
  <si>
    <t xml:space="preserve">https://www.bigbatbox.com/de/blogs/habitat-of-bats/tagged/northern-state-bat-box</t>
  </si>
  <si>
    <t xml:space="preserve">https://www.bigbatbox.com/de/blogs/conservation-partners/tagged/1-for-the-planet</t>
  </si>
  <si>
    <t xml:space="preserve">https://www.bigbatbox.com/fr/blogs/wildyard-learn/bats-bees-as-your-garden-pollinators</t>
  </si>
  <si>
    <t xml:space="preserve">https://www.bigbatbox.com/de/blogs/habitat-of-bats/tagged/black-cedar-bat-house</t>
  </si>
  <si>
    <t xml:space="preserve">https://www.bigbatbox.com/es/blogs/habitat-of-bats/tagged/painted-cedar-bat-house</t>
  </si>
  <si>
    <t xml:space="preserve">https://www.bigbatbox.com/es/blogs/habitat-of-bats/tagged/bat-housebat-conservation</t>
  </si>
  <si>
    <t xml:space="preserve">https://www.bigbatbox.com/it/blogs/wildyard-learn/tagged/bees-and-bats</t>
  </si>
  <si>
    <t xml:space="preserve">https://www.bigbatbox.com/it/blogs/habitat-of-bats/how-to-attract-bats-your-go-to-guide</t>
  </si>
  <si>
    <t xml:space="preserve">https://www.bigbatbox.com/en-ca/blogs/conservation-partners/wildyard-bird-conservancy-of-the-rockies-partnership</t>
  </si>
  <si>
    <t xml:space="preserve">https://www.bigbatbox.com/blogs/habitat-of-bats/tagged/bat-proofing-tips</t>
  </si>
  <si>
    <t xml:space="preserve">https://www.bigbatbox.com/fr/blogs/conservation-partners/tagged/1-for-the-planet</t>
  </si>
  <si>
    <t xml:space="preserve">https://www.bigbatbox.com/de/blogs/fun-facts-about-owls/tagged/bird-habitats</t>
  </si>
  <si>
    <t xml:space="preserve">https://www.bigbatbox.com/it/blogs/fun-facts-about-owls/tagged/wildlife-lifespan</t>
  </si>
  <si>
    <t xml:space="preserve">https://www.bigbatbox.com/es/blogs/habitat-of-bats/tagged/yard-wildlife-guide</t>
  </si>
  <si>
    <t xml:space="preserve">https://www.bigbatbox.com/fr/blogs/habitat-of-bats/do-bats-eat-mosquitoes-everything-you-need-to-know</t>
  </si>
  <si>
    <t xml:space="preserve">https://www.bigbatbox.com/en-ca/blogs/habitat-of-bats/tagged/eco-friendly-bat-shelter</t>
  </si>
  <si>
    <t xml:space="preserve">https://www.bigbatbox.com/fr/blogs/types-of-squirrels/tagged/wildlife-guide</t>
  </si>
  <si>
    <t xml:space="preserve">https://www.bigbatbox.com/es/blogs/types-of-squirrels/tagged/nest-box-maintenance</t>
  </si>
  <si>
    <t xml:space="preserve">https://www.bigbatbox.com/en-ca/blogs/habitat-of-bats/where-to-buy-bat-houses-your-go-to-guide</t>
  </si>
  <si>
    <t xml:space="preserve">https://www.bigbatbox.com/de/blogs/habitat-of-bats/tagged/bat-house</t>
  </si>
  <si>
    <t xml:space="preserve">https://www.bigbatbox.com/de/blogs/backyard-birds/tagged/starlings</t>
  </si>
  <si>
    <t xml:space="preserve">https://www.bigbatbox.com/es/blogs/habitat-of-bats/tagged/mounting-bat-houses</t>
  </si>
  <si>
    <t xml:space="preserve">https://www.bigbatbox.com/de/blogs/fun-facts-about-owls/tagged/squirrels</t>
  </si>
  <si>
    <t xml:space="preserve">https://www.bigbatbox.com/it/blogs/habitat-of-bats/tagged/northern-state-bat-box</t>
  </si>
  <si>
    <t xml:space="preserve">https://www.bigbatbox.com/it/blogs/habitat-of-bats/tagged/usa-bat-house-guide</t>
  </si>
  <si>
    <t xml:space="preserve">https://www.bigbatbox.com/fr/blogs/habitat-of-bats/tagged/backyard-conservation</t>
  </si>
  <si>
    <t xml:space="preserve">https://www.bigbatbox.com/it/blogs/fun-facts-about-owls/are-owls-dangerous</t>
  </si>
  <si>
    <t xml:space="preserve">https://www.bigbatbox.com/es/blogs/fun-facts-about-owls/why-do-owls-hoot-at-night</t>
  </si>
  <si>
    <t xml:space="preserve">https://www.bigbatbox.com/blogs/habitat-of-bats/tagged/northern-state-bat-box</t>
  </si>
  <si>
    <t xml:space="preserve">https://www.bigbatbox.com/fr/blogs/habitat-of-bats/tagged/bat-house-chambers</t>
  </si>
  <si>
    <t xml:space="preserve">https://www.bigbatbox.com/it/blogs/habitat-of-bats/best-backyard-bat-conservation-and-wildlife-habitat-trends-for-2026-so-far</t>
  </si>
  <si>
    <t xml:space="preserve">https://www.bigbatbox.com/de/blogs/bee-species/tagged/backyard-wildlife</t>
  </si>
  <si>
    <t xml:space="preserve">https://www.bigbatbox.com/it/blogs/habitat-of-bats/bci-certificate-why-you-should-care-about-it</t>
  </si>
  <si>
    <t xml:space="preserve">https://www.bigbatbox.com/it/blogs/fun-facts-about-owls/tagged/owl-identification</t>
  </si>
  <si>
    <t xml:space="preserve">https://www.bigbatbox.com/it/blogs/fun-facts-about-owls/tagged/wildlife-habitats</t>
  </si>
  <si>
    <t xml:space="preserve">https://www.bigbatbox.com/it/blogs/habitat-of-bats/tagged/attract-bats</t>
  </si>
  <si>
    <t xml:space="preserve">https://www.bigbatbox.com/es/blogs/types-of-squirrels/tagged/backyard-habitat</t>
  </si>
  <si>
    <t xml:space="preserve">https://www.bigbatbox.com/fr/blogs/habitat-of-bats/tagged/attract-bats-to-yard</t>
  </si>
  <si>
    <t xml:space="preserve">https://www.bigbatbox.com/blogs/fun-facts-about-owls/tagged/barn-owl</t>
  </si>
  <si>
    <t xml:space="preserve">https://www.bigbatbox.com/en-ca/blogs/bee-species/tagged/pollinator-nutrition</t>
  </si>
  <si>
    <t xml:space="preserve">https://www.bigbatbox.com/blogs/habitat-of-bats/tagged/bat-ecology-at-home</t>
  </si>
  <si>
    <t xml:space="preserve">https://www.bigbatbox.com/fr/blogs/habitat-of-bats/tagged/bat-food</t>
  </si>
  <si>
    <t xml:space="preserve">https://www.bigbatbox.com/en-ca/blogs/habitat-of-bats/tagged/winter-wildlife</t>
  </si>
  <si>
    <t xml:space="preserve">https://www.bigbatbox.com/fr/blogs/habitat-of-bats/tagged/wildyard-bat-houses</t>
  </si>
  <si>
    <t xml:space="preserve">https://www.bigbatbox.com/fr/blogs/types-of-squirrels/tagged/wildlife-behavior</t>
  </si>
  <si>
    <t xml:space="preserve">https://www.bigbatbox.com/it/blogs/fun-facts-about-owls/tagged/snowy-owl</t>
  </si>
  <si>
    <t xml:space="preserve">https://www.bigbatbox.com/it/blogs/bee-species/tagged/mason-bees</t>
  </si>
  <si>
    <t xml:space="preserve">https://www.bigbatbox.com/de/blogs/types-of-squirrels/tagged/squirrel-feeder-ideas</t>
  </si>
  <si>
    <t xml:space="preserve">https://www.bigbatbox.com/de/blogs/habitat-of-bats/tagged/wildlife-bat-box-guide</t>
  </si>
  <si>
    <t xml:space="preserve">https://www.bigbatbox.com/fr/blogs/bee-species/tagged/leafcutter-bees</t>
  </si>
  <si>
    <t xml:space="preserve">https://www.bigbatbox.com/it/blogs/habitat-of-bats/tagged/bat-house-warmth-retention</t>
  </si>
  <si>
    <t xml:space="preserve">https://www.bigbatbox.com/fr/blogs/habitat-of-bats/9-fantastic-bat-facts-you-need-to-know</t>
  </si>
  <si>
    <t xml:space="preserve">https://www.bigbatbox.com/de/blogs/habitat-of-bats/tagged/bat-housebat-conservation</t>
  </si>
  <si>
    <t xml:space="preserve">https://www.bigbatbox.com/en-ca/blogs/habitat-of-bats/why-a-black-bat-house-is-perfect-for-cooler-climates</t>
  </si>
  <si>
    <t xml:space="preserve">https://www.bigbatbox.com/en-ca/blogs/habitat-of-bats/tagged/south-facing-bat-house</t>
  </si>
  <si>
    <t xml:space="preserve">https://www.bigbatbox.com/de/blogs/habitat-of-bats/tagged/bat-box-sunlight-requirements</t>
  </si>
  <si>
    <t xml:space="preserve">https://www.bigbatbox.com/fr/blogs/habitat-of-bats/tagged/bat-house-height</t>
  </si>
  <si>
    <t xml:space="preserve">https://www.bigbatbox.com/en-ca/blogs/fun-facts-about-owls/do-owls-eat-squirrels</t>
  </si>
  <si>
    <t xml:space="preserve">https://www.bigbatbox.com/fr/blogs/fun-facts-about-owls/are-owls-dangerous</t>
  </si>
  <si>
    <t xml:space="preserve">https://www.bigbatbox.com/fr/blogs/habitat-of-bats/tagged/eco-friendly-bat-house</t>
  </si>
  <si>
    <t xml:space="preserve">https://www.bigbatbox.com/it/blogs/wildyard-learn/tagged/wildlife-care</t>
  </si>
  <si>
    <t xml:space="preserve">https://www.bigbatbox.com/it/blogs/habitat-of-bats/the-definitive-guide-to-backyard-mosquito-control</t>
  </si>
  <si>
    <t xml:space="preserve">https://www.bigbatbox.com/blogs/habitat-of-bats/tagged/bat-house-colors</t>
  </si>
  <si>
    <t xml:space="preserve">https://www.bigbatbox.com/it/blogs/bee-species/tagged/bee-house</t>
  </si>
  <si>
    <t xml:space="preserve">https://www.bigbatbox.com/en-ca/blogs/habitat-of-bats/tagged/eco-friendly</t>
  </si>
  <si>
    <t xml:space="preserve">https://www.bigbatbox.com/es/blogs/fun-facts-about-owls/tagged/wildlife-habitats</t>
  </si>
  <si>
    <t xml:space="preserve">https://www.bigbatbox.com/de/blogs/habitat-of-bats/tagged/diy-bat-box</t>
  </si>
  <si>
    <t xml:space="preserve">https://www.bigbatbox.com/blogs/backyard-birds/can-you-feed-suet-in-summer</t>
  </si>
  <si>
    <t xml:space="preserve">https://www.bigbatbox.com/fr/blogs/habitat-of-bats/tagged/northern-state-bat-box</t>
  </si>
  <si>
    <t xml:space="preserve">https://www.bigbatbox.com/en-ca/blogs/habitat-of-bats/tagged/wildlife-management</t>
  </si>
  <si>
    <t xml:space="preserve">https://www.bigbatbox.com/it/blogs/types-of-squirrels/tagged/squirrel-feeder-ideas</t>
  </si>
  <si>
    <t xml:space="preserve">https://www.bigbatbox.com/it/blogs/wildyard-learn/tagged/pollination</t>
  </si>
  <si>
    <t xml:space="preserve">https://www.bigbatbox.com/en-ca/blogs/habitat-of-bats/11-interesting-things-to-know-about-bat-houses</t>
  </si>
  <si>
    <t xml:space="preserve">https://www.bigbatbox.com/es/blogs/bee-species/tagged/leafcutter-bees</t>
  </si>
  <si>
    <t xml:space="preserve">https://www.bigbatbox.com/it/blogs/fun-facts-about-owls/what-do-owls-eat</t>
  </si>
  <si>
    <t xml:space="preserve">https://www.bigbatbox.com/blogs/habitat-of-bats/tagged/bat-house-warmth-retention</t>
  </si>
  <si>
    <t xml:space="preserve">https://www.bigbatbox.com/it/blogs/fun-facts-about-owls/tagged/great-horned-owl</t>
  </si>
  <si>
    <t xml:space="preserve">https://www.bigbatbox.com/es/blogs/habitat-of-bats/tagged/wildlife-management</t>
  </si>
  <si>
    <t xml:space="preserve">https://www.bigbatbox.com/en-ca/blogs/habitat-of-bats/tagged/coexist-with-bats</t>
  </si>
  <si>
    <t xml:space="preserve">https://www.bigbatbox.com/es/blogs/habitat-of-bats/tagged/backyard-wildlife</t>
  </si>
  <si>
    <t xml:space="preserve">https://www.bigbatbox.com/it/blogs/habitat-of-bats/tagged/backyard-wildlife</t>
  </si>
  <si>
    <t xml:space="preserve">https://www.bigbatbox.com/en-ca/pages/wildyard-x-angry-birds-flowerpot-birdhouse-instructions</t>
  </si>
  <si>
    <t xml:space="preserve">https://www.bigbatbox.com/blogs/habitat-of-bats/tagged/cooler-climate-bat-habitat</t>
  </si>
  <si>
    <t xml:space="preserve">https://www.bigbatbox.com/en-ca/blogs/habitat-of-bats/tagged/cooler-climate-bat-habitat</t>
  </si>
  <si>
    <t xml:space="preserve">https://www.bigbatbox.com/es/blogs/habitat-of-bats/tagged/three-chamber-bat-box</t>
  </si>
  <si>
    <t xml:space="preserve">https://www.bigbatbox.com/it/blogs/habitat-of-bats/why-you-need-a-bat-house-your-go-to-guide</t>
  </si>
  <si>
    <t xml:space="preserve">https://www.bigbatbox.com/it/blogs/habitat-of-bats/tagged/bat-house-placement-guide</t>
  </si>
  <si>
    <t xml:space="preserve">https://www.bigbatbox.com/es/blogs/types-of-squirrels/tagged/squirrel-food</t>
  </si>
  <si>
    <t xml:space="preserve">https://www.bigbatbox.com/blogs/fun-facts-about-owls/tagged/night-sounds</t>
  </si>
  <si>
    <t xml:space="preserve">https://www.bigbatbox.com/fr/blogs/habitat-of-bats/tagged/sustainable-bat-boxes</t>
  </si>
  <si>
    <t xml:space="preserve">https://www.bigbatbox.com/es/blogs/habitat-of-bats/tagged/backyard-conservation</t>
  </si>
  <si>
    <t xml:space="preserve">https://www.bigbatbox.com/it/blogs/habitat-of-bats/a-brief-guide-to-building-and-installing-bat-boxes</t>
  </si>
  <si>
    <t xml:space="preserve">https://www.bigbatbox.com/it/blogs/wildyard-learn/tagged/garden-pollinators</t>
  </si>
  <si>
    <t xml:space="preserve">https://www.bigbatbox.com/fr/blogs/habitat-of-bats/tagged/bat-friendly-backyard</t>
  </si>
  <si>
    <t xml:space="preserve">https://www.bigbatbox.com/de/blogs/backyard-birds/tagged/woodpeckers</t>
  </si>
  <si>
    <t xml:space="preserve">https://www.bigbatbox.com/blogs/habitat-of-bats/tagged/coexist-with-bats</t>
  </si>
  <si>
    <t xml:space="preserve">https://www.bigbatbox.com/fr/blogs/habitat-of-bats/tagged/bat-house-colors</t>
  </si>
  <si>
    <t xml:space="preserve">https://www.bigbatbox.com/es/blogs/types-of-squirrels/tagged/squirrel-nesting-box</t>
  </si>
  <si>
    <t xml:space="preserve">https://www.bigbatbox.com/de/blogs/fun-facts-about-owls/tagged/owl-calls</t>
  </si>
  <si>
    <t xml:space="preserve">https://www.bigbatbox.com/de/blogs/bee-species/tagged/bees-diet</t>
  </si>
  <si>
    <t xml:space="preserve">https://www.bigbatbox.com/es/blogs/bee-species/tagged/bee-habitat-faq</t>
  </si>
  <si>
    <t xml:space="preserve">https://www.bigbatbox.com/fr/blogs/habitat-of-bats/tagged/backyard-eco-tips</t>
  </si>
  <si>
    <t xml:space="preserve">https://www.bigbatbox.com/blogs/bee-species/tagged/bees-diet</t>
  </si>
  <si>
    <t xml:space="preserve">https://www.bigbatbox.com/en-ca/blogs/habitat-of-bats/tagged/backyard-pest-control</t>
  </si>
  <si>
    <t xml:space="preserve">https://www.bigbatbox.com/fr/blogs/types-of-squirrels/when-do-squirrels-have-babies</t>
  </si>
  <si>
    <t xml:space="preserve">https://www.bigbatbox.com/es/blogs/habitat-of-bats/tagged/wildyard-bat-house-guide</t>
  </si>
  <si>
    <t xml:space="preserve">https://www.bigbatbox.com/es/blogs/bee-species?page=2</t>
  </si>
  <si>
    <t xml:space="preserve">https://www.bigbatbox.com/en-ca/blogs/types-of-squirrels/tagged/nest-box-maintenance</t>
  </si>
  <si>
    <t xml:space="preserve">https://www.bigbatbox.com/de/blogs/habitat-of-bats/tagged/bats-near-home</t>
  </si>
  <si>
    <t xml:space="preserve">https://www.bigbatbox.com/fr/blogs/wildyard-news/introducing-the-wildyard-x-angry-birds%E2%84%A2-collection-turn-your-garden-into-a-wildlife-habitat</t>
  </si>
  <si>
    <t xml:space="preserve">https://www.bigbatbox.com/en-ca/pages/bat-houses-for-sale</t>
  </si>
  <si>
    <t xml:space="preserve">https://www.bigbatbox.com/it/blogs/habitat-of-bats/tagged/bat-diet</t>
  </si>
  <si>
    <t xml:space="preserve">https://www.bigbatbox.com/en-ca/blogs/habitat-of-bats/bat-house-certification-explained</t>
  </si>
  <si>
    <t xml:space="preserve">https://www.bigbatbox.com/it/blogs/habitat-of-bats/tagged/help-bats-at-home</t>
  </si>
  <si>
    <t xml:space="preserve">https://www.bigbatbox.com/fr/blogs/types-of-squirrels/do-squirrels-hibernate</t>
  </si>
  <si>
    <t xml:space="preserve">https://www.bigbatbox.com/fr/blogs/bee-species/unveiling-the-world-of-bees-nature-s-tiny-architects</t>
  </si>
  <si>
    <t xml:space="preserve">https://www.bigbatbox.com/en-ca/blogs/habitat-of-bats/tagged/two-chamber-bat-box</t>
  </si>
  <si>
    <t xml:space="preserve">https://www.bigbatbox.com/blogs/fun-facts-about-owls/tagged/owl-safety</t>
  </si>
  <si>
    <t xml:space="preserve">https://www.bigbatbox.com/it/blogs/habitat-of-bats/tagged/ecosystem</t>
  </si>
  <si>
    <t xml:space="preserve">https://www.bigbatbox.com/blogs/backyard-birds/what-birds-eat-suet</t>
  </si>
  <si>
    <t xml:space="preserve">https://www.bigbatbox.com/fr/blogs/wildyard-learn/tagged/pollination</t>
  </si>
  <si>
    <t xml:space="preserve">https://www.bigbatbox.com/es/blogs/habitat-of-bats/tagged/wildlife-habitat</t>
  </si>
  <si>
    <t xml:space="preserve">https://www.bigbatbox.com/en-ca/pages/cedar-squirrel-house</t>
  </si>
  <si>
    <t xml:space="preserve">https://www.bigbatbox.com/es/blogs/fun-facts-about-owls/tagged/owls</t>
  </si>
  <si>
    <t xml:space="preserve">https://www.bigbatbox.com/it/blogs/fun-facts-about-owls/tagged/owl-hooting</t>
  </si>
  <si>
    <t xml:space="preserve">https://www.bigbatbox.com/es/blogs/habitat-of-bats/tagged/winter-wildlife</t>
  </si>
  <si>
    <t xml:space="preserve">https://www.bigbatbox.com/fr/blogs/habitat-of-bats/tagged/bat-box-placement</t>
  </si>
  <si>
    <t xml:space="preserve">https://www.bigbatbox.com/it/blogs/fun-facts-about-owls/tagged/owl-box-faq</t>
  </si>
  <si>
    <t xml:space="preserve">https://www.bigbatbox.com/it/blogs/habitat-of-bats/tagged/diy-bat-house</t>
  </si>
  <si>
    <t xml:space="preserve">https://www.bigbatbox.com/fr/blogs/types-of-squirrels/tagged/squirrel-house-feeder</t>
  </si>
  <si>
    <t xml:space="preserve">https://www.bigbatbox.com/it/blogs/backyard-birds/tagged/suet-feeder</t>
  </si>
  <si>
    <t xml:space="preserve">https://www.bigbatbox.com/it/blogs/habitat-of-bats/tagged/sustainable-bat-boxes</t>
  </si>
  <si>
    <t xml:space="preserve">https://www.bigbatbox.com/blogs/types-of-squirrels/tagged/wildlife-behavior</t>
  </si>
  <si>
    <t xml:space="preserve">https://www.bigbatbox.com/es/blogs/habitat-of-bats/tagged/attract-bats-to-yard</t>
  </si>
  <si>
    <t xml:space="preserve">https://www.bigbatbox.com/it/blogs/habitat-of-bats/tagged/south-facing-bat-house</t>
  </si>
  <si>
    <t xml:space="preserve">https://www.bigbatbox.com/de/blogs/habitat-of-bats/tagged/bat-house-direction</t>
  </si>
  <si>
    <t xml:space="preserve">https://www.bigbatbox.com/blogs/habitat-of-bats/tagged/bat-house-chambers</t>
  </si>
  <si>
    <t xml:space="preserve">https://www.bigbatbox.com/it/blogs/types-of-squirrels/tagged/nest-box-maintenance</t>
  </si>
  <si>
    <t xml:space="preserve">https://www.bigbatbox.com/es/blogs/backyard-birds/what-birds-eat-suet</t>
  </si>
  <si>
    <t xml:space="preserve">https://www.bigbatbox.com/it/blogs/habitat-of-bats/tagged/wildlife-bat-box-guide</t>
  </si>
  <si>
    <t xml:space="preserve">https://www.bigbatbox.com/it/blogs/habitat-of-bats/tagged/safe-wildlife-practices</t>
  </si>
  <si>
    <t xml:space="preserve">https://www.bigbatbox.com/fr/blogs/habitat-of-bats/tagged/bat-safety</t>
  </si>
  <si>
    <t xml:space="preserve">https://www.bigbatbox.com/it/blogs/wildyard-news</t>
  </si>
  <si>
    <t xml:space="preserve">https://www.bigbatbox.com/fr/blogs/habitat-of-bats/tagged/bat-benefits</t>
  </si>
  <si>
    <t xml:space="preserve">https://www.bigbatbox.com/fr/blogs/backyard-birds/tagged/bird-feeding</t>
  </si>
  <si>
    <t xml:space="preserve">https://www.bigbatbox.com/it/blogs/bee-species/tagged/bee-conservation</t>
  </si>
  <si>
    <t xml:space="preserve">https://www.bigbatbox.com/fr/blogs/habitat-of-bats/tagged/painted-cedar-bat-house</t>
  </si>
  <si>
    <t xml:space="preserve">https://www.bigbatbox.com/de/blogs/types-of-squirrels/tagged/squirrel-habitat</t>
  </si>
  <si>
    <t xml:space="preserve">https://www.bigbatbox.com/fr/blogs/habitat-of-bats/tagged/yard-wildlife-guide</t>
  </si>
  <si>
    <t xml:space="preserve">https://www.bigbatbox.com/es/blogs/habitat-of-bats/tagged/backyard-eco-tips</t>
  </si>
  <si>
    <t xml:space="preserve">https://www.bigbatbox.com/en-ca/blogs/habitat-of-bats/tagged/dark-bat-houses</t>
  </si>
  <si>
    <t xml:space="preserve">https://www.bigbatbox.com/es/blogs/types-of-squirrels/tagged/squirrels</t>
  </si>
  <si>
    <t xml:space="preserve">https://www.bigbatbox.com/it/blogs/types-of-squirrels/tagged/squirrel-house-feeder</t>
  </si>
  <si>
    <t xml:space="preserve">https://www.bigbatbox.com/es/blogs/habitat-of-bats/tagged/pollinator-friendly-yard</t>
  </si>
  <si>
    <t xml:space="preserve">https://www.bigbatbox.com/it/blogs/habitat-of-bats/tagged/insect-control</t>
  </si>
  <si>
    <t xml:space="preserve">https://www.bigbatbox.com/it/blogs/habitat-of-bats/bat-house-certification-explained</t>
  </si>
  <si>
    <t xml:space="preserve">https://www.bigbatbox.com/de/blogs/habitat-of-bats/tagged/bat-house-colors</t>
  </si>
  <si>
    <t xml:space="preserve">https://www.bigbatbox.com/fr/blogs/habitat-of-bats/tagged/bci-certified-bat-house</t>
  </si>
  <si>
    <t xml:space="preserve">https://www.bigbatbox.com/en-ca/blogs/habitat-of-bats/tagged/sustainable-gardens</t>
  </si>
  <si>
    <t xml:space="preserve">https://www.bigbatbox.com/blogs/habitat-of-bats/tagged/bat-house-usa-climate</t>
  </si>
  <si>
    <t xml:space="preserve">https://www.bigbatbox.com/fr/blogs/habitat-of-bats/tagged/humane-bat-removal</t>
  </si>
  <si>
    <t xml:space="preserve">https://www.bigbatbox.com/es/blogs/types-of-squirrels/when-do-squirrels-have-babies</t>
  </si>
  <si>
    <t xml:space="preserve">https://www.bigbatbox.com/it/blogs/habitat-of-bats/tagged/cedar-bat-house</t>
  </si>
  <si>
    <t xml:space="preserve">https://www.bigbatbox.com/en-ca/blogs/habitat-of-bats/tagged/dark-bat-house-benefits</t>
  </si>
  <si>
    <t xml:space="preserve">https://www.bigbatbox.com/es/blogs/fun-facts-about-owls/tagged/owl-hooting</t>
  </si>
  <si>
    <t xml:space="preserve">https://www.bigbatbox.com/en-ca/blogs/habitat-of-bats/tagged/eco-friendly-pest-solutions</t>
  </si>
  <si>
    <t xml:space="preserve">https://www.bigbatbox.com/fr/blogs/bee-species/tagged/nature-s-architects</t>
  </si>
  <si>
    <t xml:space="preserve">https://www.bigbatbox.com/es/blogs/bee-species/tagged/hive-behavior</t>
  </si>
  <si>
    <t xml:space="preserve">https://www.bigbatbox.com/blogs/bee-species/tagged/bee-habitat-faq</t>
  </si>
  <si>
    <t xml:space="preserve">https://www.bigbatbox.com/fr/blogs/habitat-of-bats/tagged/diy-bat-box</t>
  </si>
  <si>
    <t xml:space="preserve">https://www.bigbatbox.com/blogs/types-of-squirrels/tagged/squirrel-house-feeder</t>
  </si>
  <si>
    <t xml:space="preserve">https://www.bigbatbox.com/it/blogs/habitat-of-bats/tagged/home-pest-control</t>
  </si>
  <si>
    <t xml:space="preserve">https://www.bigbatbox.com/es/blogs/habitat-of-bats/tagged/bat-house-usa-climate</t>
  </si>
  <si>
    <t xml:space="preserve">https://www.bigbatbox.com/es/blogs/fun-facts-about-owls/how-long-do-owls-live</t>
  </si>
  <si>
    <t xml:space="preserve">https://www.bigbatbox.com/de/blogs/habitat-of-bats/tagged/bat-habitat</t>
  </si>
  <si>
    <t xml:space="preserve">https://www.bigbatbox.com/de/blogs/habitat-of-bats/tagged/bat-in-the-house-in-winter</t>
  </si>
  <si>
    <t xml:space="preserve">https://www.bigbatbox.com/de/blogs/fun-facts-about-owls/tagged/barn-owl</t>
  </si>
  <si>
    <t xml:space="preserve">https://www.bigbatbox.com/es/blogs/habitat-of-bats/tagged/bat-roosting-guide</t>
  </si>
  <si>
    <t xml:space="preserve">https://www.bigbatbox.com/blogs/conservation-partners/tagged/birds</t>
  </si>
  <si>
    <t xml:space="preserve">https://www.bigbatbox.com/de/blogs/habitat-of-bats/tagged/are-bats-dangerous</t>
  </si>
  <si>
    <t xml:space="preserve">https://www.bigbatbox.com/blogs/habitat-of-bats/tagged/wildlife-habitat</t>
  </si>
  <si>
    <t xml:space="preserve">https://www.bigbatbox.com/blogs/habitat-of-bats/tagged/tall-bat-house-design</t>
  </si>
  <si>
    <t xml:space="preserve">https://www.bigbatbox.com/de/blogs/backyard-birds</t>
  </si>
  <si>
    <t xml:space="preserve">https://www.bigbatbox.com/fr/blogs/fun-facts-about-owls/tagged/backyard-wildlife</t>
  </si>
  <si>
    <t xml:space="preserve">https://www.bigbatbox.com/blogs/backyard-birds/tagged/backyard-birds</t>
  </si>
  <si>
    <t xml:space="preserve">https://www.bigbatbox.com/fr/blogs/habitat-of-bats/tagged/backyard-wildlife</t>
  </si>
  <si>
    <t xml:space="preserve">https://www.bigbatbox.com/fr/blogs/habitat-of-bats/tagged/safe-wildlife-practices</t>
  </si>
  <si>
    <t xml:space="preserve">https://www.bigbatbox.com/fr/blogs/habitat-of-bats/tagged/2026-trends</t>
  </si>
  <si>
    <t xml:space="preserve">https://www.bigbatbox.com/it/products/bat-barn-junior-black</t>
  </si>
  <si>
    <t xml:space="preserve">https://www.bigbatbox.com/it/blogs/habitat-of-bats/tagged/bat-box-guide</t>
  </si>
  <si>
    <t xml:space="preserve">https://www.bigbatbox.com/de/blogs/bee-species/tagged/honey-making</t>
  </si>
  <si>
    <t xml:space="preserve">https://www.bigbatbox.com/fr/blogs/habitat-of-bats/tagged/are-bats-dangerous</t>
  </si>
  <si>
    <t xml:space="preserve">https://www.bigbatbox.com/it/blogs/fun-facts-about-owls/tagged/owl-attraction</t>
  </si>
  <si>
    <t xml:space="preserve">https://www.bigbatbox.com/es/blogs/habitat-of-bats/tagged/vampire-bats</t>
  </si>
  <si>
    <t xml:space="preserve">https://www.bigbatbox.com/blogs/conservation-partners/tagged/1-for-the-planet</t>
  </si>
  <si>
    <t xml:space="preserve">https://www.bigbatbox.com/it/blogs/habitat-of-bats/tagged/mosquito-reduction-with-bats</t>
  </si>
  <si>
    <t xml:space="preserve">https://www.bigbatbox.com/blogs/habitat-of-bats/tagged/black-cedar-bat-house</t>
  </si>
  <si>
    <t xml:space="preserve">https://www.bigbatbox.com/it/blogs/fun-facts-about-owls/tagged/wildlife-conservation</t>
  </si>
  <si>
    <t xml:space="preserve">https://www.bigbatbox.com/fr/blogs/habitat-of-bats/bat-conservation-tips-for-homeowners-simple-ways-to-help-bats-at-home</t>
  </si>
  <si>
    <t xml:space="preserve">https://www.bigbatbox.com/fr/blogs/fun-facts-about-owls/tagged/owl-behavior</t>
  </si>
  <si>
    <t xml:space="preserve">https://www.bigbatbox.com/fr/blogs/habitat-of-bats/tagged/winter-wildlife</t>
  </si>
  <si>
    <t xml:space="preserve">https://www.bigbatbox.com/it/blogs/types-of-squirrels/tagged/squirrels</t>
  </si>
  <si>
    <t xml:space="preserve">https://www.bigbatbox.com/es/blogs/habitat-of-bats/tagged/wildlife-conservation</t>
  </si>
  <si>
    <t xml:space="preserve">https://www.bigbatbox.com/fr/blogs/bee-species/fun-facts-about-bees</t>
  </si>
  <si>
    <t xml:space="preserve">https://www.bigbatbox.com/fr/blogs/fun-facts-about-owls/do-owls-eat-squirrels</t>
  </si>
  <si>
    <t xml:space="preserve">https://www.bigbatbox.com/it/blogs/bee-species/tagged/bumblebees</t>
  </si>
  <si>
    <t xml:space="preserve">https://www.bigbatbox.com/de/blogs/habitat-of-bats/tagged/home-conservation-tips</t>
  </si>
  <si>
    <t xml:space="preserve">https://www.bigbatbox.com/en-ca/blogs/fun-facts-about-owls/tagged/pet-safety</t>
  </si>
  <si>
    <t xml:space="preserve">https://www.bigbatbox.com/en-ca/pages/wildyard-x-angry-birds-diy-birdhouse-instructions</t>
  </si>
  <si>
    <t xml:space="preserve">https://www.bigbatbox.com/it/blogs/habitat-of-bats/tagged/bat-house-installation</t>
  </si>
  <si>
    <t xml:space="preserve">https://www.bigbatbox.com/en-ca/blogs/fun-facts-about-owls/tagged/owls</t>
  </si>
  <si>
    <t xml:space="preserve">https://www.bigbatbox.com/blogs/habitat-of-bats/tagged/bat-house-advice</t>
  </si>
  <si>
    <t xml:space="preserve">https://www.bigbatbox.com/it/blogs/habitat-of-bats/tagged/eco-friendly-pest-solutions</t>
  </si>
  <si>
    <t xml:space="preserve">https://www.bigbatbox.com/it/blogs/bee-species/tagged/bee-houses</t>
  </si>
  <si>
    <t xml:space="preserve">https://www.bigbatbox.com/it/blogs/bee-species/unveiling-the-world-of-bees-nature-s-tiny-architects</t>
  </si>
  <si>
    <t xml:space="preserve">https://www.bigbatbox.com/es/blogs/habitat-of-bats/tagged/bat-diet</t>
  </si>
  <si>
    <t xml:space="preserve">https://www.bigbatbox.com/en-ca/blogs/habitat-of-bats/tagged/natural-pest-control</t>
  </si>
  <si>
    <t xml:space="preserve">https://www.bigbatbox.com/en-ca/blogs/habitat-of-bats/7-benefits-of-bat-houses</t>
  </si>
  <si>
    <t xml:space="preserve">https://www.bigbatbox.com/en-ca/blogs/fun-facts-about-owls/tagged/owl-diet</t>
  </si>
  <si>
    <t xml:space="preserve">https://www.bigbatbox.com/it/blogs/fun-facts-about-owls/tagged/screech-owl-box</t>
  </si>
  <si>
    <t xml:space="preserve">https://www.bigbatbox.com/it/blogs/types-of-squirrels/tagged/backyard-wildlife</t>
  </si>
  <si>
    <t xml:space="preserve">https://www.bigbatbox.com/fr/blogs/habitat-of-bats/tagged/mammal-facts</t>
  </si>
  <si>
    <t xml:space="preserve">https://www.bigbatbox.com/blogs/bee-species/tagged/bees-pollination</t>
  </si>
  <si>
    <t xml:space="preserve">https://www.bigbatbox.com/it/collections/owl-boxes</t>
  </si>
  <si>
    <t xml:space="preserve">https://www.bigbatbox.com/it/blogs/habitat-of-bats/tagged/bat-house-temperature</t>
  </si>
  <si>
    <t xml:space="preserve">https://www.bigbatbox.com/fr/blogs/bee-species/tagged/solitary-bees</t>
  </si>
  <si>
    <t xml:space="preserve">https://www.bigbatbox.com/en-ca/blogs/backyard-birds/tagged/no-melt-suet</t>
  </si>
  <si>
    <t xml:space="preserve">https://www.bigbatbox.com/fr/blogs/habitat-of-bats/tagged/mosquito-reduction-with-bats</t>
  </si>
  <si>
    <t xml:space="preserve">https://www.bigbatbox.com/it/blogs/habitat-of-bats/tagged/microbats</t>
  </si>
  <si>
    <t xml:space="preserve">https://www.bigbatbox.com/blogs/habitat-of-bats/tagged/bats-as-pollinators</t>
  </si>
  <si>
    <t xml:space="preserve">https://www.bigbatbox.com/es/blogs/types-of-squirrels/tagged/winter-wildlife</t>
  </si>
  <si>
    <t xml:space="preserve">https://www.bigbatbox.com/en-ca/blogs/backyard-birds/tagged/squirrels</t>
  </si>
  <si>
    <t xml:space="preserve">https://www.bigbatbox.com/it/blogs/habitat-of-bats/tagged/wildlife-friendly-home</t>
  </si>
  <si>
    <t xml:space="preserve">https://www.bigbatbox.com/fr/blogs/fun-facts-about-owls/tagged/owl-safety</t>
  </si>
  <si>
    <t xml:space="preserve">https://www.bigbatbox.com/es/blogs/backyard-birds/tagged/suet-for-birds</t>
  </si>
  <si>
    <t xml:space="preserve">https://www.bigbatbox.com/it/collections/bee-houses</t>
  </si>
  <si>
    <t xml:space="preserve">https://www.bigbatbox.com/en-ca/blogs/habitat-of-bats/tagged/bat-house-tips</t>
  </si>
  <si>
    <t xml:space="preserve">https://www.bigbatbox.com/es/blogs/backyard-birds/tagged/woodpeckers</t>
  </si>
  <si>
    <t xml:space="preserve">https://www.bigbatbox.com/fr/blogs/bee-species/tagged/bees-pollination</t>
  </si>
  <si>
    <t xml:space="preserve">https://www.bigbatbox.com/en-ca/blogs/bee-species/tagged/honey-production</t>
  </si>
  <si>
    <t xml:space="preserve">https://www.bigbatbox.com/blogs/habitat-of-bats/tagged/native-plants-for-bats</t>
  </si>
  <si>
    <t xml:space="preserve">https://www.bigbatbox.com/fr/blogs/bee-species/tagged/bee-house</t>
  </si>
  <si>
    <t xml:space="preserve">https://www.bigbatbox.com/en-ca/blogs/bee-species?page=2</t>
  </si>
  <si>
    <t xml:space="preserve">https://www.bigbatbox.com/blogs/types-of-squirrels/tagged/squirrel-food</t>
  </si>
  <si>
    <t xml:space="preserve">https://www.bigbatbox.com/es/blogs/habitat-of-bats/tagged/best-bat-house-placement</t>
  </si>
  <si>
    <t xml:space="preserve">https://www.bigbatbox.com/en-ca/blogs/wildyard-learn/tagged/garden-pollinators</t>
  </si>
  <si>
    <t xml:space="preserve">https://www.bigbatbox.com/es/blogs/fun-facts-about-owls/tagged/snowy-owl</t>
  </si>
  <si>
    <t xml:space="preserve">https://www.bigbatbox.com/it/blogs/habitat-of-bats/tagged/water-for-bats</t>
  </si>
  <si>
    <t xml:space="preserve">https://www.bigbatbox.com/it/blogs/habitat-of-bats/tagged/bat-house</t>
  </si>
  <si>
    <t xml:space="preserve">https://www.bigbatbox.com/es/blogs/habitat-of-bats/tagged/diy-bat-box</t>
  </si>
  <si>
    <t xml:space="preserve">https://www.bigbatbox.com/es/blogs/fun-facts-about-owls/what-do-owls-eat</t>
  </si>
  <si>
    <t xml:space="preserve">https://www.bigbatbox.com/blogs/bee-species/tagged/honey-bees</t>
  </si>
  <si>
    <t xml:space="preserve">https://www.bigbatbox.com/it/blogs/habitat-of-bats/7-benefits-of-bat-houses</t>
  </si>
  <si>
    <t xml:space="preserve">https://www.bigbatbox.com/fr/blogs/types-of-squirrels/tagged/squirrel-nesting-box</t>
  </si>
  <si>
    <t xml:space="preserve">https://www.bigbatbox.com/it/blogs/bee-species/tagged/backyard-wildlife</t>
  </si>
  <si>
    <t xml:space="preserve">https://www.bigbatbox.com/en-ca/blogs/habitat-of-bats/tagged/bat-house</t>
  </si>
  <si>
    <t xml:space="preserve">https://www.bigbatbox.com/es/blogs/bee-species/tagged/pollinator-nutrition</t>
  </si>
  <si>
    <t xml:space="preserve">https://www.bigbatbox.com/fr/blogs/habitat-of-bats/nichoir-chauve-souris-attirer</t>
  </si>
  <si>
    <t xml:space="preserve">https://www.bigbatbox.com/en-ca/blogs/types-of-squirrels/tagged/species-facts</t>
  </si>
  <si>
    <t xml:space="preserve">https://www.bigbatbox.com/es/blogs/types-of-squirrels/tagged/cedar-habitat</t>
  </si>
  <si>
    <t xml:space="preserve">https://www.bigbatbox.com/it/blogs/habitat-of-bats?page=4</t>
  </si>
  <si>
    <t xml:space="preserve">https://www.bigbatbox.com/fr/blogs/habitat-of-bats/tagged/building-and-installing-bat-boxes</t>
  </si>
  <si>
    <t xml:space="preserve">https://www.bigbatbox.com/blogs/fun-facts-about-owls/tagged/bat-and-owl</t>
  </si>
  <si>
    <t xml:space="preserve">https://www.bigbatbox.com/de/blogs/habitat-of-bats/tagged/guano</t>
  </si>
  <si>
    <t xml:space="preserve">https://www.bigbatbox.com/it/blogs/habitat-of-bats/tagged/best-bat-boxes-for-mosquito-control</t>
  </si>
  <si>
    <t xml:space="preserve">https://www.bigbatbox.com/fr/blogs/habitat-of-bats/tagged/bat-conservation-tips</t>
  </si>
  <si>
    <t xml:space="preserve">https://www.bigbatbox.com/blogs/bee-species/tagged/solitary-bees</t>
  </si>
  <si>
    <t xml:space="preserve">https://www.bigbatbox.com/es/blogs/habitat-of-bats/tagged/bat-conservation-tips</t>
  </si>
  <si>
    <t xml:space="preserve">https://www.bigbatbox.com/es/blogs/habitat-of-bats/tagged/bat-house-pole</t>
  </si>
  <si>
    <t xml:space="preserve">https://www.bigbatbox.com/fr/blogs/habitat-of-bats/some-interesting-busted-myths-and-facts-about-bats</t>
  </si>
  <si>
    <t xml:space="preserve">https://www.bigbatbox.com/it/blogs/bee-species?page=2</t>
  </si>
  <si>
    <t xml:space="preserve">https://www.bigbatbox.com/en-ca/blogs/habitat-of-bats/tagged/bat-house-wall-mount</t>
  </si>
  <si>
    <t xml:space="preserve">https://www.bigbatbox.com/en-ca/blogs/types-of-squirrels/tagged/wildlife-behavior</t>
  </si>
  <si>
    <t xml:space="preserve">https://www.bigbatbox.com/de/blogs/habitat-of-bats/tagged/attract-bats</t>
  </si>
  <si>
    <t xml:space="preserve">https://www.bigbatbox.com/fr/blogs/habitat-of-bats/11-interesting-things-to-know-about-bat-houses</t>
  </si>
  <si>
    <t xml:space="preserve">https://www.bigbatbox.com/it/blogs/habitat-of-bats/tagged/multi-chamber-bat-house</t>
  </si>
  <si>
    <t xml:space="preserve">https://www.bigbatbox.com/en-ca/blogs/habitat-of-bats/tagged/mammal-facts</t>
  </si>
  <si>
    <t xml:space="preserve">https://www.bigbatbox.com/en-ca/blogs/habitat-of-bats/tagged/cedar-bat-house</t>
  </si>
  <si>
    <t xml:space="preserve">https://www.bigbatbox.com/fr/blogs/bee-species/tagged/bee-habitat-faq</t>
  </si>
  <si>
    <t xml:space="preserve">https://www.bigbatbox.com/en-ca/blogs/fun-facts-about-owls/tagged/predators</t>
  </si>
  <si>
    <t xml:space="preserve">https://www.bigbatbox.com/en-ca/blogs/habitat-of-bats/tagged/bat-housebat-conservation</t>
  </si>
  <si>
    <t xml:space="preserve">https://www.bigbatbox.com/it/blogs/types-of-squirrels/tagged/diy-squirrel-feeder</t>
  </si>
  <si>
    <t xml:space="preserve">https://www.bigbatbox.com/en-ca/blogs/habitat-of-bats/tagged/bat-box-placement</t>
  </si>
  <si>
    <t xml:space="preserve">https://www.bigbatbox.com/de/blogs/habitat-of-bats/tagged/natural-pest-control</t>
  </si>
  <si>
    <t xml:space="preserve">https://www.bigbatbox.com/de/blogs/habitat-of-bats/tagged/bigbatbox</t>
  </si>
  <si>
    <t xml:space="preserve">https://www.bigbatbox.com/en-ca/blogs/habitat-of-bats/everything-you-need-to-know-about-bat-boxes-installation-features-placement-and-more</t>
  </si>
  <si>
    <t xml:space="preserve">https://www.bigbatbox.com/en-ca/blogs/habitat-of-bats/tagged/ecosystem-guardians</t>
  </si>
  <si>
    <t xml:space="preserve">https://www.bigbatbox.com/it/blogs/habitat-of-bats/tagged/bat-house-usa-climate</t>
  </si>
  <si>
    <t xml:space="preserve">https://www.bigbatbox.com/de/blogs/habitat-of-bats/tagged/bat-diet</t>
  </si>
  <si>
    <t xml:space="preserve">https://www.bigbatbox.com/fr/blogs/habitat-of-bats/tagged/bat-house-pole</t>
  </si>
  <si>
    <t xml:space="preserve">https://www.bigbatbox.com/en-ca/blogs/habitat-of-bats/where-to-put-a-bat-house-in-your-yard</t>
  </si>
  <si>
    <t xml:space="preserve">https://www.bigbatbox.com/es/blogs/habitat-of-bats/tagged/bat-house-installation</t>
  </si>
  <si>
    <t xml:space="preserve">https://www.bigbatbox.com/it/blogs/types-of-squirrels/tagged/winter-wildlife</t>
  </si>
  <si>
    <t xml:space="preserve">https://www.bigbatbox.com/en-ca/blogs/bee-species/tagged/bees-pollination</t>
  </si>
  <si>
    <t xml:space="preserve">https://www.bigbatbox.com/en-ca/blogs/bee-species/tagged/bees-diet</t>
  </si>
  <si>
    <t xml:space="preserve">https://www.bigbatbox.com/de/blogs/fun-facts-about-owls/tagged/owl-safety</t>
  </si>
  <si>
    <t xml:space="preserve">https://www.bigbatbox.com/fr/blogs/backyard-birds/what-birds-eat-suet</t>
  </si>
  <si>
    <t xml:space="preserve">https://www.bigbatbox.com/blogs/habitat-of-bats/tagged/bat-house-temperature</t>
  </si>
  <si>
    <t xml:space="preserve">https://www.bigbatbox.com/de/blogs/habitat-of-bats/tagged/bat-houses-for-cold-climates</t>
  </si>
  <si>
    <t xml:space="preserve">https://www.bigbatbox.com/it/blogs/habitat-of-bats/tagged/painted-cedar-bat-house</t>
  </si>
  <si>
    <t xml:space="preserve">https://www.bigbatbox.com/fr/blogs/wildyard-learn/tagged/eco-friendly-gardening</t>
  </si>
  <si>
    <t xml:space="preserve">https://www.bigbatbox.com/de/blogs/types-of-squirrels/tagged/squirrel-house-feeder</t>
  </si>
  <si>
    <t xml:space="preserve">https://www.bigbatbox.com/de/blogs/habitat-of-bats/tagged/bat-house-wall-mount</t>
  </si>
  <si>
    <t xml:space="preserve">https://www.bigbatbox.com/it/blogs/fun-facts-about-owls/tagged/bat-and-owl</t>
  </si>
  <si>
    <t xml:space="preserve">https://www.bigbatbox.com/it/blogs/backyard-birds/what-birds-eat-suet</t>
  </si>
  <si>
    <t xml:space="preserve">https://www.bigbatbox.com/it/blogs/wildyard-learn/tagged/owl-houses</t>
  </si>
  <si>
    <t xml:space="preserve">https://www.bigbatbox.com/it/blogs/backyard-birds/tagged/woodpeckers</t>
  </si>
  <si>
    <t xml:space="preserve">https://www.bigbatbox.com/es/blogs/habitat-of-bats/tagged/bat-safety</t>
  </si>
  <si>
    <t xml:space="preserve">https://www.bigbatbox.com/en-ca/blogs/types-of-squirrels/tagged/buying-guide</t>
  </si>
  <si>
    <t xml:space="preserve">https://www.bigbatbox.com/es/blogs/types-of-squirrels/tagged/habitat</t>
  </si>
  <si>
    <t xml:space="preserve">https://www.bigbatbox.com/it/blogs/habitat-of-bats/tagged/bat-roosting-guide</t>
  </si>
  <si>
    <t xml:space="preserve">https://www.bigbatbox.com/de/blogs/habitat-of-bats/tagged/three-chamber-bat-box</t>
  </si>
  <si>
    <t xml:space="preserve">https://www.bigbatbox.com/it/blogs/fun-facts-about-owls/tagged/owl-box</t>
  </si>
  <si>
    <t xml:space="preserve">https://www.bigbatbox.com/en-ca/blogs/types-of-squirrels/tagged/squirrel-house</t>
  </si>
  <si>
    <t xml:space="preserve">https://www.bigbatbox.com/es/blogs/habitat-of-bats/tagged/how-to-attract-bats</t>
  </si>
  <si>
    <t xml:space="preserve">https://www.bigbatbox.com/fr/blogs/bee-species/tagged/bee-food-sources</t>
  </si>
  <si>
    <t xml:space="preserve">https://www.bigbatbox.com/es/blogs/bee-species/tagged/bee-lifecycle</t>
  </si>
  <si>
    <t xml:space="preserve">https://www.bigbatbox.com/blogs/habitat-of-bats/tagged/three-chamber-bat-box</t>
  </si>
  <si>
    <t xml:space="preserve">https://www.bigbatbox.com/es/collections</t>
  </si>
  <si>
    <t xml:space="preserve">https://www.bigbatbox.com/en-ca/blogs/fun-facts-about-owls/tagged/squirrels</t>
  </si>
  <si>
    <t xml:space="preserve">https://www.bigbatbox.com/it/blogs/bee-species/tagged/environmental-health</t>
  </si>
  <si>
    <t xml:space="preserve">https://www.bigbatbox.com/de/blogs/types-of-squirrels/tagged/squirrel-feeder</t>
  </si>
  <si>
    <t xml:space="preserve">https://www.bigbatbox.com/en-ca/blogs/habitat-of-bats/tagged/backyard-conservation</t>
  </si>
  <si>
    <t xml:space="preserve">https://www.bigbatbox.com/es/blogs/backyard-birds/tagged/suet-feeder</t>
  </si>
  <si>
    <t xml:space="preserve">https://www.bigbatbox.com/it/blogs/habitat-of-bats/14-fascinating-facts-about-bats</t>
  </si>
  <si>
    <t xml:space="preserve">https://www.bigbatbox.com/it/blogs/backyard-birds/can-you-feed-suet-in-summer</t>
  </si>
  <si>
    <t xml:space="preserve">https://www.bigbatbox.com/blogs/habitat-of-bats/tagged/bigbatbox</t>
  </si>
  <si>
    <t xml:space="preserve">https://www.bigbatbox.com/es/blogs/types-of-squirrels/tagged/wildlife-lifespan</t>
  </si>
  <si>
    <t xml:space="preserve">https://www.bigbatbox.com/es/blogs/fun-facts-about-owls/tagged/nocturnal-animals</t>
  </si>
  <si>
    <t xml:space="preserve">https://www.bigbatbox.com/blogs/habitat-of-bats/tagged/night-wildlife-support</t>
  </si>
  <si>
    <t xml:space="preserve">https://www.bigbatbox.com/it/blogs/fun-facts-about-owls/owl-sounds-decoded</t>
  </si>
  <si>
    <t xml:space="preserve">https://www.bigbatbox.com/de/blogs/bee-species/tagged/bee-biology</t>
  </si>
  <si>
    <t xml:space="preserve">https://www.bigbatbox.com/it/blogs/backyard-birds/tagged/squirrels</t>
  </si>
  <si>
    <t xml:space="preserve">https://www.bigbatbox.com/fr/blogs/fun-facts-about-owls/why-do-owls-hoot-at-night</t>
  </si>
  <si>
    <t xml:space="preserve">https://www.bigbatbox.com/fr/blogs/habitat-of-bats/tagged/insect-control</t>
  </si>
  <si>
    <t xml:space="preserve">https://www.bigbatbox.com/de/blogs/types-of-squirrels/tagged/wildlife-lifespan</t>
  </si>
  <si>
    <t xml:space="preserve">https://www.bigbatbox.com/en-ca/blogs/habitat-of-bats/tagged/bat-house-mosquito-control</t>
  </si>
  <si>
    <t xml:space="preserve">https://www.bigbatbox.com/it/blogs/habitat-of-bats/tagged/best-bat-house-setup</t>
  </si>
  <si>
    <t xml:space="preserve">https://www.bigbatbox.com/en-ca/blogs/types-of-squirrels/tagged/cedar-habitat</t>
  </si>
  <si>
    <t xml:space="preserve">https://www.bigbatbox.com/de/blogs/types-of-squirrels/tagged/wildlife-guide</t>
  </si>
  <si>
    <t xml:space="preserve">https://www.bigbatbox.com/es/blogs/habitat-of-bats/tagged/insect-control-naturally</t>
  </si>
  <si>
    <t xml:space="preserve">https://www.bigbatbox.com/blogs/habitat-of-bats/tagged/mammal-facts</t>
  </si>
  <si>
    <t xml:space="preserve">https://www.bigbatbox.com/en-ca/blogs/bee-species/tagged/wildlife</t>
  </si>
  <si>
    <t xml:space="preserve">https://www.bigbatbox.com/es/blogs/habitat-of-bats/tagged/attract-bats</t>
  </si>
  <si>
    <t xml:space="preserve">https://www.bigbatbox.com/es/blogs/fun-facts-about-owls/tagged/night-sounds</t>
  </si>
  <si>
    <t xml:space="preserve">https://www.bigbatbox.com/de/blogs/habitat-of-bats/tagged/night-wildlife-support</t>
  </si>
  <si>
    <t xml:space="preserve">https://www.bigbatbox.com/es/blogs/habitat-of-bats/tagged/humane-bat-removal</t>
  </si>
  <si>
    <t xml:space="preserve">https://www.bigbatbox.com/fr/blogs/habitat-of-bats/tagged/bat-proofing-tips</t>
  </si>
  <si>
    <t xml:space="preserve">https://www.bigbatbox.com/blogs/habitat-of-bats/tagged/bat-friendly-backyard</t>
  </si>
  <si>
    <t xml:space="preserve">https://www.bigbatbox.com/blogs/habitat-of-bats/tagged/cold-climate-bat-box</t>
  </si>
  <si>
    <t xml:space="preserve">https://www.bigbatbox.com/es/blogs/types-of-squirrels/tagged/squirrel-behavior</t>
  </si>
  <si>
    <t xml:space="preserve">https://www.bigbatbox.com/it/blogs/habitat-of-bats/tagged/bat-house-mosquito-control</t>
  </si>
  <si>
    <t xml:space="preserve">https://www.bigbatbox.com/fr/blogs/backyard-birds</t>
  </si>
  <si>
    <t xml:space="preserve">https://www.bigbatbox.com/blogs/fun-facts-about-owls/tagged/owl-calls</t>
  </si>
  <si>
    <t xml:space="preserve">https://www.bigbatbox.com/es/blogs/fun-facts-about-owls/tagged/owl-boxes</t>
  </si>
  <si>
    <t xml:space="preserve">https://www.bigbatbox.com/it/blogs/habitat-of-bats/best-bat-boxes-for-mosquito-control-simple-guide-real-example</t>
  </si>
  <si>
    <t xml:space="preserve">https://www.bigbatbox.com/es/blogs/fun-facts-about-owls/tagged/ecological-balance</t>
  </si>
  <si>
    <t xml:space="preserve">https://www.bigbatbox.com/blogs/wildyard-learn/tagged/garden-pollinators</t>
  </si>
  <si>
    <t xml:space="preserve">https://www.bigbatbox.com/it/blogs/habitat-of-bats/tagged/bat-control</t>
  </si>
  <si>
    <t xml:space="preserve">https://www.bigbatbox.com/it/pages/cedar-squirrel-house</t>
  </si>
  <si>
    <t xml:space="preserve">https://www.bigbatbox.com/it/blogs/backyard-birds/tagged/no-melt-suet</t>
  </si>
  <si>
    <t xml:space="preserve">https://www.bigbatbox.com/en-ca/blogs/fun-facts-about-owls/tagged/owl-attraction</t>
  </si>
  <si>
    <t xml:space="preserve">https://www.bigbatbox.com/de/blogs/habitat-of-bats/tagged/bat-house-mosquito-control</t>
  </si>
  <si>
    <t xml:space="preserve">https://www.bigbatbox.com/fr/blogs/habitat-of-bats/tagged/cedar-bat-box</t>
  </si>
  <si>
    <t xml:space="preserve">https://www.bigbatbox.com/es/blogs/backyard-birds/tagged/seasonal-feeding</t>
  </si>
  <si>
    <t xml:space="preserve">https://www.bigbatbox.com/fr/blogs/habitat-of-bats/tagged/two-chamber-bat-box</t>
  </si>
  <si>
    <t xml:space="preserve">https://www.bigbatbox.com/en-ca/blogs/habitat-of-bats/tagged/bat-houses-for-cold-climates</t>
  </si>
  <si>
    <t xml:space="preserve">https://www.bigbatbox.com/fr/blogs/habitat-of-bats/tagged/diy-bat-house</t>
  </si>
  <si>
    <t xml:space="preserve">https://www.bigbatbox.com/it/blogs/habitat-of-bats/where-to-put-a-bat-house-in-your-yard</t>
  </si>
  <si>
    <t xml:space="preserve">https://www.bigbatbox.com/it/blogs/types-of-squirrels/how-long-do-squirrels-live</t>
  </si>
  <si>
    <t xml:space="preserve">https://www.bigbatbox.com/blogs/habitat-of-bats/tagged/insect-control-naturally</t>
  </si>
  <si>
    <t xml:space="preserve">https://www.bigbatbox.com/de/blogs/habitat-of-bats/tagged/wildlife-management</t>
  </si>
  <si>
    <t xml:space="preserve">https://www.bigbatbox.com/en-ca/blogs/fun-facts-about-owls/tagged/owl-behavior</t>
  </si>
  <si>
    <t xml:space="preserve">https://www.bigbatbox.com/en-ca/blogs/habitat-of-bats/tagged/garden-insect-control</t>
  </si>
  <si>
    <t xml:space="preserve">https://www.bigbatbox.com/de/blogs/types-of-squirrels/tagged/seasonal-guide</t>
  </si>
  <si>
    <t xml:space="preserve">https://www.bigbatbox.com/es/blogs/habitat-of-bats/tagged/sustainable-bat-boxes</t>
  </si>
  <si>
    <t xml:space="preserve">https://www.bigbatbox.com/it/blogs/habitat-of-bats/tagged/bat-roost-guide</t>
  </si>
  <si>
    <t xml:space="preserve">https://www.bigbatbox.com/fr/blogs/habitat-of-bats/tagged/what-do-bats-eat</t>
  </si>
  <si>
    <t xml:space="preserve">https://www.bigbatbox.com/it/blogs/habitat-of-bats/tagged/bat-box-placement</t>
  </si>
  <si>
    <t xml:space="preserve">https://www.bigbatbox.com/blogs/habitat-of-bats/tagged/one-chamber-bat-box</t>
  </si>
  <si>
    <t xml:space="preserve">https://www.bigbatbox.com/it/blogs/fun-facts-about-owls/tagged/owls</t>
  </si>
  <si>
    <t xml:space="preserve">https://www.bigbatbox.com/en-ca/blogs/habitat-of-bats/tagged/bat-house-direction</t>
  </si>
  <si>
    <t xml:space="preserve">https://www.bigbatbox.com/es/blogs/habitat-of-bats/tagged/bat-house-for-cold-climates</t>
  </si>
  <si>
    <t xml:space="preserve">https://www.bigbatbox.com/de/blogs/habitat-of-bats/tagged/bat-house-distance-from-trees</t>
  </si>
  <si>
    <t xml:space="preserve">https://www.bigbatbox.com/fr/blogs/types-of-squirrels/tagged/seasonal-guide</t>
  </si>
  <si>
    <t xml:space="preserve">https://www.bigbatbox.com/en-ca/blogs/fun-facts-about-owls/why-do-owls-hoot-at-night</t>
  </si>
  <si>
    <t xml:space="preserve">https://www.bigbatbox.com/de/blogs/types-of-squirrels/tagged/squirrel-house</t>
  </si>
  <si>
    <t xml:space="preserve">https://www.bigbatbox.com/it/collections</t>
  </si>
  <si>
    <t xml:space="preserve">https://www.bigbatbox.com/it/blogs/bee-species/tagged/bee-identification</t>
  </si>
  <si>
    <t xml:space="preserve">https://www.bigbatbox.com/it/blogs/fun-facts-about-owls/tagged/predators</t>
  </si>
  <si>
    <t xml:space="preserve">https://www.bigbatbox.com/en-ca/blogs/habitat-of-bats/tagged/2026-trends</t>
  </si>
  <si>
    <t xml:space="preserve">https://www.bigbatbox.com/blogs/habitat-of-bats/tagged/bat-conservation</t>
  </si>
  <si>
    <t xml:space="preserve">https://www.bigbatbox.com/es/blogs/bee-species/tagged/mason-bees</t>
  </si>
  <si>
    <t xml:space="preserve">https://www.bigbatbox.com/it/blogs/bee-species/tagged/ecosystem</t>
  </si>
  <si>
    <t xml:space="preserve">https://www.bigbatbox.com/fr/blogs/habitat-of-bats/tagged/best-bat-house-placement</t>
  </si>
  <si>
    <t xml:space="preserve">https://www.bigbatbox.com/es/blogs/fun-facts-about-owls/tagged/owl-attraction</t>
  </si>
  <si>
    <t xml:space="preserve">https://www.bigbatbox.com/fr/blogs/habitat-of-bats/tagged/bat-house-usa-climate</t>
  </si>
  <si>
    <t xml:space="preserve">https://www.bigbatbox.com/fr/blogs/types-of-squirrels/are-squirrels-nocturnal</t>
  </si>
  <si>
    <t xml:space="preserve">https://www.bigbatbox.com/en-ca/blogs/fun-facts-about-owls/tagged/great-horned-owl</t>
  </si>
  <si>
    <t xml:space="preserve">https://www.bigbatbox.com/en-ca/blogs/bee-species/tagged/bee-communication</t>
  </si>
  <si>
    <t xml:space="preserve">https://www.bigbatbox.com/it/blogs/backyard-birds/tagged/backyard-birds</t>
  </si>
  <si>
    <t xml:space="preserve">https://www.bigbatbox.com/fr/pages/bat-houses-for-sale</t>
  </si>
  <si>
    <t xml:space="preserve">https://www.bigbatbox.com/en-ca/blogs/habitat-of-bats/tagged/sustainable-bat-boxes</t>
  </si>
  <si>
    <t xml:space="preserve">https://www.bigbatbox.com/it/blogs/habitat-of-bats/tagged/bat-house-height</t>
  </si>
  <si>
    <t xml:space="preserve">https://www.bigbatbox.com/it/blogs/types-of-squirrels/tagged/seasonal-guide</t>
  </si>
  <si>
    <t xml:space="preserve">https://www.bigbatbox.com/fr/blogs/types-of-squirrels/tagged/squirrel-care</t>
  </si>
  <si>
    <t xml:space="preserve">https://www.bigbatbox.com/es/blogs/wildyard-learn/tagged/garden-pollinators</t>
  </si>
  <si>
    <t xml:space="preserve">https://www.bigbatbox.com/blogs/habitat-of-bats/tagged/sustainable-bat-boxes</t>
  </si>
  <si>
    <t xml:space="preserve">https://www.bigbatbox.com/es/blogs/bee-species/where-to-hang-a-bee-house</t>
  </si>
  <si>
    <t xml:space="preserve">https://www.bigbatbox.com/en-ca/blogs/wildyard-learn/tagged/eco-friendly-gardening</t>
  </si>
  <si>
    <t xml:space="preserve">https://www.bigbatbox.com/fr/blogs/habitat-of-bats/tagged/bat-roosting-guide</t>
  </si>
  <si>
    <t xml:space="preserve">https://www.bigbatbox.com/it/blogs/types-of-squirrels/tagged/wildyard</t>
  </si>
  <si>
    <t xml:space="preserve">https://www.bigbatbox.com/fr/blogs/habitat-of-bats/tagged/wildlife-management</t>
  </si>
  <si>
    <t xml:space="preserve">https://www.bigbatbox.com/en-ca/blogs/habitat-of-bats/tagged/water-for-bats</t>
  </si>
  <si>
    <t xml:space="preserve">https://www.bigbatbox.com/fr/blogs/wildyard-news</t>
  </si>
  <si>
    <t xml:space="preserve">https://www.bigbatbox.com/it/blogs/bee-species/tagged/pollinator-nutrition</t>
  </si>
  <si>
    <t xml:space="preserve">https://www.bigbatbox.com/it/blogs/wildyard-learn/tagged/wildlife-maintenance</t>
  </si>
  <si>
    <t xml:space="preserve">https://www.bigbatbox.com/es/blogs/habitat-of-bats/tagged/are-bats-dangerous</t>
  </si>
  <si>
    <t xml:space="preserve">https://www.bigbatbox.com/it/blogs/habitat-of-bats/tagged/natural-pest-control</t>
  </si>
  <si>
    <t xml:space="preserve">https://www.bigbatbox.com/it/blogs/habitat-of-bats/tagged/wildlife-conservation</t>
  </si>
  <si>
    <t xml:space="preserve">https://www.bigbatbox.com/fr/blogs/types-of-squirrels/tagged/backyard-wildlife</t>
  </si>
  <si>
    <t xml:space="preserve">https://www.bigbatbox.com/es/blogs/habitat-of-bats/tagged/multi-chamber-bat-house</t>
  </si>
  <si>
    <t xml:space="preserve">https://www.bigbatbox.com/en-ca/blogs/backyard-birds/tagged/clinging-birds</t>
  </si>
  <si>
    <t xml:space="preserve">https://www.bigbatbox.com/it/blogs/fun-facts-about-owls/tagged/barn-owl-box</t>
  </si>
  <si>
    <t xml:space="preserve">https://www.bigbatbox.com/it/blogs/habitat-of-bats/tagged/bat-houses-for-cold-climates</t>
  </si>
  <si>
    <t xml:space="preserve">https://www.bigbatbox.com/de/blogs/habitat-of-bats/tagged/water-for-bats</t>
  </si>
  <si>
    <t xml:space="preserve">https://www.bigbatbox.com/en-ca/blogs/habitat-of-bats/tagged/bat-boxes</t>
  </si>
  <si>
    <t xml:space="preserve">https://www.bigbatbox.com/es/blogs/habitat-of-bats/tagged/cedar-bat-box</t>
  </si>
  <si>
    <t xml:space="preserve">https://www.bigbatbox.com/fr/blogs/habitat-of-bats/tagged/bat-habitat</t>
  </si>
  <si>
    <t xml:space="preserve">https://www.bigbatbox.com/it/blogs/bee-species/tagged/fun-facts-about-bees</t>
  </si>
  <si>
    <t xml:space="preserve">https://www.bigbatbox.com/fr/blogs/types-of-squirrels/how-long-do-squirrels-live</t>
  </si>
  <si>
    <t xml:space="preserve">https://www.bigbatbox.com/blogs/backyard-birds/tagged/seasonal-feeding</t>
  </si>
  <si>
    <t xml:space="preserve">https://www.bigbatbox.com/de/blogs/types-of-squirrels/tagged/backyard-wildlife</t>
  </si>
  <si>
    <t xml:space="preserve">https://www.bigbatbox.com/es/blogs/fun-facts-about-owls/tagged/wildlife-lifespan</t>
  </si>
  <si>
    <t xml:space="preserve">https://www.bigbatbox.com/es/blogs/habitat-of-bats/tagged/sustainable-gardens</t>
  </si>
  <si>
    <t xml:space="preserve">https://www.bigbatbox.com/en-ca/blogs/types-of-squirrels/tagged/seasonal-guide</t>
  </si>
  <si>
    <t xml:space="preserve">https://www.bigbatbox.com/de/blogs/habitat-of-bats/tagged/bat-proofing-tips</t>
  </si>
  <si>
    <t xml:space="preserve">https://www.bigbatbox.com/fr/blogs/fun-facts-about-owls/tagged/snowy-owl</t>
  </si>
  <si>
    <t xml:space="preserve">https://www.bigbatbox.com/it/blogs/habitat-of-bats/what-are-the-bat-house-kits</t>
  </si>
  <si>
    <t xml:space="preserve">https://www.bigbatbox.com/es/blogs/fun-facts-about-owls/tagged/pet-safety</t>
  </si>
  <si>
    <t xml:space="preserve">https://www.bigbatbox.com/en-ca/blogs/bee-species/tagged/solitary-bees</t>
  </si>
  <si>
    <t xml:space="preserve">https://www.bigbatbox.com/es/blogs/habitat-of-bats/tagged/bat-house-advice</t>
  </si>
  <si>
    <t xml:space="preserve">https://www.bigbatbox.com/es/blogs/backyard-birds/tagged/squirrels</t>
  </si>
  <si>
    <t xml:space="preserve">https://www.bigbatbox.com/en-ca/blogs/types-of-squirrels/tagged/winter-wildlife</t>
  </si>
  <si>
    <t xml:space="preserve">https://www.bigbatbox.com/fr/blogs/habitat-of-bats/tagged/bat-facts</t>
  </si>
  <si>
    <t xml:space="preserve">https://www.bigbatbox.com/it/blogs/fun-facts-about-owls/tagged/ecological-balance</t>
  </si>
  <si>
    <t xml:space="preserve">https://www.bigbatbox.com/fr/blogs/backyard-birds/tagged/hot-pepper-suet</t>
  </si>
  <si>
    <t xml:space="preserve">https://www.bigbatbox.com/it/blogs/bee-species/tagged/pollination-process</t>
  </si>
  <si>
    <t xml:space="preserve">https://www.bigbatbox.com/it/blogs/wildyard-learn/tagged/bee-houses</t>
  </si>
  <si>
    <t xml:space="preserve">https://www.bigbatbox.com/fr/blogs/habitat-of-bats/tagged/bats-near-home</t>
  </si>
  <si>
    <t xml:space="preserve">https://www.bigbatbox.com/en-ca/blogs/habitat-of-bats/tagged/where-to-mount-bat-house</t>
  </si>
  <si>
    <t xml:space="preserve">https://www.bigbatbox.com/it/blogs/habitat-of-bats/found-a-bat-in-the-house-in-winter-help-them-survive</t>
  </si>
  <si>
    <t xml:space="preserve">https://www.bigbatbox.com/blogs/bee-species/tagged/wildlife</t>
  </si>
  <si>
    <t xml:space="preserve">https://www.bigbatbox.com/de/blogs/backyard-birds/tagged/clinging-birds</t>
  </si>
  <si>
    <t xml:space="preserve">https://www.bigbatbox.com/de/blogs/habitat-of-bats/tagged/sustainable-gardens</t>
  </si>
  <si>
    <t xml:space="preserve">https://www.bigbatbox.com/it/blogs/fun-facts-about-owls/tagged/owl-sounds</t>
  </si>
  <si>
    <t xml:space="preserve">https://www.bigbatbox.com/de/blogs/fun-facts-about-owls/tagged/wildlife-habitats</t>
  </si>
  <si>
    <t xml:space="preserve">https://www.bigbatbox.com/es/blogs/habitat-of-bats/tagged/bat-ecology-at-home</t>
  </si>
  <si>
    <t xml:space="preserve">https://www.bigbatbox.com/blogs/habitat-of-bats/tagged/bat-species</t>
  </si>
  <si>
    <t xml:space="preserve">https://www.bigbatbox.com/de/blogs/conservation-partners/tagged/birds</t>
  </si>
  <si>
    <t xml:space="preserve">https://www.bigbatbox.com/fr/blogs/habitat-of-bats/tagged/bat-house-mosquito-control</t>
  </si>
  <si>
    <t xml:space="preserve">https://www.bigbatbox.com/en-ca/blogs/habitat-of-bats/why-you-need-a-bat-house-your-go-to-guide</t>
  </si>
  <si>
    <t xml:space="preserve">https://www.bigbatbox.com/it/blogs/bee-species/where-to-hang-a-bee-house</t>
  </si>
  <si>
    <t xml:space="preserve">https://www.bigbatbox.com/es/blogs/types-of-squirrels/tagged/squirrel-feeder-ideas</t>
  </si>
  <si>
    <t xml:space="preserve">https://www.bigbatbox.com/es/blogs/habitat-of-bats/tagged/water-for-bats</t>
  </si>
  <si>
    <t xml:space="preserve">https://www.bigbatbox.com/en-ca/blogs/bee-species/tagged/pollination-process</t>
  </si>
  <si>
    <t xml:space="preserve">https://www.bigbatbox.com/de/blogs/fun-facts-about-owls/tagged/predators</t>
  </si>
  <si>
    <t xml:space="preserve">https://www.bigbatbox.com/blogs/habitat-of-bats/tagged/south-facing-bat-house</t>
  </si>
  <si>
    <t xml:space="preserve">https://www.bigbatbox.com/blogs/types-of-squirrels/tagged/wildlife-feeding</t>
  </si>
  <si>
    <t xml:space="preserve">https://www.bigbatbox.com/fr/blogs/fun-facts-about-owls/tagged/bird-habitats</t>
  </si>
  <si>
    <t xml:space="preserve">https://www.bigbatbox.com/de/blogs/habitat-of-bats/tagged/wildlife-habitat</t>
  </si>
  <si>
    <t xml:space="preserve">https://www.bigbatbox.com/it/blogs/habitat-of-bats/bat-box-placement-guide-how-to-get-it-right</t>
  </si>
  <si>
    <t xml:space="preserve">https://www.bigbatbox.com/fr/products/wildyard-digital-gift-card</t>
  </si>
  <si>
    <t xml:space="preserve">https://www.bigbatbox.com/de/blogs/habitat-of-bats/tagged/bat-hibernation</t>
  </si>
  <si>
    <t xml:space="preserve">https://www.bigbatbox.com/it/blogs/habitat-of-bats/tagged/bat-housebat-conservation</t>
  </si>
  <si>
    <t xml:space="preserve">https://www.bigbatbox.com/en-ca/blogs/habitat-of-bats/tagged/help-bats-at-home</t>
  </si>
  <si>
    <t xml:space="preserve">https://www.bigbatbox.com/en-ca/blogs/habitat-of-bats/tagged/bat-house-colors</t>
  </si>
  <si>
    <t xml:space="preserve">https://www.bigbatbox.com/blogs/habitat-of-bats/tagged/bat-conservation-tips</t>
  </si>
  <si>
    <t xml:space="preserve">https://www.bigbatbox.com/es/blogs/habitat-of-bats/tagged/bat-habitat</t>
  </si>
  <si>
    <t xml:space="preserve">https://www.bigbatbox.com/it/blogs/bee-species/tagged/biodiversity</t>
  </si>
  <si>
    <t xml:space="preserve">https://www.bigbatbox.com/es/blogs/habitat-of-bats/tagged/wildyard-bat-houses</t>
  </si>
  <si>
    <t xml:space="preserve">https://www.bigbatbox.com/de/blogs/habitat-of-bats/tagged/bats-as-pollinators</t>
  </si>
  <si>
    <t xml:space="preserve">https://www.bigbatbox.com/blogs/fun-facts-about-owls/tagged/owl-hooting</t>
  </si>
  <si>
    <t xml:space="preserve">https://www.bigbatbox.com/de/blogs/bee-species/tagged/leafcutter-bees</t>
  </si>
  <si>
    <t xml:space="preserve">https://www.bigbatbox.com/it/blogs/fun-facts-about-owls/tagged/owl-calls</t>
  </si>
  <si>
    <t xml:space="preserve">https://www.bigbatbox.com/blogs/habitat-of-bats/tagged/dark-bat-house-benefits</t>
  </si>
  <si>
    <t xml:space="preserve">https://www.bigbatbox.com/es/blogs/conservation-partners/tagged/1-for-the-planet</t>
  </si>
  <si>
    <t xml:space="preserve">https://www.bigbatbox.com/fr/blogs/habitat-of-bats/tagged/bat-conservation-guide</t>
  </si>
  <si>
    <t xml:space="preserve">https://www.bigbatbox.com/en-ca/blogs/conservation-partners/tagged/conservation</t>
  </si>
  <si>
    <t xml:space="preserve">https://www.bigbatbox.com/fr/blogs/fun-facts-about-owls/tagged/great-horned-owl</t>
  </si>
  <si>
    <t xml:space="preserve">https://www.bigbatbox.com/en-ca/blogs/fun-facts-about-owls/tagged/owl-hooting</t>
  </si>
  <si>
    <t xml:space="preserve">https://www.bigbatbox.com/en-ca/blogs/habitat-of-bats/tagged/bat-roosting-guide</t>
  </si>
  <si>
    <t xml:space="preserve">https://www.bigbatbox.com/it/blogs/types-of-squirrels/tagged/wildlife-guide</t>
  </si>
  <si>
    <t xml:space="preserve">https://www.bigbatbox.com/es/blogs/habitat-of-bats/tagged/best-bat-houses-for-cold-states</t>
  </si>
  <si>
    <t xml:space="preserve">https://www.bigbatbox.com/de/blogs/bee-species/tagged/bee-habitat-faq</t>
  </si>
  <si>
    <t xml:space="preserve">https://www.bigbatbox.com/en-ca/blogs/fun-facts-about-owls/tagged/backyard-wildlife</t>
  </si>
  <si>
    <t xml:space="preserve">https://www.bigbatbox.com/it/blogs/bee-species/do-solitary-bees-sting</t>
  </si>
  <si>
    <t xml:space="preserve">https://www.bigbatbox.com/en-ca/blogs/types-of-squirrels/tagged/squirrel-feeder-ideas</t>
  </si>
  <si>
    <t xml:space="preserve">https://www.bigbatbox.com/de/blogs/bee-species/tagged/pollinator-nutrition</t>
  </si>
  <si>
    <t xml:space="preserve">https://www.bigbatbox.com/de/blogs/habitat-of-bats?page=2</t>
  </si>
  <si>
    <t xml:space="preserve">https://www.bigbatbox.com/fr/blogs/habitat-of-bats/tagged/bat-diet</t>
  </si>
  <si>
    <t xml:space="preserve">https://www.bigbatbox.com/en-ca/blogs/habitat-of-bats/tagged/best-bat-boxes-for-mosquito-control</t>
  </si>
  <si>
    <t xml:space="preserve">https://www.bigbatbox.com/blogs/types-of-squirrels/tagged/squirrel-habitat</t>
  </si>
  <si>
    <t xml:space="preserve">https://www.bigbatbox.com/en-ca/blogs/habitat-of-bats/tagged/bat-house-distance-from-trees</t>
  </si>
  <si>
    <t xml:space="preserve">https://www.bigbatbox.com/blogs/habitat-of-bats/tagged/bats-near-home</t>
  </si>
  <si>
    <t xml:space="preserve">https://www.bigbatbox.com/es/blogs/bee-species/tagged/bumblebees</t>
  </si>
  <si>
    <t xml:space="preserve">https://www.bigbatbox.com/es/blogs/fun-facts-about-owls/tagged/great-horned-owl</t>
  </si>
  <si>
    <t xml:space="preserve">https://www.bigbatbox.com/en-ca/blogs/bee-species/tagged/honey-bees</t>
  </si>
  <si>
    <t xml:space="preserve">https://www.bigbatbox.com/de/blogs/habitat-of-bats/tagged/insect-control</t>
  </si>
  <si>
    <t xml:space="preserve">https://www.bigbatbox.com/it/pages/faq</t>
  </si>
  <si>
    <t xml:space="preserve">https://www.bigbatbox.com/fr/blogs/habitat-of-bats/bat-box-placement-guide-how-to-get-it-right</t>
  </si>
  <si>
    <t xml:space="preserve">https://www.bigbatbox.com/fr/blogs/habitat-of-bats/tagged/wildlife-friendly-home</t>
  </si>
  <si>
    <t xml:space="preserve">https://www.bigbatbox.com/en-ca/blogs/habitat-of-bats/tagged/mounting-bat-houses</t>
  </si>
  <si>
    <t xml:space="preserve">https://www.bigbatbox.com/it/blogs/habitat-of-bats/tagged/get-rid-of-bats</t>
  </si>
  <si>
    <t xml:space="preserve">https://www.bigbatbox.com/fr/blogs/habitat-of-bats/the-definitive-guide-to-backyard-mosquito-control</t>
  </si>
  <si>
    <t xml:space="preserve">https://www.bigbatbox.com/it/blogs/habitat-of-bats/the-surprising-benefits-of-bat-boxes-and-why-you-should-have-one</t>
  </si>
  <si>
    <t xml:space="preserve">https://www.bigbatbox.com/de/blogs/habitat-of-bats/tagged/eco-friendly-bat-house</t>
  </si>
  <si>
    <t xml:space="preserve">https://www.bigbatbox.com/fr/blogs/habitat-of-bats/tagged/bat-house-temperature</t>
  </si>
  <si>
    <t xml:space="preserve">https://www.bigbatbox.com/es/blogs/bee-species/tagged/bees-diet</t>
  </si>
  <si>
    <t xml:space="preserve">https://www.bigbatbox.com/es/blogs/fun-facts-about-owls/tagged/owl-sounds</t>
  </si>
  <si>
    <t xml:space="preserve">https://www.bigbatbox.com/de/blogs/bee-species/tagged/hive-behavior</t>
  </si>
  <si>
    <t xml:space="preserve">https://www.bigbatbox.com/es/blogs/habitat-of-bats/tagged/black-bat-house</t>
  </si>
  <si>
    <t xml:space="preserve">https://www.bigbatbox.com/en-ca/blogs/fun-facts-about-owls/tagged/wildlife-lifespan</t>
  </si>
  <si>
    <t xml:space="preserve">https://www.bigbatbox.com/it/blogs/types-of-squirrels/tagged/wildlife-lifespan</t>
  </si>
  <si>
    <t xml:space="preserve">https://www.bigbatbox.com/en-ca/blogs/backyard-birds/tagged/backyard-birds</t>
  </si>
  <si>
    <t xml:space="preserve">https://www.bigbatbox.com/blogs/habitat-of-bats/tagged/natural-pest-control</t>
  </si>
  <si>
    <t xml:space="preserve">https://www.bigbatbox.com/en-ca/blogs/backyard-birds/tagged/suet-for-birds</t>
  </si>
  <si>
    <t xml:space="preserve">https://www.bigbatbox.com/en-ca/blogs/fun-facts-about-owls/tagged/bat-and-owl</t>
  </si>
  <si>
    <t xml:space="preserve">https://www.bigbatbox.com/de/blogs/habitat-of-bats/tagged/bat-house-sun-exposure</t>
  </si>
  <si>
    <t xml:space="preserve">https://www.bigbatbox.com/en-ca/blogs/habitat-of-bats/tagged/mosquito-controlbackyard-wildlife</t>
  </si>
  <si>
    <t xml:space="preserve">https://www.bigbatbox.com/fr/blogs/habitat-of-bats/tagged/bat-house-placement-guide</t>
  </si>
  <si>
    <t xml:space="preserve">https://www.bigbatbox.com/es/blogs/habitat-of-bats/tagged/best-bat-houses</t>
  </si>
  <si>
    <t xml:space="preserve">https://www.bigbatbox.com/es/blogs/types-of-squirrels/tagged/buying-guide</t>
  </si>
  <si>
    <t xml:space="preserve">https://www.bigbatbox.com/it/blogs/backyard-birds/tagged/hot-pepper-suet</t>
  </si>
  <si>
    <t xml:space="preserve">https://www.bigbatbox.com/fr/blogs/habitat-of-bats/why-bats-are-the-best-mosquito-eaters</t>
  </si>
  <si>
    <t xml:space="preserve">https://www.bigbatbox.com/es/blogs/habitat-of-bats/tagged/backyard-pest-control</t>
  </si>
  <si>
    <t xml:space="preserve">https://www.bigbatbox.com/de/blogs/habitat-of-bats/tagged/how-to-attract-bats</t>
  </si>
  <si>
    <t xml:space="preserve">https://www.bigbatbox.com/es/blogs/bee-species/tagged/bee-biology</t>
  </si>
  <si>
    <t xml:space="preserve">https://www.bigbatbox.com/it/pages/1-for-the-planet-merlin-tuttle-x-wild-yard</t>
  </si>
  <si>
    <t xml:space="preserve">https://www.bigbatbox.com/fr/blogs/backyard-birds/tagged/no-melt-suet</t>
  </si>
  <si>
    <t xml:space="preserve">https://www.bigbatbox.com/en-ca/blogs/bee-species/tagged/hive-behavior</t>
  </si>
  <si>
    <t xml:space="preserve">https://www.bigbatbox.com/it/collections/certified-bat-houses</t>
  </si>
  <si>
    <t xml:space="preserve">https://www.bigbatbox.com/it/blogs/types-of-squirrels/tagged/backyard-habitat</t>
  </si>
  <si>
    <t xml:space="preserve">https://www.bigbatbox.com/en-ca/blogs/habitat-of-bats/tagged/night-wildlife-support</t>
  </si>
  <si>
    <t xml:space="preserve">https://www.bigbatbox.com/blogs/fun-facts-about-owls?page=2</t>
  </si>
  <si>
    <t xml:space="preserve">https://www.bigbatbox.com/fr/blogs/fun-facts-about-owls/how-long-do-owls-live</t>
  </si>
  <si>
    <t xml:space="preserve">https://www.bigbatbox.com/fr/blogs/habitat-of-bats/tagged/bat-conservation</t>
  </si>
  <si>
    <t xml:space="preserve">https://www.bigbatbox.com/it/pages/contact</t>
  </si>
  <si>
    <t xml:space="preserve">https://www.bigbatbox.com/fr/blogs/habitat-of-bats/tagged/mosquito-controlbackyard-wildlife</t>
  </si>
  <si>
    <t xml:space="preserve">https://www.bigbatbox.com/es/blogs/habitat-of-bats/tagged/garden-insect-control</t>
  </si>
  <si>
    <t xml:space="preserve">https://www.bigbatbox.com/it/blogs/habitat-of-bats/tagged/bat-conservation-tips</t>
  </si>
  <si>
    <t xml:space="preserve">https://www.bigbatbox.com/es/blogs/types-of-squirrels/how-long-do-squirrels-live</t>
  </si>
  <si>
    <t xml:space="preserve">https://www.bigbatbox.com/de/blogs/habitat-of-bats/tagged/ecosystem-guardians</t>
  </si>
  <si>
    <t xml:space="preserve">https://www.bigbatbox.com/es/blogs/bee-species/tagged/bee-communication</t>
  </si>
  <si>
    <t xml:space="preserve">https://www.bigbatbox.com/de/blogs/types-of-squirrels/tagged/nest-box-maintenance</t>
  </si>
  <si>
    <t xml:space="preserve">https://www.bigbatbox.com/en-ca/blogs/bee-species/tagged/nature-s-architects</t>
  </si>
  <si>
    <t xml:space="preserve">https://www.bigbatbox.com/blogs/fun-facts-about-owls/tagged/bird-habitats</t>
  </si>
  <si>
    <t xml:space="preserve">https://www.bigbatbox.com/blogs/habitat-of-bats/tagged/usa-bat-house-guide</t>
  </si>
  <si>
    <t xml:space="preserve">https://www.bigbatbox.com/de/blogs/habitat-of-bats/tagged/eco-friendly-pest-solutions</t>
  </si>
  <si>
    <t xml:space="preserve">https://www.bigbatbox.com/fr/blogs/bee-species/tagged/mason-bees</t>
  </si>
  <si>
    <t xml:space="preserve">https://www.bigbatbox.com/en-ca/blogs/types-of-squirrels/tagged/wildlife-feeding</t>
  </si>
  <si>
    <t xml:space="preserve">https://www.bigbatbox.com/en-ca/blogs/habitat-of-bats/tagged/wildyard-bat-houses</t>
  </si>
  <si>
    <t xml:space="preserve">https://www.bigbatbox.com/de/blogs/habitat-of-bats/tagged/bat-conservation-guide</t>
  </si>
  <si>
    <t xml:space="preserve">https://www.bigbatbox.com/blogs/backyard-birds/tagged/woodpeckers</t>
  </si>
  <si>
    <t xml:space="preserve">https://www.bigbatbox.com/it/blogs/habitat-of-bats/tagged/one-chamber-bat-box</t>
  </si>
  <si>
    <t xml:space="preserve">https://www.bigbatbox.com/en-ca/blogs/habitat-of-bats?page=3</t>
  </si>
  <si>
    <t xml:space="preserve">https://www.bigbatbox.com/fr/blogs/habitat-of-bats/tagged/eco-friendly-pest-solutions</t>
  </si>
  <si>
    <t xml:space="preserve">https://www.bigbatbox.com/fr/blogs/bee-species/tagged/wildlife</t>
  </si>
  <si>
    <t xml:space="preserve">https://www.bigbatbox.com/de/blogs/habitat-of-bats/tagged/mosquito-controlbackyard-wildlife</t>
  </si>
  <si>
    <t xml:space="preserve">https://www.bigbatbox.com/it/blogs/bee-species/tagged/bees-pollination</t>
  </si>
  <si>
    <t xml:space="preserve">https://www.bigbatbox.com/fr/collections/certified-bat-houses</t>
  </si>
  <si>
    <t xml:space="preserve">https://www.bigbatbox.com/it/blogs/habitat-of-bats/tagged/protect-bats</t>
  </si>
  <si>
    <t xml:space="preserve">https://www.bigbatbox.com/it/blogs/wildyard-learn/bats-bees-as-your-garden-pollinators</t>
  </si>
  <si>
    <t xml:space="preserve">https://www.bigbatbox.com/en-ca/blogs/habitat-of-bats/tagged/bat-conservation</t>
  </si>
  <si>
    <t xml:space="preserve">https://www.bigbatbox.com/it/blogs/types-of-squirrels/tagged/wildlife-feeding</t>
  </si>
  <si>
    <t xml:space="preserve">https://www.bigbatbox.com/es/blogs/habitat-of-bats?page=4</t>
  </si>
  <si>
    <t xml:space="preserve">https://www.bigbatbox.com/es/blogs/habitat-of-bats/tagged/protect-bats</t>
  </si>
  <si>
    <t xml:space="preserve">https://www.bigbatbox.com/it/blogs/bee-species/tagged/environmental-sustainability</t>
  </si>
  <si>
    <t xml:space="preserve">https://www.bigbatbox.com/de/blogs/fun-facts-about-owls/tagged/ecological-balance</t>
  </si>
  <si>
    <t xml:space="preserve">https://www.bigbatbox.com/blogs/habitat-of-bats/tagged/bat-house-tips</t>
  </si>
  <si>
    <t xml:space="preserve">https://www.bigbatbox.com/fr/blogs/habitat-of-bats/why-a-black-bat-house-is-perfect-for-cooler-climates</t>
  </si>
  <si>
    <t xml:space="preserve">https://www.bigbatbox.com/de/blogs/habitat-of-bats/tagged/pollinator-friendly-yard</t>
  </si>
  <si>
    <t xml:space="preserve">https://www.bigbatbox.com/en-ca/blogs/habitat-of-bats/tagged/bat-box-guide</t>
  </si>
  <si>
    <t xml:space="preserve">https://www.bigbatbox.com/en-ca/blogs/habitat-of-bats/tagged/bat-facts</t>
  </si>
  <si>
    <t xml:space="preserve">https://www.bigbatbox.com/es/blogs/habitat-of-bats/tagged/wildlife-friendly-backyard</t>
  </si>
  <si>
    <t xml:space="preserve">https://www.bigbatbox.com/fr/blogs/types-of-squirrels/tagged/wildyard</t>
  </si>
  <si>
    <t xml:space="preserve">https://www.bigbatbox.com/blogs/habitat-of-bats/tagged/pollinator-friendly-yard</t>
  </si>
  <si>
    <t xml:space="preserve">https://www.bigbatbox.com/it/blogs/bee-species/tagged/bee-hotels</t>
  </si>
  <si>
    <t xml:space="preserve">https://www.bigbatbox.com/es/blogs/habitat-of-bats/tagged/bat-conservation-guide</t>
  </si>
  <si>
    <t xml:space="preserve">https://www.bigbatbox.com/fr/blogs/habitat-of-bats/tagged/best-bat-house-setup</t>
  </si>
  <si>
    <t xml:space="preserve">https://www.bigbatbox.com/de/blogs/habitat-of-bats/tagged/sustainable-bat-boxes</t>
  </si>
  <si>
    <t xml:space="preserve">https://www.bigbatbox.com/it/blogs/habitat-of-bats/tagged/eco-friendly-bat-shelter</t>
  </si>
  <si>
    <t xml:space="preserve">https://www.bigbatbox.com/en-ca/blogs/habitat-of-bats/tagged/bat-friendly-backyard</t>
  </si>
  <si>
    <t xml:space="preserve">https://www.bigbatbox.com/de/blogs/habitat-of-bats/tagged/backyard-pest-control</t>
  </si>
  <si>
    <t xml:space="preserve">https://www.bigbatbox.com/it/blogs/bee-species/tagged/honey-bees</t>
  </si>
  <si>
    <t xml:space="preserve">https://www.bigbatbox.com/fr/blogs/habitat-of-bats/tagged/bat-box-sunlight-requirements</t>
  </si>
  <si>
    <t xml:space="preserve">https://www.bigbatbox.com/de/blogs/habitat-of-bats/tagged/backyard-wildlife</t>
  </si>
  <si>
    <t xml:space="preserve">https://www.bigbatbox.com/fr/blogs/habitat-of-bats/tagged/south-facing-bat-house</t>
  </si>
  <si>
    <t xml:space="preserve">https://www.bigbatbox.com/it/blogs/wildyard-learn/tagged/wildlife-shelter</t>
  </si>
  <si>
    <t xml:space="preserve">https://www.bigbatbox.com/es/blogs/conservation-partners/tagged/conservation</t>
  </si>
  <si>
    <t xml:space="preserve">https://www.bigbatbox.com/it/blogs/habitat-of-bats/tagged/pollinator-friendly-yard</t>
  </si>
  <si>
    <t xml:space="preserve">https://www.bigbatbox.com/de/blogs/wildyard-learn/tagged/eco-friendly-gardening</t>
  </si>
  <si>
    <t xml:space="preserve">https://www.bigbatbox.com/de/blogs/habitat-of-bats/tagged/dark-bat-house-benefits</t>
  </si>
  <si>
    <t xml:space="preserve">https://www.bigbatbox.com/es/blogs/fun-facts-about-owls/do-owls-eat-squirrels</t>
  </si>
  <si>
    <t xml:space="preserve">https://www.bigbatbox.com/fr/blogs/habitat-of-bats/tagged/garden-insect-control</t>
  </si>
  <si>
    <t xml:space="preserve">https://www.bigbatbox.com/es/blogs/types-of-squirrels/tagged/wildlife-habitat</t>
  </si>
  <si>
    <t xml:space="preserve">https://www.bigbatbox.com/fr/blogs/fun-facts-about-owls/tagged/owl-calls</t>
  </si>
  <si>
    <t xml:space="preserve">https://www.bigbatbox.com/fr/blogs/habitat-of-bats/tagged/black-bat-house</t>
  </si>
  <si>
    <t xml:space="preserve">https://www.bigbatbox.com/de/blogs/habitat-of-bats/tagged/mosquito-control</t>
  </si>
  <si>
    <t xml:space="preserve">https://www.bigbatbox.com/it/blogs/habitat-of-bats/tagged/bat-house-advice</t>
  </si>
  <si>
    <t xml:space="preserve">https://www.bigbatbox.com/de/blogs/habitat-of-bats/tagged/bat-friendly-backyard</t>
  </si>
  <si>
    <t xml:space="preserve">https://www.bigbatbox.com/en-ca/blogs/conservation-partners</t>
  </si>
  <si>
    <t xml:space="preserve">https://www.bigbatbox.com/it/blogs/habitat-of-bats/tagged/bigbatbox</t>
  </si>
  <si>
    <t xml:space="preserve">https://www.bigbatbox.com/es/blogs/habitat-of-bats/tagged/wildlife-bat-box-guide</t>
  </si>
  <si>
    <t xml:space="preserve">https://www.bigbatbox.com/blogs/habitat-of-bats/tagged/bat-hibernation</t>
  </si>
  <si>
    <t xml:space="preserve">https://www.bigbatbox.com/de/blogs/fun-facts-about-owls/tagged/owl-nest-box</t>
  </si>
  <si>
    <t xml:space="preserve">https://www.bigbatbox.com/it/blogs/habitat-of-bats/tagged/diy-bat-box</t>
  </si>
  <si>
    <t xml:space="preserve">https://www.bigbatbox.com/it/blogs/habitat-of-bats/tagged/vampire-bats</t>
  </si>
  <si>
    <t xml:space="preserve">https://www.bigbatbox.com/de/blogs/types-of-squirrels/tagged/wildyard</t>
  </si>
  <si>
    <t xml:space="preserve">https://www.bigbatbox.com/it/blogs/habitat-of-bats/tagged/eco-friendly</t>
  </si>
  <si>
    <t xml:space="preserve">https://www.bigbatbox.com/es/blogs/habitat-of-bats/tagged/bat-species</t>
  </si>
  <si>
    <t xml:space="preserve">https://www.bigbatbox.com/en-ca/blogs/habitat-of-bats/tagged/bigbatbox</t>
  </si>
  <si>
    <t xml:space="preserve">https://www.bigbatbox.com/es/blogs/habitat-of-bats/tagged/best-bat-boxes-for-mosquito-control</t>
  </si>
  <si>
    <t xml:space="preserve">https://www.bigbatbox.com/es/blogs/habitat-of-bats/tagged/bat-benefits</t>
  </si>
  <si>
    <t xml:space="preserve">https://www.bigbatbox.com/it/blogs/types-of-squirrels/tagged/cedar-habitat</t>
  </si>
  <si>
    <t xml:space="preserve">https://www.bigbatbox.com/it/blogs/bee-species/tagged/honey-production</t>
  </si>
  <si>
    <t xml:space="preserve">https://www.bigbatbox.com/es/blogs/habitat-of-bats/tagged/bat-house-colors</t>
  </si>
  <si>
    <t xml:space="preserve">https://www.bigbatbox.com/fr/blogs/habitat-of-bats/14-fascinating-facts-about-bats</t>
  </si>
  <si>
    <t xml:space="preserve">https://www.bigbatbox.com/blogs/habitat-of-bats/tagged/wildlife-friendly-home</t>
  </si>
  <si>
    <t xml:space="preserve">https://www.bigbatbox.com/es/blogs/habitat-of-bats/tagged/bat-conservation</t>
  </si>
  <si>
    <t xml:space="preserve">https://www.bigbatbox.com/en-ca/blogs/habitat-of-bats/tagged/best-bat-houses</t>
  </si>
  <si>
    <t xml:space="preserve">https://www.bigbatbox.com/fr/blogs/habitat-of-bats/5-best-tips-for-bat-house-maintenance</t>
  </si>
  <si>
    <t xml:space="preserve">https://www.bigbatbox.com/fr/blogs/habitat-of-bats/a-brief-guide-to-building-and-installing-bat-boxes</t>
  </si>
  <si>
    <t xml:space="preserve">https://www.bigbatbox.com/en-ca/blogs/fun-facts-about-owls/tagged/owl-safety</t>
  </si>
  <si>
    <t xml:space="preserve">https://www.bigbatbox.com/de/blogs/wildyard-learn/tagged/garden-pollinators</t>
  </si>
  <si>
    <t xml:space="preserve">https://www.bigbatbox.com/blogs/habitat-of-bats/tagged/bci-certified-bat-house</t>
  </si>
  <si>
    <t xml:space="preserve">https://www.bigbatbox.com/fr/blogs/bee-species/tagged/hive-behavior</t>
  </si>
  <si>
    <t xml:space="preserve">https://www.bigbatbox.com/en-ca/blogs/habitat-of-bats/tagged/are-bats-dangerous</t>
  </si>
  <si>
    <t xml:space="preserve">https://www.bigbatbox.com/blogs/habitat-of-bats/tagged/yard-wildlife-guide</t>
  </si>
  <si>
    <t xml:space="preserve">https://www.bigbatbox.com/es/blogs/habitat-of-bats/tagged/eco-friendly-pest-solutions</t>
  </si>
  <si>
    <t xml:space="preserve">https://www.bigbatbox.com/it/blogs/habitat-of-bats/tagged/bat-removal</t>
  </si>
  <si>
    <t xml:space="preserve">https://www.bigbatbox.com/de/blogs/habitat-of-bats/tagged/bat-house-installation</t>
  </si>
  <si>
    <t xml:space="preserve">https://www.bigbatbox.com/fr/blogs/habitat-of-bats/tagged/bat-boxes</t>
  </si>
  <si>
    <t xml:space="preserve">https://www.bigbatbox.com/es/blogs/habitat-of-bats/tagged/south-facing-bat-house</t>
  </si>
  <si>
    <t xml:space="preserve">https://www.bigbatbox.com/it/blogs/habitat-of-bats/tagged/best-bat-house-placement</t>
  </si>
  <si>
    <t xml:space="preserve">https://www.bigbatbox.com/blogs/habitat-of-bats/tagged/building-and-installing-bat-boxes</t>
  </si>
  <si>
    <t xml:space="preserve">https://www.bigbatbox.com/de/blogs/habitat-of-bats/tagged/wildyard-bat-house-guide</t>
  </si>
  <si>
    <t xml:space="preserve">https://www.bigbatbox.com/it/blogs/habitat-of-bats/tagged/natural-mosquito-control</t>
  </si>
  <si>
    <t xml:space="preserve">https://www.bigbatbox.com/en-ca/blogs/types-of-squirrels/tagged/squirrel-behavior</t>
  </si>
  <si>
    <t xml:space="preserve">https://www.bigbatbox.com/fr/blogs/habitat-of-bats/tagged/how-to-attract-bats</t>
  </si>
  <si>
    <t xml:space="preserve">https://www.bigbatbox.com/es/blogs/habitat-of-bats/tagged/diy-bat-house</t>
  </si>
  <si>
    <t xml:space="preserve">https://www.bigbatbox.com/it/blogs/habitat-of-bats/cedar-bat-box-for-cold-climates-what-you-need-to-know</t>
  </si>
  <si>
    <t xml:space="preserve">https://www.bigbatbox.com/blogs/bee-species/tagged/bee-identification</t>
  </si>
  <si>
    <t xml:space="preserve">https://www.bigbatbox.com/blogs/habitat-of-bats/tagged/cedar-bat-box</t>
  </si>
  <si>
    <t xml:space="preserve">https://www.bigbatbox.com/fr/blogs/habitat-of-bats/best-backyard-bat-conservation-and-wildlife-habitat-trends-for-2026-so-far</t>
  </si>
  <si>
    <t xml:space="preserve">https://www.bigbatbox.com/de/blogs/habitat-of-bats/tagged/dark-bat-houses</t>
  </si>
  <si>
    <t xml:space="preserve">https://www.bigbatbox.com/es/blogs/backyard-birds/keep-squirrels-starlings-off-suet-feeder</t>
  </si>
  <si>
    <t xml:space="preserve">https://www.bigbatbox.com/en-ca/blogs/habitat-of-bats/tagged/home-conservation-tips</t>
  </si>
  <si>
    <t xml:space="preserve">https://www.bigbatbox.com/it/blogs/habitat-of-bats/tagged/bats</t>
  </si>
  <si>
    <t xml:space="preserve">https://www.bigbatbox.com/fr/blogs/habitat-of-bats/tagged/usa-bat-house-guide</t>
  </si>
  <si>
    <t xml:space="preserve">https://www.bigbatbox.com/blogs/bee-species/tagged/bee-house</t>
  </si>
  <si>
    <t xml:space="preserve">https://www.bigbatbox.com/it/blogs/habitat-of-bats/tagged/bat-friendly-backyard</t>
  </si>
  <si>
    <t xml:space="preserve">https://www.bigbatbox.com/it/blogs/habitat-of-bats/tagged/bci-certified-bat-house</t>
  </si>
  <si>
    <t xml:space="preserve">https://www.bigbatbox.com/fr/blogs/habitat-of-bats/tagged/bat-house-distance-from-trees</t>
  </si>
  <si>
    <t xml:space="preserve">https://www.bigbatbox.com/blogs/habitat-of-bats/tagged/bat-roosting-guide</t>
  </si>
  <si>
    <t xml:space="preserve">https://www.bigbatbox.com/es/blogs/bee-species/tagged/bee-house</t>
  </si>
  <si>
    <t xml:space="preserve">https://www.bigbatbox.com/fr/blogs/bee-species/tagged/honey-production</t>
  </si>
  <si>
    <t xml:space="preserve">https://www.bigbatbox.com/es/blogs/bee-species/tagged/bees-pollination</t>
  </si>
  <si>
    <t xml:space="preserve">https://www.bigbatbox.com/it/blogs/fun-facts-about-owls/do-owls-eat-squirrels</t>
  </si>
  <si>
    <t xml:space="preserve">https://www.bigbatbox.com/es/blogs/types-of-squirrels/tagged/squirrel-house-feeder</t>
  </si>
  <si>
    <t xml:space="preserve">https://www.bigbatbox.com/fr/blogs/types-of-squirrels/tagged/squirrel-food</t>
  </si>
  <si>
    <t xml:space="preserve">https://www.bigbatbox.com/fr/blogs/fun-facts-about-owls/tagged/conservation</t>
  </si>
  <si>
    <t xml:space="preserve">https://www.bigbatbox.com/blogs/habitat-of-bats/tagged/bat-house-wall-mount</t>
  </si>
  <si>
    <t xml:space="preserve">https://www.bigbatbox.com/de/blogs/types-of-squirrels/tagged/buying-guide</t>
  </si>
  <si>
    <t xml:space="preserve">https://www.bigbatbox.com/es/blogs/fun-facts-about-owls/tagged/owl-facts</t>
  </si>
  <si>
    <t xml:space="preserve">https://www.bigbatbox.com/en-ca/blogs/fun-facts-about-owls/tagged/wildlife-gardening</t>
  </si>
  <si>
    <t xml:space="preserve">https://www.bigbatbox.com/fr/blogs/bee-species/tagged/bee-facts</t>
  </si>
  <si>
    <t xml:space="preserve">https://www.bigbatbox.com/en-ca/blogs/bee-species/where-to-hang-a-bee-house</t>
  </si>
  <si>
    <t xml:space="preserve">https://www.bigbatbox.com/en-ca/blogs/habitat-of-bats/tagged/yard-wildlife-guide</t>
  </si>
  <si>
    <t xml:space="preserve">https://www.bigbatbox.com/it/pages/wildyard-x-angry-birds-diy-birdhouse-instructions</t>
  </si>
  <si>
    <t xml:space="preserve">https://www.bigbatbox.com/it/blogs/fun-facts-about-owls/tagged/pet-safety</t>
  </si>
  <si>
    <t xml:space="preserve">https://www.bigbatbox.com/it/blogs/habitat-of-bats/where-to-buy-bat-houses-your-go-to-guide</t>
  </si>
  <si>
    <t xml:space="preserve">https://www.bigbatbox.com/fr/blogs/bee-species/tagged/bee-communication</t>
  </si>
  <si>
    <t xml:space="preserve">https://www.bigbatbox.com/fr/blogs/habitat-of-bats/tagged/microbats</t>
  </si>
  <si>
    <t xml:space="preserve">https://www.bigbatbox.com/it/blogs/habitat-of-bats/tagged/building-and-installing-bat-boxes</t>
  </si>
  <si>
    <t xml:space="preserve">https://www.bigbatbox.com/en-ca/blogs/backyard-birds/what-birds-eat-suet</t>
  </si>
  <si>
    <t xml:space="preserve">https://www.bigbatbox.com/fr/blogs/habitat-of-bats/how-to-get-bats-in-a-bat-house</t>
  </si>
  <si>
    <t xml:space="preserve">https://www.bigbatbox.com/fr/blogs/habitat-of-bats/tagged/bat-houses</t>
  </si>
  <si>
    <t xml:space="preserve">https://www.bigbatbox.com/de/blogs/habitat-of-bats/tagged/bat-house-tips</t>
  </si>
  <si>
    <t xml:space="preserve">https://www.bigbatbox.com/blogs/habitat-of-bats/tagged/bat-food</t>
  </si>
  <si>
    <t xml:space="preserve">https://www.bigbatbox.com/en-ca/blogs/habitat-of-bats/tagged/tall-bat-house-design</t>
  </si>
  <si>
    <t xml:space="preserve">https://www.bigbatbox.com/fr/blogs/habitat-of-bats/tagged/eco-friendly</t>
  </si>
  <si>
    <t xml:space="preserve">https://www.bigbatbox.com/de/blogs/bee-species/tagged/bee-facts</t>
  </si>
  <si>
    <t xml:space="preserve">https://www.bigbatbox.com/de/blogs/habitat-of-bats/tagged/safe-bat-habitat</t>
  </si>
  <si>
    <t xml:space="preserve">https://www.bigbatbox.com/fr/blogs/habitat-of-bats/tagged/wildlife-friendly-backyard</t>
  </si>
  <si>
    <t xml:space="preserve">https://www.bigbatbox.com/blogs/habitat-of-bats/tagged/diy-bat-house</t>
  </si>
  <si>
    <t xml:space="preserve">https://www.bigbatbox.com/fr/blogs/habitat-of-bats/where-to-buy-bat-houses-your-go-to-guide</t>
  </si>
  <si>
    <t xml:space="preserve">https://www.bigbatbox.com/fr/blogs/types-of-squirrels/tagged/backyard-habitat</t>
  </si>
  <si>
    <t xml:space="preserve">https://www.bigbatbox.com/en-ca/blogs/habitat-of-bats/tagged/bat-house-temperature</t>
  </si>
  <si>
    <t xml:space="preserve">https://www.bigbatbox.com/blogs/habitat-of-bats/tagged/eco-friendly-bat-house</t>
  </si>
  <si>
    <t xml:space="preserve">https://www.bigbatbox.com/blogs/bee-species/tagged/bee-facts</t>
  </si>
  <si>
    <t xml:space="preserve">https://www.bigbatbox.com/en-ca/blogs/habitat-of-bats/tagged/bat-proofing-tips</t>
  </si>
  <si>
    <t xml:space="preserve">https://www.bigbatbox.com/es/blogs/habitat-of-bats/tagged/guano</t>
  </si>
  <si>
    <t xml:space="preserve">https://www.bigbatbox.com/blogs/habitat-of-bats/tagged/best-bat-boxes-for-mosquito-control</t>
  </si>
  <si>
    <t xml:space="preserve">https://www.bigbatbox.com/de/blogs/conservation-partners/tagged/partnership</t>
  </si>
  <si>
    <t xml:space="preserve">https://www.bigbatbox.com/de/blogs/types-of-squirrels/tagged/wildlife-habitat</t>
  </si>
  <si>
    <t xml:space="preserve">https://www.bigbatbox.com/it/collections/1-chamber-bat-houses</t>
  </si>
  <si>
    <t xml:space="preserve">https://www.bigbatbox.com/es/blogs/fun-facts-about-owls/tagged/owl-identification</t>
  </si>
  <si>
    <t xml:space="preserve">https://www.bigbatbox.com/de/blogs/bee-species/tagged/bees-pollination</t>
  </si>
  <si>
    <t xml:space="preserve">https://www.bigbatbox.com/fr/blogs/bee-species/tagged/pollination-process</t>
  </si>
  <si>
    <t xml:space="preserve">https://www.bigbatbox.com/blogs/habitat-of-bats/tagged/painted-cedar-bat-house</t>
  </si>
  <si>
    <t xml:space="preserve">https://www.bigbatbox.com/es/blogs/bee-species/mason-bees-vs-leafcutter-bees</t>
  </si>
  <si>
    <t xml:space="preserve">https://www.bigbatbox.com/de/blogs/habitat-of-bats/tagged/usa-bat-house-guide</t>
  </si>
  <si>
    <t xml:space="preserve">https://www.bigbatbox.com/fr/blogs/habitat-of-bats/tagged/bigbatbox</t>
  </si>
  <si>
    <t xml:space="preserve">https://www.bigbatbox.com/fr/blogs/habitat-of-bats/tagged/night-wildlife-support</t>
  </si>
  <si>
    <t xml:space="preserve">https://www.bigbatbox.com/it/products/bat-barn-junior-brown</t>
  </si>
  <si>
    <t xml:space="preserve">https://www.bigbatbox.com/fr/blogs/habitat-of-bats/tagged/echolocation</t>
  </si>
  <si>
    <t xml:space="preserve">https://www.bigbatbox.com/en-ca/blogs/conservation-partners/tagged/1-for-the-planet</t>
  </si>
  <si>
    <t xml:space="preserve">https://www.bigbatbox.com/en-ca/blogs/habitat-of-bats/tagged/bat-house-placement</t>
  </si>
  <si>
    <t xml:space="preserve">https://www.bigbatbox.com/fr/blogs/fun-facts-about-owls/tagged/ecological-balance</t>
  </si>
  <si>
    <t xml:space="preserve">Internal outlinks to 4xx</t>
  </si>
  <si>
    <t xml:space="preserve">Source: Bigbatbox - Site Audit.xlsx / Page has links to broken page</t>
  </si>
  <si>
    <t xml:space="preserve">https://www.bigbatbox.com/products/angry-birds-wildyard-flowerpot-birdhouse</t>
  </si>
  <si>
    <t xml:space="preserve">https://www.bigbatbox.com/es/products/angry-birds-wildyard-flowerpot-birdhouse</t>
  </si>
  <si>
    <t xml:space="preserve">https://www.bigbatbox.com/de/products/angry-birds-wildyard-flowerpot-birdhouse</t>
  </si>
  <si>
    <t xml:space="preserve">https://www.bigbatbox.com/collections/3-chamber-bat-houses
https://www.bigbatbox.com/products/bee-house-big-bee-box
 https://www.bigbatbox.com/products/big-bat-barn-certified-bat-house</t>
  </si>
  <si>
    <t xml:space="preserve">https://www.bigbatbox.com/en-ca/collections/3-chamber-bat-houses
https://www.bigbatbox.com/en-ca/products/bee-house-big-bee-box
 https://www.bigbatbox.com/en-ca/products/big-bat-barn-certified-bat-house</t>
  </si>
  <si>
    <t xml:space="preserve">https://www.bigbatbox.com/es/collections/3-chamber-bat-houses
https://www.bigbatbox.com/es/products/bee-house-big-bee-box
 https://www.bigbatbox.com/es/products/big-bat-barn-certified-bat-house</t>
  </si>
  <si>
    <t xml:space="preserve">https://www.bigbatbox.com/blogs/all-about-bats/big-bat-box-comparison
https://www.bigbatbox.com/products/single-chamber-bat-househttps://www.bigbatbox.com/products/single-chamber-bat-house</t>
  </si>
  <si>
    <t xml:space="preserve">https://www.bigbatbox.com/de/blogs/habitat-of-bats/bci-certificate-why-you-should-care-about-it</t>
  </si>
  <si>
    <t xml:space="preserve">https://www.bigbatbox.com/blogs/all-about-bats/big-bat-box-comparison
https://www.bigbatbox.com/blogs/all-about-bats/the-surprising-benefits-of-bat-boxes-and-why-you-should-have-one</t>
  </si>
  <si>
    <t xml:space="preserve">https://www.bigbatbox.com/blogs/all-about-bats/14-fascinating-facts-about-bats
https://www.bigbatbox.com/blogs/all-about-bats/big-bat-box-comparison</t>
  </si>
  <si>
    <t xml:space="preserve">https://www.bigbatbox.com/de/blogs/habitat-of-bats/bat-conservation-tips-for-homeowners-simple-ways-to-help-bats-at-home</t>
  </si>
  <si>
    <t xml:space="preserve">https://www.bigbatbox.com/de/collections/3-chamber-bat-houses
https://www.bigbatbox.com/de/products/bee-house-big-bee-box
 https://www.bigbatbox.com/de/products/big-bat-barn-certified-bat-house</t>
  </si>
  <si>
    <t xml:space="preserve">https://www.bigbatbox.com/blogs/all-about-bats/big-bat-box-comparison%22%3Ebat%20house%20comparison
https://www.bigbatbox.com/blogs/all-about-bats/the-surprising-benefits-of-bat-boxes-and-why-you-should-have-one</t>
  </si>
  <si>
    <t xml:space="preserve">https://www.bigbatbox.com/fr/collections/3-chamber-bat-houses
https://www.bigbatbox.com/fr/products/bee-house-big-bee-box
 https://www.bigbatbox.com/fr/products/big-bat-barn-certified-bat-house</t>
  </si>
  <si>
    <t xml:space="preserve">https://www.bigbatbox.com/it/collections/3-chamber-bat-houses
https://www.bigbatbox.com/it/products/bee-house-big-bee-box
 https://www.bigbatbox.com/it/products/big-bat-barn-certified-bat-house</t>
  </si>
  <si>
    <t xml:space="preserve">Internal outlinks to 3xx</t>
  </si>
  <si>
    <t xml:space="preserve">Internal outlinks codes (3xx)</t>
  </si>
  <si>
    <t xml:space="preserve">https://www.bigbatbox.com/customer_authentication/redirect?locale=en&amp;region_country=US</t>
  </si>
  <si>
    <t xml:space="preserve">Source: Bigbatbox - Site Audit.xlsx / Redirecting URLs</t>
  </si>
  <si>
    <t xml:space="preserve">https://www.bigbatbox.com/collections/</t>
  </si>
  <si>
    <t xml:space="preserve">https://www.bigbatbox.com/es/blogs/bee-species?page=1</t>
  </si>
  <si>
    <t xml:space="preserve">https://www.bigbatbox.com/customer_authentication/redirect?locale=es&amp;region_country=US
https://www.bigbatbox.com/es/account</t>
  </si>
  <si>
    <t xml:space="preserve">302
302</t>
  </si>
  <si>
    <t xml:space="preserve">https://www.bigbatbox.com/blogs/fun-facts-about-owls?page=1</t>
  </si>
  <si>
    <t xml:space="preserve">https://www.bigbatbox.com/fr/blogs/bee-species?page=1</t>
  </si>
  <si>
    <t xml:space="preserve">https://www.bigbatbox.com/customer_authentication/redirect?locale=fr&amp;region_country=US
https://www.bigbatbox.com/fr/account</t>
  </si>
  <si>
    <t xml:space="preserve">https://www.bigbatbox.com/en-ca/blogs/bee-species?page=1</t>
  </si>
  <si>
    <t xml:space="preserve">https://www.bigbatbox.com/customer_authentication/redirect?locale=en&amp;region_country=CA
https://www.bigbatbox.com/en-ca/account</t>
  </si>
  <si>
    <t xml:space="preserve">https://www.bigbatbox.com/en-ca/blogs/fun-facts-about-owls?page=1</t>
  </si>
  <si>
    <t xml:space="preserve">https://www.bigbatbox.com/customer_authentication/redirect?locale=de&amp;region_country=US
https://www.bigbatbox.com/de/account
 https://www.bigbatbox.com/de/products/owl-box</t>
  </si>
  <si>
    <t xml:space="preserve">302
302
301</t>
  </si>
  <si>
    <t xml:space="preserve">https://www.bigbatbox.com/blogs/habitat-of-bats?page=1</t>
  </si>
  <si>
    <t xml:space="preserve">https://www.bigbatbox.com/fr/blogs/habitat-of-bats?page=1</t>
  </si>
  <si>
    <t xml:space="preserve">https://www.bigbatbox.com/customer_authentication/redirect?locale=fr&amp;region_country=US
https://www.bigbatbox.com/fr/account
 https://www.bigbatbox.com/fr/blogs/habitat-of-bats/how-to-attract-bats-to-a-bat-house
https://www.bigbatbox.com/fr/blogs/habitat-of-bats/how-to-hang-a-bat-house-complete-guide</t>
  </si>
  <si>
    <t xml:space="preserve">302
302
301
301</t>
  </si>
  <si>
    <t xml:space="preserve">https://www.bigbatbox.com/blogs/fun-facts-about-owls/owl-nesting-boxes-providing-safe-havens-for-nighttime-raptors?_pos=1&amp;_ss=r</t>
  </si>
  <si>
    <t xml:space="preserve">https://www.bigbatbox.com/blogs/habitat-of-bats/the-night-guardians-the-importance-of-bats-to-our-world?_pos=1&amp;_ss=r</t>
  </si>
  <si>
    <t xml:space="preserve">https://www.bigbatbox.com/collections/shop-our-bat-houses
https://www.bigbatbox.com/customer_authentication/redirect?locale=en&amp;region_country=US</t>
  </si>
  <si>
    <t xml:space="preserve">301
302</t>
  </si>
  <si>
    <t xml:space="preserve">https://www.bigbatbox.com/de/blogs/fun-facts-about-owls?page=1</t>
  </si>
  <si>
    <t xml:space="preserve">https://www.bigbatbox.com/es/blogs/habitat-of-bats?page=1</t>
  </si>
  <si>
    <t xml:space="preserve">https://www.bigbatbox.com/customer_authentication/redirect?locale=es&amp;region_country=US
https://www.bigbatbox.com/es/account
 https://www.bigbatbox.com/es/blogs/habitat-of-bats/how-to-attract-bats-to-a-bat-house</t>
  </si>
  <si>
    <t xml:space="preserve">https://www.bigbatbox.com/it/blogs/fun-facts-about-owls?page=1</t>
  </si>
  <si>
    <t xml:space="preserve">https://www.bigbatbox.com/customer_authentication/redirect?locale=it&amp;region_country=US
https://www.bigbatbox.com/it/account</t>
  </si>
  <si>
    <t xml:space="preserve">https://www.bigbatbox.com/it/blogs/habitat-of-bats?page=1</t>
  </si>
  <si>
    <t xml:space="preserve">https://www.bigbatbox.com/customer_authentication/redirect?locale=it&amp;region_country=US
https://www.bigbatbox.com/it/account
 https://www.bigbatbox.com/it/blogs/habitat-of-bats/how-to-attract-bats-to-a-bat-house
https://www.bigbatbox.com/it/blogs/habitat-of-bats/how-to-hang-a-bat-house-complete-guide</t>
  </si>
  <si>
    <t xml:space="preserve">https://www.bigbatbox.com/fr/blogs/fun-facts-about-owls?page=1</t>
  </si>
  <si>
    <t xml:space="preserve">https://www.bigbatbox.com/es/blogs/fun-facts-about-owls?page=1</t>
  </si>
  <si>
    <t xml:space="preserve">https://www.bigbatbox.com/it/blogs/bee-species?page=1</t>
  </si>
  <si>
    <t xml:space="preserve">https://www.bigbatbox.com/blogs/habitat-of-bats/a-brief-guide-to-building-and-installing-bat-boxes?_pos=5&amp;_ss=r</t>
  </si>
  <si>
    <t xml:space="preserve">https://www.bigbatbox.com/en-ca/blogs/habitat-of-bats?page=1</t>
  </si>
  <si>
    <t xml:space="preserve">https://www.bigbatbox.com/blogs/habitat-of-bats/5-best-tips-for-bat-house-maintenance?_pos=16&amp;_ss=r</t>
  </si>
  <si>
    <t xml:space="preserve">https://www.bigbatbox.com/de/blogs/bee-species?page=1</t>
  </si>
  <si>
    <t xml:space="preserve">https://www.bigbatbox.com/blogs/bee-species?page=1</t>
  </si>
  <si>
    <t xml:space="preserve">https://www.bigbatbox.com/blogs/habitat-of-bats/how-to-get-bats-in-a-bat-house?_pos=1&amp;_ss=r</t>
  </si>
  <si>
    <t xml:space="preserve">https://www.bigbatbox.com/customer_authentication/redirect?locale=en&amp;region_country=US
https://www.bigbatbox.com/products/big-bat-box</t>
  </si>
  <si>
    <t xml:space="preserve">302
301</t>
  </si>
  <si>
    <t xml:space="preserve">https://www.bigbatbox.com/blogs/fun-facts-about-owls/the-silent-hunters-why-owl-boxes-and-bat-boxes-shouldnt-mix?_pos=1&amp;_ss=r</t>
  </si>
  <si>
    <t xml:space="preserve">https://www.bigbatbox.com/collections/shop-our-bat-houses
https://www.bigbatbox.com/customer_authentication/redirect?locale=en&amp;region_country=US
 https://www.bigbatbox.com/products/owl-house</t>
  </si>
  <si>
    <t xml:space="preserve">301
302
301</t>
  </si>
  <si>
    <t xml:space="preserve">https://www.bigbatbox.com/products/squirrel-house-hideout-feeder?view=squirrel-house</t>
  </si>
  <si>
    <t xml:space="preserve">https://www.bigbatbox.com/blogs/habitat-of-bats/how-to-attract-bats-your-go-to-guide?_pos=1&amp;_ss=r</t>
  </si>
  <si>
    <t xml:space="preserve">https://www.bigbatbox.com/collections/bat-house-kits
https://www.bigbatbox.com/customer_authentication/redirect?locale=en&amp;region_country=US</t>
  </si>
  <si>
    <t xml:space="preserve">https://www.bigbatbox.com/de/blogs/habitat-of-bats?page=1</t>
  </si>
  <si>
    <t xml:space="preserve">https://www.bigbatbox.com/customer_authentication/redirect?locale=de&amp;region_country=US
https://www.bigbatbox.com/de/account
 https://www.bigbatbox.com/de/blogs/habitat-of-bats/how-to-attract-bats-to-a-bat-house
https://www.bigbatbox.com/de/blogs/habitat-of-bats/how-to-hang-a-bat-house-complete-guide
 https://www.bigbatbox.com/de/products/owl-box</t>
  </si>
  <si>
    <t xml:space="preserve">302
302
301
301
301</t>
  </si>
  <si>
    <t xml:space="preserve">Title</t>
  </si>
  <si>
    <t xml:space="preserve">Title length</t>
  </si>
  <si>
    <t xml:space="preserve">https://www.bigbatbox.com/pages/faq</t>
  </si>
  <si>
    <t xml:space="preserve">Wildyard FAQ — Box Installation, Mounting &amp; Care | Wildyard – Big Bat Box</t>
  </si>
  <si>
    <t xml:space="preserve">Source: Bigbatbox - Site Audit.xlsx / Too Long Meta Title</t>
  </si>
  <si>
    <t xml:space="preserve">https://www.bigbatbox.com/blogs/fun-facts-about-owls</t>
  </si>
  <si>
    <t xml:space="preserve">Fun Facts About Owls: Their Mysteries and Habits Unveiled – Big Bat Box</t>
  </si>
  <si>
    <t xml:space="preserve">WildYard X Angry Birds™ DIY Birdhouse Kit – Build &amp; Paint | Big Bat Box</t>
  </si>
  <si>
    <t xml:space="preserve">https://www.bigbatbox.com/products/squirrel-house-hideout-feeder</t>
  </si>
  <si>
    <t xml:space="preserve">Squirrel House - Hideout &amp; Feeder Cedar Outdoor Nesting Box – Big Bat Box</t>
  </si>
  <si>
    <t xml:space="preserve">https://www.bigbatbox.com/pages/1-for-the-planet</t>
  </si>
  <si>
    <t xml:space="preserve">Wildyard x 1% for the Planet I Giving Back to Protect Wildlife &amp; Earth – Big Bat Box</t>
  </si>
  <si>
    <t xml:space="preserve">https://www.bigbatbox.com/es/blogs/fun-facts-about-owls</t>
  </si>
  <si>
    <t xml:space="preserve">https://www.bigbatbox.com/es/products/squirrel-house-hideout-feeder</t>
  </si>
  <si>
    <t xml:space="preserve">https://www.bigbatbox.com/de/pages/1-for-the-planet</t>
  </si>
  <si>
    <t xml:space="preserve">Wildyard x 1 % für den Planeten I Wir geben etwas zurück, um die Tierwelt und die Erde zu schützen – Big Bat Box</t>
  </si>
  <si>
    <t xml:space="preserve">https://www.bigbatbox.com/de/products/eulenkasten</t>
  </si>
  <si>
    <t xml:space="preserve">Eulenkasten für Gärten WildYard Sicher Vorgefertigter Nistkasten aus Zeder – Big Bat Box</t>
  </si>
  <si>
    <t xml:space="preserve">https://www.bigbatbox.com/de/products/bienenhaus</t>
  </si>
  <si>
    <t xml:space="preserve">Bienenhaus von Wildyard: Bambus-Bestäuberhotel für Gärten – Big Bat Box</t>
  </si>
  <si>
    <t xml:space="preserve">https://www.bigbatbox.com/es/pages/1-for-the-planet</t>
  </si>
  <si>
    <t xml:space="preserve">https://www.bigbatbox.com/de/blogs/fun-facts-about-owls</t>
  </si>
  <si>
    <t xml:space="preserve">https://www.bigbatbox.com/de/products/squirrel-house-hideout-feeder</t>
  </si>
  <si>
    <t xml:space="preserve">How to Hang a Bat House: Hardware, Tools &amp; Mounting Steps – Big Bat Box</t>
  </si>
  <si>
    <t xml:space="preserve">https://www.bigbatbox.com/blogs/habitat-of-bats/where-to-mount-a-bat-house-in-the-usa-simple-guide-for-best-results</t>
  </si>
  <si>
    <t xml:space="preserve">Where to Mount a Bat House in the USA: Climate Zone Guide – Big Bat Box</t>
  </si>
  <si>
    <t xml:space="preserve">https://www.bigbatbox.com/blogs/types-of-squirrels/squirrel-house-guide</t>
  </si>
  <si>
    <t xml:space="preserve">Squirrel House Guide: What It Is &amp; How to Choose One | WildYard – Big Bat Box</t>
  </si>
  <si>
    <t xml:space="preserve">Habitat of Bats: Discover Where They Live and Thrive – Tagged "backyard pest control" – Big Bat Box</t>
  </si>
  <si>
    <t xml:space="preserve">Bee Species Guide: Discover Their Vital Role in Nature – Tagged "Garden Biodiversity" – Big Bat Box</t>
  </si>
  <si>
    <t xml:space="preserve">Types of Squirrels: Discover Their Habitats &amp; Behaviors – Tagged "squirrel feeder ideas" – Big Bat Box</t>
  </si>
  <si>
    <t xml:space="preserve">https://www.bigbatbox.com/de/products/einkammer-fledermaushaus</t>
  </si>
  <si>
    <t xml:space="preserve">Fledermauskasten - Einzelkammer von Wildyard I Bietet Platz für 50 Fledermäuse – Big Bat Box</t>
  </si>
  <si>
    <t xml:space="preserve">Fun Facts About Owls: Their Mysteries and Habits Unveiled – Tagged "wildlife conservation" – Big Bat Box</t>
  </si>
  <si>
    <t xml:space="preserve">Fun Facts About Owls: Their Mysteries and Habits Unveiled – Tagged "Conservation" – Big Bat Box</t>
  </si>
  <si>
    <t xml:space="preserve">Habitat of Bats: Discover Where They Live and Thrive – Tagged "Pollination" – Big Bat Box</t>
  </si>
  <si>
    <t xml:space="preserve">Habitat of Bats: Discover Where They Live and Thrive – Tagged "bat species" – Big Bat Box</t>
  </si>
  <si>
    <t xml:space="preserve">Habitat of Bats: Discover Where They Live and Thrive – Tagged "megabats" – Big Bat Box</t>
  </si>
  <si>
    <t xml:space="preserve">Habitat of Bats: Discover Where They Live and Thrive – Tagged "Wildlife" – Big Bat Box</t>
  </si>
  <si>
    <t xml:space="preserve">Habitat of Bats: Discover Where They Live and Thrive – Tagged "Pest Control" – Big Bat Box</t>
  </si>
  <si>
    <t xml:space="preserve">https://www.bigbatbox.com/de/products/fledermaushaus</t>
  </si>
  <si>
    <t xml:space="preserve">Fledermaushaus – Zweikammer-Fledermaushaus Schwarz von Wildyard | Bietet Platz für 75 Fledermäuse – Big Bat Box</t>
  </si>
  <si>
    <t xml:space="preserve">Types of Squirrels: Discover Their Habitats &amp; Behaviors – Tagged "backyard habitat" – Big Bat Box</t>
  </si>
  <si>
    <t xml:space="preserve">Habitat of Bats: Discover Where They Live and Thrive – Tagged "bat box placement" – Big Bat Box</t>
  </si>
  <si>
    <t xml:space="preserve">Fun Facts About Owls: Their Mysteries and Habits Unveiled – Tagged "wildlife lifespan" – Big Bat Box</t>
  </si>
  <si>
    <t xml:space="preserve">Habitat of Bats: Discover Where They Live and Thrive – Page 4 – Big Bat Box</t>
  </si>
  <si>
    <t xml:space="preserve">Types of Squirrels: Discover Their Habitats &amp; Behaviors – Tagged "species facts" – Big Bat Box</t>
  </si>
  <si>
    <t xml:space="preserve">Types of Squirrels: Discover Their Habitats &amp; Behaviors – Tagged "diy squirrel feeder" – Big Bat Box</t>
  </si>
  <si>
    <t xml:space="preserve">Habitat of Bats: Discover Where They Live and Thrive – Tagged "vampire bats" – Big Bat Box</t>
  </si>
  <si>
    <t xml:space="preserve">https://www.bigbatbox.com/es/pages/faq</t>
  </si>
  <si>
    <t xml:space="preserve">Types of Squirrels: Discover Their Habitats &amp; Behaviors – Tagged "squirrel feeder" – Big Bat Box</t>
  </si>
  <si>
    <t xml:space="preserve">https://www.bigbatbox.com/de/products/dreikammer-fledermaushaus-hochwertige</t>
  </si>
  <si>
    <t xml:space="preserve">Fledermaushaus - Dreikammer-Fledermaushaus von Wildyard I Bietet Platz für 200 Fledermäuse – Big Bat Box</t>
  </si>
  <si>
    <t xml:space="preserve">Bee Species Guide: Discover Their Vital Role in Nature – Tagged "Pollination" – Big Bat Box</t>
  </si>
  <si>
    <t xml:space="preserve">Bee Species Guide: Discover Their Vital Role in Nature – Tagged "Bee Conservation" – Big Bat Box</t>
  </si>
  <si>
    <t xml:space="preserve">Habitat of Bats: Discover Where They Live and Thrive – Tagged "microbats" – Big Bat Box</t>
  </si>
  <si>
    <t xml:space="preserve">Types of Squirrels: Discover Their Habitats &amp; Behaviors – Tagged "squirrel box" – Big Bat Box</t>
  </si>
  <si>
    <t xml:space="preserve">https://www.bigbatbox.com/de/products/dreikammer-fledermaushaus-zeder</t>
  </si>
  <si>
    <t xml:space="preserve">Wildyard Fledermaushaus mit drei Kammern, bietet Platz für 200 Fledermäuse, geeignet für heißes Klima – Big Bat Box</t>
  </si>
  <si>
    <t xml:space="preserve">Bee Species Guide: Discover Their Vital Role in Nature – Tagged "Environmental Sustainability" – Big Bat Box</t>
  </si>
  <si>
    <t xml:space="preserve">Habitat of Bats: Discover Where They Live and Thrive – Tagged "are bats dangerous" – Big Bat Box</t>
  </si>
  <si>
    <t xml:space="preserve">Types of Squirrels: Discover Their Habitats &amp; Behaviors – Tagged "squirrel care" – Big Bat Box</t>
  </si>
  <si>
    <t xml:space="preserve">https://www.bigbatbox.com/de/products/fledermaushaus-mit-einer-kammer</t>
  </si>
  <si>
    <t xml:space="preserve">Fledermaushaus - Einzelkammer von Wildyard I Kompakter Fledermausunterstand – Big Bat Box</t>
  </si>
  <si>
    <t xml:space="preserve">Habitat of Bats: Discover Where They Live and Thrive – Tagged "home pest control" – Big Bat Box</t>
  </si>
  <si>
    <t xml:space="preserve">Habitat of Bats: Discover Where They Live and Thrive – Tagged "attract bats to yard" – Big Bat Box</t>
  </si>
  <si>
    <t xml:space="preserve">https://www.bigbatbox.com/blogs/habitat-of-bats/bat-house-certification-explained</t>
  </si>
  <si>
    <t xml:space="preserve">Bat house certification explained: BCI, MTBC &amp; the 10 criteria | Big Bat Box</t>
  </si>
  <si>
    <t xml:space="preserve">Bee Species Guide: Discover Their Vital Role in Nature – Tagged "Bees" – Big Bat Box</t>
  </si>
  <si>
    <t xml:space="preserve">Habitat of Bats: Discover Where They Live and Thrive – Tagged "Biodiversity" – Big Bat Box</t>
  </si>
  <si>
    <t xml:space="preserve">Habitat of Bats: Discover Where They Live and Thrive – Tagged "bat benefits" – Big Bat Box</t>
  </si>
  <si>
    <t xml:space="preserve">Habitat of Bats: Discover Where They Live and Thrive – Tagged "bat prevention" – Big Bat Box</t>
  </si>
  <si>
    <t xml:space="preserve">Habitat of Bats: Discover Where They Live and Thrive – Tagged "Bats" – Big Bat Box</t>
  </si>
  <si>
    <t xml:space="preserve">Habitat of Bats: Discover Where They Live and Thrive – Tagged "Conservation" – Big Bat Box</t>
  </si>
  <si>
    <t xml:space="preserve">https://www.bigbatbox.com/de/products/fledermaushaus-3</t>
  </si>
  <si>
    <t xml:space="preserve">Fledermaushaus - Zweikammer-Fledermaushaus von Wildyard I Bietet Platz für 75 Fledermäuse – Big Bat Box</t>
  </si>
  <si>
    <t xml:space="preserve">Bee Species Guide: Discover Their Vital Role in Nature – Tagged "Bee Houses" – Big Bat Box</t>
  </si>
  <si>
    <t xml:space="preserve">Habitat of Bats: Discover Where They Live and Thrive – Tagged "bat box installation" – Big Bat Box</t>
  </si>
  <si>
    <t xml:space="preserve">Fun Facts About Owls: Their Mysteries and Habits Unveiled – Tagged "backyard wildlife" – Big Bat Box</t>
  </si>
  <si>
    <t xml:space="preserve">Habitat of Bats: Discover Where They Live and Thrive – Tagged "bat box guide" – Big Bat Box</t>
  </si>
  <si>
    <t xml:space="preserve">Fun Facts About Owls: Their Mysteries and Habits Unveiled – Tagged "Owl Nesting Box" – Big Bat Box</t>
  </si>
  <si>
    <t xml:space="preserve">Habitat of Bats: Discover Where They Live and Thrive – Tagged "get rid of bats" – Big Bat Box</t>
  </si>
  <si>
    <t xml:space="preserve">https://www.bigbatbox.com/de/products/dreikammer-fledermaushaus</t>
  </si>
  <si>
    <t xml:space="preserve">Fledermaushaus - Drei Kammern von Wildyard, bietet Platz für bis zu 200 Fledermäuse – Big Bat Box</t>
  </si>
  <si>
    <t xml:space="preserve">Bee Species Guide: Discover Their Vital Role in Nature – Tagged "Pollinators" – Big Bat Box</t>
  </si>
  <si>
    <t xml:space="preserve">https://www.bigbatbox.com/collections/all</t>
  </si>
  <si>
    <t xml:space="preserve">All Products Wildyard I Wildlife Houses for Bats, Bees &amp; Owls – Big Bat Box</t>
  </si>
  <si>
    <t xml:space="preserve">Fun Facts About Owls: Their Mysteries and Habits Unveiled – Tagged "owl nesting boxes" – Big Bat Box</t>
  </si>
  <si>
    <t xml:space="preserve">Types of Squirrels: Discover Their Habitats &amp; Behaviors – Tagged "squirrel behavior" – Big Bat Box</t>
  </si>
  <si>
    <t xml:space="preserve">Fun Facts About Owls: Their Mysteries and Habits Unveiled – Tagged "Barn Owl Box" – Big Bat Box</t>
  </si>
  <si>
    <t xml:space="preserve">Bee Species Guide: Discover Their Vital Role in Nature – Tagged "Biodiversity" – Big Bat Box</t>
  </si>
  <si>
    <t xml:space="preserve">Habitat of Bats: Discover Where They Live and Thrive – Tagged "attract bats" – Big Bat Box</t>
  </si>
  <si>
    <t xml:space="preserve">Habitat of Bats: Discover Where They Live and Thrive – Tagged "bat removal" – Big Bat Box</t>
  </si>
  <si>
    <t xml:space="preserve">Habitat of Bats: Discover Where They Live and Thrive – Page 2 – Big Bat Box</t>
  </si>
  <si>
    <t xml:space="preserve">Habitat of Bats: Discover Where They Live and Thrive – Tagged "bat diet" – Big Bat Box</t>
  </si>
  <si>
    <t xml:space="preserve">Habitat of Bats: Discover Where They Live and Thrive – Tagged "what do bats eat" – Big Bat Box</t>
  </si>
  <si>
    <t xml:space="preserve">Types of Squirrels: Discover Their Habitats &amp; Behaviors – Tagged "nocturnal animals" – Big Bat Box</t>
  </si>
  <si>
    <t xml:space="preserve">Habitat of Bats: Discover Where They Live and Thrive – Tagged "backyard eco tips" – Big Bat Box</t>
  </si>
  <si>
    <t xml:space="preserve">Fun Facts About Owls: Their Mysteries and Habits Unveiled – Tagged "Owl Nest Box" – Big Bat Box</t>
  </si>
  <si>
    <t xml:space="preserve">Fun Facts About Owls: Their Mysteries and Habits Unveiled – Tagged "Screech Owl Box" – Big Bat Box</t>
  </si>
  <si>
    <t xml:space="preserve">Fun Facts About Owls: Their Mysteries and Habits Unveiled – Tagged "Owl Facts" – Big Bat Box</t>
  </si>
  <si>
    <t xml:space="preserve">Habitat of Bats: Discover Where They Live and Thrive – Page 3 – Big Bat Box</t>
  </si>
  <si>
    <t xml:space="preserve">Types of Squirrels: Discover Their Habitats &amp; Behaviors – Tagged "seasonal guide" – Big Bat Box</t>
  </si>
  <si>
    <t xml:space="preserve">https://www.bigbatbox.com/de/blogs/types-of-squirrels/squirrel-house-guide</t>
  </si>
  <si>
    <t xml:space="preserve">https://www.bigbatbox.com/de/products/fledermaushaus-2</t>
  </si>
  <si>
    <t xml:space="preserve">Fledermaushaus – Zweikammern von Wildyard I Bietet Platz für 75 Fledermäuse – Zeder – Big Bat Box</t>
  </si>
  <si>
    <t xml:space="preserve">Types of Squirrels: Discover Their Habitats &amp; Behaviors – Tagged "buying guide" – Big Bat Box</t>
  </si>
  <si>
    <t xml:space="preserve">Bee Species Guide: Discover Their Vital Role in Nature – Tagged "Ecosystem" – Big Bat Box</t>
  </si>
  <si>
    <t xml:space="preserve">Habitat of Bats: Discover Where They Live and Thrive – Tagged "bat control" – Big Bat Box</t>
  </si>
  <si>
    <t xml:space="preserve">https://www.bigbatbox.com/blogs/habitat-of-bats/eco-friendly-bat-house-for-backyard-the-complete-guide</t>
  </si>
  <si>
    <t xml:space="preserve">Sustainable Bat Habitat for Your Backyard: Complete Guide – Big Bat Box</t>
  </si>
  <si>
    <t xml:space="preserve">Fun Facts About Owls: Their Mysteries and Habits Unveiled – Tagged "owls" – Big Bat Box</t>
  </si>
  <si>
    <t xml:space="preserve">Habitat of Bats: Discover Where They Live and Thrive – Tagged "2026 trends" – Big Bat Box</t>
  </si>
  <si>
    <t xml:space="preserve">Habitat of Bats: Discover Where They Live and Thrive – Tagged "bat food" – Big Bat Box</t>
  </si>
  <si>
    <t xml:space="preserve">Fun Facts About Owls: Their Mysteries and Habits Unveiled – Tagged "Owl Box" – Big Bat Box</t>
  </si>
  <si>
    <t xml:space="preserve">Fun Facts About Owls: Their Mysteries and Habits Unveiled – Tagged "Bird House" – Big Bat Box</t>
  </si>
  <si>
    <t xml:space="preserve">Bee Species Guide: Discover Their Vital Role in Nature – Tagged "Environmental Health" – Big Bat Box</t>
  </si>
  <si>
    <t xml:space="preserve">Types of Squirrels: Discover Their Habitats &amp; Behaviors – Tagged "cedar habitat" – Big Bat Box</t>
  </si>
  <si>
    <t xml:space="preserve">Habitat of Bats: Discover Where They Live and Thrive – Tagged "avoid pesticides" – Big Bat Box</t>
  </si>
  <si>
    <t xml:space="preserve">Habitat of Bats: Discover Where They Live and Thrive – Tagged "bat boxes" – Big Bat Box</t>
  </si>
  <si>
    <t xml:space="preserve">Types of Squirrels: Discover Their Habitats &amp; Behaviors – Tagged "nest box maintenance" – Big Bat Box</t>
  </si>
  <si>
    <t xml:space="preserve">https://www.bigbatbox.com/de/products/big-bat-barn</t>
  </si>
  <si>
    <t xml:space="preserve">Big Bat Barn – Premium-Fledermaushaus aus Zedernholz mit drei Kammern, Braun – Big Bat Box</t>
  </si>
  <si>
    <t xml:space="preserve">Habitat of Bats: Discover Where They Live and Thrive – Tagged "Ecosystem" – Big Bat Box</t>
  </si>
  <si>
    <t xml:space="preserve">Habitat of Bats: Discover Where They Live and Thrive – Tagged "backyard wildlife" – Big Bat Box</t>
  </si>
  <si>
    <t xml:space="preserve">Bee Species Guide: Discover Their Vital Role in Nature – Tagged "Bee Hotels" – Big Bat Box</t>
  </si>
  <si>
    <t xml:space="preserve">Habitat of Bats: Discover Where They Live and Thrive – Tagged "Night Guardians" – Big Bat Box</t>
  </si>
  <si>
    <t xml:space="preserve">Habitat of Bats: Discover Where They Live and Thrive – Tagged "bat box sunlight requirements" – Big Bat Box</t>
  </si>
  <si>
    <t xml:space="preserve">Fun Facts About Owls: Their Mysteries and Habits Unveiled – Tagged "bird watching" – Big Bat Box</t>
  </si>
  <si>
    <t xml:space="preserve">Types of Squirrels: Discover Their Habitats &amp; Behaviors – Tagged "backyard wildlife" – Big Bat Box</t>
  </si>
  <si>
    <t xml:space="preserve">Habitat of Bats: Discover Where They Live and Thrive – Tagged "backyard conservation" – Big Bat Box</t>
  </si>
  <si>
    <t xml:space="preserve">Types of Squirrels: Discover Their Habitats &amp; Behaviors – Tagged "habitat" – Big Bat Box</t>
  </si>
  <si>
    <t xml:space="preserve">https://www.bigbatbox.com/de/blogs/fun-facts-about-owls/owl-nesting-boxes-providing-safe-havens-for-nighttime-raptors</t>
  </si>
  <si>
    <t xml:space="preserve">Eulennistkästen bieten sichere Zufluchtsorte für nachtaktive Greifvögel. – Big Bat Box</t>
  </si>
  <si>
    <t xml:space="preserve">https://www.bigbatbox.com/de/blogs/habitat-of-bats/how-to-get-rid-of-bats</t>
  </si>
  <si>
    <t xml:space="preserve">Wie man Fledermäuse im Haus loswird: 7 effektive Methoden – Big Bat Box</t>
  </si>
  <si>
    <t xml:space="preserve">https://www.bigbatbox.com/de/blogs/wildyard-learn/wildlife-care-expert-guide-to-maintaining-bat-owl-and-bee-houses</t>
  </si>
  <si>
    <t xml:space="preserve">Wildtierpflege: Wie man Fledermaus-, Eulen- und Bienenhäuser instand hält – Big Bat Box</t>
  </si>
  <si>
    <t xml:space="preserve">Bienenhäuser: Wie sie dazu beitragen, Bienen und die Natur zu retten – Big Bat Box</t>
  </si>
  <si>
    <t xml:space="preserve">https://www.bigbatbox.com/de/blogs/habitat-of-bats/the-night-guardians-the-importance-of-bats-to-our-world</t>
  </si>
  <si>
    <t xml:space="preserve">DIE NACHTWÄCHTER: DIE BEDEUTUNG DER FLEDERMÄUSE FÜR UNSERE WELT – Big Bat Box</t>
  </si>
  <si>
    <t xml:space="preserve">Fun Facts About Owls: Their Mysteries and Habits Unveiled – Etiquetado "Owl Nest Box" – Big Bat Box</t>
  </si>
  <si>
    <t xml:space="preserve">Habitat of Bats: Discover Where They Live and Thrive – Étiqueter "Biodiversity" – Big Bat Box</t>
  </si>
  <si>
    <t xml:space="preserve">Habitat of Bats: Discover Where They Live and Thrive – Markiert "bat prevention" – Big Bat Box</t>
  </si>
  <si>
    <t xml:space="preserve">Bee Species Guide: Discover Their Vital Role in Nature – Markiert "Bee Hotels" – Big Bat Box</t>
  </si>
  <si>
    <t xml:space="preserve">Habitat of Bats: Discover Where They Live and Thrive – Étiqueter "Pollination" – Big Bat Box</t>
  </si>
  <si>
    <t xml:space="preserve">Fun Facts About Owls: Their Mysteries and Habits Unveiled – Étiqueter "owl nesting boxes" – Big Bat Box</t>
  </si>
  <si>
    <t xml:space="preserve">Habitat of Bats: Discover Where They Live and Thrive – Étiqueter "Bats" – Big Bat Box</t>
  </si>
  <si>
    <t xml:space="preserve">Bee Species Guide: Discover Their Vital Role in Nature – Etiquetado "Pollination" – Big Bat Box</t>
  </si>
  <si>
    <t xml:space="preserve">Habitat of Bats: Discover Where They Live and Thrive – Etiquetado "Ecosystem" – Big Bat Box</t>
  </si>
  <si>
    <t xml:space="preserve">Habitat of Bats: Discover Where They Live and Thrive – Étiqueter "bat control" – Big Bat Box</t>
  </si>
  <si>
    <t xml:space="preserve">Habitat of Bats: Discover Where They Live and Thrive – Etiquetado "Conservation" – Big Bat Box</t>
  </si>
  <si>
    <t xml:space="preserve">Fun Facts About Owls: Their Mysteries and Habits Unveiled – Markiert "bird watching" – Big Bat Box</t>
  </si>
  <si>
    <t xml:space="preserve">Bee Species Guide: Discover Their Vital Role in Nature – Etiquetado "Bees" – Big Bat Box</t>
  </si>
  <si>
    <t xml:space="preserve">Habitat of Bats: Discover Where They Live and Thrive – Étiqueter "bat removal" – Big Bat Box</t>
  </si>
  <si>
    <t xml:space="preserve">Bee Species Guide: Discover Their Vital Role in Nature – Markiert "Environmental Health" – Big Bat Box</t>
  </si>
  <si>
    <t xml:space="preserve">Habitat of Bats: Discover Where They Live and Thrive – Etiquetado "Pest Control" – Big Bat Box</t>
  </si>
  <si>
    <t xml:space="preserve">Bee Species Guide: Discover Their Vital Role in Nature – Etiquetado "Environmental Health" – Big Bat Box</t>
  </si>
  <si>
    <t xml:space="preserve">Habitat of Bats: Discover Where They Live and Thrive – Étiqueter "Pest Control" – Big Bat Box</t>
  </si>
  <si>
    <t xml:space="preserve">Habitat of Bats: Discover Where They Live and Thrive – Markiert "Night Guardians" – Big Bat Box</t>
  </si>
  <si>
    <t xml:space="preserve">Habitat of Bats: Discover Where They Live and Thrive – Etiquetado "Biodiversity" – Big Bat Box</t>
  </si>
  <si>
    <t xml:space="preserve">Bee Species Guide: Discover Their Vital Role in Nature – Étiqueter "Environmental Health" – Big Bat Box</t>
  </si>
  <si>
    <t xml:space="preserve">Habitat of Bats: Discover Where They Live and Thrive – Étiqueter "home pest control" – Big Bat Box</t>
  </si>
  <si>
    <t xml:space="preserve">Bee Species Guide: Discover Their Vital Role in Nature – Étiqueter "Biodiversity" – Big Bat Box</t>
  </si>
  <si>
    <t xml:space="preserve">Habitat of Bats: Discover Where They Live and Thrive – Etiquetado "Bats" – Big Bat Box</t>
  </si>
  <si>
    <t xml:space="preserve">Bee Species Guide: Discover Their Vital Role in Nature – Markiert "Bee Houses" – Big Bat Box</t>
  </si>
  <si>
    <t xml:space="preserve">Blog - Große Fledermausbox – Markiert "Wildlife Habitat Tips" – Big Bat Box</t>
  </si>
  <si>
    <t xml:space="preserve">Fun Facts About Owls: Their Mysteries and Habits Unveiled – Étiqueter "wildlife conservation" – Big Bat Box</t>
  </si>
  <si>
    <t xml:space="preserve">Fun Facts About Owls: Their Mysteries and Habits Unveiled – Étiqueter "Bird House" – Big Bat Box</t>
  </si>
  <si>
    <t xml:space="preserve">Bee Species Guide: Discover Their Vital Role in Nature – Markiert "Pollinators" – Big Bat Box</t>
  </si>
  <si>
    <t xml:space="preserve">Bee Species Guide: Discover Their Vital Role in Nature – Markiert "Pollination" – Big Bat Box</t>
  </si>
  <si>
    <t xml:space="preserve">Blog - Große Fledermausbox – Markiert "Wildlife Maintenance" – Big Bat Box</t>
  </si>
  <si>
    <t xml:space="preserve">Fun Facts About Owls: Their Mysteries and Habits Unveiled – Etiquetado "wildlife conservation" – Big Bat Box</t>
  </si>
  <si>
    <t xml:space="preserve">Habitat of Bats: Discover Where They Live and Thrive – Étiqueter "bat prevention" – Big Bat Box</t>
  </si>
  <si>
    <t xml:space="preserve">Habitat of Bats: Discover Where They Live and Thrive – Étiqueter "Night Guardians" – Big Bat Box</t>
  </si>
  <si>
    <t xml:space="preserve">Habitat of Bats: Discover Where They Live and Thrive – Markiert "get rid of bats" – Big Bat Box</t>
  </si>
  <si>
    <t xml:space="preserve">Habitat of Bats: Discover Where They Live and Thrive – Etiquetado "Wildlife" – Big Bat Box</t>
  </si>
  <si>
    <t xml:space="preserve">Bee Species Guide: Discover Their Vital Role in Nature – Etiquetado "Garden Biodiversity" – Big Bat Box</t>
  </si>
  <si>
    <t xml:space="preserve">Bee Species Guide: Discover Their Vital Role in Nature – Étiqueter "Ecosystem" – Big Bat Box</t>
  </si>
  <si>
    <t xml:space="preserve">Habitat of Bats: Discover Where They Live and Thrive – Étiqueter "Ecosystem" – Big Bat Box</t>
  </si>
  <si>
    <t xml:space="preserve">Bee Species Guide: Discover Their Vital Role in Nature – Markiert "Ecosystem" – Big Bat Box</t>
  </si>
  <si>
    <t xml:space="preserve">Habitat of Bats: Discover Where They Live and Thrive – Etiquetado "home pest control" – Big Bat Box</t>
  </si>
  <si>
    <t xml:space="preserve">Fun Facts About Owls: Their Mysteries and Habits Unveiled – Etiquetado "Owl Nesting Box" – Big Bat Box</t>
  </si>
  <si>
    <t xml:space="preserve">Bee Species Guide: Discover Their Vital Role in Nature – Etiquetado "Environmental Sustainability" – Big Bat Box</t>
  </si>
  <si>
    <t xml:space="preserve">Habitat of Bats: Discover Where They Live and Thrive – Etiquetado "bat prevention" – Big Bat Box</t>
  </si>
  <si>
    <t xml:space="preserve">Bee Species Guide: Discover Their Vital Role in Nature – Étiqueter "Bee Houses" – Big Bat Box</t>
  </si>
  <si>
    <t xml:space="preserve">Bee Species Guide: Discover Their Vital Role in Nature – Etiquetado "Ecosystem" – Big Bat Box</t>
  </si>
  <si>
    <t xml:space="preserve">Habitat of Bats: Discover Where They Live and Thrive – Markiert "home pest control" – Big Bat Box</t>
  </si>
  <si>
    <t xml:space="preserve">Fun Facts About Owls: Their Mysteries and Habits Unveiled – Etiquetado "bird watching" – Big Bat Box</t>
  </si>
  <si>
    <t xml:space="preserve">Habitat of Bats: Discover Where They Live and Thrive – Etiquetado "get rid of bats" – Big Bat Box</t>
  </si>
  <si>
    <t xml:space="preserve">Fun Facts About Owls: Their Mysteries and Habits Unveiled – Markiert "wildlife conservation" – Big Bat Box</t>
  </si>
  <si>
    <t xml:space="preserve">Habitat of Bats: Discover Where They Live and Thrive – Étiqueter "Wildlife" – Big Bat Box</t>
  </si>
  <si>
    <t xml:space="preserve">Fun Facts About Owls: Their Mysteries and Habits Unveiled – Étiqueter "Screech Owl Box" – Big Bat Box</t>
  </si>
  <si>
    <t xml:space="preserve">Fun Facts About Owls: Their Mysteries and Habits Unveiled – Etiquetado "Barn Owl Box" – Big Bat Box</t>
  </si>
  <si>
    <t xml:space="preserve">Habitat of Bats: Discover Where They Live and Thrive – Etiquetado "Night Guardians" – Big Bat Box</t>
  </si>
  <si>
    <t xml:space="preserve">Fun Facts About Owls: Their Mysteries and Habits Unveiled – Markiert "Bird House" – Big Bat Box</t>
  </si>
  <si>
    <t xml:space="preserve">Fun Facts About Owls: Their Mysteries and Habits Unveiled – Markiert "owl nesting boxes" – Big Bat Box</t>
  </si>
  <si>
    <t xml:space="preserve">Blog - Große Fledermausbox – Markiert "Habitat Conservation" – Big Bat Box</t>
  </si>
  <si>
    <t xml:space="preserve">Bee Species Guide: Discover Their Vital Role in Nature – Étiqueter "Environmental Sustainability" – Big Bat Box</t>
  </si>
  <si>
    <t xml:space="preserve">Fun Facts About Owls: Their Mysteries and Habits Unveiled – Étiqueter "Owl Nest Box" – Big Bat Box</t>
  </si>
  <si>
    <t xml:space="preserve">Bee Species Guide: Discover Their Vital Role in Nature – Markiert "Environmental Sustainability" – Big Bat Box</t>
  </si>
  <si>
    <t xml:space="preserve">Bee Species Guide: Discover Their Vital Role in Nature – Étiqueter "Pollination" – Big Bat Box</t>
  </si>
  <si>
    <t xml:space="preserve">Habitat of Bats: Discover Where They Live and Thrive – Etiquetado "bat removal" – Big Bat Box</t>
  </si>
  <si>
    <t xml:space="preserve">Habitat of Bats: Discover Where They Live and Thrive – Markiert "Ecosystem" – Big Bat Box</t>
  </si>
  <si>
    <t xml:space="preserve">Habitat of Bats: Discover Where They Live and Thrive – Etiquetado "bat control" – Big Bat Box</t>
  </si>
  <si>
    <t xml:space="preserve">Bee Species Guide: Discover Their Vital Role in Nature – Etiquetado "Pollinators" – Big Bat Box</t>
  </si>
  <si>
    <t xml:space="preserve">Bee Species Guide: Discover Their Vital Role in Nature – Etiquetado "Biodiversity" – Big Bat Box</t>
  </si>
  <si>
    <t xml:space="preserve">Fun Facts About Owls: Their Mysteries and Habits Unveiled – Étiqueter "bird watching" – Big Bat Box</t>
  </si>
  <si>
    <t xml:space="preserve">Bee Species Guide: Discover Their Vital Role in Nature – Markiert "Bees" – Big Bat Box</t>
  </si>
  <si>
    <t xml:space="preserve">Habitat of Bats: Discover Where They Live and Thrive – Markiert "Bats" – Big Bat Box</t>
  </si>
  <si>
    <t xml:space="preserve">Habitat of Bats: Discover Where They Live and Thrive – Markiert "Biodiversity" – Big Bat Box</t>
  </si>
  <si>
    <t xml:space="preserve">Bee Species Guide: Discover Their Vital Role in Nature – Etiquetado "Bee Houses" – Big Bat Box</t>
  </si>
  <si>
    <t xml:space="preserve">Bee Species Guide: Discover Their Vital Role in Nature – Étiqueter "Bee Conservation" – Big Bat Box</t>
  </si>
  <si>
    <t xml:space="preserve">Habitat of Bats: Discover Where They Live and Thrive – Markiert "bat control" – Big Bat Box</t>
  </si>
  <si>
    <t xml:space="preserve">Habitat of Bats: Discover Where They Live and Thrive – Markiert "Wildlife" – Big Bat Box</t>
  </si>
  <si>
    <t xml:space="preserve">Habitat of Bats: Discover Where They Live and Thrive – Étiqueter "Conservation" – Big Bat Box</t>
  </si>
  <si>
    <t xml:space="preserve">Bee Species Guide: Discover Their Vital Role in Nature – Markiert "Garden Biodiversity" – Big Bat Box</t>
  </si>
  <si>
    <t xml:space="preserve">Bee Species Guide: Discover Their Vital Role in Nature – Étiqueter "Garden Biodiversity" – Big Bat Box</t>
  </si>
  <si>
    <t xml:space="preserve">Fun Facts About Owls: Their Mysteries and Habits Unveiled – Étiqueter "Owl Nesting Box" – Big Bat Box</t>
  </si>
  <si>
    <t xml:space="preserve">Bee Species Guide: Discover Their Vital Role in Nature – Étiqueter "Pollinators" – Big Bat Box</t>
  </si>
  <si>
    <t xml:space="preserve">Fun Facts About Owls: Their Mysteries and Habits Unveiled – Etiquetado "Bird House" – Big Bat Box</t>
  </si>
  <si>
    <t xml:space="preserve">Bee Species Guide: Discover Their Vital Role in Nature – Etiquetado "Bee Conservation" – Big Bat Box</t>
  </si>
  <si>
    <t xml:space="preserve">Bee Species Guide: Discover Their Vital Role in Nature – Markiert "Bee Conservation" – Big Bat Box</t>
  </si>
  <si>
    <t xml:space="preserve">Habitat of Bats: Discover Where They Live and Thrive – Markiert "Conservation" – Big Bat Box</t>
  </si>
  <si>
    <t xml:space="preserve">Fun Facts About Owls: Their Mysteries and Habits Unveiled – Etiquetado "Screech Owl Box" – Big Bat Box</t>
  </si>
  <si>
    <t xml:space="preserve">Habitat of Bats: Discover Where They Live and Thrive – Markiert "bat removal" – Big Bat Box</t>
  </si>
  <si>
    <t xml:space="preserve">Habitat of Bats: Discover Where They Live and Thrive – Markiert "Pest Control" – Big Bat Box</t>
  </si>
  <si>
    <t xml:space="preserve">Fun Facts About Owls: Their Mysteries and Habits Unveiled – Étiqueter "Owl Box" – Big Bat Box</t>
  </si>
  <si>
    <t xml:space="preserve">Habitat of Bats: Discover Where They Live and Thrive – Étiqueter "get rid of bats" – Big Bat Box</t>
  </si>
  <si>
    <t xml:space="preserve">Habitat of Bats: Discover Where They Live and Thrive – Etiquetado "Pollination" – Big Bat Box</t>
  </si>
  <si>
    <t xml:space="preserve">Fun Facts About Owls: Their Mysteries and Habits Unveiled – Étiqueter "Barn Owl Box" – Big Bat Box</t>
  </si>
  <si>
    <t xml:space="preserve">Habitat of Bats: Discover Where They Live and Thrive – Markiert "Pollination" – Big Bat Box</t>
  </si>
  <si>
    <t xml:space="preserve">Bee Species Guide: Discover Their Vital Role in Nature – Markiert "Biodiversity" – Big Bat Box</t>
  </si>
  <si>
    <t xml:space="preserve">Bee Species Guide: Discover Their Vital Role in Nature – Étiqueter "Bee Hotels" – Big Bat Box</t>
  </si>
  <si>
    <t xml:space="preserve">Bee Species Guide: Discover Their Vital Role in Nature – Etiquetado "Bee Hotels" – Big Bat Box</t>
  </si>
  <si>
    <t xml:space="preserve">Fun Facts About Owls: Their Mysteries and Habits Unveiled – Etiquetado "Owl Box" – Big Bat Box</t>
  </si>
  <si>
    <t xml:space="preserve">Bee Species Guide: Discover Their Vital Role in Nature – Étiqueter "Bees" – Big Bat Box</t>
  </si>
  <si>
    <t xml:space="preserve">Bird Suet Feeder for Outside — Cedar Suet Feeder with Tail Prop | Big Bat Box</t>
  </si>
  <si>
    <t xml:space="preserve">https://www.bigbatbox.com/es/blogs/habitat-of-bats/where-to-mount-a-bat-house-in-the-usa-simple-guide-for-best-results</t>
  </si>
  <si>
    <t xml:space="preserve">Types of Squirrels: Discover Their Habitats &amp; Behaviors – Étiqueter "nocturnal animals" – Big Bat Box</t>
  </si>
  <si>
    <t xml:space="preserve">https://www.bigbatbox.com/de/blogs/bee-species/how-do-bees-pollinate</t>
  </si>
  <si>
    <t xml:space="preserve">Wie bestäuben Bienen? Ihre entscheidende Rolle in der Natur – Big Bat Box</t>
  </si>
  <si>
    <t xml:space="preserve">https://www.bigbatbox.com/de/blogs/habitat-of-bats/can-bats-live-near-people-safely</t>
  </si>
  <si>
    <t xml:space="preserve">Können Fledermäuse sicher in der Nähe von Menschen leben? Eine Untersuchung des Zusammenlebens. – Big Bat Box</t>
  </si>
  <si>
    <t xml:space="preserve">Unterschiede zwischen Fledermauskästen mit einer, zwei und drei Kammern – Big Bat Box</t>
  </si>
  <si>
    <t xml:space="preserve">https://www.bigbatbox.com/de/blogs/fun-facts-about-owls/the-silent-hunters-why-owl-boxes-and-bat-boxes-shouldnt-mix</t>
  </si>
  <si>
    <t xml:space="preserve">Warum Eulenkästen von Fledermauskästen getrennt sein sollten – Big Bat Box</t>
  </si>
  <si>
    <t xml:space="preserve">https://www.bigbatbox.com/de/products/big-bat-barn-three-chamber-premium-cedar-bat-barn-black</t>
  </si>
  <si>
    <t xml:space="preserve">Big Bat Barn – Premium-Fledermaushaus aus Zedernholz mit drei Kammern, schwarz – Big Bat Box</t>
  </si>
  <si>
    <t xml:space="preserve">https://www.bigbatbox.com/de/blogs/habitat-of-bats/what-do-bats-eat-find-out-some-interesting-bat-food-choices</t>
  </si>
  <si>
    <t xml:space="preserve">Was fressen Fledermäuse? Ein faszinierender Blick auf die Ernährung von Fledermäusen – Big Bat Box</t>
  </si>
  <si>
    <t xml:space="preserve">https://www.bigbatbox.com/de/blogs/bee-species/how-to-maintain-your-bee-house-through-the-seasons</t>
  </si>
  <si>
    <t xml:space="preserve">So pflegen Sie Ihr Bienenhaus: Tipps zur saisonalen Pflege – Big Bat Box</t>
  </si>
  <si>
    <t xml:space="preserve">Backyard Birds: Feeding Guides, Species &amp; Habitat | WildYard – Big Bat Box</t>
  </si>
  <si>
    <t xml:space="preserve">Bee Species Guide: Discover Their Vital Role in Nature – Tag utilizzati "Pollinators" – Big Bat Box</t>
  </si>
  <si>
    <t xml:space="preserve">Habitat of Bats: Discover Where They Live and Thrive – Etiquetado "mosquito controlbackyard wildlife" – Big Bat Box</t>
  </si>
  <si>
    <t xml:space="preserve">Habitat of Bats: Discover Where They Live and Thrive – Étiqueter "home conservation tips" – Big Bat Box</t>
  </si>
  <si>
    <t xml:space="preserve">Backyard Birds: Feeding Guides, Species &amp; Habitat | WildYard – Tagged "suet feeder" – Big Bat Box</t>
  </si>
  <si>
    <t xml:space="preserve">Habitat of Bats: Discover Where They Live and Thrive – Tag utilizzati "bat conservation" – Big Bat Box</t>
  </si>
  <si>
    <t xml:space="preserve">Habitat of Bats: Discover Where They Live and Thrive – Tag utilizzati "bat house wall mount" – Big Bat Box</t>
  </si>
  <si>
    <t xml:space="preserve">Habitat of Bats: Discover Where They Live and Thrive – Étiqueter "one chamber bat box" – Big Bat Box</t>
  </si>
  <si>
    <t xml:space="preserve">Backyard Birds: Feeding Guides, Species &amp; Habitat | WildYard – Tagged "woodpeckers" – Big Bat Box</t>
  </si>
  <si>
    <t xml:space="preserve">Types of Squirrels: Discover Their Habitats &amp; Behaviors – Markiert "squirrel behavior" – Big Bat Box</t>
  </si>
  <si>
    <t xml:space="preserve">Habitat of Bats: Discover Where They Live and Thrive – Tag utilizzati "dark bat houses" – Big Bat Box</t>
  </si>
  <si>
    <t xml:space="preserve">https://www.bigbatbox.com/es/blogs/habitat-of-bats/eco-friendly-bat-house-for-backyard-the-complete-guide</t>
  </si>
  <si>
    <t xml:space="preserve">Types of Squirrels: Discover Their Habitats &amp; Behaviors – Étiqueter "cedar habitat" – Big Bat Box</t>
  </si>
  <si>
    <t xml:space="preserve">Habitat of Bats: Discover Where They Live and Thrive – Markiert "best bat houses for cold states" – Big Bat Box</t>
  </si>
  <si>
    <t xml:space="preserve">Habitat of Bats: Discover Where They Live and Thrive – Markiert "bat house chambers" – Big Bat Box</t>
  </si>
  <si>
    <t xml:space="preserve">Habitat of Bats: Discover Where They Live and Thrive – Tag utilizzati "2026 trends" – Big Bat Box</t>
  </si>
  <si>
    <t xml:space="preserve">Habitat of Bats: Discover Where They Live and Thrive – Markiert "bat house advice" – Big Bat Box</t>
  </si>
  <si>
    <t xml:space="preserve">Habitat of Bats: Discover Where They Live and Thrive – Étiqueter "three chamber bat box" – Big Bat Box</t>
  </si>
  <si>
    <t xml:space="preserve">Backyard Birds: Feeding Guides, Species &amp; Habitat | WildYard – Markiert "summer feeding" – Big Bat Box</t>
  </si>
  <si>
    <t xml:space="preserve">Types of Squirrels: Discover Their Habitats &amp; Behaviors – Etiquetado "squirrel habitat" – Big Bat Box</t>
  </si>
  <si>
    <t xml:space="preserve">Fun Facts About Owls: Their Mysteries and Habits Unveiled – Étiqueter "owl diet" – Big Bat Box</t>
  </si>
  <si>
    <t xml:space="preserve">Habitat of Bats: Discover Where They Live and Thrive – Markiert "bat box guide" – Big Bat Box</t>
  </si>
  <si>
    <t xml:space="preserve">Habitat of Bats: Discover Where They Live and Thrive – Tag utilizzati "Night Guardians" – Big Bat Box</t>
  </si>
  <si>
    <t xml:space="preserve">Bee Species Guide: Discover Their Vital Role in Nature – Étiqueter "Fun Facts About Bees" – Big Bat Box</t>
  </si>
  <si>
    <t xml:space="preserve">Fun Facts About Owls: Their Mysteries and Habits Unveiled – Page 2 – Big Bat Box</t>
  </si>
  <si>
    <t xml:space="preserve">WildYard Learn | Big Bat Box Blog – Tag utilizzati "eco-friendly gardening"</t>
  </si>
  <si>
    <t xml:space="preserve">Backyard Birds: Feeding Guides, Species &amp; Habitat | WildYard – Étiqueter "suet for birds" – Big Bat Box</t>
  </si>
  <si>
    <t xml:space="preserve">Habitat of Bats: Discover Where They Live and Thrive – Tagged "wildlife-friendly home" – Big Bat Box</t>
  </si>
  <si>
    <t xml:space="preserve">Habitat of Bats: Discover Where They Live and Thrive – Tagged "bat in the house in winter" – Big Bat Box</t>
  </si>
  <si>
    <t xml:space="preserve">Fun Facts About Owls: Their Mysteries and Habits Unveiled – Tagged "ecological balance" – Big Bat Box</t>
  </si>
  <si>
    <t xml:space="preserve">Habitat of Bats: Discover Where They Live and Thrive – Tag utilizzati "backyard pest control" – Big Bat Box</t>
  </si>
  <si>
    <t xml:space="preserve">Habitat of Bats: Discover Where They Live and Thrive – Tag utilizzati "Pollination" – Big Bat Box</t>
  </si>
  <si>
    <t xml:space="preserve">Backyard Birds: Feeding Guides, Species &amp; Habitat | WildYard – Markiert "seasonal feeding" – Big Bat Box</t>
  </si>
  <si>
    <t xml:space="preserve">Habitat of Bats: Discover Where They Live and Thrive – Etiquetado "one chamber bat box" – Big Bat Box</t>
  </si>
  <si>
    <t xml:space="preserve">Habitat of Bats: Discover Where They Live and Thrive – Tag utilizzati "bat house pole" – Big Bat Box</t>
  </si>
  <si>
    <t xml:space="preserve">Habitat of Bats: Discover Where They Live and Thrive – Tagged "bat hibernation" – Big Bat Box</t>
  </si>
  <si>
    <t xml:space="preserve">Backyard Birds: Feeding Guides, Species &amp; Habitat | WildYard – Tag utilizzati "starlings" – Big Bat Box</t>
  </si>
  <si>
    <t xml:space="preserve">Fun Facts About Owls: Their Mysteries and Habits Unveiled – Markiert "wildlife lifespan" – Big Bat Box</t>
  </si>
  <si>
    <t xml:space="preserve">Fun Facts About Owls: Their Mysteries and Habits Unveiled – Etiquetado "owl calls" – Big Bat Box</t>
  </si>
  <si>
    <t xml:space="preserve">Habitat of Bats: Discover Where They Live and Thrive – Tagged "home conservation tips" – Big Bat Box</t>
  </si>
  <si>
    <t xml:space="preserve">Habitat of Bats: Discover Where They Live and Thrive – Étiqueter "bat roost guide" – Big Bat Box</t>
  </si>
  <si>
    <t xml:space="preserve">Habitat of Bats: Discover Where They Live and Thrive – Tag utilizzati "bat hibernation" – Big Bat Box</t>
  </si>
  <si>
    <t xml:space="preserve">Backyard Birds: Feeding Guides, Species &amp; Habitat | WildYard – Tagged "hot pepper suet" – Big Bat Box</t>
  </si>
  <si>
    <t xml:space="preserve">Habitat of Bats: Discover Where They Live and Thrive – Étiqueter "bat houses for cold climates" – Big Bat Box</t>
  </si>
  <si>
    <t xml:space="preserve">Habitat of Bats: Discover Where They Live and Thrive – Tag utilizzati "bat house chambers" – Big Bat Box</t>
  </si>
  <si>
    <t xml:space="preserve">Fun Facts About Owls: Their Mysteries and Habits Unveiled – Tag utilizzati "bird habitats" – Big Bat Box</t>
  </si>
  <si>
    <t xml:space="preserve">Types of Squirrels: Discover Their Habitats &amp; Behaviors – Tagged "squirrel nesting box" – Big Bat Box</t>
  </si>
  <si>
    <t xml:space="preserve">Types of Squirrels: Discover Their Habitats &amp; Behaviors – Étiqueter "squirrel habitat" – Big Bat Box</t>
  </si>
  <si>
    <t xml:space="preserve">Habitat of Bats: Discover Where They Live and Thrive – Tag utilizzati "bat house for cold climates" – Big Bat Box</t>
  </si>
  <si>
    <t xml:space="preserve">Habitat of Bats: Discover Where They Live and Thrive – Markiert "bat roost guide" – Big Bat Box</t>
  </si>
  <si>
    <t xml:space="preserve">Habitat of Bats: Discover Where They Live and Thrive – Etiquetado "endangered bats" – Big Bat Box</t>
  </si>
  <si>
    <t xml:space="preserve">Habitat of Bats: Discover Where They Live and Thrive – Tagged "pollinator friendly yard" – Big Bat Box</t>
  </si>
  <si>
    <t xml:space="preserve">Habitat of Bats: Discover Where They Live and Thrive – Tagged "bat roost guide" – Big Bat Box</t>
  </si>
  <si>
    <t xml:space="preserve">Bee Species Guide: Discover Their Vital Role in Nature – Tagged "leafcutter bees" – Big Bat Box</t>
  </si>
  <si>
    <t xml:space="preserve">Bee Species Guide: Discover Their Vital Role in Nature – Étiqueter "pollinator habitat" – Big Bat Box</t>
  </si>
  <si>
    <t xml:space="preserve">Habitat of Bats: Discover Where They Live and Thrive – Markiert "bat conservation" – Big Bat Box</t>
  </si>
  <si>
    <t xml:space="preserve">Habitat of Bats: Discover Where They Live and Thrive – Étiqueter "help bats at home" – Big Bat Box</t>
  </si>
  <si>
    <t xml:space="preserve">Types of Squirrels: Discover Their Habitats &amp; Behaviors – Tag utilizzati "buying guide" – Big Bat Box</t>
  </si>
  <si>
    <t xml:space="preserve">Bee Species Guide: Discover Their Vital Role in Nature – Markiert "bee house" – Big Bat Box</t>
  </si>
  <si>
    <t xml:space="preserve">Bee Species Guide: Discover Their Vital Role in Nature – Tagged "Bee Biology" – Big Bat Box</t>
  </si>
  <si>
    <t xml:space="preserve">WildYard Learn | Big Bat Box Blog – Etiquetado "eco-friendly gardening"</t>
  </si>
  <si>
    <t xml:space="preserve">Mount &amp; Plant: WildYard X Angry Birds™ - Flowerpot Birdhouse Guide – Big Bat Box</t>
  </si>
  <si>
    <t xml:space="preserve">Habitat of Bats: Discover Where They Live and Thrive – Markiert "endangered bats" – Big Bat Box</t>
  </si>
  <si>
    <t xml:space="preserve">Types of Squirrels: Discover Their Habitats &amp; Behaviors – Markiert "wildlife feeding" – Big Bat Box</t>
  </si>
  <si>
    <t xml:space="preserve">Bee Species Guide: Discover Their Vital Role in Nature – Etiquetado "Bee Food Sources" – Big Bat Box</t>
  </si>
  <si>
    <t xml:space="preserve">Habitat of Bats: Discover Where They Live and Thrive – Etiquetado "two chamber bat box" – Big Bat Box</t>
  </si>
  <si>
    <t xml:space="preserve">Bee Species Guide: Discover Their Vital Role in Nature – Etiquetado "Honey Production" – Big Bat Box</t>
  </si>
  <si>
    <t xml:space="preserve">Conservation &amp; Partners: WildYard &amp; 1% For The Planet – Étiqueter "birds" – Big Bat Box</t>
  </si>
  <si>
    <t xml:space="preserve">Habitat of Bats: Discover Where They Live and Thrive – Tagged "wildlife habitat" – Big Bat Box</t>
  </si>
  <si>
    <t xml:space="preserve">Fun Facts About Owls: Their Mysteries and Habits Unveiled – Markiert "great horned owl" – Big Bat Box</t>
  </si>
  <si>
    <t xml:space="preserve">Types of Squirrels: Discover Their Habitats &amp; Behaviors – Étiqueter "squirrel house" – Big Bat Box</t>
  </si>
  <si>
    <t xml:space="preserve">Habitat of Bats: Discover Where They Live and Thrive – Tag utilizzati "tall bat house design" – Big Bat Box</t>
  </si>
  <si>
    <t xml:space="preserve">Bee Species Guide: Discover Their Vital Role in Nature – Étiqueter "Honey Bees" – Big Bat Box</t>
  </si>
  <si>
    <t xml:space="preserve">Fun Facts About Owls: Their Mysteries and Habits Unveiled – Tagged "Night Sounds" – Big Bat Box</t>
  </si>
  <si>
    <t xml:space="preserve">Fun Facts About Owls: Their Mysteries and Habits Unveiled – Etiquetado "owl diet" – Big Bat Box</t>
  </si>
  <si>
    <t xml:space="preserve">Habitat of Bats: Discover Where They Live and Thrive – Tag utilizzati "backyard conservation" – Big Bat Box</t>
  </si>
  <si>
    <t xml:space="preserve">Habitat of Bats: Discover Where They Live and Thrive – Tag utilizzati "bat house tips" – Big Bat Box</t>
  </si>
  <si>
    <t xml:space="preserve">Types of Squirrels: Discover Their Habitats &amp; Behaviors – Tag utilizzati "squirrel box" – Big Bat Box</t>
  </si>
  <si>
    <t xml:space="preserve">Habitat of Bats: Discover Where They Live and Thrive – Etiquetado "bat boxes" – Big Bat Box</t>
  </si>
  <si>
    <t xml:space="preserve">Habitat of Bats: Discover Where They Live and Thrive – Tag utilizzati "bat boxes" – Big Bat Box</t>
  </si>
  <si>
    <t xml:space="preserve">Bee Species Guide: Discover Their Vital Role in Nature – Etiquetado "Solitary Bees" – Big Bat Box</t>
  </si>
  <si>
    <t xml:space="preserve">Bee Species Guide: Discover Their Vital Role in Nature – Etiquetado "Honey Bees" – Big Bat Box</t>
  </si>
  <si>
    <t xml:space="preserve">Habitat of Bats: Discover Where They Live and Thrive – Étiqueter "insect control naturally" – Big Bat Box</t>
  </si>
  <si>
    <t xml:space="preserve">Habitat of Bats: Discover Where They Live and Thrive – Tagged "black bat house" – Big Bat Box</t>
  </si>
  <si>
    <t xml:space="preserve">Habitat of Bats: Discover Where They Live and Thrive – Tagged "USA bat house guide" – Big Bat Box</t>
  </si>
  <si>
    <t xml:space="preserve">Types of Squirrels: Discover Their Habitats &amp; Behaviors – Tagged "wildlife lifespan" – Big Bat Box</t>
  </si>
  <si>
    <t xml:space="preserve">Habitat of Bats: Discover Where They Live and Thrive – Markiert "bat benefits" – Big Bat Box</t>
  </si>
  <si>
    <t xml:space="preserve">Types of Squirrels: Discover Their Habitats &amp; Behaviors – Etiquetado "WildYard" – Big Bat Box</t>
  </si>
  <si>
    <t xml:space="preserve">Habitat of Bats: Discover Where They Live and Thrive – Tagged "mounting bat houses" – Big Bat Box</t>
  </si>
  <si>
    <t xml:space="preserve">Bee Species Guide: Discover Their Vital Role in Nature – Étiqueter "backyard wildlife" – Big Bat Box</t>
  </si>
  <si>
    <t xml:space="preserve">Conservation &amp; Partners: WildYard &amp; 1% For The Planet – Tag utilizzati "birds" – Big Bat Box</t>
  </si>
  <si>
    <t xml:space="preserve">Habitat of Bats: Discover Where They Live and Thrive – Étiqueter "cedar bat house" – Big Bat Box</t>
  </si>
  <si>
    <t xml:space="preserve">Fun Facts About Owls: Their Mysteries and Habits Unveiled – Tag utilizzati "owl diet" – Big Bat Box</t>
  </si>
  <si>
    <t xml:space="preserve">Habitat of Bats: Discover Where They Live and Thrive – Tag utilizzati "wildlife friendly backyard" – Big Bat Box</t>
  </si>
  <si>
    <t xml:space="preserve">Backyard Birds: Feeding Guides, Species &amp; Habitat | WildYard – Etiquetado "backyard birds" – Big Bat Box</t>
  </si>
  <si>
    <t xml:space="preserve">Habitat of Bats: Discover Where They Live and Thrive – Etiquetado "night wildlife support" – Big Bat Box</t>
  </si>
  <si>
    <t xml:space="preserve">Keep Squirrels &amp; Starlings Off Your Suet Feeder: What Works – Big Bat Box</t>
  </si>
  <si>
    <t xml:space="preserve">Bee Species Guide: Discover Their Vital Role in Nature – Tag utilizzati "Bees Diet" – Big Bat Box</t>
  </si>
  <si>
    <t xml:space="preserve">Habitat of Bats: Discover Where They Live and Thrive – Étiqueter "wildlife bat box guide" – Big Bat Box</t>
  </si>
  <si>
    <t xml:space="preserve">Habitat of Bats: Discover Where They Live and Thrive – Markiert "bat safety" – Big Bat Box</t>
  </si>
  <si>
    <t xml:space="preserve">https://www.bigbatbox.com/de/blogs/habitat-of-bats/big-bat-box-comparison</t>
  </si>
  <si>
    <t xml:space="preserve">Warum Big Bat Box die Konkurrenz übertrifft | WildYard Fledermauskästen</t>
  </si>
  <si>
    <t xml:space="preserve">Habitat of Bats: Discover Where They Live and Thrive – Markiert "bat house height" – Big Bat Box</t>
  </si>
  <si>
    <t xml:space="preserve">Fun Facts About Owls: Their Mysteries and Habits Unveiled – Tag utilizzati "Conservation" – Big Bat Box</t>
  </si>
  <si>
    <t xml:space="preserve">Habitat of Bats: Discover Where They Live and Thrive – Tagged "safe wildlife practices" – Big Bat Box</t>
  </si>
  <si>
    <t xml:space="preserve">https://www.bigbatbox.com/de/blogs/habitat-of-bats/what-are-the-bat-house-kits</t>
  </si>
  <si>
    <t xml:space="preserve">Was sind Fledermauskasten-Sets und wie funktionieren sie? – Big Bat Box</t>
  </si>
  <si>
    <t xml:space="preserve">Fun Facts About Owls: Their Mysteries and Habits Unveiled – Tag utilizzati "bird watching" – Big Bat Box</t>
  </si>
  <si>
    <t xml:space="preserve">Types of Squirrels: Discover Their Habitats &amp; Behaviors – Tagged "winter wildlife" – Big Bat Box</t>
  </si>
  <si>
    <t xml:space="preserve">Fun Facts About Owls: Their Mysteries and Habits Unveiled – Markiert "Owl Facts" – Big Bat Box</t>
  </si>
  <si>
    <t xml:space="preserve">Fun Facts About Owls: Their Mysteries and Habits Unveiled – Markiert "Owl Box FAQ" – Big Bat Box</t>
  </si>
  <si>
    <t xml:space="preserve">Types of Squirrels: Discover Their Habitats &amp; Behaviors – Markiert "squirrel box" – Big Bat Box</t>
  </si>
  <si>
    <t xml:space="preserve">Types of Squirrels: Discover Their Habitats &amp; Behaviors – Tag utilizzati "squirrel behavior" – Big Bat Box</t>
  </si>
  <si>
    <t xml:space="preserve">Fun Facts About Owls: Their Mysteries and Habits Unveiled – Markiert "Screech Owl Box" – Big Bat Box</t>
  </si>
  <si>
    <t xml:space="preserve">Types of Squirrels: Discover Their Habitats &amp; Behaviors – Tagged "squirrels" – Big Bat Box</t>
  </si>
  <si>
    <t xml:space="preserve">Bee Species Guide: Discover Their Vital Role in Nature – Markiert "Fun Facts About Bees" – Big Bat Box</t>
  </si>
  <si>
    <t xml:space="preserve">Conservation &amp; Partners: WildYard &amp; 1% For The Planet – Tag utilizzati "Conservation" – Big Bat Box</t>
  </si>
  <si>
    <t xml:space="preserve">Backyard Birds: Feeding Guides, Species &amp; Habitat | WildYard – Étiqueter "seasonal feeding" – Big Bat Box</t>
  </si>
  <si>
    <t xml:space="preserve">Fun Facts About Owls: Their Mysteries and Habits Unveiled – Etiquetado "owl nesting boxes" – Big Bat Box</t>
  </si>
  <si>
    <t xml:space="preserve">Habitat of Bats: Discover Where They Live and Thrive – Tag utilizzati "bat house colors" – Big Bat Box</t>
  </si>
  <si>
    <t xml:space="preserve">Habitat of Bats: Discover Where They Live and Thrive – Etiquetado "megabats" – Big Bat Box</t>
  </si>
  <si>
    <t xml:space="preserve">Habitat of Bats: Discover Where They Live and Thrive – Tagged "bat habitat" – Big Bat Box</t>
  </si>
  <si>
    <t xml:space="preserve">Bee Species Guide: Discover Their Vital Role in Nature – Tagged "Honey Making" – Big Bat Box</t>
  </si>
  <si>
    <t xml:space="preserve">Habitat of Bats: Discover Where They Live and Thrive – Markiert "mosquito reduction with bats" – Big Bat Box</t>
  </si>
  <si>
    <t xml:space="preserve">Types of Squirrels: Discover Their Habitats &amp; Behaviors – Etiquetado "squirrel care" – Big Bat Box</t>
  </si>
  <si>
    <t xml:space="preserve">Types of Squirrels: Discover Their Habitats &amp; Behaviors – Tag utilizzati "habitat" – Big Bat Box</t>
  </si>
  <si>
    <t xml:space="preserve">Habitat of Bats: Discover Where They Live and Thrive – Tagged "echolocation" – Big Bat Box</t>
  </si>
  <si>
    <t xml:space="preserve">Habitat of Bats: Discover Where They Live and Thrive – Étiqueter "native plants for bats" – Big Bat Box</t>
  </si>
  <si>
    <t xml:space="preserve">Habitat of Bats: Discover Where They Live and Thrive – Etiquetado "where to mount bat house" – Big Bat Box</t>
  </si>
  <si>
    <t xml:space="preserve">Habitat of Bats: Discover Where They Live and Thrive – Tagged "bat house mosquito control" – Big Bat Box</t>
  </si>
  <si>
    <t xml:space="preserve">Backyard Birds: Feeding Guides, Species &amp; Habitat | WildYard – Étiqueter "squirrels" – Big Bat Box</t>
  </si>
  <si>
    <t xml:space="preserve">BCI-zertifiziertes Fledermaushaus: Bedeutung der Zertifizierung – Big Bat Box</t>
  </si>
  <si>
    <t xml:space="preserve">Habitat of Bats: Discover Where They Live and Thrive – Étiqueter "best bat houses for cold states" – Big Bat Box</t>
  </si>
  <si>
    <t xml:space="preserve">Bee Species Guide: Discover Their Vital Role in Nature – Etiquetado "backyard wildlife" – Big Bat Box</t>
  </si>
  <si>
    <t xml:space="preserve">Habitat of Bats: Discover Where They Live and Thrive – Étiqueter "coexist with bats" – Big Bat Box</t>
  </si>
  <si>
    <t xml:space="preserve">Habitat of Bats: Discover Where They Live and Thrive – Tagged "eco friendly bat house" – Big Bat Box</t>
  </si>
  <si>
    <t xml:space="preserve">Habitat of Bats: Discover Where They Live and Thrive – Etiquetado "winter bat house tips" – Big Bat Box</t>
  </si>
  <si>
    <t xml:space="preserve">Habitat of Bats: Discover Where They Live and Thrive – Markiert "winter wildlife" – Big Bat Box</t>
  </si>
  <si>
    <t xml:space="preserve">Habitat of Bats: Discover Where They Live and Thrive – Tag utilizzati "black cedar bat house" – Big Bat Box</t>
  </si>
  <si>
    <t xml:space="preserve">Fun Facts About Owls: Their Mysteries and Habits Unveiled – Tag utilizzati "Owl Safety" – Big Bat Box</t>
  </si>
  <si>
    <t xml:space="preserve">Habitat of Bats: Discover Where They Live and Thrive – Markiert "help bats at home" – Big Bat Box</t>
  </si>
  <si>
    <t xml:space="preserve">Habitat of Bats: Discover Where They Live and Thrive – Markiert "Wildyard bat houses" – Big Bat Box</t>
  </si>
  <si>
    <t xml:space="preserve">Habitat of Bats: Discover Where They Live and Thrive – Markiert "native plants for bats" – Big Bat Box</t>
  </si>
  <si>
    <t xml:space="preserve">Habitat of Bats: Discover Where They Live and Thrive – Tagged "bat house sun exposure" – Big Bat Box</t>
  </si>
  <si>
    <t xml:space="preserve">Types of Squirrels: Discover Their Habitats &amp; Behaviors – Étiqueter "nest box maintenance" – Big Bat Box</t>
  </si>
  <si>
    <t xml:space="preserve">Fun Facts About Owls: Their Mysteries and Habits Unveiled – Étiqueter "owl boxes" – Big Bat Box</t>
  </si>
  <si>
    <t xml:space="preserve">Umweltfreundliches Fledermaushaus: Ihr Leitfaden für den Garten – Big Bat Box</t>
  </si>
  <si>
    <t xml:space="preserve">Habitat of Bats: Discover Where They Live and Thrive – Markiert "painted cedar bat house" – Big Bat Box</t>
  </si>
  <si>
    <t xml:space="preserve">Fun Facts About Owls: Their Mysteries and Habits Unveiled – Tagged "snowy owl" – Big Bat Box</t>
  </si>
  <si>
    <t xml:space="preserve">Habitat of Bats: Discover Where They Live and Thrive – Etiquetado "mosquito control" – Big Bat Box</t>
  </si>
  <si>
    <t xml:space="preserve">Habitat of Bats: Discover Where They Live and Thrive – Étiqueter "best bat boxes for mosquito control" – Big Bat Box</t>
  </si>
  <si>
    <t xml:space="preserve">Habitat of Bats: Discover Where They Live and Thrive – Markiert "BCI certified bat house" – Big Bat Box</t>
  </si>
  <si>
    <t xml:space="preserve">Bee Species Guide: Discover Their Vital Role in Nature – Etiquetado "bee identification" – Big Bat Box</t>
  </si>
  <si>
    <t xml:space="preserve">Bee Species Guide: Discover Their Vital Role in Nature – Markiert "Pollination Process" – Big Bat Box</t>
  </si>
  <si>
    <t xml:space="preserve">Bee Species Guide: Discover Their Vital Role in Nature – Etiquetado "Honey Making" – Big Bat Box</t>
  </si>
  <si>
    <t xml:space="preserve">Habitat of Bats: Discover Where They Live and Thrive – Tagged "multi chamber bat house" – Big Bat Box</t>
  </si>
  <si>
    <t xml:space="preserve">Habitat of Bats: Discover Where They Live and Thrive – Tag utilizzati "cedar bat box" – Big Bat Box</t>
  </si>
  <si>
    <t xml:space="preserve">Habitat of Bats: Discover Where They Live and Thrive – Markiert "bat house pole" – Big Bat Box</t>
  </si>
  <si>
    <t xml:space="preserve">Types of Squirrels: Discover Their Habitats &amp; Behaviors – Étiqueter "squirrel behavior" – Big Bat Box</t>
  </si>
  <si>
    <t xml:space="preserve">Types of Squirrels: Discover Their Habitats &amp; Behaviors – Tag utilizzati "squirrel house" – Big Bat Box</t>
  </si>
  <si>
    <t xml:space="preserve">Habitat of Bats: Discover Where They Live and Thrive – Tag utilizzati "yard wildlife guide" – Big Bat Box</t>
  </si>
  <si>
    <t xml:space="preserve">Habitat of Bats: Discover Where They Live and Thrive – Etiquetado "bat house chambers" – Big Bat Box</t>
  </si>
  <si>
    <t xml:space="preserve">Fun Facts About Owls: Their Mysteries and Habits Unveiled – Markiert "bat and owl" – Big Bat Box</t>
  </si>
  <si>
    <t xml:space="preserve">Bee Species Guide: Discover Their Vital Role in Nature – Markiert "Nature’s Architects" – Big Bat Box</t>
  </si>
  <si>
    <t xml:space="preserve">Habitat of Bats: Discover Where They Live and Thrive – Tag utilizzati "bat conservation guide" – Big Bat Box</t>
  </si>
  <si>
    <t xml:space="preserve">Habitat of Bats: Discover Where They Live and Thrive – Etiquetado "bat proofing tips" – Big Bat Box</t>
  </si>
  <si>
    <t xml:space="preserve">Fun Facts About Owls: Their Mysteries and Habits Unveiled – Tagged "predators" – Big Bat Box</t>
  </si>
  <si>
    <t xml:space="preserve">Habitat of Bats: Discover Where They Live and Thrive – Étiqueter "tall bat house design" – Big Bat Box</t>
  </si>
  <si>
    <t xml:space="preserve">Bee Species Guide: Discover Their Vital Role in Nature – Seite 2 – Big Bat Box</t>
  </si>
  <si>
    <t xml:space="preserve">Habitat of Bats: Discover Where They Live and Thrive – Tagged "natural mosquito control" – Big Bat Box</t>
  </si>
  <si>
    <t xml:space="preserve">Types of Squirrels: Discover Their Habitats &amp; Behaviors – Tag utilizzati "wildlife habitat" – Big Bat Box</t>
  </si>
  <si>
    <t xml:space="preserve">Habitat of Bats: Discover Where They Live and Thrive – Tag utilizzati "bat proofing tips" – Big Bat Box</t>
  </si>
  <si>
    <t xml:space="preserve">Habitat of Bats: Discover Where They Live and Thrive – Etiquetado "help bats at home" – Big Bat Box</t>
  </si>
  <si>
    <t xml:space="preserve">Habitat of Bats: Discover Where They Live and Thrive – Tagged "DIY Bat House" – Big Bat Box</t>
  </si>
  <si>
    <t xml:space="preserve">Bee Species Guide: Discover Their Vital Role in Nature – Étiqueter "Bee Lifecycle" – Big Bat Box</t>
  </si>
  <si>
    <t xml:space="preserve">Habitat of Bats: Discover Where They Live and Thrive – Etiquetado "bat box guide" – Big Bat Box</t>
  </si>
  <si>
    <t xml:space="preserve">Types of Squirrels: Discover Their Habitats &amp; Behaviors – Étiqueter "squirrel feeder ideas" – Big Bat Box</t>
  </si>
  <si>
    <t xml:space="preserve">Habitat of Bats: Discover Where They Live and Thrive – Tagged "mosquito reduction with bats" – Big Bat Box</t>
  </si>
  <si>
    <t xml:space="preserve">Fun Facts About Owls: Their Mysteries and Habits Unveiled – Markiert "Conservation" – Big Bat Box</t>
  </si>
  <si>
    <t xml:space="preserve">Habitat of Bats: Discover Where They Live and Thrive – Tag utilizzati "cold climate bat box" – Big Bat Box</t>
  </si>
  <si>
    <t xml:space="preserve">Habitat of Bats: Discover Where They Live and Thrive – Etiquetado "bat house height" – Big Bat Box</t>
  </si>
  <si>
    <t xml:space="preserve">Types of Squirrels: Discover Their Habitats &amp; Behaviors – Tagged "squirrel habitat" – Big Bat Box</t>
  </si>
  <si>
    <t xml:space="preserve">Habitat of Bats: Discover Where They Live and Thrive – Markiert "megabats" – Big Bat Box</t>
  </si>
  <si>
    <t xml:space="preserve">Types of Squirrels: Discover Their Habitats &amp; Behaviors – Etiquetado "nocturnal animals" – Big Bat Box</t>
  </si>
  <si>
    <t xml:space="preserve">Habitat of Bats: Discover Where They Live and Thrive – Markiert "eco-friendly bat shelter" – Big Bat Box</t>
  </si>
  <si>
    <t xml:space="preserve">Habitat of Bats: Discover Where They Live and Thrive – Markiert "protect bats" – Big Bat Box</t>
  </si>
  <si>
    <t xml:space="preserve">Habitat of Bats: Discover Where They Live and Thrive – Markiert "insect control naturally" – Big Bat Box</t>
  </si>
  <si>
    <t xml:space="preserve">Habitat of Bats: Discover Where They Live and Thrive – Etiquetado "safe wildlife practices" – Big Bat Box</t>
  </si>
  <si>
    <t xml:space="preserve">Habitat of Bats: Discover Where They Live and Thrive – Markiert "microbats" – Big Bat Box</t>
  </si>
  <si>
    <t xml:space="preserve">Fun Facts About Owls: Their Mysteries and Habits Unveiled – Tag utilizzati "Owl Facts" – Big Bat Box</t>
  </si>
  <si>
    <t xml:space="preserve">Habitat of Bats: Discover Where They Live and Thrive – Tag utilizzati "native plants for bats" – Big Bat Box</t>
  </si>
  <si>
    <t xml:space="preserve">Conservation &amp; Partners: WildYard &amp; 1% For The Planet – Etiquetado "partnership" – Big Bat Box</t>
  </si>
  <si>
    <t xml:space="preserve">Habitat of Bats: Discover Where They Live and Thrive – Pagina 3 – Big Bat Box</t>
  </si>
  <si>
    <t xml:space="preserve">Fun Facts About Owls: Their Mysteries and Habits Unveiled – Étiqueter "wildlife lifespan" – Big Bat Box</t>
  </si>
  <si>
    <t xml:space="preserve">Backyard Birds: Feeding Guides, Species &amp; Habitat | WildYard – Tagged "bird feeding" – Big Bat Box</t>
  </si>
  <si>
    <t xml:space="preserve">Bee Species Guide: Discover Their Vital Role in Nature – Tagged "pollinator habitat" – Big Bat Box</t>
  </si>
  <si>
    <t xml:space="preserve">Fun Facts About Owls: Their Mysteries and Habits Unveiled – Markiert "owl boxes" – Big Bat Box</t>
  </si>
  <si>
    <t xml:space="preserve">Habitat of Bats: Discover Where They Live and Thrive – Etiquetado "best bat house setup" – Big Bat Box</t>
  </si>
  <si>
    <t xml:space="preserve">Habitat of Bats: Discover Where They Live and Thrive – Etiquetado "avoid pesticides" – Big Bat Box</t>
  </si>
  <si>
    <t xml:space="preserve">Habitat of Bats: Discover Where They Live and Thrive – Tagged "eco-friendly bat shelter" – Big Bat Box</t>
  </si>
  <si>
    <t xml:space="preserve">Habitat of Bats: Discover Where They Live and Thrive – Tag utilizzati "where to mount bat house" – Big Bat Box</t>
  </si>
  <si>
    <t xml:space="preserve">Fun Facts About Owls: Their Mysteries and Habits Unveiled – Etiquetado "bat and owl" – Big Bat Box</t>
  </si>
  <si>
    <t xml:space="preserve">Bee Species Guide: Discover Their Vital Role in Nature – Etiquetado "Nature’s Architects" – Big Bat Box</t>
  </si>
  <si>
    <t xml:space="preserve">Habitat of Bats: Discover Where They Live and Thrive – Tagged "BCI certified bat house" – Big Bat Box</t>
  </si>
  <si>
    <t xml:space="preserve">Habitat of Bats: Discover Where They Live and Thrive – Etiquetado "BCI certified bat house" – Big Bat Box</t>
  </si>
  <si>
    <t xml:space="preserve">Habitat of Bats: Discover Where They Live and Thrive – Tagged "endangered bats" – Big Bat Box</t>
  </si>
  <si>
    <t xml:space="preserve">Bee Species Guide: Discover Their Vital Role in Nature – Tagged "Bee Lifecycle" – Big Bat Box</t>
  </si>
  <si>
    <t xml:space="preserve">Habitat of Bats: Discover Where They Live and Thrive – Etiquetado "bat house warmth retention" – Big Bat Box</t>
  </si>
  <si>
    <t xml:space="preserve">Bee Species Guide: Discover Their Vital Role in Nature – Tag utilizzati "pollinator habitat" – Big Bat Box</t>
  </si>
  <si>
    <t xml:space="preserve">Habitat of Bats: Discover Where They Live and Thrive – Markiert "bat house temperature" – Big Bat Box</t>
  </si>
  <si>
    <t xml:space="preserve">Habitat of Bats: Discover Where They Live and Thrive – Markiert "tall bat house design" – Big Bat Box</t>
  </si>
  <si>
    <t xml:space="preserve">Habitat of Bats: Discover Where They Live and Thrive – Markiert "mammal facts" – Big Bat Box</t>
  </si>
  <si>
    <t xml:space="preserve">Fun Facts About Owls: Their Mysteries and Habits Unveiled – Markiert "Night Sounds" – Big Bat Box</t>
  </si>
  <si>
    <t xml:space="preserve">Fun Facts About Owls: Their Mysteries and Habits Unveiled – Tagged "nocturnal animals" – Big Bat Box</t>
  </si>
  <si>
    <t xml:space="preserve">Habitat of Bats: Discover Where They Live and Thrive – Markiert "bat house placement guide" – Big Bat Box</t>
  </si>
  <si>
    <t xml:space="preserve">Backyard Birds: Feeding Guides, Species &amp; Habitat | WildYard – Tagged "squirrels" – Big Bat Box</t>
  </si>
  <si>
    <t xml:space="preserve">Habitat of Bats: Discover Where They Live and Thrive – Tagged "DIY bat box" – Big Bat Box</t>
  </si>
  <si>
    <t xml:space="preserve">Fun Facts About Owls: Their Mysteries and Habits Unveiled – Etiquetado "Owl Box FAQ" – Big Bat Box</t>
  </si>
  <si>
    <t xml:space="preserve">Habitat of Bats: Discover Where They Live and Thrive – Etiquetado "Ecosystem Guardians" – Big Bat Box</t>
  </si>
  <si>
    <t xml:space="preserve">Habitat of Bats: Discover Where They Live and Thrive – Étiqueter "wildlife conservation" – Big Bat Box</t>
  </si>
  <si>
    <t xml:space="preserve">Habitat of Bats: Discover Where They Live and Thrive – Tagged "cold climate bat box" – Big Bat Box</t>
  </si>
  <si>
    <t xml:space="preserve">https://www.bigbatbox.com/de/blogs/habitat-of-bats/11-interesting-things-to-know-about-bat-houses</t>
  </si>
  <si>
    <t xml:space="preserve">11 interessante Dinge, die Sie über Fledermaushäuser wissen sollten – Big Bat Box</t>
  </si>
  <si>
    <t xml:space="preserve">Habitat of Bats: Discover Where They Live and Thrive – Étiqueter "bat in the house in winter" – Big Bat Box</t>
  </si>
  <si>
    <t xml:space="preserve">Fun Facts About Owls: Their Mysteries and Habits Unveiled – Markiert "Barn Owl Box" – Big Bat Box</t>
  </si>
  <si>
    <t xml:space="preserve">Habitat of Bats: Discover Where They Live and Thrive – Tagged "humane bat removal" – Big Bat Box</t>
  </si>
  <si>
    <t xml:space="preserve">Habitat of Bats: Discover Where They Live and Thrive – Tagged "safe bat habitat" – Big Bat Box</t>
  </si>
  <si>
    <t xml:space="preserve">Habitat of Bats: Discover Where They Live and Thrive – Tag utilizzati "Wildlife Management" – Big Bat Box</t>
  </si>
  <si>
    <t xml:space="preserve">Fun Facts About Owls: Their Mysteries and Habits Unveiled – Étiqueter "owl attraction" – Big Bat Box</t>
  </si>
  <si>
    <t xml:space="preserve">Habitat of Bats: Discover Where They Live and Thrive – Étiqueter "megabats" – Big Bat Box</t>
  </si>
  <si>
    <t xml:space="preserve">Habitat of Bats: Discover Where They Live and Thrive – Tagged "how to attract bats" – Big Bat Box</t>
  </si>
  <si>
    <t xml:space="preserve">Types of Squirrels: Discover Their Habitats &amp; Behaviors – Markiert "diy squirrel feeder" – Big Bat Box</t>
  </si>
  <si>
    <t xml:space="preserve">Backyard Birds: Feeding Guides, Species &amp; Habitat | WildYard – Étiqueter "suet feeder" – Big Bat Box</t>
  </si>
  <si>
    <t xml:space="preserve">Fun Facts About Owls: Their Mysteries and Habits Unveiled – Tagged "owl identification" – Big Bat Box</t>
  </si>
  <si>
    <t xml:space="preserve">Fun Facts About Owls: Their Mysteries and Habits Unveiled – Tag utilizzati "wildlife gardening" – Big Bat Box</t>
  </si>
  <si>
    <t xml:space="preserve">Habitat of Bats: Discover Where They Live and Thrive – Tag utilizzati "endangered bats" – Big Bat Box</t>
  </si>
  <si>
    <t xml:space="preserve">Bee Species Guide: Discover Their Vital Role in Nature – Markiert "Bee Communication" – Big Bat Box</t>
  </si>
  <si>
    <t xml:space="preserve">Bee Species Guide: Discover Their Vital Role in Nature – Etiquetado "Fun Facts About Bees" – Big Bat Box</t>
  </si>
  <si>
    <t xml:space="preserve">Habitat of Bats: Discover Where They Live and Thrive – Étiqueter "bat hibernation" – Big Bat Box</t>
  </si>
  <si>
    <t xml:space="preserve">WildYard Learn | Big Bat Box Blog – Tag utilizzati "Wildlife Habitat Tips"</t>
  </si>
  <si>
    <t xml:space="preserve">Habitat of Bats: Discover Where They Live and Thrive – Tagged "bat safety" – Big Bat Box</t>
  </si>
  <si>
    <t xml:space="preserve">Bee Species Guide: Discover Their Vital Role in Nature – Markiert "Bee Lifecycle" – Big Bat Box</t>
  </si>
  <si>
    <t xml:space="preserve">Habitat of Bats: Discover Where They Live and Thrive – Tag utilizzati "how to attract bats" – Big Bat Box</t>
  </si>
  <si>
    <t xml:space="preserve">Habitat of Bats: Discover Where They Live and Thrive – Etiquetado "bat box sunlight requirements" – Big Bat Box</t>
  </si>
  <si>
    <t xml:space="preserve">Fun Facts About Owls: Their Mysteries and Habits Unveiled – Étiqueter "predators" – Big Bat Box</t>
  </si>
  <si>
    <t xml:space="preserve">Fun Facts About Owls: Their Mysteries and Habits Unveiled – Tagged "wildlife habitats" – Big Bat Box</t>
  </si>
  <si>
    <t xml:space="preserve">Habitat of Bats: Discover Where They Live and Thrive – Markiert "bat facts" – Big Bat Box</t>
  </si>
  <si>
    <t xml:space="preserve">Types of Squirrels: Discover Their Habitats &amp; Behaviors – Tag utilizzati "squirrel nesting box" – Big Bat Box</t>
  </si>
  <si>
    <t xml:space="preserve">Habitat of Bats: Discover Where They Live and Thrive – Tag utilizzati "avoid pesticides" – Big Bat Box</t>
  </si>
  <si>
    <t xml:space="preserve">Bee Species Guide: Discover Their Vital Role in Nature – Markiert "pollinator habitat" – Big Bat Box</t>
  </si>
  <si>
    <t xml:space="preserve">Types of Squirrels: Discover Their Habitats &amp; Behaviors – Etiquetado "wildlife behavior" – Big Bat Box</t>
  </si>
  <si>
    <t xml:space="preserve">Habitat of Bats: Discover Where They Live and Thrive – Tag utilizzati "mammal facts" – Big Bat Box</t>
  </si>
  <si>
    <t xml:space="preserve">Habitat of Bats: Discover Where They Live and Thrive – Página 2 – Big Bat Box</t>
  </si>
  <si>
    <t xml:space="preserve">Backyard Birds: Feeding Guides, Species &amp; Habitat | WildYard – Tagged "clinging birds" – Big Bat Box</t>
  </si>
  <si>
    <t xml:space="preserve">Types of Squirrels: Discover Their Habitats &amp; Behaviors – Étiqueter "habitat" – Big Bat Box</t>
  </si>
  <si>
    <t xml:space="preserve">Types of Squirrels: Discover Their Habitats &amp; Behaviors – Etiquetado "squirrel box" – Big Bat Box</t>
  </si>
  <si>
    <t xml:space="preserve">Habitat of Bats: Discover Where They Live and Thrive – Tagged "bat ecology at home" – Big Bat Box</t>
  </si>
  <si>
    <t xml:space="preserve">Bee Species Guide: Discover Their Vital Role in Nature – Étiqueter "Honey Making" – Big Bat Box</t>
  </si>
  <si>
    <t xml:space="preserve">Habitat of Bats: Discover Where They Live and Thrive – Tagged "Wildyard bat house guide" – Big Bat Box</t>
  </si>
  <si>
    <t xml:space="preserve">Types of Squirrels: Discover Their Habitats &amp; Behaviors – Tagged "squirrel house feeder" – Big Bat Box</t>
  </si>
  <si>
    <t xml:space="preserve">Backyard Birds: Feeding Guides, Species &amp; Habitat | WildYard – Tagged "starlings" – Big Bat Box</t>
  </si>
  <si>
    <t xml:space="preserve">Habitat of Bats: Discover Where They Live and Thrive – Markiert "bat house placement" – Big Bat Box</t>
  </si>
  <si>
    <t xml:space="preserve">Types of Squirrels: Discover Their Habitats &amp; Behaviors – Tagged "squirrel food" – Big Bat Box</t>
  </si>
  <si>
    <t xml:space="preserve">Fun Facts About Owls: Their Mysteries and Habits Unveiled – Markiert "wildlife gardening" – Big Bat Box</t>
  </si>
  <si>
    <t xml:space="preserve">Habitat of Bats: Discover Where They Live and Thrive – Tagged "water for bats" – Big Bat Box</t>
  </si>
  <si>
    <t xml:space="preserve">Habitat of Bats: Discover Where They Live and Thrive – Etiquetado "microbats" – Big Bat Box</t>
  </si>
  <si>
    <t xml:space="preserve">Habitat of Bats: Discover Where They Live and Thrive – Étiqueter "bat box installation" – Big Bat Box</t>
  </si>
  <si>
    <t xml:space="preserve">Types of Squirrels: Discover Their Habitats &amp; Behaviors – Etiquetado "seasonal guide" – Big Bat Box</t>
  </si>
  <si>
    <t xml:space="preserve">Habitat of Bats: Discover Where They Live and Thrive – Markiert "wildlife conservation" – Big Bat Box</t>
  </si>
  <si>
    <t xml:space="preserve">Habitat of Bats: Discover Where They Live and Thrive – Markiert "bat roosting guide" – Big Bat Box</t>
  </si>
  <si>
    <t xml:space="preserve">Habitat of Bats: Discover Where They Live and Thrive – Tagged "native plants for bats" – Big Bat Box</t>
  </si>
  <si>
    <t xml:space="preserve">Fun Facts About Owls: Their Mysteries and Habits Unveiled – Tagged "owl attraction" – Big Bat Box</t>
  </si>
  <si>
    <t xml:space="preserve">Habitat of Bats: Discover Where They Live and Thrive – Étiqueter "pollinator friendly yard" – Big Bat Box</t>
  </si>
  <si>
    <t xml:space="preserve">Fun Facts About Owls: Their Mysteries and Habits Unveiled – Étiqueter "Owl Sounds" – Big Bat Box</t>
  </si>
  <si>
    <t xml:space="preserve">Habitat of Bats: Discover Where They Live and Thrive – Tag utilizzati "bat food" – Big Bat Box</t>
  </si>
  <si>
    <t xml:space="preserve">Habitat of Bats: Discover Where They Live and Thrive – Etiquetado "bat box installation" – Big Bat Box</t>
  </si>
  <si>
    <t xml:space="preserve">Habitat of Bats: Discover Where They Live and Thrive – Markiert "cedar bat house" – Big Bat Box</t>
  </si>
  <si>
    <t xml:space="preserve">Habitat of Bats: Discover Where They Live and Thrive – Étiqueter "where to mount bat house" – Big Bat Box</t>
  </si>
  <si>
    <t xml:space="preserve">Fun Facts About Owls: Their Mysteries and Habits Unveiled – Tag utilizzati "nocturnal animals" – Big Bat Box</t>
  </si>
  <si>
    <t xml:space="preserve">Habitat of Bats: Discover Where They Live and Thrive – Tagged "best bat houses for cold states" – Big Bat Box</t>
  </si>
  <si>
    <t xml:space="preserve">Habitat of Bats: Discover Where They Live and Thrive – Tag utilizzati "Wildlife" – Big Bat Box</t>
  </si>
  <si>
    <t xml:space="preserve">Habitat of Bats: Discover Where They Live and Thrive – Étiqueter "bat house placement" – Big Bat Box</t>
  </si>
  <si>
    <t xml:space="preserve">Habitat of Bats: Discover Where They Live and Thrive – Tag utilizzati "wildlife habitat" – Big Bat Box</t>
  </si>
  <si>
    <t xml:space="preserve">Bee Species Guide: Discover Their Vital Role in Nature – Étiqueter "Bees Diet" – Big Bat Box</t>
  </si>
  <si>
    <t xml:space="preserve">Habitat of Bats: Discover Where They Live and Thrive – Markiert "cooler climate bat habitat" – Big Bat Box</t>
  </si>
  <si>
    <t xml:space="preserve">Habitat of Bats: Discover Where They Live and Thrive – Tag utilizzati "bat prevention" – Big Bat Box</t>
  </si>
  <si>
    <t xml:space="preserve">Habitat of Bats: Discover Where They Live and Thrive – Tagged "wildlife friendly backyard" – Big Bat Box</t>
  </si>
  <si>
    <t xml:space="preserve">Bee Species Guide: Discover Their Vital Role in Nature – Étiqueter "Bumblebees" – Big Bat Box</t>
  </si>
  <si>
    <t xml:space="preserve">Bee Species Guide: Discover Their Vital Role in Nature – Markiert "bee identification" – Big Bat Box</t>
  </si>
  <si>
    <t xml:space="preserve">Habitat of Bats: Discover Where They Live and Thrive – Tag utilizzati "Bats as Pollinators" – Big Bat Box</t>
  </si>
  <si>
    <t xml:space="preserve">Habitat of Bats: Discover Where They Live and Thrive – Tagged "insect control" – Big Bat Box</t>
  </si>
  <si>
    <t xml:space="preserve">Fun Facts About Owls: Their Mysteries and Habits Unveiled – Tagged "squirrels" – Big Bat Box</t>
  </si>
  <si>
    <t xml:space="preserve">Habitat of Bats: Discover Where They Live and Thrive – Étiqueter "mounting bat houses" – Big Bat Box</t>
  </si>
  <si>
    <t xml:space="preserve">Fun Facts About Owls: Their Mysteries and Habits Unveiled – Tagged "bird habitats" – Big Bat Box</t>
  </si>
  <si>
    <t xml:space="preserve">Types of Squirrels: Discover Their Habitats &amp; Behaviors – Markiert "habitat" – Big Bat Box</t>
  </si>
  <si>
    <t xml:space="preserve">Backyard Birds: Feeding Guides, Species &amp; Habitat | WildYard – Etiquetado "summer feeding" – Big Bat Box</t>
  </si>
  <si>
    <t xml:space="preserve">Habitat of Bats: Discover Where They Live and Thrive – Étiqueter "guano" – Big Bat Box</t>
  </si>
  <si>
    <t xml:space="preserve">Fun Facts About Owls: Their Mysteries and Habits Unveiled – Etiquetado "wildlife gardening" – Big Bat Box</t>
  </si>
  <si>
    <t xml:space="preserve">Fun Facts About Owls: Their Mysteries and Habits Unveiled – Etiquetado "bird habitats" – Big Bat Box</t>
  </si>
  <si>
    <t xml:space="preserve">Bee Species Guide: Discover Their Vital Role in Nature – Tag utilizzati "Bee Facts" – Big Bat Box</t>
  </si>
  <si>
    <t xml:space="preserve">Types of Squirrels: Discover Their Habitats &amp; Behaviors – Étiqueter "wildlife habitat" – Big Bat Box</t>
  </si>
  <si>
    <t xml:space="preserve">Fun Facts About Owls: Their Mysteries and Habits Unveiled – Pagina 2 – Big Bat Box</t>
  </si>
  <si>
    <t xml:space="preserve">Habitat of Bats: Discover Where They Live and Thrive – Étiqueter "cold climate bat box" – Big Bat Box</t>
  </si>
  <si>
    <t xml:space="preserve">Types of Squirrels: Discover Their Habitats &amp; Behaviors – Tag utilizzati "squirrel feeder" – Big Bat Box</t>
  </si>
  <si>
    <t xml:space="preserve">Habitat of Bats: Discover Where They Live and Thrive – Étiqueter "Bats as Pollinators" – Big Bat Box</t>
  </si>
  <si>
    <t xml:space="preserve">Habitat of Bats: Discover Where They Live and Thrive – Etiquetado "BigBatBox" – Big Bat Box</t>
  </si>
  <si>
    <t xml:space="preserve">Fun Facts About Owls: Their Mysteries and Habits Unveiled – Tagged "barn owl" – Big Bat Box</t>
  </si>
  <si>
    <t xml:space="preserve">Conservation &amp; Partners: WildYard &amp; 1% For The Planet – Étiqueter "partnership" – Big Bat Box</t>
  </si>
  <si>
    <t xml:space="preserve">Habitat of Bats: Discover Where They Live and Thrive – Étiqueter "dark bat houses" – Big Bat Box</t>
  </si>
  <si>
    <t xml:space="preserve">Types of Squirrels: Discover Their Habitats &amp; Behaviors – Etiquetado "backyard wildlife" – Big Bat Box</t>
  </si>
  <si>
    <t xml:space="preserve">Types of Squirrels: Discover Their Habitats &amp; Behaviors – Étiqueter "squirrel feeder" – Big Bat Box</t>
  </si>
  <si>
    <t xml:space="preserve">Types of Squirrels: Discover Their Habitats &amp; Behaviors – Tagged "WildYard" – Big Bat Box</t>
  </si>
  <si>
    <t xml:space="preserve">Habitat of Bats: Discover Where They Live and Thrive – Markiert "mounting bat houses" – Big Bat Box</t>
  </si>
  <si>
    <t xml:space="preserve">Habitat of Bats: Discover Where They Live and Thrive – Tagged "wildlife bat box guide" – Big Bat Box</t>
  </si>
  <si>
    <t xml:space="preserve">Habitat of Bats: Discover Where They Live and Thrive – Markiert "avoid pesticides" – Big Bat Box</t>
  </si>
  <si>
    <t xml:space="preserve">Conservation &amp; Partners: WildYard &amp; 1% For The Planet – Etiquetado "birds" – Big Bat Box</t>
  </si>
  <si>
    <t xml:space="preserve">Habitat of Bats: Discover Where They Live and Thrive – Markiert "bat ecology at home" – Big Bat Box</t>
  </si>
  <si>
    <t xml:space="preserve">Bee Species Guide: Discover Their Vital Role in Nature – Tagged "bee house" – Big Bat Box</t>
  </si>
  <si>
    <t xml:space="preserve">Habitat of Bats: Discover Where They Live and Thrive – Markiert "what do bats eat" – Big Bat Box</t>
  </si>
  <si>
    <t xml:space="preserve">Habitat of Bats: Discover Where They Live and Thrive – Tagged "help bats at home" – Big Bat Box</t>
  </si>
  <si>
    <t xml:space="preserve">Habitat of Bats: Discover Where They Live and Thrive – Seite 3 – Big Bat Box</t>
  </si>
  <si>
    <t xml:space="preserve">Fun Facts About Owls: Their Mysteries and Habits Unveiled – Etiquetado "predators" – Big Bat Box</t>
  </si>
  <si>
    <t xml:space="preserve">Habitat of Bats: Discover Where They Live and Thrive – Etiquetado "tall bat house design" – Big Bat Box</t>
  </si>
  <si>
    <t xml:space="preserve">Habitat of Bats: Discover Where They Live and Thrive – Etiquetado "building and installing bat boxes" – Big Bat Box</t>
  </si>
  <si>
    <t xml:space="preserve">Habitat of Bats: Discover Where They Live and Thrive – Tagged "bat house warmth retention" – Big Bat Box</t>
  </si>
  <si>
    <t xml:space="preserve">Fun Facts About Owls: Their Mysteries and Habits Unveiled – Markiert "Owl Nesting Box" – Big Bat Box</t>
  </si>
  <si>
    <t xml:space="preserve">Habitat of Bats: Discover Where They Live and Thrive – Etiquetado "bat in the house in winter" – Big Bat Box</t>
  </si>
  <si>
    <t xml:space="preserve">Types of Squirrels: Discover Their Habitats &amp; Behaviors – Tag utilizzati "squirrel care" – Big Bat Box</t>
  </si>
  <si>
    <t xml:space="preserve">Backyard Birds: Feeding Guides, Species &amp; Habitat | WildYard – Étiqueter "backyard birds" – Big Bat Box</t>
  </si>
  <si>
    <t xml:space="preserve">Types of Squirrels: Discover Their Habitats &amp; Behaviors – Markiert "squirrel nesting box" – Big Bat Box</t>
  </si>
  <si>
    <t xml:space="preserve">Habitat of Bats: Discover Where They Live and Thrive – Tag utilizzati "mounting bat houses" – Big Bat Box</t>
  </si>
  <si>
    <t xml:space="preserve">Backyard Birds: Feeding Guides, Species &amp; Habitat | WildYard – Tag utilizzati "clinging birds" – Big Bat Box</t>
  </si>
  <si>
    <t xml:space="preserve">Habitat of Bats: Discover Where They Live and Thrive – Etiquetado "Bat house" – Big Bat Box</t>
  </si>
  <si>
    <t xml:space="preserve">Habitat of Bats: Discover Where They Live and Thrive – Tagged "black cedar bat house" – Big Bat Box</t>
  </si>
  <si>
    <t xml:space="preserve">Backyard Birds: Feeding Guides, Species &amp; Habitat | WildYard – Etiquetado "starlings" – Big Bat Box</t>
  </si>
  <si>
    <t xml:space="preserve">https://www.bigbatbox.com/de/blogs/habitat-of-bats/where-to-put-a-bat-house-in-your-yard</t>
  </si>
  <si>
    <t xml:space="preserve">Wo man ein Fledermaushaus im Garten aufhängt: Tipps &amp;amp; Tricks – Big Bat Box</t>
  </si>
  <si>
    <t xml:space="preserve">Habitat of Bats: Discover Where They Live and Thrive – Markiert "Bat Houses" – Big Bat Box</t>
  </si>
  <si>
    <t xml:space="preserve">Habitat of Bats: Discover Where They Live and Thrive – Etiquetado "bat house tips" – Big Bat Box</t>
  </si>
  <si>
    <t xml:space="preserve">Bee Species Guide: Discover Their Vital Role in Nature – Tag utilizzati "Bees" – Big Bat Box</t>
  </si>
  <si>
    <t xml:space="preserve">Fun Facts About Owls: Their Mysteries and Habits Unveiled – Markiert "owl behavior" – Big Bat Box</t>
  </si>
  <si>
    <t xml:space="preserve">Habitat of Bats: Discover Where They Live and Thrive – Markiert "south facing bat house" – Big Bat Box</t>
  </si>
  <si>
    <t xml:space="preserve">Habitat of Bats: Discover Where They Live and Thrive – Tagged "bat house installation" – Big Bat Box</t>
  </si>
  <si>
    <t xml:space="preserve">Fun Facts About Owls: Their Mysteries and Habits Unveiled – Tagged "owl boxes" – Big Bat Box</t>
  </si>
  <si>
    <t xml:space="preserve">Habitat of Bats: Discover Where They Live and Thrive – Étiqueter "dark bat house benefits" – Big Bat Box</t>
  </si>
  <si>
    <t xml:space="preserve">Habitat of Bats: Discover Where They Live and Thrive – Étiqueter "safe bat habitat" – Big Bat Box</t>
  </si>
  <si>
    <t xml:space="preserve">Bee Species Guide: Discover Their Vital Role in Nature – Étiqueter "Pollinator Nutrition" – Big Bat Box</t>
  </si>
  <si>
    <t xml:space="preserve">Bee Species Guide: Discover Their Vital Role in Nature – Tagged "Nature’s Architects" – Big Bat Box</t>
  </si>
  <si>
    <t xml:space="preserve">Habitat of Bats: Discover Where They Live and Thrive – Markiert "winter bat house tips" – Big Bat Box</t>
  </si>
  <si>
    <t xml:space="preserve">Habitat of Bats: Discover Where They Live and Thrive – Etiquetado "natural pest control" – Big Bat Box</t>
  </si>
  <si>
    <t xml:space="preserve">Habitat of Bats: Discover Where They Live and Thrive – Étiqueter "bat house wall mount" – Big Bat Box</t>
  </si>
  <si>
    <t xml:space="preserve">Habitat of Bats: Discover Where They Live and Thrive – Étiqueter "black cedar bat house" – Big Bat Box</t>
  </si>
  <si>
    <t xml:space="preserve">Fun Facts About Owls: Their Mysteries and Habits Unveiled – Markiert "owl hooting" – Big Bat Box</t>
  </si>
  <si>
    <t xml:space="preserve">Types of Squirrels: Discover Their Habitats &amp; Behaviors – Tag utilizzati "squirrel habitat" – Big Bat Box</t>
  </si>
  <si>
    <t xml:space="preserve">Habitat of Bats: Discover Where They Live and Thrive – Étiqueter "bat house direction" – Big Bat Box</t>
  </si>
  <si>
    <t xml:space="preserve">Habitat of Bats: Discover Where They Live and Thrive – Markiert "safe wildlife practices" – Big Bat Box</t>
  </si>
  <si>
    <t xml:space="preserve">Habitat of Bats: Discover Where They Live and Thrive – Étiqueter "winter bat house tips" – Big Bat Box</t>
  </si>
  <si>
    <t xml:space="preserve">Habitat of Bats: Discover Where They Live and Thrive – Étiqueter "bat house for cold climates" – Big Bat Box</t>
  </si>
  <si>
    <t xml:space="preserve">Habitat of Bats: Discover Where They Live and Thrive – Étiqueter "bat house sun exposure" – Big Bat Box</t>
  </si>
  <si>
    <t xml:space="preserve">Bee Species Guide: Discover Their Vital Role in Nature – Etiquetado "pollinator habitat" – Big Bat Box</t>
  </si>
  <si>
    <t xml:space="preserve">Bee Species Guide: Discover Their Vital Role in Nature – Tag utilizzati "leafcutter bees" – Big Bat Box</t>
  </si>
  <si>
    <t xml:space="preserve">Bee Species Guide: Discover Their Vital Role in Nature – Tag utilizzati "Wildlife" – Big Bat Box</t>
  </si>
  <si>
    <t xml:space="preserve">Conservation &amp; Partners: WildYard &amp; 1% For The Planet – Tag utilizzati "1% for the Planet" – Big Bat Box</t>
  </si>
  <si>
    <t xml:space="preserve">Habitat of Bats: Discover Where They Live and Thrive – Etiquetado "dark bat houses" – Big Bat Box</t>
  </si>
  <si>
    <t xml:space="preserve">Types of Squirrels: Discover Their Habitats &amp; Behaviors – Tag utilizzati "squirrel food" – Big Bat Box</t>
  </si>
  <si>
    <t xml:space="preserve">Habitat of Bats: Discover Where They Live and Thrive – Markiert "humane bat removal" – Big Bat Box</t>
  </si>
  <si>
    <t xml:space="preserve">Habitat of Bats: Discover Where They Live and Thrive – Etiquetado "bat friendly backyard" – Big Bat Box</t>
  </si>
  <si>
    <t xml:space="preserve">Habitat of Bats: Discover Where They Live and Thrive – Tag utilizzati "eco friendly bat house" – Big Bat Box</t>
  </si>
  <si>
    <t xml:space="preserve">Bee Species Guide: Discover Their Vital Role in Nature – Markiert "Wildlife" – Big Bat Box</t>
  </si>
  <si>
    <t xml:space="preserve">Habitat of Bats: Discover Where They Live and Thrive – Markiert "natural mosquito control" – Big Bat Box</t>
  </si>
  <si>
    <t xml:space="preserve">Habitat of Bats: Discover Where They Live and Thrive – Etiquetado "eco friendly bat house" – Big Bat Box</t>
  </si>
  <si>
    <t xml:space="preserve">Habitat of Bats: Discover Where They Live and Thrive – Tag utilizzati "insect control naturally" – Big Bat Box</t>
  </si>
  <si>
    <t xml:space="preserve">Habitat of Bats: Discover Where They Live and Thrive – Tagged "northern state bat box" – Big Bat Box</t>
  </si>
  <si>
    <t xml:space="preserve">Habitat of Bats: Discover Where They Live and Thrive – Tag utilizzati "sustainable gardens" – Big Bat Box</t>
  </si>
  <si>
    <t xml:space="preserve">Habitat of Bats: Discover Where They Live and Thrive – Markiert "garden insect control" – Big Bat Box</t>
  </si>
  <si>
    <t xml:space="preserve">Habitat of Bats: Discover Where They Live and Thrive – Etiquetado "what do bats eat" – Big Bat Box</t>
  </si>
  <si>
    <t xml:space="preserve">Habitat of Bats: Discover Where They Live and Thrive – Markiert "backyard conservation" – Big Bat Box</t>
  </si>
  <si>
    <t xml:space="preserve">Backyard Birds: Feeding Guides, Species &amp; Habitat | WildYard – Etiquetado "bird feeding" – Big Bat Box</t>
  </si>
  <si>
    <t xml:space="preserve">Types of Squirrels: Discover Their Habitats &amp; Behaviors – Étiqueter "squirrel box" – Big Bat Box</t>
  </si>
  <si>
    <t xml:space="preserve">Bee Species Guide: Discover Their Vital Role in Nature – Etiquetado "Bee Facts" – Big Bat Box</t>
  </si>
  <si>
    <t xml:space="preserve">Bee Species Guide: Discover Their Vital Role in Nature – Tagged "bee identification" – Big Bat Box</t>
  </si>
  <si>
    <t xml:space="preserve">Habitat of Bats: Discover Where They Live and Thrive – Tag utilizzati "mosquito controlbackyard wildlife" – Big Bat Box</t>
  </si>
  <si>
    <t xml:space="preserve">Habitat of Bats: Discover Where They Live and Thrive – Tag utilizzati "attract bats to yard" – Big Bat Box</t>
  </si>
  <si>
    <t xml:space="preserve">Habitat of Bats: Discover Where They Live and Thrive – Etiquetado "bat house distance from trees" – Big Bat Box</t>
  </si>
  <si>
    <t xml:space="preserve">Habitat of Bats: Discover Where They Live and Thrive – Tagged "eco-friendly" – Big Bat Box</t>
  </si>
  <si>
    <t xml:space="preserve">Habitat of Bats: Discover Where They Live and Thrive – Tagged "best bat house placement" – Big Bat Box</t>
  </si>
  <si>
    <t xml:space="preserve">Types of Squirrels: Discover Their Habitats &amp; Behaviors – Markiert "backyard habitat" – Big Bat Box</t>
  </si>
  <si>
    <t xml:space="preserve">Habitat of Bats: Discover Where They Live and Thrive – Tagged "Bat house" – Big Bat Box</t>
  </si>
  <si>
    <t xml:space="preserve">Habitat of Bats: Discover Where They Live and Thrive – Markiert "best bat boxes for mosquito control" – Big Bat Box</t>
  </si>
  <si>
    <t xml:space="preserve">Habitat of Bats: Discover Where They Live and Thrive – Markiert "best bat house placement" – Big Bat Box</t>
  </si>
  <si>
    <t xml:space="preserve">Fun Facts About Owls: Their Mysteries and Habits Unveiled – Markiert "owls" – Big Bat Box</t>
  </si>
  <si>
    <t xml:space="preserve">Bee Species Guide: Discover Their Vital Role in Nature – Tagged "backyard wildlife" – Big Bat Box</t>
  </si>
  <si>
    <t xml:space="preserve">Einige interessante, widerlegte Mythen und Fakten über Fledermäuse! – Big Bat Box</t>
  </si>
  <si>
    <t xml:space="preserve">Habitat of Bats: Discover Where They Live and Thrive – Tagged "Bat Houses" – Big Bat Box</t>
  </si>
  <si>
    <t xml:space="preserve">Habitat of Bats: Discover Where They Live and Thrive – Tag utilizzati "bats near home" – Big Bat Box</t>
  </si>
  <si>
    <t xml:space="preserve">Types of Squirrels: Discover Their Habitats &amp; Behaviors – Étiqueter "winter wildlife" – Big Bat Box</t>
  </si>
  <si>
    <t xml:space="preserve">Types of Squirrels: Discover Their Habitats &amp; Behaviors – Markiert "nocturnal animals" – Big Bat Box</t>
  </si>
  <si>
    <t xml:space="preserve">Fun Facts About Owls: Their Mysteries and Habits Unveiled – Seite 2 – Big Bat Box</t>
  </si>
  <si>
    <t xml:space="preserve">Fledermausschutztipps für Hausbesitzer: Helfen Sie Fledermäusen in Ihrem Zuhause – Big Bat Box</t>
  </si>
  <si>
    <t xml:space="preserve">Habitat of Bats: Discover Where They Live and Thrive – Tag utilizzati "are bats dangerous" – Big Bat Box</t>
  </si>
  <si>
    <t xml:space="preserve">Habitat of Bats: Discover Where They Live and Thrive – Tag utilizzati "Ecosystem Guardians" – Big Bat Box</t>
  </si>
  <si>
    <t xml:space="preserve">Habitat of Bats: Discover Where They Live and Thrive – Tag utilizzati "what do bats eat" – Big Bat Box</t>
  </si>
  <si>
    <t xml:space="preserve">Habitat of Bats: Discover Where They Live and Thrive – Étiqueter "water for bats" – Big Bat Box</t>
  </si>
  <si>
    <t xml:space="preserve">Fun Facts About Owls: Their Mysteries and Habits Unveiled – Tag utilizzati "owl boxes" – Big Bat Box</t>
  </si>
  <si>
    <t xml:space="preserve">Habitat of Bats: Discover Where They Live and Thrive – Etiquetado "Bat Houses" – Big Bat Box</t>
  </si>
  <si>
    <t xml:space="preserve">Habitat of Bats: Discover Where They Live and Thrive – Étiqueter "multi chamber bat house" – Big Bat Box</t>
  </si>
  <si>
    <t xml:space="preserve">Habitat of Bats: Discover Where They Live and Thrive – Markiert "wildlife friendly backyard" – Big Bat Box</t>
  </si>
  <si>
    <t xml:space="preserve">Habitat of Bats: Discover Where They Live and Thrive – Tagged "bat house chambers" – Big Bat Box</t>
  </si>
  <si>
    <t xml:space="preserve">Types of Squirrels: Discover Their Habitats &amp; Behaviors – Etiquetado "wildlife feeding" – Big Bat Box</t>
  </si>
  <si>
    <t xml:space="preserve">Bee Species Guide: Discover Their Vital Role in Nature – Étiqueter "bee identification" – Big Bat Box</t>
  </si>
  <si>
    <t xml:space="preserve">Habitat of Bats: Discover Where They Live and Thrive – Tagged "bat housebat conservation" – Big Bat Box</t>
  </si>
  <si>
    <t xml:space="preserve">Habitat of Bats: Discover Where They Live and Thrive – Étiqueter "natural mosquito control" – Big Bat Box</t>
  </si>
  <si>
    <t xml:space="preserve">Fun Facts About Owls: Their Mysteries and Habits Unveiled – Étiqueter "nocturnal animals" – Big Bat Box</t>
  </si>
  <si>
    <t xml:space="preserve">Meet Bird Conservancy of the Rockies: where your 1% goes, and what it – Big Bat Box</t>
  </si>
  <si>
    <t xml:space="preserve">Bee Species Guide: Discover Their Vital Role in Nature – Markiert "Honey Production" – Big Bat Box</t>
  </si>
  <si>
    <t xml:space="preserve">https://www.bigbatbox.com/es/blogs/habitat-of-bats/bat-house-certification-explained</t>
  </si>
  <si>
    <t xml:space="preserve">Habitat of Bats: Discover Where They Live and Thrive – Tagged "bat house placement guide" – Big Bat Box</t>
  </si>
  <si>
    <t xml:space="preserve">Fun Facts About Owls: Their Mysteries and Habits Unveiled – Tag utilizzati "owl behavior" – Big Bat Box</t>
  </si>
  <si>
    <t xml:space="preserve">Backyard Birds: Feeding Guides, Species &amp; Habitat | WildYard – Tag utilizzati "summer feeding" – Big Bat Box</t>
  </si>
  <si>
    <t xml:space="preserve">Fun Facts About Owls: Their Mysteries and Habits Unveiled – Etiquetado "owl behavior" – Big Bat Box</t>
  </si>
  <si>
    <t xml:space="preserve">Habitat of Bats: Discover Where They Live and Thrive – Etiquetado "bat house placement guide" – Big Bat Box</t>
  </si>
  <si>
    <t xml:space="preserve">Habitat of Bats: Discover Where They Live and Thrive – Seite 4 – Big Bat Box</t>
  </si>
  <si>
    <t xml:space="preserve">Fun Facts About Owls: Their Mysteries and Habits Unveiled – Etiquetado "barn owl" – Big Bat Box</t>
  </si>
  <si>
    <t xml:space="preserve">Habitat of Bats: Discover Where They Live and Thrive – Markiert "yard wildlife guide" – Big Bat Box</t>
  </si>
  <si>
    <t xml:space="preserve">Habitat of Bats: Discover Where They Live and Thrive – Tag utilizzati "cooler climate bat habitat" – Big Bat Box</t>
  </si>
  <si>
    <t xml:space="preserve">https://www.bigbatbox.com/de/blogs/habitat-of-bats/bat-house-certification-explained</t>
  </si>
  <si>
    <t xml:space="preserve">Habitat of Bats: Discover Where They Live and Thrive – Etiquetado "bat food" – Big Bat Box</t>
  </si>
  <si>
    <t xml:space="preserve">Bee Species Guide: Discover Their Vital Role in Nature – Tagged "Bumblebees" – Big Bat Box</t>
  </si>
  <si>
    <t xml:space="preserve">Types of Squirrels: Discover Their Habitats &amp; Behaviors – Étiqueter "wildlife feeding" – Big Bat Box</t>
  </si>
  <si>
    <t xml:space="preserve">Habitat of Bats: Discover Where They Live and Thrive – Etiquetado "Bats as Pollinators" – Big Bat Box</t>
  </si>
  <si>
    <t xml:space="preserve">Habitat of Bats: Discover Where They Live and Thrive – Étiqueter "mosquito control" – Big Bat Box</t>
  </si>
  <si>
    <t xml:space="preserve">Fun Facts About Owls: Their Mysteries and Habits Unveiled – Étiqueter "squirrels" – Big Bat Box</t>
  </si>
  <si>
    <t xml:space="preserve">Backyard Birds: Feeding Guides, Species &amp; Habitat | WildYard – Étiqueter "woodpeckers" – Big Bat Box</t>
  </si>
  <si>
    <t xml:space="preserve">Are Owls Dangerous? Cats, Small Dogs and the Realistic Risk – Big Bat Box</t>
  </si>
  <si>
    <t xml:space="preserve">Fun Facts About Owls: Their Mysteries and Habits Unveiled – Étiqueter "owl hooting" – Big Bat Box</t>
  </si>
  <si>
    <t xml:space="preserve">Fun Facts About Owls: Their Mysteries and Habits Unveiled – Markiert "owl attraction" – Big Bat Box</t>
  </si>
  <si>
    <t xml:space="preserve">Introducing the WildYard X Angry Birds™ Collection: Turn Your Garden I – Big Bat Box</t>
  </si>
  <si>
    <t xml:space="preserve">Types of Squirrels: Discover Their Habitats &amp; Behaviors – Tag utilizzati "species facts" – Big Bat Box</t>
  </si>
  <si>
    <t xml:space="preserve">Habitat of Bats: Discover Where They Live and Thrive – Tagged "painted cedar bat house" – Big Bat Box</t>
  </si>
  <si>
    <t xml:space="preserve">https://www.bigbatbox.com/de/blogs/wildyard-learn/bats-bees-as-your-garden-pollinators</t>
  </si>
  <si>
    <t xml:space="preserve">Gartenbestäuber: Wie Bienen und Fledermäuse Ihren Garten bereichern – Big Bat Box</t>
  </si>
  <si>
    <t xml:space="preserve">Fun Facts About Owls: Their Mysteries and Habits Unveiled – Étiqueter "barn owl" – Big Bat Box</t>
  </si>
  <si>
    <t xml:space="preserve">Habitat of Bats: Discover Where They Live and Thrive – Étiqueter "vampire bats" – Big Bat Box</t>
  </si>
  <si>
    <t xml:space="preserve">Fun Facts About Owls: Their Mysteries and Habits Unveiled – Markiert "backyard wildlife" – Big Bat Box</t>
  </si>
  <si>
    <t xml:space="preserve">Types of Squirrels: Discover Their Habitats &amp; Behaviors – Étiqueter "wildlife lifespan" – Big Bat Box</t>
  </si>
  <si>
    <t xml:space="preserve">Habitat of Bats: Discover Where They Live and Thrive – Tagged "mosquito control" – Big Bat Box</t>
  </si>
  <si>
    <t xml:space="preserve">Types of Squirrels: Discover Their Habitats &amp; Behaviors – Markiert "squirrels" – Big Bat Box</t>
  </si>
  <si>
    <t xml:space="preserve">Bee Species Guide: Discover Their Vital Role in Nature – Tagged "Bee Food Sources" – Big Bat Box</t>
  </si>
  <si>
    <t xml:space="preserve">Habitat of Bats: Discover Where They Live and Thrive – Etiquetado "natural mosquito control" – Big Bat Box</t>
  </si>
  <si>
    <t xml:space="preserve">Habitat of Bats: Discover Where They Live and Thrive – Markiert "coexist with bats" – Big Bat Box</t>
  </si>
  <si>
    <t xml:space="preserve">Bee Species Guide: Discover Their Vital Role in Nature – Tag utilizzati "Pollination" – Big Bat Box</t>
  </si>
  <si>
    <t xml:space="preserve">Habitat of Bats: Discover Where They Live and Thrive – Tagged "best bat house setup" – Big Bat Box</t>
  </si>
  <si>
    <t xml:space="preserve">Fun Facts About Owls: Their Mysteries and Habits Unveiled – Tagged "Owl Sounds" – Big Bat Box</t>
  </si>
  <si>
    <t xml:space="preserve">Habitat of Bats: Discover Where They Live and Thrive – Tagged "bats near home" – Big Bat Box</t>
  </si>
  <si>
    <t xml:space="preserve">Habitat of Bats: Discover Where They Live and Thrive – Etiquetado "bat facts" – Big Bat Box</t>
  </si>
  <si>
    <t xml:space="preserve">Habitat of Bats: Discover Where They Live and Thrive – Markiert "bat conservation tips" – Big Bat Box</t>
  </si>
  <si>
    <t xml:space="preserve">Backyard Birds: Feeding Guides, Species &amp; Habitat | WildYard – Markiert "backyard birds" – Big Bat Box</t>
  </si>
  <si>
    <t xml:space="preserve">Backyard Birds: Feeding Guides, Species &amp; Habitat | WildYard – Etiquetado "hot pepper suet" – Big Bat Box</t>
  </si>
  <si>
    <t xml:space="preserve">Types of Squirrels: Discover Their Habitats &amp; Behaviors – Markiert "wildlife behavior" – Big Bat Box</t>
  </si>
  <si>
    <t xml:space="preserve">Habitat of Bats: Discover Where They Live and Thrive – Etiquetado "mammal facts" – Big Bat Box</t>
  </si>
  <si>
    <t xml:space="preserve">Habitat of Bats: Discover Where They Live and Thrive – Etiquetado "safe bat habitat" – Big Bat Box</t>
  </si>
  <si>
    <t xml:space="preserve">Habitat of Bats: Discover Where They Live and Thrive – Tag utilizzati "bat safety" – Big Bat Box</t>
  </si>
  <si>
    <t xml:space="preserve">Habitat of Bats: Discover Where They Live and Thrive – Pagina 2 – Big Bat Box</t>
  </si>
  <si>
    <t xml:space="preserve">Fun Facts About Owls: Their Mysteries and Habits Unveiled – Tagged "wildlife gardening" – Big Bat Box</t>
  </si>
  <si>
    <t xml:space="preserve">Backyard Birds: Feeding Guides, Species &amp; Habitat | WildYard – Tagged "seasonal feeding" – Big Bat Box</t>
  </si>
  <si>
    <t xml:space="preserve">Habitat of Bats: Discover Where They Live and Thrive – Tagged "bat house advice" – Big Bat Box</t>
  </si>
  <si>
    <t xml:space="preserve">Habitat of Bats: Discover Where They Live and Thrive – Tag utilizzati "bat in the house in winter" – Big Bat Box</t>
  </si>
  <si>
    <t xml:space="preserve">Habitat of Bats: Discover Where They Live and Thrive – Etiquetado "2026 trends" – Big Bat Box</t>
  </si>
  <si>
    <t xml:space="preserve">Types of Squirrels: Discover Their Habitats &amp; Behaviors – Tagged "wildlife guide" – Big Bat Box</t>
  </si>
  <si>
    <t xml:space="preserve">Habitat of Bats: Discover Where They Live and Thrive – Étiqueter "best bat houses" – Big Bat Box</t>
  </si>
  <si>
    <t xml:space="preserve">Habitat of Bats: Discover Where They Live and Thrive – Tagged "dark bat houses" – Big Bat Box</t>
  </si>
  <si>
    <t xml:space="preserve">Habitat of Bats: Discover Where They Live and Thrive – Tagged "bat house height" – Big Bat Box</t>
  </si>
  <si>
    <t xml:space="preserve">Habitat of Bats: Discover Where They Live and Thrive – Markiert "building and installing bat boxes" – Big Bat Box</t>
  </si>
  <si>
    <t xml:space="preserve">Bee Species Guide: Discover Their Vital Role in Nature – Tagged "Pollinator Nutrition" – Big Bat Box</t>
  </si>
  <si>
    <t xml:space="preserve">Backyard Birds: Feeding Guides, Species &amp; Habitat | WildYard – Étiqueter "starlings" – Big Bat Box</t>
  </si>
  <si>
    <t xml:space="preserve">Fun Facts About Owls: Their Mysteries and Habits Unveiled – Tag utilizzati "Owl Nesting Box" – Big Bat Box</t>
  </si>
  <si>
    <t xml:space="preserve">Backyard Birds: Feeding Guides, Species &amp; Habitat | WildYard – Etiquetado "clinging birds" – Big Bat Box</t>
  </si>
  <si>
    <t xml:space="preserve">Habitat of Bats: Discover Where They Live and Thrive – Tagged "bat houses for cold climates" – Big Bat Box</t>
  </si>
  <si>
    <t xml:space="preserve">Habitat of Bats: Discover Where They Live and Thrive – Etiquetado "cold climate bat box" – Big Bat Box</t>
  </si>
  <si>
    <t xml:space="preserve">Bee Species Guide: Discover Their Vital Role in Nature – Markiert "mason bees" – Big Bat Box</t>
  </si>
  <si>
    <t xml:space="preserve">Habitat of Bats: Discover Where They Live and Thrive – Tagged "where to mount bat house" – Big Bat Box</t>
  </si>
  <si>
    <t xml:space="preserve">https://www.bigbatbox.com/es/blogs/wildyard-news/introducing-the-wildyard-x-angry-birds%E2%84%A2-collection-turn-your-garden-into-a-wildlife-habitat</t>
  </si>
  <si>
    <t xml:space="preserve">Bee Species Guide: Discover Their Vital Role in Nature – Tagged "bee habitat FAQ" – Big Bat Box</t>
  </si>
  <si>
    <t xml:space="preserve">Fun Facts About Owls: Their Mysteries and Habits Unveiled – Página 2 – Big Bat Box</t>
  </si>
  <si>
    <t xml:space="preserve">Bee Species Guide: Discover Their Vital Role in Nature – Tagged "Honey Production" – Big Bat Box</t>
  </si>
  <si>
    <t xml:space="preserve">Conservation &amp; Partners: WildYard &amp; 1% For The Planet – Tagged "birds" – Big Bat Box</t>
  </si>
  <si>
    <t xml:space="preserve">Habitat of Bats: Discover Where They Live and Thrive – Markiert "cedar bat box" – Big Bat Box</t>
  </si>
  <si>
    <t xml:space="preserve">Habitat of Bats: Discover Where They Live and Thrive – Markiert "bat house USA climate" – Big Bat Box</t>
  </si>
  <si>
    <t xml:space="preserve">Backyard Birds: Feeding Guides, Species &amp; Habitat | WildYard – Tagged "summer feeding" – Big Bat Box</t>
  </si>
  <si>
    <t xml:space="preserve">Habitat of Bats: Discover Where They Live and Thrive – Tag utilizzati "night wildlife support" – Big Bat Box</t>
  </si>
  <si>
    <t xml:space="preserve">Habitat of Bats: Discover Where They Live and Thrive – Tag utilizzati "megabats" – Big Bat Box</t>
  </si>
  <si>
    <t xml:space="preserve">Habitat of Bats: Discover Where They Live and Thrive – Etiquetado "bat house wall mount" – Big Bat Box</t>
  </si>
  <si>
    <t xml:space="preserve">Fun Facts About Owls: Their Mysteries and Habits Unveiled – Markiert "Owl Box" – Big Bat Box</t>
  </si>
  <si>
    <t xml:space="preserve">Bee Species Guide: Discover Their Vital Role in Nature – Tag utilizzati "bee habitat FAQ" – Big Bat Box</t>
  </si>
  <si>
    <t xml:space="preserve">Habitat of Bats: Discover Where They Live and Thrive – Tagged "bat house for cold climates" – Big Bat Box</t>
  </si>
  <si>
    <t xml:space="preserve">Types of Squirrels: Discover Their Habitats &amp; Behaviors – Markiert "cedar habitat" – Big Bat Box</t>
  </si>
  <si>
    <t xml:space="preserve">Habitat of Bats: Discover Where They Live and Thrive – Étiqueter "bat box guide" – Big Bat Box</t>
  </si>
  <si>
    <t xml:space="preserve">Habitat of Bats: Discover Where They Live and Thrive – Tag utilizzati "bat facts" – Big Bat Box</t>
  </si>
  <si>
    <t xml:space="preserve">Conservation &amp; Partners: WildYard &amp; 1% For The Planet – Tagged "Conservation" – Big Bat Box</t>
  </si>
  <si>
    <t xml:space="preserve">Habitat of Bats: Discover Where They Live and Thrive – Markiert "bat house warmth retention" – Big Bat Box</t>
  </si>
  <si>
    <t xml:space="preserve">Habitat of Bats: Discover Where They Live and Thrive – Étiqueter "bat house warmth retention" – Big Bat Box</t>
  </si>
  <si>
    <t xml:space="preserve">Habitat of Bats: Discover Where They Live and Thrive – Markiert "best bat house setup" – Big Bat Box</t>
  </si>
  <si>
    <t xml:space="preserve">Habitat of Bats: Discover Where They Live and Thrive – Página 3 – Big Bat Box</t>
  </si>
  <si>
    <t xml:space="preserve">Bee Species Guide: Discover Their Vital Role in Nature – Page 2 – Big Bat Box</t>
  </si>
  <si>
    <t xml:space="preserve">Bee Species Guide: Discover Their Vital Role in Nature – Markiert "Bumblebees" – Big Bat Box</t>
  </si>
  <si>
    <t xml:space="preserve">Bee Species Guide: Discover Their Vital Role in Nature – Tag utilizzati "Honey Making" – Big Bat Box</t>
  </si>
  <si>
    <t xml:space="preserve">Types of Squirrels: Discover Their Habitats &amp; Behaviors – Etiquetado "diy squirrel feeder" – Big Bat Box</t>
  </si>
  <si>
    <t xml:space="preserve">Backyard Birds: Feeding Guides, Species &amp; Habitat | WildYard – Markiert "suet feeder" – Big Bat Box</t>
  </si>
  <si>
    <t xml:space="preserve">Fun Facts About Owls: Their Mysteries and Habits Unveiled – Tag utilizzati "Night Sounds" – Big Bat Box</t>
  </si>
  <si>
    <t xml:space="preserve">Habitat of Bats: Discover Where They Live and Thrive – Tag utilizzati "coexist with bats" – Big Bat Box</t>
  </si>
  <si>
    <t xml:space="preserve">Fun Facts About Owls: Their Mysteries and Habits Unveiled – Markiert "owl diet" – Big Bat Box</t>
  </si>
  <si>
    <t xml:space="preserve">Habitat of Bats: Discover Where They Live and Thrive – Tagged "two chamber bat box" – Big Bat Box</t>
  </si>
  <si>
    <t xml:space="preserve">Habitat of Bats: Discover Where They Live and Thrive – Tagged "bat house placement" – Big Bat Box</t>
  </si>
  <si>
    <t xml:space="preserve">Habitat of Bats: Discover Where They Live and Thrive – Tagged "building and installing bat boxes" – Big Bat Box</t>
  </si>
  <si>
    <t xml:space="preserve">Habitat of Bats: Discover Where They Live and Thrive – Etiquetado "bat box placement" – Big Bat Box</t>
  </si>
  <si>
    <t xml:space="preserve">Habitat of Bats: Discover Where They Live and Thrive – Etiquetado "dark bat house benefits" – Big Bat Box</t>
  </si>
  <si>
    <t xml:space="preserve">Habitat of Bats: Discover Where They Live and Thrive – Tagged "bat facts" – Big Bat Box</t>
  </si>
  <si>
    <t xml:space="preserve">Habitat of Bats: Discover Where They Live and Thrive – Tagged "best bat houses" – Big Bat Box</t>
  </si>
  <si>
    <t xml:space="preserve">https://www.bigbatbox.com/de/blogs/habitat-of-bats/how-to-get-bats-in-a-bat-house</t>
  </si>
  <si>
    <t xml:space="preserve">Wie man Fledermäuse in ein Fledermaushaus bekommt – GARANTIERT – Big Bat Box</t>
  </si>
  <si>
    <t xml:space="preserve">Habitat of Bats: Discover Where They Live and Thrive – Tagged "bat house pole" – Big Bat Box</t>
  </si>
  <si>
    <t xml:space="preserve">Fun Facts About Owls: Their Mysteries and Habits Unveiled – Tag utilizzati "Owl Nest Box" – Big Bat Box</t>
  </si>
  <si>
    <t xml:space="preserve">Fun Facts About Owls: Their Mysteries and Habits Unveiled – Tagged "Owl Box FAQ" – Big Bat Box</t>
  </si>
  <si>
    <t xml:space="preserve">Fun Facts About Owls: Their Mysteries and Habits Unveiled – Markiert "owl identification" – Big Bat Box</t>
  </si>
  <si>
    <t xml:space="preserve">Habitat of Bats: Discover Where They Live and Thrive – Tagged "guano" – Big Bat Box</t>
  </si>
  <si>
    <t xml:space="preserve">Bee Species Guide: Discover Their Vital Role in Nature – Tagged "Pollination Process" – Big Bat Box</t>
  </si>
  <si>
    <t xml:space="preserve">Bee Species Guide: Discover Their Vital Role in Nature – Etiquetado "Pollination Process" – Big Bat Box</t>
  </si>
  <si>
    <t xml:space="preserve">Fun Facts About Owls: Their Mysteries and Habits Unveiled – Étiqueter "owls" – Big Bat Box</t>
  </si>
  <si>
    <t xml:space="preserve">Fledermauskasten aufhängen: Standort, Höhe &amp; Tipps | WildYard – Big Bat Box</t>
  </si>
  <si>
    <t xml:space="preserve">Backyard Birds: Feeding Guides, Species &amp; Habitat | WildYard – Tagged "no-melt suet" – Big Bat Box</t>
  </si>
  <si>
    <t xml:space="preserve">Habitat of Bats: Discover Where They Live and Thrive – Tag utilizzati "backyard eco tips" – Big Bat Box</t>
  </si>
  <si>
    <t xml:space="preserve">Bee Species Guide: Discover Their Vital Role in Nature – Tag utilizzati "Solitary Bees" – Big Bat Box</t>
  </si>
  <si>
    <t xml:space="preserve">Habitat of Bats: Discover Where They Live and Thrive – Tag utilizzati "best bat houses for cold states" – Big Bat Box</t>
  </si>
  <si>
    <t xml:space="preserve">WildYard Learn | Big Bat Box Blog – Tag utilizzati "Habitat Conservation"</t>
  </si>
  <si>
    <t xml:space="preserve">Habitat of Bats: Discover Where They Live and Thrive – Etiquetado "bat house direction" – Big Bat Box</t>
  </si>
  <si>
    <t xml:space="preserve">Habitat of Bats: Discover Where They Live and Thrive – Tagged "Ecosystem Guardians" – Big Bat Box</t>
  </si>
  <si>
    <t xml:space="preserve">Habitat of Bats: Discover Where They Live and Thrive – Etiquetado "eco-friendly" – Big Bat Box</t>
  </si>
  <si>
    <t xml:space="preserve">Backyard Birds: Feeding Guides, Species &amp; Habitat | WildYard – Markiert "hot pepper suet" – Big Bat Box</t>
  </si>
  <si>
    <t xml:space="preserve">Habitat of Bats: Discover Where They Live and Thrive – Etiquetado "bat house sun exposure" – Big Bat Box</t>
  </si>
  <si>
    <t xml:space="preserve">Habitat of Bats: Discover Where They Live and Thrive – Tag utilizzati "humane bat removal" – Big Bat Box</t>
  </si>
  <si>
    <t xml:space="preserve">Habitat of Bats: Discover Where They Live and Thrive – Tagged "bat conservation tips" – Big Bat Box</t>
  </si>
  <si>
    <t xml:space="preserve">Bee Species Guide: Discover Their Vital Role in Nature – Etiquetado "Wildlife" – Big Bat Box</t>
  </si>
  <si>
    <t xml:space="preserve">Habitat of Bats: Discover Where They Live and Thrive – Tag utilizzati "bat house placement" – Big Bat Box</t>
  </si>
  <si>
    <t xml:space="preserve">Habitat of Bats: Discover Where They Live and Thrive – Markiert "where to mount bat house" – Big Bat Box</t>
  </si>
  <si>
    <t xml:space="preserve">Bee Species Guide: Discover Their Vital Role in Nature – Tag utilizzati "Bee Biology" – Big Bat Box</t>
  </si>
  <si>
    <t xml:space="preserve">Habitat of Bats: Discover Where They Live and Thrive – Tag utilizzati "winter wildlife" – Big Bat Box</t>
  </si>
  <si>
    <t xml:space="preserve">Types of Squirrels: Discover Their Habitats &amp; Behaviors – Etiquetado "squirrel feeder" – Big Bat Box</t>
  </si>
  <si>
    <t xml:space="preserve">Backyard Birds: Feeding Guides, Species &amp; Habitat | WildYard – Etiquetado "no-melt suet" – Big Bat Box</t>
  </si>
  <si>
    <t xml:space="preserve">Backyard Birds: Feeding Guides, Species &amp; Habitat | WildYard – Tagged "suet for birds" – Big Bat Box</t>
  </si>
  <si>
    <t xml:space="preserve">Bee Species Guide: Discover Their Vital Role in Nature – Tagged "Bee Communication" – Big Bat Box</t>
  </si>
  <si>
    <t xml:space="preserve">Types of Squirrels: Discover Their Habitats &amp; Behaviors – Tagged "squirrel house" – Big Bat Box</t>
  </si>
  <si>
    <t xml:space="preserve">Habitat of Bats: Discover Where They Live and Thrive – Étiqueter "natural pest control" – Big Bat Box</t>
  </si>
  <si>
    <t xml:space="preserve">Bee Species Guide: Discover Their Vital Role in Nature – Tagged "Fun Facts About Bees" – Big Bat Box</t>
  </si>
  <si>
    <t xml:space="preserve">Habitat of Bats: Discover Where They Live and Thrive – Tagged "bat house USA climate" – Big Bat Box</t>
  </si>
  <si>
    <t xml:space="preserve">Habitat of Bats: Discover Where They Live and Thrive – Tag utilizzati "three chamber bat box" – Big Bat Box</t>
  </si>
  <si>
    <t xml:space="preserve">Conservation &amp; Partners: WildYard &amp; 1% For The Planet – Markiert "Conservation" – Big Bat Box</t>
  </si>
  <si>
    <t xml:space="preserve">Habitat of Bats: Discover Where They Live and Thrive – Tagged "bat house distance from trees" – Big Bat Box</t>
  </si>
  <si>
    <t xml:space="preserve">Habitat of Bats: Discover Where They Live and Thrive – Tagged "winter bat house tips" – Big Bat Box</t>
  </si>
  <si>
    <t xml:space="preserve">Conservation &amp; Partners: WildYard &amp; 1% For The Planet – Tagged "partnership" – Big Bat Box</t>
  </si>
  <si>
    <t xml:space="preserve">Habitat of Bats: Discover Where They Live and Thrive – Markiert "one chamber bat box" – Big Bat Box</t>
  </si>
  <si>
    <t xml:space="preserve">Backyard Birds: Feeding Guides, Species &amp; Habitat | WildYard – Tag utilizzati "bird feeding" – Big Bat Box</t>
  </si>
  <si>
    <t xml:space="preserve">Bee Species Guide: Discover Their Vital Role in Nature – Tagged "mason bees" – Big Bat Box</t>
  </si>
  <si>
    <t xml:space="preserve">Habitat of Bats: Discover Where They Live and Thrive – Etiquetado "wildlife-friendly home" – Big Bat Box</t>
  </si>
  <si>
    <t xml:space="preserve">Fun Facts About Owls: Their Mysteries and Habits Unveiled – Tagged "Pet Safety" – Big Bat Box</t>
  </si>
  <si>
    <t xml:space="preserve">Fun Facts About Owls: Their Mysteries and Habits Unveiled – Markiert "Owl Sounds" – Big Bat Box</t>
  </si>
  <si>
    <t xml:space="preserve">Habitat of Bats: Discover Where They Live and Thrive – Étiqueter "Wildyard bat house guide" – Big Bat Box</t>
  </si>
  <si>
    <t xml:space="preserve">https://www.bigbatbox.com/de/products/bat-barn-junior-brown</t>
  </si>
  <si>
    <t xml:space="preserve">Fun Facts About Owls: Their Mysteries and Habits Unveiled – Étiqueter "Owl Box FAQ" – Big Bat Box</t>
  </si>
  <si>
    <t xml:space="preserve">Fun Facts About Owls: Their Mysteries and Habits Unveiled – Markiert "nocturnal animals" – Big Bat Box</t>
  </si>
  <si>
    <t xml:space="preserve">Habitat of Bats: Discover Where They Live and Thrive – Etiquetado "northern state bat box" – Big Bat Box</t>
  </si>
  <si>
    <t xml:space="preserve">Habitat of Bats: Discover Where They Live and Thrive – Etiquetado "cedar bat house" – Big Bat Box</t>
  </si>
  <si>
    <t xml:space="preserve">Habitat of Bats: Discover Where They Live and Thrive – Tagged "protect bats" – Big Bat Box</t>
  </si>
  <si>
    <t xml:space="preserve">Types of Squirrels: Discover Their Habitats &amp; Behaviors – Tag utilizzati "nocturnal animals" – Big Bat Box</t>
  </si>
  <si>
    <t xml:space="preserve">Habitat of Bats: Discover Where They Live and Thrive – Etiquetado "bat houses for cold climates" – Big Bat Box</t>
  </si>
  <si>
    <t xml:space="preserve">Bee Species Guide: Discover Their Vital Role in Nature – Markiert "Solitary Bees" – Big Bat Box</t>
  </si>
  <si>
    <t xml:space="preserve">Backyard Birds: Feeding Guides, Species &amp; Habitat | WildYard – Étiqueter "summer feeding" – Big Bat Box</t>
  </si>
  <si>
    <t xml:space="preserve">Habitat of Bats: Discover Where They Live and Thrive – Étiqueter "wildlife habitat" – Big Bat Box</t>
  </si>
  <si>
    <t xml:space="preserve">Habitat of Bats: Discover Where They Live and Thrive – Étiqueter "bat house tips" – Big Bat Box</t>
  </si>
  <si>
    <t xml:space="preserve">Habitat of Bats: Discover Where They Live and Thrive – Tagged "eco-friendly pest solutions" – Big Bat Box</t>
  </si>
  <si>
    <t xml:space="preserve">Habitat of Bats: Discover Where They Live and Thrive – Tag utilizzati "Wildyard bat house guide" – Big Bat Box</t>
  </si>
  <si>
    <t xml:space="preserve">Habitat of Bats: Discover Where They Live and Thrive – Etiquetado "black cedar bat house" – Big Bat Box</t>
  </si>
  <si>
    <t xml:space="preserve">9 interessante Fakten über Fledermäuse, die Sie kennen müssen – Big Bat Box</t>
  </si>
  <si>
    <t xml:space="preserve">Habitat of Bats: Discover Where They Live and Thrive – Étiqueter "Ecosystem Guardians" – Big Bat Box</t>
  </si>
  <si>
    <t xml:space="preserve">https://www.bigbatbox.com/blogs/fun-facts-about-owls/are-owls-dangerous</t>
  </si>
  <si>
    <t xml:space="preserve">Habitat of Bats: Discover Where They Live and Thrive – Tag utilizzati "best bat houses" – Big Bat Box</t>
  </si>
  <si>
    <t xml:space="preserve">Habitat of Bats: Discover Where They Live and Thrive – Tagged "Bats as Pollinators" – Big Bat Box</t>
  </si>
  <si>
    <t xml:space="preserve">Habitat of Bats: Discover Where They Live and Thrive – Tag utilizzati "black bat house" – Big Bat Box</t>
  </si>
  <si>
    <t xml:space="preserve">Habitat of Bats: Discover Where They Live and Thrive – Tagged "wildlife conservation" – Big Bat Box</t>
  </si>
  <si>
    <t xml:space="preserve">Habitat of Bats: Discover Where They Live and Thrive – Tag utilizzati "two chamber bat box" – Big Bat Box</t>
  </si>
  <si>
    <t xml:space="preserve">Habitat of Bats: Discover Where They Live and Thrive – Tag utilizzati "bat species" – Big Bat Box</t>
  </si>
  <si>
    <t xml:space="preserve">Habitat of Bats: Discover Where They Live and Thrive – Tag utilizzati "bat benefits" – Big Bat Box</t>
  </si>
  <si>
    <t xml:space="preserve">Habitat of Bats: Discover Where They Live and Thrive – Markiert "attract bats to yard" – Big Bat Box</t>
  </si>
  <si>
    <t xml:space="preserve">Fun Facts About Owls: Their Mysteries and Habits Unveiled – Étiqueter "Owl Facts" – Big Bat Box</t>
  </si>
  <si>
    <t xml:space="preserve">Habitat of Bats: Discover Where They Live and Thrive – Etiquetado "cooler climate bat habitat" – Big Bat Box</t>
  </si>
  <si>
    <t xml:space="preserve">Habitat of Bats: Discover Where They Live and Thrive – Tagged "garden insect control" – Big Bat Box</t>
  </si>
  <si>
    <t xml:space="preserve">Fun Facts About Owls: Their Mysteries and Habits Unveiled – Etiquetado "squirrels" – Big Bat Box</t>
  </si>
  <si>
    <t xml:space="preserve">Types of Squirrels: Discover Their Habitats &amp; Behaviors – Markiert "winter wildlife" – Big Bat Box</t>
  </si>
  <si>
    <t xml:space="preserve">Bee Species Guide: Discover Their Vital Role in Nature – Étiqueter "Bee Biology" – Big Bat Box</t>
  </si>
  <si>
    <t xml:space="preserve">Habitat of Bats: Discover Where They Live and Thrive – Étiqueter "protect bats" – Big Bat Box</t>
  </si>
  <si>
    <t xml:space="preserve">Bee Species Guide: Discover Their Vital Role in Nature – Tagged "Bee Facts" – Big Bat Box</t>
  </si>
  <si>
    <t xml:space="preserve">Fun Facts About Owls: Their Mysteries and Habits Unveiled – Tagged "great horned owl" – Big Bat Box</t>
  </si>
  <si>
    <t xml:space="preserve">Habitat of Bats: Discover Where They Live and Thrive – Tagged "Wildlife Management" – Big Bat Box</t>
  </si>
  <si>
    <t xml:space="preserve">Habitat of Bats: Discover Where They Live and Thrive – Etiquetado "echolocation" – Big Bat Box</t>
  </si>
  <si>
    <t xml:space="preserve">Habitat of Bats: Discover Where They Live and Thrive – Étiqueter "endangered bats" – Big Bat Box</t>
  </si>
  <si>
    <t xml:space="preserve">Fledermauskästen aus Zedernholz für kalte Klimazonen: Wichtige Erkenntnisse – Big Bat Box</t>
  </si>
  <si>
    <t xml:space="preserve">Habitat of Bats: Discover Where They Live and Thrive – Tag utilizzati "echolocation" – Big Bat Box</t>
  </si>
  <si>
    <t xml:space="preserve">https://www.bigbatbox.com/de/blogs/bee-species/fun-facts-about-bees</t>
  </si>
  <si>
    <t xml:space="preserve">Wissenswertes über Bienen: Überraschend &amp;amp; Faszinierend – Big Bat Box</t>
  </si>
  <si>
    <t xml:space="preserve">Habitat of Bats: Discover Where They Live and Thrive – Markiert "DIY Bat House" – Big Bat Box</t>
  </si>
  <si>
    <t xml:space="preserve">Bee Species Guide: Discover Their Vital Role in Nature – Markiert "Bee Food Sources" – Big Bat Box</t>
  </si>
  <si>
    <t xml:space="preserve">Backyard Birds: Feeding Guides, Species &amp; Habitat | WildYard – Markiert "bird feeding" – Big Bat Box</t>
  </si>
  <si>
    <t xml:space="preserve">Habitat of Bats: Discover Where They Live and Thrive – Markiert "best bat houses" – Big Bat Box</t>
  </si>
  <si>
    <t xml:space="preserve">Habitat of Bats: Discover Where They Live and Thrive – Markiert "bat box installation" – Big Bat Box</t>
  </si>
  <si>
    <t xml:space="preserve">Types of Squirrels: Discover Their Habitats &amp; Behaviors – Tagged "wildlife habitat" – Big Bat Box</t>
  </si>
  <si>
    <t xml:space="preserve">Habitat of Bats: Discover Where They Live and Thrive – Étiqueter "cooler climate bat habitat" – Big Bat Box</t>
  </si>
  <si>
    <t xml:space="preserve">Habitat of Bats: Discover Where They Live and Thrive – Tagged "bat conservation guide" – Big Bat Box</t>
  </si>
  <si>
    <t xml:space="preserve">Habitat of Bats: Discover Where They Live and Thrive – Tagged "cedar bat box" – Big Bat Box</t>
  </si>
  <si>
    <t xml:space="preserve">Habitat of Bats: Discover Where They Live and Thrive – Tagged "bat house direction" – Big Bat Box</t>
  </si>
  <si>
    <t xml:space="preserve">Habitat of Bats: Discover Where They Live and Thrive – Tag utilizzati "winter bat house tips" – Big Bat Box</t>
  </si>
  <si>
    <t xml:space="preserve">Habitat of Bats: Discover Where They Live and Thrive – Étiqueter "backyard pest control" – Big Bat Box</t>
  </si>
  <si>
    <t xml:space="preserve">Habitat of Bats: Discover Where They Live and Thrive – Tag utilizzati "bat ecology at home" – Big Bat Box</t>
  </si>
  <si>
    <t xml:space="preserve">Habitat of Bats: Discover Where They Live and Thrive – Markiert "bat food" – Big Bat Box</t>
  </si>
  <si>
    <t xml:space="preserve">Habitat of Bats: Discover Where They Live and Thrive – Tag utilizzati "Conservation" – Big Bat Box</t>
  </si>
  <si>
    <t xml:space="preserve">Conservation &amp; Partners: WildYard &amp; 1% For The Planet – Tag utilizzati "partnership" – Big Bat Box</t>
  </si>
  <si>
    <t xml:space="preserve">Habitat of Bats: Discover Where They Live and Thrive – Tagged "sustainable gardens" – Big Bat Box</t>
  </si>
  <si>
    <t xml:space="preserve">Habitat of Bats: Discover Where They Live and Thrive – Etiquetado "insect control" – Big Bat Box</t>
  </si>
  <si>
    <t xml:space="preserve">Habitat of Bats: Discover Where They Live and Thrive – Etiquetado "USA bat house guide" – Big Bat Box</t>
  </si>
  <si>
    <t xml:space="preserve">Habitat of Bats: Discover Where They Live and Thrive – Markiert "vampire bats" – Big Bat Box</t>
  </si>
  <si>
    <t xml:space="preserve">Bee Species Guide: Discover Their Vital Role in Nature – Tag utilizzati "Nature’s Architects" – Big Bat Box</t>
  </si>
  <si>
    <t xml:space="preserve">Habitat of Bats: Discover Where They Live and Thrive – Markiert "cold climate bat box" – Big Bat Box</t>
  </si>
  <si>
    <t xml:space="preserve">Fun Facts About Owls: Their Mysteries and Habits Unveiled – Markiert "snowy owl" – Big Bat Box</t>
  </si>
  <si>
    <t xml:space="preserve">Habitat of Bats: Discover Where They Live and Thrive – Etiquetado "mosquito reduction with bats" – Big Bat Box</t>
  </si>
  <si>
    <t xml:space="preserve">Habitat of Bats: Discover Where They Live and Thrive – Tag utilizzati "Pest Control" – Big Bat Box</t>
  </si>
  <si>
    <t xml:space="preserve">Habitat of Bats: Discover Where They Live and Thrive – Tag utilizzati "bat box installation" – Big Bat Box</t>
  </si>
  <si>
    <t xml:space="preserve">Bee Species Guide: Discover Their Vital Role in Nature – Tagged "Hive Behavior" – Big Bat Box</t>
  </si>
  <si>
    <t xml:space="preserve">Fun Facts About Owls: Their Mysteries and Habits Unveiled – Tag utilizzati "Bird House" – Big Bat Box</t>
  </si>
  <si>
    <t xml:space="preserve">Types of Squirrels: Discover Their Habitats &amp; Behaviors – Etiquetado "species facts" – Big Bat Box</t>
  </si>
  <si>
    <t xml:space="preserve">Habitat of Bats: Discover Where They Live and Thrive – Markiert "bat house for cold climates" – Big Bat Box</t>
  </si>
  <si>
    <t xml:space="preserve">Bee Species Guide: Discover Their Vital Role in Nature – Tag utilizzati "Bee Lifecycle" – Big Bat Box</t>
  </si>
  <si>
    <t xml:space="preserve">Types of Squirrels: Discover Their Habitats &amp; Behaviors – Étiqueter "diy squirrel feeder" – Big Bat Box</t>
  </si>
  <si>
    <t xml:space="preserve">Fun Facts About Owls: Their Mysteries and Habits Unveiled – Etiquetado "Owl Safety" – Big Bat Box</t>
  </si>
  <si>
    <t xml:space="preserve">Habitat of Bats: Discover Where They Live and Thrive – Tag utilizzati "bat box sunlight requirements" – Big Bat Box</t>
  </si>
  <si>
    <t xml:space="preserve">Habitat of Bats: Discover Where They Live and Thrive – Markiert "bat box placement" – Big Bat Box</t>
  </si>
  <si>
    <t xml:space="preserve">Habitat of Bats: Discover Where They Live and Thrive – Tag utilizzati "guano" – Big Bat Box</t>
  </si>
  <si>
    <t xml:space="preserve">Backyard Birds: Feeding Guides, Species &amp; Habitat | WildYard – Markiert "squirrels" – Big Bat Box</t>
  </si>
  <si>
    <t xml:space="preserve">Habitat of Bats: Discover Where They Live and Thrive – Étiqueter "bat ecology at home" – Big Bat Box</t>
  </si>
  <si>
    <t xml:space="preserve">Fun Facts About Owls: Their Mysteries and Habits Unveiled – Etiquetado "Conservation" – Big Bat Box</t>
  </si>
  <si>
    <t xml:space="preserve">https://www.bigbatbox.com/blogs/wildyard-news/introducing-the-wildyard-x-angry-birds%E2%84%A2-collection-turn-your-garden-into-a-wildlife-habitat</t>
  </si>
  <si>
    <t xml:space="preserve">Bee Species Guide: Discover Their Vital Role in Nature – Markiert "Honey Bees" – Big Bat Box</t>
  </si>
  <si>
    <t xml:space="preserve">Habitat of Bats: Discover Where They Live and Thrive – Tag utilizzati "bat house sun exposure" – Big Bat Box</t>
  </si>
  <si>
    <t xml:space="preserve">Habitat of Bats: Discover Where They Live and Thrive – Markiert "bat boxes" – Big Bat Box</t>
  </si>
  <si>
    <t xml:space="preserve">Habitat of Bats: Discover Where They Live and Thrive – Tag utilizzati "Biodiversity" – Big Bat Box</t>
  </si>
  <si>
    <t xml:space="preserve">Habitat of Bats: Discover Where They Live and Thrive – Markiert "multi chamber bat house" – Big Bat Box</t>
  </si>
  <si>
    <t xml:space="preserve">Habitat of Bats: Discover Where They Live and Thrive – Markiert "echolocation" – Big Bat Box</t>
  </si>
  <si>
    <t xml:space="preserve">Fun Facts About Owls: Their Mysteries and Habits Unveiled – Étiqueter "wildlife habitats" – Big Bat Box</t>
  </si>
  <si>
    <t xml:space="preserve">Fun Facts About Owls: Their Mysteries and Habits Unveiled – Tag utilizzati "squirrels" – Big Bat Box</t>
  </si>
  <si>
    <t xml:space="preserve">Habitat of Bats: Discover Where They Live and Thrive – Étiqueter "avoid pesticides" – Big Bat Box</t>
  </si>
  <si>
    <t xml:space="preserve">Habitat of Bats: Discover Where They Live and Thrive – Etiquetado "bat hibernation" – Big Bat Box</t>
  </si>
  <si>
    <t xml:space="preserve">Types of Squirrels: Discover Their Habitats &amp; Behaviors – Etiquetado "squirrel house" – Big Bat Box</t>
  </si>
  <si>
    <t xml:space="preserve">Habitat of Bats: Discover Where They Live and Thrive – Tagged "mosquito controlbackyard wildlife" – Big Bat Box</t>
  </si>
  <si>
    <t xml:space="preserve">https://www.bigbatbox.com/de/blogs/habitat-of-bats/a-brief-guide-to-building-and-installing-bat-boxes</t>
  </si>
  <si>
    <t xml:space="preserve">Bau und Installation von Fledermauskästen – Ein praktischer Leitfaden – Big Bat Box</t>
  </si>
  <si>
    <t xml:space="preserve">Habitat of Bats: Discover Where They Live and Thrive – Étiqueter "bat house installation" – Big Bat Box</t>
  </si>
  <si>
    <t xml:space="preserve">Habitat of Bats: Discover Where They Live and Thrive – Etiquetado "coexist with bats" – Big Bat Box</t>
  </si>
  <si>
    <t xml:space="preserve">Habitat of Bats: Discover Where They Live and Thrive – Tag utilizzati "bat habitat" – Big Bat Box</t>
  </si>
  <si>
    <t xml:space="preserve">Habitat of Bats: Discover Where They Live and Thrive – Tagged "one chamber bat box" – Big Bat Box</t>
  </si>
  <si>
    <t xml:space="preserve">Habitat of Bats: Discover Where They Live and Thrive – Tag utilizzati "safe bat habitat" – Big Bat Box</t>
  </si>
  <si>
    <t xml:space="preserve">Types of Squirrels: Discover Their Habitats &amp; Behaviors – Étiqueter "squirrels" – Big Bat Box</t>
  </si>
  <si>
    <t xml:space="preserve">Habitat of Bats: Discover Where They Live and Thrive – Etiquetado "bat house placement" – Big Bat Box</t>
  </si>
  <si>
    <t xml:space="preserve">Bee Species Guide: Discover Their Vital Role in Nature – Tag utilizzati "Garden Biodiversity" – Big Bat Box</t>
  </si>
  <si>
    <t xml:space="preserve">Habitat of Bats: Discover Where They Live and Thrive – Tag utilizzati "Wildyard bat houses" – Big Bat Box</t>
  </si>
  <si>
    <t xml:space="preserve">Habitat of Bats: Discover Where They Live and Thrive – Markiert "wildlife-friendly home" – Big Bat Box</t>
  </si>
  <si>
    <t xml:space="preserve">Habitat of Bats: Discover Where They Live and Thrive – Tagged "insect control naturally" – Big Bat Box</t>
  </si>
  <si>
    <t xml:space="preserve">Bee Species Guide: Discover Their Vital Role in Nature – Tag utilizzati "Hive Behavior" – Big Bat Box</t>
  </si>
  <si>
    <t xml:space="preserve">Habitat of Bats: Discover Where They Live and Thrive – Tag utilizzati "garden insect control" – Big Bat Box</t>
  </si>
  <si>
    <t xml:space="preserve">Fun Facts About Owls: Their Mysteries and Habits Unveiled – Tag utilizzati "owl nesting boxes" – Big Bat Box</t>
  </si>
  <si>
    <t xml:space="preserve">Bee Species Guide: Discover Their Vital Role in Nature – Tag utilizzati "Bee Communication" – Big Bat Box</t>
  </si>
  <si>
    <t xml:space="preserve">Backyard Birds: Feeding Guides, Species &amp; Habitat | WildYard – Tag utilizzati "suet for birds" – Big Bat Box</t>
  </si>
  <si>
    <t xml:space="preserve">Conservation &amp; Partners: WildYard &amp; 1% For The Planet – Étiqueter "Conservation" – Big Bat Box</t>
  </si>
  <si>
    <t xml:space="preserve">Habitat of Bats: Discover Where They Live and Thrive – Étiqueter "bat house advice" – Big Bat Box</t>
  </si>
  <si>
    <t xml:space="preserve">Types of Squirrels: Discover Their Habitats &amp; Behaviors – Étiqueter "species facts" – Big Bat Box</t>
  </si>
  <si>
    <t xml:space="preserve">Types of Squirrels: Discover Their Habitats &amp; Behaviors – Markiert "squirrel food" – Big Bat Box</t>
  </si>
  <si>
    <t xml:space="preserve">https://www.bigbatbox.com/de/blogs/wildyard-news/introducing-the-wildyard-x-angry-birds%E2%84%A2-collection-turn-your-garden-into-a-wildlife-habitat</t>
  </si>
  <si>
    <t xml:space="preserve">Types of Squirrels: Discover Their Habitats &amp; Behaviors – Markiert "squirrel care" – Big Bat Box</t>
  </si>
  <si>
    <t xml:space="preserve">https://www.bigbatbox.com/de/blogs/habitat-of-bats/the-surprising-benefits-of-bat-boxes-and-why-you-should-have-one</t>
  </si>
  <si>
    <t xml:space="preserve">Die überraschenden Vorteile von Fledermauskästen und warum Sie einen brauchen – Big Bat Box</t>
  </si>
  <si>
    <t xml:space="preserve">Habitat of Bats: Discover Where They Live and Thrive – Tag utilizzati "mosquito control" – Big Bat Box</t>
  </si>
  <si>
    <t xml:space="preserve">Fun Facts About Owls: Their Mysteries and Habits Unveiled – Tag utilizzati "barn owl" – Big Bat Box</t>
  </si>
  <si>
    <t xml:space="preserve">Fun Facts About Owls: Their Mysteries and Habits Unveiled – Tagged "owl diet" – Big Bat Box</t>
  </si>
  <si>
    <t xml:space="preserve">Backyard Birds: Feeding Guides, Species &amp; Habitat | WildYard – Tag utilizzati "seasonal feeding" – Big Bat Box</t>
  </si>
  <si>
    <t xml:space="preserve">Types of Squirrels: Discover Their Habitats &amp; Behaviors – Etiquetado "wildlife guide" – Big Bat Box</t>
  </si>
  <si>
    <t xml:space="preserve">Backyard Birds: Feeding Guides, Species &amp; Habitat | WildYard – Étiqueter "clinging birds" – Big Bat Box</t>
  </si>
  <si>
    <t xml:space="preserve">Habitat of Bats: Discover Where They Live and Thrive – Markiert "backyard eco tips" – Big Bat Box</t>
  </si>
  <si>
    <t xml:space="preserve">Habitat of Bats: Discover Where They Live and Thrive – Tag utilizzati "Bat Houses" – Big Bat Box</t>
  </si>
  <si>
    <t xml:space="preserve">https://www.bigbatbox.com/de/blogs/conservation-partners/wildyard-bird-conservancy-of-the-rockies-partnership</t>
  </si>
  <si>
    <t xml:space="preserve">Types of Squirrels: Discover Their Habitats &amp; Behaviors – Tag utilizzati "wildlife behavior" – Big Bat Box</t>
  </si>
  <si>
    <t xml:space="preserve">Bee Species Guide: Discover Their Vital Role in Nature – Tag utilizzati "Bee Food Sources" – Big Bat Box</t>
  </si>
  <si>
    <t xml:space="preserve">Habitat of Bats: Discover Where They Live and Thrive – Etiquetado "home conservation tips" – Big Bat Box</t>
  </si>
  <si>
    <t xml:space="preserve">Backyard Birds: Feeding Guides, Species &amp; Habitat | WildYard – Markiert "no-melt suet" – Big Bat Box</t>
  </si>
  <si>
    <t xml:space="preserve">Habitat of Bats: Discover Where They Live and Thrive – Tagged "three chamber bat box" – Big Bat Box</t>
  </si>
  <si>
    <t xml:space="preserve">Types of Squirrels: Discover Their Habitats &amp; Behaviors – Étiqueter "buying guide" – Big Bat Box</t>
  </si>
  <si>
    <t xml:space="preserve">Habitat of Bats: Discover Where They Live and Thrive – Markiert "bat species" – Big Bat Box</t>
  </si>
  <si>
    <t xml:space="preserve">https://www.bigbatbox.com/es/pages/wildyard-x-angry-birds-flowerpot-birdhouse-instructions</t>
  </si>
  <si>
    <t xml:space="preserve">Habitat of Bats: Discover Where They Live and Thrive – Tag utilizzati "bat house direction" – Big Bat Box</t>
  </si>
  <si>
    <t xml:space="preserve">Fun Facts About Owls: Their Mysteries and Habits Unveiled – Tagged "owl behavior" – Big Bat Box</t>
  </si>
  <si>
    <t xml:space="preserve">Habitat of Bats: Discover Where They Live and Thrive – Markiert "two chamber bat box" – Big Bat Box</t>
  </si>
  <si>
    <t xml:space="preserve">Habitat of Bats: Discover Where They Live and Thrive – Markiert "eco-friendly" – Big Bat Box</t>
  </si>
  <si>
    <t xml:space="preserve">Habitat of Bats: Discover Where They Live and Thrive – Etiquetado "bat house mosquito control" – Big Bat Box</t>
  </si>
  <si>
    <t xml:space="preserve">Habitat of Bats: Discover Where They Live and Thrive – Markiert "2026 trends" – Big Bat Box</t>
  </si>
  <si>
    <t xml:space="preserve">Habitat of Bats: Discover Where They Live and Thrive – Etiquetado "bat house temperature" – Big Bat Box</t>
  </si>
  <si>
    <t xml:space="preserve">Habitat of Bats: Discover Where They Live and Thrive – Etiquetado "bats near home" – Big Bat Box</t>
  </si>
  <si>
    <t xml:space="preserve">Habitat of Bats: Discover Where They Live and Thrive – Etiquetado "native plants for bats" – Big Bat Box</t>
  </si>
  <si>
    <t xml:space="preserve">Habitat of Bats: Discover Where They Live and Thrive – Étiqueter "Bat house" – Big Bat Box</t>
  </si>
  <si>
    <t xml:space="preserve">Habitat of Bats: Discover Where They Live and Thrive – Tagged "Wildyard bat houses" – Big Bat Box</t>
  </si>
  <si>
    <t xml:space="preserve">Habitat of Bats: Discover Where They Live and Thrive – Markiert "black bat house" – Big Bat Box</t>
  </si>
  <si>
    <t xml:space="preserve">Fun Facts About Owls: Their Mysteries and Habits Unveiled – Tag utilizzati "backyard wildlife" – Big Bat Box</t>
  </si>
  <si>
    <t xml:space="preserve">Habitat of Bats: Discover Where They Live and Thrive – Étiqueter "sustainable gardens" – Big Bat Box</t>
  </si>
  <si>
    <t xml:space="preserve">Habitat of Bats: Discover Where They Live and Thrive – Étiqueter "bat species" – Big Bat Box</t>
  </si>
  <si>
    <t xml:space="preserve">Habitat of Bats: Discover Where They Live and Thrive – Etiquetado "eco-friendly bat shelter" – Big Bat Box</t>
  </si>
  <si>
    <t xml:space="preserve">Habitat of Bats: Discover Where They Live and Thrive – Étiqueter "bat housebat conservation" – Big Bat Box</t>
  </si>
  <si>
    <t xml:space="preserve">Fun Facts About Owls: Their Mysteries and Habits Unveiled – Étiqueter "Pet Safety" – Big Bat Box</t>
  </si>
  <si>
    <t xml:space="preserve">Fun Facts About Owls: Their Mysteries and Habits Unveiled – Étiqueter "wildlife gardening" – Big Bat Box</t>
  </si>
  <si>
    <t xml:space="preserve">Fun Facts About Owls: Their Mysteries and Habits Unveiled – Étiqueter "Night Sounds" – Big Bat Box</t>
  </si>
  <si>
    <t xml:space="preserve">Fun Facts About Owls: Their Mysteries and Habits Unveiled – Étiqueter "bat and owl" – Big Bat Box</t>
  </si>
  <si>
    <t xml:space="preserve">Types of Squirrels: Discover Their Habitats &amp; Behaviors – Markiert "species facts" – Big Bat Box</t>
  </si>
  <si>
    <t xml:space="preserve">Habitat of Bats: Discover Where They Live and Thrive – Tag utilizzati "dark bat house benefits" – Big Bat Box</t>
  </si>
  <si>
    <t xml:space="preserve">Fun Facts About Owls: Their Mysteries and Habits Unveiled – Etiquetado "backyard wildlife" – Big Bat Box</t>
  </si>
  <si>
    <t xml:space="preserve">Fun Facts About Owls: Their Mysteries and Habits Unveiled – Markiert "Pet Safety" – Big Bat Box</t>
  </si>
  <si>
    <t xml:space="preserve">Habitat of Bats: Discover Where They Live and Thrive – Tagged "cedar bat house" – Big Bat Box</t>
  </si>
  <si>
    <t xml:space="preserve">Habitat of Bats: Discover Where They Live and Thrive – Tag utilizzati "bat house distance from trees" – Big Bat Box</t>
  </si>
  <si>
    <t xml:space="preserve">Habitat of Bats: Discover Where They Live and Thrive – Tagged "winter wildlife" – Big Bat Box</t>
  </si>
  <si>
    <t xml:space="preserve">Habitat of Bats: Discover Where They Live and Thrive – Etiquetado "bat roost guide" – Big Bat Box</t>
  </si>
  <si>
    <t xml:space="preserve">Habitat of Bats: Discover Where They Live and Thrive – Tag utilizzati "home conservation tips" – Big Bat Box</t>
  </si>
  <si>
    <t xml:space="preserve">Fun Facts About Owls: Their Mysteries and Habits Unveiled – Tagged "owl calls" – Big Bat Box</t>
  </si>
  <si>
    <t xml:space="preserve">Habitat of Bats: Discover Where They Live and Thrive – Étiqueter "attract bats" – Big Bat Box</t>
  </si>
  <si>
    <t xml:space="preserve">Fun Facts About Owls: Their Mysteries and Habits Unveiled – Étiqueter "owl identification" – Big Bat Box</t>
  </si>
  <si>
    <t xml:space="preserve">Backyard Birds: Feeding Guides, Species &amp; Habitat | WildYard – Markiert "suet for birds" – Big Bat Box</t>
  </si>
  <si>
    <t xml:space="preserve">Habitat of Bats: Discover Where They Live and Thrive – Étiqueter "eco-friendly bat shelter" – Big Bat Box</t>
  </si>
  <si>
    <t xml:space="preserve">Habitat of Bats: Discover Where They Live and Thrive – Markiert "northern state bat box" – Big Bat Box</t>
  </si>
  <si>
    <t xml:space="preserve">Conservation &amp; Partners: WildYard &amp; 1% For The Planet – Markiert "1% for the Planet" – Big Bat Box</t>
  </si>
  <si>
    <t xml:space="preserve">Habitat of Bats: Discover Where They Live and Thrive – Markiert "black cedar bat house" – Big Bat Box</t>
  </si>
  <si>
    <t xml:space="preserve">Habitat of Bats: Discover Where They Live and Thrive – Etiquetado "painted cedar bat house" – Big Bat Box</t>
  </si>
  <si>
    <t xml:space="preserve">Habitat of Bats: Discover Where They Live and Thrive – Etiquetado "bat housebat conservation" – Big Bat Box</t>
  </si>
  <si>
    <t xml:space="preserve">Habitat of Bats: Discover Where They Live and Thrive – Tagged "bat proofing tips" – Big Bat Box</t>
  </si>
  <si>
    <t xml:space="preserve">Conservation &amp; Partners: WildYard &amp; 1% For The Planet – Étiqueter "1% for the Planet" – Big Bat Box</t>
  </si>
  <si>
    <t xml:space="preserve">Fun Facts About Owls: Their Mysteries and Habits Unveiled – Markiert "bird habitats" – Big Bat Box</t>
  </si>
  <si>
    <t xml:space="preserve">Fun Facts About Owls: Their Mysteries and Habits Unveiled – Tag utilizzati "wildlife lifespan" – Big Bat Box</t>
  </si>
  <si>
    <t xml:space="preserve">Habitat of Bats: Discover Where They Live and Thrive – Etiquetado "yard wildlife guide" – Big Bat Box</t>
  </si>
  <si>
    <t xml:space="preserve">Types of Squirrels: Discover Their Habitats &amp; Behaviors – Étiqueter "wildlife guide" – Big Bat Box</t>
  </si>
  <si>
    <t xml:space="preserve">Types of Squirrels: Discover Their Habitats &amp; Behaviors – Etiquetado "nest box maintenance" – Big Bat Box</t>
  </si>
  <si>
    <t xml:space="preserve">Habitat of Bats: Discover Where They Live and Thrive – Markiert "Bat house" – Big Bat Box</t>
  </si>
  <si>
    <t xml:space="preserve">Backyard Birds: Feeding Guides, Species &amp; Habitat | WildYard – Markiert "starlings" – Big Bat Box</t>
  </si>
  <si>
    <t xml:space="preserve">Habitat of Bats: Discover Where They Live and Thrive – Etiquetado "mounting bat houses" – Big Bat Box</t>
  </si>
  <si>
    <t xml:space="preserve">Fun Facts About Owls: Their Mysteries and Habits Unveiled – Markiert "squirrels" – Big Bat Box</t>
  </si>
  <si>
    <t xml:space="preserve">Habitat of Bats: Discover Where They Live and Thrive – Tag utilizzati "northern state bat box" – Big Bat Box</t>
  </si>
  <si>
    <t xml:space="preserve">Habitat of Bats: Discover Where They Live and Thrive – Tag utilizzati "USA bat house guide" – Big Bat Box</t>
  </si>
  <si>
    <t xml:space="preserve">Habitat of Bats: Discover Where They Live and Thrive – Étiqueter "backyard conservation" – Big Bat Box</t>
  </si>
  <si>
    <t xml:space="preserve">Habitat of Bats: Discover Where They Live and Thrive – Étiqueter "bat house chambers" – Big Bat Box</t>
  </si>
  <si>
    <t xml:space="preserve">Bee Species Guide: Discover Their Vital Role in Nature – Markiert "backyard wildlife" – Big Bat Box</t>
  </si>
  <si>
    <t xml:space="preserve">Fun Facts About Owls: Their Mysteries and Habits Unveiled – Tag utilizzati "owl identification" – Big Bat Box</t>
  </si>
  <si>
    <t xml:space="preserve">Fun Facts About Owls: Their Mysteries and Habits Unveiled – Tag utilizzati "wildlife habitats" – Big Bat Box</t>
  </si>
  <si>
    <t xml:space="preserve">Habitat of Bats: Discover Where They Live and Thrive – Tag utilizzati "attract bats" – Big Bat Box</t>
  </si>
  <si>
    <t xml:space="preserve">Types of Squirrels: Discover Their Habitats &amp; Behaviors – Etiquetado "backyard habitat" – Big Bat Box</t>
  </si>
  <si>
    <t xml:space="preserve">Habitat of Bats: Discover Where They Live and Thrive – Étiqueter "attract bats to yard" – Big Bat Box</t>
  </si>
  <si>
    <t xml:space="preserve">Habitat of Bats: Discover Where They Live and Thrive – Étiqueter "bat food" – Big Bat Box</t>
  </si>
  <si>
    <t xml:space="preserve">Habitat of Bats: Discover Where They Live and Thrive – Étiqueter "Wildyard bat houses" – Big Bat Box</t>
  </si>
  <si>
    <t xml:space="preserve">Types of Squirrels: Discover Their Habitats &amp; Behaviors – Étiqueter "wildlife behavior" – Big Bat Box</t>
  </si>
  <si>
    <t xml:space="preserve">Fun Facts About Owls: Their Mysteries and Habits Unveiled – Tag utilizzati "snowy owl" – Big Bat Box</t>
  </si>
  <si>
    <t xml:space="preserve">Bee Species Guide: Discover Their Vital Role in Nature – Tag utilizzati "mason bees" – Big Bat Box</t>
  </si>
  <si>
    <t xml:space="preserve">Types of Squirrels: Discover Their Habitats &amp; Behaviors – Markiert "squirrel feeder ideas" – Big Bat Box</t>
  </si>
  <si>
    <t xml:space="preserve">Habitat of Bats: Discover Where They Live and Thrive – Markiert "wildlife bat box guide" – Big Bat Box</t>
  </si>
  <si>
    <t xml:space="preserve">Bee Species Guide: Discover Their Vital Role in Nature – Étiqueter "leafcutter bees" – Big Bat Box</t>
  </si>
  <si>
    <t xml:space="preserve">Habitat of Bats: Discover Where They Live and Thrive – Tag utilizzati "bat house warmth retention" – Big Bat Box</t>
  </si>
  <si>
    <t xml:space="preserve">Habitat of Bats: Discover Where They Live and Thrive – Markiert "bat housebat conservation" – Big Bat Box</t>
  </si>
  <si>
    <t xml:space="preserve">Habitat of Bats: Discover Where They Live and Thrive – Tagged "south facing bat house" – Big Bat Box</t>
  </si>
  <si>
    <t xml:space="preserve">Habitat of Bats: Discover Where They Live and Thrive – Markiert "bat box sunlight requirements" – Big Bat Box</t>
  </si>
  <si>
    <t xml:space="preserve">Habitat of Bats: Discover Where They Live and Thrive – Étiqueter "bat house height" – Big Bat Box</t>
  </si>
  <si>
    <t xml:space="preserve">Habitat of Bats: Discover Where They Live and Thrive – Étiqueter "eco friendly bat house" – Big Bat Box</t>
  </si>
  <si>
    <t xml:space="preserve">Habitat of Bats: Discover Where They Live and Thrive – Tagged "bat house colors" – Big Bat Box</t>
  </si>
  <si>
    <t xml:space="preserve">Bee Species Guide: Discover Their Vital Role in Nature – Tag utilizzati "bee house" – Big Bat Box</t>
  </si>
  <si>
    <t xml:space="preserve">Fun Facts About Owls: Their Mysteries and Habits Unveiled – Etiquetado "wildlife habitats" – Big Bat Box</t>
  </si>
  <si>
    <t xml:space="preserve">Habitat of Bats: Discover Where They Live and Thrive – Markiert "DIY bat box" – Big Bat Box</t>
  </si>
  <si>
    <t xml:space="preserve">Habitat of Bats: Discover Where They Live and Thrive – Étiqueter "northern state bat box" – Big Bat Box</t>
  </si>
  <si>
    <t xml:space="preserve">Types of Squirrels: Discover Their Habitats &amp; Behaviors – Tag utilizzati "squirrel feeder ideas" – Big Bat Box</t>
  </si>
  <si>
    <t xml:space="preserve">Bee Species Guide: Discover Their Vital Role in Nature – Etiquetado "leafcutter bees" – Big Bat Box</t>
  </si>
  <si>
    <t xml:space="preserve">Nichoir à chauve-souris : Installation, hauteur et conseils | WildYard – Big Bat Box</t>
  </si>
  <si>
    <t xml:space="preserve">https://www.bigbatbox.com/de/blogs/habitat-of-bats/everything-you-need-to-know-about-bat-boxes-installation-features-placement-and-more</t>
  </si>
  <si>
    <t xml:space="preserve">Alles, was Sie über die Installation von Fledermauskästen wissen müssen – Big Bat Box</t>
  </si>
  <si>
    <t xml:space="preserve">Fun Facts About Owls: Their Mysteries and Habits Unveiled – Tag utilizzati "great horned owl" – Big Bat Box</t>
  </si>
  <si>
    <t xml:space="preserve">Habitat of Bats: Discover Where They Live and Thrive – Etiquetado "Wildlife Management" – Big Bat Box</t>
  </si>
  <si>
    <t xml:space="preserve">Habitat of Bats: Discover Where They Live and Thrive – Tagged "coexist with bats" – Big Bat Box</t>
  </si>
  <si>
    <t xml:space="preserve">Habitat of Bats: Discover Where They Live and Thrive – Etiquetado "backyard wildlife" – Big Bat Box</t>
  </si>
  <si>
    <t xml:space="preserve">Habitat of Bats: Discover Where They Live and Thrive – Tag utilizzati "backyard wildlife" – Big Bat Box</t>
  </si>
  <si>
    <t xml:space="preserve">Habitat of Bats: Discover Where They Live and Thrive – Tagged "cooler climate bat habitat" – Big Bat Box</t>
  </si>
  <si>
    <t xml:space="preserve">Habitat of Bats: Discover Where They Live and Thrive – Etiquetado "three chamber bat box" – Big Bat Box</t>
  </si>
  <si>
    <t xml:space="preserve">Habitat of Bats: Discover Where They Live and Thrive – Tag utilizzati "bat house placement guide" – Big Bat Box</t>
  </si>
  <si>
    <t xml:space="preserve">Types of Squirrels: Discover Their Habitats &amp; Behaviors – Etiquetado "squirrel food" – Big Bat Box</t>
  </si>
  <si>
    <t xml:space="preserve">Habitat of Bats: Discover Where They Live and Thrive – Étiqueter "sustainable bat boxes" – Big Bat Box</t>
  </si>
  <si>
    <t xml:space="preserve">Habitat of Bats: Discover Where They Live and Thrive – Etiquetado "backyard conservation" – Big Bat Box</t>
  </si>
  <si>
    <t xml:space="preserve">WildYard Learn | Big Bat Box Blog – Tag utilizzati "garden pollinators"</t>
  </si>
  <si>
    <t xml:space="preserve">Habitat of Bats: Discover Where They Live and Thrive – Étiqueter "bat friendly backyard" – Big Bat Box</t>
  </si>
  <si>
    <t xml:space="preserve">Backyard Birds: Feeding Guides, Species &amp; Habitat | WildYard – Markiert "woodpeckers" – Big Bat Box</t>
  </si>
  <si>
    <t xml:space="preserve">Habitat of Bats: Discover Where They Live and Thrive – Étiqueter "bat house colors" – Big Bat Box</t>
  </si>
  <si>
    <t xml:space="preserve">Types of Squirrels: Discover Their Habitats &amp; Behaviors – Etiquetado "squirrel nesting box" – Big Bat Box</t>
  </si>
  <si>
    <t xml:space="preserve">Fun Facts About Owls: Their Mysteries and Habits Unveiled – Markiert "owl calls" – Big Bat Box</t>
  </si>
  <si>
    <t xml:space="preserve">Bee Species Guide: Discover Their Vital Role in Nature – Markiert "Bees Diet" – Big Bat Box</t>
  </si>
  <si>
    <t xml:space="preserve">https://www.bigbatbox.com/de/blogs/habitat-of-bats/found-a-bat-in-the-house-in-winter-help-them-survive</t>
  </si>
  <si>
    <t xml:space="preserve">IM WINTER EINE FLEDERMAUS IM HAUS GEFUNDEN? – HELFEN SIE IHNEN ZU ÜBERLEBEN! – Big Bat Box</t>
  </si>
  <si>
    <t xml:space="preserve">Bee Species Guide: Discover Their Vital Role in Nature – Etiquetado "bee habitat FAQ" – Big Bat Box</t>
  </si>
  <si>
    <t xml:space="preserve">Habitat of Bats: Discover Where They Live and Thrive – Étiqueter "backyard eco tips" – Big Bat Box</t>
  </si>
  <si>
    <t xml:space="preserve">Bee Species Guide: Discover Their Vital Role in Nature – Tagged "Bees Diet" – Big Bat Box</t>
  </si>
  <si>
    <t xml:space="preserve">Habitat of Bats: Discover Where They Live and Thrive – Etiquetado "Wildyard bat house guide" – Big Bat Box</t>
  </si>
  <si>
    <t xml:space="preserve">Bee Species Guide: Discover Their Vital Role in Nature – Página 2 – Big Bat Box</t>
  </si>
  <si>
    <t xml:space="preserve">Habitat of Bats: Discover Where They Live and Thrive – Markiert "bats near home" – Big Bat Box</t>
  </si>
  <si>
    <t xml:space="preserve">Habitat of Bats: Discover Where They Live and Thrive – Tag utilizzati "bat diet" – Big Bat Box</t>
  </si>
  <si>
    <t xml:space="preserve">Habitat of Bats: Discover Where They Live and Thrive – Tag utilizzati "help bats at home" – Big Bat Box</t>
  </si>
  <si>
    <t xml:space="preserve">Fun Facts About Owls: Their Mysteries and Habits Unveiled – Tagged "Owl Safety" – Big Bat Box</t>
  </si>
  <si>
    <t xml:space="preserve">Habitat of Bats: Discover Where They Live and Thrive – Tag utilizzati "Ecosystem" – Big Bat Box</t>
  </si>
  <si>
    <t xml:space="preserve">Habitat of Bats: Discover Where They Live and Thrive – Etiquetado "wildlife habitat" – Big Bat Box</t>
  </si>
  <si>
    <t xml:space="preserve">Fun Facts About Owls: Their Mysteries and Habits Unveiled – Etiquetado "owls" – Big Bat Box</t>
  </si>
  <si>
    <t xml:space="preserve">Fun Facts About Owls: Their Mysteries and Habits Unveiled – Tag utilizzati "owl hooting" – Big Bat Box</t>
  </si>
  <si>
    <t xml:space="preserve">Habitat of Bats: Discover Where They Live and Thrive – Etiquetado "winter wildlife" – Big Bat Box</t>
  </si>
  <si>
    <t xml:space="preserve">Habitat of Bats: Discover Where They Live and Thrive – Étiqueter "bat box placement" – Big Bat Box</t>
  </si>
  <si>
    <t xml:space="preserve">Fun Facts About Owls: Their Mysteries and Habits Unveiled – Tag utilizzati "Owl Box FAQ" – Big Bat Box</t>
  </si>
  <si>
    <t xml:space="preserve">Habitat of Bats: Discover Where They Live and Thrive – Tag utilizzati "DIY Bat House" – Big Bat Box</t>
  </si>
  <si>
    <t xml:space="preserve">Types of Squirrels: Discover Their Habitats &amp; Behaviors – Étiqueter "squirrel house feeder" – Big Bat Box</t>
  </si>
  <si>
    <t xml:space="preserve">Backyard Birds: Feeding Guides, Species &amp; Habitat | WildYard – Tag utilizzati "suet feeder" – Big Bat Box</t>
  </si>
  <si>
    <t xml:space="preserve">Habitat of Bats: Discover Where They Live and Thrive – Tag utilizzati "sustainable bat boxes" – Big Bat Box</t>
  </si>
  <si>
    <t xml:space="preserve">Types of Squirrels: Discover Their Habitats &amp; Behaviors – Tagged "wildlife behavior" – Big Bat Box</t>
  </si>
  <si>
    <t xml:space="preserve">Habitat of Bats: Discover Where They Live and Thrive – Etiquetado "attract bats to yard" – Big Bat Box</t>
  </si>
  <si>
    <t xml:space="preserve">Habitat of Bats: Discover Where They Live and Thrive – Tag utilizzati "south facing bat house" – Big Bat Box</t>
  </si>
  <si>
    <t xml:space="preserve">Habitat of Bats: Discover Where They Live and Thrive – Markiert "bat house direction" – Big Bat Box</t>
  </si>
  <si>
    <t xml:space="preserve">Types of Squirrels: Discover Their Habitats &amp; Behaviors – Tag utilizzati "nest box maintenance" – Big Bat Box</t>
  </si>
  <si>
    <t xml:space="preserve">Habitat of Bats: Discover Where They Live and Thrive – Tag utilizzati "wildlife bat box guide" – Big Bat Box</t>
  </si>
  <si>
    <t xml:space="preserve">Habitat of Bats: Discover Where They Live and Thrive – Tag utilizzati "safe wildlife practices" – Big Bat Box</t>
  </si>
  <si>
    <t xml:space="preserve">Habitat of Bats: Discover Where They Live and Thrive – Étiqueter "bat safety" – Big Bat Box</t>
  </si>
  <si>
    <t xml:space="preserve">Habitat of Bats: Discover Where They Live and Thrive – Étiqueter "bat benefits" – Big Bat Box</t>
  </si>
  <si>
    <t xml:space="preserve">Backyard Birds: Feeding Guides, Species &amp; Habitat | WildYard – Étiqueter "bird feeding" – Big Bat Box</t>
  </si>
  <si>
    <t xml:space="preserve">Bee Species Guide: Discover Their Vital Role in Nature – Tag utilizzati "Bee Conservation" – Big Bat Box</t>
  </si>
  <si>
    <t xml:space="preserve">Habitat of Bats: Discover Where They Live and Thrive – Étiqueter "painted cedar bat house" – Big Bat Box</t>
  </si>
  <si>
    <t xml:space="preserve">Types of Squirrels: Discover Their Habitats &amp; Behaviors – Markiert "squirrel habitat" – Big Bat Box</t>
  </si>
  <si>
    <t xml:space="preserve">Habitat of Bats: Discover Where They Live and Thrive – Étiqueter "yard wildlife guide" – Big Bat Box</t>
  </si>
  <si>
    <t xml:space="preserve">Habitat of Bats: Discover Where They Live and Thrive – Etiquetado "backyard eco tips" – Big Bat Box</t>
  </si>
  <si>
    <t xml:space="preserve">Types of Squirrels: Discover Their Habitats &amp; Behaviors – Etiquetado "squirrels" – Big Bat Box</t>
  </si>
  <si>
    <t xml:space="preserve">Types of Squirrels: Discover Their Habitats &amp; Behaviors – Tag utilizzati "squirrel house feeder" – Big Bat Box</t>
  </si>
  <si>
    <t xml:space="preserve">Habitat of Bats: Discover Where They Live and Thrive – Etiquetado "pollinator friendly yard" – Big Bat Box</t>
  </si>
  <si>
    <t xml:space="preserve">Habitat of Bats: Discover Where They Live and Thrive – Tag utilizzati "insect control" – Big Bat Box</t>
  </si>
  <si>
    <t xml:space="preserve">Habitat of Bats: Discover Where They Live and Thrive – Markiert "bat house colors" – Big Bat Box</t>
  </si>
  <si>
    <t xml:space="preserve">Habitat of Bats: Discover Where They Live and Thrive – Étiqueter "BCI certified bat house" – Big Bat Box</t>
  </si>
  <si>
    <t xml:space="preserve">Habitat of Bats: Discover Where They Live and Thrive – Étiqueter "humane bat removal" – Big Bat Box</t>
  </si>
  <si>
    <t xml:space="preserve">Habitat of Bats: Discover Where They Live and Thrive – Tag utilizzati "cedar bat house" – Big Bat Box</t>
  </si>
  <si>
    <t xml:space="preserve">Habitat of Bats: Discover Where They Live and Thrive – Tagged "dark bat house benefits" – Big Bat Box</t>
  </si>
  <si>
    <t xml:space="preserve">Fun Facts About Owls: Their Mysteries and Habits Unveiled – Etiquetado "owl hooting" – Big Bat Box</t>
  </si>
  <si>
    <t xml:space="preserve">Bee Species Guide: Discover Their Vital Role in Nature – Étiqueter "Nature’s Architects" – Big Bat Box</t>
  </si>
  <si>
    <t xml:space="preserve">Bee Species Guide: Discover Their Vital Role in Nature – Etiquetado "Hive Behavior" – Big Bat Box</t>
  </si>
  <si>
    <t xml:space="preserve">Habitat of Bats: Discover Where They Live and Thrive – Étiqueter "DIY bat box" – Big Bat Box</t>
  </si>
  <si>
    <t xml:space="preserve">Habitat of Bats: Discover Where They Live and Thrive – Tag utilizzati "home pest control" – Big Bat Box</t>
  </si>
  <si>
    <t xml:space="preserve">Habitat of Bats: Discover Where They Live and Thrive – Etiquetado "bat house USA climate" – Big Bat Box</t>
  </si>
  <si>
    <t xml:space="preserve">Habitat of Bats: Discover Where They Live and Thrive – Markiert "bat habitat" – Big Bat Box</t>
  </si>
  <si>
    <t xml:space="preserve">Habitat of Bats: Discover Where They Live and Thrive – Markiert "bat in the house in winter" – Big Bat Box</t>
  </si>
  <si>
    <t xml:space="preserve">Fun Facts About Owls: Their Mysteries and Habits Unveiled – Markiert "barn owl" – Big Bat Box</t>
  </si>
  <si>
    <t xml:space="preserve">Habitat of Bats: Discover Where They Live and Thrive – Etiquetado "bat roosting guide" – Big Bat Box</t>
  </si>
  <si>
    <t xml:space="preserve">Habitat of Bats: Discover Where They Live and Thrive – Markiert "are bats dangerous" – Big Bat Box</t>
  </si>
  <si>
    <t xml:space="preserve">Habitat of Bats: Discover Where They Live and Thrive – Tagged "tall bat house design" – Big Bat Box</t>
  </si>
  <si>
    <t xml:space="preserve">Fun Facts About Owls: Their Mysteries and Habits Unveiled – Étiqueter "backyard wildlife" – Big Bat Box</t>
  </si>
  <si>
    <t xml:space="preserve">Backyard Birds: Feeding Guides, Species &amp; Habitat | WildYard – Tagged "backyard birds" – Big Bat Box</t>
  </si>
  <si>
    <t xml:space="preserve">Habitat of Bats: Discover Where They Live and Thrive – Étiqueter "backyard wildlife" – Big Bat Box</t>
  </si>
  <si>
    <t xml:space="preserve">Habitat of Bats: Discover Where They Live and Thrive – Étiqueter "safe wildlife practices" – Big Bat Box</t>
  </si>
  <si>
    <t xml:space="preserve">Habitat of Bats: Discover Where They Live and Thrive – Étiqueter "2026 trends" – Big Bat Box</t>
  </si>
  <si>
    <t xml:space="preserve">Habitat of Bats: Discover Where They Live and Thrive – Tag utilizzati "bat box guide" – Big Bat Box</t>
  </si>
  <si>
    <t xml:space="preserve">Bee Species Guide: Discover Their Vital Role in Nature – Markiert "Honey Making" – Big Bat Box</t>
  </si>
  <si>
    <t xml:space="preserve">Habitat of Bats: Discover Where They Live and Thrive – Étiqueter "are bats dangerous" – Big Bat Box</t>
  </si>
  <si>
    <t xml:space="preserve">Fun Facts About Owls: Their Mysteries and Habits Unveiled – Tag utilizzati "owl attraction" – Big Bat Box</t>
  </si>
  <si>
    <t xml:space="preserve">Habitat of Bats: Discover Where They Live and Thrive – Etiquetado "vampire bats" – Big Bat Box</t>
  </si>
  <si>
    <t xml:space="preserve">Conservation &amp; Partners: WildYard &amp; 1% For The Planet – Tagged "1% for the Planet" – Big Bat Box</t>
  </si>
  <si>
    <t xml:space="preserve">Habitat of Bats: Discover Where They Live and Thrive – Tag utilizzati "mosquito reduction with bats" – Big Bat Box</t>
  </si>
  <si>
    <t xml:space="preserve">Fun Facts About Owls: Their Mysteries and Habits Unveiled – Tag utilizzati "wildlife conservation" – Big Bat Box</t>
  </si>
  <si>
    <t xml:space="preserve">Fun Facts About Owls: Their Mysteries and Habits Unveiled – Étiqueter "owl behavior" – Big Bat Box</t>
  </si>
  <si>
    <t xml:space="preserve">Habitat of Bats: Discover Where They Live and Thrive – Étiqueter "winter wildlife" – Big Bat Box</t>
  </si>
  <si>
    <t xml:space="preserve">Types of Squirrels: Discover Their Habitats &amp; Behaviors – Tag utilizzati "squirrels" – Big Bat Box</t>
  </si>
  <si>
    <t xml:space="preserve">Habitat of Bats: Discover Where They Live and Thrive – Etiquetado "wildlife conservation" – Big Bat Box</t>
  </si>
  <si>
    <t xml:space="preserve">Bee Species Guide: Discover Their Vital Role in Nature – Tag utilizzati "Bumblebees" – Big Bat Box</t>
  </si>
  <si>
    <t xml:space="preserve">Habitat of Bats: Discover Where They Live and Thrive – Markiert "home conservation tips" – Big Bat Box</t>
  </si>
  <si>
    <t xml:space="preserve">Habitat of Bats: Discover Where They Live and Thrive – Tag utilizzati "bat house installation" – Big Bat Box</t>
  </si>
  <si>
    <t xml:space="preserve">Habitat of Bats: Discover Where They Live and Thrive – Tag utilizzati "eco-friendly pest solutions" – Big Bat Box</t>
  </si>
  <si>
    <t xml:space="preserve">Bee Species Guide: Discover Their Vital Role in Nature – Tag utilizzati "Bee Houses" – Big Bat Box</t>
  </si>
  <si>
    <t xml:space="preserve">Habitat of Bats: Discover Where They Live and Thrive – Etiquetado "bat diet" – Big Bat Box</t>
  </si>
  <si>
    <t xml:space="preserve">Habitat of Bats: Discover Where They Live and Thrive – Tagged "natural pest control" – Big Bat Box</t>
  </si>
  <si>
    <t xml:space="preserve">Fun Facts About Owls: Their Mysteries and Habits Unveiled – Tag utilizzati "Screech Owl Box" – Big Bat Box</t>
  </si>
  <si>
    <t xml:space="preserve">Types of Squirrels: Discover Their Habitats &amp; Behaviors – Tag utilizzati "backyard wildlife" – Big Bat Box</t>
  </si>
  <si>
    <t xml:space="preserve">Habitat of Bats: Discover Where They Live and Thrive – Étiqueter "mammal facts" – Big Bat Box</t>
  </si>
  <si>
    <t xml:space="preserve">Bee Species Guide: Discover Their Vital Role in Nature – Tagged "Bees Pollination" – Big Bat Box</t>
  </si>
  <si>
    <t xml:space="preserve">Habitat of Bats: Discover Where They Live and Thrive – Tag utilizzati "bat house temperature" – Big Bat Box</t>
  </si>
  <si>
    <t xml:space="preserve">Bee Species Guide: Discover Their Vital Role in Nature – Étiqueter "Solitary Bees" – Big Bat Box</t>
  </si>
  <si>
    <t xml:space="preserve">Habitat of Bats: Discover Where They Live and Thrive – Étiqueter "mosquito reduction with bats" – Big Bat Box</t>
  </si>
  <si>
    <t xml:space="preserve">Habitat of Bats: Discover Where They Live and Thrive – Tag utilizzati "microbats" – Big Bat Box</t>
  </si>
  <si>
    <t xml:space="preserve">Types of Squirrels: Discover Their Habitats &amp; Behaviors – Etiquetado "winter wildlife" – Big Bat Box</t>
  </si>
  <si>
    <t xml:space="preserve">Habitat of Bats: Discover Where They Live and Thrive – Tag utilizzati "wildlife-friendly home" – Big Bat Box</t>
  </si>
  <si>
    <t xml:space="preserve">Fun Facts About Owls: Their Mysteries and Habits Unveiled – Étiqueter "Owl Safety" – Big Bat Box</t>
  </si>
  <si>
    <t xml:space="preserve">Backyard Birds: Feeding Guides, Species &amp; Habitat | WildYard – Etiquetado "suet for birds" – Big Bat Box</t>
  </si>
  <si>
    <t xml:space="preserve">Habitat of Bats: Discover Where They Live and Thrive – Tagged "bat house tips" – Big Bat Box</t>
  </si>
  <si>
    <t xml:space="preserve">https://www.bigbatbox.com/de/products/bat-barn-junior-black</t>
  </si>
  <si>
    <t xml:space="preserve">Backyard Birds: Feeding Guides, Species &amp; Habitat | WildYard – Etiquetado "woodpeckers" – Big Bat Box</t>
  </si>
  <si>
    <t xml:space="preserve">Bee Species Guide: Discover Their Vital Role in Nature – Étiqueter "Bees Pollination" – Big Bat Box</t>
  </si>
  <si>
    <t xml:space="preserve">Bee Species Guide: Discover Their Vital Role in Nature – Étiqueter "bee house" – Big Bat Box</t>
  </si>
  <si>
    <t xml:space="preserve">Habitat of Bats: Discover Where They Live and Thrive – Etiquetado "best bat house placement" – Big Bat Box</t>
  </si>
  <si>
    <t xml:space="preserve">Fun Facts About Owls: Their Mysteries and Habits Unveiled – Etiquetado "snowy owl" – Big Bat Box</t>
  </si>
  <si>
    <t xml:space="preserve">Habitat of Bats: Discover Where They Live and Thrive – Tag utilizzati "water for bats" – Big Bat Box</t>
  </si>
  <si>
    <t xml:space="preserve">Habitat of Bats: Discover Where They Live and Thrive – Tag utilizzati "Bat house" – Big Bat Box</t>
  </si>
  <si>
    <t xml:space="preserve">Habitat of Bats: Discover Where They Live and Thrive – Etiquetado "DIY bat box" – Big Bat Box</t>
  </si>
  <si>
    <t xml:space="preserve">Bee Species Guide: Discover Their Vital Role in Nature – Tagged "Honey Bees" – Big Bat Box</t>
  </si>
  <si>
    <t xml:space="preserve">Types of Squirrels: Discover Their Habitats &amp; Behaviors – Étiqueter "squirrel nesting box" – Big Bat Box</t>
  </si>
  <si>
    <t xml:space="preserve">Bee Species Guide: Discover Their Vital Role in Nature – Tag utilizzati "backyard wildlife" – Big Bat Box</t>
  </si>
  <si>
    <t xml:space="preserve">Bee Species Guide: Discover Their Vital Role in Nature – Etiquetado "Pollinator Nutrition" – Big Bat Box</t>
  </si>
  <si>
    <t xml:space="preserve">Types of Squirrels: Discover Their Habitats &amp; Behaviors – Etiquetado "cedar habitat" – Big Bat Box</t>
  </si>
  <si>
    <t xml:space="preserve">Habitat of Bats: Discover Where They Live and Thrive – Pagina 4 – Big Bat Box</t>
  </si>
  <si>
    <t xml:space="preserve">Habitat of Bats: Discover Where They Live and Thrive – Étiqueter "building and installing bat boxes" – Big Bat Box</t>
  </si>
  <si>
    <t xml:space="preserve">Fun Facts About Owls: Their Mysteries and Habits Unveiled – Tagged "bat and owl" – Big Bat Box</t>
  </si>
  <si>
    <t xml:space="preserve">Habitat of Bats: Discover Where They Live and Thrive – Markiert "guano" – Big Bat Box</t>
  </si>
  <si>
    <t xml:space="preserve">Habitat of Bats: Discover Where They Live and Thrive – Tag utilizzati "best bat boxes for mosquito control" – Big Bat Box</t>
  </si>
  <si>
    <t xml:space="preserve">Habitat of Bats: Discover Where They Live and Thrive – Étiqueter "bat conservation tips" – Big Bat Box</t>
  </si>
  <si>
    <t xml:space="preserve">Bee Species Guide: Discover Their Vital Role in Nature – Tagged "Solitary Bees" – Big Bat Box</t>
  </si>
  <si>
    <t xml:space="preserve">Habitat of Bats: Discover Where They Live and Thrive – Etiquetado "bat conservation tips" – Big Bat Box</t>
  </si>
  <si>
    <t xml:space="preserve">Habitat of Bats: Discover Where They Live and Thrive – Etiquetado "bat house pole" – Big Bat Box</t>
  </si>
  <si>
    <t xml:space="preserve">Bee Species Guide: Discover Their Vital Role in Nature – Pagina 2 – Big Bat Box</t>
  </si>
  <si>
    <t xml:space="preserve">Habitat of Bats: Discover Where They Live and Thrive – Tagged "bat house wall mount" – Big Bat Box</t>
  </si>
  <si>
    <t xml:space="preserve">https://www.bigbatbox.com/de/blogs/fun-facts-about-owls/are-owls-dangerous</t>
  </si>
  <si>
    <t xml:space="preserve">Habitat of Bats: Discover Where They Live and Thrive – Markiert "attract bats" – Big Bat Box</t>
  </si>
  <si>
    <t xml:space="preserve">Habitat of Bats: Discover Where They Live and Thrive – Tag utilizzati "multi chamber bat house" – Big Bat Box</t>
  </si>
  <si>
    <t xml:space="preserve">Habitat of Bats: Discover Where They Live and Thrive – Tagged "mammal facts" – Big Bat Box</t>
  </si>
  <si>
    <t xml:space="preserve">https://www.bigbatbox.com/de/blogs/habitat-of-bats/bat-box-placement-guide-how-to-get-it-right</t>
  </si>
  <si>
    <t xml:space="preserve">Platzierung von Fledermauskästen: Effektive Strategien für den Erfolg – Big Bat Box</t>
  </si>
  <si>
    <t xml:space="preserve">Bee Species Guide: Discover Their Vital Role in Nature – Étiqueter "bee habitat FAQ" – Big Bat Box</t>
  </si>
  <si>
    <t xml:space="preserve">Types of Squirrels: Discover Their Habitats &amp; Behaviors – Tag utilizzati "diy squirrel feeder" – Big Bat Box</t>
  </si>
  <si>
    <t xml:space="preserve">Habitat of Bats: Discover Where They Live and Thrive – Markiert "natural pest control" – Big Bat Box</t>
  </si>
  <si>
    <t xml:space="preserve">Habitat of Bats: Discover Where They Live and Thrive – Markiert "BigBatBox" – Big Bat Box</t>
  </si>
  <si>
    <t xml:space="preserve">Habitat of Bats: Discover Where They Live and Thrive – Tag utilizzati "bat house USA climate" – Big Bat Box</t>
  </si>
  <si>
    <t xml:space="preserve">Habitat of Bats: Discover Where They Live and Thrive – Markiert "bat diet" – Big Bat Box</t>
  </si>
  <si>
    <t xml:space="preserve">Habitat of Bats: Discover Where They Live and Thrive – Étiqueter "bat house pole" – Big Bat Box</t>
  </si>
  <si>
    <t xml:space="preserve">Habitat of Bats: Discover Where They Live and Thrive – Etiquetado "bat house installation" – Big Bat Box</t>
  </si>
  <si>
    <t xml:space="preserve">Types of Squirrels: Discover Their Habitats &amp; Behaviors – Tag utilizzati "winter wildlife" – Big Bat Box</t>
  </si>
  <si>
    <t xml:space="preserve">Fun Facts About Owls: Their Mysteries and Habits Unveiled – Markiert "Owl Safety" – Big Bat Box</t>
  </si>
  <si>
    <t xml:space="preserve">Habitat of Bats: Discover Where They Live and Thrive – Tagged "bat house temperature" – Big Bat Box</t>
  </si>
  <si>
    <t xml:space="preserve">https://www.bigbatbox.com/pages/wildyard-x-angry-birds-flowerpot-birdhouse-instructions</t>
  </si>
  <si>
    <t xml:space="preserve">Habitat of Bats: Discover Where They Live and Thrive – Markiert "bat houses for cold climates" – Big Bat Box</t>
  </si>
  <si>
    <t xml:space="preserve">Habitat of Bats: Discover Where They Live and Thrive – Tag utilizzati "painted cedar bat house" – Big Bat Box</t>
  </si>
  <si>
    <t xml:space="preserve">Types of Squirrels: Discover Their Habitats &amp; Behaviors – Markiert "squirrel house feeder" – Big Bat Box</t>
  </si>
  <si>
    <t xml:space="preserve">Habitat of Bats: Discover Where They Live and Thrive – Markiert "bat house wall mount" – Big Bat Box</t>
  </si>
  <si>
    <t xml:space="preserve">Fun Facts About Owls: Their Mysteries and Habits Unveiled – Tag utilizzati "bat and owl" – Big Bat Box</t>
  </si>
  <si>
    <t xml:space="preserve">Backyard Birds: Feeding Guides, Species &amp; Habitat | WildYard – Tag utilizzati "woodpeckers" – Big Bat Box</t>
  </si>
  <si>
    <t xml:space="preserve">Habitat of Bats: Discover Where They Live and Thrive – Etiquetado "bat safety" – Big Bat Box</t>
  </si>
  <si>
    <t xml:space="preserve">Types of Squirrels: Discover Their Habitats &amp; Behaviors – Etiquetado "habitat" – Big Bat Box</t>
  </si>
  <si>
    <t xml:space="preserve">Habitat of Bats: Discover Where They Live and Thrive – Tag utilizzati "bat roosting guide" – Big Bat Box</t>
  </si>
  <si>
    <t xml:space="preserve">Habitat of Bats: Discover Where They Live and Thrive – Markiert "three chamber bat box" – Big Bat Box</t>
  </si>
  <si>
    <t xml:space="preserve">Fun Facts About Owls: Their Mysteries and Habits Unveiled – Tag utilizzati "Owl Box" – Big Bat Box</t>
  </si>
  <si>
    <t xml:space="preserve">Habitat of Bats: Discover Where They Live and Thrive – Etiquetado "how to attract bats" – Big Bat Box</t>
  </si>
  <si>
    <t xml:space="preserve">Bee Species Guide: Discover Their Vital Role in Nature – Étiqueter "Bee Food Sources" – Big Bat Box</t>
  </si>
  <si>
    <t xml:space="preserve">Bee Species Guide: Discover Their Vital Role in Nature – Etiquetado "Bee Lifecycle" – Big Bat Box</t>
  </si>
  <si>
    <t xml:space="preserve">Bee Species Guide: Discover Their Vital Role in Nature – Tag utilizzati "Environmental Health" – Big Bat Box</t>
  </si>
  <si>
    <t xml:space="preserve">Types of Squirrels: Discover Their Habitats &amp; Behaviors – Markiert "squirrel feeder" – Big Bat Box</t>
  </si>
  <si>
    <t xml:space="preserve">Backyard Birds: Feeding Guides, Species &amp; Habitat | WildYard – Etiquetado "suet feeder" – Big Bat Box</t>
  </si>
  <si>
    <t xml:space="preserve">Habitat of Bats: Discover Where They Live and Thrive – Tagged "BigBatBox" – Big Bat Box</t>
  </si>
  <si>
    <t xml:space="preserve">Types of Squirrels: Discover Their Habitats &amp; Behaviors – Etiquetado "wildlife lifespan" – Big Bat Box</t>
  </si>
  <si>
    <t xml:space="preserve">Fun Facts About Owls: Their Mysteries and Habits Unveiled – Etiquetado "nocturnal animals" – Big Bat Box</t>
  </si>
  <si>
    <t xml:space="preserve">Habitat of Bats: Discover Where They Live and Thrive – Tagged "night wildlife support" – Big Bat Box</t>
  </si>
  <si>
    <t xml:space="preserve">Bee Species Guide: Discover Their Vital Role in Nature – Markiert "Bee Biology" – Big Bat Box</t>
  </si>
  <si>
    <t xml:space="preserve">Backyard Birds: Feeding Guides, Species &amp; Habitat | WildYard – Tag utilizzati "squirrels" – Big Bat Box</t>
  </si>
  <si>
    <t xml:space="preserve">Habitat of Bats: Discover Where They Live and Thrive – Étiqueter "insect control" – Big Bat Box</t>
  </si>
  <si>
    <t xml:space="preserve">Types of Squirrels: Discover Their Habitats &amp; Behaviors – Markiert "wildlife lifespan" – Big Bat Box</t>
  </si>
  <si>
    <t xml:space="preserve">Habitat of Bats: Discover Where They Live and Thrive – Tag utilizzati "best bat house setup" – Big Bat Box</t>
  </si>
  <si>
    <t xml:space="preserve">Types of Squirrels: Discover Their Habitats &amp; Behaviors – Markiert "wildlife guide" – Big Bat Box</t>
  </si>
  <si>
    <t xml:space="preserve">Habitat of Bats: Discover Where They Live and Thrive – Etiquetado "insect control naturally" – Big Bat Box</t>
  </si>
  <si>
    <t xml:space="preserve">Bee Species Guide: Discover Their Vital Role in Nature – Tagged "Wildlife" – Big Bat Box</t>
  </si>
  <si>
    <t xml:space="preserve">Habitat of Bats: Discover Where They Live and Thrive – Etiquetado "attract bats" – Big Bat Box</t>
  </si>
  <si>
    <t xml:space="preserve">Fun Facts About Owls: Their Mysteries and Habits Unveiled – Etiquetado "Night Sounds" – Big Bat Box</t>
  </si>
  <si>
    <t xml:space="preserve">Habitat of Bats: Discover Where They Live and Thrive – Markiert "night wildlife support" – Big Bat Box</t>
  </si>
  <si>
    <t xml:space="preserve">Habitat of Bats: Discover Where They Live and Thrive – Etiquetado "humane bat removal" – Big Bat Box</t>
  </si>
  <si>
    <t xml:space="preserve">Habitat of Bats: Discover Where They Live and Thrive – Étiqueter "bat proofing tips" – Big Bat Box</t>
  </si>
  <si>
    <t xml:space="preserve">Habitat of Bats: Discover Where They Live and Thrive – Tagged "bat friendly backyard" – Big Bat Box</t>
  </si>
  <si>
    <t xml:space="preserve">Types of Squirrels: Discover Their Habitats &amp; Behaviors – Etiquetado "squirrel behavior" – Big Bat Box</t>
  </si>
  <si>
    <t xml:space="preserve">Habitat of Bats: Discover Where They Live and Thrive – Tag utilizzati "bat house mosquito control" – Big Bat Box</t>
  </si>
  <si>
    <t xml:space="preserve">Fun Facts About Owls: Their Mysteries and Habits Unveiled – Etiquetado "owl boxes" – Big Bat Box</t>
  </si>
  <si>
    <t xml:space="preserve">Fun Facts About Owls: Their Mysteries and Habits Unveiled – Etiquetado "ecological balance" – Big Bat Box</t>
  </si>
  <si>
    <t xml:space="preserve">Habitat of Bats: Discover Where They Live and Thrive – Tag utilizzati "bat control" – Big Bat Box</t>
  </si>
  <si>
    <t xml:space="preserve">Backyard Birds: Feeding Guides, Species &amp; Habitat | WildYard – Tag utilizzati "no-melt suet" – Big Bat Box</t>
  </si>
  <si>
    <t xml:space="preserve">Habitat of Bats: Discover Where They Live and Thrive – Markiert "bat house mosquito control" – Big Bat Box</t>
  </si>
  <si>
    <t xml:space="preserve">Habitat of Bats: Discover Where They Live and Thrive – Étiqueter "cedar bat box" – Big Bat Box</t>
  </si>
  <si>
    <t xml:space="preserve">Backyard Birds: Feeding Guides, Species &amp; Habitat | WildYard – Etiquetado "seasonal feeding" – Big Bat Box</t>
  </si>
  <si>
    <t xml:space="preserve">Habitat of Bats: Discover Where They Live and Thrive – Étiqueter "two chamber bat box" – Big Bat Box</t>
  </si>
  <si>
    <t xml:space="preserve">Habitat of Bats: Discover Where They Live and Thrive – Étiqueter "DIY Bat House" – Big Bat Box</t>
  </si>
  <si>
    <t xml:space="preserve">Habitat of Bats: Discover Where They Live and Thrive – Markiert "Wildlife Management" – Big Bat Box</t>
  </si>
  <si>
    <t xml:space="preserve">Types of Squirrels: Discover Their Habitats &amp; Behaviors – Markiert "seasonal guide" – Big Bat Box</t>
  </si>
  <si>
    <t xml:space="preserve">Habitat of Bats: Discover Where They Live and Thrive – Etiquetado "sustainable bat boxes" – Big Bat Box</t>
  </si>
  <si>
    <t xml:space="preserve">Habitat of Bats: Discover Where They Live and Thrive – Tag utilizzati "bat roost guide" – Big Bat Box</t>
  </si>
  <si>
    <t xml:space="preserve">Habitat of Bats: Discover Where They Live and Thrive – Étiqueter "what do bats eat" – Big Bat Box</t>
  </si>
  <si>
    <t xml:space="preserve">Habitat of Bats: Discover Where They Live and Thrive – Tag utilizzati "bat box placement" – Big Bat Box</t>
  </si>
  <si>
    <t xml:space="preserve">Fun Facts About Owls: Their Mysteries and Habits Unveiled – Tag utilizzati "owls" – Big Bat Box</t>
  </si>
  <si>
    <t xml:space="preserve">Habitat of Bats: Discover Where They Live and Thrive – Etiquetado "bat house for cold climates" – Big Bat Box</t>
  </si>
  <si>
    <t xml:space="preserve">Habitat of Bats: Discover Where They Live and Thrive – Markiert "bat house distance from trees" – Big Bat Box</t>
  </si>
  <si>
    <t xml:space="preserve">Types of Squirrels: Discover Their Habitats &amp; Behaviors – Étiqueter "seasonal guide" – Big Bat Box</t>
  </si>
  <si>
    <t xml:space="preserve">Types of Squirrels: Discover Their Habitats &amp; Behaviors – Markiert "squirrel house" – Big Bat Box</t>
  </si>
  <si>
    <t xml:space="preserve">Bee Species Guide: Discover Their Vital Role in Nature – Tag utilizzati "bee identification" – Big Bat Box</t>
  </si>
  <si>
    <t xml:space="preserve">Fun Facts About Owls: Their Mysteries and Habits Unveiled – Tag utilizzati "predators" – Big Bat Box</t>
  </si>
  <si>
    <t xml:space="preserve">Habitat of Bats: Discover Where They Live and Thrive – Tagged "bat conservation" – Big Bat Box</t>
  </si>
  <si>
    <t xml:space="preserve">Bee Species Guide: Discover Their Vital Role in Nature – Etiquetado "mason bees" – Big Bat Box</t>
  </si>
  <si>
    <t xml:space="preserve">Bee Species Guide: Discover Their Vital Role in Nature – Tag utilizzati "Ecosystem" – Big Bat Box</t>
  </si>
  <si>
    <t xml:space="preserve">Habitat of Bats: Discover Where They Live and Thrive – Étiqueter "best bat house placement" – Big Bat Box</t>
  </si>
  <si>
    <t xml:space="preserve">Fun Facts About Owls: Their Mysteries and Habits Unveiled – Etiquetado "owl attraction" – Big Bat Box</t>
  </si>
  <si>
    <t xml:space="preserve">Habitat of Bats: Discover Where They Live and Thrive – Étiqueter "bat house USA climate" – Big Bat Box</t>
  </si>
  <si>
    <t xml:space="preserve">https://www.bigbatbox.com/blogs/conservation-partners/wildyard-bird-conservancy-of-the-rockies-partnership</t>
  </si>
  <si>
    <t xml:space="preserve">Backyard Birds: Feeding Guides, Species &amp; Habitat | WildYard – Tag utilizzati "backyard birds" – Big Bat Box</t>
  </si>
  <si>
    <t xml:space="preserve">Habitat of Bats: Discover Where They Live and Thrive – Tagged "sustainable bat boxes" – Big Bat Box</t>
  </si>
  <si>
    <t xml:space="preserve">Habitat of Bats: Discover Where They Live and Thrive – Tag utilizzati "bat house height" – Big Bat Box</t>
  </si>
  <si>
    <t xml:space="preserve">Types of Squirrels: Discover Their Habitats &amp; Behaviors – Tag utilizzati "seasonal guide" – Big Bat Box</t>
  </si>
  <si>
    <t xml:space="preserve">Types of Squirrels: Discover Their Habitats &amp; Behaviors – Étiqueter "squirrel care" – Big Bat Box</t>
  </si>
  <si>
    <t xml:space="preserve">Habitat of Bats: Discover Where They Live and Thrive – Étiqueter "bat roosting guide" – Big Bat Box</t>
  </si>
  <si>
    <t xml:space="preserve">Types of Squirrels: Discover Their Habitats &amp; Behaviors – Tag utilizzati "WildYard" – Big Bat Box</t>
  </si>
  <si>
    <t xml:space="preserve">Habitat of Bats: Discover Where They Live and Thrive – Étiqueter "Wildlife Management" – Big Bat Box</t>
  </si>
  <si>
    <t xml:space="preserve">Bee Species Guide: Discover Their Vital Role in Nature – Tag utilizzati "Pollinator Nutrition" – Big Bat Box</t>
  </si>
  <si>
    <t xml:space="preserve">WildYard Learn | Big Bat Box Blog – Tag utilizzati "Wildlife Maintenance"</t>
  </si>
  <si>
    <t xml:space="preserve">Habitat of Bats: Discover Where They Live and Thrive – Etiquetado "are bats dangerous" – Big Bat Box</t>
  </si>
  <si>
    <t xml:space="preserve">Habitat of Bats: Discover Where They Live and Thrive – Tag utilizzati "natural pest control" – Big Bat Box</t>
  </si>
  <si>
    <t xml:space="preserve">Habitat of Bats: Discover Where They Live and Thrive – Tag utilizzati "wildlife conservation" – Big Bat Box</t>
  </si>
  <si>
    <t xml:space="preserve">Types of Squirrels: Discover Their Habitats &amp; Behaviors – Étiqueter "backyard wildlife" – Big Bat Box</t>
  </si>
  <si>
    <t xml:space="preserve">Habitat of Bats: Discover Where They Live and Thrive – Etiquetado "multi chamber bat house" – Big Bat Box</t>
  </si>
  <si>
    <t xml:space="preserve">Fun Facts About Owls: Their Mysteries and Habits Unveiled – Tag utilizzati "Barn Owl Box" – Big Bat Box</t>
  </si>
  <si>
    <t xml:space="preserve">Habitat of Bats: Discover Where They Live and Thrive – Tag utilizzati "bat houses for cold climates" – Big Bat Box</t>
  </si>
  <si>
    <t xml:space="preserve">Habitat of Bats: Discover Where They Live and Thrive – Markiert "water for bats" – Big Bat Box</t>
  </si>
  <si>
    <t xml:space="preserve">Habitat of Bats: Discover Where They Live and Thrive – Etiquetado "cedar bat box" – Big Bat Box</t>
  </si>
  <si>
    <t xml:space="preserve">Habitat of Bats: Discover Where They Live and Thrive – Étiqueter "bat habitat" – Big Bat Box</t>
  </si>
  <si>
    <t xml:space="preserve">Bee Species Guide: Discover Their Vital Role in Nature – Tag utilizzati "Fun Facts About Bees" – Big Bat Box</t>
  </si>
  <si>
    <t xml:space="preserve">Types of Squirrels: Discover Their Habitats &amp; Behaviors – Markiert "backyard wildlife" – Big Bat Box</t>
  </si>
  <si>
    <t xml:space="preserve">Fun Facts About Owls: Their Mysteries and Habits Unveiled – Etiquetado "wildlife lifespan" – Big Bat Box</t>
  </si>
  <si>
    <t xml:space="preserve">Habitat of Bats: Discover Where They Live and Thrive – Etiquetado "sustainable gardens" – Big Bat Box</t>
  </si>
  <si>
    <t xml:space="preserve">Habitat of Bats: Discover Where They Live and Thrive – Markiert "bat proofing tips" – Big Bat Box</t>
  </si>
  <si>
    <t xml:space="preserve">Fun Facts About Owls: Their Mysteries and Habits Unveiled – Étiqueter "snowy owl" – Big Bat Box</t>
  </si>
  <si>
    <t xml:space="preserve">Fun Facts About Owls: Their Mysteries and Habits Unveiled – Etiquetado "Pet Safety" – Big Bat Box</t>
  </si>
  <si>
    <t xml:space="preserve">Habitat of Bats: Discover Where They Live and Thrive – Etiquetado "bat house advice" – Big Bat Box</t>
  </si>
  <si>
    <t xml:space="preserve">Backyard Birds: Feeding Guides, Species &amp; Habitat | WildYard – Etiquetado "squirrels" – Big Bat Box</t>
  </si>
  <si>
    <t xml:space="preserve">Habitat of Bats: Discover Where They Live and Thrive – Étiqueter "bat facts" – Big Bat Box</t>
  </si>
  <si>
    <t xml:space="preserve">Fun Facts About Owls: Their Mysteries and Habits Unveiled – Tag utilizzati "ecological balance" – Big Bat Box</t>
  </si>
  <si>
    <t xml:space="preserve">Backyard Birds: Feeding Guides, Species &amp; Habitat | WildYard – Étiqueter "hot pepper suet" – Big Bat Box</t>
  </si>
  <si>
    <t xml:space="preserve">Bee Species Guide: Discover Their Vital Role in Nature – Tag utilizzati "Pollination Process" – Big Bat Box</t>
  </si>
  <si>
    <t xml:space="preserve">Habitat of Bats: Discover Where They Live and Thrive – Étiqueter "bats near home" – Big Bat Box</t>
  </si>
  <si>
    <t xml:space="preserve">Backyard Birds: Feeding Guides, Species &amp; Habitat | WildYard – Markiert "clinging birds" – Big Bat Box</t>
  </si>
  <si>
    <t xml:space="preserve">Habitat of Bats: Discover Where They Live and Thrive – Markiert "sustainable gardens" – Big Bat Box</t>
  </si>
  <si>
    <t xml:space="preserve">Fun Facts About Owls: Their Mysteries and Habits Unveiled – Tag utilizzati "Owl Sounds" – Big Bat Box</t>
  </si>
  <si>
    <t xml:space="preserve">Fun Facts About Owls: Their Mysteries and Habits Unveiled – Markiert "wildlife habitats" – Big Bat Box</t>
  </si>
  <si>
    <t xml:space="preserve">Habitat of Bats: Discover Where They Live and Thrive – Etiquetado "bat ecology at home" – Big Bat Box</t>
  </si>
  <si>
    <t xml:space="preserve">Conservation &amp; Partners: WildYard &amp; 1% For The Planet – Markiert "birds" – Big Bat Box</t>
  </si>
  <si>
    <t xml:space="preserve">Habitat of Bats: Discover Where They Live and Thrive – Étiqueter "bat house mosquito control" – Big Bat Box</t>
  </si>
  <si>
    <t xml:space="preserve">Types of Squirrels: Discover Their Habitats &amp; Behaviors – Etiquetado "squirrel feeder ideas" – Big Bat Box</t>
  </si>
  <si>
    <t xml:space="preserve">Habitat of Bats: Discover Where They Live and Thrive – Etiquetado "water for bats" – Big Bat Box</t>
  </si>
  <si>
    <t xml:space="preserve">Fun Facts About Owls: Their Mysteries and Habits Unveiled – Markiert "predators" – Big Bat Box</t>
  </si>
  <si>
    <t xml:space="preserve">Types of Squirrels: Discover Their Habitats &amp; Behaviors – Tagged "wildlife feeding" – Big Bat Box</t>
  </si>
  <si>
    <t xml:space="preserve">Fun Facts About Owls: Their Mysteries and Habits Unveiled – Étiqueter "bird habitats" – Big Bat Box</t>
  </si>
  <si>
    <t xml:space="preserve">Habitat of Bats: Discover Where They Live and Thrive – Markiert "wildlife habitat" – Big Bat Box</t>
  </si>
  <si>
    <t xml:space="preserve">Habitat of Bats: Discover Where They Live and Thrive – Markiert "bat hibernation" – Big Bat Box</t>
  </si>
  <si>
    <t xml:space="preserve">Habitat of Bats: Discover Where They Live and Thrive – Tag utilizzati "bat housebat conservation" – Big Bat Box</t>
  </si>
  <si>
    <t xml:space="preserve">Habitat of Bats: Discover Where They Live and Thrive – Etiquetado "bat habitat" – Big Bat Box</t>
  </si>
  <si>
    <t xml:space="preserve">Bee Species Guide: Discover Their Vital Role in Nature – Tag utilizzati "Biodiversity" – Big Bat Box</t>
  </si>
  <si>
    <t xml:space="preserve">Habitat of Bats: Discover Where They Live and Thrive – Etiquetado "Wildyard bat houses" – Big Bat Box</t>
  </si>
  <si>
    <t xml:space="preserve">Habitat of Bats: Discover Where They Live and Thrive – Markiert "Bats as Pollinators" – Big Bat Box</t>
  </si>
  <si>
    <t xml:space="preserve">Fun Facts About Owls: Their Mysteries and Habits Unveiled – Tagged "owl hooting" – Big Bat Box</t>
  </si>
  <si>
    <t xml:space="preserve">Bee Species Guide: Discover Their Vital Role in Nature – Markiert "leafcutter bees" – Big Bat Box</t>
  </si>
  <si>
    <t xml:space="preserve">Fun Facts About Owls: Their Mysteries and Habits Unveiled – Tag utilizzati "owl calls" – Big Bat Box</t>
  </si>
  <si>
    <t xml:space="preserve">Conservation &amp; Partners: WildYard &amp; 1% For The Planet – Etiquetado "1% for the Planet" – Big Bat Box</t>
  </si>
  <si>
    <t xml:space="preserve">Habitat of Bats: Discover Where They Live and Thrive – Étiqueter "bat conservation guide" – Big Bat Box</t>
  </si>
  <si>
    <t xml:space="preserve">Fun Facts About Owls: Their Mysteries and Habits Unveiled – Étiqueter "great horned owl" – Big Bat Box</t>
  </si>
  <si>
    <t xml:space="preserve">Habitat of Bats: Discover Where They Live and Thrive – Tagged "bat roosting guide" – Big Bat Box</t>
  </si>
  <si>
    <t xml:space="preserve">Types of Squirrels: Discover Their Habitats &amp; Behaviors – Tag utilizzati "wildlife guide" – Big Bat Box</t>
  </si>
  <si>
    <t xml:space="preserve">Habitat of Bats: Discover Where They Live and Thrive – Etiquetado "best bat houses for cold states" – Big Bat Box</t>
  </si>
  <si>
    <t xml:space="preserve">Bee Species Guide: Discover Their Vital Role in Nature – Markiert "bee habitat FAQ" – Big Bat Box</t>
  </si>
  <si>
    <t xml:space="preserve">Bee Species Guide: Discover Their Vital Role in Nature – Markiert "Pollinator Nutrition" – Big Bat Box</t>
  </si>
  <si>
    <t xml:space="preserve">Habitat of Bats: Discover Where They Live and Thrive – Seite 2 – Big Bat Box</t>
  </si>
  <si>
    <t xml:space="preserve">Habitat of Bats: Discover Where They Live and Thrive – Étiqueter "bat diet" – Big Bat Box</t>
  </si>
  <si>
    <t xml:space="preserve">Habitat of Bats: Discover Where They Live and Thrive – Tagged "best bat boxes for mosquito control" – Big Bat Box</t>
  </si>
  <si>
    <t xml:space="preserve">Bee Species Guide: Discover Their Vital Role in Nature – Etiquetado "Bumblebees" – Big Bat Box</t>
  </si>
  <si>
    <t xml:space="preserve">Fun Facts About Owls: Their Mysteries and Habits Unveiled – Etiquetado "great horned owl" – Big Bat Box</t>
  </si>
  <si>
    <t xml:space="preserve">Habitat of Bats: Discover Where They Live and Thrive – Markiert "insect control" – Big Bat Box</t>
  </si>
  <si>
    <t xml:space="preserve">Habitat of Bats: Discover Where They Live and Thrive – Étiqueter "wildlife-friendly home" – Big Bat Box</t>
  </si>
  <si>
    <t xml:space="preserve">Habitat of Bats: Discover Where They Live and Thrive – Tag utilizzati "get rid of bats" – Big Bat Box</t>
  </si>
  <si>
    <t xml:space="preserve">https://www.bigbatbox.com/de/pages/wildyard-x-angry-birds-flowerpot-birdhouse-instructions</t>
  </si>
  <si>
    <t xml:space="preserve">Habitat of Bats: Discover Where They Live and Thrive – Markiert "eco friendly bat house" – Big Bat Box</t>
  </si>
  <si>
    <t xml:space="preserve">Habitat of Bats: Discover Where They Live and Thrive – Étiqueter "bat house temperature" – Big Bat Box</t>
  </si>
  <si>
    <t xml:space="preserve">Bee Species Guide: Discover Their Vital Role in Nature – Etiquetado "Bees Diet" – Big Bat Box</t>
  </si>
  <si>
    <t xml:space="preserve">Fun Facts About Owls: Their Mysteries and Habits Unveiled – Etiquetado "Owl Sounds" – Big Bat Box</t>
  </si>
  <si>
    <t xml:space="preserve">Bee Species Guide: Discover Their Vital Role in Nature – Markiert "Hive Behavior" – Big Bat Box</t>
  </si>
  <si>
    <t xml:space="preserve">Habitat of Bats: Discover Where They Live and Thrive – Etiquetado "black bat house" – Big Bat Box</t>
  </si>
  <si>
    <t xml:space="preserve">Types of Squirrels: Discover Their Habitats &amp; Behaviors – Tag utilizzati "wildlife lifespan" – Big Bat Box</t>
  </si>
  <si>
    <t xml:space="preserve">Habitat of Bats: Discover Where They Live and Thrive – Markiert "bat house sun exposure" – Big Bat Box</t>
  </si>
  <si>
    <t xml:space="preserve">Habitat of Bats: Discover Where They Live and Thrive – Étiqueter "bat house placement guide" – Big Bat Box</t>
  </si>
  <si>
    <t xml:space="preserve">Habitat of Bats: Discover Where They Live and Thrive – Etiquetado "best bat houses" – Big Bat Box</t>
  </si>
  <si>
    <t xml:space="preserve">Types of Squirrels: Discover Their Habitats &amp; Behaviors – Etiquetado "buying guide" – Big Bat Box</t>
  </si>
  <si>
    <t xml:space="preserve">Backyard Birds: Feeding Guides, Species &amp; Habitat | WildYard – Tag utilizzati "hot pepper suet" – Big Bat Box</t>
  </si>
  <si>
    <t xml:space="preserve">Habitat of Bats: Discover Where They Live and Thrive – Etiquetado "backyard pest control" – Big Bat Box</t>
  </si>
  <si>
    <t xml:space="preserve">Habitat of Bats: Discover Where They Live and Thrive – Markiert "how to attract bats" – Big Bat Box</t>
  </si>
  <si>
    <t xml:space="preserve">Bee Species Guide: Discover Their Vital Role in Nature – Etiquetado "Bee Biology" – Big Bat Box</t>
  </si>
  <si>
    <t xml:space="preserve">Backyard Birds: Feeding Guides, Species &amp; Habitat | WildYard – Étiqueter "no-melt suet" – Big Bat Box</t>
  </si>
  <si>
    <t xml:space="preserve">Types of Squirrels: Discover Their Habitats &amp; Behaviors – Tag utilizzati "backyard habitat" – Big Bat Box</t>
  </si>
  <si>
    <t xml:space="preserve">Habitat of Bats: Discover Where They Live and Thrive – Étiqueter "bat conservation" – Big Bat Box</t>
  </si>
  <si>
    <t xml:space="preserve">Habitat of Bats: Discover Where They Live and Thrive – Étiqueter "mosquito controlbackyard wildlife" – Big Bat Box</t>
  </si>
  <si>
    <t xml:space="preserve">Habitat of Bats: Discover Where They Live and Thrive – Etiquetado "garden insect control" – Big Bat Box</t>
  </si>
  <si>
    <t xml:space="preserve">Habitat of Bats: Discover Where They Live and Thrive – Tag utilizzati "bat conservation tips" – Big Bat Box</t>
  </si>
  <si>
    <t xml:space="preserve">Habitat of Bats: Discover Where They Live and Thrive – Markiert "Ecosystem Guardians" – Big Bat Box</t>
  </si>
  <si>
    <t xml:space="preserve">Bee Species Guide: Discover Their Vital Role in Nature – Etiquetado "Bee Communication" – Big Bat Box</t>
  </si>
  <si>
    <t xml:space="preserve">Types of Squirrels: Discover Their Habitats &amp; Behaviors – Markiert "nest box maintenance" – Big Bat Box</t>
  </si>
  <si>
    <t xml:space="preserve">Habitat of Bats: Discover Where They Live and Thrive – Markiert "eco-friendly pest solutions" – Big Bat Box</t>
  </si>
  <si>
    <t xml:space="preserve">Bee Species Guide: Discover Their Vital Role in Nature – Étiqueter "mason bees" – Big Bat Box</t>
  </si>
  <si>
    <t xml:space="preserve">Habitat of Bats: Discover Where They Live and Thrive – Markiert "bat conservation guide" – Big Bat Box</t>
  </si>
  <si>
    <t xml:space="preserve">Habitat of Bats: Discover Where They Live and Thrive – Tag utilizzati "one chamber bat box" – Big Bat Box</t>
  </si>
  <si>
    <t xml:space="preserve">Habitat of Bats: Discover Where They Live and Thrive – Étiqueter "eco-friendly pest solutions" – Big Bat Box</t>
  </si>
  <si>
    <t xml:space="preserve">Bee Species Guide: Discover Their Vital Role in Nature – Étiqueter "Wildlife" – Big Bat Box</t>
  </si>
  <si>
    <t xml:space="preserve">Habitat of Bats: Discover Where They Live and Thrive – Markiert "mosquito controlbackyard wildlife" – Big Bat Box</t>
  </si>
  <si>
    <t xml:space="preserve">Bee Species Guide: Discover Their Vital Role in Nature – Tag utilizzati "Bees Pollination" – Big Bat Box</t>
  </si>
  <si>
    <t xml:space="preserve">Habitat of Bats: Discover Where They Live and Thrive – Tag utilizzati "protect bats" – Big Bat Box</t>
  </si>
  <si>
    <t xml:space="preserve">Types of Squirrels: Discover Their Habitats &amp; Behaviors – Tag utilizzati "wildlife feeding" – Big Bat Box</t>
  </si>
  <si>
    <t xml:space="preserve">Habitat of Bats: Discover Where They Live and Thrive – Página 4 – Big Bat Box</t>
  </si>
  <si>
    <t xml:space="preserve">Habitat of Bats: Discover Where They Live and Thrive – Etiquetado "protect bats" – Big Bat Box</t>
  </si>
  <si>
    <t xml:space="preserve">Bee Species Guide: Discover Their Vital Role in Nature – Tag utilizzati "Environmental Sustainability" – Big Bat Box</t>
  </si>
  <si>
    <t xml:space="preserve">Fun Facts About Owls: Their Mysteries and Habits Unveiled – Markiert "ecological balance" – Big Bat Box</t>
  </si>
  <si>
    <t xml:space="preserve">Habitat of Bats: Discover Where They Live and Thrive – Markiert "pollinator friendly yard" – Big Bat Box</t>
  </si>
  <si>
    <t xml:space="preserve">Habitat of Bats: Discover Where They Live and Thrive – Etiquetado "wildlife friendly backyard" – Big Bat Box</t>
  </si>
  <si>
    <t xml:space="preserve">Types of Squirrels: Discover Their Habitats &amp; Behaviors – Étiqueter "WildYard" – Big Bat Box</t>
  </si>
  <si>
    <t xml:space="preserve">Bee Species Guide: Discover Their Vital Role in Nature – Tag utilizzati "Bee Hotels" – Big Bat Box</t>
  </si>
  <si>
    <t xml:space="preserve">Habitat of Bats: Discover Where They Live and Thrive – Etiquetado "bat conservation guide" – Big Bat Box</t>
  </si>
  <si>
    <t xml:space="preserve">Habitat of Bats: Discover Where They Live and Thrive – Étiqueter "best bat house setup" – Big Bat Box</t>
  </si>
  <si>
    <t xml:space="preserve">Habitat of Bats: Discover Where They Live and Thrive – Markiert "sustainable bat boxes" – Big Bat Box</t>
  </si>
  <si>
    <t xml:space="preserve">Habitat of Bats: Discover Where They Live and Thrive – Tag utilizzati "eco-friendly bat shelter" – Big Bat Box</t>
  </si>
  <si>
    <t xml:space="preserve">Habitat of Bats: Discover Where They Live and Thrive – Markiert "backyard pest control" – Big Bat Box</t>
  </si>
  <si>
    <t xml:space="preserve">Bee Species Guide: Discover Their Vital Role in Nature – Tag utilizzati "Honey Bees" – Big Bat Box</t>
  </si>
  <si>
    <t xml:space="preserve">Habitat of Bats: Discover Where They Live and Thrive – Étiqueter "bat box sunlight requirements" – Big Bat Box</t>
  </si>
  <si>
    <t xml:space="preserve">Habitat of Bats: Discover Where They Live and Thrive – Markiert "backyard wildlife" – Big Bat Box</t>
  </si>
  <si>
    <t xml:space="preserve">Habitat of Bats: Discover Where They Live and Thrive – Étiqueter "south facing bat house" – Big Bat Box</t>
  </si>
  <si>
    <t xml:space="preserve">Conservation &amp; Partners: WildYard &amp; 1% For The Planet – Etiquetado "Conservation" – Big Bat Box</t>
  </si>
  <si>
    <t xml:space="preserve">Habitat of Bats: Discover Where They Live and Thrive – Tag utilizzati "pollinator friendly yard" – Big Bat Box</t>
  </si>
  <si>
    <t xml:space="preserve">Blog - Große Fledermausbox – Markiert "eco-friendly gardening" – Big Bat Box</t>
  </si>
  <si>
    <t xml:space="preserve">Habitat of Bats: Discover Where They Live and Thrive – Markiert "dark bat house benefits" – Big Bat Box</t>
  </si>
  <si>
    <t xml:space="preserve">Habitat of Bats: Discover Where They Live and Thrive – Étiqueter "garden insect control" – Big Bat Box</t>
  </si>
  <si>
    <t xml:space="preserve">Types of Squirrels: Discover Their Habitats &amp; Behaviors – Etiquetado "wildlife habitat" – Big Bat Box</t>
  </si>
  <si>
    <t xml:space="preserve">Fun Facts About Owls: Their Mysteries and Habits Unveiled – Étiqueter "owl calls" – Big Bat Box</t>
  </si>
  <si>
    <t xml:space="preserve">Habitat of Bats: Discover Where They Live and Thrive – Étiqueter "black bat house" – Big Bat Box</t>
  </si>
  <si>
    <t xml:space="preserve">Habitat of Bats: Discover Where They Live and Thrive – Markiert "mosquito control" – Big Bat Box</t>
  </si>
  <si>
    <t xml:space="preserve">Habitat of Bats: Discover Where They Live and Thrive – Tag utilizzati "bat house advice" – Big Bat Box</t>
  </si>
  <si>
    <t xml:space="preserve">Habitat of Bats: Discover Where They Live and Thrive – Markiert "bat friendly backyard" – Big Bat Box</t>
  </si>
  <si>
    <t xml:space="preserve">Habitat of Bats: Discover Where They Live and Thrive – Tag utilizzati "BigBatBox" – Big Bat Box</t>
  </si>
  <si>
    <t xml:space="preserve">Habitat of Bats: Discover Where They Live and Thrive – Etiquetado "wildlife bat box guide" – Big Bat Box</t>
  </si>
  <si>
    <t xml:space="preserve">Bat box e casetta pipistrelli: Guida installazione | WildYard – Big Bat Box</t>
  </si>
  <si>
    <t xml:space="preserve">Fun Facts About Owls: Their Mysteries and Habits Unveiled – Markiert "Owl Nest Box" – Big Bat Box</t>
  </si>
  <si>
    <t xml:space="preserve">Habitat of Bats: Discover Where They Live and Thrive – Tag utilizzati "DIY bat box" – Big Bat Box</t>
  </si>
  <si>
    <t xml:space="preserve">Habitat of Bats: Discover Where They Live and Thrive – Tag utilizzati "vampire bats" – Big Bat Box</t>
  </si>
  <si>
    <t xml:space="preserve">Types of Squirrels: Discover Their Habitats &amp; Behaviors – Markiert "WildYard" – Big Bat Box</t>
  </si>
  <si>
    <t xml:space="preserve">Habitat of Bats: Discover Where They Live and Thrive – Tag utilizzati "eco-friendly" – Big Bat Box</t>
  </si>
  <si>
    <t xml:space="preserve">Habitat of Bats: Discover Where They Live and Thrive – Etiquetado "bat species" – Big Bat Box</t>
  </si>
  <si>
    <t xml:space="preserve">Habitat of Bats: Discover Where They Live and Thrive – Etiquetado "best bat boxes for mosquito control" – Big Bat Box</t>
  </si>
  <si>
    <t xml:space="preserve">Habitat of Bats: Discover Where They Live and Thrive – Etiquetado "bat benefits" – Big Bat Box</t>
  </si>
  <si>
    <t xml:space="preserve">Types of Squirrels: Discover Their Habitats &amp; Behaviors – Tag utilizzati "cedar habitat" – Big Bat Box</t>
  </si>
  <si>
    <t xml:space="preserve">Bee Species Guide: Discover Their Vital Role in Nature – Tag utilizzati "Honey Production" – Big Bat Box</t>
  </si>
  <si>
    <t xml:space="preserve">Habitat of Bats: Discover Where They Live and Thrive – Etiquetado "bat house colors" – Big Bat Box</t>
  </si>
  <si>
    <t xml:space="preserve">Habitat of Bats: Discover Where They Live and Thrive – Etiquetado "bat conservation" – Big Bat Box</t>
  </si>
  <si>
    <t xml:space="preserve">Blog - Große Fledermausbox – Markiert "garden pollinators" – Big Bat Box</t>
  </si>
  <si>
    <t xml:space="preserve">Bee Species Guide: Discover Their Vital Role in Nature – Étiqueter "Hive Behavior" – Big Bat Box</t>
  </si>
  <si>
    <t xml:space="preserve">Habitat of Bats: Discover Where They Live and Thrive – Tagged "yard wildlife guide" – Big Bat Box</t>
  </si>
  <si>
    <t xml:space="preserve">Habitat of Bats: Discover Where They Live and Thrive – Etiquetado "eco-friendly pest solutions" – Big Bat Box</t>
  </si>
  <si>
    <t xml:space="preserve">https://www.bigbatbox.com/de/blogs/habitat-of-bats/best-bat-boxes-for-mosquito-control-simple-guide-real-example</t>
  </si>
  <si>
    <t xml:space="preserve">Leitfaden zu den besten Fledermauskästen zur Mückenbekämpfung – Big Bat Box</t>
  </si>
  <si>
    <t xml:space="preserve">Habitat of Bats: Discover Where They Live and Thrive – Tag utilizzati "bat removal" – Big Bat Box</t>
  </si>
  <si>
    <t xml:space="preserve">Habitat of Bats: Discover Where They Live and Thrive – Markiert "bat house installation" – Big Bat Box</t>
  </si>
  <si>
    <t xml:space="preserve">Habitat of Bats: Discover Where They Live and Thrive – Étiqueter "bat boxes" – Big Bat Box</t>
  </si>
  <si>
    <t xml:space="preserve">Habitat of Bats: Discover Where They Live and Thrive – Etiquetado "south facing bat house" – Big Bat Box</t>
  </si>
  <si>
    <t xml:space="preserve">Habitat of Bats: Discover Where They Live and Thrive – Tag utilizzati "best bat house placement" – Big Bat Box</t>
  </si>
  <si>
    <t xml:space="preserve">Habitat of Bats: Discover Where They Live and Thrive – Markiert "Wildyard bat house guide" – Big Bat Box</t>
  </si>
  <si>
    <t xml:space="preserve">Habitat of Bats: Discover Where They Live and Thrive – Tag utilizzati "natural mosquito control" – Big Bat Box</t>
  </si>
  <si>
    <t xml:space="preserve">Habitat of Bats: Discover Where They Live and Thrive – Étiqueter "how to attract bats" – Big Bat Box</t>
  </si>
  <si>
    <t xml:space="preserve">Habitat of Bats: Discover Where They Live and Thrive – Etiquetado "DIY Bat House" – Big Bat Box</t>
  </si>
  <si>
    <t xml:space="preserve">Habitat of Bats: Discover Where They Live and Thrive – Markiert "dark bat houses" – Big Bat Box</t>
  </si>
  <si>
    <t xml:space="preserve">Habitat of Bats: Discover Where They Live and Thrive – Tag utilizzati "Bats" – Big Bat Box</t>
  </si>
  <si>
    <t xml:space="preserve">Habitat of Bats: Discover Where They Live and Thrive – Étiqueter "USA bat house guide" – Big Bat Box</t>
  </si>
  <si>
    <t xml:space="preserve">Habitat of Bats: Discover Where They Live and Thrive – Tag utilizzati "bat friendly backyard" – Big Bat Box</t>
  </si>
  <si>
    <t xml:space="preserve">Habitat of Bats: Discover Where They Live and Thrive – Tag utilizzati "BCI certified bat house" – Big Bat Box</t>
  </si>
  <si>
    <t xml:space="preserve">Habitat of Bats: Discover Where They Live and Thrive – Étiqueter "bat house distance from trees" – Big Bat Box</t>
  </si>
  <si>
    <t xml:space="preserve">Bee Species Guide: Discover Their Vital Role in Nature – Etiquetado "bee house" – Big Bat Box</t>
  </si>
  <si>
    <t xml:space="preserve">Bee Species Guide: Discover Their Vital Role in Nature – Étiqueter "Honey Production" – Big Bat Box</t>
  </si>
  <si>
    <t xml:space="preserve">Bee Species Guide: Discover Their Vital Role in Nature – Etiquetado "Bees Pollination" – Big Bat Box</t>
  </si>
  <si>
    <t xml:space="preserve">Types of Squirrels: Discover Their Habitats &amp; Behaviors – Etiquetado "squirrel house feeder" – Big Bat Box</t>
  </si>
  <si>
    <t xml:space="preserve">Types of Squirrels: Discover Their Habitats &amp; Behaviors – Étiqueter "squirrel food" – Big Bat Box</t>
  </si>
  <si>
    <t xml:space="preserve">Fun Facts About Owls: Their Mysteries and Habits Unveiled – Étiqueter "Conservation" – Big Bat Box</t>
  </si>
  <si>
    <t xml:space="preserve">Types of Squirrels: Discover Their Habitats &amp; Behaviors – Markiert "buying guide" – Big Bat Box</t>
  </si>
  <si>
    <t xml:space="preserve">Fun Facts About Owls: Their Mysteries and Habits Unveiled – Etiquetado "Owl Facts" – Big Bat Box</t>
  </si>
  <si>
    <t xml:space="preserve">Bee Species Guide: Discover Their Vital Role in Nature – Étiqueter "Bee Facts" – Big Bat Box</t>
  </si>
  <si>
    <t xml:space="preserve">Fun Facts About Owls: Their Mysteries and Habits Unveiled – Tag utilizzati "Pet Safety" – Big Bat Box</t>
  </si>
  <si>
    <t xml:space="preserve">Bee Species Guide: Discover Their Vital Role in Nature – Étiqueter "Bee Communication" – Big Bat Box</t>
  </si>
  <si>
    <t xml:space="preserve">Habitat of Bats: Discover Where They Live and Thrive – Étiqueter "microbats" – Big Bat Box</t>
  </si>
  <si>
    <t xml:space="preserve">Habitat of Bats: Discover Where They Live and Thrive – Tag utilizzati "building and installing bat boxes" – Big Bat Box</t>
  </si>
  <si>
    <t xml:space="preserve">Habitat of Bats: Discover Where They Live and Thrive – Étiqueter "Bat Houses" – Big Bat Box</t>
  </si>
  <si>
    <t xml:space="preserve">Habitat of Bats: Discover Where They Live and Thrive – Markiert "bat house tips" – Big Bat Box</t>
  </si>
  <si>
    <t xml:space="preserve">Habitat of Bats: Discover Where They Live and Thrive – Étiqueter "eco-friendly" – Big Bat Box</t>
  </si>
  <si>
    <t xml:space="preserve">Bee Species Guide: Discover Their Vital Role in Nature – Markiert "Bee Facts" – Big Bat Box</t>
  </si>
  <si>
    <t xml:space="preserve">Habitat of Bats: Discover Where They Live and Thrive – Markiert "safe bat habitat" – Big Bat Box</t>
  </si>
  <si>
    <t xml:space="preserve">Habitat of Bats: Discover Where They Live and Thrive – Étiqueter "wildlife friendly backyard" – Big Bat Box</t>
  </si>
  <si>
    <t xml:space="preserve">Types of Squirrels: Discover Their Habitats &amp; Behaviors – Étiqueter "backyard habitat" – Big Bat Box</t>
  </si>
  <si>
    <t xml:space="preserve">Habitat of Bats: Discover Where They Live and Thrive – Etiquetado "guano" – Big Bat Box</t>
  </si>
  <si>
    <t xml:space="preserve">Conservation &amp; Partners: WildYard &amp; 1% For The Planet – Markiert "partnership" – Big Bat Box</t>
  </si>
  <si>
    <t xml:space="preserve">Types of Squirrels: Discover Their Habitats &amp; Behaviors – Markiert "wildlife habitat" – Big Bat Box</t>
  </si>
  <si>
    <t xml:space="preserve">Fun Facts About Owls: Their Mysteries and Habits Unveiled – Etiquetado "owl identification" – Big Bat Box</t>
  </si>
  <si>
    <t xml:space="preserve">Bee Species Guide: Discover Their Vital Role in Nature – Markiert "Bees Pollination" – Big Bat Box</t>
  </si>
  <si>
    <t xml:space="preserve">Bee Species Guide: Discover Their Vital Role in Nature – Étiqueter "Pollination Process" – Big Bat Box</t>
  </si>
  <si>
    <t xml:space="preserve">Habitat of Bats: Discover Where They Live and Thrive – Markiert "USA bat house guide" – Big Bat Box</t>
  </si>
  <si>
    <t xml:space="preserve">Habitat of Bats: Discover Where They Live and Thrive – Étiqueter "BigBatBox" – Big Bat Box</t>
  </si>
  <si>
    <t xml:space="preserve">Habitat of Bats: Discover Where They Live and Thrive – Étiqueter "night wildlife support" – Big Bat Box</t>
  </si>
  <si>
    <t xml:space="preserve">Habitat of Bats: Discover Where They Live and Thrive – Étiqueter "echolocation" – Big Bat Box</t>
  </si>
  <si>
    <t xml:space="preserve">Fun Facts About Owls: Their Mysteries and Habits Unveiled – Étiqueter "ecological balance" – Big Bat Box</t>
  </si>
  <si>
    <t xml:space="preserve">Meta description</t>
  </si>
  <si>
    <t xml:space="preserve">Meta description length</t>
  </si>
  <si>
    <t xml:space="preserve">https://www.bigbatbox.com/</t>
  </si>
  <si>
    <t xml:space="preserve">Bat Houses, Owl Boxes &amp; Bee Hotels | Big Bat Box</t>
  </si>
  <si>
    <t xml:space="preserve">Shop Big Bat Box for premium cedar bat houses, owl boxes, and bee hotels. Eco-friendly, handcrafted by WildYard — built to attract wildlife and control pests naturally.</t>
  </si>
  <si>
    <t xml:space="preserve">Source: Bigbatbox - Site Audit.xlsx / Too Long Meta Description</t>
  </si>
  <si>
    <t xml:space="preserve">https://www.bigbatbox.com/products/owl-box</t>
  </si>
  <si>
    <t xml:space="preserve">Owl Box — Cedar Owl House for Screech &amp; Saw-Whet Owls | Big Bat Box</t>
  </si>
  <si>
    <t xml:space="preserve">Attract Eastern Screech Owls, Saw-Whet &amp; Boreal Owls naturally. Handcrafted cedar owl box, easy to mount, built for real backyard wildlife. Ships to US &amp; Canada.</t>
  </si>
  <si>
    <t xml:space="preserve">Find answers to questions about the bat box, owl box, and bee box. Learn installation tips, maintenance advice, wildlife benefits, shipping, returns, and more from Wildyard.</t>
  </si>
  <si>
    <t xml:space="preserve">https://www.bigbatbox.com/products/double-chamber-bat-house-black</t>
  </si>
  <si>
    <t xml:space="preserve">Two Chamber Black Bat House — Holds 75 Bats | Big Bat Box</t>
  </si>
  <si>
    <t xml:space="preserve">Black cedar two-chamber bat house holds up to 75 bats. Heat-retentive design ideal for cooler climates — natural pest control for your backyard. Shop Big Bat Box.</t>
  </si>
  <si>
    <t xml:space="preserve">https://www.bigbatbox.com/products/bat-house-single-chamber-black</t>
  </si>
  <si>
    <t xml:space="preserve">Single Chamber Black Bat House — Holds 50 Bats | Big Bat Box</t>
  </si>
  <si>
    <t xml:space="preserve">Cedar black bat house holds up to 50 bats. Weather-resistant, heat-retentive, and eco-friendly — ideal for natural mosquito control in any backyard. By Big Bat Box.</t>
  </si>
  <si>
    <t xml:space="preserve">https://www.bigbatbox.com/pages/collab</t>
  </si>
  <si>
    <t xml:space="preserve">Collabs – Big Bat Box</t>
  </si>
  <si>
    <t xml:space="preserve">Your Shopping Cart – Big Bat Box</t>
  </si>
  <si>
    <t xml:space="preserve">Suche – Big Bat Box</t>
  </si>
  <si>
    <t xml:space="preserve">https://www.bigbatbox.com/de/blogs/wildyard-learn</t>
  </si>
  <si>
    <t xml:space="preserve">Blog - Große Fledermausbox – Big Bat Box</t>
  </si>
  <si>
    <t xml:space="preserve">In unserem Blog haben wir alle wichtigen Informationen rund um Fledermäuse und Fledermaushäuser zusammengestellt – von den Vorteilen bis zur Installation. Lesen Sie unsere Artikel!</t>
  </si>
  <si>
    <t xml:space="preserve">https://www.bigbatbox.com/es/products/owl-box</t>
  </si>
  <si>
    <t xml:space="preserve">Wildyard spendet 1 % seines Umsatzes für Umweltzwecke über 1 % for the Planet – zur Unterstützung von Fledermäusen, Biodiversität und einem gesünderen Planeten für alle.</t>
  </si>
  <si>
    <t xml:space="preserve">https://www.bigbatbox.com/de/pages/warranty-registration</t>
  </si>
  <si>
    <t xml:space="preserve">Garantieregistrierung - Big Bat Box</t>
  </si>
  <si>
    <t xml:space="preserve">Wir bieten auf alle unsere Produkte eine einjährige Garantie. Geben Sie die erforderlichen Daten ein, um Ihr Fledermaushaus oder Ihren Eulenkasten von Big Bat Box zu registrieren und Ihre Garantie zu aktivieren.</t>
  </si>
  <si>
    <t xml:space="preserve">Rechercher – Big Bat Box</t>
  </si>
  <si>
    <t xml:space="preserve">https://www.bigbatbox.com/de/pages/become-a-reseller</t>
  </si>
  <si>
    <t xml:space="preserve">Werden Sie Wiederverkäufer - Big Bat Box</t>
  </si>
  <si>
    <t xml:space="preserve">Möchten Sie Produkte von Big Bat Box verkaufen? Füllen Sie einfach unser Vertriebsformular aus. Ein Mitglied unseres Teams wird sich in Kürze mit Ihnen in Verbindung setzen.</t>
  </si>
  <si>
    <t xml:space="preserve">https://www.bigbatbox.com/de/pages/cookie-policy</t>
  </si>
  <si>
    <t xml:space="preserve">Cookie-Richtlinie - Big Bat Box</t>
  </si>
  <si>
    <t xml:space="preserve">Erfahren Sie mehr darüber, wie wir auf unserer Website Cookies verwenden, um die Privatsphäre und Sicherheit Ihrer Daten zu schützen und Ihr Surferlebnis zu verbessern.</t>
  </si>
  <si>
    <t xml:space="preserve">Helfen Sie mit, Eulen zu retten und Schädlinge im Garten zu reduzieren – mit diesem Eulenkasten aus Zedernholz. Er bietet Kreischeulen einen sicheren Nistplatz und unterstützt gleichzeitig den Artenschutz und die natürliche Schädlingsbekämpfung.</t>
  </si>
  <si>
    <t xml:space="preserve">Search – Big Bat Box</t>
  </si>
  <si>
    <t xml:space="preserve">Unterstützen Sie die Bestäubung mit dem Bambus-Bienenhaus von Wildyard. Mehrröhren-Design für einheimische Bienen, einfach zu montieren und perfekt für gesunde, blühende Gärten.</t>
  </si>
  <si>
    <t xml:space="preserve">Buscar – Big Bat Box</t>
  </si>
  <si>
    <t xml:space="preserve">Cerca – Big Bat Box</t>
  </si>
  <si>
    <t xml:space="preserve">https://www.bigbatbox.com/de/pages/guide</t>
  </si>
  <si>
    <t xml:space="preserve">Installationsanleitung - Big Bat Box</t>
  </si>
  <si>
    <t xml:space="preserve">Ein Fledermaushaus kann auf viele Arten installiert werden. Hier finden Sie eine Anleitung zur Installation Ihres Fledermaushauses an Ihrem Wunschort. Sie können die Datei herunterladen und den Anweisungen folgen.</t>
  </si>
  <si>
    <t xml:space="preserve">https://www.bigbatbox.com/pages/wildyard-affiliate-program</t>
  </si>
  <si>
    <t xml:space="preserve">Spread the Battitude - Big Bat Box Affiliate Program</t>
  </si>
  <si>
    <t xml:space="preserve">Our affiliate program is a way for creators to earn commissions on sales by referring customers to the website using unique links. Sign up and start earning today!</t>
  </si>
  <si>
    <t xml:space="preserve">https://www.bigbatbox.com/products/single-chamber-bat-house</t>
  </si>
  <si>
    <t xml:space="preserve">Single Chamber Cedar Bat House — Mosquito Control | Big Bat Box</t>
  </si>
  <si>
    <t xml:space="preserve">Durable cedar bat house holds up to 50 bats. Compact, eco-safe, and ideal for natural mosquito control in any backyard. Shop Big Bat Box for wildlife-friendly pest control.</t>
  </si>
  <si>
    <t xml:space="preserve">https://www.bigbatbox.com/es/products/double-chamber-bat-house-black</t>
  </si>
  <si>
    <t xml:space="preserve">https://www.bigbatbox.com/blogs/fun-facts-about-owls/why-owl-boxes-are-the-best-natural-pest-control</t>
  </si>
  <si>
    <t xml:space="preserve">Why Owl Boxes Are the Best Natural Pest Control – Big Bat Box</t>
  </si>
  <si>
    <t xml:space="preserve">Discover why owl boxes are the most effective natural pest control solution. Reduce rodent populations safely with chemical-free owl nesting boxes that support local ecosystems.</t>
  </si>
  <si>
    <t xml:space="preserve">Unterstützen Sie bis zu 50 Fledermäuse mit dem schwarzen Einkammer-Fledermaushaus von Wildyard. Langlebig, wärmespeichernd und anfängerfreundlich für eine umweltbewusste Schädlingsbekämpfung.</t>
  </si>
  <si>
    <t xml:space="preserve">Unterstützen Sie bis zu 75 Fledermäuse mit dem umweltfreundlichen Fledermaushaus aus Schwarzzeder von Wildyard. Zwei Kammern, Schädlingsbekämpfung, wärmespeichernd – ideal für kühlere Klimazonen.</t>
  </si>
  <si>
    <t xml:space="preserve">Unterstützen Sie 200 Fledermäuse mit dem Dreikammer-Fledermaushaus aus brauner Zeder von Wildyard. Umweltfreundlich, schädlingsreduzierend und ideal für warme Klimazonen von 29 °C bis 35 °C.</t>
  </si>
  <si>
    <t xml:space="preserve">https://www.bigbatbox.com/products/wildyard-digital-gift-card</t>
  </si>
  <si>
    <t xml:space="preserve">Wildyard Digital Gift Card – Big Bat Box</t>
  </si>
  <si>
    <t xml:space="preserve">Support bees, owls or bats with a Wildyard Digital Gift Card. Perfect for wildlife lovers who are passionate about environmental conservation. Instant email delivery, redeemable online.</t>
  </si>
  <si>
    <t xml:space="preserve">Beherbergen Sie bis zu 200 Fledermäuse mit dem Fledermaushaus aus Zedernholz mit drei Kammern von Wildyard. Wärmereflektierend, umweltfreundlich und ideal zur Mückenbekämpfung in heißen Sommerklimata.</t>
  </si>
  <si>
    <t xml:space="preserve">Locken Sie Fledermäuse mit dem Einkammer-Fledermaushaus aus Zedernholz von Wildyard an. Kompakt, umweltfreundlich und ideal zur natürlichen Mückenbekämpfung in jedem Garten.</t>
  </si>
  <si>
    <t xml:space="preserve">BCI discontinued bat house certification in 2020. Learn what replaced it, the 10 design criteria that matter, and why MTBC certification is today's gold standard.</t>
  </si>
  <si>
    <t xml:space="preserve">https://www.bigbatbox.com/de/pages/faq</t>
  </si>
  <si>
    <t xml:space="preserve">FAQ - Große Fledermausbox – Big Bat Box</t>
  </si>
  <si>
    <t xml:space="preserve">Wie baut man ein Fledermaushaus? Wo befestigt man einen Fledermauskasten? Alle Antworten auf Ihre Fragen zu Fledermaushäusern &amp; Eulenkästen finden Sie in unseren FAQ!</t>
  </si>
  <si>
    <t xml:space="preserve">Das Fledermaushaus aus Zedernholz mit zwei Kammern von Wildyard bietet Platz für 75 Fledermäuse. Umweltfreundlich, wärmereflektierend und perfekt zur Schädlingsbekämpfung in heißen Sommerklimata.</t>
  </si>
  <si>
    <t xml:space="preserve">https://www.bigbatbox.com/es/products/single-chamber-bat-house</t>
  </si>
  <si>
    <t xml:space="preserve">Collections – Big Bat Box</t>
  </si>
  <si>
    <t xml:space="preserve">https://www.bigbatbox.com/de/pages/wildyard-affiliate-program</t>
  </si>
  <si>
    <t xml:space="preserve">Verbreiten Sie die Battitude - Big Bat Box-Partnerprogramm</t>
  </si>
  <si>
    <t xml:space="preserve">Mit unserem Partnerprogramm können Kreative Provisionen verdienen, indem sie Kunden über einzigartige Links auf unsere Website verweisen. Melden Sie sich noch heute an und verdienen Sie Geld!</t>
  </si>
  <si>
    <t xml:space="preserve">Unterstützen Sie bis zu 75 Fledermäuse mit dem Zweikammer-Fledermaushaus aus brauner Zeder von Wildyard. Umweltfreundlich, schädlingsreduzierend und ideal für warme Klimazonen (29 °C bis 35 °C).</t>
  </si>
  <si>
    <t xml:space="preserve">Big Bat Barn bietet natürlichen Mückenschutz und rustikalen Charme mit einem dreikammerigen Fledermaushaus aus Zedernholz für bis zu 150 Fledermäuse. Ideal für Ökohäuser.</t>
  </si>
  <si>
    <t xml:space="preserve">Erfahren Sie, wie Eulennistkästen sichere und ruhige Zufluchtsorte für nachtaktive Greifvögel bieten, den Naturschutz fördern und zur Schädlingsbekämpfung in Ihrem Ökosystem beitragen.</t>
  </si>
  <si>
    <t xml:space="preserve">Haben Sie ein Fledermausproblem in Ihrem Haus? Dann sind Sie nicht allein. In diesem Ratgeber erklären wir Ihnen alles, was Sie über die Fledermausbekämpfung wissen müssen.</t>
  </si>
  <si>
    <t xml:space="preserve">Hier finden Sie die besten Tipps zur Pflege von Fledermaus-, Eulen- und Bienenhäusern. Halten Sie sie sauber, sicher und schaffen Sie so ganzjährig ein ideales Zuhause für die heimische Tierwelt.</t>
  </si>
  <si>
    <t xml:space="preserve">https://www.bigbatbox.com/de/blogs/bee-species/why-are-bees-important</t>
  </si>
  <si>
    <t xml:space="preserve">Warum sind Bienen wichtig für die Natur und das Leben? – Big Bat Box</t>
  </si>
  <si>
    <t xml:space="preserve">Entdecken Sie, warum Bienen so wichtig für unseren Planeten sind. Erfahren Sie, wie sie zur Bestäubung, zum Anbau von Nahrungsmitteln und zum Erhalt des natürlichen Gleichgewichts beitragen.</t>
  </si>
  <si>
    <t xml:space="preserve">Entdecken Sie, wie die Nachtwächter unserer Welt helfen. Erfahren Sie, warum Fledermäuse für die Bestäubung, die Schädlingsbekämpfung und den Erhalt des natürlichen Gleichgewichts so wichtig sind.</t>
  </si>
  <si>
    <t xml:space="preserve">Blog - Große Fledermausbox – Markiert "Bat Houses" – Big Bat Box</t>
  </si>
  <si>
    <t xml:space="preserve">https://www.bigbatbox.com/es/products/bat-house-single-chamber-black</t>
  </si>
  <si>
    <t xml:space="preserve">Blog - Große Fledermausbox – Markiert "Bee Houses" – Big Bat Box</t>
  </si>
  <si>
    <t xml:space="preserve">Blog - Große Fledermausbox – Markiert "Owl Houses" – Big Bat Box</t>
  </si>
  <si>
    <t xml:space="preserve">Blog - Große Fledermausbox – Markiert "Wildlife Care" – Big Bat Box</t>
  </si>
  <si>
    <t xml:space="preserve">Blog - Große Fledermausbox – Markiert "Wildlife Shelter" – Big Bat Box</t>
  </si>
  <si>
    <t xml:space="preserve">Vos choix en matière de confidentialité – Big Bat Box</t>
  </si>
  <si>
    <t xml:space="preserve">Comme indiqué dans notre politique de confidentialité, nous collectons vos données personnelles issues de vos interactions avec notre site web, notamment via l’utilisation des cookies et technologies similaires. Ces informations peuvent être partagées avec des tiers, y compris des partenaires publicitaires. Nous procéd</t>
  </si>
  <si>
    <t xml:space="preserve">Le tue scelte relative alla privacy – Big Bat Box</t>
  </si>
  <si>
    <t xml:space="preserve">Come descritto nella nostra Informativa sulla privacy, raccogliamo i tuoi dati personali dalle tue interazioni con noi e il nostro sito web, anche tramite cookie e tecnologie simili. Potremmo anche condividere questi dati personali con terze parti, inclusi partner pubblicitari. Lo facciamo per mostrarti annunci su altr</t>
  </si>
  <si>
    <t xml:space="preserve">Your Privacy Choices – Big Bat Box</t>
  </si>
  <si>
    <t xml:space="preserve">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t>
  </si>
  <si>
    <t xml:space="preserve">https://www.bigbatbox.com/pages/data-sharing-opt-out</t>
  </si>
  <si>
    <t xml:space="preserve">https://www.bigbatbox.com/de/pages/data-sharing-opt-out</t>
  </si>
  <si>
    <t xml:space="preserve">Verkaufen oder teilen Sie meine persönlichen Daten nicht – Big Bat Box</t>
  </si>
  <si>
    <t xml:space="preserve">Wie in unserer Datenschutzrichtlinie beschrieben, erfassen wir personenbezogene Daten aus Ihren Interaktionen mit uns und unserer Website, unter anderem durch Cookies und ähnliche Technologien. Wir können diese personenbezogenen Daten auch an Dritte, einschließlich Werbepartner, weitergeben. Dies geschieht, um Ihnen au</t>
  </si>
  <si>
    <t xml:space="preserve">Handcrafted 100% cedar bird suet feeder with tail support platform, rust-resistant mesh &amp; retractable roof. Holds 2 suet cakes. Arrives pre-assembled, ready to hang.</t>
  </si>
  <si>
    <t xml:space="preserve">https://www.bigbatbox.com/es/pages/data-sharing-opt-out</t>
  </si>
  <si>
    <t xml:space="preserve">Tus opciones de privacidad – Big Bat Box</t>
  </si>
  <si>
    <t xml:space="preserve">Como se describe en nuestra Política de privacidad, recopilamos información personal de sus interacciones con nosotros y nuestro sitio web, incluso a través de cookies y tecnologías similares. También podemos compartir esta información personal con terceros, incluidos socios publicitarios. Hacemos esto para mostrarle a</t>
  </si>
  <si>
    <t xml:space="preserve">https://www.bigbatbox.com/es/blogs/fun-facts-about-owls/why-owl-boxes-are-the-best-natural-pest-control</t>
  </si>
  <si>
    <t xml:space="preserve">https://www.bigbatbox.com/de/blogs/habitat-of-bats/where-to-mount-a-bat-house-in-the-usa-simple-guide-for-best-results</t>
  </si>
  <si>
    <t xml:space="preserve">Wo man in den USA ein Fledermaushaus am besten anbringt – Big Bat Box</t>
  </si>
  <si>
    <t xml:space="preserve">Erfahren Sie, wo Sie in den USA ein Fledermaushaus am besten anbringen – Tipps zu Sonne, Höhe, Ausrichtung und Klima, um Fledermäuse auf natürliche Weise anzulocken.</t>
  </si>
  <si>
    <t xml:space="preserve">Lerne, wie Bienen bestäuben und verstehe ihre Rolle in Ökosystemen und der Landwirtschaft, die für die Pflanzenvermehrung, die Artenvielfalt und die Ernährungssicherheit weltweit sorgt.</t>
  </si>
  <si>
    <t xml:space="preserve">https://www.bigbatbox.com/de/blogs/fun-facts-about-owls/how-to-attract-owls-a-comprehensive-guide</t>
  </si>
  <si>
    <t xml:space="preserve">Wie man Eulen anlockt: Ein umfassender Leitfaden – Big Bat Box</t>
  </si>
  <si>
    <t xml:space="preserve">Erfahren Sie, wie Sie Eulen mit Nistkästen, natürlichem Lebensraum und Nahrungsquellen in Ihren Garten locken können, und erhalten Sie Tipps zur Schaffung einer sicheren, wildtierfreundlichen Umgebung.</t>
  </si>
  <si>
    <t xml:space="preserve">Können Fledermäuse sicher in der Nähe von Menschen leben? Sind Fledermäuse gefährlich? Helfen sie der Umwelt? Einfache Tipps für ein sicheres und tierfreundliches Zusammenleben.</t>
  </si>
  <si>
    <t xml:space="preserve">Der Unterschied zwischen ein-, zwei- und dreikammerigen Fledermauskästen erklärt die verschiedenen Bauweisen für einen effektiven Lebensraum für Fledermäuse. Finden Sie den passenden Kasten für Ihr Zuhause!</t>
  </si>
  <si>
    <t xml:space="preserve">Erfahren Sie, warum Eulen- und Fledermauskästen nicht zusammen angebracht werden sollten. Vermeiden Sie Konflikte und schützen Sie beide Arten mit den richtigen Platzierungstipps.</t>
  </si>
  <si>
    <t xml:space="preserve">https://www.bigbatbox.com/de/blogs/bee-species/what-do-bees-eat</t>
  </si>
  <si>
    <t xml:space="preserve">Was fressen Bienen? – Ein umfassender Leitfaden – Big Bat Box</t>
  </si>
  <si>
    <t xml:space="preserve">Entdecken Sie in diesem einfachen Ratgeber, was Bienen fressen. Erfahren Sie mehr über ihre Lieblingsspeisen, von Nektar und Pollen bis hin zu Honig, und wie sich ihre Ernährung auf ihr Überleben auswirkt.</t>
  </si>
  <si>
    <t xml:space="preserve">https://www.bigbatbox.com/de/blogs/fun-facts-about-owls/why-owl-boxes-are-the-best-natural-pest-control</t>
  </si>
  <si>
    <t xml:space="preserve">Big Bat Barn von Wildyard bietet ein Fledermaushaus aus Zedernholz mit drei Kammern für bis zu 150 Fledermäuse, das eine natürliche Mückenkontrolle bietet und sich einfach in Ihrem Garten installieren lässt.</t>
  </si>
  <si>
    <t xml:space="preserve">Lernen Sie, wie Sie Ihr Bienenhaus das ganze Jahr über pflegen können – mit saisonalen Tipps, damit Wildbienen in Ihrem Garten sicher, gesund und erfolgreich bleiben.</t>
  </si>
  <si>
    <t xml:space="preserve">https://www.bigbatbox.com/de/products/wildyard-digital-gift-card</t>
  </si>
  <si>
    <t xml:space="preserve">Wildyard Digitaler Geschenkgutschein – Big Bat Box</t>
  </si>
  <si>
    <t xml:space="preserve">Can You Feed Suet in Summer? No-Melt Suet Guide – Big Bat Box</t>
  </si>
  <si>
    <t xml:space="preserve">You can feed suet all year — switch to no-melt cakes above 90°F. Learn why standard suet fails in heat, how to run a feeder through summer, and when to switch back.</t>
  </si>
  <si>
    <t xml:space="preserve">Entdecken Sie, warum die Big Bat Box von WildYard die erste Wahl für Fledermausliebhaber ist. Zertifiziert sicher, umweltfreundlich und handgefertigt, um Fledermäusen ein optimales Leben zu ermöglichen.</t>
  </si>
  <si>
    <t xml:space="preserve">Mit Fledermaushaus-Sets können Sie Ihr Insektenproblem ganz einfach lösen. Sie fragen sich vielleicht: „Was haben Fledermäuse mit Insektenschutz zu tun?“ Lesen Sie weiter und finden Sie es heraus.</t>
  </si>
  <si>
    <t xml:space="preserve">Blog - Große Fledermausbox – Markiert "bees and bats" – Big Bat Box</t>
  </si>
  <si>
    <t xml:space="preserve">What Birds Eat Suet? 15 Backyard Species You'll Attract – Big Bat Box</t>
  </si>
  <si>
    <t xml:space="preserve">Woodpeckers, nuthatches, chickadees, titmice and wrens all eat suet. Learn which species visit, how to identify them, and the feeder detail that makes them stay.</t>
  </si>
  <si>
    <t xml:space="preserve">Unterstützen Sie die Tierwelt und reduzieren Sie Mücken auf natürliche Weise mit umweltfreundlichen Fledermauskästen. Erfahren Sie mehr über Platzierungstipps, Vorteile und die besten Wildyard-Designs für Ihren Garten.</t>
  </si>
  <si>
    <t xml:space="preserve">Sie haben vielleicht schon von den Wundern der Fledermaushäuser gehört. Wir möchten Ihnen ein paar interessante Details zu diesen einzigartigen Wohnstätten für unsere fliegenden Säugetierfreunde näherbringen.</t>
  </si>
  <si>
    <t xml:space="preserve">https://www.bigbatbox.com/de/blogs/habitat-of-bats/why-you-need-a-bat-house-your-go-to-guide</t>
  </si>
  <si>
    <t xml:space="preserve">Warum Sie ein Fledermaushaus brauchen: Ihr Leitfaden – Big Bat Box</t>
  </si>
  <si>
    <t xml:space="preserve">WARUM SIE EIN FLEDERMAUSHÄUSCHEN BRAUCHEN: Entdecken Sie die Vorteile von Fledermaushäusern und wie diese Ihren Garten verschönern und gleichzeitig die heimische Tierwelt unterstützen können.</t>
  </si>
  <si>
    <t xml:space="preserve">Carta Regalo Digitale Wildyard – Big Bat Box</t>
  </si>
  <si>
    <t xml:space="preserve">https://www.bigbatbox.com/blogs/conservation-partners</t>
  </si>
  <si>
    <t xml:space="preserve">Conservation &amp; Partners: WildYard &amp; 1% For The Planet – Big Bat Box</t>
  </si>
  <si>
    <t xml:space="preserve">Wo hängt man am besten ein Fledermaushaus auf, um optimale Ergebnisse zu erzielen? Entdecken Sie die besten Plätze in Ihrem Garten, um Fledermäuse anzulocken und Schädlinge effektiv zu bekämpfen.</t>
  </si>
  <si>
    <t xml:space="preserve">https://www.bigbatbox.com/de/blogs/habitat-of-bats/why-bats-are-the-best-mosquito-eaters</t>
  </si>
  <si>
    <t xml:space="preserve">Warum Fledermäuse die besten Mückenfresser sind – Big Bat Box</t>
  </si>
  <si>
    <t xml:space="preserve">Verabschieden Sie sich von Mücken! Entdecken Sie, warum Fledermäuse die besten Mückenfresser sind und wie Fledermaushäuser Ihnen helfen können, Ihr Mückenproblem im Garten in den Griff zu bekommen.</t>
  </si>
  <si>
    <t xml:space="preserve">https://www.bigbatbox.com/de/blogs/habitat-of-bats/how-to-attract-bats-your-go-to-guide</t>
  </si>
  <si>
    <t xml:space="preserve">So locken Sie Fledermäuse an: Ihr Leitfaden – Big Bat Box</t>
  </si>
  <si>
    <t xml:space="preserve">Egal, ob Sie Fledermäuse retten oder Ihr Insektenproblem von ihnen lösen lassen möchten – unser Leitfaden hilft Ihnen weiter. Lesen Sie mehr darüber, wie Sie Fledermäuse anlocken.</t>
  </si>
  <si>
    <t xml:space="preserve">https://www.bigbatbox.com/de/pages/about</t>
  </si>
  <si>
    <t xml:space="preserve">Über uns – Big Bat Box</t>
  </si>
  <si>
    <t xml:space="preserve">Big Bat Box bietet die besten Fledermauskästen und Fledermaushäuser. Unsere BCI-zertifizierten Fledermauskästen sind auch auf Amazon erhältlich und werden in Parks in den USA und der EU eingesetzt. Genießen Sie ein Leben ohne Insekten.</t>
  </si>
  <si>
    <t xml:space="preserve">Mückenbekämpfung im Garten: Ein umfassender Leitfaden – Big Bat Box</t>
  </si>
  <si>
    <t xml:space="preserve">Lesen Sie unseren Ratgeber, um herauszufinden, wie Sie Mücken im Garten bekämpfen können, damit Sie diese lästigen Insekten loswerden und Ihre Zeit im Freien genießen können.</t>
  </si>
  <si>
    <t xml:space="preserve">Cedar Squirrel House – Big Bat Box</t>
  </si>
  <si>
    <t xml:space="preserve">Free U.S. Shipping on Orders Over $70 · 30-Day Returns · Built for North American Backyards Designed and Engineered for Backyard Wildlife Give thesquirrels areal home. The WildYard Cedar Squirrel House is a dual-chamber hideout &amp; feeder built to imitate the natural tree cavities squirrels actually want — so they ne</t>
  </si>
  <si>
    <t xml:space="preserve">Entdecken Sie faszinierende und unerwartete interessante Fakten über Fledermäuse, darunter ihre Geschwindigkeit, Lebensdauer, einzigartige Jagdfähigkeiten und Mythen.</t>
  </si>
  <si>
    <t xml:space="preserve">Einfache Tipps zum Fledermausschutz für Hausbesitzer – schaffen Sie fledermausfreundliche Gärten mit sicheren Schlafplätzen, einheimischen Pflanzen, Wasser und lichten Nächten.</t>
  </si>
  <si>
    <t xml:space="preserve">Since day one, 1% of every WildYard sale has gone to environmental nonprofits through 1% for the Planet. Until now we couldn't tell you exactly where it landed. Now we can. WildYard has chosen Bird Conservancy of the Rockies as the first of our 2026-2027 nonprofit partners. Your 1% goes to them. Who they are Bird Conse</t>
  </si>
  <si>
    <t xml:space="preserve">We're thrilled to announce the launch of the WildYard X Angry Birds™ collection — a first-of-its-kind collaboration between Big Bat Box's wildlife habitat brand WildYard and the iconic Angry Birds™ franchise. Two products. One shared mission: connecting people with nature in the most playful way possible. This isn't ju</t>
  </si>
  <si>
    <t xml:space="preserve">Erfahren Sie, wie Gartenbestäuber wie Bienen und Fledermäuse Ihren Garten Tag und Nacht bereichern. Tipps zu Anpflanzung, Lebensraum und wie Sie Ihren Garten lebendig und blühend halten.</t>
  </si>
  <si>
    <t xml:space="preserve">Blog - Große Fledermausbox – Markiert "Pollination" – Big Bat Box</t>
  </si>
  <si>
    <t xml:space="preserve">https://www.bigbatbox.com/de/blogs/habitat-of-bats/where-to-buy-bat-houses-your-go-to-guide</t>
  </si>
  <si>
    <t xml:space="preserve">Wo Sie Fledermaushäuser kaufen können: Ihr Leitfaden – Big Bat Box</t>
  </si>
  <si>
    <t xml:space="preserve">Sie möchten wissen, wo Sie Fledermaushäuser kaufen können, wissen aber nicht, wie Sie anfangen sollen oder wo Sie suchen sollen? Wir wissen es und helfen Ihnen weiter. Lassen Sie uns eintauchen.</t>
  </si>
  <si>
    <t xml:space="preserve">https://www.bigbatbox.com/de/blogs/habitat-of-bats/14-fascinating-facts-about-bats</t>
  </si>
  <si>
    <t xml:space="preserve">14 faszinierende Fakten über Fledermäuse – Big Bat Box</t>
  </si>
  <si>
    <t xml:space="preserve">Fledermäuse fliegen nachts, während wir normalerweise schlafen. Daher sind viele ihrer Aktivitäten für uns rätselhaft. Deshalb haben wir 14 faszinierende Fakten über Fledermäuse zusammengestellt.</t>
  </si>
  <si>
    <t xml:space="preserve">Wo und wie hängt man einen Fledermauskasten richtig auf? Erfahren Sie alles über Höhe, Ausrichtung, Standortwahl und Pflege. Inkl. Kaufberatung für Premium-Fledermauskästen aus Zedernholz.</t>
  </si>
  <si>
    <t xml:space="preserve">https://www.bigbatbox.com/de/blogs/habitat-of-bats/5-best-tips-for-bat-house-maintenance</t>
  </si>
  <si>
    <t xml:space="preserve">Fledermauskastenpflege: 5 wichtige Tipps für den Erfolg – Big Bat Box</t>
  </si>
  <si>
    <t xml:space="preserve">Die Instandhaltung von Fledermauskästen und -häusern kann eine echte Herausforderung sein, wenn man nicht weiß, wo man anfangen soll. Deshalb haben wir 5 Tipps für Sie zusammengestellt.</t>
  </si>
  <si>
    <t xml:space="preserve">Viele Menschen haben Angst vor Fledermäusen, weil sie so aussehen. Aber keine Angst: Fledermäuse sind eigentlich recht friedliche Tiere. Lust auf ein paar lustige Fakten über Fledermäuse?</t>
  </si>
  <si>
    <t xml:space="preserve">Fledermauskasten aus Zedernholz für kalte Klimazonen: Entdecken Sie wichtige Tipps zur Auswahl und Installation des richtigen Fledermauskastens für kältere Regionen.</t>
  </si>
  <si>
    <t xml:space="preserve">Entdecken Sie „Wissenswertes über Bienen“ – von ihren mathematischen Fähigkeiten bis hin zu ihren skurrilen Verhaltensweisen – und finden Sie heraus, was diese Bestäuber so außergewöhnlich macht.</t>
  </si>
  <si>
    <t xml:space="preserve">Blog - Große Fledermausbox – Markiert "wildlife garden" – Big Bat Box</t>
  </si>
  <si>
    <t xml:space="preserve">Entdecken Sie, wie einfach der Bau und die Installation von Fledermauskästen sein kann. Erhalten Sie Tipps zu Layout, Materialien, Platzierung und Design, damit sich Fledermäuse in Ihrem Garten wohlfühlen.</t>
  </si>
  <si>
    <t xml:space="preserve">Erfahren Sie, wie Fledermauskästen Ihrem Garten helfen, indem sie Schädlinge bekämpfen, die Bestäubung fördern und Fledermäusen einen sicheren Ort zum Ausruhen und Gedeihen bieten.</t>
  </si>
  <si>
    <t xml:space="preserve">https://www.bigbatbox.com/es/products/wildyard-digital-gift-card</t>
  </si>
  <si>
    <t xml:space="preserve">Tarjeta Regalo Digital Wildyard – Big Bat Box</t>
  </si>
  <si>
    <t xml:space="preserve">Comment installer un nichoir à chauve-souris ? Découvrez le guide complet : hauteur idéale, orientation, emplacement et entretien. Nichoirs premium en cèdre avec livraison gratuite.</t>
  </si>
  <si>
    <t xml:space="preserve">Erfahren Sie alles über die Installation von Fledermauskästen, einschließlich ihrer Eigenschaften, der richtigen Platzierung und Tipps zur korrekten Einrichtung, damit Ihr Fledermaushaus optimal gedeiht und zum Schutz der Fledermäuse beiträgt.</t>
  </si>
  <si>
    <t xml:space="preserve">Erfahren Sie, was zu tun ist, wenn Sie im Winter eine Fledermaus im Haus finden, mit Tipps zum sicheren Umgang und wie Sie Fledermäusen helfen können, die kalte Jahreszeit zu überstehen.</t>
  </si>
  <si>
    <t xml:space="preserve">https://www.bigbatbox.com/pages/cedar-squirrel-house</t>
  </si>
  <si>
    <t xml:space="preserve">Nichoir à chauve-souris : 7 étapes pour les attirer – Big Bat Box</t>
  </si>
  <si>
    <t xml:space="preserve">Comment attirer les chauves-souris dans un nichoir : emplacement, hauteur, soleil, couleur et timing, selon Bat Conservation International. Une colonie plus vite.</t>
  </si>
  <si>
    <t xml:space="preserve">Maximieren Sie Ihren Erfolg mit unserem Leitfaden zur Platzierung von Fledermauskästen, indem Sie lernen, wo und wie Sie diese für optimale Ergebnisse anbringen. Die Platzierung ist wichtiger, als Sie denken.</t>
  </si>
  <si>
    <t xml:space="preserve">https://www.bigbatbox.com/de/pages/1-for-the-planet-merlin-tuttle-x-wild-yard</t>
  </si>
  <si>
    <t xml:space="preserve">1 % für den Planeten + Merlin Tuttle X Wild Yard – Big Bat Box</t>
  </si>
  <si>
    <t xml:space="preserve">Entdecken Sie die umweltfreundliche Zusammenarbeit von Bigbatbox mit 1% for the Planet und Merlin Tuttle. Unterstützen Sie den Artenschutz und die Nachhaltigkeit für einen besseren Planeten!</t>
  </si>
  <si>
    <t xml:space="preserve">https://www.bigbatbox.com/es/pages/cedar-squirrel-house</t>
  </si>
  <si>
    <t xml:space="preserve">https://www.bigbatbox.com/de/blogs/habitat-of-bats/7-benefits-of-bat-houses</t>
  </si>
  <si>
    <t xml:space="preserve">7 Vorteile von Fledermaushäusern – Big Bat Box</t>
  </si>
  <si>
    <t xml:space="preserve">Warum sollte jemand ein Fledermaushaus auf seinem Grundstück errichten und diese fliegenden Säugetiere anlocken? Wir erläutern Ihnen einige Vorteile von Fledermaushäusern!</t>
  </si>
  <si>
    <t xml:space="preserve">https://www.bigbatbox.com/de/blogs/habitat-of-bats/bats-as-pollinators-guardians-of-ecosystems</t>
  </si>
  <si>
    <t xml:space="preserve">Fledermäuse als Bestäuber und Wächter von Ökosystemen – Big Bat Box</t>
  </si>
  <si>
    <t xml:space="preserve">Entdecken Sie Fledermäuse als Bestäuber und erfahren Sie, wie sie durch die Verbreitung von Pollen, die Unterstützung des Pflanzenwachstums und den Erhalt der Artenvielfalt zum Gedeihen von Ökosystemen beitragen.</t>
  </si>
  <si>
    <t xml:space="preserve">Carte Cadeau Numérique Wildyard – Big Bat Box</t>
  </si>
  <si>
    <t xml:space="preserve">https://www.bigbatbox.com/es/pages/wildyard-affiliate-program</t>
  </si>
  <si>
    <t xml:space="preserve">https://www.bigbatbox.com/de/blogs/bee-species/unveiling-the-world-of-bees-nature-s-tiny-architects</t>
  </si>
  <si>
    <t xml:space="preserve">Die Welt der Bienen: Die winzigen Architekten der Natur – Big Bat Box</t>
  </si>
  <si>
    <t xml:space="preserve">Entdecke die Welt der Bienen – der kleinen Architekten der Natur. Erfahre mehr über die Biologie der Bienen, ihre Aufgaben im Bienenstock, die Honigproduktion und ihre wichtige Rolle bei der Bestäubung und dem Erhalt der Ökosysteme.</t>
  </si>
  <si>
    <t xml:space="preserve">https://www.bigbatbox.com/de/pages/cedar-squirrel-house</t>
  </si>
  <si>
    <t xml:space="preserve">Come installare una bat box per pipistrelli? Guida completa su altezza, posizione, orientamento e manutenzione. Bat box premium in cedro con spedizione gratuita.</t>
  </si>
  <si>
    <t xml:space="preserve">Erfahren Sie mehr über die besten Fledermauskästen zur Mückenbekämpfung. Sehen Sie echte Ergebnisse, wie Sie den richtigen Fledermauskasten auswählen, welche Farben ideal sind und wo Sie ihn optimal in Ihrem Garten platzieren.</t>
  </si>
  <si>
    <t xml:space="preserve">Source: Bigbatbox - Site Audit.xlsx / Missing H1 Tag</t>
  </si>
  <si>
    <t xml:space="preserve">https://www.bigbatbox.com/pages/become-a-reseller</t>
  </si>
  <si>
    <t xml:space="preserve">https://www.bigbatbox.com/es/pages/become-a-reseller</t>
  </si>
  <si>
    <t xml:space="preserve">https://www.bigbatbox.com/de/collections/bat-houses</t>
  </si>
  <si>
    <t xml:space="preserve">https://www.bigbatbox.com/products/three-chamber-bat-house-certified-brown</t>
  </si>
  <si>
    <t xml:space="preserve">https://www.bigbatbox.com/products/double-chamber-bat-house-cedar</t>
  </si>
  <si>
    <t xml:space="preserve">https://www.bigbatbox.com/es/products/three-chamber-bat-house-certified-brown</t>
  </si>
  <si>
    <t xml:space="preserve">https://www.bigbatbox.com/products/double-chamber-bat-house-brown</t>
  </si>
  <si>
    <t xml:space="preserve">https://www.bigbatbox.com/es/products/certified-triple-chamber-bat-house-unfinished</t>
  </si>
  <si>
    <t xml:space="preserve">https://www.bigbatbox.com/es/products/double-chamber-bat-house-cedar</t>
  </si>
  <si>
    <t xml:space="preserve">https://www.bigbatbox.com/products/certified-triple-chamber-bat-house-black</t>
  </si>
  <si>
    <t xml:space="preserve">https://www.bigbatbox.com/es/products/double-chamber-bat-house-brown</t>
  </si>
  <si>
    <t xml:space="preserve">https://www.bigbatbox.com/products/certified-triple-chamber-bat-house-unfinished</t>
  </si>
  <si>
    <t xml:space="preserve">https://www.bigbatbox.com/pages/about</t>
  </si>
  <si>
    <t xml:space="preserve">https://www.bigbatbox.com/pages/1-for-the-planet-merlin-tuttle-x-wild-yard</t>
  </si>
  <si>
    <t xml:space="preserve">https://www.bigbatbox.com/es/products/certified-triple-chamber-bat-house-black</t>
  </si>
  <si>
    <t xml:space="preserve">https://www.bigbatbox.com/pages/wildyard-x-angry-birds-diy-birdhouse-instructions</t>
  </si>
  <si>
    <t xml:space="preserve">https://www.bigbatbox.com/es/pages/about</t>
  </si>
  <si>
    <t xml:space="preserve">https://www.bigbatbox.com/es/pages/wildyard-x-angry-birds-diy-birdhouse-instructions</t>
  </si>
  <si>
    <t xml:space="preserve">https://www.bigbatbox.com/de/pages/wildyard-x-angry-birds-diy-birdhouse-instructions</t>
  </si>
  <si>
    <t xml:space="preserve">https://www.bigbatbox.com/es/pages/contact</t>
  </si>
  <si>
    <t xml:space="preserve">https://www.bigbatbox.com/de/pages/contact</t>
  </si>
  <si>
    <t xml:space="preserve">https://www.bigbatbox.com/pages/contact</t>
  </si>
  <si>
    <t xml:space="preserve">https://www.bigbatbox.com/es/pages/1-for-the-planet-merlin-tuttle-x-wild-yard</t>
  </si>
  <si>
    <t xml:space="preserve">Source: Bigbatbox - Site Audit.xlsx / Missing Meta Description</t>
  </si>
  <si>
    <t xml:space="preserve">No. of H1</t>
  </si>
  <si>
    <t xml:space="preserve">Source: Bigbatbox - Site Audit.xlsx / Multiple H1 Tag</t>
  </si>
  <si>
    <t xml:space="preserve">https://www.bigbatbox.com/pages/guide</t>
  </si>
  <si>
    <t xml:space="preserve">https://www.bigbatbox.com/es</t>
  </si>
  <si>
    <t xml:space="preserve">https://www.bigbatbox.com/de</t>
  </si>
  <si>
    <t xml:space="preserve">https://www.bigbatbox.com/de/blogs/bee-species</t>
  </si>
  <si>
    <t xml:space="preserve">https://www.bigbatbox.com/de/blogs/habitat-of-bats</t>
  </si>
  <si>
    <t xml:space="preserve">https://www.bigbatbox.com/es/pages/guide</t>
  </si>
  <si>
    <t xml:space="preserve">https://www.bigbatbox.com/blogs/habitat-of-bats/difference-between-one-two-and-three-chamber-bat-boxes-simple-guide-for-homeowners</t>
  </si>
  <si>
    <t xml:space="preserve">https://www.bigbatbox.com/blogs/fun-facts-about-owls/5-things-you-didn-t-know-about-eastern-screech-owls</t>
  </si>
  <si>
    <t xml:space="preserve">https://www.bigbatbox.com/blogs/habitat-of-bats/best-bat-boxes-for-mosquito-control-simple-guide-real-example</t>
  </si>
  <si>
    <t xml:space="preserve">https://www.bigbatbox.com/blogs/habitat-of-bats/cedar-bat-box-for-cold-climates-what-you-need-to-know</t>
  </si>
  <si>
    <t xml:space="preserve">https://www.bigbatbox.com/es/blogs/habitat-of-bats/difference-between-one-two-and-three-chamber-bat-boxes-simple-guide-for-homeowners</t>
  </si>
  <si>
    <t xml:space="preserve">https://www.bigbatbox.com/de/blogs/fun-facts-about-owls/5-things-you-didn-t-know-about-eastern-screech-owls</t>
  </si>
  <si>
    <t xml:space="preserve">https://www.bigbatbox.com/blogs/habitat-of-bats/big-bat-box-comparison</t>
  </si>
  <si>
    <t xml:space="preserve">https://www.bigbatbox.com/es/blogs/fun-facts-about-owls/5-things-you-didn-t-know-about-eastern-screech-owls</t>
  </si>
  <si>
    <t xml:space="preserve">https://www.bigbatbox.com/de/pages/bat-house-guide</t>
  </si>
  <si>
    <t xml:space="preserve">https://www.bigbatbox.com/pages/bat-houses-for-sale</t>
  </si>
  <si>
    <t xml:space="preserve">https://www.bigbatbox.com/es/blogs/habitat-of-bats/big-bat-box-comparison</t>
  </si>
  <si>
    <t xml:space="preserve">https://www.bigbatbox.com/es/blogs/habitat-of-bats/cedar-bat-box-for-cold-climates-what-you-need-to-know</t>
  </si>
  <si>
    <t xml:space="preserve">https://www.bigbatbox.com/es/blogs/habitat-of-bats/best-bat-boxes-for-mosquito-control-simple-guide-real-example</t>
  </si>
  <si>
    <t xml:space="preserve">https://www.bigbatbox.com/de/pages/bat-houses-for-sale</t>
  </si>
  <si>
    <t xml:space="preserve">https://www.bigbatbox.com/pages/bat-house-guide</t>
  </si>
  <si>
    <t xml:space="preserve">https://www.bigbatbox.com/es/pages/bat-houses-for-sale</t>
  </si>
  <si>
    <t xml:space="preserve">https://www.bigbatbox.com/es/pages/bat-house-guide</t>
  </si>
  <si>
    <t xml:space="preserve">SERP title</t>
  </si>
  <si>
    <t xml:space="preserve">Big Bat Box: Bat Houses, Owl Boxes &amp; Bee Hotels</t>
  </si>
  <si>
    <t xml:space="preserve">Source: Bigbatbox - Site Audit.xlsx / Page and SERP titles do not mat</t>
  </si>
  <si>
    <t xml:space="preserve">https://www.bigbatbox.com/products/bee-house</t>
  </si>
  <si>
    <t xml:space="preserve">Bee House — Bamboo Pollinator Hotel for Gardens | Big Bat Box</t>
  </si>
  <si>
    <t xml:space="preserve">Bee House — Bamboo Pollinator Hotel for Gardens</t>
  </si>
  <si>
    <t xml:space="preserve">Owl Box — Cedar Owl House for Screech &amp; Saw-Whet Owls</t>
  </si>
  <si>
    <t xml:space="preserve">https://www.bigbatbox.com/products/big-bat-barn</t>
  </si>
  <si>
    <t xml:space="preserve">Big Bat Barn Brown — 3-Chamber Cedar Bat House, 150 Bats | Big Bat Box</t>
  </si>
  <si>
    <t xml:space="preserve">Big Bat Barn Brown — 3-Chamber Cedar Bat House, 150 ...</t>
  </si>
  <si>
    <t xml:space="preserve">https://www.bigbatbox.com/blogs/habitat-of-bats</t>
  </si>
  <si>
    <t xml:space="preserve">Habitat of Bats: Discover Where They Live and Thrive – Big Bat Box</t>
  </si>
  <si>
    <t xml:space="preserve">BCI Certified Bat House: Importance of Certification</t>
  </si>
  <si>
    <t xml:space="preserve">WildYard X Angry Birds™ DIY Birdhouse Kit – Build &amp; Paint</t>
  </si>
  <si>
    <t xml:space="preserve">Bat House Installation Guide — How to Mount a Bat Box | Big Bat Box</t>
  </si>
  <si>
    <t xml:space="preserve">Bat House Installation Guide — How to Mount a Bat Box</t>
  </si>
  <si>
    <t xml:space="preserve">Squirrel House - Hideout &amp; Feeder Cedar Outdoor Nesting ...</t>
  </si>
  <si>
    <t xml:space="preserve">Two Chamber Black Bat House — Holds 75 Bats</t>
  </si>
  <si>
    <t xml:space="preserve">Nichoirs chauve-souris, chouette &amp; abeilles | Big Bat Box</t>
  </si>
  <si>
    <t xml:space="preserve">Nichoirs chauve-souris, chouette &amp; abeilles</t>
  </si>
  <si>
    <t xml:space="preserve">Cajas nido, refugios y hoteles de insectos | Big Bat Box</t>
  </si>
  <si>
    <t xml:space="preserve">Cajas nido, refugios y hoteles de insectos</t>
  </si>
  <si>
    <t xml:space="preserve">Three Chamber Brown Cedar Bat House — 200 Bats | Big Bat Box</t>
  </si>
  <si>
    <t xml:space="preserve">Three Chamber Brown Cedar Bat House — 200 Bats</t>
  </si>
  <si>
    <t xml:space="preserve">Two Chamber Cedar Bat House — Holds 75 Bats | Big Bat Box</t>
  </si>
  <si>
    <t xml:space="preserve">Two Chamber Cedar Bat House — Holds 75 Bats</t>
  </si>
  <si>
    <t xml:space="preserve">https://www.bigbatbox.com/products/bat-barn-junior-black</t>
  </si>
  <si>
    <t xml:space="preserve">Bat Barn Junior Black — 2-Chamber Bat House, 50 Bats | Big Bat Box</t>
  </si>
  <si>
    <t xml:space="preserve">Bat Barn Junior Black — 2-Chamber Bat House, 50 Bats</t>
  </si>
  <si>
    <t xml:space="preserve">https://www.bigbatbox.com/blogs/fun-facts-about-owls/why-do-owls-hoot-at-night</t>
  </si>
  <si>
    <t xml:space="preserve">Why Do Owls Hoot at Night? | WildYard – Big Bat Box</t>
  </si>
  <si>
    <t xml:space="preserve">Why Do Owls Hoot at Night? | WildYard</t>
  </si>
  <si>
    <t xml:space="preserve">https://www.bigbatbox.com/collections/2-chamber-bat-houses</t>
  </si>
  <si>
    <t xml:space="preserve">Two Chamber Bat Houses — Cedar Bat Boxes, Holds 75 Bats | Big Bat Box</t>
  </si>
  <si>
    <t xml:space="preserve">Two Chamber Bat Houses — Cedar Bat Boxes, Holds 75 ...</t>
  </si>
  <si>
    <t xml:space="preserve">Three Chamber Cedar Bat House — Holds 200 Bats | Big Bat Box</t>
  </si>
  <si>
    <t xml:space="preserve">Three Chamber Cedar Bat House — Holds 200 Bats</t>
  </si>
  <si>
    <t xml:space="preserve">3 Chamber Bat Houses — BCI-Certified, Holds 200 Bats</t>
  </si>
  <si>
    <t xml:space="preserve">https://www.bigbatbox.com/blogs/types-of-squirrels/are-squirrels-nocturnal</t>
  </si>
  <si>
    <t xml:space="preserve">Are Squirrels Nocturnal? Their Real Activity Pattern – Big Bat Box</t>
  </si>
  <si>
    <t xml:space="preserve">Are Squirrels Nocturnal? Their Real Activity Pattern</t>
  </si>
  <si>
    <t xml:space="preserve">Types of Squirrels: Discover Their Habitats &amp; Behaviors</t>
  </si>
  <si>
    <t xml:space="preserve">https://www.bigbatbox.com/blogs/fun-facts-about-owls/owl-sounds-decoded</t>
  </si>
  <si>
    <t xml:space="preserve">Owl Sounds at Night: Identify Every Call by Species – Big Bat Box</t>
  </si>
  <si>
    <t xml:space="preserve">Owl Sounds at Night: Identify Every Call by Species</t>
  </si>
  <si>
    <t xml:space="preserve">https://www.bigbatbox.com/blogs/habitat-of-bats/a-brief-guide-to-building-and-installing-bat-boxes</t>
  </si>
  <si>
    <t xml:space="preserve">How to Build a Bat Box: Materials, Spacing &amp; Sealing – Big Bat Box</t>
  </si>
  <si>
    <t xml:space="preserve">How to Build a Bat Box: Materials, Spacing &amp; Sealing</t>
  </si>
  <si>
    <t xml:space="preserve">https://www.bigbatbox.com/blogs/fun-facts-about-owls/how-long-do-owls-live</t>
  </si>
  <si>
    <t xml:space="preserve">How Long Do Owls Live? Wild Lifespan Explained – Big Bat Box</t>
  </si>
  <si>
    <t xml:space="preserve">How Long Do Owls Live? Wild Lifespan Explained</t>
  </si>
  <si>
    <t xml:space="preserve">Bat Houses for Sale — Shop All Bat Houses | Big Bat Box</t>
  </si>
  <si>
    <t xml:space="preserve">Bat Houses for Sale</t>
  </si>
  <si>
    <t xml:space="preserve">https://www.bigbatbox.com/blogs/habitat-of-bats/how-to-attract-bats-your-go-to-guide</t>
  </si>
  <si>
    <t xml:space="preserve">How to Attract Bats: Your Go-To Guide – Big Bat Box</t>
  </si>
  <si>
    <t xml:space="preserve">How to Attract Bats: Your Go-To Guide</t>
  </si>
  <si>
    <t xml:space="preserve">Source: Bigbatbox - Site Audit.xlsx / Twitter and Open Graph tags inc</t>
  </si>
  <si>
    <t xml:space="preserve">Content type</t>
  </si>
  <si>
    <t xml:space="preserve">Size (bytes)</t>
  </si>
  <si>
    <t xml:space="preserve">Loading time (ms)</t>
  </si>
  <si>
    <t xml:space="preserve">No. of IMG inlinks</t>
  </si>
  <si>
    <t xml:space="preserve">https://www.bigbatbox.com/cdn/shop/files/T_Light_Barn_Logo.webp?crop=center&amp;height=4000&amp;v=1784043894&amp;width=4000</t>
  </si>
  <si>
    <t xml:space="preserve">image/png</t>
  </si>
  <si>
    <t xml:space="preserve">Source: Bigbatbox - Site Audit.xlsx / Image file size too large</t>
  </si>
  <si>
    <t xml:space="preserve">https://www.bigbatbox.com/cdn/shop/files/DSC03158.png?crop=center&amp;height=3734&amp;v=1748795579&amp;width=3734</t>
  </si>
  <si>
    <t xml:space="preserve">https://www.bigbatbox.com/cdn/shop/files/T_Dark_Barn_Logo.webp?crop=center&amp;height=4000&amp;v=1784043987&amp;width=4000</t>
  </si>
  <si>
    <t xml:space="preserve">https://www.bigbatbox.com/cdn/shop/files/T_Light_Barn_Bottom.webp?crop=center&amp;height=4000&amp;v=1784043894&amp;width=4000</t>
  </si>
  <si>
    <t xml:space="preserve">https://www.bigbatbox.com/cdn/shop/files/T_Light_Barn_Tilt.webp?crop=center&amp;height=4920&amp;v=1784043894&amp;width=4100</t>
  </si>
  <si>
    <t xml:space="preserve">https://www.bigbatbox.com/cdn/shop/articles/bird_partner_blog_be073551-87a6-4f5a-a3f2-67e9937ebf07.png?crop=center&amp;height=2462&amp;v=1787913154&amp;width=4100</t>
  </si>
  <si>
    <t xml:space="preserve">https://www.bigbatbox.com/cdn/shop/files/T_Dark_Barn_Bottom.webp?crop=center&amp;height=4000&amp;v=1784043986&amp;width=4000</t>
  </si>
  <si>
    <t xml:space="preserve">https://www.bigbatbox.com/cdn/shop/files/T_WildYard_Flowerpot_TopAngle_Flowers.webp?crop=center&amp;height=4100&amp;v=1776429379&amp;width=4100</t>
  </si>
  <si>
    <t xml:space="preserve">https://www.bigbatbox.com/cdn/shop/files/bird_partner_blog.png?crop=center&amp;height=2747&amp;v=1787912702&amp;width=4574</t>
  </si>
  <si>
    <t xml:space="preserve">https://www.bigbatbox.com/cdn/shop/files/squirrel3.jpg?crop=center&amp;height=3456&amp;v=1786347989&amp;width=5184</t>
  </si>
  <si>
    <t xml:space="preserve">image/jpeg</t>
  </si>
  <si>
    <t xml:space="preserve">https://www.bigbatbox.com/cdn/shop/files/T_Light_Barn_Tilt.webp?crop=center&amp;height=4100&amp;v=1784043894&amp;width=4100</t>
  </si>
  <si>
    <t xml:space="preserve">https://www.bigbatbox.com/cdn/shop/files/T_Light_Barn_Logo_2048x.webp?v=1784043894</t>
  </si>
  <si>
    <t xml:space="preserve">https://www.bigbatbox.com/cdn/shop/files/T_Light_Barn_Logo_2048x2048.webp?v=1784043894</t>
  </si>
  <si>
    <t xml:space="preserve">https://www.bigbatbox.com/cdn/shop/files/T_Dark_Barn_Logo_2048x2048.webp?v=1784043987</t>
  </si>
  <si>
    <t xml:space="preserve">https://www.bigbatbox.com/cdn/shop/files/T_Dark_Barn_Logo_2048x.webp?v=1784043987</t>
  </si>
  <si>
    <t xml:space="preserve">https://www.bigbatbox.com/cdn/shop/files/T_WY_BirdSuetFeeder_Main_wBird.webp?crop=center&amp;height=4000&amp;v=1788849449&amp;width=4000</t>
  </si>
  <si>
    <t xml:space="preserve">https://www.bigbatbox.com/cdn/shop/files/T_WY_BirdSuetFeeder_Main.webp?crop=center&amp;height=4000&amp;v=1788849449&amp;width=4000</t>
  </si>
  <si>
    <t xml:space="preserve">https://www.bigbatbox.com/cdn/shop/files/T_Dark_Barn_Tilt.webp?crop=center&amp;height=4100&amp;v=1784043987&amp;width=4100</t>
  </si>
  <si>
    <t xml:space="preserve">https://www.bigbatbox.com/cdn/shop/files/T_Light_Barn_Bottom_2048x.webp?v=1784043894</t>
  </si>
  <si>
    <t xml:space="preserve">https://www.bigbatbox.com/cdn/shop/files/T_Light_Barn_Bottom_2048x2048.webp?v=1784043894</t>
  </si>
  <si>
    <t xml:space="preserve">https://www.bigbatbox.com/cdn/shop/articles/squirrel2.jpg?crop=center&amp;height=3689&amp;v=1786103756&amp;width=4100</t>
  </si>
  <si>
    <t xml:space="preserve">https://www.bigbatbox.com/cdn/shop/articles/baby.jpg?crop=center&amp;height=4100&amp;v=1786347550&amp;width=4100</t>
  </si>
  <si>
    <t xml:space="preserve">https://www.bigbatbox.com/cdn/shop/files/T_Dark_Barn_Bottom_2048x.webp?v=1784043986</t>
  </si>
  <si>
    <t xml:space="preserve">https://www.bigbatbox.com/cdn/shop/files/T_Dark_Barn_Bottom_2048x2048.webp?v=1784043986</t>
  </si>
  <si>
    <t xml:space="preserve">https://www.bigbatbox.com/cdn/shop/articles/squirrel3.jpg?crop=center&amp;height=3689&amp;v=1786348010&amp;width=4100</t>
  </si>
  <si>
    <t xml:space="preserve">https://www.bigbatbox.com/cdn/shop/articles/squirrel3.jpg?crop=center&amp;height=4510&amp;v=1786348010&amp;width=4100</t>
  </si>
  <si>
    <t xml:space="preserve">https://www.bigbatbox.com/cdn/shop/articles/squirrel3.jpg?crop=center&amp;height=2733&amp;v=1786348010&amp;width=4100</t>
  </si>
  <si>
    <t xml:space="preserve">https://www.bigbatbox.com/cdn/shop/articles/squirrel3.jpg?crop=center&amp;height=4100&amp;v=1786348010&amp;width=4100</t>
  </si>
  <si>
    <t xml:space="preserve">https://www.bigbatbox.com/cdn/shop/articles/baby.jpg?crop=center&amp;height=3689&amp;v=1786347550&amp;width=4100</t>
  </si>
  <si>
    <t xml:space="preserve">https://www.bigbatbox.com/cdn/shop/articles/bird5_70e07966-eec4-4366-8325-65e453780a14.jpg?crop=center&amp;height=4404&amp;v=1788847406&amp;width=3711</t>
  </si>
  <si>
    <t xml:space="preserve">https://www.bigbatbox.com/cdn/shop/articles/bird5_70e07966-eec4-4366-8325-65e453780a14.jpg?crop=center&amp;height=4082&amp;v=1788847406&amp;width=3711</t>
  </si>
  <si>
    <t xml:space="preserve">https://www.bigbatbox.com/cdn/shop/articles/bird5_70e07966-eec4-4366-8325-65e453780a14.jpg?crop=center&amp;height=3711&amp;v=1788847406&amp;width=3711</t>
  </si>
  <si>
    <t xml:space="preserve">https://www.bigbatbox.com/cdn/shop/articles/squirrel2.jpg?crop=center&amp;height=2733&amp;v=1786103756&amp;width=4100</t>
  </si>
  <si>
    <t xml:space="preserve">https://www.bigbatbox.com/cdn/shop/articles/squirrel2.jpg?crop=center&amp;height=4100&amp;v=1786103756&amp;width=4100</t>
  </si>
  <si>
    <t xml:space="preserve">https://www.bigbatbox.com/cdn/shop/articles/squirrel2.jpg?crop=center&amp;height=4510&amp;v=1786103756&amp;width=4100</t>
  </si>
  <si>
    <t xml:space="preserve">https://www.bigbatbox.com/cdn/shop/articles/baby.jpg?crop=center&amp;height=2733&amp;v=1786347550&amp;width=4100</t>
  </si>
  <si>
    <t xml:space="preserve">https://www.bigbatbox.com/cdn/shop/articles/baby.jpg?crop=center&amp;height=4510&amp;v=1786347550&amp;width=4100</t>
  </si>
  <si>
    <t xml:space="preserve">https://www.bigbatbox.com/cdn/shop/files/T_WildYard_Flowerpot_TopAngle_Flowers_2048x.webp?v=1776429379</t>
  </si>
  <si>
    <t xml:space="preserve">https://www.bigbatbox.com/cdn/shop/files/T_WildYard_Flowerpot_TopAngle_Flowers_2048x2048.webp?v=1776429379</t>
  </si>
  <si>
    <t xml:space="preserve">https://www.bigbatbox.com/cdn/shop/files/vista-de-angulo-bajo-de-aves-volando-contra-el-cielo.jpg?crop=center&amp;height=2733&amp;v=1763150022&amp;width=4100</t>
  </si>
  <si>
    <t xml:space="preserve">https://www.bigbatbox.com/cdn/shop/files/T_WY_SquirrelFeeder_Front_wSquirrels_1.png?crop=center&amp;height=4000&amp;v=1786429178&amp;width=4000</t>
  </si>
  <si>
    <t xml:space="preserve">https://www.bigbatbox.com/cdn/shop/files/T_Dark_Barn_Side.webp?crop=center&amp;height=4099&amp;v=1784043986&amp;width=4100</t>
  </si>
  <si>
    <t xml:space="preserve">https://www.bigbatbox.com/cdn/shop/files/T_Light_Barn_Side.webp?crop=center&amp;height=4099&amp;v=1784043893&amp;width=4100</t>
  </si>
  <si>
    <t xml:space="preserve">https://www.bigbatbox.com/cdn/shop/files/nils-bouillard-OZGTig5Z1a8-unsplash.png?crop=center&amp;height=2000&amp;v=1763149945&amp;width=2000</t>
  </si>
  <si>
    <t xml:space="preserve">https://www.bigbatbox.com/cdn/shop/files/T_Light_Barn_Tilt_2048x.webp?v=1784043894</t>
  </si>
  <si>
    <t xml:space="preserve">https://www.bigbatbox.com/cdn/shop/files/T_Light_Barn_Tilt_2048x2048.webp?v=1784043894</t>
  </si>
  <si>
    <t xml:space="preserve">https://www.bigbatbox.com/cdn/shop/files/ANGRY-BIRDS-BANNER_b6797f24-30f5-4010-a43b-c420f32bb9a0.png?v=1774625536&amp;width=2000</t>
  </si>
  <si>
    <t xml:space="preserve">https://www.bigbatbox.com/cdn/shop/articles/bird6.jpg?crop=center&amp;height=3500&amp;v=1788847388&amp;width=2333</t>
  </si>
  <si>
    <t xml:space="preserve">https://www.bigbatbox.com/cdn/shop/files/squirrel4.jpg?crop=center&amp;height=4044&amp;v=1786359851&amp;width=3033</t>
  </si>
  <si>
    <t xml:space="preserve">https://www.bigbatbox.com/cdn/shop/files/40.webp?crop=center&amp;height=3000&amp;v=1760582053&amp;width=3000</t>
  </si>
  <si>
    <t xml:space="preserve">https://www.bigbatbox.com/cdn/shop/files/vista-de-angulo-bajo-de-aves-volando-contra-el-cielo.jpg?crop=center&amp;height=3165&amp;v=1763150022&amp;width=4747</t>
  </si>
  <si>
    <t xml:space="preserve">https://www.bigbatbox.com/cdn/shop/files/ANGRY-BIRDS-BANNER_857a9aa9-d67c-40d7-af6c-4e0ac6e555d1.png?v=1774625391&amp;width=2000</t>
  </si>
  <si>
    <t xml:space="preserve">https://www.bigbatbox.com/cdn/shop/files/DSC03195.jpg?crop=center&amp;height=4000&amp;v=1763149970&amp;width=5760</t>
  </si>
  <si>
    <t xml:space="preserve">https://www.bigbatbox.com/cdn/shop/files/T_WY_BirdSuetFeeder_Main_wBird_2048x.webp?v=1788849449</t>
  </si>
  <si>
    <t xml:space="preserve">https://www.bigbatbox.com/cdn/shop/files/T_WY_BirdSuetFeeder_Main_wBird_2048x2048.webp?v=1788849449</t>
  </si>
  <si>
    <t xml:space="preserve">https://www.bigbatbox.com/cdn/shop/files/40_2048x2048.webp?v=1760582053</t>
  </si>
  <si>
    <t xml:space="preserve">https://www.bigbatbox.com/cdn/shop/files/40_2048x.webp?v=1760582053</t>
  </si>
  <si>
    <t xml:space="preserve">https://www.bigbatbox.com/cdn/shop/files/BBB_Site_Asset_About_Bats_2400_px-min.png?crop=center&amp;height=1200&amp;v=1763150080&amp;width=2400</t>
  </si>
  <si>
    <t xml:space="preserve">https://www.bigbatbox.com/cdn/shop/articles/wintersquirrel.jpg?crop=center&amp;height=3434&amp;v=1786103574&amp;width=2576</t>
  </si>
  <si>
    <t xml:space="preserve">https://www.bigbatbox.com/cdn/shop/files/BigBeeBox_2048x.webp?v=1760582013</t>
  </si>
  <si>
    <t xml:space="preserve">https://www.bigbatbox.com/cdn/shop/files/BigBeeBox.webp?crop=center&amp;height=2048&amp;v=1760582013&amp;width=2048</t>
  </si>
  <si>
    <t xml:space="preserve">https://www.bigbatbox.com/cdn/shop/files/BigBeeBox_2048x2048.webp?v=1760582013</t>
  </si>
  <si>
    <t xml:space="preserve">https://www.bigbatbox.com/cdn/shop/articles/bird3_6fefd319-61df-437e-97b5-45f3446abbb8.jpg?crop=center&amp;height=3769&amp;v=1788847292&amp;width=3015</t>
  </si>
  <si>
    <t xml:space="preserve">https://www.bigbatbox.com/cdn/shop/files/bird2.jpg?crop=center&amp;height=2733&amp;v=1788785792&amp;width=4100</t>
  </si>
  <si>
    <t xml:space="preserve">https://www.bigbatbox.com/cdn/shop/files/WY_Gift_Card_30.png?crop=center&amp;height=3370&amp;v=1770896919&amp;width=3370</t>
  </si>
  <si>
    <t xml:space="preserve">https://www.bigbatbox.com/cdn/shop/articles/bird3_6fefd319-61df-437e-97b5-45f3446abbb8.jpg?crop=center&amp;height=3316&amp;v=1788847292&amp;width=3015</t>
  </si>
  <si>
    <t xml:space="preserve">https://www.bigbatbox.com/cdn/shop/files/WY_Gift_Card_100.png?crop=center&amp;height=3370&amp;v=1770896912&amp;width=3370</t>
  </si>
  <si>
    <t xml:space="preserve">https://www.bigbatbox.com/cdn/shop/files/T_Dark_Barn_Tilt_2048x2048.webp?v=1784043987</t>
  </si>
  <si>
    <t xml:space="preserve">https://www.bigbatbox.com/cdn/shop/files/T_Dark_Barn_Tilt_2048x.webp?v=1784043987</t>
  </si>
  <si>
    <t xml:space="preserve">https://www.bigbatbox.com/cdn/shop/files/Ready_Aim_Decorate_mobile_53a2bc2e-31e5-44ae-8ef4-079759435182.png?crop=center&amp;height=1954&amp;v=1774942149&amp;width=2160</t>
  </si>
  <si>
    <t xml:space="preserve">https://www.bigbatbox.com/cdn/shop/files/DSC03195.jpg?crop=center&amp;height=2733&amp;v=1763149970&amp;width=4100</t>
  </si>
  <si>
    <t xml:space="preserve">https://www.bigbatbox.com/cdn/shop/files/T_WY_BirdSuetFeeder_Main_2048x2048.webp?v=1788849449</t>
  </si>
  <si>
    <t xml:space="preserve">https://www.bigbatbox.com/cdn/shop/files/T_WY_BirdSuetFeeder_Main_2048x.webp?v=1788849449</t>
  </si>
  <si>
    <t xml:space="preserve">https://www.bigbatbox.com/cdn/shop/articles/bird6.jpg?crop=center&amp;height=2566&amp;v=1788847388&amp;width=2333</t>
  </si>
  <si>
    <t xml:space="preserve">https://www.bigbatbox.com/cdn/shop/files/WY_Gift_Card_60.png?crop=center&amp;height=3370&amp;v=1770896920&amp;width=3370</t>
  </si>
  <si>
    <t xml:space="preserve">https://www.bigbatbox.com/cdn/shop/articles/wintersquirrel.jpg?crop=center&amp;height=2576&amp;v=1786103574&amp;width=2576</t>
  </si>
  <si>
    <t xml:space="preserve">https://www.bigbatbox.com/cdn/shop/articles/zdenek-machacek-FvTn9Dlv39A-unsplash.jpg?crop=center&amp;height=3142&amp;v=1786347859&amp;width=3142</t>
  </si>
  <si>
    <t xml:space="preserve">https://www.bigbatbox.com/cdn/shop/articles/zdenek-machacek-FvTn9Dlv39A-unsplash.jpg?crop=center&amp;height=2194&amp;v=1786347859&amp;width=3142</t>
  </si>
  <si>
    <t xml:space="preserve">https://www.bigbatbox.com/cdn/shop/articles/bird3_6fefd319-61df-437e-97b5-45f3446abbb8.jpg?crop=center&amp;height=3015&amp;v=1788847292&amp;width=3015</t>
  </si>
  <si>
    <t xml:space="preserve">https://www.bigbatbox.com/cdn/shop/files/Rectangle_79.png?crop=center&amp;height=1244&amp;v=1763149461&amp;width=1834</t>
  </si>
  <si>
    <t xml:space="preserve">https://www.bigbatbox.com/cdn/shop/files/3chamber-9_64e3575e-8ca1-4657-a724-bc9ceefe6834.jpg?crop=center&amp;height=3648&amp;v=1762088420&amp;width=3648</t>
  </si>
  <si>
    <t xml:space="preserve">https://www.bigbatbox.com/cdn/shop/files/ANGRY-BIRDS-BANNER_1.png?crop=center&amp;height=1188&amp;v=1773908012&amp;width=1993</t>
  </si>
  <si>
    <t xml:space="preserve">https://www.bigbatbox.com/cdn/shop/articles/bird6.jpg?crop=center&amp;height=2333&amp;v=1788847388&amp;width=2333</t>
  </si>
  <si>
    <t xml:space="preserve">https://www.bigbatbox.com/cdn/shop/files/mano-de-una-persona-en-hermosas-hojas-verdes-en-un-bosque.jpg?crop=center&amp;height=5760&amp;v=1763149955&amp;width=4000</t>
  </si>
  <si>
    <t xml:space="preserve">https://www.bigbatbox.com/cdn/shop/articles/20cfda6520f0464a06c1dadcaab11b35.jpg?crop=center&amp;height=2664&amp;v=1781002246&amp;width=4000</t>
  </si>
  <si>
    <t xml:space="preserve">https://www.bigbatbox.com/cdn/shop/articles/20cfda6520f0464a06c1dadcaab11b35.jpg?crop=center&amp;height=4000&amp;v=1781002246&amp;width=4000</t>
  </si>
  <si>
    <t xml:space="preserve">https://www.bigbatbox.com/cdn/shop/articles/owl3.jpg?crop=center&amp;height=4100&amp;v=1786347743&amp;width=4100</t>
  </si>
  <si>
    <t xml:space="preserve">https://www.bigbatbox.com/cdn/shop/articles/owl3.jpg?crop=center&amp;height=2733&amp;v=1786347743&amp;width=4100</t>
  </si>
  <si>
    <t xml:space="preserve">https://www.bigbatbox.com/cdn/shop/files/WY_Gift_Card_30_2048x2048.png?v=1770896919</t>
  </si>
  <si>
    <t xml:space="preserve">https://www.bigbatbox.com/cdn/shop/files/WY_Gift_Card_30_2048x.png?v=1770896919</t>
  </si>
  <si>
    <t xml:space="preserve">https://www.bigbatbox.com/cdn/shop/files/WY_Gift_Card_60_2048x2048.png?v=1770896920</t>
  </si>
  <si>
    <t xml:space="preserve">https://www.bigbatbox.com/cdn/shop/files/WY_Gift_Card_60_2048x.png?v=1770896920</t>
  </si>
  <si>
    <t xml:space="preserve">https://www.bigbatbox.com/cdn/shop/files/WY_Gift_Card_100_2048x2048.png?v=1770896912</t>
  </si>
  <si>
    <t xml:space="preserve">https://www.bigbatbox.com/cdn/shop/files/WY_Gift_Card_100_2048x.png?v=1770896912</t>
  </si>
  <si>
    <t xml:space="preserve">https://www.bigbatbox.com/cdn/shop/files/Bee_Box_Hero.jpg?crop=center&amp;height=2733&amp;v=1763149795&amp;width=4100</t>
  </si>
  <si>
    <t xml:space="preserve">HTTP status code</t>
  </si>
  <si>
    <t xml:space="preserve">Organic traffic</t>
  </si>
  <si>
    <t xml:space="preserve">Linked images without alt attribute</t>
  </si>
  <si>
    <t xml:space="preserve">No. of linked images without alt attribute</t>
  </si>
  <si>
    <t xml:space="preserve">https://www.bigbatbox.com/es/blogs/wildyard-learn/bats-bees-as-your-garden-pollinators</t>
  </si>
  <si>
    <t xml:space="preserve">https://cdn.shopify.com/s/files/1/0002/0447/2339/files/DSC02696_600x600.webp?v=1724404416
 https://cdn.shopify.com/s/files/1/0002/0447/2339/files/DSC03255_600x600.webp?v=1724404416</t>
  </si>
  <si>
    <t xml:space="preserve">Source: Bigbatbox - Site Audit.xlsx / Images Missing ALT text</t>
  </si>
  <si>
    <t xml:space="preserve">https://www.bigbatbox.com/blogs/wildyard-learn/bats-bees-as-your-garden-pollinators</t>
  </si>
  <si>
    <t xml:space="preserve">https://happy-sinks.com/collections/kitchen-accessories</t>
  </si>
  <si>
    <t xml:space="preserve">Source: https_happy-sinks.com_ - URL Report.xlsx / Missing H1 Tag</t>
  </si>
  <si>
    <t xml:space="preserve">https://happy-sinks.com/collections/sink-accessories</t>
  </si>
  <si>
    <t xml:space="preserve">https://happy-sinks.com/collections/all</t>
  </si>
  <si>
    <t xml:space="preserve">https://happy-sinks.com/collections/cloth-holders</t>
  </si>
  <si>
    <t xml:space="preserve">https://happy-sinks.com/collections/new-arrivals</t>
  </si>
  <si>
    <t xml:space="preserve">https://happy-sinks.com/collections/sponge-holders</t>
  </si>
  <si>
    <t xml:space="preserve">https://happy-sinks.com/collections/gift-cards</t>
  </si>
  <si>
    <t xml:space="preserve">https://happy-sinks.com/collections/dishcloths</t>
  </si>
  <si>
    <t xml:space="preserve">https://happy-sinks.com/collections/kitchen-sink-sets</t>
  </si>
  <si>
    <t xml:space="preserve">https://happy-sinks.com/collections/konna-the-fly-trap</t>
  </si>
  <si>
    <t xml:space="preserve">https://happy-sinks.com/pages/sustainability</t>
  </si>
  <si>
    <t xml:space="preserve">https://happy-sinks.com/pages/become-a-reseller</t>
  </si>
  <si>
    <t xml:space="preserve">https://happy-sinks.com/pages/happy-sinks-affiliate-program</t>
  </si>
  <si>
    <t xml:space="preserve">https://happy-sinks.com/collections</t>
  </si>
  <si>
    <t xml:space="preserve">https://happy-sinks.com/sv/collections/kitchen-sink-sets</t>
  </si>
  <si>
    <t xml:space="preserve">https://happy-sinks.com/sv/collections/gift-cards</t>
  </si>
  <si>
    <t xml:space="preserve">https://happy-sinks.com/sv/pages/sustainability</t>
  </si>
  <si>
    <t xml:space="preserve">https://happy-sinks.com/sv/collections/all</t>
  </si>
  <si>
    <t xml:space="preserve">https://happy-sinks.com/sv/pages/happy-sinks-affiliate-program</t>
  </si>
  <si>
    <t xml:space="preserve">https://happy-sinks.com/sv/collections/dishcloths</t>
  </si>
  <si>
    <t xml:space="preserve">https://happy-sinks.com/sv/collections/konna-the-fly-trap</t>
  </si>
  <si>
    <t xml:space="preserve">https://happy-sinks.com/sv/pages/become-a-reseller</t>
  </si>
  <si>
    <t xml:space="preserve">https://happy-sinks.com/sv/collections/new-arrivals</t>
  </si>
  <si>
    <t xml:space="preserve">https://happy-sinks.com/da/collections/dishcloths</t>
  </si>
  <si>
    <t xml:space="preserve">https://happy-sinks.com/da/pages/happy-sinks-affiliate-program</t>
  </si>
  <si>
    <t xml:space="preserve">https://happy-sinks.com/de/pages/happy-sinks-affiliate-program</t>
  </si>
  <si>
    <t xml:space="preserve">https://happy-sinks.com/fi/collections/all</t>
  </si>
  <si>
    <t xml:space="preserve">https://happy-sinks.com/de/collections/new-arrivals</t>
  </si>
  <si>
    <t xml:space="preserve">https://happy-sinks.com/fi/pages/happy-sinks-affiliate-program</t>
  </si>
  <si>
    <t xml:space="preserve">https://happy-sinks.com/fi/pages/data-sharing-opt-out</t>
  </si>
  <si>
    <t xml:space="preserve">https://happy-sinks.com/fi/collections/konna-the-fly-trap</t>
  </si>
  <si>
    <t xml:space="preserve">https://happy-sinks.com/de/collections/konna-the-fly-trap</t>
  </si>
  <si>
    <t xml:space="preserve">https://happy-sinks.com/da/pages/sustainability</t>
  </si>
  <si>
    <t xml:space="preserve">https://happy-sinks.com/fi/pages/warranty-registration</t>
  </si>
  <si>
    <t xml:space="preserve">https://happy-sinks.com/da/pages/become-a-reseller</t>
  </si>
  <si>
    <t xml:space="preserve">https://happy-sinks.com/fi/pages/sustainability</t>
  </si>
  <si>
    <t xml:space="preserve">https://happy-sinks.com/fi/collections/kitchen-sink-sets</t>
  </si>
  <si>
    <t xml:space="preserve">https://happy-sinks.com/de/pages/warranty-registration</t>
  </si>
  <si>
    <t xml:space="preserve">https://happy-sinks.com/fi/search</t>
  </si>
  <si>
    <t xml:space="preserve">https://happy-sinks.com/de/collections/all</t>
  </si>
  <si>
    <t xml:space="preserve">https://happy-sinks.com/fi/pages/become-a-reseller</t>
  </si>
  <si>
    <t xml:space="preserve">https://happy-sinks.com/da/collections/kitchen-sink-sets</t>
  </si>
  <si>
    <t xml:space="preserve">https://happy-sinks.com/fi/collections</t>
  </si>
  <si>
    <t xml:space="preserve">https://happy-sinks.com/pages/data-sharing-opt-out</t>
  </si>
  <si>
    <t xml:space="preserve">https://happy-sinks.com/da/collections/all</t>
  </si>
  <si>
    <t xml:space="preserve">https://happy-sinks.com/da/collections/konna-the-fly-trap</t>
  </si>
  <si>
    <t xml:space="preserve">https://happy-sinks.com/de/collections/dishcloths</t>
  </si>
  <si>
    <t xml:space="preserve">https://happy-sinks.com/de/pages/become-a-reseller</t>
  </si>
  <si>
    <t xml:space="preserve">https://happy-sinks.com/collections/dish-drying-racks</t>
  </si>
  <si>
    <t xml:space="preserve">https://happy-sinks.com/de/pages/data-sharing-opt-out</t>
  </si>
  <si>
    <t xml:space="preserve">https://happy-sinks.com/pages/warranty-registration</t>
  </si>
  <si>
    <t xml:space="preserve">https://happy-sinks.com/da/collections</t>
  </si>
  <si>
    <t xml:space="preserve">https://happy-sinks.com/de/collections/kitchen-sink-sets</t>
  </si>
  <si>
    <t xml:space="preserve">https://happy-sinks.com/da/search</t>
  </si>
  <si>
    <t xml:space="preserve">https://happy-sinks.com/da/pages/data-sharing-opt-out</t>
  </si>
  <si>
    <t xml:space="preserve">https://happy-sinks.com/de/search</t>
  </si>
  <si>
    <t xml:space="preserve">https://happy-sinks.com/fi/collections/dishcloths</t>
  </si>
  <si>
    <t xml:space="preserve">https://happy-sinks.com/fi/collections/gift-cards</t>
  </si>
  <si>
    <t xml:space="preserve">https://happy-sinks.com/da/collections/gift-cards</t>
  </si>
  <si>
    <t xml:space="preserve">https://happy-sinks.com/de/collections/gift-cards</t>
  </si>
  <si>
    <t xml:space="preserve">https://happy-sinks.com/de/pages/sustainability</t>
  </si>
  <si>
    <t xml:space="preserve">https://happy-sinks.com/fi/collections/new-arrivals</t>
  </si>
  <si>
    <t xml:space="preserve">https://happy-sinks.com/da/collections/new-arrivals</t>
  </si>
  <si>
    <t xml:space="preserve">https://happy-sinks.com/de/collections</t>
  </si>
  <si>
    <t xml:space="preserve">https://happy-sinks.com/en-gb/collections/cloth-holders</t>
  </si>
  <si>
    <t xml:space="preserve">https://happy-sinks.com/es/pages/become-a-reseller</t>
  </si>
  <si>
    <t xml:space="preserve">https://happy-sinks.com/en-au/pages/happy-sinks-affiliate-program</t>
  </si>
  <si>
    <t xml:space="preserve">https://happy-sinks.com/en-gb/collections/konna-the-fly-trap</t>
  </si>
  <si>
    <t xml:space="preserve">https://happy-sinks.com/en-au/collections/all</t>
  </si>
  <si>
    <t xml:space="preserve">https://happy-sinks.com/en-gb/pages/sustainability</t>
  </si>
  <si>
    <t xml:space="preserve">https://happy-sinks.com/sv/pages/data-sharing-opt-out</t>
  </si>
  <si>
    <t xml:space="preserve">https://happy-sinks.com/es/collections/all</t>
  </si>
  <si>
    <t xml:space="preserve">https://happy-sinks.com/en-au/pages/data-sharing-opt-out</t>
  </si>
  <si>
    <t xml:space="preserve">https://happy-sinks.com/es/collections/kitchen-sink-sets</t>
  </si>
  <si>
    <t xml:space="preserve">https://happy-sinks.com/sv/pages/warranty-registration</t>
  </si>
  <si>
    <t xml:space="preserve">https://happy-sinks.com/en-gb/collections/all</t>
  </si>
  <si>
    <t xml:space="preserve">https://happy-sinks.com/en-au/collections/gift-cards</t>
  </si>
  <si>
    <t xml:space="preserve">https://happy-sinks.com/es/pages/happy-sinks-affiliate-program</t>
  </si>
  <si>
    <t xml:space="preserve">https://happy-sinks.com/en-au/collections/konna-the-fly-trap</t>
  </si>
  <si>
    <t xml:space="preserve">https://happy-sinks.com/en-au/pages/sustainability</t>
  </si>
  <si>
    <t xml:space="preserve">https://happy-sinks.com/en-gb/collections/new-arrivals</t>
  </si>
  <si>
    <t xml:space="preserve">https://happy-sinks.com/es/collections</t>
  </si>
  <si>
    <t xml:space="preserve">https://happy-sinks.com/en-au/collections/cloth-holders</t>
  </si>
  <si>
    <t xml:space="preserve">https://happy-sinks.com/es/collections/konna-the-fly-trap</t>
  </si>
  <si>
    <t xml:space="preserve">https://happy-sinks.com/es/collections/dishcloths</t>
  </si>
  <si>
    <t xml:space="preserve">https://happy-sinks.com/en-gb/pages/happy-sinks-affiliate-program</t>
  </si>
  <si>
    <t xml:space="preserve">https://happy-sinks.com/es/collections/new-arrivals</t>
  </si>
  <si>
    <t xml:space="preserve">https://happy-sinks.com/en-gb/pages/become-a-reseller</t>
  </si>
  <si>
    <t xml:space="preserve">https://happy-sinks.com/en-gb/collections/sponge-holders</t>
  </si>
  <si>
    <t xml:space="preserve">https://happy-sinks.com/en-au/collections/new-arrivals</t>
  </si>
  <si>
    <t xml:space="preserve">https://happy-sinks.com/es/pages/data-sharing-opt-out</t>
  </si>
  <si>
    <t xml:space="preserve">https://happy-sinks.com/en-gb/pages/data-sharing-opt-out</t>
  </si>
  <si>
    <t xml:space="preserve">https://happy-sinks.com/en-gb/collections/gift-cards</t>
  </si>
  <si>
    <t xml:space="preserve">https://happy-sinks.com/en-au/pages/warranty-registration</t>
  </si>
  <si>
    <t xml:space="preserve">https://happy-sinks.com/es/pages/sustainability</t>
  </si>
  <si>
    <t xml:space="preserve">https://happy-sinks.com/en-gb/pages/warranty-registration</t>
  </si>
  <si>
    <t xml:space="preserve">https://happy-sinks.com/es/collections/gift-cards</t>
  </si>
  <si>
    <t xml:space="preserve">https://happy-sinks.com/en-gb/collections/dishcloths</t>
  </si>
  <si>
    <t xml:space="preserve">https://happy-sinks.com/es/search</t>
  </si>
  <si>
    <t xml:space="preserve">https://happy-sinks.com/en-au/collections/kitchen-sink-sets</t>
  </si>
  <si>
    <t xml:space="preserve">https://happy-sinks.com/en-gb/collections/kitchen-sink-sets</t>
  </si>
  <si>
    <t xml:space="preserve">https://happy-sinks.com/en-au/pages/become-a-reseller</t>
  </si>
  <si>
    <t xml:space="preserve">https://happy-sinks.com/en-au/collections/sponge-holders</t>
  </si>
  <si>
    <t xml:space="preserve">https://happy-sinks.com/en-au/collections/dishcloths</t>
  </si>
  <si>
    <t xml:space="preserve">https://happy-sinks.com/collections/best-selling-collection</t>
  </si>
  <si>
    <t xml:space="preserve">https://happy-sinks.com/da/collections/sink-accessories</t>
  </si>
  <si>
    <t xml:space="preserve">https://happy-sinks.com/fi/collections/kitchen-accessories</t>
  </si>
  <si>
    <t xml:space="preserve">https://happy-sinks.com/fi/collections/best-selling-collection</t>
  </si>
  <si>
    <t xml:space="preserve">https://happy-sinks.com/sv/collections/sink-accessories</t>
  </si>
  <si>
    <t xml:space="preserve">https://happy-sinks.com/en-au/collections/best-selling-collection</t>
  </si>
  <si>
    <t xml:space="preserve">https://happy-sinks.com/en-au/collections/sink-accessories</t>
  </si>
  <si>
    <t xml:space="preserve">https://happy-sinks.com/collections/mioeco</t>
  </si>
  <si>
    <t xml:space="preserve">https://happy-sinks.com/de/collections/best-selling-collection</t>
  </si>
  <si>
    <t xml:space="preserve">https://happy-sinks.com/en-gb/collections/mioeco</t>
  </si>
  <si>
    <t xml:space="preserve">https://happy-sinks.com/en-gb/collections/sink-accessories</t>
  </si>
  <si>
    <t xml:space="preserve">https://happy-sinks.com/es/collections/best-selling-collection</t>
  </si>
  <si>
    <t xml:space="preserve">https://happy-sinks.com/en-au/collections/dish-drying-racks</t>
  </si>
  <si>
    <t xml:space="preserve">https://happy-sinks.com/de/collections/kitchen-accessories</t>
  </si>
  <si>
    <t xml:space="preserve">https://happy-sinks.com/sv/collections/kitchen-accessories</t>
  </si>
  <si>
    <t xml:space="preserve">https://happy-sinks.com/sv/collections/best-selling-collection</t>
  </si>
  <si>
    <t xml:space="preserve">https://happy-sinks.com/en-gb/collections/dish-drying-racks</t>
  </si>
  <si>
    <t xml:space="preserve">https://happy-sinks.com/da/collections/kitchen-accessories</t>
  </si>
  <si>
    <t xml:space="preserve">https://happy-sinks.com/fi/collections/sink-accessories</t>
  </si>
  <si>
    <t xml:space="preserve">https://happy-sinks.com/es/collections/sink-accessories</t>
  </si>
  <si>
    <t xml:space="preserve">https://happy-sinks.com/en-gb/collections/best-selling-collection</t>
  </si>
  <si>
    <t xml:space="preserve">https://happy-sinks.com/en-au/collections/kitchen-accessories</t>
  </si>
  <si>
    <t xml:space="preserve">https://happy-sinks.com/da/collections/best-selling-collection</t>
  </si>
  <si>
    <t xml:space="preserve">https://happy-sinks.com/fi/collections/mioeco</t>
  </si>
  <si>
    <t xml:space="preserve">https://happy-sinks.com/es/collections/kitchen-accessories</t>
  </si>
  <si>
    <t xml:space="preserve">https://happy-sinks.com/de/collections/sink-accessories</t>
  </si>
  <si>
    <t xml:space="preserve">https://happy-sinks.com/da/pages/warranty-registration</t>
  </si>
  <si>
    <t xml:space="preserve">https://happy-sinks.com/en-ca/collections/cloth-holders</t>
  </si>
  <si>
    <t xml:space="preserve">https://happy-sinks.com/en-ca/pages/warranty-registration</t>
  </si>
  <si>
    <t xml:space="preserve">https://happy-sinks.com/en-ca/pages/sustainability</t>
  </si>
  <si>
    <t xml:space="preserve">https://happy-sinks.com/en-ca/collections/all</t>
  </si>
  <si>
    <t xml:space="preserve">https://happy-sinks.com/en-ca/pages/data-sharing-opt-out</t>
  </si>
  <si>
    <t xml:space="preserve">https://happy-sinks.com/en-ca/collections/sponge-holders</t>
  </si>
  <si>
    <t xml:space="preserve">https://happy-sinks.com/en-ca/pages/happy-sinks-affiliate-program</t>
  </si>
  <si>
    <t xml:space="preserve">https://happy-sinks.com/en-ca/collections/gift-cards</t>
  </si>
  <si>
    <t xml:space="preserve">https://happy-sinks.com/en-ca/collections/dishcloths</t>
  </si>
  <si>
    <t xml:space="preserve">https://happy-sinks.com/en-ca/collections/new-arrivals</t>
  </si>
  <si>
    <t xml:space="preserve">https://happy-sinks.com/en-ca/collections/kitchen-sink-sets</t>
  </si>
  <si>
    <t xml:space="preserve">https://happy-sinks.com/en-ca/collections/konna-the-fly-trap</t>
  </si>
  <si>
    <t xml:space="preserve">https://happy-sinks.com/en-ca/pages/become-a-reseller</t>
  </si>
  <si>
    <t xml:space="preserve">https://happy-sinks.com/es/pages/warranty-registration</t>
  </si>
  <si>
    <t xml:space="preserve">https://happy-sinks.com/de/pages/cookie-policy</t>
  </si>
  <si>
    <t xml:space="preserve">https://happy-sinks.com/es/collections/mioeco</t>
  </si>
  <si>
    <t xml:space="preserve">https://happy-sinks.com/en-ca/collections/dish-drying-racks</t>
  </si>
  <si>
    <t xml:space="preserve">https://happy-sinks.com/sv/collections/mioeco</t>
  </si>
  <si>
    <t xml:space="preserve">https://happy-sinks.com/fi/collections/dishcloth-holder</t>
  </si>
  <si>
    <t xml:space="preserve">https://happy-sinks.com/collections/dishcloth-holder</t>
  </si>
  <si>
    <t xml:space="preserve">https://happy-sinks.com/es/pages/cookie-policy</t>
  </si>
  <si>
    <t xml:space="preserve">https://happy-sinks.com/en-ca/collections/sink-accessories</t>
  </si>
  <si>
    <t xml:space="preserve">https://happy-sinks.com/en-ca/collections/best-selling-collection</t>
  </si>
  <si>
    <t xml:space="preserve">https://happy-sinks.com/en-ca/collections/kitchen-accessories</t>
  </si>
  <si>
    <t xml:space="preserve">https://happy-sinks.com/en-ca/collections/dishcloth-holder</t>
  </si>
  <si>
    <t xml:space="preserve">https://happy-sinks.com/en-au/collections/mioeco</t>
  </si>
  <si>
    <t xml:space="preserve">https://happy-sinks.com/en-ca/pages/cookie-policy</t>
  </si>
  <si>
    <t xml:space="preserve">https://happy-sinks.com/en-gb/collections/dishcloth-holder</t>
  </si>
  <si>
    <t xml:space="preserve">https://happy-sinks.com/da/pages/cookie-policy</t>
  </si>
  <si>
    <t xml:space="preserve">https://happy-sinks.com/fi/pages/cookie-policy</t>
  </si>
  <si>
    <t xml:space="preserve">https://happy-sinks.com/sv/collections/dishcloth-holder</t>
  </si>
  <si>
    <t xml:space="preserve">https://happy-sinks.com/sv/pages/cookie-policy</t>
  </si>
  <si>
    <t xml:space="preserve">https://happy-sinks.com/de/collections/mioeco</t>
  </si>
  <si>
    <t xml:space="preserve">https://happy-sinks.com/en-au/collections/dishcloth-holder</t>
  </si>
  <si>
    <t xml:space="preserve">https://happy-sinks.com/en-gb/pages/cookie-policy</t>
  </si>
  <si>
    <t xml:space="preserve">https://happy-sinks.com/en-gb/collections/kitchen-accessories</t>
  </si>
  <si>
    <t xml:space="preserve">https://happy-sinks.com/en-ca/collections/mioeco</t>
  </si>
  <si>
    <t xml:space="preserve">https://happy-sinks.com/en-au/pages/cookie-policy</t>
  </si>
  <si>
    <t xml:space="preserve">https://happy-sinks.com/es/collections/dishcloth-holder</t>
  </si>
  <si>
    <t xml:space="preserve">https://happy-sinks.com/da/collections/mioeco</t>
  </si>
  <si>
    <t xml:space="preserve">https://happy-sinks.com/da/collections/dishcloth-holder</t>
  </si>
  <si>
    <t xml:space="preserve">https://happy-sinks.com/de/collections/dishcloth-holder</t>
  </si>
  <si>
    <t xml:space="preserve">https://happy-sinks.com/pages/cookie-policy</t>
  </si>
  <si>
    <t xml:space="preserve">https://happy-sinks.com/pages/installation</t>
  </si>
  <si>
    <t xml:space="preserve">Source: https_happy-sinks.com_ - URL Report.xlsx / Multiple H1 Tag</t>
  </si>
  <si>
    <t xml:space="preserve">https://happy-sinks.com/sv/pages/installation</t>
  </si>
  <si>
    <t xml:space="preserve">https://happy-sinks.com/de/pages/installation</t>
  </si>
  <si>
    <t xml:space="preserve">https://happy-sinks.com/fi/cart</t>
  </si>
  <si>
    <t xml:space="preserve">https://happy-sinks.com/fi/pages/installation</t>
  </si>
  <si>
    <t xml:space="preserve">https://happy-sinks.com/de/cart</t>
  </si>
  <si>
    <t xml:space="preserve">https://happy-sinks.com/da/pages/installation</t>
  </si>
  <si>
    <t xml:space="preserve">https://happy-sinks.com/blogs/magisso/5-eco-friendly-cleaning-products-your-home-will-thank-you-for</t>
  </si>
  <si>
    <t xml:space="preserve">https://happy-sinks.com/en-gb/pages/installation</t>
  </si>
  <si>
    <t xml:space="preserve">https://happy-sinks.com/es/pages/installation</t>
  </si>
  <si>
    <t xml:space="preserve">https://happy-sinks.com/en-au/pages/installation</t>
  </si>
  <si>
    <t xml:space="preserve">https://happy-sinks.com/es/cart</t>
  </si>
  <si>
    <t xml:space="preserve">https://happy-sinks.com/fi/blogs/magisso/5-spring-cleaning-tips-with-happy-sinks</t>
  </si>
  <si>
    <t xml:space="preserve">https://happy-sinks.com/blogs/magisso/how-to-keep-the-kitchen-sink-sparking</t>
  </si>
  <si>
    <t xml:space="preserve">https://happy-sinks.com/blogs/magisso/how-to-clean-stinky-dishcloths</t>
  </si>
  <si>
    <t xml:space="preserve">https://happy-sinks.com/fi/blogs/magisso/quick-cleaning-tips-you-can-tackle-in-5-minutes-or-less</t>
  </si>
  <si>
    <t xml:space="preserve">https://happy-sinks.com/fi/blogs/magisso/5-eco-friendly-cleaning-products-your-home-will-thank-you-for</t>
  </si>
  <si>
    <t xml:space="preserve">https://happy-sinks.com/fi/blogs/magisso/12-quick-cleaning-tips-you-can-tackle-in-5-minutes-part-2</t>
  </si>
  <si>
    <t xml:space="preserve">https://happy-sinks.com/fi/blogs/magisso/7-takeaways-from-the-secret-of-finnish-happiness</t>
  </si>
  <si>
    <t xml:space="preserve">https://happy-sinks.com/en-au/blogs/magisso/happy-sinks-vs-competitors</t>
  </si>
  <si>
    <t xml:space="preserve">https://happy-sinks.com/blogs/magisso/happy-sinks-vs-competitors</t>
  </si>
  <si>
    <t xml:space="preserve">https://happy-sinks.com/fi/blogs/magisso/how-to-keep-the-kitchen-sink-sparking</t>
  </si>
  <si>
    <t xml:space="preserve">https://happy-sinks.com/en-gb/blogs/magisso/happy-sinks-vs-competitors</t>
  </si>
  <si>
    <t xml:space="preserve">https://happy-sinks.com/blogs/magisso/12-quick-cleaning-tips-you-can-tackle-in-5-minutes-part-2</t>
  </si>
  <si>
    <t xml:space="preserve">https://happy-sinks.com/blogs/magisso/quick-cleaning-tips-you-can-tackle-in-5-minutes-or-less</t>
  </si>
  <si>
    <t xml:space="preserve">https://happy-sinks.com/en-ca/pages/installation</t>
  </si>
  <si>
    <t xml:space="preserve">https://happy-sinks.com/en-ca/blogs/magisso/happy-sinks-vs-competitors</t>
  </si>
  <si>
    <t xml:space="preserve">https://happy-sinks.com/en-gb/blogs/magisso/5-eco-friendly-cleaning-products-your-home-will-thank-you-for</t>
  </si>
  <si>
    <t xml:space="preserve">https://happy-sinks.com/blogs/magisso/why-choose-magnetic-sink-accessories-simple-guide-for-every-home</t>
  </si>
  <si>
    <t xml:space="preserve">https://happy-sinks.com/da/blogs/magisso/5-eco-friendly-cleaning-products-your-home-will-thank-you-for</t>
  </si>
  <si>
    <t xml:space="preserve">https://happy-sinks.com/es/blogs/magisso/12-quick-cleaning-tips-you-can-tackle-in-5-minutes-part-2</t>
  </si>
  <si>
    <t xml:space="preserve">https://happy-sinks.com/es/blogs/magisso/how-to-keep-the-kitchen-sink-sparking</t>
  </si>
  <si>
    <t xml:space="preserve">https://happy-sinks.com/en-gb/blogs/magisso/5-spring-cleaning-tips-with-happy-sinks</t>
  </si>
  <si>
    <t xml:space="preserve">https://happy-sinks.com/en-ca/blogs/magisso/7-takeaways-from-the-secret-of-finnish-happiness</t>
  </si>
  <si>
    <t xml:space="preserve">https://happy-sinks.com/fi/blogs/magisso/how-to-clean-stinky-dishcloths</t>
  </si>
  <si>
    <t xml:space="preserve">https://happy-sinks.com/en-au/blogs/magisso/how-to-clean-stinky-dishcloths</t>
  </si>
  <si>
    <t xml:space="preserve">https://happy-sinks.com/en-gb/blogs/magisso/quick-cleaning-tips-you-can-tackle-in-5-minutes-or-less</t>
  </si>
  <si>
    <t xml:space="preserve">https://happy-sinks.com/fi/pages/mioeco-simple-sustainable-living</t>
  </si>
  <si>
    <t xml:space="preserve">https://happy-sinks.com/sv/blogs/magisso/5-eco-friendly-cleaning-products-your-home-will-thank-you-for</t>
  </si>
  <si>
    <t xml:space="preserve">https://happy-sinks.com/en-au/blogs/magisso/7-takeaways-from-the-secret-of-finnish-happiness</t>
  </si>
  <si>
    <t xml:space="preserve">https://happy-sinks.com/en-gb/blogs/magisso/how-to-clean-stinky-dishcloths</t>
  </si>
  <si>
    <t xml:space="preserve">https://happy-sinks.com/blogs/magisso/7-takeaways-from-the-secret-of-finnish-happiness</t>
  </si>
  <si>
    <t xml:space="preserve">https://happy-sinks.com/es/blogs/magisso/7-takeaways-from-the-secret-of-finnish-happiness</t>
  </si>
  <si>
    <t xml:space="preserve">https://happy-sinks.com/da/blogs/magisso/how-to-clean-stinky-dishcloths</t>
  </si>
  <si>
    <t xml:space="preserve">https://happy-sinks.com/da/blogs/magisso/happy-sinks-vs-competitors</t>
  </si>
  <si>
    <t xml:space="preserve">https://happy-sinks.com/de/blogs/magisso/7-takeaways-from-the-secret-of-finnish-happiness</t>
  </si>
  <si>
    <t xml:space="preserve">https://happy-sinks.com/fi/blogs/magisso/why-choose-magnetic-sink-accessories-simple-guide-for-every-home</t>
  </si>
  <si>
    <t xml:space="preserve">https://happy-sinks.com/en-au/blogs/magisso/12-quick-cleaning-tips-you-can-tackle-in-5-minutes-part-2</t>
  </si>
  <si>
    <t xml:space="preserve">https://happy-sinks.com/en-ca/blogs/magisso/5-spring-cleaning-tips-with-happy-sinks</t>
  </si>
  <si>
    <t xml:space="preserve">https://happy-sinks.com/en-gb/pages/mioeco-simple-sustainable-living</t>
  </si>
  <si>
    <t xml:space="preserve">https://happy-sinks.com/en-gb/blogs/magisso/12-quick-cleaning-tips-you-can-tackle-in-5-minutes-part-2</t>
  </si>
  <si>
    <t xml:space="preserve">https://happy-sinks.com/es/blogs/magisso/happy-sinks-vs-competitors</t>
  </si>
  <si>
    <t xml:space="preserve">https://happy-sinks.com/es/blogs/magisso/how-to-clean-stinky-dishcloths</t>
  </si>
  <si>
    <t xml:space="preserve">https://happy-sinks.com/en-au/blogs/magisso/5-eco-friendly-cleaning-products-your-home-will-thank-you-for</t>
  </si>
  <si>
    <t xml:space="preserve">https://happy-sinks.com/es/blogs/magisso/5-spring-cleaning-tips-with-happy-sinks</t>
  </si>
  <si>
    <t xml:space="preserve">https://happy-sinks.com/de/blogs/magisso/5-eco-friendly-cleaning-products-your-home-will-thank-you-for</t>
  </si>
  <si>
    <t xml:space="preserve">https://happy-sinks.com/en-ca/blogs/magisso/quick-cleaning-tips-you-can-tackle-in-5-minutes-or-less</t>
  </si>
  <si>
    <t xml:space="preserve">https://happy-sinks.com/sv/blogs/magisso/12-quick-cleaning-tips-you-can-tackle-in-5-minutes-part-2</t>
  </si>
  <si>
    <t xml:space="preserve">https://happy-sinks.com/da/pages/mioeco-simple-sustainable-living</t>
  </si>
  <si>
    <t xml:space="preserve">https://happy-sinks.com/en-au/pages/mioeco-simple-sustainable-living</t>
  </si>
  <si>
    <t xml:space="preserve">https://happy-sinks.com/sv/blogs/magisso/7-takeaways-from-the-secret-of-finnish-happiness</t>
  </si>
  <si>
    <t xml:space="preserve">https://happy-sinks.com/es/pages/mioeco-simple-sustainable-living</t>
  </si>
  <si>
    <t xml:space="preserve">https://happy-sinks.com/da/blogs/magisso/12-quick-cleaning-tips-you-can-tackle-in-5-minutes-part-2</t>
  </si>
  <si>
    <t xml:space="preserve">https://happy-sinks.com/es/blogs/magisso/quick-cleaning-tips-you-can-tackle-in-5-minutes-or-less</t>
  </si>
  <si>
    <t xml:space="preserve">https://happy-sinks.com/da/blogs/magisso/why-choose-magnetic-sink-accessories-simple-guide-for-every-home</t>
  </si>
  <si>
    <t xml:space="preserve">https://happy-sinks.com/en-ca/blogs/magisso/how-to-clean-stinky-dishcloths</t>
  </si>
  <si>
    <t xml:space="preserve">https://happy-sinks.com/de/blogs/magisso/why-choose-magnetic-sink-accessories-simple-guide-for-every-home</t>
  </si>
  <si>
    <t xml:space="preserve">https://happy-sinks.com/en-ca/blogs/magisso/12-quick-cleaning-tips-you-can-tackle-in-5-minutes-part-2</t>
  </si>
  <si>
    <t xml:space="preserve">https://happy-sinks.com/en-ca/blogs/magisso/5-eco-friendly-cleaning-products-your-home-will-thank-you-for</t>
  </si>
  <si>
    <t xml:space="preserve">https://happy-sinks.com/en-au/blogs/magisso/how-to-keep-the-kitchen-sink-sparking</t>
  </si>
  <si>
    <t xml:space="preserve">https://happy-sinks.com/de/blogs/magisso/quick-cleaning-tips-you-can-tackle-in-5-minutes-or-less</t>
  </si>
  <si>
    <t xml:space="preserve">https://happy-sinks.com/blogs/magisso/5-spring-cleaning-tips-with-happy-sinks</t>
  </si>
  <si>
    <t xml:space="preserve">https://happy-sinks.com/en-au/blogs/magisso/why-choose-magnetic-sink-accessories-simple-guide-for-every-home</t>
  </si>
  <si>
    <t xml:space="preserve">https://happy-sinks.com/en-gb/blogs/magisso/why-choose-magnetic-sink-accessories-simple-guide-for-every-home</t>
  </si>
  <si>
    <t xml:space="preserve">https://happy-sinks.com/en-au/blogs/magisso/5-spring-cleaning-tips-with-happy-sinks</t>
  </si>
  <si>
    <t xml:space="preserve">https://happy-sinks.com/sv/blogs/magisso/happy-sinks-vs-competitors</t>
  </si>
  <si>
    <t xml:space="preserve">https://happy-sinks.com/es/blogs/magisso/5-eco-friendly-cleaning-products-your-home-will-thank-you-for</t>
  </si>
  <si>
    <t xml:space="preserve">https://happy-sinks.com/da/blogs/magisso/7-takeaways-from-the-secret-of-finnish-happiness</t>
  </si>
  <si>
    <t xml:space="preserve">https://happy-sinks.com/en-gb/blogs/magisso/how-to-keep-the-kitchen-sink-sparking</t>
  </si>
  <si>
    <t xml:space="preserve">https://happy-sinks.com/de/blogs/magisso/happy-sinks-vs-competitors</t>
  </si>
  <si>
    <t xml:space="preserve">https://happy-sinks.com/sv/blogs/magisso/how-to-clean-stinky-dishcloths</t>
  </si>
  <si>
    <t xml:space="preserve">https://happy-sinks.com/da/blogs/magisso/5-spring-cleaning-tips-with-happy-sinks</t>
  </si>
  <si>
    <t xml:space="preserve">https://happy-sinks.com/sv/blogs/magisso/quick-cleaning-tips-you-can-tackle-in-5-minutes-or-less</t>
  </si>
  <si>
    <t xml:space="preserve">https://happy-sinks.com/da/blogs/magisso/quick-cleaning-tips-you-can-tackle-in-5-minutes-or-less</t>
  </si>
  <si>
    <t xml:space="preserve">https://happy-sinks.com/fi/blogs/magisso/happy-sinks-vs-competitors</t>
  </si>
  <si>
    <t xml:space="preserve">https://happy-sinks.com/sv/blogs/magisso/5-spring-cleaning-tips-with-happy-sinks</t>
  </si>
  <si>
    <t xml:space="preserve">https://happy-sinks.com/sv/blogs/magisso/how-to-keep-the-kitchen-sink-sparking</t>
  </si>
  <si>
    <t xml:space="preserve">https://happy-sinks.com/sv/pages/mioeco-simple-sustainable-living</t>
  </si>
  <si>
    <t xml:space="preserve">https://happy-sinks.com/sv/blogs/magisso/why-choose-magnetic-sink-accessories-simple-guide-for-every-home</t>
  </si>
  <si>
    <t xml:space="preserve">https://happy-sinks.com/en-ca/blogs/magisso/why-choose-magnetic-sink-accessories-simple-guide-for-every-home</t>
  </si>
  <si>
    <t xml:space="preserve">https://happy-sinks.com/da/blogs/magisso/how-to-keep-the-kitchen-sink-sparking</t>
  </si>
  <si>
    <t xml:space="preserve">https://happy-sinks.com/de/blogs/magisso/how-to-keep-the-kitchen-sink-sparking</t>
  </si>
  <si>
    <t xml:space="preserve">https://happy-sinks.com/es/blogs/magisso/why-choose-magnetic-sink-accessories-simple-guide-for-every-home</t>
  </si>
  <si>
    <t xml:space="preserve">https://happy-sinks.com/de/blogs/magisso/how-to-clean-stinky-dishcloths</t>
  </si>
  <si>
    <t xml:space="preserve">https://happy-sinks.com/de/blogs/magisso/12-quick-cleaning-tips-you-can-tackle-in-5-minutes-part-2</t>
  </si>
  <si>
    <t xml:space="preserve">https://happy-sinks.com/en-gb/blogs/magisso/7-takeaways-from-the-secret-of-finnish-happiness</t>
  </si>
  <si>
    <t xml:space="preserve">https://happy-sinks.com/en-au/blogs/magisso/quick-cleaning-tips-you-can-tackle-in-5-minutes-or-less</t>
  </si>
  <si>
    <t xml:space="preserve">https://happy-sinks.com/en-ca/blogs/magisso/how-to-keep-the-kitchen-sink-sparking</t>
  </si>
  <si>
    <t xml:space="preserve">https://happy-sinks.com/pages/mioeco-simple-sustainable-living</t>
  </si>
  <si>
    <t xml:space="preserve">https://happy-sinks.com/en-ca/pages/mioeco-simple-sustainable-living</t>
  </si>
  <si>
    <t xml:space="preserve">https://happy-sinks.com/de/blogs/magisso/5-spring-cleaning-tips-with-happy-sinks</t>
  </si>
  <si>
    <t xml:space="preserve">https://happy-sinks.com/de/pages/mioeco-simple-sustainable-living</t>
  </si>
  <si>
    <t xml:space="preserve">Meta Title</t>
  </si>
  <si>
    <t xml:space="preserve">All Kitchen Accessories - Sustainable, Vibrant &amp; Essential – HAPPY SiNKS</t>
  </si>
  <si>
    <t xml:space="preserve">Source: https_happy-sinks.com_ - URL Report.xlsx / Too Long Meta Title</t>
  </si>
  <si>
    <t xml:space="preserve">New Arrivals - Discover the Latest Trends in Our Collection – HAPPY SiNKS</t>
  </si>
  <si>
    <t xml:space="preserve">Eco-friendly Swedish Dishcloths for a Sustainable Kitchen – HAPPY SiNKS</t>
  </si>
  <si>
    <t xml:space="preserve">Miljøvenlige svenske opvaskeklude til et bæredygtigt køkken – HAPPY SiNKS</t>
  </si>
  <si>
    <t xml:space="preserve">https://happy-sinks.com/de/collections/cloth-holders</t>
  </si>
  <si>
    <t xml:space="preserve">Magnetischer Spültuchhalter – Geschirrtuchhalter ohne Bohren | HAPPY SiNKS</t>
  </si>
  <si>
    <t xml:space="preserve">Kaikki keittiötarvikkeet – Kestävät, värikkäät ja välttämättömät – HAPPY SiNKS</t>
  </si>
  <si>
    <t xml:space="preserve">https://happy-sinks.com/da/collections/cloth-holders</t>
  </si>
  <si>
    <t xml:space="preserve">Magnetisk Karkludeholder – Holder til Karklud uden Boring | HAPPY SiNKS</t>
  </si>
  <si>
    <t xml:space="preserve">Neuheiten – Entdecken Sie die neuesten Trends in unserer Kollektion – HAPPY SiNKS</t>
  </si>
  <si>
    <t xml:space="preserve">Alle Küchenaccessoires – Nachhaltig, Lebendig &amp; Unverzichtbar – HAPPY SiNKS</t>
  </si>
  <si>
    <t xml:space="preserve">Alt køkkentilbehør - Bæredygtigt, farverigt og uundværligt – HAPPY SiNKS</t>
  </si>
  <si>
    <t xml:space="preserve">Umweltfreundliche schwedische Spültücher für eine nachhaltige Küche – HAPPY SiNKS</t>
  </si>
  <si>
    <t xml:space="preserve">https://happy-sinks.com/fi/pages/about-us</t>
  </si>
  <si>
    <t xml:space="preserve">HAPPY SiNKS | Pohjoismainen keittiöjärjestys ja kestävät allasratkaisut</t>
  </si>
  <si>
    <t xml:space="preserve">https://happy-sinks.com/de/pages/about-us</t>
  </si>
  <si>
    <t xml:space="preserve">HAPPY SiNKS | Nordische Küchenorganisation &amp; nachhaltige Spülenlösungen</t>
  </si>
  <si>
    <t xml:space="preserve">https://happy-sinks.com/de/collections/sponge-holders</t>
  </si>
  <si>
    <t xml:space="preserve">Magnetischer Schwammhalter – Spülschwammhalter für die Spüle | HAPPY SiNKS</t>
  </si>
  <si>
    <t xml:space="preserve">https://happy-sinks.com/fi/collections/cloth-holders</t>
  </si>
  <si>
    <t xml:space="preserve">Magneettinen Tiskirättipidike – Tiskiliinatelineet Altaaseen | HAPPY SiNKS</t>
  </si>
  <si>
    <t xml:space="preserve">https://happy-sinks.com/blogs/magisso/small-kitchen-solutions</t>
  </si>
  <si>
    <t xml:space="preserve">Small Kitchen Solutions: Maximize Space with Versatile Tools – HAPPY SiNKS</t>
  </si>
  <si>
    <t xml:space="preserve">https://happy-sinks.com/es/collections/cloth-holders</t>
  </si>
  <si>
    <t xml:space="preserve">Porta Bayetas Magnético para Fregadero – Organizador de Cocina | HAPPY SiNKS</t>
  </si>
  <si>
    <t xml:space="preserve">Todos los accesorios de cocina: sostenibles, vibrantes y esenciales – HAPPY SiNKS</t>
  </si>
  <si>
    <t xml:space="preserve">Juegos de cocina y fregadero - Packs inteligentes para tu cocina – HAPPY SiNKS</t>
  </si>
  <si>
    <t xml:space="preserve">Paños de cocina suecos ecológicos para una cocina sostenible – HAPPY SiNKS</t>
  </si>
  <si>
    <t xml:space="preserve">Novedades - Descubre las últimas tendencias en nuestra colección – HAPPY SiNKS</t>
  </si>
  <si>
    <t xml:space="preserve">https://happy-sinks.com/es/pages/about-us</t>
  </si>
  <si>
    <t xml:space="preserve">HAPPY SiNKS | Organización nórdica de cocina y soluciones sostenibles para el fregadero</t>
  </si>
  <si>
    <t xml:space="preserve">https://happy-sinks.com/es/collections/sponge-holders</t>
  </si>
  <si>
    <t xml:space="preserve">Porta Estropajos Magnético para Fregadero – Soporte Esponja | HAPPY SiNKS</t>
  </si>
  <si>
    <t xml:space="preserve">Tarjetas de regalo - Ideas perfectas de regalos electrónicos | HAPPY SiNKS</t>
  </si>
  <si>
    <t xml:space="preserve">https://happy-sinks.com/es/blogs/magisso/magnetic-vs-suction-sponge-holders-which-one-is-better</t>
  </si>
  <si>
    <t xml:space="preserve">Soportes para esponjas magnéticos vs de succión: ¿Cuál es mejor? – HAPPY SiNKS</t>
  </si>
  <si>
    <t xml:space="preserve">https://happy-sinks.com/da/collections/dish-drying-racks</t>
  </si>
  <si>
    <t xml:space="preserve">Opvasketørrerstativ – Sammenrulleligt Tørrativ i Rustfrit Stål | HAPPY SiNKS</t>
  </si>
  <si>
    <t xml:space="preserve">https://happy-sinks.com/es/collections/dish-drying-racks</t>
  </si>
  <si>
    <t xml:space="preserve">Escurreplatos Enrollable – Escurridor de Acero Inoxidable | HAPPY SiNKS</t>
  </si>
  <si>
    <t xml:space="preserve">https://happy-sinks.com/fi/products/dish-cloth-holder-steel</t>
  </si>
  <si>
    <t xml:space="preserve">Tiskirättiteline altaaseen – magneettinen ruostumaton teräs – HAPPY SiNKS</t>
  </si>
  <si>
    <t xml:space="preserve">Kevätsiivousvinkit: 5 pakollista vinkkiä kokeiltavaksi HAPPY SiNKSin kanssa</t>
  </si>
  <si>
    <t xml:space="preserve">https://happy-sinks.com/en-au/blogs/magisso/small-kitchen-solutions</t>
  </si>
  <si>
    <t xml:space="preserve">https://happy-sinks.com/fi/products/over-sink-rack-wunderbar-expandable</t>
  </si>
  <si>
    <t xml:space="preserve">Tiskialtaan päälle asetettava teline – Laajennettava monitoiminen Wunderbar – HAPPY SiNKS</t>
  </si>
  <si>
    <t xml:space="preserve">https://happy-sinks.com/fi/blogs/magisso/tagged/silverware-maintenance</t>
  </si>
  <si>
    <t xml:space="preserve">Blogi - ONNELLINEN SiNKS – Merkitty "Silverware Maintenance" – HAPPY SiNKS</t>
  </si>
  <si>
    <t xml:space="preserve">https://happy-sinks.com/fi/blogs/magisso/tagged/home-silver-cleaning-methods</t>
  </si>
  <si>
    <t xml:space="preserve">Blogi - ONNELLINEN SiNKS – Merkitty "Home Silver Cleaning Methods" – HAPPY SiNKS</t>
  </si>
  <si>
    <t xml:space="preserve">https://happy-sinks.com/fi/products/sink-set-biocomposite-dishcloth-holder-dishcloths-cutlery</t>
  </si>
  <si>
    <t xml:space="preserve">Biokomposiittinen lahjasetti – Teline, rätit + Aterinkori | HAPPY SiNKS</t>
  </si>
  <si>
    <t xml:space="preserve">https://happy-sinks.com/es/blogs/magisso/magnetic-vs-suction-sponge-holders-which-one-fits-your-kitchen</t>
  </si>
  <si>
    <t xml:space="preserve">Soportes para esponjas magnéticos vs de succión: la mejor opción para ti – HAPPY SiNKS</t>
  </si>
  <si>
    <t xml:space="preserve">https://happy-sinks.com/en-gb/blogs/magisso/how-to-keep-your-kitchen-sponge-dry-amp-hygienic</t>
  </si>
  <si>
    <t xml:space="preserve">How to Keep Your Kitchen Sponge Dry: Top Tips for Hygiene – HAPPY SiNKS</t>
  </si>
  <si>
    <t xml:space="preserve">https://happy-sinks.com/fi/blogs/magisso/roll-up-vs-traditional-dish-drying-rack-kitchen</t>
  </si>
  <si>
    <t xml:space="preserve">Roll-Up vs Perinteiset Astiankuivaustelineet: Kumpi On Paras? – HAPPY SiNKS</t>
  </si>
  <si>
    <t xml:space="preserve">https://happy-sinks.com/da/blogs/magisso/how-to-keep-your-kitchen-sponge-dry-amp-hygienic</t>
  </si>
  <si>
    <t xml:space="preserve">Sådan holder du din køkkensvamp tør: Top tips til hygiejne – HAPPY SiNKS</t>
  </si>
  <si>
    <t xml:space="preserve">https://happy-sinks.com/fi/blogs/magisso/tagged/silver-cutlery-cleaning</t>
  </si>
  <si>
    <t xml:space="preserve">Blogi - ONNELLINEN SiNKS – Merkitty "Silver Cutlery Cleaning" – HAPPY SiNKS</t>
  </si>
  <si>
    <t xml:space="preserve">https://happy-sinks.com/fi/collections/dish-drying-racks</t>
  </si>
  <si>
    <t xml:space="preserve">Astiankuivausteline – Rullattava Kuivausteline Ruostumaton Teräs | HAPPY SiNKS</t>
  </si>
  <si>
    <t xml:space="preserve">https://happy-sinks.com/en-au/blogs/magisso/how-to-keep-your-kitchen-sponge-dry-amp-hygienic</t>
  </si>
  <si>
    <t xml:space="preserve">https://happy-sinks.com/de/blogs/magisso/magnetic-vs-suction-sponge-holders-which-one-fits-your-kitchen</t>
  </si>
  <si>
    <t xml:space="preserve">Magnetische vs. Saugnapf-Schwammhalter: Die beste Wahl für Sie – HAPPY SiNKS</t>
  </si>
  <si>
    <t xml:space="preserve">https://happy-sinks.com/de/blogs/magisso/how-to-keep-your-kitchen-sponge-dry-amp-hygienic</t>
  </si>
  <si>
    <t xml:space="preserve">Wie Sie Ihren Küchenschwamm trocken halten: Top-Tipps für Hygiene – HAPPY SiNKS</t>
  </si>
  <si>
    <t xml:space="preserve">https://happy-sinks.com/fi/blogs/magisso/tagged/diy-silver-cleaning</t>
  </si>
  <si>
    <t xml:space="preserve">Blogi - ONNELLINEN SiNKS – Merkitty "DIY Silver Cleaning" – HAPPY SiNKS</t>
  </si>
  <si>
    <t xml:space="preserve">Nopeat siivousvinkit: 12 helppoa tehtävää 5 minuutissa Osa 1 – HAPPY SiNKS</t>
  </si>
  <si>
    <t xml:space="preserve">https://happy-sinks.com/de/collections/dish-drying-racks</t>
  </si>
  <si>
    <t xml:space="preserve">Abtropfgestell – Aufrollbares Geschirrabtropfgitter aus Edelstahl | HAPPY SiNKS</t>
  </si>
  <si>
    <t xml:space="preserve">https://happy-sinks.com/es/products/fruit-fly-trap-konna</t>
  </si>
  <si>
    <t xml:space="preserve">Trampa para moscas de la fruta para cocina – Atrapa KONNA | HAPPY SiNKS</t>
  </si>
  <si>
    <t xml:space="preserve">https://happy-sinks.com/fi/blogs/magisso/how-to-clean-silver-cutlery</t>
  </si>
  <si>
    <t xml:space="preserve">Kuinka puhdistaa hopeiset ruokailuvälineet kotona: Yksinkertaiset tee-se-itse-menetelmät – HAPPY SiNKS</t>
  </si>
  <si>
    <t xml:space="preserve">https://happy-sinks.com/es/products/dish-cloth-holder-bio-composite-charcoal</t>
  </si>
  <si>
    <t xml:space="preserve">Soporte para paños de cocina – Biocompuesto magnético color carbón – HAPPY SiNKS</t>
  </si>
  <si>
    <t xml:space="preserve">Nopeat siivousvinkit: 12 yksinkertaista niksiä 5 minuutissa - Osa 2 – HAPPY SiNKS</t>
  </si>
  <si>
    <t xml:space="preserve">7 oivallusta paljastetusta suomalaisen onnellisuuden salaisuudesta – HAPPY SiNKS</t>
  </si>
  <si>
    <t xml:space="preserve">https://happy-sinks.com/fi/blogs/magisso/how-to-keep-your-kitchen-sponge-dry-amp-hygienic</t>
  </si>
  <si>
    <t xml:space="preserve">Kuinka pitää keittiösieni kuivana: parhaat hygieniavinkit – HAPPY SiNKS</t>
  </si>
  <si>
    <t xml:space="preserve">https://happy-sinks.com/fi/products/dish-cloth-holder-bio-composite-charcoal</t>
  </si>
  <si>
    <t xml:space="preserve">Tiskirättiteline – magneettinen biokomposiitti, hiilenharmaa – HAPPY SiNKS</t>
  </si>
  <si>
    <t xml:space="preserve">https://happy-sinks.com/fi/blogs/magisso/why-have-we-decided-to-use-gots-cotton-instead-of-traditional-cotton</t>
  </si>
  <si>
    <t xml:space="preserve">GOTS-puuvilla: Miksi valita se perinteisen puuvillan sijaan? – HAPPY SiNKS</t>
  </si>
  <si>
    <t xml:space="preserve">https://happy-sinks.com/es/products/dish-cloth-holder-steel</t>
  </si>
  <si>
    <t xml:space="preserve">Soporte para paños de cocina para fregadero – Acero inoxidable magnético – HAPPY SiNKS</t>
  </si>
  <si>
    <t xml:space="preserve">https://happy-sinks.com/fi/blogs/magisso/small-kitchen-solutions</t>
  </si>
  <si>
    <t xml:space="preserve">Pienet keittiöratkaisut: Maksimoi tila monipuolisilla työkaluilla – HAPPY SiNKS</t>
  </si>
  <si>
    <t xml:space="preserve">https://happy-sinks.com/blogs/magisso/fruit-fly-control-simple-solutions-for-a-pest-free-kitchen</t>
  </si>
  <si>
    <t xml:space="preserve">Fruit Fly Control: Simple Solutions for a Pest-Free Kitchen – HAPPY SiNKS</t>
  </si>
  <si>
    <t xml:space="preserve">https://happy-sinks.com/de/blogs/magisso/magnetic-vs-suction-sponge-holders-which-one-is-better</t>
  </si>
  <si>
    <t xml:space="preserve">Magnetische vs. Saugnapf-Schwammhalter: Welcher ist besser? – HAPPY SiNKS</t>
  </si>
  <si>
    <t xml:space="preserve">https://happy-sinks.com/sv/products/over-sink-rack-wunderbar-expandable</t>
  </si>
  <si>
    <t xml:space="preserve">Över Diskbänk Hylla - Expanderbar Multifunktionell Wunderbar – HAPPY SiNKS</t>
  </si>
  <si>
    <t xml:space="preserve">https://happy-sinks.com/blogs/magisso/how-to-keep-your-kitchen-sponge-dry-amp-hygienic</t>
  </si>
  <si>
    <t xml:space="preserve">https://happy-sinks.com/fi/blogs/magisso/magnetic-vs-suction-sponge-holders-which-one-fits-your-kitchen</t>
  </si>
  <si>
    <t xml:space="preserve">Magnettiset vs Imukuppisienitelineet: Paras Valinta Sinulle – HAPPY SiNKS</t>
  </si>
  <si>
    <t xml:space="preserve">https://happy-sinks.com/fi/blogs/magisso/tagged/sanitization-techniques</t>
  </si>
  <si>
    <t xml:space="preserve">Blogi - ONNELLINEN SiNKS – Merkitty "Sanitization Techniques" – HAPPY SiNKS</t>
  </si>
  <si>
    <t xml:space="preserve">https://happy-sinks.com/en-gb/blogs/magisso/small-kitchen-solutions</t>
  </si>
  <si>
    <t xml:space="preserve">https://happy-sinks.com/sv/products/sink-set-biocomposite-dishcloth-holder-dishcloths-cutlery</t>
  </si>
  <si>
    <t xml:space="preserve">Presentset i Biokomposit – Hållare, Disktrasor + Bestickkorg | HAPPY SiNKS</t>
  </si>
  <si>
    <t xml:space="preserve">https://happy-sinks.com/fi/products/swedish-dishcloths-go-ahead-spill-the-tea-3pc</t>
  </si>
  <si>
    <t xml:space="preserve">Ruotsalaiset tiskirätit – Go Ahead, Spill the Tea (3 kpl) | HAPPY SiNKS</t>
  </si>
  <si>
    <t xml:space="preserve">https://happy-sinks.com/fi/blogs/magisso/tagged/sponge-hygiene-tips</t>
  </si>
  <si>
    <t xml:space="preserve">Blogi - ONNELLINEN SiNKS – Merkitty "sponge hygiene tips" – HAPPY SiNKS</t>
  </si>
  <si>
    <t xml:space="preserve">https://happy-sinks.com/es/blogs/magisso/keeping-dishcloths-dry-hygienically-simple-tips-for-a-cleaner-kitchen</t>
  </si>
  <si>
    <t xml:space="preserve">Mantener los paños de cocina secos de forma higiénica: Consejos sencillos – HAPPY SiNKS</t>
  </si>
  <si>
    <t xml:space="preserve">https://happy-sinks.com/fi/blogs/magisso/tagged/easy-kitchen-upgrade</t>
  </si>
  <si>
    <t xml:space="preserve">Blogi - ONNELLINEN SiNKS – Merkitty "easy kitchen upgrade" – HAPPY SiNKS</t>
  </si>
  <si>
    <t xml:space="preserve">https://happy-sinks.com/en-gb/blogs/magisso/fruit-fly-control-simple-solutions-for-a-pest-free-kitchen</t>
  </si>
  <si>
    <t xml:space="preserve">https://happy-sinks.com/es/blogs/magisso/scandinavian-design-for-sink-accessories</t>
  </si>
  <si>
    <t xml:space="preserve">Accesorios para fregadero: Abraza la elegancia del diseño escandinavo – HAPPY SiNKS</t>
  </si>
  <si>
    <t xml:space="preserve">https://happy-sinks.com/es/products/kitchen-sponges</t>
  </si>
  <si>
    <t xml:space="preserve">Juego de esponjas de cocina - Limpiadores de lufa ecológicos – HAPPY SiNKS</t>
  </si>
  <si>
    <t xml:space="preserve">https://happy-sinks.com/fi/blogs/magisso/tagged/kitchen-sponge-care</t>
  </si>
  <si>
    <t xml:space="preserve">Blogi - ONNELLINEN SiNKS – Merkitty "kitchen sponge care" – HAPPY SiNKS</t>
  </si>
  <si>
    <t xml:space="preserve">https://happy-sinks.com/de/products/wunderbar-ausziehbare-kuchenbar</t>
  </si>
  <si>
    <t xml:space="preserve">Über-Spülbecken-Regal – Erweiterbar, Multifunktional, Wunderbar – HAPPY SiNKS</t>
  </si>
  <si>
    <t xml:space="preserve">https://happy-sinks.com/es/blogs/magisso/quick-tips-and-tricks-on-how-to-clean-an-oven-at-home</t>
  </si>
  <si>
    <t xml:space="preserve">¡Consejos y trucos rápidos sobre cómo limpiar un horno en casa! – HAPPY SiNKS</t>
  </si>
  <si>
    <t xml:space="preserve">https://happy-sinks.com/sv/blogs/magisso/how-to-get-rid-of-fruit-flies-summer-tips-for-a-fruit-fly-free-home</t>
  </si>
  <si>
    <t xml:space="preserve">Hur man blir av med fruktflugor: Enkla sommartips för hemmet – HAPPY SiNKS</t>
  </si>
  <si>
    <t xml:space="preserve">https://happy-sinks.com/de/blogs/magisso/disinfect-the-kitchen-with-just-one-ingredient</t>
  </si>
  <si>
    <t xml:space="preserve">Desinfizieren Sie die Küche mit nur einer einfachen Zutat – HAPPY SiNKS</t>
  </si>
  <si>
    <t xml:space="preserve">https://happy-sinks.com/fi/blogs/magisso/tagged/eco-friendly-dishcloths</t>
  </si>
  <si>
    <t xml:space="preserve">Blogi - ONNELLINEN SiNKS – Merkitty "eco-friendly dishcloths" – HAPPY SiNKS</t>
  </si>
  <si>
    <t xml:space="preserve">https://happy-sinks.com/es/blogs/magisso/roll-up-vs-traditional-dish-drying-rack-kitchen</t>
  </si>
  <si>
    <t xml:space="preserve">Escurridores de platos enrollables vs tradicionales: ¿cuál es mejor? – HAPPY SiNKS</t>
  </si>
  <si>
    <t xml:space="preserve">https://happy-sinks.com/da/blogs/magisso/6-reasons-you-need-a-wine-glass-holder-in-your-kitchen</t>
  </si>
  <si>
    <t xml:space="preserve">Vinglasholder: 6 grunde til, at du har brug for den i dit køkken – HAPPY SiNKS</t>
  </si>
  <si>
    <t xml:space="preserve">https://happy-sinks.com/fi/blogs/magisso/kitchen-soap-dispenser</t>
  </si>
  <si>
    <t xml:space="preserve">Kuinka keittiösaippua-annostelija edistää parempaa hygieniaa – HAPPY SiNKS</t>
  </si>
  <si>
    <t xml:space="preserve">https://happy-sinks.com/fi/blogs/magisso/tagged/household-cleaning-tools</t>
  </si>
  <si>
    <t xml:space="preserve">Blogi - ONNELLINEN SiNKS – Merkitty "household cleaning tools" – HAPPY SiNKS</t>
  </si>
  <si>
    <t xml:space="preserve">https://happy-sinks.com/fi/blogs/magisso/tagged/sustainable-cleaning</t>
  </si>
  <si>
    <t xml:space="preserve">Blogi - ONNELLINEN SiNKS – Merkitty "Sustainable Cleaning" – HAPPY SiNKS</t>
  </si>
  <si>
    <t xml:space="preserve">https://happy-sinks.com/es/products/magnetic-holder-adapter-for-sink</t>
  </si>
  <si>
    <t xml:space="preserve">Adaptador de soporte magnético para soportes de fregadero de HAPPY SiNKS</t>
  </si>
  <si>
    <t xml:space="preserve">https://happy-sinks.com/da/blogs/magisso/tagged/home-silver-cleaning-methods</t>
  </si>
  <si>
    <t xml:space="preserve">Blog - GLAD SINKER – Tagget "Home Silver Cleaning Methods" – HAPPY SiNKS</t>
  </si>
  <si>
    <t xml:space="preserve">https://happy-sinks.com/fi/blogs/magisso/tagged/drying-sponge-faster</t>
  </si>
  <si>
    <t xml:space="preserve">Blogi - ONNELLINEN SiNKS – Merkitty "drying sponge faster" – HAPPY SiNKS</t>
  </si>
  <si>
    <t xml:space="preserve">https://happy-sinks.com/fi/blogs/magisso/tagged/space-saving-kitchen</t>
  </si>
  <si>
    <t xml:space="preserve">Blogi - ONNELLINEN SiNKS – Merkitty "space-saving kitchen" – HAPPY SiNKS</t>
  </si>
  <si>
    <t xml:space="preserve">https://happy-sinks.com/fi/blogs/magisso/tagged/smart-kitchen-tools</t>
  </si>
  <si>
    <t xml:space="preserve">Blogi - ONNELLINEN SiNKS – Merkitty "smart kitchen tools" – HAPPY SiNKS</t>
  </si>
  <si>
    <t xml:space="preserve">https://happy-sinks.com/fi/blogs/magisso/tagged/swedish-dish-cloths</t>
  </si>
  <si>
    <t xml:space="preserve">Blogi - ONNELLINEN SiNKS – Merkitty "Swedish Dish Cloths" – HAPPY SiNKS</t>
  </si>
  <si>
    <t xml:space="preserve">https://happy-sinks.com/fi/blogs/magisso/tagged/magnetic-sponge-holder</t>
  </si>
  <si>
    <t xml:space="preserve">Blogi - ONNELLINEN SiNKS – Merkitty "magnetic sponge holder" – HAPPY SiNKS</t>
  </si>
  <si>
    <t xml:space="preserve">Consejos Rápidos de Limpieza: 12 Trucos Simples en 5 Minutos - Parte 2 – HAPPY SiNKS</t>
  </si>
  <si>
    <t xml:space="preserve">https://happy-sinks.com/da/blogs/magisso/how-to-clean-silver-cutlery</t>
  </si>
  <si>
    <t xml:space="preserve">Sådan rengør du sølvtøj derhjemme: Enkle gør-det-selv metoder – HAPPY SiNKS</t>
  </si>
  <si>
    <t xml:space="preserve">https://happy-sinks.com/de/blogs/magisso/fruit-fly-control-simple-solutions-for-a-pest-free-kitchen</t>
  </si>
  <si>
    <t xml:space="preserve">Fruchtfliegenbekämpfung: Einfache Lösungen für eine schädlingsfreie Küche – HAPPY SiNKS</t>
  </si>
  <si>
    <t xml:space="preserve">https://happy-sinks.com/fi/blogs/magisso/tagged/renter-friendly-kitchen</t>
  </si>
  <si>
    <t xml:space="preserve">Blogi - ONNELLINEN SiNKS – Merkitty "renter-friendly kitchen" – HAPPY SiNKS</t>
  </si>
  <si>
    <t xml:space="preserve">https://happy-sinks.com/fi/blogs/magisso/tagged/how-to-dry-kitchen-sponge</t>
  </si>
  <si>
    <t xml:space="preserve">Blogi - ONNELLINEN SiNKS – Merkitty "how to dry kitchen sponge" – HAPPY SiNKS</t>
  </si>
  <si>
    <t xml:space="preserve">https://happy-sinks.com/es/products/happy-sinks-gift-card-100</t>
  </si>
  <si>
    <t xml:space="preserve">Tarjeta de regalo - 100€ | Regalo perfecto para cocina en cualquier ocasión - HAPPY SiNKS</t>
  </si>
  <si>
    <t xml:space="preserve">https://happy-sinks.com/fi/blogs/magisso/tagged/magnetic-sink-caddy</t>
  </si>
  <si>
    <t xml:space="preserve">Blogi - ONNELLINEN SiNKS – Merkitty "magnetic sink caddy" – HAPPY SiNKS</t>
  </si>
  <si>
    <t xml:space="preserve">https://happy-sinks.com/de/blogs/magisso/how-to-clean-a-sponge</t>
  </si>
  <si>
    <t xml:space="preserve">So reinigen Sie einen Schwamm: Der ultimative Leitfaden für Hygiene – HAPPY SiNKS</t>
  </si>
  <si>
    <t xml:space="preserve">https://happy-sinks.com/fi/blogs/magisso/tagged/prevent-sponge-smell</t>
  </si>
  <si>
    <t xml:space="preserve">Blogi - ONNELLINEN SiNKS – Merkitty "prevent sponge smell" – HAPPY SiNKS</t>
  </si>
  <si>
    <t xml:space="preserve">https://happy-sinks.com/fi/blogs/magisso/tagged/small-kitchen-hacks</t>
  </si>
  <si>
    <t xml:space="preserve">Blogi - ONNELLINEN SiNKS – Merkitty "small kitchen hacks" – HAPPY SiNKS</t>
  </si>
  <si>
    <t xml:space="preserve">https://happy-sinks.com/es/blogs/magisso/why-have-we-decided-to-use-gots-cotton-instead-of-traditional-cotton</t>
  </si>
  <si>
    <t xml:space="preserve">Algodón GOTS: ¿Por qué elegirlo en lugar del algodón tradicional? – HAPPY SiNKS</t>
  </si>
  <si>
    <t xml:space="preserve">https://happy-sinks.com/fi/blogs/magisso/tagged/hygienic-dishwashing</t>
  </si>
  <si>
    <t xml:space="preserve">Blogi - ONNELLINEN SiNKS – Merkitty "hygienic dishwashing" – HAPPY SiNKS</t>
  </si>
  <si>
    <t xml:space="preserve">https://happy-sinks.com/fi/blogs/magisso/tagged/kitchen-cleanliness</t>
  </si>
  <si>
    <t xml:space="preserve">Blogi - ONNELLINEN SiNKS – Merkitty "kitchen cleanliness" – HAPPY SiNKS</t>
  </si>
  <si>
    <t xml:space="preserve">https://happy-sinks.com/fi/products/happy-sinks-gift-card-100</t>
  </si>
  <si>
    <t xml:space="preserve">Lahjakortti - 100€ | Täydellinen keittiölahja joka tilanteeseen - HAPPY SiNKS</t>
  </si>
  <si>
    <t xml:space="preserve">https://happy-sinks.com/de/blogs/magisso/the-do-s-and-donts-of-how-to-use-swedish-dishcloths</t>
  </si>
  <si>
    <t xml:space="preserve">Die Vor- und Nachteile der Verwendung schwedischer Geschirrtücher – HAPPY SiNKS</t>
  </si>
  <si>
    <t xml:space="preserve">https://happy-sinks.com/fi/blogs/magisso/tagged/scandinavian-sink-accessories</t>
  </si>
  <si>
    <t xml:space="preserve">Blogi - ONNELLINEN SiNKS – Merkitty "Scandinavian sink accessories" – HAPPY SiNKS</t>
  </si>
  <si>
    <t xml:space="preserve">https://happy-sinks.com/fi/blogs/magisso/tagged/nordic-kitchen-design</t>
  </si>
  <si>
    <t xml:space="preserve">Blogi - ONNELLINEN SiNKS – Merkitty "Nordic kitchen design" – HAPPY SiNKS</t>
  </si>
  <si>
    <t xml:space="preserve">https://happy-sinks.com/fi/blogs/magisso/tagged/kitchen-storage-solutions</t>
  </si>
  <si>
    <t xml:space="preserve">Blogi - ONNELLINEN SiNKS – Merkitty "kitchen storage solutions" – HAPPY SiNKS</t>
  </si>
  <si>
    <t xml:space="preserve">https://happy-sinks.com/fi/blogs/magisso/tagged/small-kitchen-drying-tips</t>
  </si>
  <si>
    <t xml:space="preserve">Blogi - ONNELLINEN SiNKS – Merkitty "small kitchen drying tips" – HAPPY SiNKS</t>
  </si>
  <si>
    <t xml:space="preserve">7 Takeaways from the Secret of Finnish Happiness Revealed – HAPPY SiNKS</t>
  </si>
  <si>
    <t xml:space="preserve">Kuinka puhdistaa haisevat tiskirätit raikkaan keittiön puolesta – HAPPY SiNKS</t>
  </si>
  <si>
    <t xml:space="preserve">https://happy-sinks.com/fi/blogs/magisso/tagged/clean-a-stained-sink</t>
  </si>
  <si>
    <t xml:space="preserve">Blogi - ONNELLINEN SiNKS – Merkitty "clean a stained sink" – HAPPY SiNKS</t>
  </si>
  <si>
    <t xml:space="preserve">https://happy-sinks.com/fi/blogs/magisso/tagged/natural-material-kitchen-accessories</t>
  </si>
  <si>
    <t xml:space="preserve">Blogi - ONNELLINEN SiNKS – Merkitty "natural material kitchen accessories" – HAPPY SiNKS</t>
  </si>
  <si>
    <t xml:space="preserve">https://happy-sinks.com/fi/blogs/magisso/tagged/sustainable-textiles</t>
  </si>
  <si>
    <t xml:space="preserve">Blogi - ONNELLINEN SiNKS – Merkitty "sustainable textiles" – HAPPY SiNKS</t>
  </si>
  <si>
    <t xml:space="preserve">https://happy-sinks.com/fi/blogs/magisso/tagged/kitchen-accessories</t>
  </si>
  <si>
    <t xml:space="preserve">Blogi - ONNELLINEN SiNKS – Merkitty "Kitchen Accessories" – HAPPY SiNKS</t>
  </si>
  <si>
    <t xml:space="preserve">https://happy-sinks.com/fi/blogs/magisso/tagged/suction-sponge-holder</t>
  </si>
  <si>
    <t xml:space="preserve">Blogi - ONNELLINEN SiNKS – Merkitty "suction sponge holder" – HAPPY SiNKS</t>
  </si>
  <si>
    <t xml:space="preserve">https://happy-sinks.com/de/blogs/magisso/say-goodbye-to-sink-scratches-the-benefits-of-using-a-silicone-sink-mat</t>
  </si>
  <si>
    <t xml:space="preserve">Vorteile der Verwendung einer Silikon-Spülbeckenmatte für jedes Zuhaus – HAPPY SiNKS</t>
  </si>
  <si>
    <t xml:space="preserve">https://happy-sinks.com/da/blogs/magisso/tagged/magnetic-vs-suction-comparison</t>
  </si>
  <si>
    <t xml:space="preserve">Blog - GLAD SINKER – Tagget "magnetic vs suction comparison" – HAPPY SiNKS</t>
  </si>
  <si>
    <t xml:space="preserve">https://happy-sinks.com/fi/blogs/magisso/tagged/sponge-holder-comparison</t>
  </si>
  <si>
    <t xml:space="preserve">Blogi - ONNELLINEN SiNKS – Merkitty "sponge holder comparison" – HAPPY SiNKS</t>
  </si>
  <si>
    <t xml:space="preserve">https://happy-sinks.com/fi/blogs/magisso/tagged/tidy-sink-solutions</t>
  </si>
  <si>
    <t xml:space="preserve">Blogi - ONNELLINEN SiNKS – Merkitty "tidy sink solutions" – HAPPY SiNKS</t>
  </si>
  <si>
    <t xml:space="preserve">7 conclusiones del secreto de la felicidad finlandesa revelado – HAPPY SiNKS</t>
  </si>
  <si>
    <t xml:space="preserve">https://happy-sinks.com/de/blogs/magisso/how-to-get-rid-of-fruit-flies-summer-tips-for-a-fruit-fly-free-home</t>
  </si>
  <si>
    <t xml:space="preserve">Wie man Fruchtfliegen loswird: Einfache Sommertipps für Zuhause – HAPPY SiNKS</t>
  </si>
  <si>
    <t xml:space="preserve">Sådan rengør du ildelugtende karklude for et frisk køkken – HAPPY SiNKS</t>
  </si>
  <si>
    <t xml:space="preserve">https://happy-sinks.com/fi/blogs/magisso/fruit-fly-control-simple-solutions-for-a-pest-free-kitchen</t>
  </si>
  <si>
    <t xml:space="preserve">Hedelmäkärpästen torjunta: Yksinkertaisia ratkaisuja tuholaisvapaaseen keittiöön – HAPPY SiNKS</t>
  </si>
  <si>
    <t xml:space="preserve">https://happy-sinks.com/fi/blogs/magisso/how-to-use-konna-the-fruit-fly-trap</t>
  </si>
  <si>
    <t xml:space="preserve">Kuinka käyttää KONNA hedelmäkärpäspaperia parhaiden tulosten saavuttamiseksi – HAPPY SiNKS</t>
  </si>
  <si>
    <t xml:space="preserve">https://happy-sinks.com/fi/blogs/magisso/tagged/space-saving-kitchen-ideas</t>
  </si>
  <si>
    <t xml:space="preserve">Blogi - ONNELLINEN SiNKS – Merkitty "space saving kitchen ideas" – HAPPY SiNKS</t>
  </si>
  <si>
    <t xml:space="preserve">https://happy-sinks.com/fi/blogs/magisso/tagged/stainless-steel-kitchen</t>
  </si>
  <si>
    <t xml:space="preserve">Blogi - ONNELLINEN SiNKS – Merkitty "stainless steel kitchen" – HAPPY SiNKS</t>
  </si>
  <si>
    <t xml:space="preserve">https://happy-sinks.com/fi/blogs/magisso/say-goodbye-to-sink-scratches-the-benefits-of-using-a-silicone-sink-mat</t>
  </si>
  <si>
    <t xml:space="preserve">Silikonisen tiskialtaan maton käytön edut jokaisessa kodissa – HAPPY SiNKS</t>
  </si>
  <si>
    <t xml:space="preserve">https://happy-sinks.com/da/blogs/magisso/tagged/stainless-steel-sink-accessories</t>
  </si>
  <si>
    <t xml:space="preserve">Blog - GLAD SINKER – Tagget "stainless steel sink accessories" – HAPPY SiNKS</t>
  </si>
  <si>
    <t xml:space="preserve">https://happy-sinks.com/fi/blogs/magisso/tagged/happy-sinks-dish-rack</t>
  </si>
  <si>
    <t xml:space="preserve">Blogi - ONNELLINEN SiNKS – Merkitty "HAPPY SiNKS dish rack" – HAPPY SiNKS</t>
  </si>
  <si>
    <t xml:space="preserve">https://happy-sinks.com/fi/blogs/magisso/tagged/happy-sinks-products</t>
  </si>
  <si>
    <t xml:space="preserve">Blogi - ONNELLINEN SiNKS – Merkitty "HAPPY SiNKS products" – HAPPY SiNKS</t>
  </si>
  <si>
    <t xml:space="preserve">https://happy-sinks.com/fi/blogs/magisso/tagged/kitchen-organization</t>
  </si>
  <si>
    <t xml:space="preserve">Blogi - ONNELLINEN SiNKS – Merkitty "Kitchen Organization" – HAPPY SiNKS</t>
  </si>
  <si>
    <t xml:space="preserve">https://happy-sinks.com/sv/blogs/magisso/the-do-s-and-donts-of-how-to-use-swedish-dishcloths</t>
  </si>
  <si>
    <t xml:space="preserve">Vad man bör och inte bör göra när man använder svenska disktrasor – HAPPY SiNKS</t>
  </si>
  <si>
    <t xml:space="preserve">https://happy-sinks.com/fi/blogs/magisso/tagged/time-saving-cleaning</t>
  </si>
  <si>
    <t xml:space="preserve">Blogi - ONNELLINEN SiNKS – Merkitty "time-saving cleaning" – HAPPY SiNKS</t>
  </si>
  <si>
    <t xml:space="preserve">https://happy-sinks.com/es/blogs/magisso/join-us-at-formex-2023</t>
  </si>
  <si>
    <t xml:space="preserve">Únete a nosotros en Formex 2023: Descubre la cocina innovadora – HAPPY SiNKS</t>
  </si>
  <si>
    <t xml:space="preserve">https://happy-sinks.com/fi/blogs/magisso/tagged/quick-cleaning-hacks</t>
  </si>
  <si>
    <t xml:space="preserve">Blogi - ONNELLINEN SiNKS – Merkitty "quick cleaning hacks" – HAPPY SiNKS</t>
  </si>
  <si>
    <t xml:space="preserve">https://happy-sinks.com/da/blogs/magisso/the-no-drill-dishcloth-holder-that-makes-your-kitchen-look-better-instantly</t>
  </si>
  <si>
    <t xml:space="preserve">Holder til opvaskeklude uden boring for et ryddeligt køkken – HAPPY SiNKS</t>
  </si>
  <si>
    <t xml:space="preserve">7 Erkenntnisse aus dem Geheimnis des finnischen Glücks enthüllt – HAPPY SiNKS</t>
  </si>
  <si>
    <t xml:space="preserve">Magnettiset tiskialtaan lisävarusteet: Yksinkertainen opas joka kotiin – HAPPY SiNKS</t>
  </si>
  <si>
    <t xml:space="preserve">https://happy-sinks.com/da/blogs/magisso/tagged/eco-friendly-kitchen-products</t>
  </si>
  <si>
    <t xml:space="preserve">Blog - GLAD SINKER – Tagget "eco-friendly kitchen products" – HAPPY SiNKS</t>
  </si>
  <si>
    <t xml:space="preserve">https://happy-sinks.com/fi/blogs/magisso/keeping-dishcloths-dry-hygienically-simple-tips-for-a-cleaner-kitchen</t>
  </si>
  <si>
    <t xml:space="preserve">Astiapyyhkeiden hygieninen pitäminen kuivana: Yksinkertaiset vinkit – HAPPY SiNKS</t>
  </si>
  <si>
    <t xml:space="preserve">https://happy-sinks.com/fi/blogs/magisso/tagged/microfiber-dishcloths</t>
  </si>
  <si>
    <t xml:space="preserve">Blogi - ONNELLINEN SiNKS – Merkitty "microfiber dishcloths" – HAPPY SiNKS</t>
  </si>
  <si>
    <t xml:space="preserve">https://happy-sinks.com/es/blogs/magisso/cutlery-caddy-vs-drawer-organizer-which-is-best</t>
  </si>
  <si>
    <t xml:space="preserve">Cesta para cubiertos vs Organizador de cajones: ¿Cuál es mejor? – HAPPY SiNKS</t>
  </si>
  <si>
    <t xml:space="preserve">https://happy-sinks.com/fi/blogs/magisso/tagged/efficient-kitchen-layout</t>
  </si>
  <si>
    <t xml:space="preserve">Blogi - ONNELLINEN SiNKS – Merkitty "Efficient Kitchen Layout" – HAPPY SiNKS</t>
  </si>
  <si>
    <t xml:space="preserve">https://happy-sinks.com/fi/blogs/magisso/tagged/dish-drying-solutions</t>
  </si>
  <si>
    <t xml:space="preserve">Blogi - ONNELLINEN SiNKS – Merkitty "dish drying solutions" – HAPPY SiNKS</t>
  </si>
  <si>
    <t xml:space="preserve">https://happy-sinks.com/fi/blogs/magisso/tagged/eco-friendly-kitchen-tools</t>
  </si>
  <si>
    <t xml:space="preserve">Blogi - ONNELLINEN SiNKS – Merkitty "eco-friendly kitchen tools" – HAPPY SiNKS</t>
  </si>
  <si>
    <t xml:space="preserve">https://happy-sinks.com/sv/blogs/magisso/say-goodbye-to-sink-scratches-the-benefits-of-using-a-silicone-sink-mat</t>
  </si>
  <si>
    <t xml:space="preserve">Fördelar med att använda en silikonmatta för diskhon i varje hem – HAPPY SiNKS</t>
  </si>
  <si>
    <t xml:space="preserve">https://happy-sinks.com/de/blogs/magisso/kitchen-soap-dispenser</t>
  </si>
  <si>
    <t xml:space="preserve">Wie ein Küchen-Seifenspender eine bessere Hygiene fördert – HAPPY SiNKS</t>
  </si>
  <si>
    <t xml:space="preserve">https://happy-sinks.com/es/blogs/magisso/say-goodbye-to-sink-scratches-the-benefits-of-using-a-silicone-sink-mat</t>
  </si>
  <si>
    <t xml:space="preserve">Beneficios de usar una alfombrilla de silicona para fregadero en cada – HAPPY SiNKS</t>
  </si>
  <si>
    <t xml:space="preserve">https://happy-sinks.com/fi/blogs/magisso/how-to-keep-your-dishcloth-stink-stain-free</t>
  </si>
  <si>
    <t xml:space="preserve">Kuinka pitää ruotsalaiset tiskiliinasi hajuttomina ja tahroittomina – HAPPY SiNKS</t>
  </si>
  <si>
    <t xml:space="preserve">https://happy-sinks.com/fi/blogs/magisso/tagged/prevent-dishcloth-smell</t>
  </si>
  <si>
    <t xml:space="preserve">Blogi - ONNELLINEN SiNKS – Merkitty "prevent dishcloth smell" – HAPPY SiNKS</t>
  </si>
  <si>
    <t xml:space="preserve">https://happy-sinks.com/da/blogs/magisso/how-to-clean-a-sponge</t>
  </si>
  <si>
    <t xml:space="preserve">Sådan rengør du en svamp: Den ultimative guide til hygiejne – HAPPY SiNKS</t>
  </si>
  <si>
    <t xml:space="preserve">https://happy-sinks.com/fi/blogs/magisso/tagged/kitchen-cleaning-tools</t>
  </si>
  <si>
    <t xml:space="preserve">Blogi - ONNELLINEN SiNKS – Merkitty "kitchen cleaning tools" – HAPPY SiNKS</t>
  </si>
  <si>
    <t xml:space="preserve">https://happy-sinks.com/en-au/blogs/magisso/fruit-fly-control-simple-solutions-for-a-pest-free-kitchen</t>
  </si>
  <si>
    <t xml:space="preserve">https://happy-sinks.com/fi/blogs/magisso/tagged/kitchen-space-savers</t>
  </si>
  <si>
    <t xml:space="preserve">Blogi - ONNELLINEN SiNKS – Merkitty "kitchen space savers" – HAPPY SiNKS</t>
  </si>
  <si>
    <t xml:space="preserve">HAPPY SiNKS vs Competidores Los mejores fregaderos de cocina ergonómicos</t>
  </si>
  <si>
    <t xml:space="preserve">https://happy-sinks.com/fi/blogs/magisso/tagged/keep-dishcloths-fresh</t>
  </si>
  <si>
    <t xml:space="preserve">Blogi - ONNELLINEN SiNKS – Merkitty "keep dishcloths fresh" – HAPPY SiNKS</t>
  </si>
  <si>
    <t xml:space="preserve">https://happy-sinks.com/sv/blogs/magisso/keeping-dishcloths-dry-hygienically-simple-tips-for-a-cleaner-kitchen</t>
  </si>
  <si>
    <t xml:space="preserve">Hålla disktrasor torra på ett hygieniskt sätt: Enkla tips – HAPPY SiNKS</t>
  </si>
  <si>
    <t xml:space="preserve">https://happy-sinks.com/fi/blogs/magisso/tagged/eco-friendly-cleaning</t>
  </si>
  <si>
    <t xml:space="preserve">Blogi - ONNELLINEN SiNKS – Merkitty "eco-friendly cleaning" – HAPPY SiNKS</t>
  </si>
  <si>
    <t xml:space="preserve">https://happy-sinks.com/sv/blogs/magisso/fruit-fly-control-simple-solutions-for-a-pest-free-kitchen</t>
  </si>
  <si>
    <t xml:space="preserve">Fruktflugebekämpning: Enkla lösningar för ett kök utan skadedjur – HAPPY SiNKS</t>
  </si>
  <si>
    <t xml:space="preserve">https://happy-sinks.com/fi/blogs/magisso/tagged/appliance-maintenance</t>
  </si>
  <si>
    <t xml:space="preserve">Blogi - ONNELLINEN SiNKS – Merkitty "appliance maintenance" – HAPPY SiNKS</t>
  </si>
  <si>
    <t xml:space="preserve">https://happy-sinks.com/fi/blogs/magisso/tagged/magnetic-sink-accessories</t>
  </si>
  <si>
    <t xml:space="preserve">Blogi - ONNELLINEN SiNKS – Merkitty "magnetic sink accessories" – HAPPY SiNKS</t>
  </si>
  <si>
    <t xml:space="preserve">https://happy-sinks.com/fi/blogs/magisso/tagged/kitchen-sink-cleaning</t>
  </si>
  <si>
    <t xml:space="preserve">Blogi - ONNELLINEN SiNKS – Merkitty "kitchen sink cleaning" – HAPPY SiNKS</t>
  </si>
  <si>
    <t xml:space="preserve">https://happy-sinks.com/fi/blogs/magisso/tagged/kitchen-sponge-holder-magnetic</t>
  </si>
  <si>
    <t xml:space="preserve">Blogi - ONNELLINEN SiNKS – Merkitty "kitchen sponge holder magnetic" – HAPPY SiNKS</t>
  </si>
  <si>
    <t xml:space="preserve">Cómo limpiar los paños de cocina malolientes para una cocina fresca – HAPPY SiNKS</t>
  </si>
  <si>
    <t xml:space="preserve">https://happy-sinks.com/es/blogs/magisso/how-to-get-rid-of-fruit-flies-summer-tips-for-a-fruit-fly-free-home</t>
  </si>
  <si>
    <t xml:space="preserve">Cómo deshacerse de las moscas de la fruta: consejos fáciles para el hogar en verano – HAPPY SiNKS</t>
  </si>
  <si>
    <t xml:space="preserve">https://happy-sinks.com/fi/blogs/magisso/tagged/sponge-bacteria-prevention</t>
  </si>
  <si>
    <t xml:space="preserve">Blogi - ONNELLINEN SiNKS – Merkitty "sponge bacteria prevention" – HAPPY SiNKS</t>
  </si>
  <si>
    <t xml:space="preserve">https://happy-sinks.com/fi/blogs/magisso/how-to-get-rid-of-fruit-flies-summer-tips-for-a-fruit-fly-free-home</t>
  </si>
  <si>
    <t xml:space="preserve">Kuinka päästä eroon hedelmäkärpäsistä: Helppoja kesäisiä kotivinkkejä – HAPPY SiNKS</t>
  </si>
  <si>
    <t xml:space="preserve">https://happy-sinks.com/de/blogs/magisso/how-to-keep-your-dishcloth-stink-stain-free</t>
  </si>
  <si>
    <t xml:space="preserve">So halten Sie Ihre schwedischen Spültücher frei von Gerüchen und Flecken – HAPPY SiNKS</t>
  </si>
  <si>
    <t xml:space="preserve">https://happy-sinks.com/en-ca/blogs/magisso/small-kitchen-solutions</t>
  </si>
  <si>
    <t xml:space="preserve">https://happy-sinks.com/da/products/happy-sinks-gift-card-100</t>
  </si>
  <si>
    <t xml:space="preserve">Gavekort - 100€ | Perfekt køkkengave til enhver lejlighed - HAPPY SiNKS</t>
  </si>
  <si>
    <t xml:space="preserve">https://happy-sinks.com/fi/blogs/magisso/tagged/sponge-drying-solution</t>
  </si>
  <si>
    <t xml:space="preserve">Blogi - ONNELLINEN SiNKS – Merkitty "sponge drying solution" – HAPPY SiNKS</t>
  </si>
  <si>
    <t xml:space="preserve">https://happy-sinks.com/da/blogs/magisso/tagged/minimalist-kitchen-accessories</t>
  </si>
  <si>
    <t xml:space="preserve">Blog - GLAD SINKER – Tagget "minimalist kitchen accessories" – HAPPY SiNKS</t>
  </si>
  <si>
    <t xml:space="preserve">https://happy-sinks.com/de/blogs/magisso/why-have-we-decided-to-use-gots-cotton-instead-of-traditional-cotton</t>
  </si>
  <si>
    <t xml:space="preserve">GOTS-Baumwolle: Warum sollte man sie gegenüber herkömmlicher Baumwolle wählen? – HAPPY SiNKS</t>
  </si>
  <si>
    <t xml:space="preserve">https://happy-sinks.com/fi/blogs/magisso/tagged/nature-and-happiness</t>
  </si>
  <si>
    <t xml:space="preserve">Blogi - ONNELLINEN SiNKS – Merkitty "nature and happiness" – HAPPY SiNKS</t>
  </si>
  <si>
    <t xml:space="preserve">https://happy-sinks.com/da/blogs/magisso/small-kitchen-solutions</t>
  </si>
  <si>
    <t xml:space="preserve">Små køkkenløsninger: Maksimer pladsen med alsidige redskaber – HAPPY SiNKS</t>
  </si>
  <si>
    <t xml:space="preserve">https://happy-sinks.com/fi/blogs/magisso/tagged/no-drill-kitchen-storage</t>
  </si>
  <si>
    <t xml:space="preserve">Blogi - ONNELLINEN SiNKS – Merkitty "no-drill kitchen storage" – HAPPY SiNKS</t>
  </si>
  <si>
    <t xml:space="preserve">https://happy-sinks.com/fi/blogs/magisso/tagged/scandinavian-design</t>
  </si>
  <si>
    <t xml:space="preserve">Blogi - ONNELLINEN SiNKS – Merkitty "Scandinavian design" – HAPPY SiNKS</t>
  </si>
  <si>
    <t xml:space="preserve">https://happy-sinks.com/de/blogs/magisso/how-to-clean-a-stained-sink-in-your-home</t>
  </si>
  <si>
    <t xml:space="preserve">Wie reinigt man ein verschmutztes Spülbecken in Ihrem Zuhause? – HAPPY SiNKS</t>
  </si>
  <si>
    <t xml:space="preserve">Consejos para la limpieza de primavera: 5 consejos imprescindibles para probar con HAPPY SiNKS</t>
  </si>
  <si>
    <t xml:space="preserve">https://happy-sinks.com/sv/products/happy-sinks-gift-card-100</t>
  </si>
  <si>
    <t xml:space="preserve">Presentkort - 100€ | Perfekt köksgåva för alla tillfällen - HAPPY SiNKS</t>
  </si>
  <si>
    <t xml:space="preserve">https://happy-sinks.com/fi/blogs/magisso/tagged/is-stainless-steel-magnetic</t>
  </si>
  <si>
    <t xml:space="preserve">Blogi - ONNELLINEN SiNKS – Merkitty "is stainless steel magnetic" – HAPPY SiNKS</t>
  </si>
  <si>
    <t xml:space="preserve">https://happy-sinks.com/de/blogs/magisso/small-kitchen-drying-hacks-save-space-and-keep-your-kitchen-clean</t>
  </si>
  <si>
    <t xml:space="preserve">Kleine Küchentrocknungstricks: Platz sparen &amp; sauber bleiben – HAPPY SiNKS</t>
  </si>
  <si>
    <t xml:space="preserve">https://happy-sinks.com/es/blogs/magisso/6-reasons-you-need-a-wine-glass-holder-in-your-kitchen</t>
  </si>
  <si>
    <t xml:space="preserve">Soporte para copas de vino: 6 razones por las que lo necesitas en tu cocina – HAPPY SiNKS</t>
  </si>
  <si>
    <t xml:space="preserve">https://happy-sinks.com/sv/blogs/magisso/how-to-keep-your-dishcloth-stink-stain-free</t>
  </si>
  <si>
    <t xml:space="preserve">Hur du håller dina Swedish Dishcloths fria från lukt och fläckar – HAPPY SiNKS</t>
  </si>
  <si>
    <t xml:space="preserve">https://happy-sinks.com/fi/blogs/magisso/tagged/konna-fruit-fly-trap</t>
  </si>
  <si>
    <t xml:space="preserve">Blogi - ONNELLINEN SiNKS – Merkitty "KONNA Fruit Fly Trap" – HAPPY SiNKS</t>
  </si>
  <si>
    <t xml:space="preserve">https://happy-sinks.com/fi/blogs/magisso/tagged/magnetic-cloth-holders</t>
  </si>
  <si>
    <t xml:space="preserve">Blogi - ONNELLINEN SiNKS – Merkitty "Magnetic Cloth Holders" – HAPPY SiNKS</t>
  </si>
  <si>
    <t xml:space="preserve">https://happy-sinks.com/sv/blogs/magisso/why-have-we-decided-to-use-gots-cotton-instead-of-traditional-cotton</t>
  </si>
  <si>
    <t xml:space="preserve">GOTS-bomull: Varför välja det framför traditionell bomull? – HAPPY SiNKS</t>
  </si>
  <si>
    <t xml:space="preserve">https://happy-sinks.com/fi/blogs/magisso/tagged/interior-design-fair</t>
  </si>
  <si>
    <t xml:space="preserve">Blogi - ONNELLINEN SiNKS – Merkitty "Interior Design Fair" – HAPPY SiNKS</t>
  </si>
  <si>
    <t xml:space="preserve">https://happy-sinks.com/da/blogs/magisso/quick-tips-and-tricks-on-how-to-clean-an-oven-at-home</t>
  </si>
  <si>
    <t xml:space="preserve">Hurtige tips og tricks til, hvordan man rengør en ovn derhjemme! – HAPPY SiNKS</t>
  </si>
  <si>
    <t xml:space="preserve">https://happy-sinks.com/fi/blogs/magisso/tagged/kitchen-storage-ideas</t>
  </si>
  <si>
    <t xml:space="preserve">Blogi - ONNELLINEN SiNKS – Merkitty "kitchen storage ideas" – HAPPY SiNKS</t>
  </si>
  <si>
    <t xml:space="preserve">https://happy-sinks.com/de/blogs/magisso/scandinavian-design-for-sink-accessories</t>
  </si>
  <si>
    <t xml:space="preserve">Spülbecken-Zubehör: Skandinavische Design-Eleganz erleben – HAPPY SiNKS</t>
  </si>
  <si>
    <t xml:space="preserve">https://happy-sinks.com/da/blogs/magisso/how-to-get-rid-of-fruit-flies-summer-tips-for-a-fruit-fly-free-home</t>
  </si>
  <si>
    <t xml:space="preserve">Sådan slipper du af med bananfluer: Nemme sommertips til hjemmet – HAPPY SiNKS</t>
  </si>
  <si>
    <t xml:space="preserve">Hurtige rengøringstips: 12 enkle tricks på 5 minutter - Del 2 – HAPPY SiNKS</t>
  </si>
  <si>
    <t xml:space="preserve">Consejos Rápidos de Limpieza: 12 Tareas Fáciles en 5 Minutos Parte 1 – HAPPY SiNKS</t>
  </si>
  <si>
    <t xml:space="preserve">https://happy-sinks.com/fi/blogs/magisso/tagged/ventilated-sponge-holder</t>
  </si>
  <si>
    <t xml:space="preserve">Blogi - ONNELLINEN SiNKS – Merkitty "ventilated sponge holder" – HAPPY SiNKS</t>
  </si>
  <si>
    <t xml:space="preserve">https://happy-sinks.com/fi/blogs/magisso/tagged/kitchen-disinfecting</t>
  </si>
  <si>
    <t xml:space="preserve">Blogi - ONNELLINEN SiNKS – Merkitty "kitchen disinfecting" – HAPPY SiNKS</t>
  </si>
  <si>
    <t xml:space="preserve">https://happy-sinks.com/fi/blogs/magisso/tagged/light-color-kitchen-design</t>
  </si>
  <si>
    <t xml:space="preserve">Blogi - ONNELLINEN SiNKS – Merkitty "light color kitchen design" – HAPPY SiNKS</t>
  </si>
  <si>
    <t xml:space="preserve">https://happy-sinks.com/fi/blogs/magisso/join-us-at-formex-2023</t>
  </si>
  <si>
    <t xml:space="preserve">Liity seuraamme Formex 2023 -tapahtumassa: Tutustu innovatiivisiin keittiöihin – HAPPY SiNKS</t>
  </si>
  <si>
    <t xml:space="preserve">https://happy-sinks.com/sv/blogs/magisso/6-reasons-you-need-a-wine-glass-holder-in-your-kitchen</t>
  </si>
  <si>
    <t xml:space="preserve">Vinglashållare: 6 anledningar till varför du behöver den i ditt kök – HAPPY SiNKS</t>
  </si>
  <si>
    <t xml:space="preserve">Magnetiske Vask Tilbehør: En Enkel Guide til Enhver Husstand – HAPPY SiNKS</t>
  </si>
  <si>
    <t xml:space="preserve">https://happy-sinks.com/fi/blogs/magisso/tagged/scandinavian-kitchen-essentials</t>
  </si>
  <si>
    <t xml:space="preserve">Blogi - ONNELLINEN SiNKS – Merkitty "Scandinavian kitchen essentials" – HAPPY SiNKS</t>
  </si>
  <si>
    <t xml:space="preserve">https://happy-sinks.com/fi/blogs/magisso/tagged/maintain-clean-sink</t>
  </si>
  <si>
    <t xml:space="preserve">Blogi - ONNELLINEN SiNKS – Merkitty "maintain clean sink" – HAPPY SiNKS</t>
  </si>
  <si>
    <t xml:space="preserve">https://happy-sinks.com/fi/blogs/magisso/tagged/stainless-steel-sink</t>
  </si>
  <si>
    <t xml:space="preserve">Blogi - ONNELLINEN SiNKS – Merkitty "stainless steel sink" – HAPPY SiNKS</t>
  </si>
  <si>
    <t xml:space="preserve">https://happy-sinks.com/fi/blogs/magisso/tagged/magnetic-vs-suction-comparison</t>
  </si>
  <si>
    <t xml:space="preserve">Blogi - ONNELLINEN SiNKS – Merkitty "magnetic vs suction comparison" – HAPPY SiNKS</t>
  </si>
  <si>
    <t xml:space="preserve">https://happy-sinks.com/fi/blogs/magisso/tagged/sink-organization-tools</t>
  </si>
  <si>
    <t xml:space="preserve">Blogi - ONNELLINEN SiNKS – Merkitty "sink organization tools" – HAPPY SiNKS</t>
  </si>
  <si>
    <t xml:space="preserve">https://happy-sinks.com/fi/products/reusable-kitchen-sponges</t>
  </si>
  <si>
    <t xml:space="preserve">Keittiösienet – Ekologiset uudelleenkäytettävät puuvillasienet – HAPPY SiNKS</t>
  </si>
  <si>
    <t xml:space="preserve">Magnetische Spülbecken-Zubehör: Ein einfacher Leitfaden für jedes Zuhause – HAPPY SiNKS</t>
  </si>
  <si>
    <t xml:space="preserve">https://happy-sinks.com/fi/blogs/magisso/tagged/biodegradable-sponges</t>
  </si>
  <si>
    <t xml:space="preserve">Blogi - ONNELLINEN SiNKS – Merkitty "biodegradable sponges" – HAPPY SiNKS</t>
  </si>
  <si>
    <t xml:space="preserve">https://happy-sinks.com/sv/blogs/magisso/how-to-clean-silver-cutlery</t>
  </si>
  <si>
    <t xml:space="preserve">Hur man rengör silverbestick hemma: enkla gör-det-själv-metoder – HAPPY SiNKS</t>
  </si>
  <si>
    <t xml:space="preserve">https://happy-sinks.com/es/blogs/magisso/how-to-clean-silver-cutlery</t>
  </si>
  <si>
    <t xml:space="preserve">Cómo limpiar cubiertos de plata en casa: métodos simples de bricolaje – HAPPY SiNKS</t>
  </si>
  <si>
    <t xml:space="preserve">https://happy-sinks.com/fi/blogs/magisso/tagged/happy-sinks-x-skosh</t>
  </si>
  <si>
    <t xml:space="preserve">Blogi - ONNELLINEN SiNKS – Merkitty "Happy Sinks x Skosh" – HAPPY SiNKS</t>
  </si>
  <si>
    <t xml:space="preserve">https://happy-sinks.com/fi/blogs/magisso/tagged/dishwashing-hygiene</t>
  </si>
  <si>
    <t xml:space="preserve">Blogi - ONNELLINEN SiNKS – Merkitty "dishwashing hygiene" – HAPPY SiNKS</t>
  </si>
  <si>
    <t xml:space="preserve">https://happy-sinks.com/de/blogs/magisso/join-us-at-formex-2023</t>
  </si>
  <si>
    <t xml:space="preserve">Besuchen Sie uns auf der Formex 2023: Entdecken Sie innovative Küchenlösungen – HAPPY SiNKS</t>
  </si>
  <si>
    <t xml:space="preserve">https://happy-sinks.com/es/blogs/magisso/how-to-clean-a-sponge</t>
  </si>
  <si>
    <t xml:space="preserve">Cómo limpiar una esponja: La guía definitiva para la higiene – HAPPY SiNKS</t>
  </si>
  <si>
    <t xml:space="preserve">Schnelle Reinigungstipps: 12 einfache Aufgaben in 5 Minuten Teil 1 – HAPPY SiNKS</t>
  </si>
  <si>
    <t xml:space="preserve">https://happy-sinks.com/de/products/happy-sinks-gift-card-100</t>
  </si>
  <si>
    <t xml:space="preserve">Geschenkkarte - 100€ | Perfektes Küchen Geschenk für jeden Anlass - HAPPY SiNKS</t>
  </si>
  <si>
    <t xml:space="preserve">https://happy-sinks.com/es/blogs/magisso/small-kitchen-drying-hacks-save-space-and-keep-your-kitchen-clean</t>
  </si>
  <si>
    <t xml:space="preserve">Pequeños trucos para secar en la cocina: ahorra espacio y mantén la limpieza – HAPPY SiNKS</t>
  </si>
  <si>
    <t xml:space="preserve">https://happy-sinks.com/fi/blogs/magisso/tagged/sponge-holder-benefits</t>
  </si>
  <si>
    <t xml:space="preserve">Blogi - ONNELLINEN SiNKS – Merkitty "sponge holder benefits" – HAPPY SiNKS</t>
  </si>
  <si>
    <t xml:space="preserve">https://happy-sinks.com/fi/blogs/magisso/tagged/tiny-kitchen-organization</t>
  </si>
  <si>
    <t xml:space="preserve">Blogi - ONNELLINEN SiNKS – Merkitty "tiny kitchen organization" – HAPPY SiNKS</t>
  </si>
  <si>
    <t xml:space="preserve">https://happy-sinks.com/es/blogs/magisso/elevating-kitchen-experience-happy-sinks-at-ambiente-2024</t>
  </si>
  <si>
    <t xml:space="preserve">Happy Sinks en Ambiente 2024: Elevando la experiencia en la cocina – HAPPY SiNKS</t>
  </si>
  <si>
    <t xml:space="preserve">https://happy-sinks.com/da/blogs/magisso/how-to-keep-your-dishcloth-stink-stain-free</t>
  </si>
  <si>
    <t xml:space="preserve">Sådan holder du dine svenske karklude fri for lugt og pletter – HAPPY SiNKS</t>
  </si>
  <si>
    <t xml:space="preserve">https://happy-sinks.com/es/blogs/magisso/happy-sinks-in-60-seconds</t>
  </si>
  <si>
    <t xml:space="preserve">HAPPY SiNKS en 60 segundos: Descubre una vida de cocina más inteligente</t>
  </si>
  <si>
    <t xml:space="preserve">https://happy-sinks.com/de/blogs/magisso/quick-tips-and-tricks-on-how-to-clean-an-oven-at-home</t>
  </si>
  <si>
    <t xml:space="preserve">Schnelle Tipps und Tricks zum Reinigen eines Ofens zu Hause! – HAPPY SiNKS</t>
  </si>
  <si>
    <t xml:space="preserve">https://happy-sinks.com/de/blogs/magisso/6-reasons-you-need-a-wine-glass-holder-in-your-kitchen</t>
  </si>
  <si>
    <t xml:space="preserve">Weinglashalter: 6 Gründe, warum Sie ihn in Ihrer Küche brauchen – HAPPY SiNKS</t>
  </si>
  <si>
    <t xml:space="preserve">https://happy-sinks.com/de/blogs/magisso/small-kitchen-solutions</t>
  </si>
  <si>
    <t xml:space="preserve">Kleine Küchenlösungen: Maximieren Sie den Platz mit vielseitigen Werkzeugen – HAPPY SiNKS</t>
  </si>
  <si>
    <t xml:space="preserve">https://happy-sinks.com/es/products/swedish-dishcloths-go-ahead-spill-the-tea-3pc</t>
  </si>
  <si>
    <t xml:space="preserve">Paños de cocina suecos – Go Ahead, Spill the Tea (Juego de 3) | HAPPY SiNKS</t>
  </si>
  <si>
    <t xml:space="preserve">https://happy-sinks.com/da/blogs/magisso/roll-up-vs-traditional-dish-drying-rack-kitchen</t>
  </si>
  <si>
    <t xml:space="preserve">Sammenligning af sammenrullelige og traditionelle opvaskestativer: Hvilket er bedst? – HAPPY SiNKS</t>
  </si>
  <si>
    <t xml:space="preserve">https://happy-sinks.com/da/blogs/magisso/join-us-at-formex-2023</t>
  </si>
  <si>
    <t xml:space="preserve">Deltag med os på Formex 2023: Oplev innovative køkkenløsninger – HAPPY SiNKS</t>
  </si>
  <si>
    <t xml:space="preserve">https://happy-sinks.com/fi/blogs/magisso/tagged/modern-kitchen-hacks</t>
  </si>
  <si>
    <t xml:space="preserve">Blogi - ONNELLINEN SiNKS – Merkitty "modern kitchen hacks" – HAPPY SiNKS</t>
  </si>
  <si>
    <t xml:space="preserve">https://happy-sinks.com/da/blogs/magisso/tagged/kitchen-sponge-holder-magnetic</t>
  </si>
  <si>
    <t xml:space="preserve">Blog - GLAD SINKER – Tagget "kitchen sponge holder magnetic" – HAPPY SiNKS</t>
  </si>
  <si>
    <t xml:space="preserve">https://happy-sinks.com/fi/blogs/magisso/tagged/kitchen-sponge-storage</t>
  </si>
  <si>
    <t xml:space="preserve">Blogi - ONNELLINEN SiNKS – Merkitty "kitchen sponge storage" – HAPPY SiNKS</t>
  </si>
  <si>
    <t xml:space="preserve">https://happy-sinks.com/da/blogs/magisso/tagged/natural-material-kitchen-accessories</t>
  </si>
  <si>
    <t xml:space="preserve">Blog - GLAD SINKER – Tagget "natural material kitchen accessories" – HAPPY SiNKS</t>
  </si>
  <si>
    <t xml:space="preserve">https://happy-sinks.com/es/blogs/magisso/how-to-keep-your-kitchen-sponge-dry-amp-hygienic</t>
  </si>
  <si>
    <t xml:space="preserve">Cómo mantener seca la esponja de tu cocina: consejos principales para la higiene – HAPPY SiNKS</t>
  </si>
  <si>
    <t xml:space="preserve">https://happy-sinks.com/es/blogs/magisso/fruit-fly-control-simple-solutions-for-a-pest-free-kitchen</t>
  </si>
  <si>
    <t xml:space="preserve">Control de moscas de la fruta: Soluciones sencillas para una cocina libre de plagas – HAPPY SiNKS</t>
  </si>
  <si>
    <t xml:space="preserve">https://happy-sinks.com/fi/blogs/magisso/tagged/ceramic-sink-accessories</t>
  </si>
  <si>
    <t xml:space="preserve">Blogi - ONNELLINEN SiNKS – Merkitty "ceramic sink accessories" – HAPPY SiNKS</t>
  </si>
  <si>
    <t xml:space="preserve">https://happy-sinks.com/da/blogs/magisso/tagged/scandinavian-sink-accessories</t>
  </si>
  <si>
    <t xml:space="preserve">Blog - GLAD SINKER – Tagget "Scandinavian sink accessories" – HAPPY SiNKS</t>
  </si>
  <si>
    <t xml:space="preserve">https://happy-sinks.com/es/blogs/magisso/15-most-asked-questions-about-kitchen-towels-and-where-to-keep-them</t>
  </si>
  <si>
    <t xml:space="preserve">Toallas de Cocina: Las 15 Preguntas Más Frecuentes Respondidas – HAPPY SiNKS</t>
  </si>
  <si>
    <t xml:space="preserve">https://happy-sinks.com/fi/blogs/magisso/9-essential-must-have-kitchen-items-that-you-need</t>
  </si>
  <si>
    <t xml:space="preserve">9 välttämätöntä keittiötarviketta, jotka sinun täytyy omistaa – HAPPY SiNKS</t>
  </si>
  <si>
    <t xml:space="preserve">https://happy-sinks.com/de/blogs/magisso/happy-sinks-in-60-seconds</t>
  </si>
  <si>
    <t xml:space="preserve">HAPPY SiNKS in 60 Sekunden: Entdecken Sie ein intelligenteres Küchenleben</t>
  </si>
  <si>
    <t xml:space="preserve">https://happy-sinks.com/fi/blogs/magisso/tagged/non-slip-sponge-holder</t>
  </si>
  <si>
    <t xml:space="preserve">Blogi - ONNELLINEN SiNKS – Merkitty "non-slip sponge holder" – HAPPY SiNKS</t>
  </si>
  <si>
    <t xml:space="preserve">https://happy-sinks.com/fi/blogs/magisso/tagged/kitchen-sink-accessories</t>
  </si>
  <si>
    <t xml:space="preserve">Blogi - ONNELLINEN SiNKS – Merkitty "kitchen sink accessories" – HAPPY SiNKS</t>
  </si>
  <si>
    <t xml:space="preserve">https://happy-sinks.com/fi/blogs/magisso/tagged/kitchen-sink-organizer</t>
  </si>
  <si>
    <t xml:space="preserve">Blogi - ONNELLINEN SiNKS – Merkitty "kitchen sink organizer" – HAPPY SiNKS</t>
  </si>
  <si>
    <t xml:space="preserve">https://happy-sinks.com/fi/blogs/magisso/tagged/sink-organization-ideas</t>
  </si>
  <si>
    <t xml:space="preserve">Blogi - ONNELLINEN SiNKS – Merkitty "sink organization ideas" – HAPPY SiNKS</t>
  </si>
  <si>
    <t xml:space="preserve">https://happy-sinks.com/fi/blogs/magisso/elevating-kitchen-experience-happy-sinks-at-ambiente-2024</t>
  </si>
  <si>
    <t xml:space="preserve">Happy Sinks Ambiente 2024 -tapahtumassa: Keittiökokemuksen uudelle tasolle vieminen – HAPPY SiNKS</t>
  </si>
  <si>
    <t xml:space="preserve">https://happy-sinks.com/da/blogs/magisso/how-to-use-konna-the-fruit-fly-trap</t>
  </si>
  <si>
    <t xml:space="preserve">Sådan bruger du KONNA Fruit Fly Trap for de bedste resultater – HAPPY SiNKS</t>
  </si>
  <si>
    <t xml:space="preserve">https://happy-sinks.com/de/blogs/magisso/how-to-use-konna-the-fruit-fly-trap</t>
  </si>
  <si>
    <t xml:space="preserve">So verwenden Sie die KONNA Fruchtfliegenfalle für beste Ergebnisse – HAPPY SiNKS</t>
  </si>
  <si>
    <t xml:space="preserve">https://happy-sinks.com/es/products/kitchen-sink-mat-silicone</t>
  </si>
  <si>
    <t xml:space="preserve">Alfombrilla para Fregadero de Cocina – Protector de Fregadero de Silicona | HAPPY SiNKS</t>
  </si>
  <si>
    <t xml:space="preserve">https://happy-sinks.com/fi/blogs/magisso/tagged/sustainable-products</t>
  </si>
  <si>
    <t xml:space="preserve">Blogi - ONNELLINEN SiNKS – Merkitty "sustainable products" – HAPPY SiNKS</t>
  </si>
  <si>
    <t xml:space="preserve">Hur man rengör illaluktande disktrasor för ett fräscht kök – HAPPY SiNKS</t>
  </si>
  <si>
    <t xml:space="preserve">https://happy-sinks.com/da/blogs/magisso/best-kitchen-organisation-sustainability-trends-2026</t>
  </si>
  <si>
    <t xml:space="preserve">Bedste køkkenorganisation og bæredygtighedstendenser 2026 – HAPPY SiNKS</t>
  </si>
  <si>
    <t xml:space="preserve">https://happy-sinks.com/da/blogs/magisso/say-goodbye-to-sink-scratches-the-benefits-of-using-a-silicone-sink-mat</t>
  </si>
  <si>
    <t xml:space="preserve">Fordele ved at bruge en silikone vaskemåtte i ethvert hjem – HAPPY SiNKS</t>
  </si>
  <si>
    <t xml:space="preserve">https://happy-sinks.com/en-ca/blogs/magisso/fruit-fly-control-simple-solutions-for-a-pest-free-kitchen</t>
  </si>
  <si>
    <t xml:space="preserve">https://happy-sinks.com/da/blogs/magisso/tagged/scandinavian-kitchen-essentials</t>
  </si>
  <si>
    <t xml:space="preserve">Blog - GLAD SINKER – Tagget "Scandinavian kitchen essentials" – HAPPY SiNKS</t>
  </si>
  <si>
    <t xml:space="preserve">https://happy-sinks.com/fi/blogs/magisso/tagged/minimalist-kitchen-accessories</t>
  </si>
  <si>
    <t xml:space="preserve">Blogi - ONNELLINEN SiNKS – Merkitty "minimalist kitchen accessories" – HAPPY SiNKS</t>
  </si>
  <si>
    <t xml:space="preserve">https://happy-sinks.com/da/blogs/magisso/tagged/is-stainless-steel-magnetic</t>
  </si>
  <si>
    <t xml:space="preserve">Blog - GLAD SINKER – Tagget "is stainless steel magnetic" – HAPPY SiNKS</t>
  </si>
  <si>
    <t xml:space="preserve">https://happy-sinks.com/sv/blogs/magisso/small-kitchen-solutions</t>
  </si>
  <si>
    <t xml:space="preserve">Små kökslösningar: Maximera utrymmet med mångsidiga verktyg – HAPPY SiNKS</t>
  </si>
  <si>
    <t xml:space="preserve">https://happy-sinks.com/fi/blogs/magisso/tagged/wooden-soap-dispenser</t>
  </si>
  <si>
    <t xml:space="preserve">Blogi - ONNELLINEN SiNKS – Merkitty "wooden soap dispenser" – HAPPY SiNKS</t>
  </si>
  <si>
    <t xml:space="preserve">Hurtige rengøringstips: 12 nemme opgaver på 5 minutter Del 1 – HAPPY SiNKS</t>
  </si>
  <si>
    <t xml:space="preserve">https://happy-sinks.com/fi/blogs/magisso/tagged/fast-cleaning-methods</t>
  </si>
  <si>
    <t xml:space="preserve">Blogi - ONNELLINEN SiNKS – Merkitty "fast cleaning methods" – HAPPY SiNKS</t>
  </si>
  <si>
    <t xml:space="preserve">https://happy-sinks.com/en-au/blogs/magisso/elevating-kitchen-experience-happy-sinks-at-ambiente-2024</t>
  </si>
  <si>
    <t xml:space="preserve">Happy Sinks at Ambiente 2024: Elevating Kitchen Experience – HAPPY SiNKS</t>
  </si>
  <si>
    <t xml:space="preserve">https://happy-sinks.com/fi/blogs/magisso/tagged/magnetic-sink-organizer</t>
  </si>
  <si>
    <t xml:space="preserve">Blogi - ONNELLINEN SiNKS – Merkitty "magnetic sink organizer" – HAPPY SiNKS</t>
  </si>
  <si>
    <t xml:space="preserve">https://happy-sinks.com/en-gb/blogs/magisso/elevating-kitchen-experience-happy-sinks-at-ambiente-2024</t>
  </si>
  <si>
    <t xml:space="preserve">https://happy-sinks.com/fi/blogs/magisso/tagged/non-drill-kitchen-organizer</t>
  </si>
  <si>
    <t xml:space="preserve">Blogi - ONNELLINEN SiNKS – Merkitty "non-drill kitchen organizer" – HAPPY SiNKS</t>
  </si>
  <si>
    <t xml:space="preserve">https://happy-sinks.com/blogs/magisso/elevating-kitchen-experience-happy-sinks-at-ambiente-2024</t>
  </si>
  <si>
    <t xml:space="preserve">https://happy-sinks.com/es/products/reusable-kitchen-sponges</t>
  </si>
  <si>
    <t xml:space="preserve">Esponjas de cocina - Esponjas reutilizables de algodón ecológicas – HAPPY SiNKS</t>
  </si>
  <si>
    <t xml:space="preserve">https://happy-sinks.com/fi/blogs/magisso/tagged/modern-kitchen-accessories</t>
  </si>
  <si>
    <t xml:space="preserve">Blogi - ONNELLINEN SiNKS – Merkitty "modern kitchen accessories" – HAPPY SiNKS</t>
  </si>
  <si>
    <t xml:space="preserve">https://happy-sinks.com/de/blogs/magisso/elevating-kitchen-experience-happy-sinks-at-ambiente-2024</t>
  </si>
  <si>
    <t xml:space="preserve">Happy Sinks auf der Ambiente 2024: Das Kocherlebnis auf ein neues Niveau heben – HAPPY SiNKS</t>
  </si>
  <si>
    <t xml:space="preserve">https://happy-sinks.com/da/blogs/magisso/fruit-fly-control-simple-solutions-for-a-pest-free-kitchen</t>
  </si>
  <si>
    <t xml:space="preserve">Bekæmpelse af bananfluer: Enkle løsninger til et skadedyrsfrit køkken – HAPPY SiNKS</t>
  </si>
  <si>
    <t xml:space="preserve">https://happy-sinks.com/es/blogs/magisso/the-no-drill-dishcloth-holder-that-makes-your-kitchen-look-better-instantly</t>
  </si>
  <si>
    <t xml:space="preserve">Soporte para paños de cocina sin taladro para una cocina ordenada – HAPPY SiNKS</t>
  </si>
  <si>
    <t xml:space="preserve">https://happy-sinks.com/fi/blogs/magisso/tagged/best-sponge-holder-for-kitchen</t>
  </si>
  <si>
    <t xml:space="preserve">Blogi - ONNELLINEN SiNKS – Merkitty "best sponge holder for kitchen" – HAPPY SiNKS</t>
  </si>
  <si>
    <t xml:space="preserve">https://happy-sinks.com/fi/blogs/magisso/tagged/biodegradable-dishcloths</t>
  </si>
  <si>
    <t xml:space="preserve">Blogi - ONNELLINEN SiNKS – Merkitty "biodegradable dishcloths" – HAPPY SiNKS</t>
  </si>
  <si>
    <t xml:space="preserve">https://happy-sinks.com/fi/blogs/magisso/tagged/kitchen-hygiene-tips</t>
  </si>
  <si>
    <t xml:space="preserve">Blogi - ONNELLINEN SiNKS – Merkitty "kitchen hygiene tips" – HAPPY SiNKS</t>
  </si>
  <si>
    <t xml:space="preserve">https://happy-sinks.com/fi/blogs/magisso/tagged/small-kitchen-ideas</t>
  </si>
  <si>
    <t xml:space="preserve">Blogi - ONNELLINEN SiNKS – Merkitty "Small Kitchen Ideas" – HAPPY SiNKS</t>
  </si>
  <si>
    <t xml:space="preserve">https://happy-sinks.com/fi/blogs/magisso/tagged/metal-sink-accessories</t>
  </si>
  <si>
    <t xml:space="preserve">Blogi - ONNELLINEN SiNKS – Merkitty "metal sink accessories" – HAPPY SiNKS</t>
  </si>
  <si>
    <t xml:space="preserve">https://happy-sinks.com/fi/blogs/magisso/tagged/sink-storage-solutions</t>
  </si>
  <si>
    <t xml:space="preserve">Blogi - ONNELLINEN SiNKS – Merkitty "sink storage solutions" – HAPPY SiNKS</t>
  </si>
  <si>
    <t xml:space="preserve">https://happy-sinks.com/de/blogs/magisso/what-s-a-swedish-dishcloth-and-why-you-should-start-using-it</t>
  </si>
  <si>
    <t xml:space="preserve">Schwedisches Spültuch: Umweltfreundliche und effektive Reinigung – HAPPY SiNKS</t>
  </si>
  <si>
    <t xml:space="preserve">https://happy-sinks.com/fi/blogs/magisso/tagged/small-kitchen-solutions</t>
  </si>
  <si>
    <t xml:space="preserve">Blogi - ONNELLINEN SiNKS – Merkitty "Small Kitchen Solutions" – HAPPY SiNKS</t>
  </si>
  <si>
    <t xml:space="preserve">https://happy-sinks.com/fi/blogs/magisso/tagged/scandinavian-sink-setup</t>
  </si>
  <si>
    <t xml:space="preserve">Blogi - ONNELLINEN SiNKS – Merkitty "Scandinavian sink setup" – HAPPY SiNKS</t>
  </si>
  <si>
    <t xml:space="preserve">https://happy-sinks.com/es/products/happy-sinks-gift-card-50</t>
  </si>
  <si>
    <t xml:space="preserve">Tarjeta de regalo - 50€ | Regalo perfecto para cocina en cualquier ocasión - HAPPY SiNKS</t>
  </si>
  <si>
    <t xml:space="preserve">https://happy-sinks.com/en-ca/blogs/magisso/elevating-kitchen-experience-happy-sinks-at-ambiente-2024</t>
  </si>
  <si>
    <t xml:space="preserve">https://happy-sinks.com/fi/blogs/magisso/small-kitchen-drying-hacks-save-space-and-keep-your-kitchen-clean</t>
  </si>
  <si>
    <t xml:space="preserve">Pienet keittiön kuivausvinkit: Säästä tilaa ja pidä siistiä – HAPPY SiNKS</t>
  </si>
  <si>
    <t xml:space="preserve">https://happy-sinks.com/fi/blogs/magisso/tagged/sustainable-kitchen</t>
  </si>
  <si>
    <t xml:space="preserve">Blogi - ONNELLINEN SiNKS – Merkitty "Sustainable Kitchen" – HAPPY SiNKS</t>
  </si>
  <si>
    <t xml:space="preserve">https://happy-sinks.com/da/blogs/magisso/the-do-s-and-donts-of-how-to-use-swedish-dishcloths</t>
  </si>
  <si>
    <t xml:space="preserve">Dos and Don'ts for hvordan man bruger svenske opvaskeklude – HAPPY SiNKS</t>
  </si>
  <si>
    <t xml:space="preserve">https://happy-sinks.com/es/products/wine-glass-rack</t>
  </si>
  <si>
    <t xml:space="preserve">Soporte para copas de vino – Apto para lavavajillas y elegante | HAPPY SiNKS</t>
  </si>
  <si>
    <t xml:space="preserve">https://happy-sinks.com/es/products/beeswax-food-wraps</t>
  </si>
  <si>
    <t xml:space="preserve">Envoltorios de cera de abeja para alimentos – Orgánicos y naturales | HAPPY SiNKS</t>
  </si>
  <si>
    <t xml:space="preserve">https://happy-sinks.com/de/blogs/magisso/roll-up-vs-traditional-dish-drying-rack-kitchen</t>
  </si>
  <si>
    <t xml:space="preserve">Roll-Up vs traditionelle Geschirrabtropfgestelle: Welches ist das Beste? – HAPPY SiNKS</t>
  </si>
  <si>
    <t xml:space="preserve">https://happy-sinks.com/en-ca/blogs/magisso/how-to-keep-your-kitchen-sponge-dry-amp-hygienic</t>
  </si>
  <si>
    <t xml:space="preserve">https://happy-sinks.com/es/blogs/magisso/the-do-s-and-donts-of-how-to-use-swedish-dishcloths</t>
  </si>
  <si>
    <t xml:space="preserve">Lo que se debe y no se debe hacer en el uso de paños de cocina suecos – HAPPY SiNKS</t>
  </si>
  <si>
    <t xml:space="preserve">https://happy-sinks.com/fi/blogs/magisso/scandinavian-design-for-sink-accessories</t>
  </si>
  <si>
    <t xml:space="preserve">Allaskäsineet: Sisällytä skandinaavista muotoilun eleganssia – HAPPY SiNKS</t>
  </si>
  <si>
    <t xml:space="preserve">https://happy-sinks.com/de/products/happy-sinks-gift-card-50</t>
  </si>
  <si>
    <t xml:space="preserve">Geschenkkarte - 50€ | Perfektes Küchen Geschenk für jeden Anlass - HAPPY SiNKS</t>
  </si>
  <si>
    <t xml:space="preserve">https://happy-sinks.com/da/blogs/magisso/why-have-we-decided-to-use-gots-cotton-instead-of-traditional-cotton</t>
  </si>
  <si>
    <t xml:space="preserve">GOTS Bomuld: Hvorfor vælge det frem for traditionel bomuld? – HAPPY SiNKS</t>
  </si>
  <si>
    <t xml:space="preserve">https://happy-sinks.com/fi/blogs/magisso/tagged/dishcloth-maintenance</t>
  </si>
  <si>
    <t xml:space="preserve">Blogi - ONNELLINEN SiNKS – Merkitty "dishcloth maintenance" – HAPPY SiNKS</t>
  </si>
  <si>
    <t xml:space="preserve">https://happy-sinks.com/fi/blogs/magisso/tagged/eco-friendly-products</t>
  </si>
  <si>
    <t xml:space="preserve">Blogi - ONNELLINEN SiNKS – Merkitty "eco-friendly products" – HAPPY SiNKS</t>
  </si>
  <si>
    <t xml:space="preserve">https://happy-sinks.com/sv/blogs/magisso/the-no-drill-dishcloth-holder-that-makes-your-kitchen-look-better-instantly</t>
  </si>
  <si>
    <t xml:space="preserve">Hållare för diskhandduk utan borrning för ett prydligt kök – HAPPY SiNKS</t>
  </si>
  <si>
    <t xml:space="preserve">https://happy-sinks.com/fi/blogs/magisso/tagged/eco-friendly-kitchen-products</t>
  </si>
  <si>
    <t xml:space="preserve">Blogi - ONNELLINEN SiNKS – Merkitty "eco-friendly kitchen products" – HAPPY SiNKS</t>
  </si>
  <si>
    <t xml:space="preserve">https://happy-sinks.com/es/products/over-sink-rack-wunderbar-expandable</t>
  </si>
  <si>
    <t xml:space="preserve">Escurreplatos sobre fregadero - Multifuncional extensible Wunderbar – HAPPY SiNKS</t>
  </si>
  <si>
    <t xml:space="preserve">Magnetiska diskbänkstillbehör: En enkel guide för varje hem – HAPPY SiNKS</t>
  </si>
  <si>
    <t xml:space="preserve">https://happy-sinks.com/fi/blogs/magisso/tagged/durable-sponge-holder</t>
  </si>
  <si>
    <t xml:space="preserve">Blogi - ONNELLINEN SiNKS – Merkitty "durable sponge holder" – HAPPY SiNKS</t>
  </si>
  <si>
    <t xml:space="preserve">Accesorios Magnéticos para Fregadero: Una Guía Simple para Cada Hogar – HAPPY SiNKS</t>
  </si>
  <si>
    <t xml:space="preserve">https://happy-sinks.com/es/blogs/magisso/how-to-keep-your-dishcloth-stink-stain-free</t>
  </si>
  <si>
    <t xml:space="preserve">Cómo mantener tus paños suecos libres de malos olores y manchas – HAPPY SiNKS</t>
  </si>
  <si>
    <t xml:space="preserve">https://happy-sinks.com/es/blogs/magisso/best-kitchen-organisation-sustainability-trends-2026</t>
  </si>
  <si>
    <t xml:space="preserve">Mejores Tendencias en Organización de Cocina y Sostenibilidad 2026 – HAPPY SiNKS</t>
  </si>
  <si>
    <t xml:space="preserve">https://happy-sinks.com/da/blogs/magisso/tagged/best-sponge-holder-for-kitchen</t>
  </si>
  <si>
    <t xml:space="preserve">Blog - GLAD SINKER – Tagget "best sponge holder for kitchen" – HAPPY SiNKS</t>
  </si>
  <si>
    <t xml:space="preserve">So reinigen Sie stinkende Spültücher für eine frische Küche – HAPPY SiNKS</t>
  </si>
  <si>
    <t xml:space="preserve">https://happy-sinks.com/fi/blogs/magisso/tagged/small-apartment-kitchen</t>
  </si>
  <si>
    <t xml:space="preserve">Blogi - ONNELLINEN SiNKS – Merkitty "small apartment kitchen" – HAPPY SiNKS</t>
  </si>
  <si>
    <t xml:space="preserve">https://happy-sinks.com/es/products/dish-cloth-holder-rainbow</t>
  </si>
  <si>
    <t xml:space="preserve">Soporte para paños de cocina para fregadero – Edición Limitada RAINBOW – HAPPY SiNKS</t>
  </si>
  <si>
    <t xml:space="preserve">https://happy-sinks.com/fi/blogs/magisso/tagged/stainless-steel-sink-accessories</t>
  </si>
  <si>
    <t xml:space="preserve">Blogi - ONNELLINEN SiNKS – Merkitty "stainless steel sink accessories" – HAPPY SiNKS</t>
  </si>
  <si>
    <t xml:space="preserve">https://happy-sinks.com/fi/blogs/magisso/tagged/magnetic-dishcloth-holder</t>
  </si>
  <si>
    <t xml:space="preserve">Blogi - ONNELLINEN SiNKS – Merkitty "magnetic dishcloth holder" – HAPPY SiNKS</t>
  </si>
  <si>
    <t xml:space="preserve">https://happy-sinks.com/fi/products/happy-sinks-gift-card-50</t>
  </si>
  <si>
    <t xml:space="preserve">Lahjakortti - 50€ | Täydellinen keittiölahja joka tilanteeseen - HAPPY SiNKS</t>
  </si>
  <si>
    <t xml:space="preserve">Schnelle Reinigungstipps: 12 einfache Tricks in 5 Minuten – Teil 2 – HAPPY SiNKS</t>
  </si>
  <si>
    <t xml:space="preserve">https://happy-sinks.com/fi/blogs/magisso/tagged/simple-kitchen-upgrades</t>
  </si>
  <si>
    <t xml:space="preserve">Blogi - ONNELLINEN SiNKS – Merkitty "simple kitchen upgrades" – HAPPY SiNKS</t>
  </si>
  <si>
    <t xml:space="preserve">https://happy-sinks.com/es/blogs/magisso/kitchen-soap-dispenser</t>
  </si>
  <si>
    <t xml:space="preserve">Cómo un dispensador de jabón de cocina promueve una mejor higiene – HAPPY SiNKS</t>
  </si>
  <si>
    <t xml:space="preserve">https://happy-sinks.com/fi/blogs/magisso/tagged/kitchen-organization-ideas</t>
  </si>
  <si>
    <t xml:space="preserve">Blogi - ONNELLINEN SiNKS – Merkitty "kitchen organization ideas" – HAPPY SiNKS</t>
  </si>
  <si>
    <t xml:space="preserve">https://happy-sinks.com/da/blogs/magisso/tagged/non-drill-kitchen-organizer</t>
  </si>
  <si>
    <t xml:space="preserve">Blog - GLAD SINKER – Tagget "non-drill kitchen organizer" – HAPPY SiNKS</t>
  </si>
  <si>
    <t xml:space="preserve">https://happy-sinks.com/de/products/swedish-dishcloths-go-ahead-spill-the-tea-3pc</t>
  </si>
  <si>
    <t xml:space="preserve">Schwedische Spültücher – Go Ahead, Spill the Tea (3er-Set) | HAPPY SiNKS</t>
  </si>
  <si>
    <t xml:space="preserve">https://happy-sinks.com/fi/blogs/magisso/tagged/space-saving-kitchen-tools</t>
  </si>
  <si>
    <t xml:space="preserve">Blogi - ONNELLINEN SiNKS – Merkitty "space-saving kitchen tools" – HAPPY SiNKS</t>
  </si>
  <si>
    <t xml:space="preserve">https://happy-sinks.com/fi/blogs/magisso/tagged/kitchen-cleaning-tips</t>
  </si>
  <si>
    <t xml:space="preserve">Blogi - ONNELLINEN SiNKS – Merkitty "kitchen cleaning tips" – HAPPY SiNKS</t>
  </si>
  <si>
    <t xml:space="preserve">https://happy-sinks.com/es/blogs/magisso/how-to-use-konna-the-fruit-fly-trap</t>
  </si>
  <si>
    <t xml:space="preserve">Cómo usar la trampa para moscas de la fruta KONNA para obtener los mejores resultados – HAPPY SiNKS</t>
  </si>
  <si>
    <t xml:space="preserve">https://happy-sinks.com/fi/blogs/magisso/the-do-s-and-donts-of-how-to-use-swedish-dishcloths</t>
  </si>
  <si>
    <t xml:space="preserve">Ruotsalaisten tiskiliinojen käyttö: mitä tehdä ja mitä ei tehdä – HAPPY SiNKS</t>
  </si>
  <si>
    <t xml:space="preserve">https://happy-sinks.com/es/blogs/magisso/small-kitchen-solutions</t>
  </si>
  <si>
    <t xml:space="preserve">Soluciones para cocinas pequeñas: maximiza el espacio con herramientas versátiles – HAPPY SiNKS</t>
  </si>
  <si>
    <t xml:space="preserve">https://happy-sinks.com/de/products/reusable-kitchen-sponges</t>
  </si>
  <si>
    <t xml:space="preserve">Küchenschwämme – Umweltfreundliche, wiederverwendbare Baumwollschwämme – HAPPY SiNKS</t>
  </si>
  <si>
    <t xml:space="preserve">https://happy-sinks.com/de/blogs/magisso/how-to-clean-silver-cutlery</t>
  </si>
  <si>
    <t xml:space="preserve">Wie man Silberbesteck zu Hause reinigt: Einfache DIY-Methoden – HAPPY SiNKS</t>
  </si>
  <si>
    <t xml:space="preserve">https://happy-sinks.com/fi/blogs/magisso/tagged/reusable-spray-bottles</t>
  </si>
  <si>
    <t xml:space="preserve">Blogi - ONNELLINEN SiNKS – Merkitty "Reusable Spray Bottles" – HAPPY SiNKS</t>
  </si>
  <si>
    <t xml:space="preserve">https://happy-sinks.com/pages/about-us</t>
  </si>
  <si>
    <t xml:space="preserve">Smart, sustainable Nordic kitchen tools that make cleaning easier and happier. Shop magnetic holders, dish racks, and eco-friendly accessories for a tidier home.</t>
  </si>
  <si>
    <t xml:space="preserve">Source: https_happy-sinks.com_ - URL Report.xlsx / Too Long Meta Description</t>
  </si>
  <si>
    <t xml:space="preserve">På HAPPY SiNKS går vårt engagemang för hållbarhet hand i hand med vår passion för att sprida glädje till ditt dagliga liv. Läs mer om hur vi jobbar med hållbarhet!</t>
  </si>
  <si>
    <t xml:space="preserve">https://happy-sinks.com/sv/collections/sponge-holders</t>
  </si>
  <si>
    <t xml:space="preserve">HAPPY SiNKS magnetisk svamphållare i biokomposit eller rostfritt stål. Utan borrning, snabb torkning, mindre bakterier. Prisbelönt finsk design för en renare diskbänk.</t>
  </si>
  <si>
    <t xml:space="preserve">https://happy-sinks.com/sv/pages/about-us</t>
  </si>
  <si>
    <t xml:space="preserve">Smarta, hållbara nordiska köksredskap som gör städningen enklare och roligare. Handla magnetiska hållare, diskställ och miljövänliga tillbehör för ett prydligare hem.</t>
  </si>
  <si>
    <t xml:space="preserve">https://happy-sinks.com/sv</t>
  </si>
  <si>
    <t xml:space="preserve">Kolla in vårt utbud av stilrena, funktionella och miljövänliga kökstillbehör för ett renare, snyggare och mer organiserat kök. Vi har allt du och ditt kök behöver!</t>
  </si>
  <si>
    <t xml:space="preserve">https://happy-sinks.com/sv/collections/cloth-holders</t>
  </si>
  <si>
    <t xml:space="preserve">HAPPY SiNKS magnetisk disktrashållare i biokomposit eller rostfritt stål. Utan borrning, passar stål- och kompositdiskhoar. Prisbelönt finsk design. Snabb torkning, mindre bakterier.</t>
  </si>
  <si>
    <t xml:space="preserve">Entdecken Sie den HAPPY SiNKS Spültuchhalter: magnetischer Geschirrtuchhalter aus Biokomposit oder Edelstahl. Ohne Bohren, für Edelstahl- und Kompositspülen. Preisgekröntes finnisches Design.</t>
  </si>
  <si>
    <t xml:space="preserve">HAPPY SiNKS tilknyttede program er en måde for skabere at tjene provision på salg ved at henvise kunder til hjemmesiden ved hjælp af unikke links. Tilmeld dig i dag!</t>
  </si>
  <si>
    <t xml:space="preserve">Das HAPPY SiNKS-Partnerprogramm ist eine Möglichkeit für Entwickler, Provisionen für Verkäufe zu verdienen, indem sie Kunden über eindeutige Links auf die Website verweisen. Tritt heute bei!</t>
  </si>
  <si>
    <t xml:space="preserve">Tutustu keittiötarvikevalikoimaamme, joka on valmistettu kestävistä materiaaleista ja eloisissa väreissä. Täydellisiä siivoukseen, järjestämiseen ja bakteerien vähentämiseen.</t>
  </si>
  <si>
    <t xml:space="preserve">https://happy-sinks.com/da/blogs/magisso</t>
  </si>
  <si>
    <t xml:space="preserve">Fra hurtige rengøringstips til de seneste nyheder, har vores blog alt, hvad du behøver for at holde dig informeret og blive inspireret til en renere og sundere livsstil!</t>
  </si>
  <si>
    <t xml:space="preserve">HAPPY SiNKS magnetisk karkludeholder i biokomposit eller rustfrit stål. Ingen boring, passer stål- og kompositvaske. Prisbelønnet finsk design. Hurtig tørring, færre bakterier.</t>
  </si>
  <si>
    <t xml:space="preserve">Entdecken Sie unsere New Arrivals Kollektion für die frischesten Styles und neuesten Trends. Finden Sie jetzt Ihren perfekten Look unter unseren neuesten Artikeln.</t>
  </si>
  <si>
    <t xml:space="preserve">Kuten tietosuojakäytännössämme kuvataan, keräämme henkilötietoja vuorovaikutuksestasi kanssamme ja verkkosivustollamme, mukaan lukien evästeiden ja vastaavien tekniikoiden avulla. Saatamme myös jakaa nämä henkilötiedot kolmansille osapuolille, mukaan lukien mainoskumppanit. Teemme tämän näyttääksemme sinulle muilla ver</t>
  </si>
  <si>
    <t xml:space="preserve">KONNA Kärpäsloukku on suunniteltu houkuttelemaan ja pyydystämään hedelmäkärpäsiä esteettisesti miellyttävällä ja ympäristöystävällisellä tavalla. Valmistettu korkealaatuisesta puukomposiitista.</t>
  </si>
  <si>
    <t xml:space="preserve">Interesseret i at forhandle HAPPY SiNKS produkter i din butik? Så udfyld venligst vores forhandlerformular, og en af vores teammedlemmer vil kontakte dig inden for kort tid!</t>
  </si>
  <si>
    <t xml:space="preserve">Löydä parhaat keittiö- ja allassetit edullisilla pakettitarjouksilla ja päivitä keittiösi allasalue. Kaikki olennaiset tarvikkeet, joita tarvitset säihkyvän puhtaaseen keittiöön.</t>
  </si>
  <si>
    <t xml:space="preserve">https://happy-sinks.com/da/collections/sponge-holders</t>
  </si>
  <si>
    <t xml:space="preserve">HAPPY SiNKS magnetisk svampeholder i biokomposit eller rustfrit stål. Ingen boring, hurtig tørring, færre bakterier. Prisbelønnet finsk design til en renere vask.</t>
  </si>
  <si>
    <t xml:space="preserve">Registrieren Sie die Garantie Ihres Produkts online, um die Abdeckung und den Schutz Ihrer Investition zu gewährleisten. Ein schneller und einfacher Prozess, der für Sicherheit sorgt. Jetzt registrieren!</t>
  </si>
  <si>
    <t xml:space="preserve">Entdecken Sie unsere Kollektion an Küchenaccessoires aus nachhaltigen Materialien und in lebendigen Farben. Perfekt zum Reinigen, Organisieren und zur Minimierung von Bakterien.</t>
  </si>
  <si>
    <t xml:space="preserve">https://happy-sinks.com/de/products/potato-washer</t>
  </si>
  <si>
    <t xml:space="preserve">Reinigen Sie Kartoffeln in Sekunden mit dem Potturi Kartoffelreiniger, hergestellt aus 100 % recyceltem Kunststoff. Einfach hinzufügen, abspülen und schütteln für müheloses, umweltfreundliches Reinigen.</t>
  </si>
  <si>
    <t xml:space="preserve">https://happy-sinks.com/de/pages/faq</t>
  </si>
  <si>
    <t xml:space="preserve">Erstkäufer? Unsicher? Schauen Sie sich unsere FAQs an und treffen Sie Ihre Entscheidung. Wenn Sie noch Zweifel haben, kontaktieren Sie uns einfach unter wecare@happy-sinks.com.</t>
  </si>
  <si>
    <t xml:space="preserve">Vores KONNA Frugtfluefælde er designet til at tiltrække og fange frugtfluer på en æstetisk tiltalende og miljøvenlig måde. Fremstillet af høj kvalitets trækomposit.</t>
  </si>
  <si>
    <t xml:space="preserve">https://happy-sinks.com/da/pages/about-us</t>
  </si>
  <si>
    <t xml:space="preserve">Smarte, bæredygtige nordiske køkkenredskaber, der gør rengøringen nemmere og sjovere. Køb magnetiske holdere, opvaskestativer og miljøvenlige tilbehør for et mere ryddeligt hjem.</t>
  </si>
  <si>
    <t xml:space="preserve">Entdecken Sie umweltfreundliche schwedische Spültücher in lebendigen Farben. Perfekt für eine nachhaltige Küche – jedes Set enthält 3 mit nordischer Lebensfreude versehene Spültücher.</t>
  </si>
  <si>
    <t xml:space="preserve">Sind Sie daran interessiert, HAPPY SiNKS-Produkte in Ihrem Geschäft zu führen? Dann füllen Sie bitte unser Reseller-Formular aus und eines unserer Teammitglieder wird sich in Kürze mit Ihnen in Verbindung setzen!</t>
  </si>
  <si>
    <t xml:space="preserve">HAPPY SiNKS ist eine finnische Marke, die gute Hygiene und Freude im Herzen Ihres Zuhauses durch bedeutungsvolles Design, lebendige Farben und nachhaltige Materialauswahl verbreitet.</t>
  </si>
  <si>
    <t xml:space="preserve">Älykkäät, kestävät pohjoismaiset keittiövälineet, jotka tekevät siivouksesta helpompaa ja hauskempaa. Osta magneettisia pidikkeitä, astiatelineitä ja ympäristöystävällisiä tarvikkeita siistimpään kotiin.</t>
  </si>
  <si>
    <t xml:space="preserve">https://happy-sinks.com/de</t>
  </si>
  <si>
    <t xml:space="preserve">Intelligente, nachhaltige nordische Küchenhelfer, die das Reinigen einfacher und angenehmer machen. Entdecken Sie magnetische Halter, Abtropfgestelle und umweltfreundliches Zubehör für ein aufgeräumteres Zuhause.</t>
  </si>
  <si>
    <t xml:space="preserve">HAPPY SiNKS magnetischer Schwammhalter aus Biokomposit oder Edelstahl. Ohne Bohren, für Edelstahl- und Kompositspülen. Hält Schwämme trocken und hygienisch. Finnisches Design.</t>
  </si>
  <si>
    <t xml:space="preserve">Wie in unserer Datenschutzrichtlinie beschrieben, erfassen wir personenbezogene Daten aus Ihren Interaktionen mit uns und unserer Website, unter anderem durch Cookies und ähnliche Technologien. Wir können diese personenbezogenen Daten auch an Dritte, einschließlich Werbepartner, weitergeben. Wir tun dies, um dir Werbun</t>
  </si>
  <si>
    <t xml:space="preserve">https://happy-sinks.com/de/blogs/magisso</t>
  </si>
  <si>
    <t xml:space="preserve">Von schnellen Reinigungstipps bis hin zu den neuesten Nachrichten finden Sie in unserem Blog alles, was Sie brauchen, um auf dem Laufenden zu bleiben und sich für einen saubereren und gesünderen Lebensstil inspirieren zu lassen!</t>
  </si>
  <si>
    <t xml:space="preserve">Entdecken Sie die besten Küchen- &amp; Spülensets mit Bundle-Angeboten, um Ihren Spülenbereich aufzuwerten. Alle wichtigen Utensilien, die Sie für eine strahlend saubere Küche benötigen.</t>
  </si>
  <si>
    <t xml:space="preserve">Som beskrevet i vores Politik om beskyttelse af persondata indsamler vi personlige oplysninger fra dine interaktioner med os og vores website, herunder gennem cookies og lignende teknologier. Vi kan også dele disse personlige oplysninger med tredjeparter, herunder annoncepartnere. Vi gør dette for at vise dig annoncer</t>
  </si>
  <si>
    <t xml:space="preserve">HAPPY SiNKS magneettinen tiskirättipidike biokomposiitista tai ruostumattomasta teräksestä. Ilman poraamista, sopii teräs- ja komposiittialtaisiin. Palkittu suomalainen keksintö.</t>
  </si>
  <si>
    <t xml:space="preserve">Tutustu ympäristöystävällisiin ruotsalaisiin tiskirätteihin kirkkaissa väreissä. Täydellinen valinta kestävään keittiöön – jokaisessa pakkauksessa on 3 pohjoismaista onnellisuutta huokuvaa tiskirättiä.</t>
  </si>
  <si>
    <t xml:space="preserve">https://happy-sinks.com/fi/products/potato-washer</t>
  </si>
  <si>
    <t xml:space="preserve">Pese perunat sekunneissa Potturi Perunanpesurilla, joka on valmistettu 100 % kierrätetystä muovista. Lisää vain, huuhtele ja ravista vaivattomaan, ympäristöystävälliseen puhdistukseen.</t>
  </si>
  <si>
    <t xml:space="preserve">https://happy-sinks.com/fi/blogs/magisso</t>
  </si>
  <si>
    <t xml:space="preserve">Nopeat siivousvinkit ja viimeisimmät uutiset – blogistamme löydät kaiken, mitä tarvitset pysyäksesi ajan tasalla ja saadaksesi inspiraatiota puhtaampaan ja terveellisempään elämäntapaan!</t>
  </si>
  <si>
    <t xml:space="preserve">¿Está interesado en tener productos HAPPY SiNKS en su tienda? Luego, complete nuestro formulario de revendedor y uno de los miembros de nuestro equipo se comunicará con usted en breve.</t>
  </si>
  <si>
    <t xml:space="preserve">Descubre el porta bayetas magnético HAPPY SiNKS en biocomposite o acero inoxidable. Sin taladros, para fregaderos de acero y composite. Diseño nórdico sostenible. Secado rápido.</t>
  </si>
  <si>
    <t xml:space="preserve">Som beskrivs i vår integritetspolicy samlar vi in personlig information från din interaktion med oss och vår webbplats, bland annat genom cookies och liknande teknik. Vi kan också komma att dela personuppgifterna med tredje part, bland annat reklampartner. Vi gör detta för att visa dig annonser på andra webbplatser som</t>
  </si>
  <si>
    <t xml:space="preserve">Descubre nuestra colección de accesorios de cocina hechos con materiales sostenibles y colores vibrantes. Perfectos para limpiar, organizar y minimizar las bacterias.</t>
  </si>
  <si>
    <t xml:space="preserve">https://happy-sinks.com/es/pages/faq</t>
  </si>
  <si>
    <t xml:space="preserve">¿Comprador por primera vez? ¿Preocupado? Echa un vistazo a nuestras preguntas frecuentes y toma tu decisión. Si aún tiene dudas, contáctenos en wecare@happy-sinks.com.</t>
  </si>
  <si>
    <t xml:space="preserve">Descubre los mejores juegos de cocina y fregadero con ofertas de paquetes para mejorar tu zona de fregadero. Todos los elementos esenciales que necesitas para una cocina reluciente.</t>
  </si>
  <si>
    <t xml:space="preserve">El programa de afiliados HAPPY SiNKS es una forma para que los creadores ganen comisiones sobre las ventas al recomendar a los clientes el sitio web mediante enlaces exclusivos. ¡Únete hoy!</t>
  </si>
  <si>
    <t xml:space="preserve">HAPPY SiNKS es una marca finlandesa que difunde buena higiene y alegría en el corazón de su hogar a través de un diseño significativo, colores vibrantes y elecciones de materiales sostenibles.</t>
  </si>
  <si>
    <t xml:space="preserve">Nuestra trampa para moscas de la fruta KONNA está diseñada para atraer y atrapar moscas de la fruta de una manera estéticamente agradable y ecológica. Hecho de compuesto de madera de alta calidad.</t>
  </si>
  <si>
    <t xml:space="preserve">https://happy-sinks.com/en-au/pages/about-us</t>
  </si>
  <si>
    <t xml:space="preserve">https://happy-sinks.com/es</t>
  </si>
  <si>
    <t xml:space="preserve">Descubre los paños de cocina suecos ecológicos en colores vibrantes. Perfectos para una cocina sostenible, cada paquete incluye 3 paños impregnados de felicidad nórdica.</t>
  </si>
  <si>
    <t xml:space="preserve">Explora nuestra colección de Nuevas Llegadas para descubrir los estilos más frescos y las últimas tendencias. Encuentra tu look perfecto entre nuestras novedades ahora.</t>
  </si>
  <si>
    <t xml:space="preserve">https://happy-sinks.com/en-gb/pages/about-us</t>
  </si>
  <si>
    <t xml:space="preserve">Herramientas de cocina nórdicas inteligentes y sostenibles que hacen la limpieza más fácil y agradable. Compra soportes magnéticos, escurreplatos y accesorios ecológicos para un hogar más ordenado.</t>
  </si>
  <si>
    <t xml:space="preserve">https://happy-sinks.com/es/blogs/magisso</t>
  </si>
  <si>
    <t xml:space="preserve">Desde consejos rápidos de limpieza hasta las últimas noticias, nuestro blog tiene todo lo que necesita para mantenerse informado e inspirarse para un estilo de vida más limpio y saludable.</t>
  </si>
  <si>
    <t xml:space="preserve">Porta estropajos magnético HAPPY SiNKS en biocomposite o acero inoxidable. Sin taladros, secado rápido, menos bacterias. Diseño nórdico sostenible para un fregadero más limpio.</t>
  </si>
  <si>
    <t xml:space="preserve">https://happy-sinks.com/es/products/potato-washer</t>
  </si>
  <si>
    <t xml:space="preserve">Limpia las patatas en segundos con el Lavador de Patatas Potturi, hecho de plástico 100% reciclado. Solo añade, enjuaga y agita para una limpieza fácil y ecológica.</t>
  </si>
  <si>
    <t xml:space="preserve">https://happy-sinks.com/fi/blogs/magisso/tagged/sponge-hygiene</t>
  </si>
  <si>
    <t xml:space="preserve">https://happy-sinks.com/da/blogs/magisso/tagged/eco-friendly-cleaning</t>
  </si>
  <si>
    <t xml:space="preserve">https://happy-sinks.com/da/blogs/magisso/tagged/dishcloth-care</t>
  </si>
  <si>
    <t xml:space="preserve">https://happy-sinks.com/fi/blogs/magisso/happy-sinks-into-cooperation-with-the-famed-finnish-fashion-brand-papu-design</t>
  </si>
  <si>
    <t xml:space="preserve">HAPPY SiNKS tekee yhteistyötä kuuluisan suomalaisen muotibrändin Papu Designin kanssa tuodakseen tyylikkäitä, toiminnallisia ja innovatiivisia keittiöratkaisuja kotiisi.</t>
  </si>
  <si>
    <t xml:space="preserve">Pidä keittiösi raikkaana tänä sesonkina viidellä kevätsiivousvinkillä käyttäen HAPPY SiNKS -tuotteita. Opi käytännöllisiä tapoja siivota tehokkaasti ja ylläpitää kiiltävää tilaa.</t>
  </si>
  <si>
    <t xml:space="preserve">https://happy-sinks.com/fi/blogs/magisso/tagged/germ-prevention</t>
  </si>
  <si>
    <t xml:space="preserve">Päivitä keittiösi monitoimisella Wunderbar-pesualtaan yläpuolisella hyllyllä — laajenna työtilaa, järjestä helposti ja tuo älykäs tyyli päivittäiseen rutiiniisi.</t>
  </si>
  <si>
    <t xml:space="preserve">https://happy-sinks.com/de/blogs/magisso/tagged/kitchen-tips</t>
  </si>
  <si>
    <t xml:space="preserve">Tutustu tyylikkäisiin ja toimiviin keittiötarvikkeisiin HAPPY SiNKSiltä. Älykkäät ratkaisut, jotka on suunniteltu helpottamaan arjen rutiineja ja tuomaan enemmän iloa keittiöösi.</t>
  </si>
  <si>
    <t xml:space="preserve">https://happy-sinks.com/en-gb/products/sink-cutlery-caddy</t>
  </si>
  <si>
    <t xml:space="preserve">Organize Your Kitchen in Style with HAPPY SiNKS. Are you tired of drying your forks, knives, and spoons on a drying rack or towel next to the sink? End the chaos with HAPPY SiNKS' sophisticated Sink Cutlery Caddy. This sleek kitchen essential not only dries them neatly inside the sink but also keeps your cutlery organi</t>
  </si>
  <si>
    <t xml:space="preserve">https://happy-sinks.com/da/blogs/magisso/tagged/germ-free-kitchen</t>
  </si>
  <si>
    <t xml:space="preserve">https://happy-sinks.com/da/blogs/magisso/tagged/kitchen-cleaning</t>
  </si>
  <si>
    <t xml:space="preserve">https://happy-sinks.com/fi/products/swedish-dishcloths-pool-3pc</t>
  </si>
  <si>
    <t xml:space="preserve">Hävitä turhat paperipyyhkeet ympäristöystävällisillä, uudelleenkäytettävillä ruotsalaisilla tiskiliinoilla. Erittäin imukykyiset, kestävät ja 100 % biohajoavat puhtaamman kodin ja planeetan puolesta.</t>
  </si>
  <si>
    <t xml:space="preserve">Tutustu suosituimpien tuotteidemme kokoelmaan, jossa on HAPPY SiNKSin myydyimmät tuotteet. Täydellinen valinta sinulle, joka etsit huippuarvosteltuja ja kaikkien rakastamia tuotteita.</t>
  </si>
  <si>
    <t xml:space="preserve">https://happy-sinks.com/de/products/replacement-magnet</t>
  </si>
  <si>
    <t xml:space="preserve">Verbessern Sie die Funktionalität Ihrer Küche mit dem Ersatzmagneten von Happy Sinks! Halten Sie Ihre Schwamm- und Geschirrtuchhalter sicher an ihrem Platz mit Happy Sinks.</t>
  </si>
  <si>
    <t xml:space="preserve">Compara los soportes para esponjas magnéticos y de succión para encontrar la mejor opción para tu cocina. Conoce los beneficios, desventajas y cuál se adapta a tu tipo de fregadero.</t>
  </si>
  <si>
    <t xml:space="preserve">https://happy-sinks.com/fi/blogs/magisso/disinfect-the-kitchen-with-just-one-ingredient</t>
  </si>
  <si>
    <t xml:space="preserve">Opi desinfioimaan keittiö yhdellä ainesosalla – vetyperoksidilla. Tämä myrkytön liuos tappaa tehokkaasti bakteerit ja on turvallinen käyttää erilaisilla pinnoilla.</t>
  </si>
  <si>
    <t xml:space="preserve">Vertaa Roll-Up- ja perinteisiä astioiden kuivaustelineitä löytääksesi keittiöösi parhaiten sopivan vaihtoehdon. Tutustu ominaisuuksiin, haittoihin ja ihanteelliseen valintaasi.</t>
  </si>
  <si>
    <t xml:space="preserve">https://happy-sinks.com/products/swedish-dishcloths-pool-3pc</t>
  </si>
  <si>
    <t xml:space="preserve">Say goodbye to wasteful paper towels with HAPPY SiNKS Pool Swedish Dishcloths – (Set of 3). These eco-friendly cloths are the perfect alternative for tackling spills and keeping your kitchen spotless. Durable, reusable, and 100% biodegradable, they don't just save you money but also help save the planet. Each pack come</t>
  </si>
  <si>
    <t xml:space="preserve">https://happy-sinks.com/de/blogs/magisso/tagged/bacteria-control</t>
  </si>
  <si>
    <t xml:space="preserve">https://happy-sinks.com/sv/blogs/magisso/magnetic-vs-suction-sponge-holders-which-one-fits-your-kitchen</t>
  </si>
  <si>
    <t xml:space="preserve">Jämför magnetiska och sugkoppshållare för svampar för att hitta det bästa alternativet för ditt kök. Lär dig fördelar, nackdelar och vilken som passar din diskbänk.</t>
  </si>
  <si>
    <t xml:space="preserve">HAPPY SiNKS rullattava astiankuivausteline ruostumattomasta teräksestä. Tilaa säästävä, helppo varastoida. Sopii jokaisen tiskialtaan ylle. Suomalaista kestävää muotoilua.</t>
  </si>
  <si>
    <t xml:space="preserve">https://happy-sinks.com/de/blogs/magisso/tagged/kitchen-storage</t>
  </si>
  <si>
    <t xml:space="preserve">https://happy-sinks.com/fi/products/happy-sinks-konna-the-fly-catcher-lake-blue</t>
  </si>
  <si>
    <t xml:space="preserve">Hankkiudu eroon hedelmäkärpäsistä keittiössäsi kauniin järvensinisen värisen KONNA Kärpäsloukun avulla. Suunniteltu houkuttelemaan ja pyydystämään hedelmäkärpäsiä.</t>
  </si>
  <si>
    <t xml:space="preserve">https://happy-sinks.com/de/blogs/magisso/tagged/kitchen-hygiene</t>
  </si>
  <si>
    <t xml:space="preserve">https://happy-sinks.com/da/blogs/magisso/tagged/kitchen-knives</t>
  </si>
  <si>
    <t xml:space="preserve">https://happy-sinks.com/de/products/magnetic-holder-adapter-for-sink</t>
  </si>
  <si>
    <t xml:space="preserve">Beheben Sie rutschende Halter mit dem Happy Sinks Magnethalter-Adapter für das Waschbecken. Zusätzlicher Halt zwischen Magnet und Halter für sicheren, stabilen Halt auf jeder Oberfläche.</t>
  </si>
  <si>
    <t xml:space="preserve">https://happy-sinks.com/de/blogs/magisso/tagged/dishcloth-maintenance</t>
  </si>
  <si>
    <t xml:space="preserve">https://happy-sinks.com/fi/blogs/magisso/tagged/happiness</t>
  </si>
  <si>
    <t xml:space="preserve">Vergleichen Sie magnetische und Saugnapf-Schwammhalter, um die beste Option für Ihre Küche zu finden. Erfahren Sie mehr über Vorteile, Nachteile und welche Variante zu Ihrem Spülbeckentyp passt.</t>
  </si>
  <si>
    <t xml:space="preserve">https://happy-sinks.com/da/blogs/magisso/tagged/kitchen-essentials</t>
  </si>
  <si>
    <t xml:space="preserve">Entdecken Sie unsere meistverkaufte Kollektion mit den beliebtesten Artikeln von HAPPY SiNKS. Perfekt für alle, die nach den am besten bewerteten Produkten suchen, die jeder liebt.</t>
  </si>
  <si>
    <t xml:space="preserve">https://happy-sinks.com/fi/blogs/magisso/tagged/finland</t>
  </si>
  <si>
    <t xml:space="preserve">https://happy-sinks.com/products/swedish-dishcloths-go-ahead-spill-the-tea-3pc</t>
  </si>
  <si>
    <t xml:space="preserve">Tired of wasteful paper towels? The HAPPY SiNKS Swedish Dishcloths – Go Ahead, Spill the Tea – are your perfect eco-friendly alternative! These ultra-absorbent cloths tackle spills effortlessly while reducing your carbon footprint. Durable, reusable, and 100% biodegradable, they keep your kitchen spotless and help the</t>
  </si>
  <si>
    <t xml:space="preserve">https://happy-sinks.com/da/blogs/magisso/tagged/cooking-tools</t>
  </si>
  <si>
    <t xml:space="preserve">Löydä nopeita siivousvinkkejä 5 minuutissa pitääksesi kotisi siistinä ja raikkaana. Yksinkertaisia, tehokkaita keinoja, joita voit käyttää milloin tahansa saadaksesi tilan tahrattomaksi.</t>
  </si>
  <si>
    <t xml:space="preserve">https://happy-sinks.com/fi/products/magnetic-holder-adapter-for-sink</t>
  </si>
  <si>
    <t xml:space="preserve">Ratkaise liukuvat pidikkeet Happy Sinks -magneettipidikkeen adapterilla altaalle. Lisäpitovoima magneetin ja pidikkeen välillä takaa tukevan ja vakaan kiinnityksen kaikilla pinnoilla.</t>
  </si>
  <si>
    <t xml:space="preserve">HAPPY SiNKS aufrollbares Abtropfgestell aus Edelstahl. Platzsparend, einfach zu verstauen. Passt über jede Spüle. Nachhaltiges finnisches Design für eine organisierte Küche.</t>
  </si>
  <si>
    <t xml:space="preserve">https://happy-sinks.com/products/sink-cutlery-caddy</t>
  </si>
  <si>
    <t xml:space="preserve">Mantén tu cocina fresca con la trampa para moscas de la fruta KONNA. Este elegante atrapamoscas en colores naturales ayuda a atraer y atrapar moscas de la fruta de manera rápida y discreta.</t>
  </si>
  <si>
    <t xml:space="preserve">Palauta hopeaesineidesi kiilto helposti tee-se-itse -puhdistusmenetelmillä. Opi, miten puhdistat hopeiset ruokailuvälineet kotona yksinkertaisilla, turvallisilla ja tehokkailla tekniikoilla.</t>
  </si>
  <si>
    <t xml:space="preserve">https://happy-sinks.com/fi/blogs/magisso/tagged/kitchen-cleaning</t>
  </si>
  <si>
    <t xml:space="preserve">https://happy-sinks.com/fi/blogs/magisso/tagged/kitchen-tips</t>
  </si>
  <si>
    <t xml:space="preserve">https://happy-sinks.com/en-gb/products/swedish-dishcloths-pool-3pc</t>
  </si>
  <si>
    <t xml:space="preserve">https://happy-sinks.com/sv/products/swedish-dishcloths-black-3pc</t>
  </si>
  <si>
    <t xml:space="preserve">Byt ut papperhanddukar, svampar och traditionella disktrasor mot våra 3-pack miljövänliga svenska disktrasor i svart. Tillverkade av miljövänligt, hållbart material.</t>
  </si>
  <si>
    <t xml:space="preserve">Explora nuestra Colección Más Vendida con los artículos más populares de HAPPY SiNKS. Perfecta para quienes buscan los productos mejor valorados que todos adoran.</t>
  </si>
  <si>
    <t xml:space="preserve">Guarda tu paño de cocina ordenadamente con el soporte magnético para paños de cocina HAPPY SiNKS para fregaderos. Fabricado con biocompuesto ecológico en color carbón para una cocina más limpia.</t>
  </si>
  <si>
    <t xml:space="preserve">Tervetuloa nopeiden siivousvinkkien pariin 5 minuutissa (tai vähemmän) - osa 2. Tässä blogissa jatkamme siivousniksien käsittelyä, jotka vievät alle 5 minuuttia.</t>
  </si>
  <si>
    <t xml:space="preserve">Tutustu seitsemään tärkeään oivallukseen suomalaisen onnellisuuden salaisuudesta. Opi käytännön vinkkejä hyvinvoinnin, ilon ja tasapainoisen elämäntavan edistämiseen joka päivä.</t>
  </si>
  <si>
    <t xml:space="preserve">https://happy-sinks.com/sv/products/swedish-dishcloths-pool-3pc</t>
  </si>
  <si>
    <t xml:space="preserve">Släng bort slösaktiga pappershanddukar med miljövänliga, återanvändbara svenska disktrasor. Ultraabsorberande, hållbara och 100 % biologiskt nedbrytbara för ett renare hem och en renare planet.</t>
  </si>
  <si>
    <t xml:space="preserve">Entdecken Sie stilvolle und funktionale Küchenaccessoires von HAPPY SiNKS. Intelligente Lösungen, die entwickelt wurden, um den Alltag zu vereinfachen und mehr Freude in Ihre Küche zu bringen.</t>
  </si>
  <si>
    <t xml:space="preserve">Säilytä tiskirättisi siististi HAPPY SiNKS -magneettisella tiskirättitelineellä altaisiin. Valmistettu ympäristöystävällisestä biokomposiitista, väri hiilenharmaa.</t>
  </si>
  <si>
    <t xml:space="preserve">https://happy-sinks.com/de/products/dish-cloth-holder-bio-composite-charcoal</t>
  </si>
  <si>
    <t xml:space="preserve">Bewahren Sie Ihr Geschirrtuch ordentlich mit dem HAPPY SiNKS magnetischen Geschirrtuchhalter für Spülen auf. Hergestellt aus umweltfreundlichem Biokomposit in Anthrazit für eine sauberere Küche.</t>
  </si>
  <si>
    <t xml:space="preserve">https://happy-sinks.com/fi/blogs/magisso/tagged/happy-sinks</t>
  </si>
  <si>
    <t xml:space="preserve">Deja de colgar el paño de cocina sobre el grifo. Guárdalo dentro de tu fregadero con el soporte magnético para paños de cocina HAPPY SiNKS: elegante, higiénico y fácil de instalar.</t>
  </si>
  <si>
    <t xml:space="preserve">https://happy-sinks.com/fi/products/kitchen-set-dish-cloth-holder-sponge-holder-fruit-fly-trap</t>
  </si>
  <si>
    <t xml:space="preserve">Hanki keittiösetti, jossa on biokomposiittinen tiskirätin pidike, sienenpidike ja KONNA-hedelmäkärpäsansa, jotta keittiö pysyy siistinä, tyylikkäänä ja hygieenisenä. Täydellinen paketti!</t>
  </si>
  <si>
    <t xml:space="preserve">https://happy-sinks.com/sv/products/magnetic-holder-adapter-for-sink</t>
  </si>
  <si>
    <t xml:space="preserve">Lös problemet med halkande hållare med Happy Sinks magnetiska hållaradaptern för diskbänk. Extra grepp mellan magneten och hållaren för säker, stabilt stöd på alla ytor.</t>
  </si>
  <si>
    <t xml:space="preserve">https://happy-sinks.com/fi/blogs/magisso/tagged/magisso</t>
  </si>
  <si>
    <t xml:space="preserve">https://happy-sinks.com/sv/products/kitchen-set-dish-cloth-holder-sponge-holder-fruit-fly-trap</t>
  </si>
  <si>
    <t xml:space="preserve">Få Kitchen Set med Biocomposite Disktrasehållare, Svamphållare och KONNA Fruktflugefälla för att hålla köket snyggt, stilrent och hygieniskt. Ett komplett paket!</t>
  </si>
  <si>
    <t xml:space="preserve">HAPPY SiNKS vs Competitors: Compare with Moen, Kohler, Delta, Kraus, and American Standard to see why HAPPY SiNKS wins in design, durability, and value.
 Compare HAPPY SINKS with Carysil, Blanco, Franke, Lapetek, and Elkay. Discover why HAPPY SINKS offers the best ergonomic design, durability, and value for your kitchen.</t>
  </si>
  <si>
    <t xml:space="preserve">152
168</t>
  </si>
  <si>
    <t xml:space="preserve">https://happy-sinks.com/es/products/happy-sinks-konna-the-fruit-fly-trap</t>
  </si>
  <si>
    <t xml:space="preserve">Deshazte de las moscas de la fruta en tu cocina con la ayuda de nuestra Trampa para Moscas de la Fruta - KONNA en un hermoso color rosa jardín. Diseñada para atraer y atrapar moscas de la fruta.</t>
  </si>
  <si>
    <t xml:space="preserve">https://happy-sinks.com/da/blogs/magisso/tagged/cutting-knives</t>
  </si>
  <si>
    <t xml:space="preserve">https://happy-sinks.com/products/swedish-dishcloths-forest-green-3pc</t>
  </si>
  <si>
    <t xml:space="preserve">At HAPPY SiNKS, we start improving daily cleaning tasks by one dishcloth at a time. This versatile and eco-friendly Swedish dishcloths are designed to revolutionize your kitchen cleaning routine, making it more efficient and enjoyable. These Swedish Dishcloths come in a convenient pack of three, ensuring you always h</t>
  </si>
  <si>
    <t xml:space="preserve">Löydä olennaiset pienet keittiöratkaisut monipuolisilla työkaluilla ja älykkäillä järjestelyideoilla. Hyödynnä tilaa ja tehokkuutta pienessä keittiössäsi jo tänään.</t>
  </si>
  <si>
    <t xml:space="preserve">Opdag stilfulde og funktionelle køkkentilbehør fra HAPPY SiNKS. Smarte løsninger designet til at forenkle dine daglige rutiner og bringe mere glæde til dit køkken.</t>
  </si>
  <si>
    <t xml:space="preserve">Löydä asiantuntijavinkit siitä, kuinka pitää keittiöallas hohtavan puhtaana HAPPY SiNKS!:n avulla! Pidä altaasi tahrattomana, hygieenisenä ja kiiltävänä joka päivä vaivattomasti.</t>
  </si>
  <si>
    <t xml:space="preserve">Tutustu HAPPY SiNKSin älykkäisiin allaslisävarusteisiin. Tyylikkäitä, toimivia ratkaisuja, jotka pitävät altaasi järjestyksessä, puhtaana ja helppokäyttöisenä joka päivä.</t>
  </si>
  <si>
    <t xml:space="preserve">https://happy-sinks.com/en-gb/products/swedish-dishcloths-go-ahead-spill-the-tea-3pc</t>
  </si>
  <si>
    <t xml:space="preserve">Descubre accesorios inteligentes para fregaderos de HAPPY SiNKS. Soluciones elegantes y funcionales que mantienen tu fregadero organizado, limpio y fácil de usar todos los días.</t>
  </si>
  <si>
    <t xml:space="preserve">Erfahren Sie den Unterschied zwischen magnetischen und Saugnapfschwammhaltern. Finden Sie heraus, welcher Ihren Spülbecken sauberer, frischer und leichter zu pflegen hält.</t>
  </si>
  <si>
    <t xml:space="preserve">https://happy-sinks.com/de/blogs/magisso/tagged/odor-removal</t>
  </si>
  <si>
    <t xml:space="preserve">https://happy-sinks.com/de/products/happy-sinks-konna-the-fruit-fly-trap</t>
  </si>
  <si>
    <t xml:space="preserve">Beseitigen Sie Fruchtfliegen in Ihrer Küche mit der Hilfe unserer Fruchtfliegenfalle - KONNA in wunderschöner Gartenrosenfarbe. Entwickelt, um Fruchtfliegen anzulocken und zu fangen.</t>
  </si>
  <si>
    <t xml:space="preserve">https://happy-sinks.com/fi/products/fruit-fly-trap-konna</t>
  </si>
  <si>
    <t xml:space="preserve">Pidä keittiösi raikkaana KONNA hedelmäkärpäspaperilla. Tämä tyylikäs kärpäspaperi luonnollisissa väreissä auttaa houkuttelemaan ja pyydystämään hedelmäkärpäsiä nopeasti ja huomaamattomasti.</t>
  </si>
  <si>
    <t xml:space="preserve">https://happy-sinks.com/de/products/fruit-fly-trap-konna</t>
  </si>
  <si>
    <t xml:space="preserve">Halten Sie Ihre Küche mit der KONNA Fruchtfliegenfalle frisch. Dieser stilvolle Fliegenfänger in natürlichen Farben hilft, Fruchtfliegen schnell und diskret anzulocken und zu fangen.</t>
  </si>
  <si>
    <t xml:space="preserve">https://happy-sinks.com/de/blogs/magisso/tagged/natural-repellents</t>
  </si>
  <si>
    <t xml:space="preserve">https://happy-sinks.com/de/products/dish-cloth-holder-rainbow</t>
  </si>
  <si>
    <t xml:space="preserve">Halten Sie Ihr Geschirrtuch ordentlich versteckt mit dem HAPPY SiNKS magnetischen Geschirrtuchhalter für Spülen, jetzt in lebendigem Rainbow. Limitierte Edition – bestellen Sie noch heute!</t>
  </si>
  <si>
    <t xml:space="preserve">https://happy-sinks.com/de/blogs/magisso/tagged/kitchen-cleaning</t>
  </si>
  <si>
    <t xml:space="preserve">https://happy-sinks.com/de/blogs/magisso/tagged/pest-control</t>
  </si>
  <si>
    <t xml:space="preserve">https://happy-sinks.com/fi/blogs/magisso/tagged/sponge-holder</t>
  </si>
  <si>
    <t xml:space="preserve">https://happy-sinks.com/da/blogs/magisso/tagged/swedish-dishcloth</t>
  </si>
  <si>
    <t xml:space="preserve">https://happy-sinks.com/de/blogs/magisso/tagged/kitchen-towels</t>
  </si>
  <si>
    <t xml:space="preserve">https://happy-sinks.com/de/blogs/magisso/tagged/fly-traps</t>
  </si>
  <si>
    <t xml:space="preserve">https://happy-sinks.com/de/blogs/magisso/tagged/fruit-fly-control</t>
  </si>
  <si>
    <t xml:space="preserve">Vertaile magneettisia ja imukuppikiinnikkeitä sieniä varten löytääksesi parhaan vaihtoehdon keittiöösi. Opi niiden edut, haitat ja kumpi sopii paremmin tiskialtaasi tyyppiin.</t>
  </si>
  <si>
    <t xml:space="preserve">https://happy-sinks.com/de/blogs/magisso/tagged/kitchen-organization</t>
  </si>
  <si>
    <t xml:space="preserve">https://happy-sinks.com/da/blogs/magisso/tagged/food-prep</t>
  </si>
  <si>
    <t xml:space="preserve">https://happy-sinks.com/de/products/dish-cloth-holder-steel</t>
  </si>
  <si>
    <t xml:space="preserve">Hören Sie auf, das Geschirrtuch über den Wasserhahn zu hängen. Bewahren Sie es mit dem HAPPY SiNKS magnetischen Geschirrtuchhalter stilvoll, hygienisch und einfach zu installieren in Ihrem Spülbecken auf.</t>
  </si>
  <si>
    <t xml:space="preserve">Descubre accesorios de cocina elegantes y funcionales de HAPPY SiNKS. Soluciones inteligentes diseñadas para simplificar las rutinas diarias y aportar más alegría a tu cocina.</t>
  </si>
  <si>
    <t xml:space="preserve">https://happy-sinks.com/fi/products/happy-sinks-konna-the-fruit-fly-trap</t>
  </si>
  <si>
    <t xml:space="preserve">Päästä eroon hedelmäkärpäsistä keittiössäsi apuna hedelmäkärpäspaperimme - KONNA kauniissa puutarharuusun värissä. Suunniteltu houkuttelemaan ja pyydystämään hedelmäkärpäsiä.</t>
  </si>
  <si>
    <t xml:space="preserve">Entdecken Sie intelligente Spülbecken-Zubehör von HAPPY SiNKS. Stilvolle, funktionale Lösungen, die Ihr Spülbecken organisiert, sauber und jeden Tag einfach zu benutzen halten.</t>
  </si>
  <si>
    <t xml:space="preserve">https://happy-sinks.com/en-au/products/sink-cutlery-caddy</t>
  </si>
  <si>
    <t xml:space="preserve">https://happy-sinks.com/de/blogs/magisso/tagged/dishcloths</t>
  </si>
  <si>
    <t xml:space="preserve">Ympäristöystävälliset ruotsalaiset tiskiliinat ovat uudelleenkäytettäviä, erittäin imukykyisiä ja 100 % biohajoavia. Pidä keittiösi tahrattomana kestävässä ja hauskassa siivouksessa.</t>
  </si>
  <si>
    <t xml:space="preserve">https://happy-sinks.com/fi/products/swedish-dishcloths-forest-green-3pc</t>
  </si>
  <si>
    <t xml:space="preserve">Korvaa paperipyyhkeet, sienet ja perinteiset tiskiliinat kolmiosaisilla ympäristöystävällisillä ruotsalaisilla tiskiliinoillamme metsänvihreänä. Kestävämpi ratkaisu.</t>
  </si>
  <si>
    <t xml:space="preserve">https://happy-sinks.com/fi/products/swedish-dishcloths-black-3pc</t>
  </si>
  <si>
    <t xml:space="preserve">Korvaa paperipyyhkeet, sienet ja perinteiset tiskirätit kolmella kappaleella ekologisia ruotsalaisia tiskirättejä mustana. Valmistettu ympäristöystävällisestä, kestävästä materiaalista.</t>
  </si>
  <si>
    <t xml:space="preserve">https://happy-sinks.com/fi/products/wine-glass-rack</t>
  </si>
  <si>
    <t xml:space="preserve">Suojaa herkät viinilasisi rikkoutumiselta ja lohkeilulta astianpesukoneessa HAPPY SiNKS -astianpesukoneen kestävällä viinilasitelineellä, saatavilla mustana tai valkoisena.</t>
  </si>
  <si>
    <t xml:space="preserve">https://happy-sinks.com/en-ca/pages/about-us</t>
  </si>
  <si>
    <t xml:space="preserve">Registre la garantía de su producto en línea para asegurar la cobertura y protección de su inversión. Un proceso rápido y sencillo para garantizar tranquilidad. ¡Regístrese ahora!</t>
  </si>
  <si>
    <t xml:space="preserve">https://happy-sinks.com/de/blogs/magisso/tagged/scandinavian-kitchen-essentials</t>
  </si>
  <si>
    <t xml:space="preserve">https://happy-sinks.com/fi/blogs/magisso/tagged/dish-drying-racks</t>
  </si>
  <si>
    <t xml:space="preserve">https://happy-sinks.com/de/blogs/magisso/tagged/stockholm-events</t>
  </si>
  <si>
    <t xml:space="preserve">https://happy-sinks.com/de/blogs/magisso/tagged/home-silver-cleaning-methods</t>
  </si>
  <si>
    <t xml:space="preserve">Mantener los paños de cocina secos de manera higiénica es clave para una cocina más limpia. Descubre consejos sencillos para evitar bacterias y mantener la frescura.</t>
  </si>
  <si>
    <t xml:space="preserve">https://happy-sinks.com/da/blogs/magisso/tagged/kitchen-sink-cleaning</t>
  </si>
  <si>
    <t xml:space="preserve">https://happy-sinks.com/de/blogs/magisso/tagged/sink-maintenance</t>
  </si>
  <si>
    <t xml:space="preserve">https://happy-sinks.com/de/blogs/magisso/9-essential-must-have-kitchen-items-that-you-need</t>
  </si>
  <si>
    <t xml:space="preserve">Entdecken Sie 9 unverzichtbare Küchenutensilien, die Sie benötigen. Statten Sie Ihre Küche mit den Werkzeugen aus, die das Kochen einfacher, effizienter und angenehmer machen.</t>
  </si>
  <si>
    <t xml:space="preserve">Ein Cookie ist eine kleine Menge an Informationen, die in Ihrem Browser gespeichert wird, wenn Sie unsere Website besuchen. Lesen Sie hier unsere Cookie-Richtlinie.</t>
  </si>
  <si>
    <t xml:space="preserve">https://happy-sinks.com/da/blogs/magisso/tagged/hygiene</t>
  </si>
  <si>
    <t xml:space="preserve">https://happy-sinks.com/fi/blogs/magisso/tagged/2026-trends</t>
  </si>
  <si>
    <t xml:space="preserve">https://happy-sinks.com/de/blogs/magisso/tagged/cleaning-habits</t>
  </si>
  <si>
    <t xml:space="preserve">https://happy-sinks.com/fi/blogs/magisso/tagged/home-comforts</t>
  </si>
  <si>
    <t xml:space="preserve">Rüsten Sie Ihre Küche mit dem multifunktionalen Wunderbar Über-Spülbecken-Regal auf — erweitern Sie Ihren Arbeitsbereich, organisieren Sie mühelos und bringen Sie smarten Stil in Ihren Alltag.</t>
  </si>
  <si>
    <t xml:space="preserve">https://happy-sinks.com/da/blogs/magisso/tagged/collaboration</t>
  </si>
  <si>
    <t xml:space="preserve">https://happy-sinks.com/de/blogs/magisso/tagged/tidy-sink-solutions</t>
  </si>
  <si>
    <t xml:space="preserve">https://happy-sinks.com/de/blogs/magisso/tagged/dishwashing-hygiene</t>
  </si>
  <si>
    <t xml:space="preserve">https://happy-sinks.com/de/blogs/magisso/tagged/biodegradable-dishcloths</t>
  </si>
  <si>
    <t xml:space="preserve">https://happy-sinks.com/en-ca/products/swedish-dishcloths-forest-green-3pc</t>
  </si>
  <si>
    <t xml:space="preserve">https://happy-sinks.com/de/blogs/magisso/tagged/kitchen-storage-solutions</t>
  </si>
  <si>
    <t xml:space="preserve">https://happy-sinks.com/da/blogs/magisso/tagged/dish-drying-hacks</t>
  </si>
  <si>
    <t xml:space="preserve">Erfahren Sie, wie Sie die Küche mit nur einer Zutat – Wasserstoffperoxid – desinfizieren können. Diese ungiftige Lösung tötet Keime effektiv ab und ist für verschiedene Oberflächen sicher.</t>
  </si>
  <si>
    <t xml:space="preserve">Compara los escurreplatos enrollables con los tradicionales para encontrar la mejor opción para tu cocina. Descubre sus características, desventajas y cuál es la elección ideal para ti.</t>
  </si>
  <si>
    <t xml:space="preserve">https://happy-sinks.com/es/products/swedish-dishcloths-pool-3pc</t>
  </si>
  <si>
    <t xml:space="preserve">Deshazte de las toallas de papel desperdiciadas con paños de cocina suecos ecológicos y reutilizables. Ultra absorbentes, duraderos y 100% biodegradables para un hogar y planeta más limpios.</t>
  </si>
  <si>
    <t xml:space="preserve">Opdag 6 overbevisende grunde til at tilføje en vinglasholder til dit køkken. Maksimer pladsen, beskyt glas og forbedr æstetikken med denne essentielle tilføjelse.</t>
  </si>
  <si>
    <t xml:space="preserve">https://happy-sinks.com/da/blogs/magisso/tagged/kitchen-storage-ideas</t>
  </si>
  <si>
    <t xml:space="preserve">https://happy-sinks.com/da/blogs/magisso/tagged/hydrogen-peroxide</t>
  </si>
  <si>
    <t xml:space="preserve">https://happy-sinks.com/de/blogs/magisso/tagged/magnetic-sink-organizer</t>
  </si>
  <si>
    <t xml:space="preserve">https://happy-sinks.com/da/blogs/magisso?page=6</t>
  </si>
  <si>
    <t xml:space="preserve">https://happy-sinks.com/de/blogs/magisso/tagged/best-sponge-holder-for-kitchen</t>
  </si>
  <si>
    <t xml:space="preserve">https://happy-sinks.com/da/blogs/magisso/tagged/home-comforts</t>
  </si>
  <si>
    <t xml:space="preserve">https://happy-sinks.com/de/blogs/magisso/tagged/collaboration</t>
  </si>
  <si>
    <t xml:space="preserve">https://happy-sinks.com/da/blogs/magisso/tagged/ceramic-sink-accessories</t>
  </si>
  <si>
    <t xml:space="preserve">Soluciona los soportes resbaladizos con el Adaptador de Soporte Magnético Happy Sinks para fregadero. Agarre extra entre el imán y el soporte para un soporte seguro y estable en cualquier superficie.</t>
  </si>
  <si>
    <t xml:space="preserve">https://happy-sinks.com/de/blogs/magisso/tagged/happiness-secrets</t>
  </si>
  <si>
    <t xml:space="preserve">https://happy-sinks.com/da/blogs/magisso/tagged/home-hygiene</t>
  </si>
  <si>
    <t xml:space="preserve">https://happy-sinks.com/de/blogs/magisso/tagged/durable-sponge-holder</t>
  </si>
  <si>
    <t xml:space="preserve">https://happy-sinks.com/da/blogs/magisso/tagged/kitchen-organization-ideas</t>
  </si>
  <si>
    <t xml:space="preserve">https://happy-sinks.com/da/blogs/magisso/tagged/2026-trends</t>
  </si>
  <si>
    <t xml:space="preserve">https://happy-sinks.com/da/blogs/magisso/tagged/eco-friendly</t>
  </si>
  <si>
    <t xml:space="preserve">https://happy-sinks.com/de/blogs/magisso/tagged/gots-cotton</t>
  </si>
  <si>
    <t xml:space="preserve">https://happy-sinks.com/da/blogs/magisso/tagged/trust</t>
  </si>
  <si>
    <t xml:space="preserve">https://happy-sinks.com/da/blogs/magisso/tagged/cleaning-routine</t>
  </si>
  <si>
    <t xml:space="preserve">https://happy-sinks.com/fi/blogs/magisso/tagged/sink-cleaning-tips</t>
  </si>
  <si>
    <t xml:space="preserve">https://happy-sinks.com/de/blogs/magisso/tagged/eco-friendly-cleaning</t>
  </si>
  <si>
    <t xml:space="preserve">https://happy-sinks.com/de/blogs/magisso/tagged/prevent-dishcloth-smell</t>
  </si>
  <si>
    <t xml:space="preserve">Bienvenido a los consejos rápidos de limpieza en 5 minutos (o menos) - parte 2. En este blog, continuamos hablando sobre trucos de limpieza que toman menos de 5 minutos.</t>
  </si>
  <si>
    <t xml:space="preserve">https://happy-sinks.com/de/blogs/magisso/tagged/sink-organization-tools</t>
  </si>
  <si>
    <t xml:space="preserve">Få glansen tilbage i dit sølvtøj med nemme gør-det-selv rengøringsmetoder. Lær, hvordan du rengør sølvbestik derhjemme ved hjælp af enkle, sikre og effektive teknikker.</t>
  </si>
  <si>
    <t xml:space="preserve">https://happy-sinks.com/de/blogs/magisso/tagged/sponge-bacteria-prevention</t>
  </si>
  <si>
    <t xml:space="preserve">https://happy-sinks.com/de/blogs/magisso/tagged/cloth-holder</t>
  </si>
  <si>
    <t xml:space="preserve">https://happy-sinks.com/de/blogs/magisso/tagged/fly-control</t>
  </si>
  <si>
    <t xml:space="preserve">https://happy-sinks.com/da/blogs/magisso/tagged/sustainable-products</t>
  </si>
  <si>
    <t xml:space="preserve">https://happy-sinks.com/da/blogs/magisso/tagged/how-to</t>
  </si>
  <si>
    <t xml:space="preserve">Halten Sie Ihre Küche schädlingsfrei mit Tipps zur Fruchtfliegenbekämpfung. Erfahren Sie einfache und effektive Lösungen, um Befall zu verhindern und eine saubere Küche zu erhalten.</t>
  </si>
  <si>
    <t xml:space="preserve">https://happy-sinks.com/fi/blogs/magisso/tagged/cutting-knives</t>
  </si>
  <si>
    <t xml:space="preserve">https://happy-sinks.com/de/blogs/magisso/tagged/household-cleaning</t>
  </si>
  <si>
    <t xml:space="preserve">https://happy-sinks.com/fi/blogs/magisso/tagged/sustainable-living</t>
  </si>
  <si>
    <t xml:space="preserve">https://happy-sinks.com/da/blogs/magisso/tagged/kitchen-organization</t>
  </si>
  <si>
    <t xml:space="preserve">https://happy-sinks.com/de/blogs/magisso/15-most-asked-questions-about-kitchen-towels-and-where-to-keep-them</t>
  </si>
  <si>
    <t xml:space="preserve">Erhalten Sie Antworten auf 15 häufige Fragen zu Küchentüchern und erfahren Sie, wo Sie sie am besten für Hygiene, Komfort und leichten Zugriff aufbewahren können.</t>
  </si>
  <si>
    <t xml:space="preserve">https://happy-sinks.com/fi/blogs/magisso/tagged/cutlery-caddy</t>
  </si>
  <si>
    <t xml:space="preserve">https://happy-sinks.com/de/blogs/magisso/tagged/renter-friendly-kitchen</t>
  </si>
  <si>
    <t xml:space="preserve">https://happy-sinks.com/de/blogs/magisso/tagged/kitchen-disinfecting</t>
  </si>
  <si>
    <t xml:space="preserve">¿Buscas la idea de regalo perfecta? ¿Por qué no regalar una tarjeta de regalo electrónica HAPPY SiNKS con la oportunidad de encontrar un artículo funcional que les ayude a organizar la cocina de sus sueños?</t>
  </si>
  <si>
    <t xml:space="preserve">https://happy-sinks.com/fi/blogs/magisso?page=6</t>
  </si>
  <si>
    <t xml:space="preserve">https://happy-sinks.com/da/blogs/magisso/tagged/finnish-design</t>
  </si>
  <si>
    <t xml:space="preserve">https://happy-sinks.com/da/blogs/magisso/tagged/kitchen-sink-organizer</t>
  </si>
  <si>
    <t xml:space="preserve">https://happy-sinks.com/de/blogs/magisso/tagged/finnish-design</t>
  </si>
  <si>
    <t xml:space="preserve">https://happy-sinks.com/da/blogs/magisso/tagged/sponge-hygiene</t>
  </si>
  <si>
    <t xml:space="preserve">Lernen Sie, wie Sie einen Schwamm effektiv reinigen. Befolgen Sie einfache Tipps, um Keime zu entfernen, Ihre Küche hygienisch zu halten und die Lebensdauer Ihres Schwamms zu verlängern.</t>
  </si>
  <si>
    <t xml:space="preserve">https://happy-sinks.com/de/blogs/magisso/tagged/joyful-moments</t>
  </si>
  <si>
    <t xml:space="preserve">Descubre consejos de expertos sobre cómo mantener el fregadero de la cocina reluciente con HAPPY SiNKS. Mantén tu fregadero impecable, higiénico y brillante todos los días con facilidad.</t>
  </si>
  <si>
    <t xml:space="preserve">https://happy-sinks.com/fi/blogs/magisso/tagged/trust</t>
  </si>
  <si>
    <t xml:space="preserve">Descubre por qué usamos algodón GOTS en lugar de algodón tradicional. Descubre los beneficios para la sostenibilidad, la calidad y un producto más saludable y ecológico.</t>
  </si>
  <si>
    <t xml:space="preserve">https://happy-sinks.com/en-ca/products/sink-cutlery-caddy</t>
  </si>
  <si>
    <t xml:space="preserve">https://happy-sinks.com/sv/blogs/magisso/best-kitchen-organisation-sustainability-trends-2026</t>
  </si>
  <si>
    <t xml:space="preserve">Upptäck de främsta trenderna inom köksorganisation och hållbarhet för 2026. Skandinaviska designtips, miljövänliga alternativ och smarta tillbehör från Happy Sinks.</t>
  </si>
  <si>
    <t xml:space="preserve">https://happy-sinks.com/da/blogs/magisso/tagged/dishcloths</t>
  </si>
  <si>
    <t xml:space="preserve">https://happy-sinks.com/es/blogs/magisso/beat-the-january-blues-with-happy-sinks</t>
  </si>
  <si>
    <t xml:space="preserve">Combate la tristeza de enero con HAPPY SiNKS usando aceites esenciales para mejorar el bienestar. Refresca tu hogar, mejora tu estado de ánimo y disfruta de una cocina más feliz.</t>
  </si>
  <si>
    <t xml:space="preserve">Etsitkö täydellistä lahjaideaa? Mikset antaisi HAPPY SiNKS -sähkölahjakorttia, joka tarjoaa mahdollisuuden löytää toimiva esine auttamaan unelmakeittiön järjestämisessä.</t>
  </si>
  <si>
    <t xml:space="preserve">https://happy-sinks.com/da/blogs/magisso/tagged/ambiente-2024</t>
  </si>
  <si>
    <t xml:space="preserve">https://happy-sinks.com/de/blogs/magisso/tagged/equality</t>
  </si>
  <si>
    <t xml:space="preserve">Sie suchen das beste Spültuch, um sich zusätzliches Schrubben zu ersparen? Die meistverkauften schwedischen Spültücher von Happy Sink können Ihr Tagesgewinn sein!</t>
  </si>
  <si>
    <t xml:space="preserve">https://happy-sinks.com/de/blogs/magisso/tagged/drying-sponge-faster</t>
  </si>
  <si>
    <t xml:space="preserve">https://happy-sinks.com/da/blogs/magisso/tagged/small-kitchen-solutions</t>
  </si>
  <si>
    <t xml:space="preserve">https://happy-sinks.com/da/blogs/magisso/tagged/simple-kitchen-upgrades</t>
  </si>
  <si>
    <t xml:space="preserve">https://happy-sinks.com/da/blogs/magisso/tagged/suction-sponge-holder</t>
  </si>
  <si>
    <t xml:space="preserve">https://happy-sinks.com/fi/blogs/magisso/tagged/sink-maintenance</t>
  </si>
  <si>
    <t xml:space="preserve">https://happy-sinks.com/de/blogs/magisso/tagged/sponge-drying-tips</t>
  </si>
  <si>
    <t xml:space="preserve">https://happy-sinks.com/fi/blogs/magisso/tagged/new-year</t>
  </si>
  <si>
    <t xml:space="preserve">https://happy-sinks.com/es/blogs/magisso/tagged/bacteria-control</t>
  </si>
  <si>
    <t xml:space="preserve">https://happy-sinks.com/da/blogs/magisso/tagged/smart-kitchen-tools</t>
  </si>
  <si>
    <t xml:space="preserve">Opi puhdistamaan haisevat tiskirätit tehokkaasti. Seuraa yksinkertaisia vinkkejä ja menetelmiä poistaaksesi hajut, bakteerit ja tahrat, jotta keittiösi pysyy raikkaana ja hygieenisenä.</t>
  </si>
  <si>
    <t xml:space="preserve">https://happy-sinks.com/sv/blogs/magisso/cutlery-caddy-vs-drawer-organizer-which-is-best</t>
  </si>
  <si>
    <t xml:space="preserve">Jämför Cutlery Caddy och lådorganisatörer för att hitta det bästa alternativet för ditt kök. Upptäck vilken organisatör som erbjuder bättre förvaring, stil och funktion.</t>
  </si>
  <si>
    <t xml:space="preserve">https://happy-sinks.com/da/blogs/magisso/tagged/society</t>
  </si>
  <si>
    <t xml:space="preserve">https://happy-sinks.com/de/blogs/magisso/tagged/non-drill-kitchen-organizer</t>
  </si>
  <si>
    <t xml:space="preserve">Löydä parhaat tiskirätin pidikkeet, jotka pitävät keittiösi järjestyksessä. Kestävät ja hyvin suunnitellut tiskirätin pidikkeemme tekevät altaan ympäristöstä täydellisen.</t>
  </si>
  <si>
    <t xml:space="preserve">https://happy-sinks.com/da/blogs/magisso/tagged/finnish-culture</t>
  </si>
  <si>
    <t xml:space="preserve">https://happy-sinks.com/fi/blogs/magisso/tagged/sink-cloth-holder</t>
  </si>
  <si>
    <t xml:space="preserve">https://happy-sinks.com/fi/blogs/magisso/tagged/cleaning-products</t>
  </si>
  <si>
    <t xml:space="preserve">MioEco on kestävä yritys ja brändi. Osta luomua ja uudelleenkäytettäviä paperipyyhkeitä, turkkilaisia rantapyyhkeitä, turkkilaisia käsipyyhkeitä, astianpesu- ja keittiösieniä.</t>
  </si>
  <si>
    <t xml:space="preserve">https://happy-sinks.com/es/blogs/magisso/5-cleaning-habits-that-change-the-cleaning-game</t>
  </si>
  <si>
    <t xml:space="preserve">Descubre 5 hábitos de limpieza que revolucionan la forma de limpiar. Aprende rutinas sencillas y consejos inteligentes para que tu hogar esté impecable, organizado y sea más fácil de mantener.</t>
  </si>
  <si>
    <t xml:space="preserve">https://happy-sinks.com/da/blogs/magisso/tagged/durable-sponge-holder</t>
  </si>
  <si>
    <t xml:space="preserve">https://happy-sinks.com/de/blogs/magisso/tagged/modern-kitchen-hacks</t>
  </si>
  <si>
    <t xml:space="preserve">https://happy-sinks.com/da/blogs/magisso/tagged/stockholm-events</t>
  </si>
  <si>
    <t xml:space="preserve">https://happy-sinks.com/de/blogs/magisso/tagged/swedish-dishcloths</t>
  </si>
  <si>
    <t xml:space="preserve">https://happy-sinks.com/de/blogs/magisso/tagged/space-saving-tools</t>
  </si>
  <si>
    <t xml:space="preserve">Upptäck 5 miljövänliga rengöringsprodukter som ditt hem kommer att tacka dig för. Håll ditt utrymme skinande rent samtidigt som du är säker på att det är bra för miljön och din familj.</t>
  </si>
  <si>
    <t xml:space="preserve">https://happy-sinks.com/da/blogs/magisso/tagged/tiny-kitchen-organization</t>
  </si>
  <si>
    <t xml:space="preserve">https://happy-sinks.com/de/blogs/magisso/tagged/cleaning-tablets</t>
  </si>
  <si>
    <t xml:space="preserve">https://happy-sinks.com/da/blogs/magisso/tagged/pest-control</t>
  </si>
  <si>
    <t xml:space="preserve">https://happy-sinks.com/de/blogs/magisso/tagged/sponge-holder</t>
  </si>
  <si>
    <t xml:space="preserve">https://happy-sinks.com/de/blogs/magisso/tagged/kitchen-sponge-care</t>
  </si>
  <si>
    <t xml:space="preserve">https://happy-sinks.com/da/blogs/magisso/tagged/gots-cotton</t>
  </si>
  <si>
    <t xml:space="preserve">https://happy-sinks.com/de/blogs/magisso/tagged/sink-cloth-holder</t>
  </si>
  <si>
    <t xml:space="preserve">https://happy-sinks.com/de/blogs/magisso/tagged/nordic-kitchen-design</t>
  </si>
  <si>
    <t xml:space="preserve">https://happy-sinks.com/de/blogs/magisso/tagged/scandinavian-design</t>
  </si>
  <si>
    <t xml:space="preserve">https://happy-sinks.com/da/blogs/magisso/tagged/sink-organization-ideas</t>
  </si>
  <si>
    <t xml:space="preserve">https://happy-sinks.com/fi/blogs/magisso/tagged/diy-cleaning</t>
  </si>
  <si>
    <t xml:space="preserve">https://happy-sinks.com/de/products/wine-glass-rack</t>
  </si>
  <si>
    <t xml:space="preserve">Schützen Sie Ihre empfindlichen Weingläser vor Bruch und Absplitterungen im Geschirrspüler mit dem spülmaschinenfesten Weinglasständer von HAPPY SiNKS in Schwarz oder Weiß.</t>
  </si>
  <si>
    <t xml:space="preserve">https://happy-sinks.com/de/products/kitchen-sink-mat-silicone</t>
  </si>
  <si>
    <t xml:space="preserve">Schützen und verschönern Sie Ihre Küchenspüle mit der hochwertigen Küchenspülenmatte von HAPPY SiNKS. Verabschieden Sie sich von Kratzern und begrüßen Sie Stil. Jetzt bestellen!</t>
  </si>
  <si>
    <t xml:space="preserve">https://happy-sinks.com/da/products/swedish-dishcloths-black-3pc</t>
  </si>
  <si>
    <t xml:space="preserve">Udskift køkkenrulle, svampe og traditionelle opvaskeklude med vores 3-pak miljøvenlige svenske opvaskeklude i sort. Fremstillet af miljøvenligt, bæredygtigt materiale.</t>
  </si>
  <si>
    <t xml:space="preserve">https://happy-sinks.com/fi/blogs/magisso/tagged/swedish-dishcloths</t>
  </si>
  <si>
    <t xml:space="preserve">https://happy-sinks.com/de/blogs/magisso/tagged/is-stainless-steel-magnetic</t>
  </si>
  <si>
    <t xml:space="preserve">Schützen Sie Ihr Spülbecken vor Kratzern, verbessern Sie die Hygiene und verleihen Sie Ihrem Stil das gewisse Etwas. Entdecken Sie die Vorteile einer Silikon-Spülbeckenmatte sowie Tipps zur Pflege und Auswahl.</t>
  </si>
  <si>
    <t xml:space="preserve">https://happy-sinks.com/da/blogs/magisso/tagged/kitchen-cleanliness</t>
  </si>
  <si>
    <t xml:space="preserve">https://happy-sinks.com/de/blogs/magisso/tagged/finnish-culture</t>
  </si>
  <si>
    <t xml:space="preserve">https://happy-sinks.com/da/blogs/magisso/tagged/small-kitchen-hacks</t>
  </si>
  <si>
    <t xml:space="preserve">https://happy-sinks.com/da/blogs/magisso/tagged/silver-cutlery-cleaning</t>
  </si>
  <si>
    <t xml:space="preserve">https://happy-sinks.com/da/blogs/magisso/tagged/sink-storage-solutions</t>
  </si>
  <si>
    <t xml:space="preserve">https://happy-sinks.com/fi/blogs/magisso/tagged/eco-friendly</t>
  </si>
  <si>
    <t xml:space="preserve">https://happy-sinks.com/fi/blogs/magisso/tagged/wellness</t>
  </si>
  <si>
    <t xml:space="preserve">https://happy-sinks.com/da/blogs/magisso/tagged/biodegradable-dishcloths</t>
  </si>
  <si>
    <t xml:space="preserve">Descubre 7 conclusiones clave del Secreto de la Felicidad Finlandesa. Aprende consejos prácticos para mejorar el bienestar, la alegría y un estilo de vida equilibrado cada día.</t>
  </si>
  <si>
    <t xml:space="preserve">Entdecken Sie effektive Sommertipps, wie Sie Fruchtfliegen loswerden und Ihr Zuhause fruchtfliegenfrei halten. Einfache Lösungen für eine schädlingsfreie Umgebung!</t>
  </si>
  <si>
    <t xml:space="preserve">Lær, hvordan du effektivt rengør ildelugtende karklude. Følg enkle tips og metoder til at fjerne lugt, bakterier og pletter, så dit køkken forbliver frisk og hygiejnisk.</t>
  </si>
  <si>
    <t xml:space="preserve">https://happy-sinks.com/de/products/beeswax-food-wraps</t>
  </si>
  <si>
    <t xml:space="preserve">Verwenden Sie Mioecos Bienenwachstücher, um Ihre Lebensmittel oder Schüsseln mit der Wärme Ihrer Hand zu verschließen. Vermeiden Sie Einwegplastik und halten Sie Ihre Lebensmittel mit Mioeco frisch.</t>
  </si>
  <si>
    <t xml:space="preserve">https://happy-sinks.com/da/blogs/magisso/tagged/fly-traps</t>
  </si>
  <si>
    <t xml:space="preserve">https://happy-sinks.com/da/blogs/magisso/tagged/well-being</t>
  </si>
  <si>
    <t xml:space="preserve">https://happy-sinks.com/da/blogs/magisso/tagged/wellness</t>
  </si>
  <si>
    <t xml:space="preserve">Pidä keittiösi tuholaisvapaana Fruit Fly Control -vinkkien avulla. Opi yksinkertaisia ja tehokkaita ratkaisuja torjumaan tuhoeläimiä ja ylläpitämään puhdas keittiö.</t>
  </si>
  <si>
    <t xml:space="preserve">Opi käyttämään KONNA Fruit Fly Trap -hedelmäkärpäspaperia tehokkaasti. Noudata yksinkertaisia ohjeita hedelmäkärpästen pyydystämiseksi ja keittiösi pitämiseksi puhtaana ja tuholaisvapaana.</t>
  </si>
  <si>
    <t xml:space="preserve">https://happy-sinks.com/fi/blogs/magisso/tagged/kitchen-essentials</t>
  </si>
  <si>
    <t xml:space="preserve">https://happy-sinks.com/sv/blogs/magisso/beat-the-january-blues-with-happy-sinks</t>
  </si>
  <si>
    <t xml:space="preserve">Bekämpa januaribluesen med HAPPY SiNKS genom att använda eteriska oljor för att öka välbefinnandet. Fräscha upp ditt hem, höj ditt humör och njut av ett gladare köksutrymme.</t>
  </si>
  <si>
    <t xml:space="preserve">https://happy-sinks.com/de/blogs/magisso/tagged/magnetic-sink-caddy</t>
  </si>
  <si>
    <t xml:space="preserve">https://happy-sinks.com/fi/blogs/magisso/six-good-reasons-to-use-a-happy-sinks-cloth-holder</t>
  </si>
  <si>
    <t xml:space="preserve">Opi kuusi hyvää syytä käyttää HAPPY SiNKS -liinatelinettä. Pidä tiskirätit järjestyksessä, hygieenisinä ja helposti saatavilla samalla kun parannat keittiösi ilmettä.</t>
  </si>
  <si>
    <t xml:space="preserve">https://happy-sinks.com/fi/blogs/magisso/quick-tips-and-tricks-on-how-to-clean-an-oven-at-home</t>
  </si>
  <si>
    <t xml:space="preserve">Opi nopeita vinkkejä ja niksejä uunin puhdistamiseen kotona. Pidä uunisi tahrattomana, turvallisena ja tehokkaana yksinkertaisilla, helposti seurattavilla menetelmillä.</t>
  </si>
  <si>
    <t xml:space="preserve">https://happy-sinks.com/de/blogs/magisso/tagged/kitchen-sink-cleaning</t>
  </si>
  <si>
    <t xml:space="preserve">https://happy-sinks.com/da/blogs/magisso/tagged/sink-cloth-holder</t>
  </si>
  <si>
    <t xml:space="preserve">https://happy-sinks.com/da/blogs/magisso/tagged/sponge-holder</t>
  </si>
  <si>
    <t xml:space="preserve">https://happy-sinks.com/de/blogs/magisso/tagged/society</t>
  </si>
  <si>
    <t xml:space="preserve">https://happy-sinks.com/de/blogs/magisso/tagged/how-to-dry-kitchen-sponge</t>
  </si>
  <si>
    <t xml:space="preserve">HAPPY SiNKS vs konkurrenter: Sammenlign med Moen, Kohler, Delta, Kraus og American Standard for at se, hvorfor HAPPY SiNKS vinder på design, holdbarhed og værdi.
 Compare HAPPY SINKS with Carysil, Blanco, Franke, Lapetek, and Elkay. Discover why HAPPY SINKS offers the best ergonomic design, durability, and value for your kitchen.</t>
  </si>
  <si>
    <t xml:space="preserve">161
168</t>
  </si>
  <si>
    <t xml:space="preserve">https://happy-sinks.com/de/blogs/magisso/tagged/hygienic-dishwashing</t>
  </si>
  <si>
    <t xml:space="preserve">https://happy-sinks.com/da/blogs/magisso/tagged/swedish-dishcloths</t>
  </si>
  <si>
    <t xml:space="preserve">https://happy-sinks.com/sv/products/happy-sinks-gift-card-25</t>
  </si>
  <si>
    <t xml:space="preserve">Letar du efter den perfekta presentidén? Varför inte ge bort ett HAPPY SiNKS E-Gåvokort med möjligheten att hitta en funktionell produkt som hjälper dem att organisera drömköket.</t>
  </si>
  <si>
    <t xml:space="preserve">https://happy-sinks.com/de/blogs/magisso/tagged/kitchen-space-savers</t>
  </si>
  <si>
    <t xml:space="preserve">https://happy-sinks.com/de/blogs/magisso/tagged/kitchen-care</t>
  </si>
  <si>
    <t xml:space="preserve">https://happy-sinks.com/da/blogs/magisso/tagged/stainless-steel-kitchen</t>
  </si>
  <si>
    <t xml:space="preserve">https://happy-sinks.com/de/blogs/magisso/tagged/roll-up-sink-rack</t>
  </si>
  <si>
    <t xml:space="preserve">https://happy-sinks.com/da/blogs/magisso/tagged/reusable-spray-bottles</t>
  </si>
  <si>
    <t xml:space="preserve">https://happy-sinks.com/de/blogs/magisso/tagged/natural-material-kitchen-accessories</t>
  </si>
  <si>
    <t xml:space="preserve">https://happy-sinks.com/de/blogs/magisso/tagged/january-blues</t>
  </si>
  <si>
    <t xml:space="preserve">https://happy-sinks.com/sv/pages/collab</t>
  </si>
  <si>
    <t xml:space="preserve">https://happy-sinks.com/fi/blogs/magisso/what-s-a-swedish-dishcloth-and-why-you-should-start-using-it</t>
  </si>
  <si>
    <t xml:space="preserve">Opi, mikä Ruotsalainen tiskiliina on ja miksi sinun kannattaa alkaa käyttää sitä. Tutustu sen ympäristöystävällisiin etuihin, kestävyyteen ja siihen, miten se pitää keittiösi puhtaana.</t>
  </si>
  <si>
    <t xml:space="preserve">https://happy-sinks.com/da/blogs/magisso/tagged/kitchen-sponge-storage</t>
  </si>
  <si>
    <t xml:space="preserve">https://happy-sinks.com/de/products/swedish-dishcloths-forest-green-3pc</t>
  </si>
  <si>
    <t xml:space="preserve">Ersetzen Sie Papiertücher, Schwämme und traditionelle Geschirrtücher durch unsere dreiteiligen, umweltfreundlichen schwedischen Geschirrtücher in Waldgrün. Eine nachhaltigere Lösung.</t>
  </si>
  <si>
    <t xml:space="preserve">https://happy-sinks.com/da/blogs/magisso/tagged/wooden-soap-dispenser</t>
  </si>
  <si>
    <t xml:space="preserve">https://happy-sinks.com/fi/blogs/magisso/tagged/quick-dry-cloths</t>
  </si>
  <si>
    <t xml:space="preserve">Entdecken Sie 7 wichtige Erkenntnisse aus dem Geheimnis des finnischen Glücks. Lernen Sie praktische Tipps, um Wohlbefinden, Freude und einen ausgewogenen Lebensstil jeden Tag zu fördern.</t>
  </si>
  <si>
    <t xml:space="preserve">https://happy-sinks.com/da/blogs/magisso/tagged/space-saving-kitchen-tools</t>
  </si>
  <si>
    <t xml:space="preserve">https://happy-sinks.com/de/blogs/magisso/tagged/2020-blog</t>
  </si>
  <si>
    <t xml:space="preserve">Opi, miksi magneettiset tiskialtaan lisävarusteet ovat suosittuja. Säästä tilaa, vältä poraamista, pidä sienet kuivina ja päivitä keittiösi älykkäillä, hygieenisillä järjestäjillä.</t>
  </si>
  <si>
    <t xml:space="preserve">https://happy-sinks.com/fi/blogs/magisso/tagged/home-hygiene</t>
  </si>
  <si>
    <t xml:space="preserve">https://happy-sinks.com/de/blogs/magisso/tagged/sponge-hygiene-tips</t>
  </si>
  <si>
    <t xml:space="preserve">https://happy-sinks.com/da/blogs/magisso/tagged/prevent-sponge-smell</t>
  </si>
  <si>
    <t xml:space="preserve">https://happy-sinks.com/fi/blogs/magisso/tagged/kitchen-storage</t>
  </si>
  <si>
    <t xml:space="preserve">https://happy-sinks.com/da/blogs/magisso/tagged/how-to-dry-kitchen-sponge</t>
  </si>
  <si>
    <t xml:space="preserve">https://happy-sinks.com/fi/blogs/magisso/tagged/well-being</t>
  </si>
  <si>
    <t xml:space="preserve">https://happy-sinks.com/de/blogs/magisso/tagged/dish-drying-hacks</t>
  </si>
  <si>
    <t xml:space="preserve">Compara el Cutlery Caddy y los organizadores de cajones para encontrar la mejor opción para tu cocina. Descubre qué organizador ofrece mejor almacenamiento, estilo y funcionalidad.</t>
  </si>
  <si>
    <t xml:space="preserve">https://happy-sinks.com/fi/blogs/magisso/tagged/kitchen-towels</t>
  </si>
  <si>
    <t xml:space="preserve">https://happy-sinks.com/de/blogs/magisso/tagged/dishcloth-care</t>
  </si>
  <si>
    <t xml:space="preserve">https://happy-sinks.com/da/blogs/magisso/tagged/keep-sponge-clean</t>
  </si>
  <si>
    <t xml:space="preserve">https://happy-sinks.com/da/blogs/magisso/tagged/cloth-holder</t>
  </si>
  <si>
    <t xml:space="preserve">https://happy-sinks.com/da/blogs/magisso/tagged/cleaning-tips</t>
  </si>
  <si>
    <t xml:space="preserve">https://happy-sinks.com/fi/blogs/magisso/tagged/ambiente-2024</t>
  </si>
  <si>
    <t xml:space="preserve">Erfahren Sie, wie ein Küchen-Seifenspender die Hygiene verbessert, Kreuzkontaminationen reduziert und häufigeres Händewaschen für eine gesündere Familie fördert.</t>
  </si>
  <si>
    <t xml:space="preserve">Protege tu fregadero de arañazos, mejora la higiene y realza el estilo. Descubre los beneficios de usar una alfombrilla de silicona para fregadero, además de consejos de cuidado y selección.</t>
  </si>
  <si>
    <t xml:space="preserve">https://happy-sinks.com/de/blogs/magisso/tagged/scandinavian-sink-accessories</t>
  </si>
  <si>
    <t xml:space="preserve">https://happy-sinks.com/fi/blogs/magisso/how-to-wash-swedish-dishcloth</t>
  </si>
  <si>
    <t xml:space="preserve">Opi, miten pestä Swedish Dishcloth ja pitää se bakteerivapaana. Noudata yksinkertaisia pesuvinkkejä pidentääksesi sen käyttöikää ja ylläpitääksesi hygienistä keittiötä.</t>
  </si>
  <si>
    <t xml:space="preserve">https://happy-sinks.com/de/blogs/magisso/tagged/sink-cleaning-tips</t>
  </si>
  <si>
    <t xml:space="preserve">https://happy-sinks.com/da/blogs/magisso/tagged/sink-maintenance</t>
  </si>
  <si>
    <t xml:space="preserve">https://happy-sinks.com/de/blogs/magisso?page=6</t>
  </si>
  <si>
    <t xml:space="preserve">https://happy-sinks.com/fi/blogs/magisso/5-cleaning-habits-that-change-the-cleaning-game</t>
  </si>
  <si>
    <t xml:space="preserve">Löydä 5 siivoustottumusta, jotka muuttavat siivouksen pelin. Opi yksinkertaiset rutiinit ja fiksut vinkit, jotka tekevät kodistasi tahrattoman, järjestetyn ja helpommin ylläpidettävän.</t>
  </si>
  <si>
    <t xml:space="preserve">https://happy-sinks.com/fi/blogs/magisso/tagged/cooking-tools</t>
  </si>
  <si>
    <t xml:space="preserve">Opi, miten pidät ruotsalaiset tiskiliinasi hajuttomina ja tahroittomina. Seuraa yksinkertaisia vinkkejä ja puhdistusmenetelmiä hygienian ja raikkaan keittiön ylläpitämiseksi.</t>
  </si>
  <si>
    <t xml:space="preserve">https://happy-sinks.com/da/blogs/magisso?page=2</t>
  </si>
  <si>
    <t xml:space="preserve">https://happy-sinks.com/de/blogs/magisso/tagged/quick-dry-cloths</t>
  </si>
  <si>
    <t xml:space="preserve">https://happy-sinks.com/fi/blogs/magisso/tagged/dish-drying-hacks</t>
  </si>
  <si>
    <t xml:space="preserve">https://happy-sinks.com/de/blogs/magisso/tagged/eco-friendly-dishcloths</t>
  </si>
  <si>
    <t xml:space="preserve">https://happy-sinks.com/de/blogs/magisso/tagged/fruit-fly-trap</t>
  </si>
  <si>
    <t xml:space="preserve">HAPPY SiNKS vs Competidores: Compáralo con Moen, Kohler, Delta, Kraus y American Standard para ver por qué HAPPY SiNKS gana en diseño, durabilidad y valor.
 Compare HAPPY SINKS with Carysil, Blanco, Franke, Lapetek, and Elkay. Discover why HAPPY SINKS offers the best ergonomic design, durability, and value for your kitchen.</t>
  </si>
  <si>
    <t xml:space="preserve">155
168</t>
  </si>
  <si>
    <t xml:space="preserve">https://happy-sinks.com/de/blogs/magisso/tagged/magnetic-cloth-holders</t>
  </si>
  <si>
    <t xml:space="preserve">https://happy-sinks.com/fi/blogs/magisso/tagged/dry-dishcloth</t>
  </si>
  <si>
    <t xml:space="preserve">https://happy-sinks.com/da/blogs/magisso/tagged/sustainable-living</t>
  </si>
  <si>
    <t xml:space="preserve">https://happy-sinks.com/es/products/happy-sinks-gift-card-25</t>
  </si>
  <si>
    <t xml:space="preserve">https://happy-sinks.com/da/blogs/magisso/tagged/interior-design-fair</t>
  </si>
  <si>
    <t xml:space="preserve">Håll ditt kök fritt från skadedjur med tips för att kontrollera fruktflugor. Lär dig enkla och effektiva lösningar för att förebygga angrepp och hålla köket rent.</t>
  </si>
  <si>
    <t xml:space="preserve">https://happy-sinks.com/da/blogs/magisso/tagged/january-blues</t>
  </si>
  <si>
    <t xml:space="preserve">https://happy-sinks.com/de/blogs/magisso/tagged/dish-drying-racks</t>
  </si>
  <si>
    <t xml:space="preserve">https://happy-sinks.com/fi/blogs/magisso/tagged/sponge-drying-tips</t>
  </si>
  <si>
    <t xml:space="preserve">https://happy-sinks.com/es/blogs/magisso/six-good-reasons-to-use-a-happy-sinks-cloth-holder</t>
  </si>
  <si>
    <t xml:space="preserve">Descubre seis buenas razones para usar un soporte para paños HAPPY SiNKS. Mantén tus paños de cocina organizados, higiénicos y fácilmente accesibles mientras mejoras tu cocina.</t>
  </si>
  <si>
    <t xml:space="preserve">https://happy-sinks.com/da/blogs/magisso/tagged/magnetic-sink-caddy</t>
  </si>
  <si>
    <t xml:space="preserve">https://happy-sinks.com/de/blogs/magisso/tagged/appliance-maintenance</t>
  </si>
  <si>
    <t xml:space="preserve">https://happy-sinks.com/sv/blogs/magisso/how-to-clean-a-stained-sink-in-your-home</t>
  </si>
  <si>
    <t xml:space="preserve">Lär dig hur du effektivt rengör en fläckig diskho i ditt hem. Följ enkla tips och metoder för att återställa glansen och hålla din diskho hygienisk och fläckfri.</t>
  </si>
  <si>
    <t xml:space="preserve">https://happy-sinks.com/fi/blogs/magisso/tagged/fruit-fly-control</t>
  </si>
  <si>
    <t xml:space="preserve">https://happy-sinks.com/de/blogs/magisso/tagged/cutlery-caddy</t>
  </si>
  <si>
    <t xml:space="preserve">Aprende cómo limpiar eficazmente los paños de cocina malolientes. Sigue consejos y métodos sencillos para eliminar olores, bacterias y manchas, manteniendo tu cocina fresca e higiénica.</t>
  </si>
  <si>
    <t xml:space="preserve">https://happy-sinks.com/da/blogs/magisso/tagged/magisso</t>
  </si>
  <si>
    <t xml:space="preserve">Descubre consejos efectivos de verano sobre cómo deshacerte de las moscas de la fruta y mantener tu hogar libre de ellas. ¡Soluciones sencillas para un entorno sin plagas!</t>
  </si>
  <si>
    <t xml:space="preserve">https://happy-sinks.com/fi/blogs/magisso/tagged/dishcloths</t>
  </si>
  <si>
    <t xml:space="preserve">https://happy-sinks.com/da/blogs/magisso/tagged/metal-sink-accessories</t>
  </si>
  <si>
    <t xml:space="preserve">https://happy-sinks.com/da/blogs/magisso/tagged/kitchen-pests</t>
  </si>
  <si>
    <t xml:space="preserve">https://happy-sinks.com/da/blogs/magisso/tagged/home-organization</t>
  </si>
  <si>
    <t xml:space="preserve">https://happy-sinks.com/de/blogs/magisso/tagged/clean-kitchen-tips</t>
  </si>
  <si>
    <t xml:space="preserve">https://happy-sinks.com/de/blogs/magisso/tagged/2026-trends</t>
  </si>
  <si>
    <t xml:space="preserve">https://happy-sinks.com/de/blogs/magisso/tagged/eco-friendly-kitchen-products</t>
  </si>
  <si>
    <t xml:space="preserve">https://happy-sinks.com/da/blogs/magisso/tagged/dry-dishcloth</t>
  </si>
  <si>
    <t xml:space="preserve">https://happy-sinks.com/da/blogs/magisso/tagged/home-decor</t>
  </si>
  <si>
    <t xml:space="preserve">https://happy-sinks.com/fi/blogs/magisso/tagged/stockholm-events</t>
  </si>
  <si>
    <t xml:space="preserve">https://happy-sinks.com/da/blogs/magisso/tagged/germ-killing</t>
  </si>
  <si>
    <t xml:space="preserve">https://happy-sinks.com/da/blogs/magisso/tagged/happy-sinks-products</t>
  </si>
  <si>
    <t xml:space="preserve">Erfahren Sie, wie Sie Ihre schwedischen Spültücher frei von Gerüchen und Flecken halten. Befolgen Sie einfache Tipps und Reinigungsmethoden, um Hygiene und eine frische Küche zu bewahren.</t>
  </si>
  <si>
    <t xml:space="preserve">https://happy-sinks.com/de/blogs/magisso/tagged/kitchen-pests</t>
  </si>
  <si>
    <t xml:space="preserve">https://happy-sinks.com/fi/blogs/magisso/tagged/sink-accessories</t>
  </si>
  <si>
    <t xml:space="preserve">https://happy-sinks.com/da/blogs/magisso/tagged/maintain-clean-sink</t>
  </si>
  <si>
    <t xml:space="preserve">https://happy-sinks.com/de/blogs/magisso/tagged/textile-standards</t>
  </si>
  <si>
    <t xml:space="preserve">https://happy-sinks.com/fi/blogs/magisso/tagged/kitchen-knives</t>
  </si>
  <si>
    <t xml:space="preserve">https://happy-sinks.com/de/blogs/magisso/tagged/ambiente-2024</t>
  </si>
  <si>
    <t xml:space="preserve">https://happy-sinks.com/da/blogs/magisso/tagged/stainless-steel-sink</t>
  </si>
  <si>
    <t xml:space="preserve">https://happy-sinks.com/fi/blogs/magisso/tagged/germ-free-kitchen</t>
  </si>
  <si>
    <t xml:space="preserve">https://happy-sinks.com/fi/blogs/magisso/tagged/how-to</t>
  </si>
  <si>
    <t xml:space="preserve">https://happy-sinks.com/de/blogs/magisso/tagged/food-prep</t>
  </si>
  <si>
    <t xml:space="preserve">Leder du efter den perfekte gaveidé? Hvorfor ikke give et HAPPY SiNKS E-Gavekort med muligheden for at finde en funktionel genstand, der hjælper dem med at organisere drømmekøkkenet.</t>
  </si>
  <si>
    <t xml:space="preserve">https://happy-sinks.com/de/blogs/magisso/tagged/kitchen-essentials</t>
  </si>
  <si>
    <t xml:space="preserve">https://happy-sinks.com/fi/blogs/magisso/tagged/equality</t>
  </si>
  <si>
    <t xml:space="preserve">https://happy-sinks.com/de/blogs/magisso/tagged/kitchen-sponge-holder-magnetic</t>
  </si>
  <si>
    <t xml:space="preserve">https://happy-sinks.com/da/blogs/magisso/tagged/time-saving-cleaning</t>
  </si>
  <si>
    <t xml:space="preserve">Erfahren Sie, warum wir GOTS-Baumwolle anstelle von herkömmlicher Baumwolle verwenden. Entdecken Sie die Vorteile für Nachhaltigkeit, Qualität und ein gesünderes, umweltfreundliches Produkt.</t>
  </si>
  <si>
    <t xml:space="preserve">https://happy-sinks.com/es/products/kitchen-set-dish-cloth-holder-sponge-holder-fruit-fly-trap</t>
  </si>
  <si>
    <t xml:space="preserve">Consigue el Set de Cocina con Soporte para Paños de Biocomposite, Soporte para Esponjas y Trampa para Moscas de la Fruta KONNA para mantener tu cocina ordenada, elegante e higiénica. ¡Un paquete completo!</t>
  </si>
  <si>
    <t xml:space="preserve">https://happy-sinks.com/de/blogs/magisso/tagged/small-kitchen-ideas</t>
  </si>
  <si>
    <t xml:space="preserve">https://happy-sinks.com/de/blogs/magisso/tagged/modern-kitchen-accessories</t>
  </si>
  <si>
    <t xml:space="preserve">https://happy-sinks.com/de/blogs/magisso/tagged/dishcloth-holders</t>
  </si>
  <si>
    <t xml:space="preserve">https://happy-sinks.com/fi/blogs/magisso/tagged/tidy-kitchen</t>
  </si>
  <si>
    <t xml:space="preserve">https://happy-sinks.com/de/blogs/magisso/tagged/foldable-dish-rack</t>
  </si>
  <si>
    <t xml:space="preserve">https://happy-sinks.com/da/blogs/magisso/tagged/joyful-moments</t>
  </si>
  <si>
    <t xml:space="preserve">https://happy-sinks.com/de/blogs/magisso/tagged/tiny-kitchen-organization</t>
  </si>
  <si>
    <t xml:space="preserve">https://happy-sinks.com/de/blogs/magisso/tagged/home-comforts</t>
  </si>
  <si>
    <t xml:space="preserve">https://happy-sinks.com/de/blogs/magisso/tagged/sink-compatibility</t>
  </si>
  <si>
    <t xml:space="preserve">https://happy-sinks.com/fi/blogs/magisso/tagged/disinfecting</t>
  </si>
  <si>
    <t xml:space="preserve">https://happy-sinks.com/da/blogs/magisso/tagged/scandinavian-sink-setup</t>
  </si>
  <si>
    <t xml:space="preserve">https://happy-sinks.com/de/blogs/magisso/tagged/hydrogen-peroxide</t>
  </si>
  <si>
    <t xml:space="preserve">https://happy-sinks.com/es/blogs/magisso?page=6</t>
  </si>
  <si>
    <t xml:space="preserve">https://happy-sinks.com/fi/blogs/magisso/tagged/keep-sponge-clean</t>
  </si>
  <si>
    <t xml:space="preserve">https://happy-sinks.com/da/blogs/magisso/tagged/kitchen-towels</t>
  </si>
  <si>
    <t xml:space="preserve">https://happy-sinks.com/de/blogs/magisso/tagged/diy-silver-cleaning</t>
  </si>
  <si>
    <t xml:space="preserve">https://happy-sinks.com/de/blogs/magisso/tagged/happy-sinks-dish-rack</t>
  </si>
  <si>
    <t xml:space="preserve">https://happy-sinks.com/da/blogs/magisso/tagged/home-cleaning-tips</t>
  </si>
  <si>
    <t xml:space="preserve">https://happy-sinks.com/de/blogs/magisso?page=2</t>
  </si>
  <si>
    <t xml:space="preserve">https://happy-sinks.com/da/blogs/magisso/tagged/sponge-holder-comparison</t>
  </si>
  <si>
    <t xml:space="preserve">https://happy-sinks.com/da/blogs/magisso/tagged/microfiber-dishcloths</t>
  </si>
  <si>
    <t xml:space="preserve">https://happy-sinks.com/da/blogs/magisso/tagged/happiness</t>
  </si>
  <si>
    <t xml:space="preserve">Erfahren Sie, wie Sie ein verfärbtes Spülbecken in Ihrem Zuhause effektiv reinigen. Befolgen Sie einfache Tipps und Methoden, um den Glanz wiederherzustellen und Ihr Spülbecken hygienisch und makellos zu halten.</t>
  </si>
  <si>
    <t xml:space="preserve">https://happy-sinks.com/da/blogs/magisso/tagged/odor-removal</t>
  </si>
  <si>
    <t xml:space="preserve">https://happy-sinks.com/de/blogs/magisso/tagged/new-year</t>
  </si>
  <si>
    <t xml:space="preserve">https://happy-sinks.com/da/blogs/magisso/tagged/textile-standards</t>
  </si>
  <si>
    <t xml:space="preserve">Mantén tu cocina fresca esta temporada con 5 consejos de limpieza de primavera usando HAPPY SiNKS. Descubre formas prácticas de limpiar de manera eficiente y mantener un espacio reluciente.</t>
  </si>
  <si>
    <t xml:space="preserve">https://happy-sinks.com/de/blogs/magisso/tagged/smart-kitchen-tools</t>
  </si>
  <si>
    <t xml:space="preserve">https://happy-sinks.com/de/blogs/magisso/best-kitchen-organisation-sustainability-trends-2026</t>
  </si>
  <si>
    <t xml:space="preserve">Entdecken Sie die wichtigsten Trends für Küchenorganisation und Nachhaltigkeit im Jahr 2026. Skandinavische Design-Tipps, umweltfreundliche Alternativen und clevere Accessoires von Happy Sinks.</t>
  </si>
  <si>
    <t xml:space="preserve">https://happy-sinks.com/fi/blogs/magisso/tagged/hygiene</t>
  </si>
  <si>
    <t xml:space="preserve">Entdecken Sie 5 umweltfreundliche Reinigungsprodukte, für die Ihr Zuhause Ihnen danken wird. Halten Sie Ihren Raum strahlend sauber und sorgen Sie gleichzeitig für Sicherheit für die Umwelt und Ihre Familie.</t>
  </si>
  <si>
    <t xml:space="preserve">https://happy-sinks.com/da/blogs/magisso/tagged/sink-organizer</t>
  </si>
  <si>
    <t xml:space="preserve">https://happy-sinks.com/da/blogs/magisso/tagged/sustainable-textiles</t>
  </si>
  <si>
    <t xml:space="preserve">https://happy-sinks.com/fi/blogs/magisso/tagged/cleaning-routine</t>
  </si>
  <si>
    <t xml:space="preserve">https://happy-sinks.com/da/blogs/magisso/tagged/space-saving-kitchen</t>
  </si>
  <si>
    <t xml:space="preserve">https://happy-sinks.com/da/blogs/magisso/tagged/dishwashing-hygiene</t>
  </si>
  <si>
    <t xml:space="preserve">https://happy-sinks.com/de/blogs/magisso/tagged/quick-cleaning</t>
  </si>
  <si>
    <t xml:space="preserve">https://happy-sinks.com/da/blogs/magisso/tagged/diy-cleaning</t>
  </si>
  <si>
    <t xml:space="preserve">https://happy-sinks.com/de/blogs/magisso/tagged/kitchen-sponge-storage</t>
  </si>
  <si>
    <t xml:space="preserve">https://happy-sinks.com/fi/blogs/magisso/tagged/calm-kitchen-style</t>
  </si>
  <si>
    <t xml:space="preserve">https://happy-sinks.com/de/blogs/magisso/tagged/sustainable-cleaning</t>
  </si>
  <si>
    <t xml:space="preserve">MioEco er en bæredygtig virksomhed og mærke. Køb økologiske og genanvendelige papirhåndklæder, tyrkiske strandhåndklæder, tyrkiske håndklæder, opvask- og køkkensvampe.</t>
  </si>
  <si>
    <t xml:space="preserve">https://happy-sinks.com/fi/blogs/magisso/tagged/scandinavian-decor</t>
  </si>
  <si>
    <t xml:space="preserve">Clever kleine Küchen-Trocknungstricks, Werkzeuge und DIY-Ideen, um Arbeitsfläche zu sparen und Ihre kleine Küche sauber, organisiert und frei von Unordnung zu halten.</t>
  </si>
  <si>
    <t xml:space="preserve">Descubre 6 razones convincentes para añadir un soporte para copas de vino a tu cocina. Maximiza el espacio, protege la cristalería y mejora la estética con esta adición esencial.</t>
  </si>
  <si>
    <t xml:space="preserve">https://happy-sinks.com/da/blogs/magisso/tagged/diy-silver-cleaning</t>
  </si>
  <si>
    <t xml:space="preserve">https://happy-sinks.com/fi/blogs/magisso/tagged/gots-cotton</t>
  </si>
  <si>
    <t xml:space="preserve">https://happy-sinks.com/da/blogs/magisso/tagged/drawer-organizer</t>
  </si>
  <si>
    <t xml:space="preserve">https://happy-sinks.com/de/blogs/magisso/tagged/sponge-drying-solution</t>
  </si>
  <si>
    <t xml:space="preserve">https://happy-sinks.com/da/blogs/magisso/tagged/swedish-dish-cloths</t>
  </si>
  <si>
    <t xml:space="preserve">https://happy-sinks.com/de/blogs/magisso/tagged/essential-oils</t>
  </si>
  <si>
    <t xml:space="preserve">https://happy-sinks.com/de/blogs/magisso/tagged/stainless-steel-sink</t>
  </si>
  <si>
    <t xml:space="preserve">https://happy-sinks.com/fi/blogs/magisso/tagged/odor-removal</t>
  </si>
  <si>
    <t xml:space="preserve">https://happy-sinks.com/da/blogs/magisso/tagged/magnetic-dishcloth-holder</t>
  </si>
  <si>
    <t xml:space="preserve">https://happy-sinks.com/da/blogs/magisso/tagged/small-kitchen-drying-tips</t>
  </si>
  <si>
    <t xml:space="preserve">https://happy-sinks.com/da/blogs/magisso/tagged/fly-control</t>
  </si>
  <si>
    <t xml:space="preserve">https://happy-sinks.com/de/blogs/magisso/tagged/trust</t>
  </si>
  <si>
    <t xml:space="preserve">https://happy-sinks.com/es/blogs/magisso?page=2</t>
  </si>
  <si>
    <t xml:space="preserve">https://happy-sinks.com/de/blogs/magisso/tagged/kitchen-cleaning-tools</t>
  </si>
  <si>
    <t xml:space="preserve">https://happy-sinks.com/de/blogs/magisso/tagged/home-pest-control</t>
  </si>
  <si>
    <t xml:space="preserve">https://happy-sinks.com/da/blogs/magisso/tagged/papu-design</t>
  </si>
  <si>
    <t xml:space="preserve">https://happy-sinks.com/da/blogs/magisso/tagged/eco-friendly-kitchen-tools</t>
  </si>
  <si>
    <t xml:space="preserve">https://happy-sinks.com/de/products/kitchen-set-dish-cloth-holder-sponge-holder-fruit-fly-trap</t>
  </si>
  <si>
    <t xml:space="preserve">Holen Sie sich das Küchen-Set mit Biokomposit-Geschirrtuchhalter, Schwammhalter und KONNA Fruchtfliegenfalle, um Ihre Küche ordentlich, stilvoll und hygienisch zu halten. Ein komplettes Paket!</t>
  </si>
  <si>
    <t xml:space="preserve">https://happy-sinks.com/de/blogs/magisso/tagged/kitchen-organization-ideas</t>
  </si>
  <si>
    <t xml:space="preserve">https://happy-sinks.com/de/blogs/magisso/tagged/finnish-happiness</t>
  </si>
  <si>
    <t xml:space="preserve">https://happy-sinks.com/de/blogs/magisso/tagged/sponge-holder-benefits</t>
  </si>
  <si>
    <t xml:space="preserve">https://happy-sinks.com/de/blogs/magisso/tagged/prevent-sponge-smell</t>
  </si>
  <si>
    <t xml:space="preserve">https://happy-sinks.com/da/blogs/magisso/tagged/scandinavian-decor</t>
  </si>
  <si>
    <t xml:space="preserve">MioEco es un negocio y marca sostenible. Compra toallas de papel orgánicas y reutilizables, toallas de playa turcas, toallas de mano turcas, esponjas para lavar platos y de cocina.</t>
  </si>
  <si>
    <t xml:space="preserve">https://happy-sinks.com/de/blogs/magisso/tagged/biodegradable</t>
  </si>
  <si>
    <t xml:space="preserve">Velkommen til hurtige rengøringstips på 5 minutter (eller mindre) - del 2. I denne blog fortsætter vi med at tale om rengøringshacks, der tager mindre end 5 minutter.</t>
  </si>
  <si>
    <t xml:space="preserve">https://happy-sinks.com/de/blogs/magisso/how-to-wash-swedish-dishcloth</t>
  </si>
  <si>
    <t xml:space="preserve">Erfahren Sie, wie Sie das schwedische Spültuch waschen und keimfrei halten. Befolgen Sie einfache Waschtipps, um seine Lebensdauer zu verlängern und eine hygienische Küche zu erhalten.</t>
  </si>
  <si>
    <t xml:space="preserve">Descubre consejos rápidos de limpieza en 5 minutos para mantener tu hogar ordenado y fresco. Estrategias simples y efectivas que puedes aplicar en cualquier momento para un espacio impecable.</t>
  </si>
  <si>
    <t xml:space="preserve">https://happy-sinks.com/da/blogs/magisso/tagged/renter-friendly-kitchen</t>
  </si>
  <si>
    <t xml:space="preserve">https://happy-sinks.com/da/blogs/magisso/tagged/magnetic-sponge-holder</t>
  </si>
  <si>
    <t xml:space="preserve">https://happy-sinks.com/es/blogs/magisso/how-to-clean-a-stained-sink-in-your-home</t>
  </si>
  <si>
    <t xml:space="preserve">Aprende cómo limpiar un fregadero manchado en tu hogar de manera efectiva. Sigue consejos y métodos sencillos para devolverle el brillo y mantener tu fregadero higiénico y reluciente.</t>
  </si>
  <si>
    <t xml:space="preserve">https://happy-sinks.com/de/blogs/magisso/tagged/modernization</t>
  </si>
  <si>
    <t xml:space="preserve">https://happy-sinks.com/da/blogs/magisso/tagged/keep-dishcloths-fresh</t>
  </si>
  <si>
    <t xml:space="preserve">https://happy-sinks.com/es/products/swedish-dishcloths-forest-green-3pc</t>
  </si>
  <si>
    <t xml:space="preserve">Reemplace las toallas de papel, esponjas y paños de cocina tradicionales con nuestros paños de cocina suecos ecológicos de tres piezas en verde bosque. Una solución más sostenible.</t>
  </si>
  <si>
    <t xml:space="preserve">https://happy-sinks.com/da/blogs/magisso/tagged/konna-fruit-fly-trap</t>
  </si>
  <si>
    <t xml:space="preserve">https://happy-sinks.com/da/blogs/magisso/tagged/tidy-sink-solutions</t>
  </si>
  <si>
    <t xml:space="preserve">https://happy-sinks.com/de/blogs/magisso/tagged/wellness</t>
  </si>
  <si>
    <t xml:space="preserve">https://happy-sinks.com/da/blogs/magisso/tagged/appliance-maintenance</t>
  </si>
  <si>
    <t xml:space="preserve">https://happy-sinks.com/fi/blogs/magisso/tagged/sink-organizer</t>
  </si>
  <si>
    <t xml:space="preserve">https://happy-sinks.com/de/blogs/magisso/tagged/maintain-clean-sink</t>
  </si>
  <si>
    <t xml:space="preserve">https://happy-sinks.com/de/blogs/magisso/tagged/spring-cleaning</t>
  </si>
  <si>
    <t xml:space="preserve">https://happy-sinks.com/fi/blogs/magisso/tagged/bacteria-control</t>
  </si>
  <si>
    <t xml:space="preserve">https://happy-sinks.com/da/blogs/magisso/tagged/kitchen-hygiene</t>
  </si>
  <si>
    <t xml:space="preserve">https://happy-sinks.com/da/blogs/magisso/tagged/sink-compatibility</t>
  </si>
  <si>
    <t xml:space="preserve">https://happy-sinks.com/fi/blogs/magisso/tagged/cleaning-tablets</t>
  </si>
  <si>
    <t xml:space="preserve">https://happy-sinks.com/de/products/happy-sinks-konna-the-fly-catcher-lake-blue</t>
  </si>
  <si>
    <t xml:space="preserve">Beseitigen Sie Fruchtfliegen in Ihrer Küche mit Hilfe unserer KONNA-Fruchtfliegenfalle in wunderschönem Seeblau. Entwickelt, um Fruchtfliegen anzulocken und zu fangen.</t>
  </si>
  <si>
    <t xml:space="preserve">https://happy-sinks.com/de/blogs/magisso/tagged/magnetic-sink-accessories</t>
  </si>
  <si>
    <t xml:space="preserve">https://happy-sinks.com/de/blogs/magisso/tagged/germ-free-kitchen</t>
  </si>
  <si>
    <t xml:space="preserve">https://happy-sinks.com/fi/blogs/magisso/how-to-clean-a-stained-sink-in-your-home</t>
  </si>
  <si>
    <t xml:space="preserve">Opi, miten puhdistat tahraisen altaan kotonasi tehokkaasti. Seuraa yksinkertaisia vinkkejä ja menetelmiä palauttaaksesi kiillon ja pitääksesi altaan hygieenisenä ja tahrattomana.</t>
  </si>
  <si>
    <t xml:space="preserve">https://happy-sinks.com/da/blogs/magisso/tagged/hygienic-dishcloth</t>
  </si>
  <si>
    <t xml:space="preserve">https://happy-sinks.com/de/blogs/magisso/tagged/no-drill-kitchen-storage</t>
  </si>
  <si>
    <t xml:space="preserve">https://happy-sinks.com/da/blogs/magisso/tagged/disinfecting</t>
  </si>
  <si>
    <t xml:space="preserve">https://happy-sinks.com/de/blogs/magisso/tagged/household-cleaning-tools</t>
  </si>
  <si>
    <t xml:space="preserve">https://happy-sinks.com/fi/blogs/magisso/tagged/happiness-secrets</t>
  </si>
  <si>
    <t xml:space="preserve">https://happy-sinks.com/da/blogs/magisso/tagged/cutlery-caddy</t>
  </si>
  <si>
    <t xml:space="preserve">https://happy-sinks.com/de/blogs/magisso/tagged/formex-2023</t>
  </si>
  <si>
    <t xml:space="preserve">https://happy-sinks.com/de/blogs/magisso/tagged/cleaning-products</t>
  </si>
  <si>
    <t xml:space="preserve">https://happy-sinks.com/fi/blogs/magisso/tagged/biodegradable</t>
  </si>
  <si>
    <t xml:space="preserve">https://happy-sinks.com/fi/blogs/magisso/tagged/2020-blog</t>
  </si>
  <si>
    <t xml:space="preserve">Entdecken Sie, warum magnetische Spülbeckenzubehör so beliebt ist. Sparen Sie Platz, vermeiden Sie Bohren, halten Sie Schwämme trocken und verbessern Sie Ihre Küche mit intelligenten, hygienischen Organisatoren.</t>
  </si>
  <si>
    <t xml:space="preserve">https://happy-sinks.com/de/blogs/magisso/tagged/happy-sinks-products</t>
  </si>
  <si>
    <t xml:space="preserve">https://happy-sinks.com/da/blogs/magisso/tagged/sponge-drying-tips</t>
  </si>
  <si>
    <t xml:space="preserve">https://happy-sinks.com/da/blogs/magisso/tagged/bacteria-control</t>
  </si>
  <si>
    <t xml:space="preserve">https://happy-sinks.com/de/blogs/magisso/tagged/kitchen-cleaning-tips</t>
  </si>
  <si>
    <t xml:space="preserve">https://happy-sinks.com/da/blogs/magisso/tagged/sustainable-kitchen</t>
  </si>
  <si>
    <t xml:space="preserve">https://happy-sinks.com/da/blogs/magisso/tagged/eco-friendly-dishcloths</t>
  </si>
  <si>
    <t xml:space="preserve">https://happy-sinks.com/de/blogs/magisso/tagged/eco-friendly-products</t>
  </si>
  <si>
    <t xml:space="preserve">Devuelve el brillo a tus cubiertos de plata con métodos de limpieza caseros fáciles. Aprende cómo limpiar cubiertos de plata en casa utilizando técnicas sencillas, seguras y eficaces.</t>
  </si>
  <si>
    <t xml:space="preserve">https://happy-sinks.com/de/blogs/magisso/tagged/small-kitchen-hacks</t>
  </si>
  <si>
    <t xml:space="preserve">https://happy-sinks.com/fi/blogs/magisso/tagged/hygienic-dishcloth</t>
  </si>
  <si>
    <t xml:space="preserve">https://happy-sinks.com/fi/blogs/magisso/tagged/collaboration</t>
  </si>
  <si>
    <t xml:space="preserve">https://happy-sinks.com/de/blogs/magisso/tagged/sink-accessories</t>
  </si>
  <si>
    <t xml:space="preserve">https://happy-sinks.com/fi/blogs/magisso/tagged/joyful-moments</t>
  </si>
  <si>
    <t xml:space="preserve">https://happy-sinks.com/da/blogs/magisso/tagged/cleaning-products</t>
  </si>
  <si>
    <t xml:space="preserve">https://happy-sinks.com/de/products/swedish-dishcloths-black-3pc</t>
  </si>
  <si>
    <t xml:space="preserve">Ersetzen Sie Papiertücher, Schwämme und herkömmliche Spültücher durch unsere 3-teiligen umweltfreundlichen schwedischen Spültücher in Schwarz. Hergestellt aus umweltfreundlichem, nachhaltigem Material.</t>
  </si>
  <si>
    <t xml:space="preserve">https://happy-sinks.com/de/blogs/magisso/5-cleaning-habits-that-change-the-cleaning-game</t>
  </si>
  <si>
    <t xml:space="preserve">Entdecken Sie 5 Reinigungsgewohnheiten, die das Putzen revolutionieren. Lernen Sie einfache Routinen und clevere Tipps kennen, um Ihr Zuhause makellos, organisiert und leichter instand zu halten.</t>
  </si>
  <si>
    <t xml:space="preserve">https://happy-sinks.com/de/blogs/magisso/tagged/kitchen-innovation</t>
  </si>
  <si>
    <t xml:space="preserve">https://happy-sinks.com/de/blogs/magisso/tagged/space-saving-kitchen-ideas</t>
  </si>
  <si>
    <t xml:space="preserve">https://happy-sinks.com/de/blogs/magisso/beat-the-january-blues-with-happy-sinks</t>
  </si>
  <si>
    <t xml:space="preserve">Vertreiben Sie den Januarblues mit HAPPY SiNKS und ätherischen Ölen, um Ihr Wohlbefinden zu steigern. Erfrischen Sie Ihr Zuhause, heben Sie Ihre Stimmung und genießen Sie eine glücklichere Küchenatmosphäre.</t>
  </si>
  <si>
    <t xml:space="preserve">https://happy-sinks.com/de/blogs/magisso/tagged/cutting-knives</t>
  </si>
  <si>
    <t xml:space="preserve">https://happy-sinks.com/de/blogs/magisso/tagged/small-apartment-kitchen</t>
  </si>
  <si>
    <t xml:space="preserve">https://happy-sinks.com/da/blogs/magisso/tagged/kitchen-tips</t>
  </si>
  <si>
    <t xml:space="preserve">Aprende cómo limpiar una esponja de manera eficaz. Sigue consejos sencillos para eliminar gérmenes, mantener tu cocina higiénica y prolongar la vida útil de tu esponja.</t>
  </si>
  <si>
    <t xml:space="preserve">https://happy-sinks.com/da/blogs/magisso/tagged/kitchen-hygiene-tips</t>
  </si>
  <si>
    <t xml:space="preserve">https://happy-sinks.com/es/blogs/magisso/cleaning-increases-well-being-in-homes</t>
  </si>
  <si>
    <t xml:space="preserve">descubre cómo la limpieza aumenta el bienestar en los hogares con los productos de HAPPY SiNKS. Herramientas fáciles de usar hacen que la limpieza sea eficiente, higiénica y agradable.</t>
  </si>
  <si>
    <t xml:space="preserve">https://happy-sinks.com/fi/blogs/magisso/tagged/essential-oils</t>
  </si>
  <si>
    <t xml:space="preserve">https://happy-sinks.com/da/blogs/magisso/tagged/space-saving-tools</t>
  </si>
  <si>
    <t xml:space="preserve">Entdecken Sie schnelle Reinigungstipps in 5 Minuten, um Ihr Zuhause ordentlich und frisch zu halten. Einfache, effektive Strategien, die Sie jederzeit anwenden können, für ein makelloses Zuhause.</t>
  </si>
  <si>
    <t xml:space="preserve">https://happy-sinks.com/da/blogs/magisso/tagged/fruit-fly-trap</t>
  </si>
  <si>
    <t xml:space="preserve">Auf der Suche nach der perfekten Geschenkidee? Warum nicht eine HAPPY SiNKS E-Geschenkkarte verschenken, mit der Möglichkeit, einen funktionalen Gegenstand zu finden, der ihnen hilft, die Traumküche zu organisieren.</t>
  </si>
  <si>
    <t xml:space="preserve">https://happy-sinks.com/fi/blogs/magisso/cleaning-increases-well-being-in-homes</t>
  </si>
  <si>
    <t xml:space="preserve">opi, miten siivous lisää hyvinvointia kodeissa HAPPY SiNKS -tuotteiden avulla. Helppokäyttöiset välineet tekevät siivouksesta tehokasta, hygieenistä ja miellyttävää.</t>
  </si>
  <si>
    <t xml:space="preserve">https://happy-sinks.com/fi/blogs/magisso/tagged/sustainability</t>
  </si>
  <si>
    <t xml:space="preserve">https://happy-sinks.com/de/blogs/magisso/tagged/sanitization-techniques</t>
  </si>
  <si>
    <t xml:space="preserve">Trucos inteligentes para secar en cocinas pequeñas, herramientas y trucos de bricolaje para ahorrar espacio en la encimera y mantener tu cocina pequeña limpia, organizada y sin desorden.</t>
  </si>
  <si>
    <t xml:space="preserve">https://happy-sinks.com/fi/blogs/magisso/tagged/green-cleaning</t>
  </si>
  <si>
    <t xml:space="preserve">https://happy-sinks.com/fi/blogs/magisso/tagged/kitchen-hygiene</t>
  </si>
  <si>
    <t xml:space="preserve">https://happy-sinks.com/de/blogs/magisso/tagged/stainless-steel-kitchen</t>
  </si>
  <si>
    <t xml:space="preserve">https://happy-sinks.com/de/blogs/magisso/tagged/easy-kitchen-upgrade</t>
  </si>
  <si>
    <t xml:space="preserve">https://happy-sinks.com/da/blogs/magisso/tagged/cleaning-habits</t>
  </si>
  <si>
    <t xml:space="preserve">https://happy-sinks.com/sv/blogs/magisso/six-good-reasons-to-use-a-happy-sinks-cloth-holder</t>
  </si>
  <si>
    <t xml:space="preserve">Lär dig sex goda skäl att använda en HAPPY SiNKS Cloth Holder. Håll dina disktrasor organiserade, hygieniska och lättillgängliga samtidigt som du förhöjer ditt kök.</t>
  </si>
  <si>
    <t xml:space="preserve">https://happy-sinks.com/fi/blogs/magisso/tagged/kitchen-innovation</t>
  </si>
  <si>
    <t xml:space="preserve">https://happy-sinks.com/da/blogs/magisso/tagged/household-cleaning</t>
  </si>
  <si>
    <t xml:space="preserve">Descubre las últimas innovaciones de Happy Sinks en Ambiente 2024, donde presentamos accesorios de cocina funcionales y elegantes. Visítanos en el Hall 9.0, Stand B-30.</t>
  </si>
  <si>
    <t xml:space="preserve">https://happy-sinks.com/da/blogs/magisso/tagged/kitchen-space-savers</t>
  </si>
  <si>
    <t xml:space="preserve">https://happy-sinks.com/fi/blogs/magisso/tagged/foldable-dish-rack</t>
  </si>
  <si>
    <t xml:space="preserve">https://happy-sinks.com/da/blogs/magisso/tagged/oven-cleaning</t>
  </si>
  <si>
    <t xml:space="preserve">https://happy-sinks.com/da/blogs/magisso/tagged/nordic-home-style</t>
  </si>
  <si>
    <t xml:space="preserve">https://happy-sinks.com/da/blogs/magisso/tagged/magnetic-cloth-holders</t>
  </si>
  <si>
    <t xml:space="preserve">https://happy-sinks.com/da/blogs/magisso/tagged/easy-kitchen-upgrade</t>
  </si>
  <si>
    <t xml:space="preserve">https://happy-sinks.com/de/blogs/magisso/tagged/finland</t>
  </si>
  <si>
    <t xml:space="preserve">https://happy-sinks.com/da/blogs/magisso/tagged/celebration</t>
  </si>
  <si>
    <t xml:space="preserve">https://happy-sinks.com/es/products/happy-sinks-konna-the-fly-catcher-lake-blue</t>
  </si>
  <si>
    <t xml:space="preserve">Deshazte de las moscas de la fruta en tu cocina con la ayuda de nuestra trampa para moscas de la fruta KONNA en un hermoso color azul lago. Diseñado para atraer y atrapar moscas de la fruta.</t>
  </si>
  <si>
    <t xml:space="preserve">Lernen Sie schnelle Tipps und Tricks, wie Sie einen Ofen zu Hause reinigen können. Halten Sie Ihren Ofen mit einfachen, leicht verständlichen Methoden makellos, sicher und effizient.</t>
  </si>
  <si>
    <t xml:space="preserve">https://happy-sinks.com/de/blogs/magisso/six-good-reasons-to-use-a-happy-sinks-cloth-holder</t>
  </si>
  <si>
    <t xml:space="preserve">Entdecken Sie sechs gute Gründe, einen HAPPY SiNKS Tuchhalter zu verwenden. Halten Sie Ihre Spültücher organisiert, hygienisch und leicht zugänglich, während Sie Ihre Küche aufwerten.</t>
  </si>
  <si>
    <t xml:space="preserve">https://happy-sinks.com/fi/blogs/magisso/tagged/textile-standards</t>
  </si>
  <si>
    <t xml:space="preserve">https://happy-sinks.com/de/blogs/magisso/tagged/dish-drying-solutions</t>
  </si>
  <si>
    <t xml:space="preserve">https://happy-sinks.com/fi/products/happy-sinks-gift-card-25</t>
  </si>
  <si>
    <t xml:space="preserve">https://happy-sinks.com/de/blogs/magisso/tagged/germ-prevention</t>
  </si>
  <si>
    <t xml:space="preserve">https://happy-sinks.com/de/blogs/magisso/tagged/how-to</t>
  </si>
  <si>
    <t xml:space="preserve">https://happy-sinks.com/de/blogs/magisso/tagged/minimalist-kitchen-accessories</t>
  </si>
  <si>
    <t xml:space="preserve">Entdecken Sie 6 überzeugende Gründe, einen Weinglashalter zu Ihrer Küche hinzuzufügen. Maximieren Sie den Platz, schützen Sie das Glasgeschirr und verbessern Sie die Ästhetik mit dieser unverzichtbaren Ergänzung.</t>
  </si>
  <si>
    <t xml:space="preserve">https://happy-sinks.com/de/blogs/magisso/keeping-dishcloths-dry-hygienically-simple-tips-for-a-cleaner-kitchen</t>
  </si>
  <si>
    <t xml:space="preserve">Geschirrtücher hygienisch trocken zu halten, ist der Schlüssel zu einer saubereren Küche. Entdecken Sie einfache Tipps, um Bakterien zu vermeiden und Frische zu bewahren.</t>
  </si>
  <si>
    <t xml:space="preserve">https://happy-sinks.com/de/blogs/magisso/tagged/simple-kitchen-upgrades</t>
  </si>
  <si>
    <t xml:space="preserve">https://happy-sinks.com/de/blogs/magisso/tagged/silverware-maintenance</t>
  </si>
  <si>
    <t xml:space="preserve">Entdecken Sie unverzichtbare Lösungen für kleine Küchen mit vielseitigen Werkzeugen und cleveren Organisationsideen. Maximieren Sie Platz und Effizienz in Ihrer kleinen Küche noch heute.</t>
  </si>
  <si>
    <t xml:space="preserve">https://happy-sinks.com/de/blogs/magisso/tagged/fast-cleaning-methods</t>
  </si>
  <si>
    <t xml:space="preserve">https://happy-sinks.com/de/blogs/magisso/tagged/housekeeping</t>
  </si>
  <si>
    <t xml:space="preserve">Los paños de cocina suecos ecológicos son reutilizables, ultra absorbentes y 100% biodegradables. Mantén tu cocina impecable con una limpieza sostenible y divertida.</t>
  </si>
  <si>
    <t xml:space="preserve">https://happy-sinks.com/de/blogs/magisso/tagged/sink-storage-solutions</t>
  </si>
  <si>
    <t xml:space="preserve">https://happy-sinks.com/de/blogs/magisso/tagged/home-hygiene</t>
  </si>
  <si>
    <t xml:space="preserve">https://happy-sinks.com/de/blogs/magisso/tagged/hygiene</t>
  </si>
  <si>
    <t xml:space="preserve">https://happy-sinks.com/da/blogs/magisso/tagged/kitchen-storage</t>
  </si>
  <si>
    <t xml:space="preserve">https://happy-sinks.com/da/blogs/magisso/tagged/household-cleaning-tools</t>
  </si>
  <si>
    <t xml:space="preserve">https://happy-sinks.com/da/blogs/magisso/tagged/magnetic-sink-accessories</t>
  </si>
  <si>
    <t xml:space="preserve">https://happy-sinks.com/de/blogs/magisso/tagged/green-cleaning</t>
  </si>
  <si>
    <t xml:space="preserve">https://happy-sinks.com/da/blogs/magisso/tagged/eco-friendly-products</t>
  </si>
  <si>
    <t xml:space="preserve">https://happy-sinks.com/fi/blogs/magisso/tagged/fly-control</t>
  </si>
  <si>
    <t xml:space="preserve">https://happy-sinks.com/da/blogs/magisso/tagged/kitchen-cleaning-tips</t>
  </si>
  <si>
    <t xml:space="preserve">https://happy-sinks.com/de/blogs/magisso/tagged/swedish-dish-cloths</t>
  </si>
  <si>
    <t xml:space="preserve">https://happy-sinks.com/de/blogs/magisso/tagged/dry-dishcloth</t>
  </si>
  <si>
    <t xml:space="preserve">https://happy-sinks.com/es/blogs/magisso/the-secret-of-finnish-happiness</t>
  </si>
  <si>
    <t xml:space="preserve">Descubre los secretos de la felicidad finlandesa y cómo la igualdad, la confianza y un estilo de vida equilibrado contribuyen al bienestar y la alegría cada día.</t>
  </si>
  <si>
    <t xml:space="preserve">https://happy-sinks.com/da/blogs/magisso/tagged/sink-cleaning-tips</t>
  </si>
  <si>
    <t xml:space="preserve">https://happy-sinks.com/fi/blogs/magisso/tagged/home-organization</t>
  </si>
  <si>
    <t xml:space="preserve">https://happy-sinks.com/da/blogs/magisso/tagged/dish-drying-solutions</t>
  </si>
  <si>
    <t xml:space="preserve">https://happy-sinks.com/de/blogs/magisso/tagged/interior-design-fair</t>
  </si>
  <si>
    <t xml:space="preserve">https://happy-sinks.com/de/blogs/magisso/tagged/oven-cleaning</t>
  </si>
  <si>
    <t xml:space="preserve">Mantén tu cocina libre de plagas con consejos para el control de moscas de la fruta. Descubre soluciones simples y efectivas para prevenir infestaciones y mantener una cocina limpia.</t>
  </si>
  <si>
    <t xml:space="preserve">HAPPY SiNKS vs Konkurrenter: Jämför med Moen, Kohler, Delta, Kraus och American Standard för att se varför HAPPY SiNKS vinner när det gäller design, hållbarhet och värde.
 Compare HAPPY SINKS with Carysil, Blanco, Franke, Lapetek, and Elkay. Discover why HAPPY SINKS offers the best ergonomic design, durability, and value for your kitchen.</t>
  </si>
  <si>
    <t xml:space="preserve">170
168</t>
  </si>
  <si>
    <t xml:space="preserve">https://happy-sinks.com/fi/blogs/magisso/tagged/formex-2023</t>
  </si>
  <si>
    <t xml:space="preserve">https://happy-sinks.com/de/blogs/magisso/tagged/home-cleaning-tips</t>
  </si>
  <si>
    <t xml:space="preserve">https://happy-sinks.com/da/blogs/magisso/tagged/spring-cleaning</t>
  </si>
  <si>
    <t xml:space="preserve">https://happy-sinks.com/fi/blogs/magisso/tagged/home-pest-control</t>
  </si>
  <si>
    <t xml:space="preserve">https://happy-sinks.com/es/blogs/magisso?page=3</t>
  </si>
  <si>
    <t xml:space="preserve">https://happy-sinks.com/da/blogs/magisso/tagged/modernization</t>
  </si>
  <si>
    <t xml:space="preserve">https://happy-sinks.com/da/blogs/magisso/tagged/wellbeing</t>
  </si>
  <si>
    <t xml:space="preserve">https://happy-sinks.com/fi/blogs/magisso/tagged/society</t>
  </si>
  <si>
    <t xml:space="preserve">https://happy-sinks.com/de/blogs/magisso/cutlery-caddy-vs-drawer-organizer-which-is-best</t>
  </si>
  <si>
    <t xml:space="preserve">Vergleichen Sie den Cutlery Caddy und Schubladen-Organizer, um die beste Option für Ihre Küche zu finden. Entdecken Sie, welcher Organizer besseren Stauraum, Stil und Funktion bietet.</t>
  </si>
  <si>
    <t xml:space="preserve">https://happy-sinks.com/da/blogs/magisso/tagged/dishcloth-maintenance</t>
  </si>
  <si>
    <t xml:space="preserve">Obtén respuestas a 15 preguntas comunes sobre los paños de cocina y descubre los mejores lugares para guardarlos para mantener la higiene, la comodidad y un fácil acceso.</t>
  </si>
  <si>
    <t xml:space="preserve">https://happy-sinks.com/es/blogs/magisso/how-to-wash-swedish-dishcloth</t>
  </si>
  <si>
    <t xml:space="preserve">Aprende cómo lavar la Swedish Dishcloth y mantenerla libre de gérmenes. Sigue sencillos consejos de lavado para prolongar su vida útil y mantener una cocina higiénica.</t>
  </si>
  <si>
    <t xml:space="preserve">https://happy-sinks.com/da/blogs/magisso/tagged/quick-dry-cloths</t>
  </si>
  <si>
    <t xml:space="preserve">https://happy-sinks.com/fi/blogs/magisso/tagged/housekeeping</t>
  </si>
  <si>
    <t xml:space="preserve">https://happy-sinks.com/fi/blogs/magisso/tagged/january-blues</t>
  </si>
  <si>
    <t xml:space="preserve">https://happy-sinks.com/fi/blogs/magisso/beat-the-january-blues-with-happy-sinks</t>
  </si>
  <si>
    <t xml:space="preserve">Voita tammikuun alakulo HAPPY SiNKSin avulla käyttämällä eteerisiä öljyjä hyvinvoinnin lisäämiseksi. Raikasta kotisi, kohota mielialaasi ja nauti iloisemmasta keittiötilasta.</t>
  </si>
  <si>
    <t xml:space="preserve">https://happy-sinks.com/fi/blogs/magisso/tagged/cleaning-tips</t>
  </si>
  <si>
    <t xml:space="preserve">https://happy-sinks.com/da/blogs/magisso/tagged/germ-prevention</t>
  </si>
  <si>
    <t xml:space="preserve">Löydä 9 välttämätöntä keittiötarviketta, jotka sinun täytyy omistaa. Varusta keittiösi työkaluilla, jotka tekevät ruoanlaitosta helpompaa, tehokkaampaa ja nautinnollisempaa.</t>
  </si>
  <si>
    <t xml:space="preserve">Sehen Sie HAPPY SiNKS in 60 Sekunden! Genießen Sie einen kurzen visuellen Rückblick auf unsere Reise, Meilensteine und fröhlichen Momente des vergangenen Jahres.</t>
  </si>
  <si>
    <t xml:space="preserve">https://happy-sinks.com/de/blogs/magisso/tagged/kitchen-hygiene-tips</t>
  </si>
  <si>
    <t xml:space="preserve">https://happy-sinks.com/fi/blogs/magisso/tagged/modernization</t>
  </si>
  <si>
    <t xml:space="preserve">https://happy-sinks.com/da/blogs/magisso/tagged/clean-a-stained-sink</t>
  </si>
  <si>
    <t xml:space="preserve">https://happy-sinks.com/da/blogs/magisso/tagged/magnetic-sink-organizer</t>
  </si>
  <si>
    <t xml:space="preserve">https://happy-sinks.com/es/blogs/magisso/happy-together-new-collaboration-with-skosh</t>
  </si>
  <si>
    <t xml:space="preserve">Descubre la emocionante colaboración de HAPPY SiNKS x Skosh, donde el diseño finlandés se une a la innovación sueca para ofrecer soluciones de cocina más inteligentes y sostenibles.</t>
  </si>
  <si>
    <t xml:space="preserve">https://happy-sinks.com/da/blogs/magisso/tagged/home-cleaning</t>
  </si>
  <si>
    <t xml:space="preserve">https://happy-sinks.com/da/blogs/magisso/tagged/drying-sponge-faster</t>
  </si>
  <si>
    <t xml:space="preserve">https://happy-sinks.com/fi/blogs/magisso/tagged/home-cleaning-tips</t>
  </si>
  <si>
    <t xml:space="preserve">https://happy-sinks.com/fi/blogs/magisso/tagged/wellbeing</t>
  </si>
  <si>
    <t xml:space="preserve">https://happy-sinks.com/da/blogs/magisso/tagged/space-saving-kitchen-ideas</t>
  </si>
  <si>
    <t xml:space="preserve">https://happy-sinks.com/de/blogs/magisso/tagged/celebration</t>
  </si>
  <si>
    <t xml:space="preserve">Tutustu Happy Sinksin uusimpiin innovaatioihin Ambiente 2024 -messuilla, joissa esitellään toiminnallisia ja tyylikkäitä keittiön perustuotteita. Vieraile osastollamme Hall 9.0, Stand B-30.</t>
  </si>
  <si>
    <t xml:space="preserve">https://happy-sinks.com/da/blogs/magisso/tagged/calm-kitchen-style</t>
  </si>
  <si>
    <t xml:space="preserve">https://happy-sinks.com/de/blogs/magisso/tagged/organic-cotton</t>
  </si>
  <si>
    <t xml:space="preserve">https://happy-sinks.com/de/blogs/magisso/tagged/clean-a-stained-sink</t>
  </si>
  <si>
    <t xml:space="preserve">https://happy-sinks.com/da/blogs/magisso/tagged/housekeeping</t>
  </si>
  <si>
    <t xml:space="preserve">https://happy-sinks.com/de/blogs/magisso/tagged/kitchen-storage-ideas</t>
  </si>
  <si>
    <t xml:space="preserve">https://happy-sinks.com/es/blogs/magisso/disinfect-the-kitchen-with-just-one-ingredient</t>
  </si>
  <si>
    <t xml:space="preserve">Aprende cómo desinfectar la cocina con solo un ingrediente: el peróxido de hidrógeno. Esta solución no tóxica elimina eficazmente los gérmenes y es segura para diversas superficies.</t>
  </si>
  <si>
    <t xml:space="preserve">Lernen Sie, wie Sie die KONNA Fruchtfliegenfalle effektiv verwenden. Befolgen Sie einfache Schritte, um Fruchtfliegen zu fangen und Ihre Küche sauber und schädlingsfrei zu halten.</t>
  </si>
  <si>
    <t xml:space="preserve">https://happy-sinks.com/da/blogs/magisso/tagged/light-color-kitchen-design</t>
  </si>
  <si>
    <t xml:space="preserve">https://happy-sinks.com/da/products/happy-sinks-gift-card-25</t>
  </si>
  <si>
    <t xml:space="preserve">https://happy-sinks.com/da/blogs/magisso/tagged/fruit-fly-control</t>
  </si>
  <si>
    <t xml:space="preserve">https://happy-sinks.com/da/blogs/magisso/tagged/prevent-dishcloth-smell</t>
  </si>
  <si>
    <t xml:space="preserve">Protege y embellece tu fregadero de cocina con la alfombrilla premium para fregadero de cocina de HAPPY SiNKS. Di adiós a los arañazos y hola al estilo. ¡Haz tu pedido ahora!</t>
  </si>
  <si>
    <t xml:space="preserve">https://happy-sinks.com/da/blogs/magisso/tagged/happy-sinks</t>
  </si>
  <si>
    <t xml:space="preserve">https://happy-sinks.com/de/blogs/magisso/tagged/magnetic-dishcloth-holder</t>
  </si>
  <si>
    <t xml:space="preserve">HAPPY SiNKS vs Wettbewerber: Vergleichen Sie mit Moen, Kohler, Delta, Kraus und American Standard, um zu sehen, warum HAPPY SiNKS in Design, Langlebigkeit und Wert überzeugt.
 Compare HAPPY SINKS with Carysil, Blanco, Franke, Lapetek, and Elkay. Discover why HAPPY SINKS offers the best ergonomic design, durability, and value for your kitchen.</t>
  </si>
  <si>
    <t xml:space="preserve">174
168</t>
  </si>
  <si>
    <t xml:space="preserve">https://happy-sinks.com/sv/products/happy-sinks-gift-card-50</t>
  </si>
  <si>
    <t xml:space="preserve">https://happy-sinks.com/de/blogs/magisso/tagged/kitchen-sink-organizer</t>
  </si>
  <si>
    <t xml:space="preserve">https://happy-sinks.com/da/blogs/magisso/tagged/over-the-sink-rack</t>
  </si>
  <si>
    <t xml:space="preserve">https://happy-sinks.com/de/blogs/magisso/tagged/sustainable-kitchen</t>
  </si>
  <si>
    <t xml:space="preserve">Lär dig hur du effektivt rengör illaluktande disktrasor. Följ enkla tips och metoder för att ta bort lukt, bakterier och fläckar, och håll ditt kök fräscht och hygieniskt.</t>
  </si>
  <si>
    <t xml:space="preserve">Opdag de bedste tendenser inden for køkkenorganisation og bæredygtighed for 2026. Skandinaviske designtips, miljøvenlige alternativer og smarte tilbehør fra Happy Sinks.</t>
  </si>
  <si>
    <t xml:space="preserve">Hold dit køkken frisk denne sæson med 5 forårsrengøringstips ved brug af HAPPY SiNKS. Lær praktiske måder at gøre rent effektivt og holde dit rum skinnende rent.</t>
  </si>
  <si>
    <t xml:space="preserve">https://happy-sinks.com/da/blogs/magisso/tagged/biodegradable-sponges</t>
  </si>
  <si>
    <t xml:space="preserve">https://happy-sinks.com/fi/blogs/magisso/tagged/fruit-fly-trap</t>
  </si>
  <si>
    <t xml:space="preserve">https://happy-sinks.com/de/blogs/magisso/tagged/home-decor</t>
  </si>
  <si>
    <t xml:space="preserve">https://happy-sinks.com/fi/blogs/magisso?page=2</t>
  </si>
  <si>
    <t xml:space="preserve">https://happy-sinks.com/fi/blogs/magisso/tagged/dishcloth-care</t>
  </si>
  <si>
    <t xml:space="preserve">https://happy-sinks.com/da/blogs/magisso/tagged/sanitization-techniques</t>
  </si>
  <si>
    <t xml:space="preserve">https://happy-sinks.com/de/blogs/magisso/tagged/suction-sponge-holder</t>
  </si>
  <si>
    <t xml:space="preserve">Upptäck snabba rengöringstips på 5 minuter för att hålla ditt hem prydligt och fräscht. Enkla, effektiva strategier som du kan ta itu med när som helst för ett fläckfritt utrymme.</t>
  </si>
  <si>
    <t xml:space="preserve">https://happy-sinks.com/fi/blogs/magisso/tagged/papu-design</t>
  </si>
  <si>
    <t xml:space="preserve">https://happy-sinks.com/de/blogs/magisso/tagged/wooden-soap-dispenser</t>
  </si>
  <si>
    <t xml:space="preserve">https://happy-sinks.com/fi/blogs/magisso/tagged/nordic-home-style</t>
  </si>
  <si>
    <t xml:space="preserve">https://happy-sinks.com/da/blogs/magisso/how-to-wash-swedish-dishcloth</t>
  </si>
  <si>
    <t xml:space="preserve">Lær hvordan du vasker en svensk opvaskeklud og holder den fri for bakterier. Følg enkle vaskeanvisninger for at forlænge dens levetid og opretholde et hygiejnisk køkken.</t>
  </si>
  <si>
    <t xml:space="preserve">https://happy-sinks.com/da/blogs/magisso/tagged/kitchen-care</t>
  </si>
  <si>
    <t xml:space="preserve">https://happy-sinks.com/da/blogs/magisso/tagged/kitchen-sponge-care</t>
  </si>
  <si>
    <t xml:space="preserve">https://happy-sinks.com/da/blogs/magisso/tagged/happy-sinks-x-skosh</t>
  </si>
  <si>
    <t xml:space="preserve">https://happy-sinks.com/de/blogs/magisso/tagged/time-saving-cleaning</t>
  </si>
  <si>
    <t xml:space="preserve">https://happy-sinks.com/fi/blogs/magisso/best-kitchen-organisation-sustainability-trends-2026</t>
  </si>
  <si>
    <t xml:space="preserve">Tutustu vuoden 2026 parhaisiin keittiön organisointi- ja kestävyys trendeihin. Skandinaavisia design-vinkkejä, ympäristöystävällisiä vaihtoja ja älykkäitä lisävarusteita Happy Sinksiltä.</t>
  </si>
  <si>
    <t xml:space="preserve">Opdag hurtige rengøringstips på 5 minutter for at holde dit hjem ryddeligt og friskt. Enkle, effektive strategier du kan bruge når som helst for et pletfrit hjem.</t>
  </si>
  <si>
    <t xml:space="preserve">HAPPY SiNKS vs kilpailijat: Vertaa Moen, Kohler, Delta, Kraus ja American Standard -merkkien kanssa nähdäksesi, miksi HAPPY SiNKS voittaa designissa, kestävyydessä ja arvossa.
 Compare HAPPY SINKS with Carysil, Blanco, Franke, Lapetek, and Elkay. Discover why HAPPY SINKS offers the best ergonomic design, durability, and value for your kitchen.</t>
  </si>
  <si>
    <t xml:space="preserve">175
168</t>
  </si>
  <si>
    <t xml:space="preserve">https://happy-sinks.com/de/blogs/magisso/tagged/stainless-steel-sink-accessories</t>
  </si>
  <si>
    <t xml:space="preserve">https://happy-sinks.com/de/blogs/magisso/tagged/reusable-spray-bottles</t>
  </si>
  <si>
    <t xml:space="preserve">https://happy-sinks.com/da/blogs/magisso/tagged/scandinavian-design</t>
  </si>
  <si>
    <t xml:space="preserve">https://happy-sinks.com/de/blogs/magisso/tagged/eco-friendly</t>
  </si>
  <si>
    <t xml:space="preserve">https://happy-sinks.com/da/blogs/magisso/tagged/sustainability</t>
  </si>
  <si>
    <t xml:space="preserve">https://happy-sinks.com/da/blogs/magisso/tagged/sponge-holder-benefits</t>
  </si>
  <si>
    <t xml:space="preserve">https://happy-sinks.com/de/blogs/magisso/the-secret-of-finnish-happiness</t>
  </si>
  <si>
    <t xml:space="preserve">Entdecken Sie die Geheimnisse des finnischen Glücks und wie Gleichberechtigung, Vertrauen und ein ausgewogener Lebensstil zum Wohlbefinden und zur Freude im Alltag beitragen.</t>
  </si>
  <si>
    <t xml:space="preserve">https://happy-sinks.com/fi/blogs/magisso/tagged/fly-traps</t>
  </si>
  <si>
    <t xml:space="preserve">https://happy-sinks.com/de/blogs/magisso/tagged/eco-friendly-kitchen-tools</t>
  </si>
  <si>
    <t xml:space="preserve">https://happy-sinks.com/de/blogs/magisso/tagged/kitchen-cleanliness</t>
  </si>
  <si>
    <t xml:space="preserve">https://happy-sinks.com/fi/blogs/magisso/tagged/swedish-dishcloth</t>
  </si>
  <si>
    <t xml:space="preserve">https://happy-sinks.com/de/blogs/magisso/tagged/nature-and-happiness</t>
  </si>
  <si>
    <t xml:space="preserve">https://happy-sinks.com/fi/blogs/magisso/tagged/kitchen-pests</t>
  </si>
  <si>
    <t xml:space="preserve">Las esponjas de cocina reutilizables Unsponge son ecológicas, duraderas y están hechas de algodón 100% orgánico. ¡Reduce los residuos mientras mantienes tu hogar limpio!</t>
  </si>
  <si>
    <t xml:space="preserve">https://happy-sinks.com/fi/blogs/magisso/tagged/germ-killing</t>
  </si>
  <si>
    <t xml:space="preserve">https://happy-sinks.com/da/blogs/magisso/tagged/kitchen-innovation</t>
  </si>
  <si>
    <t xml:space="preserve">Entdecken Sie die neuesten Innovationen von Happy Sinks auf der Ambiente 2024, wo funktionale und stilvolle Küchenutensilien präsentiert werden. Besuchen Sie uns in Halle 9.0, Stand B-30.</t>
  </si>
  <si>
    <t xml:space="preserve">https://happy-sinks.com/de/blogs/magisso/tagged/sink-organization-ideas</t>
  </si>
  <si>
    <t xml:space="preserve">https://happy-sinks.com/da/products/swedish-dishcloths-go-ahead-spill-the-tea-3pc</t>
  </si>
  <si>
    <t xml:space="preserve">Miljøvenlige svenske opvaskeklude er genanvendelige, ultra-absorberende og 100% biologisk nedbrydelige. Hold dit køkken pletfrit med bæredygtig og sjov rengøring.</t>
  </si>
  <si>
    <t xml:space="preserve">https://happy-sinks.com/de/blogs/magisso/tagged/small-kitchen-drying-tips</t>
  </si>
  <si>
    <t xml:space="preserve">https://happy-sinks.com/da/products/beeswax-food-wraps</t>
  </si>
  <si>
    <t xml:space="preserve">Brug Mioecos bivoks madindpakninger til at forsegle din mad eller skåle ved at bruge varmen fra din hånd. Eliminér engangsplast og hold din mad frisk med Mioeco.</t>
  </si>
  <si>
    <t xml:space="preserve">https://happy-sinks.com/de/blogs/magisso/tagged/happy-sinks</t>
  </si>
  <si>
    <t xml:space="preserve">https://happy-sinks.com/de/blogs/magisso/tagged/space-saving-kitchen-tools</t>
  </si>
  <si>
    <t xml:space="preserve">https://happy-sinks.com/da/blogs/magisso/tagged/no-drill-kitchen-storage</t>
  </si>
  <si>
    <t xml:space="preserve">Mantén tu cocina organizada con un soporte magnético para paños de cocina que no requiere taladro. Fácil de instalar, sin desorden y perfecto para fregaderos modernos.</t>
  </si>
  <si>
    <t xml:space="preserve">https://happy-sinks.com/de/blogs/magisso/tagged/magisso</t>
  </si>
  <si>
    <t xml:space="preserve">https://happy-sinks.com/da/blogs/magisso/tagged/kitchen-accessories</t>
  </si>
  <si>
    <t xml:space="preserve">https://happy-sinks.com/de/blogs/magisso/tagged/biodegradable-sponges</t>
  </si>
  <si>
    <t xml:space="preserve">https://happy-sinks.com/de/blogs/magisso/tagged/papu-design</t>
  </si>
  <si>
    <t xml:space="preserve">https://happy-sinks.com/da/products/happy-sinks-gift-card-50</t>
  </si>
  <si>
    <t xml:space="preserve">https://happy-sinks.com/de/blogs/magisso/tagged/disinfecting</t>
  </si>
  <si>
    <t xml:space="preserve">https://happy-sinks.com/de/blogs/magisso/tagged/small-kitchen-solutions</t>
  </si>
  <si>
    <t xml:space="preserve">https://happy-sinks.com/da/blogs/magisso/tagged/equality</t>
  </si>
  <si>
    <t xml:space="preserve">https://happy-sinks.com/da/blogs/magisso/tagged/roll-up-sink-rack</t>
  </si>
  <si>
    <t xml:space="preserve">https://happy-sinks.com/de/blogs/magisso/tagged/sustainability</t>
  </si>
  <si>
    <t xml:space="preserve">https://happy-sinks.com/fi/blogs/magisso/tagged/natural-repellents</t>
  </si>
  <si>
    <t xml:space="preserve">https://happy-sinks.com/de/blogs/magisso/tagged/germ-killing</t>
  </si>
  <si>
    <t xml:space="preserve">https://happy-sinks.com/da/blogs/magisso/tagged/cleaning-tablets</t>
  </si>
  <si>
    <t xml:space="preserve">https://happy-sinks.com/fi/blogs/magisso/tagged/home-decor</t>
  </si>
  <si>
    <t xml:space="preserve">https://happy-sinks.com/de/blogs/magisso/tagged/magnetic-vs-suction-comparison</t>
  </si>
  <si>
    <t xml:space="preserve">https://happy-sinks.com/da/blogs/magisso/tagged/efficient-kitchen-layout</t>
  </si>
  <si>
    <t xml:space="preserve">https://happy-sinks.com/da/blogs/magisso/tagged/kitchen-disinfecting</t>
  </si>
  <si>
    <t xml:space="preserve">https://happy-sinks.com/de/blogs/magisso/tagged/sink-organizer</t>
  </si>
  <si>
    <t xml:space="preserve">https://happy-sinks.com/de/blogs/magisso/tagged/magnetic-sponge-holder</t>
  </si>
  <si>
    <t xml:space="preserve">https://happy-sinks.com/da/blogs/magisso/tagged/kitchen-storage-solutions</t>
  </si>
  <si>
    <t xml:space="preserve">https://happy-sinks.com/es/products/replacement-magnet</t>
  </si>
  <si>
    <t xml:space="preserve">Mejore la funcionalidad de su cocina con el Imán de Repuesto de Happy Sinks. Mantenga sus portadores de esponjas y paños de cocina seguros en su lugar con Happy Sinks.</t>
  </si>
  <si>
    <t xml:space="preserve">https://happy-sinks.com/de/blogs/magisso/tagged/kitchen-knives</t>
  </si>
  <si>
    <t xml:space="preserve">https://happy-sinks.com/de/blogs/magisso/tagged/ventilated-sponge-holder</t>
  </si>
  <si>
    <t xml:space="preserve">Erfahren Sie, was ein schwedisches Spültuch ist und warum Sie es verwenden sollten. Entdecken Sie seine umweltfreundlichen Vorteile, seine Langlebigkeit und wie es Ihre Küche sauber hält.</t>
  </si>
  <si>
    <t xml:space="preserve">https://happy-sinks.com/da/blogs/magisso/tagged/fast-cleaning-methods</t>
  </si>
  <si>
    <t xml:space="preserve">https://happy-sinks.com/de/blogs/magisso/tagged/kitchen-sink-accessories</t>
  </si>
  <si>
    <t xml:space="preserve">https://happy-sinks.com/de/blogs/magisso/tagged/metal-sink-accessories</t>
  </si>
  <si>
    <t xml:space="preserve">https://happy-sinks.com/de/blogs/magisso/tagged/non-slip-sponge-holder</t>
  </si>
  <si>
    <t xml:space="preserve">https://happy-sinks.com/de/blogs/magisso/tagged/sponge-hygiene</t>
  </si>
  <si>
    <t xml:space="preserve">https://happy-sinks.com/fi/blogs/magisso/tagged/home-cleaning</t>
  </si>
  <si>
    <t xml:space="preserve">https://happy-sinks.com/da/blogs/magisso/tagged/kitchen-sink-accessories</t>
  </si>
  <si>
    <t xml:space="preserve">https://happy-sinks.com/da/blogs/magisso/tagged/silverware-maintenance</t>
  </si>
  <si>
    <t xml:space="preserve">https://happy-sinks.com/fi/blogs/magisso/tagged/food-prep</t>
  </si>
  <si>
    <t xml:space="preserve">https://happy-sinks.com/fi/blogs/magisso/tagged/spring-cleaning</t>
  </si>
  <si>
    <t xml:space="preserve">https://happy-sinks.com/fi/blogs/magisso/tagged/kitchen-care</t>
  </si>
  <si>
    <t xml:space="preserve">https://happy-sinks.com/da/blogs/magisso/tagged/quick-cleaning-hacks</t>
  </si>
  <si>
    <t xml:space="preserve">https://happy-sinks.com/de/blogs/magisso/tagged/cleaning-routine</t>
  </si>
  <si>
    <t xml:space="preserve">https://happy-sinks.com/da/blogs/magisso/cutlery-caddy-vs-drawer-organizer-which-is-best</t>
  </si>
  <si>
    <t xml:space="preserve">Sammenlign bestikholder og skuffeorganisatorer for at finde den bedste løsning til dit køkken. Find ud af, hvilken organisator der tilbyder bedre opbevaring, stil og funktion.</t>
  </si>
  <si>
    <t xml:space="preserve">https://happy-sinks.com/da/blogs/magisso/tagged/non-slip-sponge-holder</t>
  </si>
  <si>
    <t xml:space="preserve">https://happy-sinks.com/fi/blogs/magisso/happy-together-new-collaboration-with-skosh</t>
  </si>
  <si>
    <t xml:space="preserve">Tutustu jännittävään HAPPY SiNKS x Skosh -yhteistyöhön – jossa suomalainen muotoilu kohtaa ruotsalaisen innovaation älykkäämpien ja kestävämpien keittiöratkaisujen puolesta.</t>
  </si>
  <si>
    <t xml:space="preserve">https://happy-sinks.com/de/blogs/magisso?page=3</t>
  </si>
  <si>
    <t xml:space="preserve">https://happy-sinks.com/fi/blogs/magisso/tagged/household-cleaning</t>
  </si>
  <si>
    <t xml:space="preserve">https://happy-sinks.com/fi/blogs/magisso/tagged/finnish-design</t>
  </si>
  <si>
    <t xml:space="preserve">https://happy-sinks.com/de/blogs/magisso/tagged/tidy-kitchen</t>
  </si>
  <si>
    <t xml:space="preserve">https://happy-sinks.com/es/pages/collab</t>
  </si>
  <si>
    <t xml:space="preserve">Älykkäät pienet keittiön kuivausvinkit, työkalut ja tee-se-itse niksit, jotka säästävät työtasotilaa ja pitävät pienen keittiösi siistinä, järjestettynä ja tavarattomana.</t>
  </si>
  <si>
    <t xml:space="preserve">https://happy-sinks.com/de/blogs/magisso/tagged/sustainable-products</t>
  </si>
  <si>
    <t xml:space="preserve">Protege tus delicadas copas de vino de roturas y astillas en el lavavajillas con el soporte para copas apto para lavavajillas de HAPPY SiNKS, disponible en negro o blanco.</t>
  </si>
  <si>
    <t xml:space="preserve">Usa los envoltorios de cera de abejas de Mioeco para sellar tu comida o recipientes usando el calor de tu mano. Elimina el plástico de un solo uso y mantén tu comida fresca con Mioeco.</t>
  </si>
  <si>
    <t xml:space="preserve">MioEco är ett hållbart företag och varumärke. Handla ekologiska och återanvändbara pappershanddukar, turkiska strandhanddukar, turkiska handdukar, disk- och kökssvampar.</t>
  </si>
  <si>
    <t xml:space="preserve">https://happy-sinks.com/de/blogs/magisso/tagged/well-being</t>
  </si>
  <si>
    <t xml:space="preserve">https://happy-sinks.com/da/blogs/magisso/tagged/essential-oils</t>
  </si>
  <si>
    <t xml:space="preserve">Vergleichen Sie Roll-Up- mit herkömmlichen Geschirrabtropfgestellen, um die beste Lösung für Ihre Küche zu finden. Entdecken Sie Funktionen, Nachteile und Ihre ideale Wahl.</t>
  </si>
  <si>
    <t xml:space="preserve">https://happy-sinks.com/da/blogs/magisso/tagged/dish-drying-racks</t>
  </si>
  <si>
    <t xml:space="preserve">https://happy-sinks.com/de/blogs/magisso/happy-sinks-into-cooperation-with-the-famed-finnish-fashion-brand-papu-design</t>
  </si>
  <si>
    <t xml:space="preserve">HAPPY SiNKS arbeitet mit der bekannten finnischen Modemarke Papu Design zusammen, um stilvolle, funktionale und innovative Küchenlösungen für Ihr Zuhause zu bieten.</t>
  </si>
  <si>
    <t xml:space="preserve">https://happy-sinks.com/da/blogs/magisso/tagged/tidy-kitchen</t>
  </si>
  <si>
    <t xml:space="preserve">https://happy-sinks.com/da/blogs/magisso/tagged/nature-and-happiness</t>
  </si>
  <si>
    <t xml:space="preserve">https://happy-sinks.com/fi/blogs/magisso/tagged/cleaning-habits</t>
  </si>
  <si>
    <t xml:space="preserve">Pesualtaan lisävarusteet, jotka ovat saaneet inspiraationsa skandinaavisesta muotoilusta, parantavat toiminnallisuutta ja tyyliä, luoden rauhallisen ilmapiirin keittiöösi.</t>
  </si>
  <si>
    <t xml:space="preserve">https://happy-sinks.com/de/blogs/magisso/tagged/over-the-sink-rack</t>
  </si>
  <si>
    <t xml:space="preserve">https://happy-sinks.com/de/pages/collab</t>
  </si>
  <si>
    <t xml:space="preserve">https://happy-sinks.com/da/blogs/magisso/tagged/hygienic-dishwashing</t>
  </si>
  <si>
    <t xml:space="preserve">https://happy-sinks.com/de/blogs/magisso/tagged/konna-fruit-fly-trap</t>
  </si>
  <si>
    <t xml:space="preserve">https://happy-sinks.com/fi/blogs/magisso/tagged/dishcloth-holders</t>
  </si>
  <si>
    <t xml:space="preserve">https://happy-sinks.com/da/blogs/magisso/tagged/clean-kitchen-tips</t>
  </si>
  <si>
    <t xml:space="preserve">https://happy-sinks.com/de/blogs/magisso/tagged/home-cleaning</t>
  </si>
  <si>
    <t xml:space="preserve">Descubre los mejores soportes para bayetas para mantener tu cocina organizada. Nuestros soportes para bayetas, sostenibles y bien diseñados, hacen que tu zona del fregadero sea perfecta.</t>
  </si>
  <si>
    <t xml:space="preserve">https://happy-sinks.com/de/blogs/magisso/tagged/ceramic-sink-accessories</t>
  </si>
  <si>
    <t xml:space="preserve">https://happy-sinks.com/de/blogs/magisso/tagged/keep-sponge-clean</t>
  </si>
  <si>
    <t xml:space="preserve">Mejore su cocina con el multifuncional Estante Wunderbar sobre el fregadero: amplíe su espacio de trabajo, organice con facilidad y aporte estilo inteligente a su rutina diaria.</t>
  </si>
  <si>
    <t xml:space="preserve">https://happy-sinks.com/de/blogs/magisso/tagged/hygienic-dishcloth</t>
  </si>
  <si>
    <t xml:space="preserve">Upptäck varför magnetiska diskbänkstillbehör är populära. Spara plats, undvik borrning, håll svampar torra och uppgradera ditt kök med smarta, hygieniska organisatörer.</t>
  </si>
  <si>
    <t xml:space="preserve">https://happy-sinks.com/fi/blogs/magisso/tagged/space-saving-tools</t>
  </si>
  <si>
    <t xml:space="preserve">https://happy-sinks.com/da/blogs/magisso/tagged/home-pest-control</t>
  </si>
  <si>
    <t xml:space="preserve">https://happy-sinks.com/de/blogs/magisso/tagged/sustainable-living</t>
  </si>
  <si>
    <t xml:space="preserve">https://happy-sinks.com/da/blogs/magisso/tagged/kitchen-cleaning-tools</t>
  </si>
  <si>
    <t xml:space="preserve">https://happy-sinks.com/da/blogs/magisso?page=3</t>
  </si>
  <si>
    <t xml:space="preserve">https://happy-sinks.com/fi/blogs/magisso/tagged/cloth-holder</t>
  </si>
  <si>
    <t xml:space="preserve">https://happy-sinks.com/da/blogs/magisso/tagged/sponge-drying-solution</t>
  </si>
  <si>
    <t xml:space="preserve">https://happy-sinks.com/da/blogs/magisso/tagged/green-cleaning</t>
  </si>
  <si>
    <t xml:space="preserve">https://happy-sinks.com/de/blogs/magisso/tagged/drawer-organizer</t>
  </si>
  <si>
    <t xml:space="preserve">https://happy-sinks.com/fi/blogs/magisso/tagged/clean-kitchen-tips</t>
  </si>
  <si>
    <t xml:space="preserve">https://happy-sinks.com/de/blogs/magisso/tagged/efficient-kitchen-layout</t>
  </si>
  <si>
    <t xml:space="preserve">https://happy-sinks.com/da/blogs/magisso/tagged/sponge-bacteria-prevention</t>
  </si>
  <si>
    <t xml:space="preserve">Entdecken Sie Expertentipps, wie Sie das Spülbecken mit HAPPY SiNKS zum Glänzen bringen! Halten Sie Ihr Spülbecken mühelos jeden Tag sauber, hygienisch und strahlend.</t>
  </si>
  <si>
    <t xml:space="preserve">Descubre por qué los accesorios magnéticos para fregadero son populares. Ahorra espacio, evita taladrar, mantiene las esponjas secas y mejora tu cocina con organizadores inteligentes e higiénicos.</t>
  </si>
  <si>
    <t xml:space="preserve">https://happy-sinks.com/fi/blogs/magisso/tagged/celebration</t>
  </si>
  <si>
    <t xml:space="preserve">Aprende cómo mantener tus paños suecos libres de malos olores y manchas. Sigue consejos sencillos y métodos de limpieza para mantener la higiene y una cocina fresca.</t>
  </si>
  <si>
    <t xml:space="preserve">https://happy-sinks.com/da/blogs/magisso/tagged/modern-kitchen-accessories</t>
  </si>
  <si>
    <t xml:space="preserve">Descubre las principales tendencias en organización de cocina y sostenibilidad para 2026. Consejos de diseño escandinavo, alternativas ecológicas y accesorios inteligentes de Happy Sinks.</t>
  </si>
  <si>
    <t xml:space="preserve">https://happy-sinks.com/da/blogs/magisso/tagged/finnish-happiness</t>
  </si>
  <si>
    <t xml:space="preserve">https://happy-sinks.com/da/blogs/magisso/tagged/finland</t>
  </si>
  <si>
    <t xml:space="preserve">https://happy-sinks.com/da/blogs/magisso/tagged/small-apartment-kitchen</t>
  </si>
  <si>
    <t xml:space="preserve">https://happy-sinks.com/da/blogs/magisso/tagged/small-kitchen-ideas</t>
  </si>
  <si>
    <t xml:space="preserve">https://happy-sinks.com/de/blogs/magisso/tagged/swedish-dishcloth</t>
  </si>
  <si>
    <t xml:space="preserve">https://happy-sinks.com/de/blogs/magisso/tagged/space-saving-kitchen</t>
  </si>
  <si>
    <t xml:space="preserve">https://happy-sinks.com/fi/blogs/magisso/tagged/oven-cleaning</t>
  </si>
  <si>
    <t xml:space="preserve">https://happy-sinks.com/es/pages/happy-customers</t>
  </si>
  <si>
    <t xml:space="preserve">HAPPY SiNKS tiene una calificación alta por parte de nuestros clientes. Obtenga más información sobre nuestros productos leyendo lo que la gente tiene que decir.</t>
  </si>
  <si>
    <t xml:space="preserve">https://happy-sinks.com/de/blogs/magisso/cleaning-increases-well-being-in-homes</t>
  </si>
  <si>
    <t xml:space="preserve">Erfahren Sie, wie Sauberkeit das Wohlbefinden in Haushalten mit HAPPY SiNKS Produkten steigert. Einfach zu verwendende Werkzeuge machen die Reinigung effizient, hygienisch und angenehm.</t>
  </si>
  <si>
    <t xml:space="preserve">https://happy-sinks.com/da/blogs/magisso/tagged/modern-kitchen-hacks</t>
  </si>
  <si>
    <t xml:space="preserve">https://happy-sinks.com/da/blogs/magisso/tagged/sink-accessories</t>
  </si>
  <si>
    <t xml:space="preserve">https://happy-sinks.com/de/blogs/magisso/tagged/sustainable-textiles</t>
  </si>
  <si>
    <t xml:space="preserve">https://happy-sinks.com/de/blogs/magisso/tagged/keep-dishcloths-fresh</t>
  </si>
  <si>
    <t xml:space="preserve">Lernen Sie, wie Sie stinkende Spüllappen effektiv reinigen. Befolgen Sie einfache Tipps und Methoden, um Gerüche, Bakterien und Flecken zu entfernen und Ihre Küche frisch und hygienisch zu halten.</t>
  </si>
  <si>
    <t xml:space="preserve">https://happy-sinks.com/da/blogs/magisso/tagged/sink-organization-tools</t>
  </si>
  <si>
    <t xml:space="preserve">https://happy-sinks.com/da/blogs/magisso/tagged/happy-sinks-dish-rack</t>
  </si>
  <si>
    <t xml:space="preserve">Mantén tu paño de cocina ordenado y fuera de la vista con el soporte magnético para paños de cocina HAPPY SiNKS, ahora en un vibrante Rainbow. ¡Edición limitada, haz tu pedido hoy!</t>
  </si>
  <si>
    <t xml:space="preserve">Entdecken Sie die besten Spültuchhalter, um Ihre Küche organisiert zu halten. Unsere nachhaltigen und gut gestalteten Spültuchhalter machen Ihren Spülbereich perfekt.</t>
  </si>
  <si>
    <t xml:space="preserve">https://happy-sinks.com/de/blogs/magisso/tagged/cleaning-tips</t>
  </si>
  <si>
    <t xml:space="preserve">https://happy-sinks.com/es/products/swedish-dishcloths-black-3pc</t>
  </si>
  <si>
    <t xml:space="preserve">Sustituye las toallas de papel, esponjas y los paños de cocina tradicionales por nuestros paños de cocina suecos ecológicos de 3 piezas en negro. Fabricados con material ecológico y sostenible.</t>
  </si>
  <si>
    <t xml:space="preserve">https://happy-sinks.com/da/blogs/magisso/tagged/ventilated-sponge-holder</t>
  </si>
  <si>
    <t xml:space="preserve">Willkommen zu den schnellen Reinigungstipps in 5 Minuten (oder weniger) - Teil 2. In diesem Blog sprechen wir weiterhin über Reinigungstricks, die weniger als 5 Minuten dauern.</t>
  </si>
  <si>
    <t xml:space="preserve">https://happy-sinks.com/fi/blogs/magisso?page=3</t>
  </si>
  <si>
    <t xml:space="preserve">https://happy-sinks.com/de/products/happy-sinks-gift-card-25</t>
  </si>
  <si>
    <t xml:space="preserve">https://happy-sinks.com/de/blogs/magisso/tagged/kitchen-accessories</t>
  </si>
  <si>
    <t xml:space="preserve">https://happy-sinks.com/da/blogs/magisso/tagged/natural-repellents</t>
  </si>
  <si>
    <t xml:space="preserve">https://happy-sinks.com/da/blogs/magisso/tagged/organic-cotton</t>
  </si>
  <si>
    <t xml:space="preserve">https://happy-sinks.com/da/blogs/magisso/tagged/new-year</t>
  </si>
  <si>
    <t xml:space="preserve">https://happy-sinks.com/da/blogs/magisso/tagged/biodegradable</t>
  </si>
  <si>
    <t xml:space="preserve">https://happy-sinks.com/fi/blogs/magisso/tagged/finnish-happiness</t>
  </si>
  <si>
    <t xml:space="preserve">https://happy-sinks.com/fi/blogs/magisso/tagged/drawer-organizer</t>
  </si>
  <si>
    <t xml:space="preserve">https://happy-sinks.com/de/blogs/magisso/happy-together-new-collaboration-with-skosh</t>
  </si>
  <si>
    <t xml:space="preserve">Entdecken Sie die spannende Zusammenarbeit von HAPPY SiNKS x Skosh – wo finnisches Design auf schwedische Innovation trifft, um intelligentere und nachhaltigere Küchenlösungen zu schaffen.</t>
  </si>
  <si>
    <t xml:space="preserve">https://happy-sinks.com/de/blogs/magisso/tagged/scandinavian-decor</t>
  </si>
  <si>
    <t xml:space="preserve">https://happy-sinks.com/da/blogs/magisso/disinfect-the-kitchen-with-just-one-ingredient</t>
  </si>
  <si>
    <t xml:space="preserve">Lær, hvordan du desinficerer køkkenet med kun én ingrediens – brintoverilte. Denne ikke-giftige løsning dræber effektivt bakterier og er sikker at bruge på forskellige overflader.</t>
  </si>
  <si>
    <t xml:space="preserve">https://happy-sinks.com/fi/blogs/magisso/tagged/organic-cotton</t>
  </si>
  <si>
    <t xml:space="preserve">https://happy-sinks.com/de/blogs/magisso/tagged/scandinavian-sink-setup</t>
  </si>
  <si>
    <t xml:space="preserve">https://happy-sinks.com/da/blogs/magisso/tagged/sustainable-cleaning</t>
  </si>
  <si>
    <t xml:space="preserve">https://happy-sinks.com/da/products/swedish-dishcloths-pool-3pc</t>
  </si>
  <si>
    <t xml:space="preserve">Drop spild af papirhåndklæder med miljøvenlige, genanvendelige svenske opvaskeklude. Ultra-absorberende, holdbare og 100 % biologisk nedbrydelige for et renere hjem og planet.</t>
  </si>
  <si>
    <t xml:space="preserve">https://happy-sinks.com/de/blogs/magisso/tagged/diy-cleaning</t>
  </si>
  <si>
    <t xml:space="preserve">https://happy-sinks.com/fi/blogs/magisso/tagged/pest-control</t>
  </si>
  <si>
    <t xml:space="preserve">https://happy-sinks.com/de/blogs/magisso/tagged/silver-cutlery-cleaning</t>
  </si>
  <si>
    <t xml:space="preserve">https://happy-sinks.com/fi/blogs/magisso/tagged/quick-cleaning</t>
  </si>
  <si>
    <t xml:space="preserve">Descubre cómo un dispensador de jabón de cocina mejora la higiene, reduce la contaminación cruzada y fomenta el lavado frecuente de manos para una familia más saludable.</t>
  </si>
  <si>
    <t xml:space="preserve">https://happy-sinks.com/da/blogs/magisso/tagged/sponge-hygiene-tips</t>
  </si>
  <si>
    <t xml:space="preserve">Umweltfreundliche schwedische Spültücher sind wiederverwendbar, ultra-absorbierend und 100 % biologisch abbaubar. Halten Sie Ihre Küche mit nachhaltiger und spaßiger Reinigung makellos.</t>
  </si>
  <si>
    <t xml:space="preserve">https://happy-sinks.com/fi/blogs/magisso/tagged/over-the-sink-rack</t>
  </si>
  <si>
    <t xml:space="preserve">https://happy-sinks.com/da/blogs/magisso/tagged/happiness-secrets</t>
  </si>
  <si>
    <t xml:space="preserve">https://happy-sinks.com/fi/blogs/magisso/tagged/sink-compatibility</t>
  </si>
  <si>
    <t xml:space="preserve">https://happy-sinks.com/de/blogs/magisso/tagged/sponge-holder-comparison</t>
  </si>
  <si>
    <t xml:space="preserve">https://happy-sinks.com/de/blogs/magisso/tagged/wellbeing</t>
  </si>
  <si>
    <t xml:space="preserve">https://happy-sinks.com/de/blogs/magisso/tagged/happiness</t>
  </si>
  <si>
    <t xml:space="preserve">https://happy-sinks.com/de/blogs/magisso/tagged/home-organization</t>
  </si>
  <si>
    <t xml:space="preserve">https://happy-sinks.com/fi/blogs/magisso/tagged/roll-up-sink-rack</t>
  </si>
  <si>
    <t xml:space="preserve">https://happy-sinks.com/de/blogs/magisso/tagged/cooking-tools</t>
  </si>
  <si>
    <t xml:space="preserve">Aprende cómo usar la trampa para moscas de la fruta KONNA de manera efectiva. Sigue pasos sencillos para atrapar moscas de la fruta y mantener tu cocina limpia y libre de plagas.</t>
  </si>
  <si>
    <t xml:space="preserve">https://happy-sinks.com/de/blogs/magisso/tagged/light-color-kitchen-design</t>
  </si>
  <si>
    <t xml:space="preserve">https://happy-sinks.com/de/blogs/magisso/tagged/happy-sinks-x-skosh</t>
  </si>
  <si>
    <t xml:space="preserve">https://happy-sinks.com/de/blogs/magisso/tagged/calm-kitchen-style</t>
  </si>
  <si>
    <t xml:space="preserve">https://happy-sinks.com/fi/blogs/magisso/tagged/hydrogen-peroxide</t>
  </si>
  <si>
    <t xml:space="preserve">https://happy-sinks.com/da/blogs/magisso/tagged/formex-2023</t>
  </si>
  <si>
    <t xml:space="preserve">Descubre soluciones esenciales para cocinas pequeñas con herramientas versátiles e ideas inteligentes de organización. Maximiza el espacio y la eficiencia en tu cocina pequeña hoy mismo.</t>
  </si>
  <si>
    <t xml:space="preserve">https://happy-sinks.com/da/blogs/magisso/tagged/2020-blog</t>
  </si>
  <si>
    <t xml:space="preserve">Unsponge Wiederverwendbare Küchenschwämme sind umweltfreundlich, langlebig und aus 100 % Bio-Baumwolle hergestellt. Reduzieren Sie Abfall und halten Sie Ihr Zuhause sauber!</t>
  </si>
  <si>
    <t xml:space="preserve">Halten Sie Ihre Küche in dieser Saison frisch mit 5 Frühjahrsputz-Tipps mit HAPPY SiNKS. Entdecken Sie praktische Möglichkeiten, effizient zu reinigen und einen strahlenden Raum zu erhalten.</t>
  </si>
  <si>
    <t xml:space="preserve">Bringen Sie den Glanz Ihres Silberbestecks mit einfachen DIY-Reinigungsmethoden zurück. Erfahren Sie, wie Sie Silberbesteck zu Hause mit einfachen, sicheren und effektiven Techniken reinigen können.</t>
  </si>
  <si>
    <t xml:space="preserve">https://happy-sinks.com/de/blogs/magisso/tagged/nordic-home-style</t>
  </si>
  <si>
    <t xml:space="preserve">https://happy-sinks.com/fi/blogs/magisso/tagged/finnish-culture</t>
  </si>
  <si>
    <t xml:space="preserve">MioEco ist ein nachhaltiges Unternehmen und eine Marke. Kaufen Sie Bio- und wiederverwendbare Papiertücher, türkische Strandtücher, türkische Handtücher, Spül- und Küchenschwämme.</t>
  </si>
  <si>
    <t xml:space="preserve">https://happy-sinks.com/da/blogs/magisso/tagged/dishcloth-holders</t>
  </si>
  <si>
    <t xml:space="preserve">https://happy-sinks.com/de/products/swedish-dishcloths-pool-3pc</t>
  </si>
  <si>
    <t xml:space="preserve">Verzichten Sie auf verschwenderische Papiertücher mit umweltfreundlichen, wiederverwendbaren schwedischen Spültüchern. Ultra-absorbierend, langlebig und 100 % biologisch abbaubar für ein saubereres Zuhause und einen saubereren Planeten.</t>
  </si>
  <si>
    <t xml:space="preserve">https://happy-sinks.com/da/blogs/magisso/tagged/nordic-kitchen-design</t>
  </si>
  <si>
    <t xml:space="preserve">https://happy-sinks.com/da/blogs/magisso/tagged/foldable-dish-rack</t>
  </si>
  <si>
    <t xml:space="preserve">https://happy-sinks.com/de/blogs/magisso/tagged/microfiber-dishcloths</t>
  </si>
  <si>
    <t xml:space="preserve">Organic traffic previous</t>
  </si>
  <si>
    <t xml:space="preserve">No. of referring domains</t>
  </si>
  <si>
    <t xml:space="preserve">No. of referring domains previous</t>
  </si>
  <si>
    <t xml:space="preserve">No. of backlinks</t>
  </si>
  <si>
    <t xml:space="preserve">No. of backlinks previous</t>
  </si>
  <si>
    <t xml:space="preserve">No. of dofollow backlinks</t>
  </si>
  <si>
    <t xml:space="preserve">No. of dofollow backlinks previous</t>
  </si>
  <si>
    <t xml:space="preserve">No. of keywords with Top 3 position</t>
  </si>
  <si>
    <t xml:space="preserve">No. of keywords with Top 3 position previous</t>
  </si>
  <si>
    <t xml:space="preserve">No. of keywords with Top 10 position</t>
  </si>
  <si>
    <t xml:space="preserve">No. of keywords with Top 10 position previous</t>
  </si>
  <si>
    <t xml:space="preserve">No. of all inlinks</t>
  </si>
  <si>
    <t xml:space="preserve">No. of all inlinks previous</t>
  </si>
  <si>
    <t xml:space="preserve">Top keyword</t>
  </si>
  <si>
    <t xml:space="preserve">Top keyword previous</t>
  </si>
  <si>
    <t xml:space="preserve">Top keyword position previous</t>
  </si>
  <si>
    <t xml:space="preserve">https://happy-sinks.com/</t>
  </si>
  <si>
    <t xml:space="preserve">how to sanitize sponges</t>
  </si>
  <si>
    <t xml:space="preserve">Source: https_happy-sinks.com_ - URL Report.xlsx / Pages droped from top 10 Possit</t>
  </si>
  <si>
    <t xml:space="preserve">happy sinks</t>
  </si>
  <si>
    <t xml:space="preserve">disktrasehållare</t>
  </si>
  <si>
    <t xml:space="preserve">sponge holder for sink</t>
  </si>
  <si>
    <t xml:space="preserve">happy sinks dishcloth holder</t>
  </si>
  <si>
    <t xml:space="preserve">https://happy-sinks.com/products/potato-washer</t>
  </si>
  <si>
    <t xml:space="preserve">potatistvätt</t>
  </si>
  <si>
    <t xml:space="preserve">happy sink</t>
  </si>
  <si>
    <t xml:space="preserve">https://happy-sinks.com/sv/products/potato-washer</t>
  </si>
  <si>
    <t xml:space="preserve">potturi</t>
  </si>
  <si>
    <t xml:space="preserve">https://happy-sinks.com/sv/pages/faq</t>
  </si>
  <si>
    <t xml:space="preserve">https://happy-sinks.com/products/dish-cloth-holder-bio-composite-charcoal</t>
  </si>
  <si>
    <t xml:space="preserve">dish cloth holder for sink</t>
  </si>
  <si>
    <t xml:space="preserve">hållare disktrasa</t>
  </si>
  <si>
    <t xml:space="preserve">https://happy-sinks.com/products/dish-cloth-holder-steel</t>
  </si>
  <si>
    <t xml:space="preserve">happy sinks dish cloth holder</t>
  </si>
  <si>
    <t xml:space="preserve">spültuchhalter</t>
  </si>
  <si>
    <t xml:space="preserve">tiskirätin pidike</t>
  </si>
  <si>
    <t xml:space="preserve">karklud holder magnet</t>
  </si>
  <si>
    <t xml:space="preserve">https://happy-sinks.com/fi</t>
  </si>
  <si>
    <t xml:space="preserve">happy sinks tiskiliinateline</t>
  </si>
  <si>
    <t xml:space="preserve">https://happy-sinks.com/da</t>
  </si>
  <si>
    <t xml:space="preserve">folding dish drying rack</t>
  </si>
  <si>
    <t xml:space="preserve">schwammhalter spüle</t>
  </si>
  <si>
    <t xml:space="preserve">keittiörätti</t>
  </si>
  <si>
    <t xml:space="preserve">dishcloth holder</t>
  </si>
  <si>
    <t xml:space="preserve">https://happy-sinks.com/en-au</t>
  </si>
  <si>
    <t xml:space="preserve">sink cloth holder</t>
  </si>
  <si>
    <t xml:space="preserve">https://happy-sinks.com/products/kitchen-sink-mat-silicone</t>
  </si>
  <si>
    <t xml:space="preserve">kitchen sink mat</t>
  </si>
  <si>
    <t xml:space="preserve">washable dish cloths</t>
  </si>
  <si>
    <t xml:space="preserve">sink sponge holder</t>
  </si>
  <si>
    <t xml:space="preserve">https://happy-sinks.com/en-gb</t>
  </si>
  <si>
    <t xml:space="preserve">lavadora de patatas</t>
  </si>
  <si>
    <t xml:space="preserve">https://happy-sinks.com/products/wine-glass-rack</t>
  </si>
  <si>
    <t xml:space="preserve">dish rack with wine glass holder</t>
  </si>
  <si>
    <t xml:space="preserve">https://happy-sinks.com/blogs/magisso/tagged/small-kitchen-ideas</t>
  </si>
  <si>
    <t xml:space="preserve">small kitchen ideas 2020</t>
  </si>
  <si>
    <t xml:space="preserve">https://happy-sinks.com/sv/products/replacement-magnet</t>
  </si>
  <si>
    <t xml:space="preserve">https://happy-sinks.com/blogs/magisso/how-to-clean-a-stained-sink-in-your-home</t>
  </si>
  <si>
    <t xml:space="preserve">stained sink</t>
  </si>
  <si>
    <t xml:space="preserve">https://happy-sinks.com/sv/products/dish-cloth-holder-steel</t>
  </si>
  <si>
    <t xml:space="preserve">disktrasehållare magnet rostfri</t>
  </si>
  <si>
    <t xml:space="preserve">https://happy-sinks.com/blogs/magisso/say-goodbye-to-sink-scratches-the-benefits-of-using-a-silicone-sink-mat</t>
  </si>
  <si>
    <t xml:space="preserve">how to protect stainless steel sink from scratches</t>
  </si>
  <si>
    <t xml:space="preserve">diskbänkstillbehör</t>
  </si>
  <si>
    <t xml:space="preserve">https://happy-sinks.com/de/products/sponge-holder-steel</t>
  </si>
  <si>
    <t xml:space="preserve">https://happy-sinks.com/blogs/magisso/how-to-wash-swedish-dishcloth</t>
  </si>
  <si>
    <t xml:space="preserve">how to use swedish dishcloth</t>
  </si>
  <si>
    <t xml:space="preserve">why do dish rags smell</t>
  </si>
  <si>
    <t xml:space="preserve">https://happy-sinks.com/fi/products/dish-drying-rack-steel</t>
  </si>
  <si>
    <t xml:space="preserve">astioiden kuivausteline</t>
  </si>
  <si>
    <t xml:space="preserve">https://happy-sinks.com/products/swedish-dishcloths-lemon-grove-3pc</t>
  </si>
  <si>
    <t xml:space="preserve">grove swedish dishcloth</t>
  </si>
  <si>
    <t xml:space="preserve">https://happy-sinks.com/blogs/magisso/how-to-use-konna-the-fruit-fly-trap</t>
  </si>
  <si>
    <t xml:space="preserve">red wine fruit fly trap</t>
  </si>
  <si>
    <t xml:space="preserve">https://happy-sinks.com/en-au/blogs/magisso/how-to-clean-silver-cutlery</t>
  </si>
  <si>
    <t xml:space="preserve">how to clean silver cutlery with tin foil</t>
  </si>
  <si>
    <t xml:space="preserve">https://happy-sinks.com/blogs/magisso/what-s-a-swedish-dishcloth-and-why-you-should-start-using-it</t>
  </si>
  <si>
    <t xml:space="preserve">what are swedish dishcloths</t>
  </si>
  <si>
    <t xml:space="preserve">https://happy-sinks.com/blogs/magisso/how-to-clean-a-sponge</t>
  </si>
  <si>
    <t xml:space="preserve">https://happy-sinks.com/blogs/magisso/the-secret-of-finnish-happiness</t>
  </si>
  <si>
    <t xml:space="preserve">the finnish secret to happiness</t>
  </si>
  <si>
    <t xml:space="preserve">aterimien puhdistus ruokasoodalla</t>
  </si>
  <si>
    <t xml:space="preserve">over the sink drying rack</t>
  </si>
  <si>
    <t xml:space="preserve">svampbort</t>
  </si>
  <si>
    <t xml:space="preserve">https://happy-sinks.com/blogs/magisso/how-to-get-rid-of-fruit-flies-summer-tips-for-a-fruit-fly-free-home</t>
  </si>
  <si>
    <t xml:space="preserve">fruit flies in fridge</t>
  </si>
  <si>
    <t xml:space="preserve">the best kitchen sinks</t>
  </si>
  <si>
    <t xml:space="preserve">https://happy-sinks.com/blogs/magisso/how-to-clean-silver-cutlery</t>
  </si>
  <si>
    <t xml:space="preserve">how to clean silverware</t>
  </si>
  <si>
    <t xml:space="preserve">https://happy-sinks.com/products/reusable-kitchen-sponges</t>
  </si>
  <si>
    <t xml:space="preserve">cotton sponges</t>
  </si>
  <si>
    <t xml:space="preserve">how to store fruit to avoid fruit flies</t>
  </si>
  <si>
    <t xml:space="preserve">why do sponges come wet</t>
  </si>
  <si>
    <t xml:space="preserve">https://happy-sinks.com/products/dish-drying-rack-steel</t>
  </si>
  <si>
    <t xml:space="preserve">eco friendly dish rack</t>
  </si>
  <si>
    <t xml:space="preserve">https://happy-sinks.com/blogs/magisso/six-good-reasons-to-use-a-happy-sinks-cloth-holder</t>
  </si>
  <si>
    <t xml:space="preserve">dish cloth holder</t>
  </si>
  <si>
    <t xml:space="preserve">black sink caddy</t>
  </si>
  <si>
    <t xml:space="preserve">speedy cleaning tips</t>
  </si>
  <si>
    <t xml:space="preserve">https://happy-sinks.com/fi/blogs/magisso/how-to-clean-a-sponge</t>
  </si>
  <si>
    <t xml:space="preserve">cómo limpiar la puerta del horno</t>
  </si>
  <si>
    <t xml:space="preserve">hur länge lever en bananfluga</t>
  </si>
  <si>
    <t xml:space="preserve">https://happy-sinks.com/sv/blogs/magisso/15-most-asked-questions-about-kitchen-towels-and-where-to-keep-them</t>
  </si>
  <si>
    <t xml:space="preserve">koka disktrasor</t>
  </si>
  <si>
    <t xml:space="preserve">cómo se limpia</t>
  </si>
  <si>
    <t xml:space="preserve">was hilft gegen obstfliegen</t>
  </si>
  <si>
    <t xml:space="preserve">https://happy-sinks.com/blogs/magisso/15-most-asked-questions-about-kitchen-towels-and-where-to-keep-them</t>
  </si>
  <si>
    <t xml:space="preserve">where to hang wet dish cloth</t>
  </si>
  <si>
    <t xml:space="preserve">https://happy-sinks.com/da/products/kitchen-set-dish-cloth-holder-sponge-holder-fruit-fly-trap</t>
  </si>
  <si>
    <t xml:space="preserve">karkludeholder</t>
  </si>
  <si>
    <t xml:space="preserve">weinglashalter spülmaschine</t>
  </si>
  <si>
    <t xml:space="preserve">spülmatte silikon</t>
  </si>
  <si>
    <t xml:space="preserve">swedish dishcloth holder</t>
  </si>
  <si>
    <t xml:space="preserve">hedelmäkärpäsistä eroon</t>
  </si>
  <si>
    <t xml:space="preserve">tvätta disktrasor</t>
  </si>
  <si>
    <t xml:space="preserve">https://happy-sinks.com/en-gb/blogs/magisso/how-to-clean-a-sponge</t>
  </si>
  <si>
    <t xml:space="preserve">https://happy-sinks.com/blogs/magisso/best-kitchen-organisation-sustainability-trends-2026</t>
  </si>
  <si>
    <t xml:space="preserve">trend sustainability</t>
  </si>
  <si>
    <t xml:space="preserve">rengöra diskho</t>
  </si>
  <si>
    <t xml:space="preserve">https://happy-sinks.com/en-ca/blogs/magisso/how-to-get-rid-of-fruit-flies-summer-tips-for-a-fruit-fly-free-home</t>
  </si>
  <si>
    <t xml:space="preserve">can fruit flies survive in the fridge</t>
  </si>
  <si>
    <t xml:space="preserve">bananfluer levetid</t>
  </si>
  <si>
    <t xml:space="preserve">how to clean smelly dish cloths</t>
  </si>
  <si>
    <t xml:space="preserve">https://happy-sinks.com/blogs/magisso/9-essential-must-have-kitchen-items-that-you-need</t>
  </si>
  <si>
    <t xml:space="preserve">kitchen saman list</t>
  </si>
  <si>
    <t xml:space="preserve">esponja seca</t>
  </si>
  <si>
    <t xml:space="preserve">como eliminar moscas de fruta</t>
  </si>
  <si>
    <t xml:space="preserve">alfombrilla fregadero</t>
  </si>
  <si>
    <t xml:space="preserve">vask af karklude</t>
  </si>
  <si>
    <t xml:space="preserve">kompakt kök</t>
  </si>
  <si>
    <t xml:space="preserve">https://happy-sinks.com/en-ca/blogs/magisso/how-to-clean-a-sponge</t>
  </si>
  <si>
    <t xml:space="preserve">paños suecos</t>
  </si>
  <si>
    <t xml:space="preserve">spüllappen waschen</t>
  </si>
  <si>
    <t xml:space="preserve">mioeco</t>
  </si>
  <si>
    <t xml:space="preserve">https://happy-sinks.com/de/products/kitchen-set-wine-glass-holder-sink-mats</t>
  </si>
  <si>
    <t xml:space="preserve">Source: opengoaaalusa.com - Blog Content_.xlsx / Blog Pages</t>
  </si>
  <si>
    <t xml:space="preserve">Top pages</t>
  </si>
  <si>
    <t xml:space="preserve">Last 6 months Clicks</t>
  </si>
  <si>
    <t xml:space="preserve">Previous 6 months Clicks</t>
  </si>
  <si>
    <t xml:space="preserve">Clicks Difference</t>
  </si>
  <si>
    <t xml:space="preserve">Last 6 months Impressions</t>
  </si>
  <si>
    <t xml:space="preserve">Previous 6 months Impressions</t>
  </si>
  <si>
    <t xml:space="preserve">Impressions Difference</t>
  </si>
  <si>
    <t xml:space="preserve">Content Sheet</t>
  </si>
  <si>
    <t xml:space="preserve">Suggested Meta Title </t>
  </si>
  <si>
    <t xml:space="preserve">Suggested Meta Description</t>
  </si>
  <si>
    <t xml:space="preserve">Internal Linking Status</t>
  </si>
  <si>
    <t xml:space="preserve">Status </t>
  </si>
  <si>
    <t xml:space="preserve">https://opengoaaalusa.com/blogs/news/soccer-drills-for-8-year-olds</t>
  </si>
  <si>
    <t xml:space="preserve">https://opengoaaalusa.com/blogs/news/soccer-ball-sizes</t>
  </si>
  <si>
    <t xml:space="preserve">https://opengoaaalusa.com/blogs/news/soccer-ball-size-by-age</t>
  </si>
  <si>
    <t xml:space="preserve">https://opengoaaalusa.com/blogs/news/soccer-warm-up-drills</t>
  </si>
  <si>
    <t xml:space="preserve">https://opengoaaalusa.com/blogs/news/what-does-fifa-stand-for</t>
  </si>
  <si>
    <t xml:space="preserve">https://opengoaaalusa.com/blogs/news/types-of-kicks-in-soccer</t>
  </si>
  <si>
    <t xml:space="preserve">https://opengoaaalusa.com/blogs/news/soccer-defense-positions</t>
  </si>
  <si>
    <t xml:space="preserve">https://opengoaaalusa.com/blogs/news/10-simple-soccer-footwork-drills</t>
  </si>
  <si>
    <t xml:space="preserve">https://opengoaaalusa.com/blogs/news/famous-soccer-player-numbers</t>
  </si>
  <si>
    <t xml:space="preserve">https://opengoaaalusa.com/blogs/news/give-and-go-drills</t>
  </si>
  <si>
    <t xml:space="preserve">https://opengoaaalusa.com/blogs/news/soccer-formations-11v11</t>
  </si>
  <si>
    <t xml:space="preserve">https://opengoaaalusa.com/blogs/news/center-forward-vs-striker</t>
  </si>
  <si>
    <t xml:space="preserve">https://opengoaaalusa.com/blogs/news/youth-soccer-positions</t>
  </si>
  <si>
    <t xml:space="preserve">https://opengoaaalusa.com/blogs/news/soccer-moves</t>
  </si>
  <si>
    <t xml:space="preserve">https://opengoaaalusa.com/blogs/news/u6-soccer-drills</t>
  </si>
  <si>
    <t xml:space="preserve">https://opengoaaalusa.com/blogs/news/soccer-ladder-drills</t>
  </si>
  <si>
    <t xml:space="preserve">https://opengoaaalusa.com/blogs/news/understanding-soccer-referee-signals</t>
  </si>
  <si>
    <t xml:space="preserve">https://opengoaaalusa.com/blogs/news/how-long-is-a-soccer-game</t>
  </si>
  <si>
    <t xml:space="preserve">https://opengoaaalusa.com/blogs/news/fundamentals-of-soccer</t>
  </si>
  <si>
    <t xml:space="preserve">https://opengoaaalusa.com/blogs/news/best-soccer-rebounders</t>
  </si>
  <si>
    <t xml:space="preserve">https://opengoaaalusa.com/blogs/news/what-is-a-soccer-draw</t>
  </si>
  <si>
    <t xml:space="preserve">https://opengoaaalusa.com/blogs/news/where-is-soccer-most-popular</t>
  </si>
  <si>
    <t xml:space="preserve">https://opengoaaalusa.com/blogs/news/build-a-backyard-soccer-field</t>
  </si>
  <si>
    <t xml:space="preserve">https://opengoaaalusa.com/blogs/news/yellow-card-in-soccer</t>
  </si>
  <si>
    <t xml:space="preserve">https://opengoaaalusa.com/blogs/news/rules-of-soccer-a-quick-overview</t>
  </si>
  <si>
    <t xml:space="preserve">https://opengoaaalusa.com/blogs/news/soccer-tic-tac-toe</t>
  </si>
  <si>
    <t xml:space="preserve">https://opengoaaalusa.com/blogs/news/soccer-conditioning-drills</t>
  </si>
  <si>
    <t xml:space="preserve">https://opengoaaalusa.com/blogs/news/soccer-attacking-drills</t>
  </si>
  <si>
    <t xml:space="preserve">https://opengoaaalusa.com/blogs/news/soccer-transition-drills</t>
  </si>
  <si>
    <t xml:space="preserve">https://opengoaaalusa.com/blogs/news/soccer-nutmeg</t>
  </si>
  <si>
    <t xml:space="preserve">https://opengoaaalusa.com/blogs/news/what-to-eat-before-a-soccer-game</t>
  </si>
  <si>
    <t xml:space="preserve">https://opengoaaalusa.com/blogs/news/fun-soccer-games-for-kids</t>
  </si>
  <si>
    <t xml:space="preserve">https://opengoaaalusa.com/blogs/news/what-is-a-soccer-kickoff</t>
  </si>
  <si>
    <t xml:space="preserve">https://opengoaaalusa.com/blogs/news/5-kids-soccer-drills-to-improve-shooting</t>
  </si>
  <si>
    <t xml:space="preserve">https://opengoaaalusa.com/blogs/news/penalty-box-soccer</t>
  </si>
  <si>
    <t xml:space="preserve">https://opengoaaalusa.com/blogs/news/how-to-train-like-ronaldo-with-workouts-and-drills</t>
  </si>
  <si>
    <t xml:space="preserve">https://opengoaaalusa.com/blogs/news/soccer-lingo-common-soccer-terms-every-player-should-know</t>
  </si>
  <si>
    <t xml:space="preserve">https://opengoaaalusa.com/blogs/news/soccer-possession-drills</t>
  </si>
  <si>
    <t xml:space="preserve">https://opengoaaalusa.com/blogs/news/5-practical-ways-to-keep-soccer-balls-in-your-backyard-and-keep-the-neighbors-happy</t>
  </si>
  <si>
    <t xml:space="preserve">https://opengoaaalusa.com/blogs/news/red-card-in-soccer</t>
  </si>
  <si>
    <t xml:space="preserve">https://opengoaaalusa.com/blogs/news/regulation-soccer-goal-sizes</t>
  </si>
  <si>
    <t xml:space="preserve">https://opengoaaalusa.com/blogs/news/the-best-female-soccer-players-of-all-time</t>
  </si>
  <si>
    <t xml:space="preserve">https://opengoaaalusa.com/blogs/news/what-is-a-soccer-rebounder-and-why-every-player-needs-one-in-2025</t>
  </si>
  <si>
    <t xml:space="preserve">https://opengoaaalusa.com/blogs/news/the-best-soccer-goalies-of-all-time-top-10-legends</t>
  </si>
  <si>
    <t xml:space="preserve">https://opengoaaalusa.com/blogs/news/how-to-dribble-like-messi-mastering-the-art-of-soccer-dribbling</t>
  </si>
  <si>
    <t xml:space="preserve">https://opengoaaalusa.com/blogs/news/what-is-a-goal-kick-in-soccer</t>
  </si>
  <si>
    <t xml:space="preserve">https://opengoaaalusa.com/blogs/news/goalie-drills</t>
  </si>
  <si>
    <t xml:space="preserve">https://opengoaaalusa.com/blogs/news/messi-training</t>
  </si>
  <si>
    <t xml:space="preserve">https://opengoaaalusa.com/blogs/news/what-is-a-cap-in-soccer</t>
  </si>
  <si>
    <t xml:space="preserve">https://opengoaaalusa.com/blogs/news/how-to-punt-a-soccer-ball</t>
  </si>
  <si>
    <t xml:space="preserve">https://opengoaaalusa.com/blogs/news/1v1-soccer-drills</t>
  </si>
  <si>
    <t xml:space="preserve">https://opengoaaalusa.com/blogs/news/toe-tap-soccer</t>
  </si>
  <si>
    <t xml:space="preserve">https://opengoaaalusa.com/blogs/news/when-is-soccer-season</t>
  </si>
  <si>
    <t xml:space="preserve">https://opengoaaalusa.com/blogs/news/the-best-female-american-soccer-players</t>
  </si>
  <si>
    <t xml:space="preserve">https://opengoaaalusa.com/blogs/news/ronaldo-dribbling</t>
  </si>
  <si>
    <t xml:space="preserve">https://opengoaaalusa.com/blogs/news/what-is-a-brace-in-soccer</t>
  </si>
  <si>
    <t xml:space="preserve">https://opengoaaalusa.com/blogs/news/the-best-bicycle-kicks-in-history</t>
  </si>
  <si>
    <t xml:space="preserve">https://opengoaaalusa.com/blogs/news/sharks-and-minnows</t>
  </si>
  <si>
    <t xml:space="preserve">https://opengoaaalusa.com/blogs/news/goals-and-glories-tracing-the-origins-of-english-football-club-names</t>
  </si>
  <si>
    <t xml:space="preserve">https://opengoaaalusa.com/blogs/news/best-soccer-backpacks</t>
  </si>
  <si>
    <t xml:space="preserve">https://opengoaaalusa.com/blogs/news/rondo-soccer</t>
  </si>
  <si>
    <t xml:space="preserve">https://opengoaaalusa.com/blogs/news/what-is-the-best-soccer-rebounder</t>
  </si>
  <si>
    <t xml:space="preserve">https://opengoaaalusa.com/blogs/news/handball-in-soccer</t>
  </si>
  <si>
    <t xml:space="preserve">https://opengoaaalusa.com/blogs/news/smart-soccer-balls</t>
  </si>
  <si>
    <t xml:space="preserve">https://opengoaaalusa.com/blogs/news/sweeper-soccer</t>
  </si>
  <si>
    <t xml:space="preserve">https://opengoaaalusa.com/blogs/news/what-is-a-hat-trick-in-soccer</t>
  </si>
  <si>
    <t xml:space="preserve">https://opengoaaalusa.com/blogs/news/soccer-net-buying-guide</t>
  </si>
  <si>
    <t xml:space="preserve">https://opengoaaalusa.com/blogs/news/how-to-kick-a-soccer-ball-power-vs-finesse</t>
  </si>
  <si>
    <t xml:space="preserve">https://opengoaaalusa.com/blogs/news/best-soccer-socks</t>
  </si>
  <si>
    <t xml:space="preserve">https://opengoaaalusa.com/blogs/news/u12-soccer-drills</t>
  </si>
  <si>
    <t xml:space="preserve">https://opengoaaalusa.com/blogs/news/soccer-field-layout</t>
  </si>
  <si>
    <t xml:space="preserve">https://opengoaaalusa.com/blogs/news/top-12-first-touch-soccer-drills-for-youth-soccer-players</t>
  </si>
  <si>
    <t xml:space="preserve">https://opengoaaalusa.com/blogs/news/premier-leagues-big-6-clubs-unveiling-their-identities</t>
  </si>
  <si>
    <t xml:space="preserve">https://opengoaaalusa.com/blogs/news/soccer-goal-dimensions</t>
  </si>
  <si>
    <t xml:space="preserve">https://opengoaaalusa.com/blogs/news/best-soccer-coaching-books</t>
  </si>
  <si>
    <t xml:space="preserve">https://opengoaaalusa.com/blogs/news/fun-kids-soccer-drills</t>
  </si>
  <si>
    <t xml:space="preserve">https://opengoaaalusa.com/blogs/news/slide-tackle</t>
  </si>
  <si>
    <t xml:space="preserve">https://opengoaaalusa.com/blogs/news/best-pop-up-soccer-goals</t>
  </si>
  <si>
    <t xml:space="preserve">https://opengoaaalusa.com/blogs/news/backyard-soccer-training</t>
  </si>
  <si>
    <t xml:space="preserve">https://opengoaaalusa.com/blogs/news/5-best-ways-to-use-a-soccer-rebounder-1</t>
  </si>
  <si>
    <t xml:space="preserve">https://opengoaaalusa.com/blogs/news/soccer-endurance-training</t>
  </si>
  <si>
    <t xml:space="preserve">https://opengoaaalusa.com/blogs/news/the-best-soccer-video-games</t>
  </si>
  <si>
    <t xml:space="preserve">https://opengoaaalusa.com/blogs/news/what-you-need-to-know-about-soccer-nets</t>
  </si>
  <si>
    <t xml:space="preserve">https://opengoaaalusa.com/blogs/news/how-do-you-get-better-at-soccer</t>
  </si>
  <si>
    <t xml:space="preserve">https://opengoaaalusa.com/blogs/news/top-ten-soccer-players-of-the-last-decade</t>
  </si>
  <si>
    <t xml:space="preserve">https://opengoaaalusa.com/blogs/news/lacrosse-goal-vs-rebounder-which-one-does-your-kid-actually-need</t>
  </si>
  <si>
    <t xml:space="preserve">https://opengoaaalusa.com/blogs/news/best-soccer-rebounder-backyard-training</t>
  </si>
  <si>
    <t xml:space="preserve">https://opengoaaalusa.com/blogs/news/full-size-soccer-goals-101</t>
  </si>
  <si>
    <t xml:space="preserve">https://opengoaaalusa.com/blogs/news/6-soccer-dribbling-drills-to-master-ball-handling</t>
  </si>
  <si>
    <t xml:space="preserve">https://opengoaaalusa.com/blogs/news/soccer-gifts</t>
  </si>
  <si>
    <t xml:space="preserve">https://opengoaaalusa.com/blogs/news/how-to-kick-a-soccer-ball</t>
  </si>
  <si>
    <t xml:space="preserve">https://opengoaaalusa.com/blogs/news/best-turf-soccer-shoes</t>
  </si>
  <si>
    <t xml:space="preserve">https://opengoaaalusa.com/blogs/news/best-shin-guards</t>
  </si>
  <si>
    <t xml:space="preserve">https://opengoaaalusa.com/blogs/news/soccer-trapping</t>
  </si>
  <si>
    <t xml:space="preserve">https://opengoaaalusa.com/blogs/news/4-things-to-know-before-buying-a-soccer-backstop</t>
  </si>
  <si>
    <t xml:space="preserve">https://opengoaaalusa.com/blogs/news/soccer-rebounder-wall</t>
  </si>
  <si>
    <t xml:space="preserve">https://opengoaaalusa.com/blogs/news/the-top-10-premier-league-soccer-goals-of-all-time</t>
  </si>
  <si>
    <t xml:space="preserve">https://opengoaaalusa.com/blogs/news/the-best-goals-of-the-spanish-la-liga</t>
  </si>
  <si>
    <t xml:space="preserve">https://opengoaaalusa.com/blogs/news/soccer-parents-mistakes</t>
  </si>
  <si>
    <t xml:space="preserve">https://opengoaaalusa.com/blogs/news/regulations-for-soccer-goal-dimensions</t>
  </si>
  <si>
    <t xml:space="preserve">https://opengoaaalusa.com/blogs/news/how-to-juggle-a-soccer-ball</t>
  </si>
  <si>
    <t xml:space="preserve">https://opengoaaalusa.com/blogs/news/soccer-throw-in-drills</t>
  </si>
  <si>
    <t xml:space="preserve">https://opengoaaalusa.com/blogs/news/best-soccer-goalie-gloves</t>
  </si>
  <si>
    <t xml:space="preserve">https://opengoaaalusa.com/blogs/news/how-to-get-better-at-soccer</t>
  </si>
  <si>
    <t xml:space="preserve">https://opengoaaalusa.com/blogs/news/soccer-iq</t>
  </si>
  <si>
    <t xml:space="preserve">https://opengoaaalusa.com/blogs/news/best-backyard-soccer-games-and-how-to-set-it-up</t>
  </si>
  <si>
    <t xml:space="preserve">https://opengoaaalusa.com/blogs/news/soccer-training-equipment-for-practicing-at-home</t>
  </si>
  <si>
    <t xml:space="preserve">https://opengoaaalusa.com/blogs/news/best-backyard-soccer-goals</t>
  </si>
  <si>
    <t xml:space="preserve">https://opengoaaalusa.com/blogs/news/world-cup-winners-over-the-years-a-comprehensive-history</t>
  </si>
  <si>
    <t xml:space="preserve">https://opengoaaalusa.com/blogs/news/soccer-shielding</t>
  </si>
  <si>
    <t xml:space="preserve">https://opengoaaalusa.com/blogs/news/24x8-soccer-goal</t>
  </si>
  <si>
    <t xml:space="preserve">https://opengoaaalusa.com/blogs/news/the-best-soccer-kickbacks</t>
  </si>
  <si>
    <t xml:space="preserve">https://opengoaaalusa.com/blogs/news/soccer-goal-and-rebounder</t>
  </si>
  <si>
    <t xml:space="preserve">https://opengoaaalusa.com/blogs/news/how-old-do-you-have-to-be-to-play-soccer</t>
  </si>
  <si>
    <t xml:space="preserve">https://opengoaaalusa.com/blogs/news/8-soccer-passing-drills-to-improve-your-game</t>
  </si>
  <si>
    <t xml:space="preserve">https://opengoaaalusa.com/blogs/news/why-do-soccer-ball-sizes-matter</t>
  </si>
  <si>
    <t xml:space="preserve">https://opengoaaalusa.com/blogs/news/the-greatest-soccer-goals-in-history</t>
  </si>
  <si>
    <t xml:space="preserve">https://opengoaaalusa.com/blogs/news/how-to-enjoy-a-soccer-game-in-your-own-backyard</t>
  </si>
  <si>
    <t xml:space="preserve">https://opengoaaalusa.com/blogs/news/everything-you-need-to-know-about-soccer-goals-and-soccer-nets</t>
  </si>
  <si>
    <t xml:space="preserve">https://opengoaaalusa.com/blogs/news/the-best-backyard-soccer-games</t>
  </si>
  <si>
    <t xml:space="preserve">https://opengoaaalusa.com/blogs/news/open-goaaal-vs-quickplay-soccer-rebounder-comparison</t>
  </si>
  <si>
    <t xml:space="preserve">https://opengoaaalusa.com/blogs/news/essential-soccer-equipments</t>
  </si>
  <si>
    <t xml:space="preserve">https://opengoaaalusa.com/blogs/news/what-is-a-set-piece</t>
  </si>
  <si>
    <t xml:space="preserve">https://opengoaaalusa.com/blogs/news/kids-soccer-goal-the-smart-parents-guide-to-choosing-the-best</t>
  </si>
  <si>
    <t xml:space="preserve">https://opengoaaalusa.com/blogs/news/soccer-finishing-drills</t>
  </si>
  <si>
    <t xml:space="preserve">https://opengoaaalusa.com/blogs/news/rebounding-soccer-nets-control-the-ball-control-the-game</t>
  </si>
  <si>
    <t xml:space="preserve">https://opengoaaalusa.com/blogs/news/the-best-soccer-rebounders-on-the-market</t>
  </si>
  <si>
    <t xml:space="preserve">https://opengoaaalusa.com/blogs/news/16x7-soccer-goal</t>
  </si>
  <si>
    <t xml:space="preserve">https://opengoaaalusa.com/blogs/news/best-soccer-balls</t>
  </si>
  <si>
    <t xml:space="preserve">https://opengoaaalusa.com/blogs/news/open-goaaal-vs-goalrilla-soccer-goal-rebounder-comparison</t>
  </si>
  <si>
    <t xml:space="preserve">https://opengoaaalusa.com/blogs/news/the-top-10-most-successful-soccer-teams</t>
  </si>
  <si>
    <t xml:space="preserve">https://opengoaaalusa.com/blogs/news/the-top-10-soccer-players-of-all-time</t>
  </si>
  <si>
    <t xml:space="preserve">https://opengoaaalusa.com/blogs/news/top-5-must-have-equipment-for-soccer-training</t>
  </si>
  <si>
    <t xml:space="preserve">https://opengoaaalusa.com/blogs/news/usa-soccer-history</t>
  </si>
  <si>
    <t xml:space="preserve">https://opengoaaalusa.com/blogs/news/portable-soccer-goals</t>
  </si>
  <si>
    <t xml:space="preserve">https://opengoaaalusa.com/blogs/news/what-is-the-best-soccer-ball</t>
  </si>
  <si>
    <t xml:space="preserve">https://opengoaaalusa.com/blogs/news/soccer-mental-training</t>
  </si>
  <si>
    <t xml:space="preserve">https://opengoaaalusa.com/blogs/news/should-i-buy-a-rebound-goal</t>
  </si>
  <si>
    <t xml:space="preserve">https://opengoaaalusa.com/blogs/news/5-best-ways-to-use-a-soccer-rebounder</t>
  </si>
  <si>
    <t xml:space="preserve">https://opengoaaalusa.com/blogs/news/what-do-you-need-for-backyard-soccer</t>
  </si>
  <si>
    <t xml:space="preserve">https://opengoaaalusa.com/blogs/news/the-smart-backyard-goal-that-returns-every-shot</t>
  </si>
  <si>
    <t xml:space="preserve">https://opengoaaalusa.com/blogs/news/goalkeeper-glove-sizing-chart</t>
  </si>
  <si>
    <t xml:space="preserve">https://opengoaaalusa.com/blogs/news/soccer-vs-football-cleats</t>
  </si>
  <si>
    <t xml:space="preserve">https://opengoaaalusa.com/blogs/news/best-goalkeeper-gloves</t>
  </si>
  <si>
    <t xml:space="preserve">https://opengoaaalusa.com/blogs/news/how-to-get-faster-at-soccer</t>
  </si>
  <si>
    <t xml:space="preserve">https://opengoaaalusa.com/blogs/news/open-goaaal-vs-sklz-soccer-rebounder-comparison</t>
  </si>
  <si>
    <t xml:space="preserve">https://opengoaaalusa.com/blogs/news/best-soccer-training-equipment</t>
  </si>
  <si>
    <t xml:space="preserve">https://opengoaaalusa.com/blogs/news/play-safe-the-essential-guide-to-preventing-soccer-injuries</t>
  </si>
  <si>
    <t xml:space="preserve">https://opengoaaalusa.com/blogs/news/the-best-soccer-goals-of-2018</t>
  </si>
  <si>
    <t xml:space="preserve">https://opengoaaalusa.com/blogs/news/how-to-improve-your-soccer-shooting-accuracy-training-tips-and-drills-for-all-ages</t>
  </si>
  <si>
    <t xml:space="preserve">https://opengoaaalusa.com/blogs/news/best-high-school-soccer-players</t>
  </si>
  <si>
    <t xml:space="preserve">https://opengoaaalusa.com/blogs/news/the-history-of-soccer-training-gear</t>
  </si>
  <si>
    <t xml:space="preserve">https://opengoaaalusa.com/blogs/news/mejores-rebotadores-de-futbol-2026</t>
  </si>
  <si>
    <t xml:space="preserve">https://opengoaaalusa.com/blogs/news/the-best-soccer-managers-of-all-time</t>
  </si>
  <si>
    <t xml:space="preserve">https://opengoaaalusa.com/blogs/news/afc-asian-cup-champions-a-journey-through-football-excellence</t>
  </si>
  <si>
    <t xml:space="preserve">https://opengoaaalusa.com/blogs/news/who-has-made-the-best-soccer-goal-ever</t>
  </si>
  <si>
    <t xml:space="preserve">https://opengoaaalusa.com/blogs/news/champions-of-africa-a-timeline-of-the-african-cup-of-nations-winners</t>
  </si>
  <si>
    <t xml:space="preserve">https://opengoaaalusa.com/blogs/news/soccer-ball-size-by-age-a-guide-for-parents-coaches-and-players</t>
  </si>
  <si>
    <t xml:space="preserve">https://opengoaaalusa.com/blogs/news/7-soccer-agility-drills-you-can-do-anywhere</t>
  </si>
  <si>
    <t xml:space="preserve">https://opengoaaalusa.com/blogs/news/how-to-coach-soccer</t>
  </si>
  <si>
    <t xml:space="preserve">https://opengoaaalusa.com/blogs/news/how-to-prepare-for-kids-soccer-tryouts</t>
  </si>
  <si>
    <t xml:space="preserve">https://opengoaaalusa.com/blogs/news/world-cup-2026-pink-boots-backyard-training</t>
  </si>
  <si>
    <t xml:space="preserve">https://opengoaaalusa.com/blogs/news/underdogs-to-champions-the-unforgettable-uefa-euro-victories</t>
  </si>
  <si>
    <t xml:space="preserve">https://opengoaaalusa.com/blogs/news/the-ultimate-backyard-training-tool-the-triple-function-rebounder-goal</t>
  </si>
  <si>
    <t xml:space="preserve">https://opengoaaalusa.com/blogs/news/why-the-3-in-1-junior-soccer-goal-trainer-is-the-smartest-backyard-upgrade-for-kids</t>
  </si>
  <si>
    <t xml:space="preserve">https://opengoaaalusa.com/blogs/news/the-best-soccer-balls-of-2019</t>
  </si>
  <si>
    <t xml:space="preserve">https://opengoaaalusa.com/blogs/news/6x4-soccer-goal</t>
  </si>
  <si>
    <t xml:space="preserve">https://opengoaaalusa.com/blogs/news/melhores-rebotadores-de-futebol-2026</t>
  </si>
  <si>
    <t xml:space="preserve">https://opengoaaalusa.com/blogs/news/copa-america-winners-a-glorious-history-of-south-american-soccer</t>
  </si>
  <si>
    <t xml:space="preserve">https://opengoaaalusa.com/blogs/news/golden-goals-a-history-of-olympic-soccer-winners</t>
  </si>
  <si>
    <t xml:space="preserve">https://opengoaaalusa.com/blogs/news/the-greatest-soccer-player-in-the-world</t>
  </si>
  <si>
    <t xml:space="preserve">https://opengoaaalusa.com/blogs/news/who-are-the-most-famous-soccer-players-in-the-world</t>
  </si>
  <si>
    <t xml:space="preserve">https://opengoaaalusa.com/blogs/news/the-best-soccer-drills-nets-and-equipment-that-top-soccer-players-use</t>
  </si>
  <si>
    <t xml:space="preserve">https://opengoaaalusa.com/blogs/news/soccer-tryouts-tips</t>
  </si>
  <si>
    <t xml:space="preserve">https://opengoaaalusa.com/blogs/news/host-cities-of-uefa-euro-2024-a-guide-to-the-venues-and-attractions</t>
  </si>
  <si>
    <t xml:space="preserve">https://opengoaaalusa.com/blogs/news/backyard-soccer-training-tips-2026-how-to-practice-soccer-at-home-and-actually-keep-kids-playing</t>
  </si>
  <si>
    <t xml:space="preserve">https://opengoaaalusa.com/blogs/news/training-techniques-for-soccer-rebounders</t>
  </si>
  <si>
    <t xml:space="preserve">https://opengoaaalusa.com/blogs/news/the-best-soccer-goal-ever-scored</t>
  </si>
  <si>
    <t xml:space="preserve">https://opengoaaalusa.com/blogs/news/transform-your-soccer-training-with-open-goaaal</t>
  </si>
  <si>
    <t xml:space="preserve">https://opengoaaalusa.com/blogs/news/tagged/soccer?page=5</t>
  </si>
  <si>
    <t xml:space="preserve">https://opengoaaalusa.com/blogs/news/tagged/equipment</t>
  </si>
  <si>
    <t xml:space="preserve">https://opengoaaalusa.com/blogs/news/the-2019-fifa-womens-world-cup</t>
  </si>
  <si>
    <t xml:space="preserve">https://opengoaaalusa.com/blogs/news/tagged/soccer?page=2</t>
  </si>
  <si>
    <t xml:space="preserve">https://opengoaaalusa.com/blogs/news/score-big-with-our-soccer-themed-holiday-gift-guide</t>
  </si>
  <si>
    <t xml:space="preserve">https://opengoaaalusa.com/blogs/news/tagged/soccer</t>
  </si>
  <si>
    <t xml:space="preserve">https://opengoaaalusa.com/blogs/news/tagged/triple-function-rebounder-goal</t>
  </si>
  <si>
    <t xml:space="preserve">https://opengoaaalusa.com/blogs/news/tagged/3-in-1-junior-soccer-goal-trainer</t>
  </si>
  <si>
    <t xml:space="preserve">https://opengoaaalusa.com/blogs/news/choosing-the-right-soccer-gear</t>
  </si>
  <si>
    <t xml:space="preserve">https://opengoaaalusa.com/blogs/news/open-goaaals-rebounding-soccer-goal-wins-ispo-award-for-best-team-sports-hardware</t>
  </si>
  <si>
    <t xml:space="preserve">https://opengoaaalusa.com/blogs/news/world-cup-2022</t>
  </si>
  <si>
    <t xml:space="preserve">https://opengoaaalusa.com/blogs/news/tagged/training-equipment</t>
  </si>
  <si>
    <t xml:space="preserve">https://opengoaaalusa.com/blogs/news/tagged/buying-guide</t>
  </si>
  <si>
    <t xml:space="preserve">https://opengoaaalusa.com/blogs/news/tagged/training-tips</t>
  </si>
  <si>
    <t xml:space="preserve">https://opengoaaalusa.com/blogs/news/how-to-get-better-at-soccer-becoming-a-better-player</t>
  </si>
  <si>
    <t xml:space="preserve">https://opengoaaalusa.com/blogs/news/tagged/training</t>
  </si>
  <si>
    <t xml:space="preserve">https://opengoaaalusa.com/blogs/news/tagged/fifa</t>
  </si>
  <si>
    <t xml:space="preserve">https://opengoaaalusa.com/blogs/news/tagged/football-practice</t>
  </si>
  <si>
    <t xml:space="preserve">https://opengoaaalusa.com/blogs/news/preparing-for-kids-soccer</t>
  </si>
  <si>
    <t xml:space="preserve">https://opengoaaalusa.com/blogs/news/famous-soccer-player-jersey-numbers</t>
  </si>
  <si>
    <t xml:space="preserve">https://opengoaaalusa.com/blogs/news/tagged/soccer?page=4</t>
  </si>
  <si>
    <t xml:space="preserve">https://opengoaaalusa.com/blogs/news/tagged/soccer?page=3</t>
  </si>
  <si>
    <t xml:space="preserve">https://opengoaaalusa.com/blogs/news/usa-soccer-is-on-the-rise-1</t>
  </si>
  <si>
    <t xml:space="preserve">https://opengoaaalusa.com/blogs/news/tagged/soccer-rebounder</t>
  </si>
  <si>
    <t xml:space="preserve">https://opengoaaalusa.com/blogs/news/the-best-goal-ever-made-by-a-soccer-team</t>
  </si>
  <si>
    <t xml:space="preserve">https://opengoaaalusa.com/blogs/news/soccer-usa-gear-for-2019</t>
  </si>
  <si>
    <t xml:space="preserve">https://opengoaaalusa.com/blogs/news/tagged/training?page=2</t>
  </si>
  <si>
    <t xml:space="preserve">https://opengoaaalusa.com/blogs/news/tagged/smart-soccer-balls</t>
  </si>
  <si>
    <t xml:space="preserve">https://opengoaaalusa.com/blogs/news/tagged/soccer-goal</t>
  </si>
  <si>
    <t xml:space="preserve">https://opengoaaalusa.com/blogs/news/tagged/soccer-iq</t>
  </si>
  <si>
    <t xml:space="preserve">https://www.opengoaaalusa.com/blogs/news/regulation-soccer-goal-sizes</t>
  </si>
  <si>
    <t xml:space="preserve">https://opengoaaalusa.com/blogs/news/the-best-bicycle-kicks-in-history/</t>
  </si>
  <si>
    <t xml:space="preserve">https://opengoaaalusa.com/blogs/news/tagged/soccer-tournament</t>
  </si>
  <si>
    <t xml:space="preserve">https://opengoaaalusa.com/blogs/news/tagged/lacrosse</t>
  </si>
  <si>
    <t xml:space="preserve">https://opengoaaalusa.com/blogs/news/soccer-meg</t>
  </si>
  <si>
    <t xml:space="preserve">https://opengoaaalusa.com/blogs/news/famous-soccer-players-numbers</t>
  </si>
  <si>
    <t xml:space="preserve">https://opengoaaalusa.com/blogs/news/open-goaaal-lacrosse-lax-coming-soon-fall-2020</t>
  </si>
  <si>
    <t xml:space="preserve">https://opengoaaalusa.com/blogs/news/why-do-soccer-balls-matter?_pos=1</t>
  </si>
  <si>
    <t xml:space="preserve">https://www.opengoaaalusa.com/blogs/news/famous-soccer-player-numbers</t>
  </si>
  <si>
    <t xml:space="preserve">https://opengoaaalusa.com/blogs/news/tagged/improve-game</t>
  </si>
  <si>
    <t xml:space="preserve">https://opengoaaalusa.com/blogs/news/tagged/home-practice</t>
  </si>
  <si>
    <t xml:space="preserve">https://opengoaaalusa.com/blogs/news/tagged/soccer-goal?page=2</t>
  </si>
  <si>
    <t xml:space="preserve">https://opengoaaalusa.com/blogs/news/tagged/equipment?page=3</t>
  </si>
  <si>
    <t xml:space="preserve">https://opengoaaalusa.com/blogs/news/tagged/equipment?page=2</t>
  </si>
  <si>
    <t xml:space="preserve">https://opengoaaalusa.com/blogs/news/tagged/keep-soccer-balls-contained</t>
  </si>
  <si>
    <t xml:space="preserve">https://opengoaaalusa.com/blogs/news/fun-games-for-kids</t>
  </si>
  <si>
    <t xml:space="preserve">https://opengoaaalusa.com/blogs/news/what-does-fifa-stand-for-read-here/</t>
  </si>
  <si>
    <t xml:space="preserve">https://opengoaaalusa.com/blogs/news/where-is-soccer-is-most-popular</t>
  </si>
  <si>
    <t xml:space="preserve">https://www.opengoaaalusa.com/blogs/news/what-is-a-soccer-rebounder-and-why-every-player-needs-one-in-2025</t>
  </si>
  <si>
    <t xml:space="preserve">https://opengoaaalusa.com/blogs/news/tagged/soccer-ball</t>
  </si>
  <si>
    <t xml:space="preserve">https://opengoaaalusa.com/blogs/news/tagged/ultimate-backyard-training-tool</t>
  </si>
  <si>
    <t xml:space="preserve">https://opengoaaalusa.com/blogs/news/soccer-ball-size-by-by-age</t>
  </si>
  <si>
    <t xml:space="preserve">https://opengoaaalusa.com/blogs/news/tagged/open-goaaal-soccer-net</t>
  </si>
  <si>
    <t xml:space="preserve">https://opengoaaalusa.com/blogs/news/goals-and-glories-origins-of-english-soccer-club-names</t>
  </si>
  <si>
    <t xml:space="preserve">https://opengoaaalusa.com/blogs/news/tagged/soccer-training-equipment</t>
  </si>
  <si>
    <t xml:space="preserve">Country</t>
  </si>
  <si>
    <t xml:space="preserve">Last 6 months CTR</t>
  </si>
  <si>
    <t xml:space="preserve">Previous 6 months CTR</t>
  </si>
  <si>
    <t xml:space="preserve">Last 6 months Position</t>
  </si>
  <si>
    <t xml:space="preserve">Previous 6 months Position</t>
  </si>
  <si>
    <t xml:space="preserve">United States</t>
  </si>
  <si>
    <t xml:space="preserve">Source: opengoaaalusa.com - Blog Content_.xlsx / Countries</t>
  </si>
  <si>
    <t xml:space="preserve">Canada</t>
  </si>
  <si>
    <t xml:space="preserve">United Kingdom</t>
  </si>
  <si>
    <t xml:space="preserve">Australia</t>
  </si>
  <si>
    <t xml:space="preserve">Mexico</t>
  </si>
  <si>
    <t xml:space="preserve">Brazil</t>
  </si>
  <si>
    <t xml:space="preserve">Spain</t>
  </si>
  <si>
    <t xml:space="preserve">Kenya</t>
  </si>
  <si>
    <t xml:space="preserve">Colombia</t>
  </si>
  <si>
    <t xml:space="preserve">Nigeria</t>
  </si>
  <si>
    <t xml:space="preserve">India</t>
  </si>
  <si>
    <t xml:space="preserve">Portugal</t>
  </si>
  <si>
    <t xml:space="preserve">Ecuador</t>
  </si>
  <si>
    <t xml:space="preserve">Ireland</t>
  </si>
  <si>
    <t xml:space="preserve">Argentina</t>
  </si>
  <si>
    <t xml:space="preserve">Guatemala</t>
  </si>
  <si>
    <t xml:space="preserve">Peru</t>
  </si>
  <si>
    <t xml:space="preserve">France</t>
  </si>
  <si>
    <t xml:space="preserve">Italy</t>
  </si>
  <si>
    <t xml:space="preserve">Indonesia</t>
  </si>
  <si>
    <t xml:space="preserve">Venezuela</t>
  </si>
  <si>
    <t xml:space="preserve">South Africa</t>
  </si>
  <si>
    <t xml:space="preserve">Germany</t>
  </si>
  <si>
    <t xml:space="preserve">Philippines</t>
  </si>
  <si>
    <t xml:space="preserve">New Zealand</t>
  </si>
  <si>
    <t xml:space="preserve">Puerto Rico</t>
  </si>
  <si>
    <t xml:space="preserve">Chile</t>
  </si>
  <si>
    <t xml:space="preserve">Greece</t>
  </si>
  <si>
    <t xml:space="preserve">Honduras</t>
  </si>
  <si>
    <t xml:space="preserve">Malaysia</t>
  </si>
  <si>
    <t xml:space="preserve">Japan</t>
  </si>
  <si>
    <t xml:space="preserve">Singapore</t>
  </si>
  <si>
    <t xml:space="preserve">Uruguay</t>
  </si>
  <si>
    <t xml:space="preserve">Turkey</t>
  </si>
  <si>
    <t xml:space="preserve">Belize</t>
  </si>
  <si>
    <t xml:space="preserve">Bangladesh</t>
  </si>
  <si>
    <t xml:space="preserve">Bolivia</t>
  </si>
  <si>
    <t xml:space="preserve">Sweden</t>
  </si>
  <si>
    <t xml:space="preserve">Belgium</t>
  </si>
  <si>
    <t xml:space="preserve">Israel</t>
  </si>
  <si>
    <t xml:space="preserve">Finland</t>
  </si>
  <si>
    <t xml:space="preserve">Taiwan</t>
  </si>
  <si>
    <t xml:space="preserve">Panama</t>
  </si>
  <si>
    <t xml:space="preserve">Pakistan</t>
  </si>
  <si>
    <t xml:space="preserve">Ghana</t>
  </si>
  <si>
    <t xml:space="preserve">El Salvador</t>
  </si>
  <si>
    <t xml:space="preserve">Netherlands</t>
  </si>
  <si>
    <t xml:space="preserve">Costa Rica</t>
  </si>
  <si>
    <t xml:space="preserve">United Arab Emirates</t>
  </si>
  <si>
    <t xml:space="preserve">South Korea</t>
  </si>
  <si>
    <t xml:space="preserve">Poland</t>
  </si>
  <si>
    <t xml:space="preserve">Morocco</t>
  </si>
  <si>
    <t xml:space="preserve">Mozambique</t>
  </si>
  <si>
    <t xml:space="preserve">Vietnam</t>
  </si>
  <si>
    <t xml:space="preserve">Egypt</t>
  </si>
  <si>
    <t xml:space="preserve">Nicaragua</t>
  </si>
  <si>
    <t xml:space="preserve">Norway</t>
  </si>
  <si>
    <t xml:space="preserve">Thailand</t>
  </si>
  <si>
    <t xml:space="preserve">Switzerland</t>
  </si>
  <si>
    <t xml:space="preserve">Denmark</t>
  </si>
  <si>
    <t xml:space="preserve">Russia</t>
  </si>
  <si>
    <t xml:space="preserve">China</t>
  </si>
  <si>
    <t xml:space="preserve">Uganda</t>
  </si>
  <si>
    <t xml:space="preserve">Guinea</t>
  </si>
  <si>
    <t xml:space="preserve">Slovakia</t>
  </si>
  <si>
    <t xml:space="preserve">Luxembourg</t>
  </si>
  <si>
    <t xml:space="preserve">Bermuda</t>
  </si>
  <si>
    <t xml:space="preserve">Paraguay</t>
  </si>
  <si>
    <t xml:space="preserve">Dominican Republic</t>
  </si>
  <si>
    <t xml:space="preserve">Saudi Arabia</t>
  </si>
  <si>
    <t xml:space="preserve">Nepal</t>
  </si>
  <si>
    <t xml:space="preserve">Hong Kong</t>
  </si>
  <si>
    <t xml:space="preserve">Jamaica</t>
  </si>
  <si>
    <t xml:space="preserve">Romania</t>
  </si>
  <si>
    <t xml:space="preserve">Trinidad &amp; Tobago</t>
  </si>
  <si>
    <t xml:space="preserve">Jordan</t>
  </si>
  <si>
    <t xml:space="preserve">Zimbabwe</t>
  </si>
  <si>
    <t xml:space="preserve">Austria</t>
  </si>
  <si>
    <t xml:space="preserve">Cuba</t>
  </si>
  <si>
    <t xml:space="preserve">Qatar</t>
  </si>
  <si>
    <t xml:space="preserve">Ethiopia</t>
  </si>
  <si>
    <t xml:space="preserve">Hungary</t>
  </si>
  <si>
    <t xml:space="preserve">Croatia</t>
  </si>
  <si>
    <t xml:space="preserve">Ukraine</t>
  </si>
  <si>
    <t xml:space="preserve">Botswana</t>
  </si>
  <si>
    <t xml:space="preserve">Bulgaria</t>
  </si>
  <si>
    <t xml:space="preserve">Sri Lanka</t>
  </si>
  <si>
    <t xml:space="preserve">Kuwait</t>
  </si>
  <si>
    <t xml:space="preserve">Estonia</t>
  </si>
  <si>
    <t xml:space="preserve">Iceland</t>
  </si>
  <si>
    <t xml:space="preserve">Bahamas</t>
  </si>
  <si>
    <t xml:space="preserve">Oman</t>
  </si>
  <si>
    <t xml:space="preserve">Lithuania</t>
  </si>
  <si>
    <t xml:space="preserve">Malta</t>
  </si>
  <si>
    <t xml:space="preserve">Slovenia</t>
  </si>
  <si>
    <t xml:space="preserve">Papua New Guinea</t>
  </si>
  <si>
    <t xml:space="preserve">Liberia</t>
  </si>
  <si>
    <t xml:space="preserve">Curaçao</t>
  </si>
  <si>
    <t xml:space="preserve">Macedonia</t>
  </si>
  <si>
    <t xml:space="preserve">Rwanda</t>
  </si>
  <si>
    <t xml:space="preserve">Kosovo</t>
  </si>
  <si>
    <t xml:space="preserve">Macau</t>
  </si>
  <si>
    <t xml:space="preserve">Gambia</t>
  </si>
  <si>
    <t xml:space="preserve">Mali</t>
  </si>
  <si>
    <t xml:space="preserve">Gabon</t>
  </si>
  <si>
    <t xml:space="preserve">Solomon Islands</t>
  </si>
  <si>
    <t xml:space="preserve">Unknown Region</t>
  </si>
  <si>
    <t xml:space="preserve">Guernsey</t>
  </si>
  <si>
    <t xml:space="preserve">Réunion</t>
  </si>
  <si>
    <t xml:space="preserve">Angola</t>
  </si>
  <si>
    <t xml:space="preserve">Iraq</t>
  </si>
  <si>
    <t xml:space="preserve">Algeria</t>
  </si>
  <si>
    <t xml:space="preserve">Iran</t>
  </si>
  <si>
    <t xml:space="preserve">Tanzania</t>
  </si>
  <si>
    <t xml:space="preserve">Mauritania</t>
  </si>
  <si>
    <t xml:space="preserve">Zambia</t>
  </si>
  <si>
    <t xml:space="preserve">Czechia</t>
  </si>
  <si>
    <t xml:space="preserve">Cyprus</t>
  </si>
  <si>
    <t xml:space="preserve">Lebanon</t>
  </si>
  <si>
    <t xml:space="preserve">Georgia</t>
  </si>
  <si>
    <t xml:space="preserve">Libya</t>
  </si>
  <si>
    <t xml:space="preserve">Congo - Kinshasa</t>
  </si>
  <si>
    <t xml:space="preserve">Palestine</t>
  </si>
  <si>
    <t xml:space="preserve">Azerbaijan</t>
  </si>
  <si>
    <t xml:space="preserve">Serbia</t>
  </si>
  <si>
    <t xml:space="preserve">Cameroon</t>
  </si>
  <si>
    <t xml:space="preserve">Côte d’Ivoire</t>
  </si>
  <si>
    <t xml:space="preserve">Cape Verde</t>
  </si>
  <si>
    <t xml:space="preserve">Tunisia</t>
  </si>
  <si>
    <t xml:space="preserve">Cambodia</t>
  </si>
  <si>
    <t xml:space="preserve">Myanmar (Burma)</t>
  </si>
  <si>
    <t xml:space="preserve">Kazakhstan</t>
  </si>
  <si>
    <t xml:space="preserve">Uzbekistan</t>
  </si>
  <si>
    <t xml:space="preserve">Namibia</t>
  </si>
  <si>
    <t xml:space="preserve">Senegal</t>
  </si>
  <si>
    <t xml:space="preserve">Latvia</t>
  </si>
  <si>
    <t xml:space="preserve">Albania</t>
  </si>
  <si>
    <t xml:space="preserve">Haiti</t>
  </si>
  <si>
    <t xml:space="preserve">Bosnia &amp; Herzegovina</t>
  </si>
  <si>
    <t xml:space="preserve">Maldives</t>
  </si>
  <si>
    <t xml:space="preserve">Cayman Islands</t>
  </si>
  <si>
    <t xml:space="preserve">Guyana</t>
  </si>
  <si>
    <t xml:space="preserve">Malawi</t>
  </si>
  <si>
    <t xml:space="preserve">Andorra</t>
  </si>
  <si>
    <t xml:space="preserve">Bahrain</t>
  </si>
  <si>
    <t xml:space="preserve">Barbados</t>
  </si>
  <si>
    <t xml:space="preserve">Mauritius</t>
  </si>
  <si>
    <t xml:space="preserve">Sierra Leone</t>
  </si>
  <si>
    <t xml:space="preserve">Mongolia</t>
  </si>
  <si>
    <t xml:space="preserve">Aruba</t>
  </si>
  <si>
    <t xml:space="preserve">Swaziland</t>
  </si>
  <si>
    <t xml:space="preserve">Armenia</t>
  </si>
  <si>
    <t xml:space="preserve">Fiji</t>
  </si>
  <si>
    <t xml:space="preserve">Brunei</t>
  </si>
  <si>
    <t xml:space="preserve">Guam</t>
  </si>
  <si>
    <t xml:space="preserve">Bhutan</t>
  </si>
  <si>
    <t xml:space="preserve">Lesotho</t>
  </si>
  <si>
    <t xml:space="preserve">Somalia</t>
  </si>
  <si>
    <t xml:space="preserve">Belarus</t>
  </si>
  <si>
    <t xml:space="preserve">Guinea-Bissau</t>
  </si>
  <si>
    <t xml:space="preserve">Syria</t>
  </si>
  <si>
    <t xml:space="preserve">Burkina Faso</t>
  </si>
  <si>
    <t xml:space="preserve">Moldova</t>
  </si>
  <si>
    <t xml:space="preserve">Suriname</t>
  </si>
  <si>
    <t xml:space="preserve">St. Lucia</t>
  </si>
  <si>
    <t xml:space="preserve">U.S. Virgin Islands</t>
  </si>
  <si>
    <t xml:space="preserve">Congo - Brazzaville</t>
  </si>
  <si>
    <t xml:space="preserve">Togo</t>
  </si>
  <si>
    <t xml:space="preserve">Kyrgyzstan</t>
  </si>
  <si>
    <t xml:space="preserve">Benin</t>
  </si>
  <si>
    <t xml:space="preserve">Turks &amp; Caicos Islands</t>
  </si>
  <si>
    <t xml:space="preserve">Montenegro</t>
  </si>
  <si>
    <t xml:space="preserve">Madagascar</t>
  </si>
  <si>
    <t xml:space="preserve">Equatorial Guinea</t>
  </si>
  <si>
    <t xml:space="preserve">Afghanistan</t>
  </si>
  <si>
    <t xml:space="preserve">Grenada</t>
  </si>
  <si>
    <t xml:space="preserve">South Sudan</t>
  </si>
  <si>
    <t xml:space="preserve">St. Kitts &amp; Nevis</t>
  </si>
  <si>
    <t xml:space="preserve">British Virgin Islands</t>
  </si>
  <si>
    <t xml:space="preserve">Sint Maarten</t>
  </si>
  <si>
    <t xml:space="preserve">Jersey</t>
  </si>
  <si>
    <t xml:space="preserve">Sudan</t>
  </si>
  <si>
    <t xml:space="preserve">Antigua &amp; Barbuda</t>
  </si>
  <si>
    <t xml:space="preserve">Laos</t>
  </si>
  <si>
    <t xml:space="preserve">Caribbean Netherlands</t>
  </si>
  <si>
    <t xml:space="preserve">Dominica</t>
  </si>
  <si>
    <t xml:space="preserve">Seychelles</t>
  </si>
  <si>
    <t xml:space="preserve">Faroe Islands</t>
  </si>
  <si>
    <t xml:space="preserve">Yemen</t>
  </si>
  <si>
    <t xml:space="preserve">St. Vincent &amp; Grenadines</t>
  </si>
  <si>
    <t xml:space="preserve">Timor-Leste</t>
  </si>
  <si>
    <t xml:space="preserve">Isle of Man</t>
  </si>
  <si>
    <t xml:space="preserve">Turkmenistan</t>
  </si>
  <si>
    <t xml:space="preserve">Chad</t>
  </si>
  <si>
    <t xml:space="preserve">Guadeloupe</t>
  </si>
  <si>
    <t xml:space="preserve">Anguilla</t>
  </si>
  <si>
    <t xml:space="preserve">Vanuatu</t>
  </si>
  <si>
    <t xml:space="preserve">St. Martin</t>
  </si>
  <si>
    <t xml:space="preserve">Comoros</t>
  </si>
  <si>
    <t xml:space="preserve">Liechtenstein</t>
  </si>
  <si>
    <t xml:space="preserve">Samoa</t>
  </si>
  <si>
    <t xml:space="preserve">Burundi</t>
  </si>
  <si>
    <t xml:space="preserve">Gibraltar</t>
  </si>
  <si>
    <t xml:space="preserve">Northern Mariana Islands</t>
  </si>
  <si>
    <t xml:space="preserve">San Marino</t>
  </si>
  <si>
    <t xml:space="preserve">Martinique</t>
  </si>
  <si>
    <t xml:space="preserve">Niger</t>
  </si>
  <si>
    <t xml:space="preserve">São Tomé &amp; Príncipe</t>
  </si>
  <si>
    <t xml:space="preserve">Central African Republic</t>
  </si>
  <si>
    <t xml:space="preserve">Tajikistan</t>
  </si>
  <si>
    <t xml:space="preserve">Greenland</t>
  </si>
  <si>
    <t xml:space="preserve">Western Sahara</t>
  </si>
  <si>
    <t xml:space="preserve">Tonga</t>
  </si>
  <si>
    <t xml:space="preserve">Falkland Islands (Islas Malvinas)</t>
  </si>
  <si>
    <t xml:space="preserve">French Guiana</t>
  </si>
  <si>
    <t xml:space="preserve">American Samoa</t>
  </si>
  <si>
    <t xml:space="preserve">Palau</t>
  </si>
  <si>
    <t xml:space="preserve">Eritrea</t>
  </si>
  <si>
    <t xml:space="preserve">French Polynesia</t>
  </si>
  <si>
    <t xml:space="preserve">Monaco</t>
  </si>
  <si>
    <t xml:space="preserve">Cook Islands</t>
  </si>
  <si>
    <t xml:space="preserve">Micronesia</t>
  </si>
  <si>
    <t xml:space="preserve">Djibouti</t>
  </si>
  <si>
    <t xml:space="preserve">Kiribati</t>
  </si>
  <si>
    <t xml:space="preserve">British Indian Ocean Territory</t>
  </si>
  <si>
    <t xml:space="preserve">New Caledonia</t>
  </si>
  <si>
    <t xml:space="preserve">Montserrat</t>
  </si>
  <si>
    <t xml:space="preserve">Mayotte</t>
  </si>
  <si>
    <t xml:space="preserve">Antarctica</t>
  </si>
  <si>
    <t xml:space="preserve">Åland Islands</t>
  </si>
  <si>
    <t xml:space="preserve">Marshall Islands</t>
  </si>
  <si>
    <t xml:space="preserve">St. Helena</t>
  </si>
  <si>
    <t xml:space="preserve">Niue</t>
  </si>
  <si>
    <t xml:space="preserve">Tuvalu</t>
  </si>
  <si>
    <t xml:space="preserve">Christmas Island</t>
  </si>
  <si>
    <t xml:space="preserve">Svalbard &amp; Jan Mayen</t>
  </si>
  <si>
    <t xml:space="preserve">Filter</t>
  </si>
  <si>
    <t xml:space="preserve">Value</t>
  </si>
  <si>
    <t xml:space="preserve">Search type</t>
  </si>
  <si>
    <t xml:space="preserve">Web</t>
  </si>
  <si>
    <t xml:space="preserve">Source: opengoaaalusa.com - Blog Content_.xlsx / Filters</t>
  </si>
  <si>
    <t xml:space="preserve">Date</t>
  </si>
  <si>
    <t xml:space="preserve">Last 6 months</t>
  </si>
  <si>
    <t xml:space="preserve">Page</t>
  </si>
  <si>
    <t xml:space="preserve">+/blogs/news/</t>
  </si>
  <si>
    <t xml:space="preserve">Source: striking-viking - Issues.xlsx / 4xx</t>
  </si>
  <si>
    <t xml:space="preserve">4xx Pages</t>
  </si>
  <si>
    <t xml:space="preserve">Sr. no</t>
  </si>
  <si>
    <t xml:space="preserve">First fount at </t>
  </si>
  <si>
    <t xml:space="preserve">Source HTTP status code</t>
  </si>
  <si>
    <t xml:space="preserve">Target URL</t>
  </si>
  <si>
    <t xml:space="preserve">Target HTTP status code</t>
  </si>
  <si>
    <t xml:space="preserve">Anchor</t>
  </si>
  <si>
    <t xml:space="preserve">https://striking-viking.com/products/striking-viking-hybrid-beard-growth-bundle-with-sandalwood-unscented-beard-oils-and-derma-roller</t>
  </si>
  <si>
    <t xml:space="preserve">https://account.striking-viking.com/?locale=en&amp;buyer_flags=eyJhbGciOiJIUzI1NiJ9.eyJpc3MiOiJzdHJpa2luZy12aWtpbmcubXlzaG9waWZ5LmNvbSIsImZsYWdzIjpbXSwiZXhwIjoxNzkxMjkzMDA1LCJuYmYiOjE3OTA2ODgyMDV9.ekRgv3Rn4dJGKJKXV0HPH6qN8mfdRQsvmnxv_GsNPOQ</t>
  </si>
  <si>
    <t xml:space="preserve">Create account</t>
  </si>
  <si>
    <t xml:space="preserve">https://striking-viking.com/products/charlemagne-carbon-wide-tooth-comb-for-men-heat-resistant-carbon-fiber-hair-comb</t>
  </si>
  <si>
    <t xml:space="preserve">https://account.striking-viking.com/?locale=en&amp;buyer_flags=eyJhbGciOiJIUzI1NiJ9.eyJpc3MiOiJzdHJpa2luZy12aWtpbmcubXlzaG9waWZ5LmNvbSIsImZsYWdzIjpbXSwiZXhwIjoxNzkxMjkyNTU3LCJuYmYiOjE3OTA2ODc3NTd9.AuzQ5WktWnMKf0rqSUIlmpQ8aNTqxQgV3bP3dg8iYrU</t>
  </si>
  <si>
    <t xml:space="preserve">https://striking-viking.com/products/shipping-protection</t>
  </si>
  <si>
    <t xml:space="preserve">https://account.striking-viking.com/?locale=en&amp;buyer_flags=eyJhbGciOiJIUzI1NiJ9.eyJpc3MiOiJzdHJpa2luZy12aWtpbmcubXlzaG9waWZ5LmNvbSIsImZsYWdzIjpbXSwiZXhwIjoxNzkxMjkyNzY3LCJuYmYiOjE3OTA2ODc5Njd9.QZ1__YzzSDI4MgTpeCVO_jRprB2AFk0lWxdG3VFBKRk</t>
  </si>
  <si>
    <t xml:space="preserve">https://striking-viking.com/products/gift-wrapping</t>
  </si>
  <si>
    <t xml:space="preserve">https://account.striking-viking.com/?locale=en&amp;buyer_flags=eyJhbGciOiJIUzI1NiJ9.eyJpc3MiOiJzdHJpa2luZy12aWtpbmcubXlzaG9waWZ5LmNvbSIsImZsYWdzIjpbXSwiZXhwIjoxNzkxMjkyNzM1LCJuYmYiOjE3OTA2ODc5MzV9.uHZaFad2ROSZt8QKOQgsV1moHcoUmAgLhu2E28GNXBI</t>
  </si>
  <si>
    <t xml:space="preserve">https://striking-viking.com/products/ontaki-hair-thinning-shears-kit-7-inch-professional-hair-cutting-texturizing-set</t>
  </si>
  <si>
    <t xml:space="preserve">https://account.striking-viking.com/?locale=en&amp;buyer_flags=eyJhbGciOiJIUzI1NiJ9.eyJpc3MiOiJzdHJpa2luZy12aWtpbmcubXlzaG9waWZ5LmNvbSIsImZsYWdzIjpbXSwiZXhwIjoxNzkxMjkyMTY1LCJuYmYiOjE3OTA2ODczNjV9.gXiAFPzHSDRucSMV_UA_hPSdDlnTCiSPXfvkcsgzLeM</t>
  </si>
  <si>
    <t xml:space="preserve">https://striking-viking.com/products/striking-viking-blue-ocean-beard-oil-for-men-natural-beard-growth-oil-with-argan-jojoba</t>
  </si>
  <si>
    <t xml:space="preserve">https://account.striking-viking.com/?locale=en&amp;buyer_flags=eyJhbGciOiJIUzI1NiJ9.eyJpc3MiOiJzdHJpa2luZy12aWtpbmcubXlzaG9waWZ5LmNvbSIsImZsYWdzIjpbXSwiZXhwIjoxNzkxMjkyMzc1LCJuYmYiOjE3OTA2ODc1NzV9.GTAuVtfBTUYi0xI_OohkoUPCIhbtZt9vJJOHK2tIWls</t>
  </si>
  <si>
    <t xml:space="preserve">https://striking-viking.com/products/striking-viking-beard-oil-variety-4-pack-citrus-vanilla-cedarwood-sandalwood</t>
  </si>
  <si>
    <t xml:space="preserve">https://account.striking-viking.com/?locale=en&amp;buyer_flags=eyJhbGciOiJIUzI1NiJ9.eyJpc3MiOiJzdHJpa2luZy12aWtpbmcubXlzaG9waWZ5LmNvbSIsImZsYWdzIjpbXSwiZXhwIjoxNzkxMjkxMzg1LCJuYmYiOjE3OTA2ODY1ODV9.DY84dwmJuY18KPeqicT0qbvqeZ422HDfMbFvUxKf2LM</t>
  </si>
  <si>
    <t xml:space="preserve">https://striking-viking.com/products/striking-viking-vanilla-beard-growth-kit-with-biotin-oil-0-25mm-derma-roller</t>
  </si>
  <si>
    <t xml:space="preserve">https://account.striking-viking.com/?locale=en&amp;buyer_flags=eyJhbGciOiJIUzI1NiJ9.eyJpc3MiOiJzdHJpa2luZy12aWtpbmcubXlzaG9waWZ5LmNvbSIsImZsYWdzIjpbXSwiZXhwIjoxNzkxMjkzMjQ1LCJuYmYiOjE3OTA2ODg0NDV9.-lSCQZQFHe_PyDYdQYofF7-jjwR8zLNNTPf9Zzz80jg</t>
  </si>
  <si>
    <t xml:space="preserve">https://striking-viking.com/products/striking-viking-sandalwood-beard-shampoo-for-clean-healthy-soft-beard-care-for-men</t>
  </si>
  <si>
    <t xml:space="preserve">https://account.striking-viking.com/?locale=en&amp;buyer_flags=eyJhbGciOiJIUzI1NiJ9.eyJpc3MiOiJzdHJpa2luZy12aWtpbmcubXlzaG9waWZ5LmNvbSIsImZsYWdzIjpbXSwiZXhwIjoxNzkxMjkzNDg2LCJuYmYiOjE3OTA2ODg2ODZ9.mpPvaj-Xi1DKC4TqFU-hxsHNGg_b0bpQuSVMKwhahwE</t>
  </si>
  <si>
    <t xml:space="preserve">https://striking-viking.com/products/striking-viking-vanilla-beard-balm-2-pack-with-natural-organic-ingredients-for-beard-styling</t>
  </si>
  <si>
    <t xml:space="preserve">https://account.striking-viking.com/?locale=en&amp;buyer_flags=eyJhbGciOiJIUzI1NiJ9.eyJpc3MiOiJzdHJpa2luZy12aWtpbmcubXlzaG9waWZ5LmNvbSIsImZsYWdzIjpbXSwiZXhwIjoxNzkxMjkzMTU1LCJuYmYiOjE3OTA2ODgzNTV9.GYvHjVcAIZWYN9ZNrzhtH5L9MlK825xpTNADCnuQfgI</t>
  </si>
  <si>
    <t xml:space="preserve">https://striking-viking.com/products/striking-viking-bergamot-thunder-beard-balm-for-men-natural-beard-balm-with-shea-butter</t>
  </si>
  <si>
    <t xml:space="preserve">https://account.striking-viking.com/?locale=en&amp;buyer_flags=eyJhbGciOiJIUzI1NiJ9.eyJpc3MiOiJzdHJpa2luZy12aWtpbmcubXlzaG9waWZ5LmNvbSIsImZsYWdzIjpbXSwiZXhwIjoxNzkxMjkyNDA2LCJuYmYiOjE3OTA2ODc2MDZ9.5w8Kx2GzJtt38gy4iEkREyH8Id9rTzOh4so_-Li6s_8</t>
  </si>
  <si>
    <t xml:space="preserve">https://striking-viking.com/products/ontaki-professional-thinning-texturizing-scissors-set-6-5-inch-japanese-alloy-steel</t>
  </si>
  <si>
    <t xml:space="preserve">https://account.striking-viking.com/?locale=en&amp;buyer_flags=eyJhbGciOiJIUzI1NiJ9.eyJpc3MiOiJzdHJpa2luZy12aWtpbmcubXlzaG9waWZ5LmNvbSIsImZsYWdzIjpbXSwiZXhwIjoxNzkxMjkxODk1LCJuYmYiOjE3OTA2ODcwOTV9.1qoG6NVao39HmrSQk9gfHXdGZhuXwhYUypkxeUmBhkc</t>
  </si>
  <si>
    <t xml:space="preserve">https://striking-viking.com/products/striking-viking-unscented-beard-oil-and-balm-kit-natural-beard-grooming-set-for-men</t>
  </si>
  <si>
    <t xml:space="preserve">https://account.striking-viking.com/?locale=en&amp;buyer_flags=eyJhbGciOiJIUzI1NiJ9.eyJpc3MiOiJzdHJpa2luZy12aWtpbmcubXlzaG9waWZ5LmNvbSIsImZsYWdzIjpbXSwiZXhwIjoxNzkxMjkxODM1LCJuYmYiOjE3OTA2ODcwMzV9.3BaaYejcHhF0FJVQnxFLjZ8FqUyi2fvaZVmSmXNLXpc</t>
  </si>
  <si>
    <t xml:space="preserve">https://striking-viking.com/products/striking-viking-bergamot-thunder-beard-oil-for-men-natural-beard-growth-oil-with-argan-jojoba</t>
  </si>
  <si>
    <t xml:space="preserve">https://account.striking-viking.com/?locale=en&amp;buyer_flags=eyJhbGciOiJIUzI1NiJ9.eyJpc3MiOiJzdHJpa2luZy12aWtpbmcubXlzaG9waWZ5LmNvbSIsImZsYWdzIjpbXSwiZXhwIjoxNzkxMjkyMzE2LCJuYmYiOjE3OTA2ODc1MTZ9.gmehvdLxxIoYfoPGgBUobI_pQAF5DgTKjFGweW3IKq4</t>
  </si>
  <si>
    <t xml:space="preserve">https://striking-viking.com/products/ontaki-curved-fabric-scissors-6-5-inch-german-stainless-steel-embroidery-scissors</t>
  </si>
  <si>
    <t xml:space="preserve">https://account.striking-viking.com/?locale=en&amp;buyer_flags=eyJhbGciOiJIUzI1NiJ9.eyJpc3MiOiJzdHJpa2luZy12aWtpbmcubXlzaG9waWZ5LmNvbSIsImZsYWdzIjpbXSwiZXhwIjoxNzkxMjkyMTk2LCJuYmYiOjE3OTA2ODczOTZ9.p6yzuvXVlsg0u5NPlIl-lCuileLgmXAJ7igQnv7L6DY</t>
  </si>
  <si>
    <t xml:space="preserve">https://striking-viking.com/products/charlemagne-carbon-hair-comb-for-men-professional-heat-resistant-styling-detangling-comb</t>
  </si>
  <si>
    <t xml:space="preserve">https://account.striking-viking.com/?locale=en&amp;buyer_flags=eyJhbGciOiJIUzI1NiJ9.eyJpc3MiOiJzdHJpa2luZy12aWtpbmcubXlzaG9waWZ5LmNvbSIsImZsYWdzIjpbXSwiZXhwIjoxNzkxMjkyNTI2LCJuYmYiOjE3OTA2ODc3MjZ9.cuxTZ6UFvSEfg5nXfhPpQOLNFnmEysl96v26Fiw7Nw0</t>
  </si>
  <si>
    <t xml:space="preserve">https://striking-viking.com/products/striking-viking-beard-filler-pen-2-pack-dual-tip-waterproof-beard-pen-for-natural-beard-filling</t>
  </si>
  <si>
    <t xml:space="preserve">https://account.striking-viking.com/?locale=en&amp;buyer_flags=eyJhbGciOiJIUzI1NiJ9.eyJpc3MiOiJzdHJpa2luZy12aWtpbmcubXlzaG9waWZ5LmNvbSIsImZsYWdzIjpbXSwiZXhwIjoxNzkxMjkyODg2LCJuYmYiOjE3OTA2ODgwODZ9.X4GigN0yiyX6uZACoOqZP7OjSUR_b9N_p5vZH1Q4W7c</t>
  </si>
  <si>
    <t xml:space="preserve">https://striking-viking.com/products/striking-viking-blue-ocean-beard-balm-for-men-natural-beard-balm-with-shea-butter-jojoba</t>
  </si>
  <si>
    <t xml:space="preserve">https://account.striking-viking.com/?locale=en&amp;buyer_flags=eyJhbGciOiJIUzI1NiJ9.eyJpc3MiOiJzdHJpa2luZy12aWtpbmcubXlzaG9waWZ5LmNvbSIsImZsYWdzIjpbXSwiZXhwIjoxNzkxMjkyNDY2LCJuYmYiOjE3OTA2ODc2NjZ9.YkBJoiWDyOmxie9KNOk2FBjTXec7trzgeMTG2HvNl9E</t>
  </si>
  <si>
    <t xml:space="preserve">https://striking-viking.com/products/striking-viking-boar-bristle-beard-brush-for-men-natural-beech-wood-grooming-brush</t>
  </si>
  <si>
    <t xml:space="preserve">https://account.striking-viking.com/?locale=en&amp;buyer_flags=eyJhbGciOiJIUzI1NiJ9.eyJpc3MiOiJzdHJpa2luZy12aWtpbmcubXlzaG9waWZ5LmNvbSIsImZsYWdzIjpbXSwiZXhwIjoxNzkxMjkxODY1LCJuYmYiOjE3OTA2ODcwNjV9.WBu0I1lAAAXw8rjzUrMvKQsNI2leaK-wHuPPFoBkzTY</t>
  </si>
  <si>
    <t xml:space="preserve">https://striking-viking.com/products/striking-viking-beard-kit-caddy-complete-beard-grooming-kit</t>
  </si>
  <si>
    <t xml:space="preserve">https://account.striking-viking.com/?locale=en&amp;buyer_flags=eyJhbGciOiJIUzI1NiJ9.eyJpc3MiOiJzdHJpa2luZy12aWtpbmcubXlzaG9waWZ5LmNvbSIsImZsYWdzIjpbXSwiZXhwIjoxNzkxMjkxNjg1LCJuYmYiOjE3OTA2ODY4ODV9.85vNsWNGS_vDqaD0lJxHf9LoEF4PJ6vkvgO9eiMB968</t>
  </si>
  <si>
    <t xml:space="preserve">https://striking-viking.com/products/striking-viking-beard-filler-pen-2-pack-waterproof-beard-pen-for-filling-gaps-covering-patches</t>
  </si>
  <si>
    <t xml:space="preserve">https://account.striking-viking.com/?locale=en&amp;buyer_flags=eyJhbGciOiJIUzI1NiJ9.eyJpc3MiOiJzdHJpa2luZy12aWtpbmcubXlzaG9waWZ5LmNvbSIsImZsYWdzIjpbXSwiZXhwIjoxNzkxMjkxNzE2LCJuYmYiOjE3OTA2ODY5MTZ9.wIg36f7sz89qTVVuy6nPhn4mJsNsPLlk_1btL_BLLGw</t>
  </si>
  <si>
    <t xml:space="preserve">https://striking-viking.com/products/striking-viking-vanilla-beard-balm</t>
  </si>
  <si>
    <t xml:space="preserve">https://account.striking-viking.com/?locale=en&amp;buyer_flags=eyJhbGciOiJIUzI1NiJ9.eyJpc3MiOiJzdHJpa2luZy12aWtpbmcubXlzaG9waWZ5LmNvbSIsImZsYWdzIjpbXSwiZXhwIjoxNzkxMjkxNjU1LCJuYmYiOjE3OTA2ODY4NTV9.JY20aj28j3N0cX607j0n3BcyeviDzpOKnp96GW7q4tQ</t>
  </si>
  <si>
    <t xml:space="preserve">https://striking-viking.com/products/striking-viking-vanilla-beard-oil-balm-kit-for-soft-healthy-beard-care-for-men</t>
  </si>
  <si>
    <t xml:space="preserve">https://account.striking-viking.com/?locale=en&amp;buyer_flags=eyJhbGciOiJIUzI1NiJ9.eyJpc3MiOiJzdHJpa2luZy12aWtpbmcubXlzaG9waWZ5LmNvbSIsImZsYWdzIjpbXSwiZXhwIjoxNzkxMjkzMzA1LCJuYmYiOjE3OTA2ODg1MDV9.m9_hSIBLjIJ-snETAff5RxOdTePUSj8xMx-_MyRGMoc</t>
  </si>
  <si>
    <t xml:space="preserve">https://striking-viking.com/products/striking-viking-sandalwood-beard-butter-for-soft-hydrated-healthy-beard-care-for-men</t>
  </si>
  <si>
    <t xml:space="preserve">https://account.striking-viking.com/?locale=en&amp;buyer_flags=eyJhbGciOiJIUzI1NiJ9.eyJpc3MiOiJzdHJpa2luZy12aWtpbmcubXlzaG9waWZ5LmNvbSIsImZsYWdzIjpbXSwiZXhwIjoxNzkxMjkzMzk1LCJuYmYiOjE3OTA2ODg1OTV9.Owx4oKJBb3ejKj9gKy3IXlSSYBg237ogk4zUNBGYq3M</t>
  </si>
  <si>
    <t xml:space="preserve">https://striking-viking.com/products/striking-viking-unscented-beard-balm-natural-beard-styling-conditioning</t>
  </si>
  <si>
    <t xml:space="preserve">https://account.striking-viking.com/?locale=en&amp;buyer_flags=eyJhbGciOiJIUzI1NiJ9.eyJpc3MiOiJzdHJpa2luZy12aWtpbmcubXlzaG9waWZ5LmNvbSIsImZsYWdzIjpbXSwiZXhwIjoxNzkxMjkxMjk1LCJuYmYiOjE3OTA2ODY0OTV9.6mdrSF8inolIo33DUL7L7OO7TqKeKSAlnojt7HaVs_4</t>
  </si>
  <si>
    <t xml:space="preserve">https://striking-viking.com/products/striking-viking-tea-tree-biotin-beard-wash-cologne-for-clean-fresh-healthy-beard-care</t>
  </si>
  <si>
    <t xml:space="preserve">https://account.striking-viking.com/?locale=en&amp;buyer_flags=eyJhbGciOiJIUzI1NiJ9.eyJpc3MiOiJzdHJpa2luZy12aWtpbmcubXlzaG9waWZ5LmNvbSIsImZsYWdzIjpbXSwiZXhwIjoxNzkxMjkzNDI1LCJuYmYiOjE3OTA2ODg2MjV9.DYXMYF_SA6uKAvJsI0mmSIcEZLoMex2qaQ5qUyPJv_Y</t>
  </si>
  <si>
    <t xml:space="preserve">https://striking-viking.com/products/striking-viking-folding-wooden-comb-sandalwood-beard-hair-comb</t>
  </si>
  <si>
    <t xml:space="preserve">https://account.striking-viking.com/?locale=en&amp;buyer_flags=eyJhbGciOiJIUzI1NiJ9.eyJpc3MiOiJzdHJpa2luZy12aWtpbmcubXlzaG9waWZ5LmNvbSIsImZsYWdzIjpbXSwiZXhwIjoxNzkxMjkxMzI1LCJuYmYiOjE3OTA2ODY1MjV9.1iXlXgZMkrpBrdfU3KYwaX5ahJc_1_VVGhH9Rok_ZRs</t>
  </si>
  <si>
    <t xml:space="preserve">https://striking-viking.com/products/striking-viking-beard-balm-variety-4-pack-citrus-vanilla-cedarwood-sandalwood</t>
  </si>
  <si>
    <t xml:space="preserve">https://account.striking-viking.com/?locale=en&amp;buyer_flags=eyJhbGciOiJIUzI1NiJ9.eyJpc3MiOiJzdHJpa2luZy12aWtpbmcubXlzaG9waWZ5LmNvbSIsImZsYWdzIjpbXSwiZXhwIjoxNzkxMjkxMDg1LCJuYmYiOjE3OTA2ODYyODV9.LxXHjJlYpymFzNrCECnmxd2Xoojlo6zDlz6Tg9BpgKI</t>
  </si>
  <si>
    <t xml:space="preserve">https://striking-viking.com/products/carbon-wide-tooth-comb</t>
  </si>
  <si>
    <t xml:space="preserve">https://account.striking-viking.com/?locale=en&amp;buyer_flags=eyJhbGciOiJIUzI1NiJ9.eyJpc3MiOiJzdHJpa2luZy12aWtpbmcubXlzaG9waWZ5LmNvbSIsImZsYWdzIjpbXSwiZXhwIjoxNzkxMjkyMDE1LCJuYmYiOjE3OTA2ODcyMTV9.sAIYACpLTHT2y2NmCTdT-_yL5KMc0pDkQvaQyDr0nQQ</t>
  </si>
  <si>
    <t xml:space="preserve">https://striking-viking.com/products/gift-card-striking-viking</t>
  </si>
  <si>
    <t xml:space="preserve">https://account.striking-viking.com/?locale=en&amp;buyer_flags=eyJhbGciOiJIUzI1NiJ9.eyJpc3MiOiJzdHJpa2luZy12aWtpbmcubXlzaG9waWZ5LmNvbSIsImZsYWdzIjpbXSwiZXhwIjoxNzkxMjkyODI2LCJuYmYiOjE3OTA2ODgwMjZ9.9rQwj6A8S7A93k9s8y_UqwiBg4gXbzxnF4aE6nK3cVU</t>
  </si>
  <si>
    <t xml:space="preserve">https://striking-viking.com/products/ontaki-facial-hair-grooming-scissors-2-pack-precision-beard-nose-mustache-trimming</t>
  </si>
  <si>
    <t xml:space="preserve">https://account.striking-viking.com/?locale=en&amp;buyer_flags=eyJhbGciOiJIUzI1NiJ9.eyJpc3MiOiJzdHJpa2luZy12aWtpbmcubXlzaG9waWZ5LmNvbSIsImZsYWdzIjpbXSwiZXhwIjoxNzkxMjkyMjI1LCJuYmYiOjE3OTA2ODc0MjV9.E1PdKXry1tBwtE6AaOAH3buglJHgVEvwidsI_Ur5EpM</t>
  </si>
  <si>
    <t xml:space="preserve">https://striking-viking.com/products/striking-viking-matte-hair-pomade-for-men-linen-scent-water-based-medium-strong-hold</t>
  </si>
  <si>
    <t xml:space="preserve">https://account.striking-viking.com/?locale=en&amp;buyer_flags=eyJhbGciOiJIUzI1NiJ9.eyJpc3MiOiJzdHJpa2luZy12aWtpbmcubXlzaG9waWZ5LmNvbSIsImZsYWdzIjpbXSwiZXhwIjoxNzkxMjkyNDk1LCJuYmYiOjE3OTA2ODc2OTV9.r6kPqrvrRXtL35bQ7ekXtknPww7bgIZQGejSVAsz7Jg</t>
  </si>
  <si>
    <t xml:space="preserve">https://striking-viking.com/products/striking-viking-mustache-wax-and-comb-kit</t>
  </si>
  <si>
    <t xml:space="preserve">https://account.striking-viking.com/?locale=en&amp;buyer_flags=eyJhbGciOiJIUzI1NiJ9.eyJpc3MiOiJzdHJpa2luZy12aWtpbmcubXlzaG9waWZ5LmNvbSIsImZsYWdzIjpbXSwiZXhwIjoxNzkxMjkzMDY1LCJuYmYiOjE3OTA2ODgyNjV9.YwWnnGrRziiuIPFVufW_IuUlS9qp9k-8a2-8U7_Rr9w</t>
  </si>
  <si>
    <t xml:space="preserve">https://striking-viking.com/products/striking-viking-tea-tree-biotin-beard-shampoo-for-clean-healthy-soft-beard-care-for-men</t>
  </si>
  <si>
    <t xml:space="preserve">https://account.striking-viking.com/?locale=en&amp;buyer_flags=eyJhbGciOiJIUzI1NiJ9.eyJpc3MiOiJzdHJpa2luZy12aWtpbmcubXlzaG9waWZ5LmNvbSIsImZsYWdzIjpbXSwiZXhwIjoxNzkxMjkzNTE2LCJuYmYiOjE3OTA2ODg3MTZ9.hhCqGu9S64QukTe_A3QZCAFA954dyM820Awokd5kp0s</t>
  </si>
  <si>
    <t xml:space="preserve">https://striking-viking.com/products/striking-viking-folding-wooden-beard-comb-for-men-anti-static-sandalwood-grooming-comb</t>
  </si>
  <si>
    <t xml:space="preserve">https://account.striking-viking.com/?locale=en&amp;buyer_flags=eyJhbGciOiJIUzI1NiJ9.eyJpc3MiOiJzdHJpa2luZy12aWtpbmcubXlzaG9waWZ5LmNvbSIsImZsYWdzIjpbXSwiZXhwIjoxNzkxMjkzMTI1LCJuYmYiOjE3OTA2ODgzMjV9.uMksl10ovzh3Xb9NE2szeOoHCFGdiG4OagfLnXXFb48</t>
  </si>
  <si>
    <t xml:space="preserve">https://striking-viking.com/products/striking-viking-tea-tree-biotin-beard-shampoo-conditioner-set-for-healthy-beard-care</t>
  </si>
  <si>
    <t xml:space="preserve">https://account.striking-viking.com/?locale=en&amp;buyer_flags=eyJhbGciOiJIUzI1NiJ9.eyJpc3MiOiJzdHJpa2luZy12aWtpbmcubXlzaG9waWZ5LmNvbSIsImZsYWdzIjpbXSwiZXhwIjoxNzkxMjkzNTQ1LCJuYmYiOjE3OTA2ODg3NDV9.jMkbmymvHO1FqzjflUFCmasY5wrxDPvxbL6BnCitudg</t>
  </si>
  <si>
    <t xml:space="preserve">https://striking-viking.com/products/striking-viking-sandalwood-beard-growth-bundle-with-titanium-derma-roller-beard-growth-serum</t>
  </si>
  <si>
    <t xml:space="preserve">https://account.striking-viking.com/?locale=en&amp;buyer_flags=eyJhbGciOiJIUzI1NiJ9.eyJpc3MiOiJzdHJpa2luZy12aWtpbmcubXlzaG9waWZ5LmNvbSIsImZsYWdzIjpbXSwiZXhwIjoxNzkxMjkyOTc1LCJuYmYiOjE3OTA2ODgxNzV9.be9EauS_n_Y6njhIjkpuuMDHH8Ve7W7j9JvZBMBg9yM</t>
  </si>
  <si>
    <t xml:space="preserve">https://striking-viking.com/products/ontaki-german-steel-beard-mustache-scissors-professional-grooming-kit</t>
  </si>
  <si>
    <t xml:space="preserve">https://account.striking-viking.com/?locale=en&amp;buyer_flags=eyJhbGciOiJIUzI1NiJ9.eyJpc3MiOiJzdHJpa2luZy12aWtpbmcubXlzaG9waWZ5LmNvbSIsImZsYWdzIjpbXSwiZXhwIjoxNzkxMjkyMjU1LCJuYmYiOjE3OTA2ODc0NTV9.a9KZLebuhvyLIGEwhgulvYXkvaA3Qb8Pdy_xiPMT0GE</t>
  </si>
  <si>
    <t xml:space="preserve">https://striking-viking.com/products/striking-viking-sandalwood-beard-balm</t>
  </si>
  <si>
    <t xml:space="preserve">https://account.striking-viking.com/?locale=en&amp;buyer_flags=eyJhbGciOiJIUzI1NiJ9.eyJpc3MiOiJzdHJpa2luZy12aWtpbmcubXlzaG9waWZ5LmNvbSIsImZsYWdzIjpbXSwiZXhwIjoxNzkxMjkxNDc1LCJuYmYiOjE3OTA2ODY2NzV9.qU2_YIi_GSQpVn_1sZNiSADngoQXtDx_ejyK7rGud0s</t>
  </si>
  <si>
    <t xml:space="preserve">https://striking-viking.com/products/charlemagne-round-hair-brush-for-men-professional-styling-brush-for-volume-blow-drying</t>
  </si>
  <si>
    <t xml:space="preserve">https://account.striking-viking.com/?locale=en&amp;buyer_flags=eyJhbGciOiJIUzI1NiJ9.eyJpc3MiOiJzdHJpa2luZy12aWtpbmcubXlzaG9waWZ5LmNvbSIsImZsYWdzIjpbXSwiZXhwIjoxNzkxMjkyNTg2LCJuYmYiOjE3OTA2ODc3ODZ9.5pdqRTg3EijJXvSOofnt-cOd7upoA8a4Yz91sUjYM-s</t>
  </si>
  <si>
    <t xml:space="preserve">https://striking-viking.com/products/striking-viking-cedarwood-beard-balm</t>
  </si>
  <si>
    <t xml:space="preserve">https://account.striking-viking.com/?locale=en&amp;buyer_flags=eyJhbGciOiJIUzI1NiJ9.eyJpc3MiOiJzdHJpa2luZy12aWtpbmcubXlzaG9waWZ5LmNvbSIsImZsYWdzIjpbXSwiZXhwIjoxNzkxMjkxNjI2LCJuYmYiOjE3OTA2ODY4MjZ9.VYUdJDwMvZgJsmbGLtjtngQ54tK_Nr4x-gzrgVvSOSo</t>
  </si>
  <si>
    <t xml:space="preserve">https://striking-viking.com/products/striking-viking-unscented-beard-shampoo-conditioner-set-natural-beard-care-for-men</t>
  </si>
  <si>
    <t xml:space="preserve">https://account.striking-viking.com/?locale=en&amp;buyer_flags=eyJhbGciOiJIUzI1NiJ9.eyJpc3MiOiJzdHJpa2luZy12aWtpbmcubXlzaG9waWZ5LmNvbSIsImZsYWdzIjpbXSwiZXhwIjoxNzkxMjkxNzc1LCJuYmYiOjE3OTA2ODY5NzV9.23sbkTLxGvsbmuR_j2xGxJb19bc5iZUeuwAYRhXXRIA</t>
  </si>
  <si>
    <t xml:space="preserve">https://striking-viking.com/products/ontaki-japanese-steel-rounded-tip-beard-mustache-scissors-4-2-inch-grooming-kit</t>
  </si>
  <si>
    <t xml:space="preserve">https://account.striking-viking.com/?locale=en&amp;buyer_flags=eyJhbGciOiJIUzI1NiJ9.eyJpc3MiOiJzdHJpa2luZy12aWtpbmcubXlzaG9waWZ5LmNvbSIsImZsYWdzIjpbXSwiZXhwIjoxNzkxMjkyMTM2LCJuYmYiOjE3OTA2ODczMzZ9.oTHKzfDlSAeGhcAXyOg4fGbPFEoB94jsa4JrJg1O0IY</t>
  </si>
  <si>
    <t xml:space="preserve">https://striking-viking.com/products/striking-viking-beard-shampoo-with-natural-peppermint-eucalyptus-for-refreshing-beard-care</t>
  </si>
  <si>
    <t xml:space="preserve">https://account.striking-viking.com/?locale=en&amp;buyer_flags=eyJhbGciOiJIUzI1NiJ9.eyJpc3MiOiJzdHJpa2luZy12aWtpbmcubXlzaG9waWZ5LmNvbSIsImZsYWdzIjpbXSwiZXhwIjoxNzkxMjkzNDU1LCJuYmYiOjE3OTA2ODg2NTV9.ltyAF6jdx2HIUYFtRSDh8GtgKsfL00b6tB4ZZMBY-c8</t>
  </si>
  <si>
    <t xml:space="preserve">https://striking-viking.com/products/striking-viking-beard-growth-mastery-bundle-with-sandalwood-vanilla-biotin-oils-and-derma-roller</t>
  </si>
  <si>
    <t xml:space="preserve">https://account.striking-viking.com/?locale=en&amp;buyer_flags=eyJhbGciOiJIUzI1NiJ9.eyJpc3MiOiJzdHJpa2luZy12aWtpbmcubXlzaG9waWZ5LmNvbSIsImZsYWdzIjpbXSwiZXhwIjoxNzkxMjkyOTE1LCJuYmYiOjE3OTA2ODgxMTV9.aTuqvRwDXjjdCxxtVLlxzZ_Sd2Pd8ZIKbmFQI4gI6SY</t>
  </si>
  <si>
    <t xml:space="preserve">https://striking-viking.com/products/striking-viking-beard-grooming-kit-with-toiletry-bag-8-piece-mens-grooming-set</t>
  </si>
  <si>
    <t xml:space="preserve">https://account.striking-viking.com/?locale=en&amp;buyer_flags=eyJhbGciOiJIUzI1NiJ9.eyJpc3MiOiJzdHJpa2luZy12aWtpbmcubXlzaG9waWZ5LmNvbSIsImZsYWdzIjpbXSwiZXhwIjoxNzkxMjkxMjY1LCJuYmYiOjE3OTA2ODY0NjV9.kpotCW2bip-P1zFYVcrcMrGR9747sJbzRka_azH_TjY</t>
  </si>
  <si>
    <t xml:space="preserve">https://striking-viking.com/products/striking-viking-beard-rehab-growth-kit-with-sandalwood-beard-care-derma-roller</t>
  </si>
  <si>
    <t xml:space="preserve">https://account.striking-viking.com/?locale=en&amp;buyer_flags=eyJhbGciOiJIUzI1NiJ9.eyJpc3MiOiJzdHJpa2luZy12aWtpbmcubXlzaG9waWZ5LmNvbSIsImZsYWdzIjpbXSwiZXhwIjoxNzkxMjkyNjE1LCJuYmYiOjE3OTA2ODc4MTV9.2KVX91kE9dkkYaHBwvBPcEcrhBhtj_FLIx6ynIlB1_Q</t>
  </si>
  <si>
    <t xml:space="preserve">https://striking-viking.com/products/striking-viking-sea-salt-spray-for-men-blue-ocean-natural-texture-volume-hair-spray</t>
  </si>
  <si>
    <t xml:space="preserve">https://account.striking-viking.com/?locale=en&amp;buyer_flags=eyJhbGciOiJIUzI1NiJ9.eyJpc3MiOiJzdHJpa2luZy12aWtpbmcubXlzaG9waWZ5LmNvbSIsImZsYWdzIjpbXSwiZXhwIjoxNzkxMjkyMDc1LCJuYmYiOjE3OTA2ODcyNzV9.k3kpEmuXf6o-pkaF4ow7rIZw-z3hH7X6qnLV9jIkzyM</t>
  </si>
  <si>
    <t xml:space="preserve">https://striking-viking.com/products/striking-viking-vanilla-beard-growth-oil-with-biotin-castor-oil-for-fuller-beard-growth</t>
  </si>
  <si>
    <t xml:space="preserve">https://account.striking-viking.com/?locale=en&amp;buyer_flags=eyJhbGciOiJIUzI1NiJ9.eyJpc3MiOiJzdHJpa2luZy12aWtpbmcubXlzaG9waWZ5LmNvbSIsImZsYWdzIjpbXSwiZXhwIjoxNzkxMjkzMjE1LCJuYmYiOjE3OTA2ODg0MTV9.h1L33sW4j6fhqbg6DvXN20gtr1RG7H6CSN_OrZzscy0</t>
  </si>
  <si>
    <t xml:space="preserve">https://striking-viking.com/products/striking-viking-sandalwood-beard-oil-balm-kit-for-soft-healthy-beard-care-for-men</t>
  </si>
  <si>
    <t xml:space="preserve">https://account.striking-viking.com/?locale=en&amp;buyer_flags=eyJhbGciOiJIUzI1NiJ9.eyJpc3MiOiJzdHJpa2luZy12aWtpbmcubXlzaG9waWZ5LmNvbSIsImZsYWdzIjpbXSwiZXhwIjoxNzkxMjkzMzM1LCJuYmYiOjE3OTA2ODg1MzV9.QuoGefUSI4eR4RrRPTBtXScc9czRUk_3KZDoJQ9hIK0</t>
  </si>
  <si>
    <t xml:space="preserve">https://striking-viking.com/products/striking-viking-beard-shampoo-conditioner-cologne-argan-jojoba-oil</t>
  </si>
  <si>
    <t xml:space="preserve">https://account.striking-viking.com/?locale=en&amp;buyer_flags=eyJhbGciOiJIUzI1NiJ9.eyJpc3MiOiJzdHJpa2luZy12aWtpbmcubXlzaG9waWZ5LmNvbSIsImZsYWdzIjpbXSwiZXhwIjoxNzkxMjkxMTQ1LCJuYmYiOjE3OTA2ODYzNDV9.JyvMkZgHzNalggS4TUiZoKNUw1Eb3hYTL2Q3ZVsNF58</t>
  </si>
  <si>
    <t xml:space="preserve">https://striking-viking.com/products/striking-viking-citrus-beard-balm</t>
  </si>
  <si>
    <t xml:space="preserve">https://account.striking-viking.com/?locale=en&amp;buyer_flags=eyJhbGciOiJIUzI1NiJ9.eyJpc3MiOiJzdHJpa2luZy12aWtpbmcubXlzaG9waWZ5LmNvbSIsImZsYWdzIjpbXSwiZXhwIjoxNzkxMjkxNDQ1LCJuYmYiOjE3OTA2ODY2NDV9.Eh5erg5r2epAhSE8JREdz72BKnaSrpxDl5GNvB-RMbc</t>
  </si>
  <si>
    <t xml:space="preserve">https://striking-viking.com/products/sandalwood-wooden-beard-comb-black-striking-viking</t>
  </si>
  <si>
    <t xml:space="preserve">https://account.striking-viking.com/?locale=en&amp;buyer_flags=eyJhbGciOiJIUzI1NiJ9.eyJpc3MiOiJzdHJpa2luZy12aWtpbmcubXlzaG9waWZ5LmNvbSIsImZsYWdzIjpbXSwiZXhwIjoxNzkxMjkxNTY1LCJuYmYiOjE3OTA2ODY3NjV9.Bb1_s7MXZ1Y9ADzsGnoxiadmFXt6v6zgRNEMewxYw2U</t>
  </si>
  <si>
    <t xml:space="preserve">https://striking-viking.com/products/striking-viking-cedarwood-beard-oil</t>
  </si>
  <si>
    <t xml:space="preserve">https://account.striking-viking.com/?locale=en&amp;buyer_flags=eyJhbGciOiJIUzI1NiJ9.eyJpc3MiOiJzdHJpa2luZy12aWtpbmcubXlzaG9waWZ5LmNvbSIsImZsYWdzIjpbXSwiZXhwIjoxNzkxMjkxMjA1LCJuYmYiOjE3OTA2ODY0MDV9.bzijYUCYqajhdkrskJinpwf1zOV-Dr_xrXw6IlPnAmU</t>
  </si>
  <si>
    <t xml:space="preserve">https://striking-viking.com/products/striking-viking-vanilla-beard-growth-bundle-with-biotin-beard-serum-titanium-derma-roller</t>
  </si>
  <si>
    <t xml:space="preserve">https://account.striking-viking.com/?locale=en&amp;buyer_flags=eyJhbGciOiJIUzI1NiJ9.eyJpc3MiOiJzdHJpa2luZy12aWtpbmcubXlzaG9waWZ5LmNvbSIsImZsYWdzIjpbXSwiZXhwIjoxNzkxMjkyOTQ1LCJuYmYiOjE3OTA2ODgxNDV9.Z_owMO3mFEE9gWn2PGXrbGcTLlXOEyx7TFXmNeFlu2g</t>
  </si>
  <si>
    <t xml:space="preserve">https://striking-viking.com/products/striking-viking-sandalwood-beard-growth-kit-with-biotin-oil-0-25mm-derma-roller</t>
  </si>
  <si>
    <t xml:space="preserve">https://account.striking-viking.com/?locale=en&amp;buyer_flags=eyJhbGciOiJIUzI1NiJ9.eyJpc3MiOiJzdHJpa2luZy12aWtpbmcubXlzaG9waWZ5LmNvbSIsImZsYWdzIjpbXSwiZXhwIjoxNzkxMjkzMjc1LCJuYmYiOjE3OTA2ODg0NzV9.XTlJxsv-s22UTtuX61H81VGL2gAYwLZ0BTk1k7XSCcc</t>
  </si>
  <si>
    <t xml:space="preserve">https://striking-viking.com/products/striking-viking-wooden-beard-care-caddy-board-only</t>
  </si>
  <si>
    <t xml:space="preserve">https://account.striking-viking.com/?locale=en&amp;buyer_flags=eyJhbGciOiJIUzI1NiJ9.eyJpc3MiOiJzdHJpa2luZy12aWtpbmcubXlzaG9waWZ5LmNvbSIsImZsYWdzIjpbXSwiZXhwIjoxNzkxMjkxNDE1LCJuYmYiOjE3OTA2ODY2MTV9.ruT6yZ3tbrMoYlyud4m6NsAY-2ZMOQySuTVhtm_3E1I</t>
  </si>
  <si>
    <t xml:space="preserve">https://striking-viking.com/products/striking-viking-unscented-beard-oil-natural-organic-beard-care</t>
  </si>
  <si>
    <t xml:space="preserve">https://account.striking-viking.com/?locale=en&amp;buyer_flags=eyJhbGciOiJIUzI1NiJ9.eyJpc3MiOiJzdHJpa2luZy12aWtpbmcubXlzaG9waWZ5LmNvbSIsImZsYWdzIjpbXSwiZXhwIjoxNzkxMjkxNTM1LCJuYmYiOjE3OTA2ODY3MzV9.wP2k8eJq69-X03bq90VXJ2zL2MFG8sNn_5KlSaewgAY</t>
  </si>
  <si>
    <t xml:space="preserve">https://striking-viking.com/products/striking-viking-beard-growth-kit-with-beard-roller-vanilla-unscented-biotin-oils-for-men</t>
  </si>
  <si>
    <t xml:space="preserve">https://account.striking-viking.com/?locale=en&amp;buyer_flags=eyJhbGciOiJIUzI1NiJ9.eyJpc3MiOiJzdHJpa2luZy12aWtpbmcubXlzaG9waWZ5LmNvbSIsImZsYWdzIjpbXSwiZXhwIjoxNzkxMjkzMDM1LCJuYmYiOjE3OTA2ODgyMzV9.2UljiSmC4FQXpPQcf6csnxtlaCnD8lym4S6_u6d1yoY</t>
  </si>
  <si>
    <t xml:space="preserve">https://striking-viking.com/products/round-hair-brush</t>
  </si>
  <si>
    <t xml:space="preserve">https://account.striking-viking.com/?locale=en&amp;buyer_flags=eyJhbGciOiJIUzI1NiJ9.eyJpc3MiOiJzdHJpa2luZy12aWtpbmcubXlzaG9waWZ5LmNvbSIsImZsYWdzIjpbXSwiZXhwIjoxNzkxMjkyMDQ2LCJuYmYiOjE3OTA2ODcyNDZ9.vS3qHhjFws5G2Aock6ooEdrvkbljzc7RRfROIUzfmI0</t>
  </si>
  <si>
    <t xml:space="preserve">https://striking-viking.com/products/ontaki-duckbill-applique-scissors-4-5-inch-carbon-steel-fabric-thread-cutting-scissors</t>
  </si>
  <si>
    <t xml:space="preserve">https://account.striking-viking.com/?locale=en&amp;buyer_flags=eyJhbGciOiJIUzI1NiJ9.eyJpc3MiOiJzdHJpa2luZy12aWtpbmcubXlzaG9waWZ5LmNvbSIsImZsYWdzIjpbXSwiZXhwIjoxNzkxMjkyMjg2LCJuYmYiOjE3OTA2ODc0ODZ9.bWCuDI7uxHdjUyiHZoU_Yy_BVlMXPTvqKH2sLIpOhfo</t>
  </si>
  <si>
    <t xml:space="preserve">https://striking-viking.com/products/striking-viking-vanilla-beard-butter-for-soft-hydrated-healthy-beard-care-for-men</t>
  </si>
  <si>
    <t xml:space="preserve">https://account.striking-viking.com/?locale=en&amp;buyer_flags=eyJhbGciOiJIUzI1NiJ9.eyJpc3MiOiJzdHJpa2luZy12aWtpbmcubXlzaG9waWZ5LmNvbSIsImZsYWdzIjpbXSwiZXhwIjoxNzkxMjkzMzY1LCJuYmYiOjE3OTA2ODg1NjV9.QdMgodQukXQ7PPyVUlrfeHPisaf2c_K40Qmk0OiIIIg</t>
  </si>
  <si>
    <t xml:space="preserve">https://striking-viking.com/products/ontaki-beard-mustache-scissors-with-finger-rest-5-inch-german-steel-grooming-kit</t>
  </si>
  <si>
    <t xml:space="preserve">https://account.striking-viking.com/?locale=en&amp;buyer_flags=eyJhbGciOiJIUzI1NiJ9.eyJpc3MiOiJzdHJpa2luZy12aWtpbmcubXlzaG9waWZ5LmNvbSIsImZsYWdzIjpbXSwiZXhwIjoxNzkxMjkxOTU1LCJuYmYiOjE3OTA2ODcxNTV9.w5zTm-MVzqUz5gbodMZYF9BP9VMh5Q5aD4VTLsMlWiI</t>
  </si>
  <si>
    <t xml:space="preserve">https://striking-viking.com/products/striking-viking-beard-growth-power-kit-with-biotin-beard-oil-shampoo-derma-roller</t>
  </si>
  <si>
    <t xml:space="preserve">https://account.striking-viking.com/?locale=en&amp;buyer_flags=eyJhbGciOiJIUzI1NiJ9.eyJpc3MiOiJzdHJpa2luZy12aWtpbmcubXlzaG9waWZ5LmNvbSIsImZsYWdzIjpbXSwiZXhwIjoxNzkxMjkyNjQ1LCJuYmYiOjE3OTA2ODc4NDV9.AVXC7AOU5f1d_pyJz4ai1cf3Hu0TbrVzo-T_Z3Fu_Wc</t>
  </si>
  <si>
    <t xml:space="preserve">https://striking-viking.com/products/ontaki-japanese-steel-beard-mustache-scissors-5-5-inch-professional-grooming-kit</t>
  </si>
  <si>
    <t xml:space="preserve">https://account.striking-viking.com/?locale=en&amp;buyer_flags=eyJhbGciOiJIUzI1NiJ9.eyJpc3MiOiJzdHJpa2luZy12aWtpbmcubXlzaG9waWZ5LmNvbSIsImZsYWdzIjpbXSwiZXhwIjoxNzkxMjkyMTA1LCJuYmYiOjE3OTA2ODczMDV9.7YmCb_6ZPfD_HTIMk2f1ZRO2_3IPTNARUSnXDwR5zo0</t>
  </si>
  <si>
    <t xml:space="preserve">https://striking-viking.com/products/striking-viking-beard-filler-pencil-with-dual-tip-pen-brush-for-natural-beard-styling</t>
  </si>
  <si>
    <t xml:space="preserve">https://account.striking-viking.com/?locale=en&amp;buyer_flags=eyJhbGciOiJIUzI1NiJ9.eyJpc3MiOiJzdHJpa2luZy12aWtpbmcubXlzaG9waWZ5LmNvbSIsImZsYWdzIjpbXSwiZXhwIjoxNzkxMjkyODU1LCJuYmYiOjE3OTA2ODgwNTV9.nPD6MAhGIbHx0u33OxmsnaWFCwXVDwzoWTpNkVlG6Tk</t>
  </si>
  <si>
    <t xml:space="preserve">https://striking-viking.com/products/charlemagne-original-hair-pomade-for-men-strong-hold-water-based-styling-pomade-100ml</t>
  </si>
  <si>
    <t xml:space="preserve">https://account.striking-viking.com/?locale=en&amp;buyer_flags=eyJhbGciOiJIUzI1NiJ9.eyJpc3MiOiJzdHJpa2luZy12aWtpbmcubXlzaG9waWZ5LmNvbSIsImZsYWdzIjpbXSwiZXhwIjoxNzkxMjkyNzA2LCJuYmYiOjE3OTA2ODc5MDZ9.U9FvUTq8s2OUtkvZKxfmfCCXp0UZyIPXZAL0SZ2xVEQ</t>
  </si>
  <si>
    <t xml:space="preserve">https://striking-viking.com/products/striking-viking-vanilla-beard-oil-with-natural-organic-oils-for-soft-healthy-beard-care</t>
  </si>
  <si>
    <t xml:space="preserve">https://account.striking-viking.com/?locale=en&amp;buyer_flags=eyJhbGciOiJIUzI1NiJ9.eyJpc3MiOiJzdHJpa2luZy12aWtpbmcubXlzaG9waWZ5LmNvbSIsImZsYWdzIjpbXSwiZXhwIjoxNzkxMjkzMTg1LCJuYmYiOjE3OTA2ODgzODV9.LB2Lqa5OZdNeUOPGTjpRpN1P7twIV9KhVOzqapQtkq8</t>
  </si>
  <si>
    <t xml:space="preserve">https://striking-viking.com/products/striking-viking-terra-sol-beard-balm-for-men-natural-beard-balm-with-shea-butter-jojoba</t>
  </si>
  <si>
    <t xml:space="preserve">https://account.striking-viking.com/?locale=en&amp;buyer_flags=eyJhbGciOiJIUzI1NiJ9.eyJpc3MiOiJzdHJpa2luZy12aWtpbmcubXlzaG9waWZ5LmNvbSIsImZsYWdzIjpbXSwiZXhwIjoxNzkxMjkyNDM1LCJuYmYiOjE3OTA2ODc2MzV9.DStYdXUau1586yAaikfQQVYtkIqGcNGZV188z7_hzIQ</t>
  </si>
  <si>
    <t xml:space="preserve">https://striking-viking.com/</t>
  </si>
  <si>
    <t xml:space="preserve">https://account.striking-viking.com/?locale=en&amp;buyer_flags=eyJhbGciOiJIUzI1NiJ9.eyJpc3MiOiJzdHJpa2luZy12aWtpbmcubXlzaG9waWZ5LmNvbSIsImZsYWdzIjpbXSwiZXhwIjoxNzkxMjkxMTc1LCJuYmYiOjE3OTA2ODYzNzV9.8pYgduCCwI3cc0SOArgewr4WGZl4QT6CZrEaSNZLb2Y</t>
  </si>
  <si>
    <t xml:space="preserve">https://striking-viking.com/products/striking-viking-beard-and-mustache-scissors-kit-for-men</t>
  </si>
  <si>
    <t xml:space="preserve">https://account.striking-viking.com/?locale=en&amp;buyer_flags=eyJhbGciOiJIUzI1NiJ9.eyJpc3MiOiJzdHJpa2luZy12aWtpbmcubXlzaG9waWZ5LmNvbSIsImZsYWdzIjpbXSwiZXhwIjoxNzkxMjkzMDk1LCJuYmYiOjE3OTA2ODgyOTV9.vCh69ORmyvaT8n_iLyTzrC7Ha4zGASUKayZGiR8eS0w</t>
  </si>
  <si>
    <t xml:space="preserve">https://striking-viking.com/products/striking-viking-beard-growth-oil-with-biotin-sandalwood</t>
  </si>
  <si>
    <t xml:space="preserve">https://account.striking-viking.com/?locale=en&amp;buyer_flags=eyJhbGciOiJIUzI1NiJ9.eyJpc3MiOiJzdHJpa2luZy12aWtpbmcubXlzaG9waWZ5LmNvbSIsImZsYWdzIjpbXSwiZXhwIjoxNzkxMjkxNzQ1LCJuYmYiOjE3OTA2ODY5NDV9.iTi3DiouQOwTJnouj35IU5tINvOEvDfo5_gnLF0UIm8</t>
  </si>
  <si>
    <t xml:space="preserve">https://striking-viking.com/products/striking-viking-sandalwood-beard-oil</t>
  </si>
  <si>
    <t xml:space="preserve">https://account.striking-viking.com/?locale=en&amp;buyer_flags=eyJhbGciOiJIUzI1NiJ9.eyJpc3MiOiJzdHJpa2luZy12aWtpbmcubXlzaG9waWZ5LmNvbSIsImZsYWdzIjpbXSwiZXhwIjoxNzkxMjkxMjM1LCJuYmYiOjE3OTA2ODY0MzV9.GVmj6aOUFoY1XCp6kgsu85mJBh2ZjCTlZXxVSkqY88o</t>
  </si>
  <si>
    <t xml:space="preserve">https://striking-viking.com/products/striking-viking-biotin-beard-growth-oil-for-men-unscented-beard-growth-serum</t>
  </si>
  <si>
    <t xml:space="preserve">https://account.striking-viking.com/?locale=en&amp;buyer_flags=eyJhbGciOiJIUzI1NiJ9.eyJpc3MiOiJzdHJpa2luZy12aWtpbmcubXlzaG9waWZ5LmNvbSIsImZsYWdzIjpbXSwiZXhwIjoxNzkxMjkxODA3LCJuYmYiOjE3OTA2ODcwMDd9.h4at2eo6l-IlIgJD8lyy0hkcBeQjeGL0awQu_7rUvhk</t>
  </si>
  <si>
    <t xml:space="preserve">https://striking-viking.com/products/striking-viking-sandalwood-wooden-beard-comb-brown</t>
  </si>
  <si>
    <t xml:space="preserve">https://account.striking-viking.com/?locale=en&amp;buyer_flags=eyJhbGciOiJIUzI1NiJ9.eyJpc3MiOiJzdHJpa2luZy12aWtpbmcubXlzaG9waWZ5LmNvbSIsImZsYWdzIjpbXSwiZXhwIjoxNzkxMjkxNTA1LCJuYmYiOjE3OTA2ODY3MDV9.daRO7ldUPMzAhaKQYC2AqRDzkswTVwv4_sRFW0kD5jc</t>
  </si>
  <si>
    <t xml:space="preserve">https://striking-viking.com/products/striking-viking-terra-sol-beard-oil-for-men-natural-beard-growth-oil-with-argan-jojoba</t>
  </si>
  <si>
    <t xml:space="preserve">https://account.striking-viking.com/?locale=en&amp;buyer_flags=eyJhbGciOiJIUzI1NiJ9.eyJpc3MiOiJzdHJpa2luZy12aWtpbmcubXlzaG9waWZ5LmNvbSIsImZsYWdzIjpbXSwiZXhwIjoxNzkxMjkyMzQ1LCJuYmYiOjE3OTA2ODc1NDV9.OJ4YECdIu9do10m_9Q_ubjocrpjfcJlaihkslS0i8rM</t>
  </si>
  <si>
    <t xml:space="preserve">https://striking-viking.com/products/striking-viking-citrus-beard-oil</t>
  </si>
  <si>
    <t xml:space="preserve">https://account.striking-viking.com/?locale=en&amp;buyer_flags=eyJhbGciOiJIUzI1NiJ9.eyJpc3MiOiJzdHJpa2luZy12aWtpbmcubXlzaG9waWZ5LmNvbSIsImZsYWdzIjpbXSwiZXhwIjoxNzkxMjkxMTE1LCJuYmYiOjE3OTA2ODYzMTV9.uayDTvcoKd-9uTbXM-qhUow2URheNqFrsSMFAmpP-iU</t>
  </si>
  <si>
    <t xml:space="preserve">https://striking-viking.com/products/striking-viking-unscented-beard-butter-for-moisturizing-softening-daily-beard-care</t>
  </si>
  <si>
    <t xml:space="preserve">https://account.striking-viking.com/?locale=en&amp;buyer_flags=eyJhbGciOiJIUzI1NiJ9.eyJpc3MiOiJzdHJpa2luZy12aWtpbmcubXlzaG9waWZ5LmNvbSIsImZsYWdzIjpbXSwiZXhwIjoxNzkxMjkyNzk1LCJuYmYiOjE3OTA2ODc5OTV9.66VUJ6zgtNmzay5GYwJMjajCUNYea68xuBu0btu4uAw</t>
  </si>
  <si>
    <t xml:space="preserve">https://striking-viking.com/products/striking-viking-battle-ready-beard-care-kit-with-beard-oils-balms-beard-filler-pen</t>
  </si>
  <si>
    <t xml:space="preserve">https://account.striking-viking.com/?locale=en&amp;buyer_flags=eyJhbGciOiJIUzI1NiJ9.eyJpc3MiOiJzdHJpa2luZy12aWtpbmcubXlzaG9waWZ5LmNvbSIsImZsYWdzIjpbXSwiZXhwIjoxNzkxMjkyNjc1LCJuYmYiOjE3OTA2ODc4NzV9.5Q78qo07fWIa-M3SBML5L09MYLlQ2AeFnk5MjKGmRMc</t>
  </si>
  <si>
    <t xml:space="preserve">https://striking-viking.com/products/carbon-hair-comb</t>
  </si>
  <si>
    <t xml:space="preserve">https://account.striking-viking.com/?locale=en&amp;buyer_flags=eyJhbGciOiJIUzI1NiJ9.eyJpc3MiOiJzdHJpa2luZy12aWtpbmcubXlzaG9waWZ5LmNvbSIsImZsYWdzIjpbXSwiZXhwIjoxNzkxMjkxOTg1LCJuYmYiOjE3OTA2ODcxODV9.Eb_oVm_KpvmeVan-15ejdTeKuyvwS6TaZMqpck7ZZoI</t>
  </si>
  <si>
    <t xml:space="preserve">https://striking-viking.com/products/ontaki-japanese-steel-beard-hair-scissors-5-5-inch-professional-grooming-shears</t>
  </si>
  <si>
    <t xml:space="preserve">https://account.striking-viking.com/?locale=en&amp;buyer_flags=eyJhbGciOiJIUzI1NiJ9.eyJpc3MiOiJzdHJpa2luZy12aWtpbmcubXlzaG9waWZ5LmNvbSIsImZsYWdzIjpbXSwiZXhwIjoxNzkxMjkxOTI1LCJuYmYiOjE3OTA2ODcxMjV9.dgUtVhkwWoUbGmNeE0FNtKnVpxh0RCKkGH3Ui2NNwBE</t>
  </si>
  <si>
    <t xml:space="preserve">Source: striking-viking - Issues.xlsx / 3xx Redirection</t>
  </si>
  <si>
    <t xml:space="preserve">Source URL</t>
  </si>
  <si>
    <t xml:space="preserve">Target final redirect URL</t>
  </si>
  <si>
    <t xml:space="preserve">https://striking-viking.com/customer_authentication/redirect?locale=en&amp;region_country=US</t>
  </si>
  <si>
    <t xml:space="preserve">Log in</t>
  </si>
  <si>
    <t xml:space="preserve">https://account.striking-viking.com/?buyer_flags=eyJhbGciOiJIUzI1NiJ9.eyJpc3MiOiJzdHJpa2luZy12aWtpbmcubXlzaG9waWZ5LmNvbSIsImZsYWdzIjpbXSwiZXhwIjoxNzkxMzU0NjI4LCJuYmYiOjE3OTA3NDk4Mjh9.W_JgIDP8DFSrhQ1ojmPBXziPlPpbfbt33v3WuNh9GNc&amp;locale=en&amp;region_country=US</t>
  </si>
  <si>
    <t xml:space="preserve">https://striking-viking.com/blogs/learn/combs-vs-brushes-the-beard-war-and-why-you-might-want-both</t>
  </si>
  <si>
    <t xml:space="preserve">https://striking-viking.com/products/beard-growth-balm-with-biotin-2-oz-blue-ocean</t>
  </si>
  <si>
    <t xml:space="preserve">https://striking-viking.com/collections/bundles</t>
  </si>
  <si>
    <t xml:space="preserve">https://striking-viking.com/blogs/learn/46928577-tips-to-protect-your-beard-from-the-cold</t>
  </si>
  <si>
    <t xml:space="preserve">https://striking-viking.com/products/beard-butter-bergamot-thunder</t>
  </si>
  <si>
    <t xml:space="preserve">https://striking-viking.com/pages/spurit-invoices-cancelled</t>
  </si>
  <si>
    <t xml:space="preserve">https://striking-viking.com/collections/face-body</t>
  </si>
  <si>
    <t xml:space="preserve">https://striking-viking.com/pages/free-moustache-beard-scissors</t>
  </si>
  <si>
    <t xml:space="preserve">https://striking-viking.com/products/striking-viking-unscented-shaving-cream-for-men-rich-lather-for-a-smooth-comfortable-shave</t>
  </si>
  <si>
    <t xml:space="preserve">https://striking-viking.com/pages/data-sharing-opt-out</t>
  </si>
  <si>
    <t xml:space="preserve">https://striking-viking.com/products/striking-viking-beard-filler-pencil-with-dual-tip-pen-brush-for-natural-beard-styling?variant=52771898851670</t>
  </si>
  <si>
    <t xml:space="preserve">https://striking-viking.com/products/beard-growth-balm-with-biotin-2-oz-sandalwood</t>
  </si>
  <si>
    <t xml:space="preserve">https://striking-viking.com/blogs/learn/how-to-use-beard-balm-properly-a-complete-guide</t>
  </si>
  <si>
    <t xml:space="preserve">https://striking-viking.com/collections/combs</t>
  </si>
  <si>
    <t xml:space="preserve">https://striking-viking.com/blogs/learn/spring-style-refresh-how-to-update-your-beard-and-hair-for-warmer-weather</t>
  </si>
  <si>
    <t xml:space="preserve">https://striking-viking.com/collections/beard-butter</t>
  </si>
  <si>
    <t xml:space="preserve">https://striking-viking.com/products/striking-viking-beard-filler-pen-2-pack-dual-tip-waterproof-beard-pen-for-natural-beard-filling?variant=52771991257430</t>
  </si>
  <si>
    <t xml:space="preserve">https://striking-viking.com/products/striking-viking-hair-styling-powder-for-men-strong-hold-vanilla-volume-texture</t>
  </si>
  <si>
    <t xml:space="preserve">https://striking-viking.com/products/striking-viking-beard-filler-pen-2-pack-dual-tip-waterproof-beard-pen-for-natural-beard-filling?variant=52771991191894</t>
  </si>
  <si>
    <t xml:space="preserve">https://striking-viking.com/blogs/learn/pocket-blade-grooming-striking-viking-s-folding-beard-comb</t>
  </si>
  <si>
    <t xml:space="preserve">https://striking-viking.com/blogs/learn/unlock-your-beard-s-full-potential-beard-growth-kits-oils</t>
  </si>
  <si>
    <t xml:space="preserve">https://striking-viking.com/blogs/learn/how-to-keep-your-tattoos-looking-bold-for-years-the-role-of-tattoo-balms</t>
  </si>
  <si>
    <t xml:space="preserve">https://striking-viking.com/collections/beard-essentials</t>
  </si>
  <si>
    <t xml:space="preserve">https://striking-viking.com/products/hair-fiber-men</t>
  </si>
  <si>
    <t xml:space="preserve">https://striking-viking.com/collections/featured-products</t>
  </si>
  <si>
    <t xml:space="preserve">https://striking-viking.com/collections/all</t>
  </si>
  <si>
    <t xml:space="preserve">https://striking-viking.com/products/striking-viking-beard-filler-pen-2-pack-waterproof-beard-pen-for-filling-gaps-covering-patches?variant=50685239787862</t>
  </si>
  <si>
    <t xml:space="preserve">https://striking-viking.com/collections/beard-filler-pens</t>
  </si>
  <si>
    <t xml:space="preserve">https://striking-viking.com/pages/ilm2025</t>
  </si>
  <si>
    <t xml:space="preserve">https://striking-viking.com/pages/ilm-2025-sign-up</t>
  </si>
  <si>
    <t xml:space="preserve">https://striking-viking.com/products/striking-viking-sandalwood-pre-shave-oil-for-men-smooth-razor-glide-skin-protection</t>
  </si>
  <si>
    <t xml:space="preserve">https://striking-viking.com/pages/faqs</t>
  </si>
  <si>
    <t xml:space="preserve">https://striking-viking.com/collections/trending-now</t>
  </si>
  <si>
    <t xml:space="preserve">https://striking-viking.com/blogs/learn/16918829-the-ingredients-and-why-they-matter</t>
  </si>
  <si>
    <t xml:space="preserve">https://striking-viking.com/products/beard-growth-butter-with-biotin-4-oz-vanilla</t>
  </si>
  <si>
    <t xml:space="preserve">https://striking-viking.com/pages/striking-viking-affiliate-program</t>
  </si>
  <si>
    <t xml:space="preserve">https://striking-viking.com/collections/beard-oil</t>
  </si>
  <si>
    <t xml:space="preserve">https://striking-viking.com/products/striking-viking-peppermint-eucalyptus-beard-shampoo-conditioner-set-for-healthy-beard-care</t>
  </si>
  <si>
    <t xml:space="preserve">https://striking-viking.com/blogs/learn/why-your-beard-needs-more-than-just-a-comb</t>
  </si>
  <si>
    <t xml:space="preserve">https://striking-viking.com/collections/best-sellers-grooming-kit</t>
  </si>
  <si>
    <t xml:space="preserve">https://striking-viking.com/blogs/learn/level-up-your-beard-game-the-striking-viking-beard-filler-pen</t>
  </si>
  <si>
    <t xml:space="preserve">https://striking-viking.com/blogs/learn/beard-oil-vs-beard-balm-solving-the-modern-problem-for-gentlemen-with-beards</t>
  </si>
  <si>
    <t xml:space="preserve">https://striking-viking.com/products/striking-viking-beard-filler-pen-2-pack-waterproof-beard-pen-for-filling-gaps-covering-patches?variant=50685239755094</t>
  </si>
  <si>
    <t xml:space="preserve">https://striking-viking.com/products/beard-butter-blue-ocean</t>
  </si>
  <si>
    <t xml:space="preserve">https://striking-viking.com/products/striking-viking-beard-filler-pen-2-pack-waterproof-beard-pen-for-filling-gaps-covering-patches?variant=51787893113174</t>
  </si>
  <si>
    <t xml:space="preserve">https://striking-viking.com/products/striking-viking-beard-filler-pencil-with-dual-tip-pen-brush-for-natural-beard-styling?variant=52771898818902</t>
  </si>
  <si>
    <t xml:space="preserve">https://striking-viking.com/collections/after-shave-balm</t>
  </si>
  <si>
    <t xml:space="preserve">https://striking-viking.com/blogs/learn/top-10-beard-costumes-for-halloween</t>
  </si>
  <si>
    <t xml:space="preserve">https://striking-viking.com/collections/powders</t>
  </si>
  <si>
    <t xml:space="preserve">https://striking-viking.com/pages/sign-up</t>
  </si>
  <si>
    <t xml:space="preserve">https://striking-viking.com/blogs/learn/ride-the-wave-striking-viking-sea-salt-spray-for-effortless-men-s-style</t>
  </si>
  <si>
    <t xml:space="preserve">https://striking-viking.com/blogs/learn/the-ultimate-guide-to-grooming-with-ontaki-scissors</t>
  </si>
  <si>
    <t xml:space="preserve">https://striking-viking.com/products/beard-growth-butter-with-biotin-4-oz-blue-ocean</t>
  </si>
  <si>
    <t xml:space="preserve">https://striking-viking.com/collections/hair-care</t>
  </si>
  <si>
    <t xml:space="preserve">https://striking-viking.com/blogs/learn/heads-shoulders-knees-and-toes-but-why-forget-the-beard</t>
  </si>
  <si>
    <t xml:space="preserve">https://striking-viking.com/collections/shaving</t>
  </si>
  <si>
    <t xml:space="preserve">https://striking-viking.com/products/striking-viking-beard-filler-pencil-with-dual-tip-pen-brush-for-natural-beard-styling?variant=52771898982742</t>
  </si>
  <si>
    <t xml:space="preserve">https://striking-viking.com/products/striking-viking-hair-styling-powder-for-men-light-hold-vanilla-natural-volume-texture</t>
  </si>
  <si>
    <t xml:space="preserve">https://striking-viking.com/products/striking-viking-beard-filler-pen-2-pack-waterproof-beard-pen-for-filling-gaps-covering-patches?variant=50685199712598</t>
  </si>
  <si>
    <t xml:space="preserve">https://striking-viking.com/pages/special-discount</t>
  </si>
  <si>
    <t xml:space="preserve">https://striking-viking.com/products/striking-viking-beard-filler-pencil-with-dual-tip-pen-brush-for-natural-beard-styling?variant=52771898884438</t>
  </si>
  <si>
    <t xml:space="preserve">https://striking-viking.com/collections/beard-balm</t>
  </si>
  <si>
    <t xml:space="preserve">https://striking-viking.com/collections/biotin-beard-growth</t>
  </si>
  <si>
    <t xml:space="preserve">https://striking-viking.com/collections/brushes</t>
  </si>
  <si>
    <t xml:space="preserve">https://striking-viking.com/blogs/learn/what-is-movember-unveiling-the-significance-behind-the-month-of-facial-fuzz</t>
  </si>
  <si>
    <t xml:space="preserve">https://striking-viking.com/products/striking-viking-vanilla-shaving-cream-for-men-rich-lather-for-a-smooth-comfortable-shave</t>
  </si>
  <si>
    <t xml:space="preserve">https://striking-viking.com/products/striking-viking-unscented-after-shave-balm-for-men-soothing-hydration-skin-care</t>
  </si>
  <si>
    <t xml:space="preserve">https://striking-viking.com/blogs/learn/41241281-the-dude</t>
  </si>
  <si>
    <t xml:space="preserve">https://striking-viking.com/products/beard-growth-butter-with-biotin-4-oz-sandalwood</t>
  </si>
  <si>
    <t xml:space="preserve">https://striking-viking.com/products/striking-viking-unscented-pre-shave-oil-for-men-smooth-razor-glide-skin-protection</t>
  </si>
  <si>
    <t xml:space="preserve">https://striking-viking.com/blogs/learn/how-to-fill-in-a-patchy-beard</t>
  </si>
  <si>
    <t xml:space="preserve">https://striking-viking.com/collections/beard-wash</t>
  </si>
  <si>
    <t xml:space="preserve">https://striking-viking.com/pages/beard-filler-pens</t>
  </si>
  <si>
    <t xml:space="preserve">https://striking-viking.com/pages/write-a-review</t>
  </si>
  <si>
    <t xml:space="preserve">https://striking-viking.com/blogs/learn/grooming-products-to-pamper-your-beard-flyaway</t>
  </si>
  <si>
    <t xml:space="preserve">https://striking-viking.com/products/striking-viking-beard-filler-pencil-with-dual-tip-pen-brush-for-natural-beard-styling?variant=52771898917206</t>
  </si>
  <si>
    <t xml:space="preserve">https://striking-viking.com/products/striking-viking-beard-filler-pen-2-pack-waterproof-beard-pen-for-filling-gaps-covering-patches?variant=40283199242294</t>
  </si>
  <si>
    <t xml:space="preserve">https://striking-viking.com/pages/become-a-reseller</t>
  </si>
  <si>
    <t xml:space="preserve">https://striking-viking.com/products/striking-viking-beard-filler-pen-2-pack-waterproof-beard-pen-for-filling-gaps-covering-patches?variant=40283191017526</t>
  </si>
  <si>
    <t xml:space="preserve">https://striking-viking.com/blogs/learn/the-ultimate-beard-growth-routine-for-a-thicker-healthier-beard-2026-guide</t>
  </si>
  <si>
    <t xml:space="preserve">https://striking-viking.com/blogs/learn/tame-the-wild-meet-the-striking-viking-sandalwood-beard-comb</t>
  </si>
  <si>
    <t xml:space="preserve">https://striking-viking.com/blogs/learn/get-rid-of-beard-dandruff</t>
  </si>
  <si>
    <t xml:space="preserve">https://striking-viking.com/products/2x-mustache-wax-comb-set-sandalwood</t>
  </si>
  <si>
    <t xml:space="preserve">https://striking-viking.com/products/striking-viking-vanilla-pre-shave-oil-for-men-smooth-razor-glide-skin-protection</t>
  </si>
  <si>
    <t xml:space="preserve">https://striking-viking.com/blogs/learn/how-to-choose-the-right-hair-cutting-scissors-for-home-or-salon-use</t>
  </si>
  <si>
    <t xml:space="preserve">https://striking-viking.com/pages/about-us</t>
  </si>
  <si>
    <t xml:space="preserve">https://striking-viking.com/blogs/learn/all-you-need-to-know-about-beard-filler-pens</t>
  </si>
  <si>
    <t xml:space="preserve">https://striking-viking.com/blogs/learn/beard-grooming-quintessential-regime-for-the-modern-man</t>
  </si>
  <si>
    <t xml:space="preserve">https://striking-viking.com/collections/viking-beard-kits</t>
  </si>
  <si>
    <t xml:space="preserve">https://striking-viking.com/collections/last-chance-bogo-free</t>
  </si>
  <si>
    <t xml:space="preserve">https://striking-viking.com/collections/tattoo-aftercare</t>
  </si>
  <si>
    <t xml:space="preserve">https://striking-viking.com/blogs/learn/elevate-your-look-pomade</t>
  </si>
  <si>
    <t xml:space="preserve">https://striking-viking.com/blogs/learn/41234689-brian-wilson</t>
  </si>
  <si>
    <t xml:space="preserve">https://striking-viking.com/blogs/learn/essential-grooming-supplies-for-the-bearded-man</t>
  </si>
  <si>
    <t xml:space="preserve">https://striking-viking.com/collections/scissors-ontaki</t>
  </si>
  <si>
    <t xml:space="preserve">https://striking-viking.com/products/striking-viking-beard-filler-pen-2-pack-dual-tip-waterproof-beard-pen-for-natural-beard-filling?variant=52771991224662</t>
  </si>
  <si>
    <t xml:space="preserve">https://striking-viking.com/blogs/learn/beard-grooming-comparison</t>
  </si>
  <si>
    <t xml:space="preserve">https://striking-viking.com/products/striking-viking-sandalwood-beard-shampoo-conditioner-set-hydrating-beard-care-for-men</t>
  </si>
  <si>
    <t xml:space="preserve">https://striking-viking.com/products/striking-viking-beard-filler-pen-2-pack-dual-tip-waterproof-beard-pen-for-natural-beard-filling?variant=52771991159126</t>
  </si>
  <si>
    <t xml:space="preserve">https://striking-viking.com/collections/beard-care</t>
  </si>
  <si>
    <t xml:space="preserve">https://striking-viking.com/blogs/learn</t>
  </si>
  <si>
    <t xml:space="preserve">https://striking-viking.com/collections/2026-deals</t>
  </si>
  <si>
    <t xml:space="preserve">https://striking-viking.com/blogs/learn/scented-beard-oil-by-striking-viking</t>
  </si>
  <si>
    <t xml:space="preserve">https://striking-viking.com/pages/spurit-notifications-cancelled</t>
  </si>
  <si>
    <t xml:space="preserve">https://striking-viking.com/pages/cookie-policy</t>
  </si>
  <si>
    <t xml:space="preserve">https://striking-viking.com/pages/spurit-subscriptions</t>
  </si>
  <si>
    <t xml:space="preserve">https://striking-viking.com/collections/striking-deals</t>
  </si>
  <si>
    <t xml:space="preserve">https://striking-viking.com/collections/new-in-oils-balms</t>
  </si>
  <si>
    <t xml:space="preserve">https://striking-viking.com/products/beard-growth-balm-with-biotin-2-oz-vanilla</t>
  </si>
  <si>
    <t xml:space="preserve">https://striking-viking.com/pages/contact-us</t>
  </si>
  <si>
    <t xml:space="preserve">https://striking-viking.com/products/striking-viking-sandalwood-shaving-cream-for-men-rich-lather-for-a-smooth-comfortable-shave</t>
  </si>
  <si>
    <t xml:space="preserve">https://striking-viking.com/pages/spurit-reminders-cancelled</t>
  </si>
  <si>
    <t xml:space="preserve">https://striking-viking.com/blogs/learn/grooming-kit-a-perfect-gift-for-the-modern-man</t>
  </si>
  <si>
    <t xml:space="preserve">https://striking-viking.com/products/striking-viking-vanilla-after-shave-balm-for-men-soothing-hydration-skin-care</t>
  </si>
  <si>
    <t xml:space="preserve">https://striking-viking.com/blogs/learn/beard-grooming-tools-for-professional-styling-at-home</t>
  </si>
  <si>
    <t xml:space="preserve">https://striking-viking.com/collections/sprays</t>
  </si>
  <si>
    <t xml:space="preserve">https://striking-viking.com/products/striking-viking-sandalwood-after-shave-balm-for-men-soothing-hydration-skin-care</t>
  </si>
  <si>
    <t xml:space="preserve">https://striking-viking.com/collections/beard-growth-kits</t>
  </si>
  <si>
    <t xml:space="preserve">https://striking-viking.com/pages/collab</t>
  </si>
  <si>
    <t xml:space="preserve">https://striking-viking.com/collections/combs-and-brushes</t>
  </si>
  <si>
    <t xml:space="preserve">https://striking-viking.com/blogs/learn/what-are-the-best-beard-scissors-for-precision-grooming</t>
  </si>
  <si>
    <t xml:space="preserve">https://striking-viking.com/blogs/learn/striking-viking-beard-comb-for-routine-beard-management</t>
  </si>
  <si>
    <t xml:space="preserve">https://striking-viking.com/pages/spurit-merchant-notifications-cancelled</t>
  </si>
  <si>
    <t xml:space="preserve">https://striking-viking.com/pages/ilm-form-not-visible</t>
  </si>
  <si>
    <t xml:space="preserve">https://striking-viking.com/products/striking-viking-sea-salt-hair-spray-strong-hold-citrus-texture-volume-beach-waves</t>
  </si>
  <si>
    <t xml:space="preserve">https://striking-viking.com/collections/subscribe-save</t>
  </si>
  <si>
    <t xml:space="preserve">https://striking-viking.com/collections/charlemagne</t>
  </si>
  <si>
    <t xml:space="preserve">https://striking-viking.com/blogs/learn/the-ultimate-guide-to-tattoo-aftercare-with-striking-viking</t>
  </si>
  <si>
    <t xml:space="preserve">https://striking-viking.com/products/striking-viking-beard-filler-pen-2-pack-dual-tip-waterproof-beard-pen-for-natural-beard-filling?variant=52771991126358</t>
  </si>
  <si>
    <t xml:space="preserve">Source: striking-viking - Issues.xlsx / Page has links to broken page</t>
  </si>
  <si>
    <t xml:space="preserve">Target final redirect HTTP status code</t>
  </si>
  <si>
    <t xml:space="preserve">https://striking-viking.com/de/blogs/learn/beard-grooming-quintessential-regime-for-the-modern-man</t>
  </si>
  <si>
    <t xml:space="preserve">https://vikingbeardgear.com/collections/all/products/striking-viking-wooden-beard-comb</t>
  </si>
  <si>
    <t xml:space="preserve">hölzerne Bartkamm</t>
  </si>
  <si>
    <t xml:space="preserve">https://striking-viking.com/fr/blogs/learn/heads-shoulders-knees-and-toes-but-why-forget-the-beard</t>
  </si>
  <si>
    <t xml:space="preserve">https://vikingbeardgear.com/collections/all/products/striking-viking-beard-grooming-kit-for-men</t>
  </si>
  <si>
    <t xml:space="preserve">kits d'entretien de barbe</t>
  </si>
  <si>
    <t xml:space="preserve">https://vikingbeardgear.com/collections/viking-beard-kits/products/striking-viking-ultimate-beard-grooming-kit</t>
  </si>
  <si>
    <t xml:space="preserve">https://striking-viking.com/de/blogs/learn/why-your-beard-needs-more-than-just-a-comb</t>
  </si>
  <si>
    <t xml:space="preserve">https://vikingbeardgear.com/collections/beard-and-hair-care/products/beard-wash-shampoo-beard-conditioner-set?variant=31075723673654</t>
  </si>
  <si>
    <t xml:space="preserve">unparfümierte Bartbalsam</t>
  </si>
  <si>
    <t xml:space="preserve">https://striking-viking.com/de/blogs/learn/heads-shoulders-knees-and-toes-but-why-forget-the-beard</t>
  </si>
  <si>
    <t xml:space="preserve">Bartpflegesets</t>
  </si>
  <si>
    <t xml:space="preserve">https://striking-viking.com/en-gb/blogs/learn/beard-grooming-quintessential-regime-for-the-modern-man</t>
  </si>
  <si>
    <t xml:space="preserve">wooden beard comb</t>
  </si>
  <si>
    <t xml:space="preserve">https://striking-viking.com/sv/blogs/learn/why-your-beard-needs-more-than-just-a-comb</t>
  </si>
  <si>
    <t xml:space="preserve">Oparfymerade Skäggbalsam</t>
  </si>
  <si>
    <t xml:space="preserve">https://striking-viking.com/fi/blogs/learn/grooming-products-to-pamper-your-beard-flyaway</t>
  </si>
  <si>
    <t xml:space="preserve">Partavoide</t>
  </si>
  <si>
    <t xml:space="preserve">https://striking-viking.com/sv/blogs/learn/beard-grooming-quintessential-regime-for-the-modern-man</t>
  </si>
  <si>
    <t xml:space="preserve">träkam för skägg</t>
  </si>
  <si>
    <t xml:space="preserve">https://striking-viking.com/it/blogs/learn/beard-grooming-quintessential-regime-for-the-modern-man</t>
  </si>
  <si>
    <t xml:space="preserve">pettine per barba in legno</t>
  </si>
  <si>
    <t xml:space="preserve">https://striking-viking.com/en-ca/blogs/learn/grooming-kit-a-perfect-gift-for-the-modern-man</t>
  </si>
  <si>
    <t xml:space="preserve">Beard Scissors</t>
  </si>
  <si>
    <t xml:space="preserve">https://striking-viking.com/fi/blogs/learn/grooming-kit-a-perfect-gift-for-the-modern-man</t>
  </si>
  <si>
    <t xml:space="preserve">Partasakset</t>
  </si>
  <si>
    <t xml:space="preserve">https://striking-viking.com/fr-ca/blogs/learn/grooming-kit-a-perfect-gift-for-the-modern-man</t>
  </si>
  <si>
    <t xml:space="preserve">Ciseaux à barbe</t>
  </si>
  <si>
    <t xml:space="preserve">beard grooming kits</t>
  </si>
  <si>
    <t xml:space="preserve">https://striking-viking.com/fr-ca/blogs/learn/heads-shoulders-knees-and-toes-but-why-forget-the-beard</t>
  </si>
  <si>
    <t xml:space="preserve">https://striking-viking.com/fr/blogs/learn/grooming-kit-a-perfect-gift-for-the-modern-man</t>
  </si>
  <si>
    <t xml:space="preserve">https://striking-viking.com/no/blogs/learn/beard-grooming-quintessential-regime-for-the-modern-man</t>
  </si>
  <si>
    <t xml:space="preserve">kam i tre for skjegget</t>
  </si>
  <si>
    <t xml:space="preserve">beard balm</t>
  </si>
  <si>
    <t xml:space="preserve">https://striking-viking.com/es/blogs/learn/why-your-beard-needs-more-than-just-a-comb</t>
  </si>
  <si>
    <t xml:space="preserve">Bálsamo para Barba Sin Aroma</t>
  </si>
  <si>
    <t xml:space="preserve">https://striking-viking.com/sv/blogs/learn/heads-shoulders-knees-and-toes-but-why-forget-the-beard</t>
  </si>
  <si>
    <t xml:space="preserve">https://vikingbeardgear.com/collections/all/products/striking-viking-ultimate-beard-grooming-kit</t>
  </si>
  <si>
    <t xml:space="preserve">bästa skäggvårdskitet</t>
  </si>
  <si>
    <t xml:space="preserve">https://striking-viking.com/en-ca/blogs/learn/heads-shoulders-knees-and-toes-but-why-forget-the-beard</t>
  </si>
  <si>
    <t xml:space="preserve">https://striking-viking.com/es/blogs/learn/grooming-kit-a-perfect-gift-for-the-modern-man</t>
  </si>
  <si>
    <t xml:space="preserve">Tijeras para Barba</t>
  </si>
  <si>
    <t xml:space="preserve">https://striking-viking.com/fr/blogs/learn/beard-grooming-quintessential-regime-for-the-modern-man</t>
  </si>
  <si>
    <t xml:space="preserve">peigne à barbe en bois</t>
  </si>
  <si>
    <t xml:space="preserve">https://striking-viking.com/en-gb/blogs/learn/grooming-products-to-pamper-your-beard-flyaway</t>
  </si>
  <si>
    <t xml:space="preserve">Unscented Beard Balm</t>
  </si>
  <si>
    <t xml:space="preserve">meilleur kit d'entretien de barbe</t>
  </si>
  <si>
    <t xml:space="preserve">https://striking-viking.com/en-gb/blogs/learn/grooming-kit-a-perfect-gift-for-the-modern-man</t>
  </si>
  <si>
    <t xml:space="preserve">https://striking-viking.com/fi/blogs/learn/heads-shoulders-knees-and-toes-but-why-forget-the-beard</t>
  </si>
  <si>
    <t xml:space="preserve">paras partahoidon sarja</t>
  </si>
  <si>
    <t xml:space="preserve">https://striking-viking.com/es/blogs/learn/beard-grooming-quintessential-regime-for-the-modern-man</t>
  </si>
  <si>
    <t xml:space="preserve">peine de barba de madera</t>
  </si>
  <si>
    <t xml:space="preserve">https://striking-viking.com/en-ca/blogs/learn/grooming-products-to-pamper-your-beard-flyaway</t>
  </si>
  <si>
    <t xml:space="preserve">best beard grooming kit</t>
  </si>
  <si>
    <t xml:space="preserve">https://striking-viking.com/it/blogs/learn/grooming-kit-a-perfect-gift-for-the-modern-man</t>
  </si>
  <si>
    <t xml:space="preserve">Forbici per barba</t>
  </si>
  <si>
    <t xml:space="preserve">https://striking-viking.com/de/blogs/learn/grooming-kit-a-perfect-gift-for-the-modern-man</t>
  </si>
  <si>
    <t xml:space="preserve">Bartschere</t>
  </si>
  <si>
    <t xml:space="preserve">https://striking-viking.com/es/blogs/learn/heads-shoulders-knees-and-toes-but-why-forget-the-beard</t>
  </si>
  <si>
    <t xml:space="preserve">mejor kit para el cuidado de la barba</t>
  </si>
  <si>
    <t xml:space="preserve">https://striking-viking.com/it/blogs/learn/heads-shoulders-knees-and-toes-but-why-forget-the-beard</t>
  </si>
  <si>
    <t xml:space="preserve">realizzati naturalmente</t>
  </si>
  <si>
    <t xml:space="preserve">partahoidon sarjoilla</t>
  </si>
  <si>
    <t xml:space="preserve">https://striking-viking.com/fr/blogs/learn/why-your-beard-needs-more-than-just-a-comb</t>
  </si>
  <si>
    <t xml:space="preserve">baume à barbe sans parfum</t>
  </si>
  <si>
    <t xml:space="preserve">https://striking-viking.com/en-gb/blogs/learn/heads-shoulders-knees-and-toes-but-why-forget-the-beard</t>
  </si>
  <si>
    <t xml:space="preserve">https://striking-viking.com/no/blogs/learn/why-your-beard-needs-more-than-just-a-comb</t>
  </si>
  <si>
    <t xml:space="preserve">Uparfymerte Skjeggbalmen</t>
  </si>
  <si>
    <t xml:space="preserve">https://striking-viking.com/no/blogs/learn/grooming-kit-a-perfect-gift-for-the-modern-man</t>
  </si>
  <si>
    <t xml:space="preserve">Skjeggsaks</t>
  </si>
  <si>
    <t xml:space="preserve">https://striking-viking.com/no/blogs/learn/grooming-products-to-pamper-your-beard-flyaway</t>
  </si>
  <si>
    <t xml:space="preserve">Skjeggbalm</t>
  </si>
  <si>
    <t xml:space="preserve">elaborados de manera natural</t>
  </si>
  <si>
    <t xml:space="preserve">https://striking-viking.com/en-ca/blogs/learn/why-your-beard-needs-more-than-just-a-comb</t>
  </si>
  <si>
    <t xml:space="preserve">miglior kit per la cura della barba</t>
  </si>
  <si>
    <t xml:space="preserve">https://striking-viking.com/fi/blogs/learn/beard-grooming-quintessential-regime-for-the-modern-man</t>
  </si>
  <si>
    <t xml:space="preserve">puiset partakampa</t>
  </si>
  <si>
    <t xml:space="preserve">https://striking-viking.com/it/blogs/learn/why-your-beard-needs-more-than-just-a-comb</t>
  </si>
  <si>
    <t xml:space="preserve">Balsamo Barba Senza Profumo</t>
  </si>
  <si>
    <t xml:space="preserve">skäggvårdskit</t>
  </si>
  <si>
    <t xml:space="preserve">https://striking-viking.com/fr-ca/blogs/learn/beard-grooming-quintessential-regime-for-the-modern-man</t>
  </si>
  <si>
    <t xml:space="preserve">https://striking-viking.com/de/blogs/learn/grooming-products-to-pamper-your-beard-flyaway</t>
  </si>
  <si>
    <t xml:space="preserve">Bartbalsam</t>
  </si>
  <si>
    <t xml:space="preserve">https://striking-viking.com/it/blogs/learn/grooming-products-to-pamper-your-beard-flyaway</t>
  </si>
  <si>
    <t xml:space="preserve">balsamo per barba</t>
  </si>
  <si>
    <t xml:space="preserve">https://striking-viking.com/fr/blogs/learn/grooming-products-to-pamper-your-beard-flyaway</t>
  </si>
  <si>
    <t xml:space="preserve">baume à barbe</t>
  </si>
  <si>
    <t xml:space="preserve">beste Bartpflegeset</t>
  </si>
  <si>
    <t xml:space="preserve">https://striking-viking.com/fr-ca/blogs/learn/why-your-beard-needs-more-than-just-a-comb</t>
  </si>
  <si>
    <t xml:space="preserve">https://striking-viking.com/en-gb/blogs/learn/why-your-beard-needs-more-than-just-a-comb</t>
  </si>
  <si>
    <t xml:space="preserve">https://striking-viking.com/sv/blogs/learn/grooming-kit-a-perfect-gift-for-the-modern-man</t>
  </si>
  <si>
    <t xml:space="preserve">Skäggsax</t>
  </si>
  <si>
    <t xml:space="preserve">https://striking-viking.com/fi/blogs/learn/why-your-beard-needs-more-than-just-a-comb</t>
  </si>
  <si>
    <t xml:space="preserve">Tuoksuton partabalsami</t>
  </si>
  <si>
    <t xml:space="preserve">https://striking-viking.com/sv/blogs/learn/grooming-products-to-pamper-your-beard-flyaway</t>
  </si>
  <si>
    <t xml:space="preserve">Skäggbalsam</t>
  </si>
  <si>
    <t xml:space="preserve">https://striking-viking.com/no/blogs/learn/heads-shoulders-knees-and-toes-but-why-forget-the-beard</t>
  </si>
  <si>
    <t xml:space="preserve">beste skjeggpleiesettet</t>
  </si>
  <si>
    <t xml:space="preserve">skjeggpleiesettene</t>
  </si>
  <si>
    <t xml:space="preserve">https://striking-viking.com/fr-ca/blogs/learn/grooming-products-to-pamper-your-beard-flyaway</t>
  </si>
  <si>
    <t xml:space="preserve">https://striking-viking.com/en-ca/blogs/learn/beard-grooming-quintessential-regime-for-the-modern-man</t>
  </si>
  <si>
    <t xml:space="preserve">https://striking-viking.com/es/blogs/learn/grooming-products-to-pamper-your-beard-flyaway</t>
  </si>
  <si>
    <t xml:space="preserve">bálsamo para barba</t>
  </si>
  <si>
    <t xml:space="preserve">Source: striking-viking - Issues.xlsx / Meta description too long</t>
  </si>
  <si>
    <t xml:space="preserve">Thank-you for visiting Striking Viking! Have a question or concern? We're eager to address any question you may have, so please fill out the form below and we will be in contact with you by the next business day! Email: service@vikingbeardgear.com</t>
  </si>
  <si>
    <t xml:space="preserve">Become a reseller and elevate your retail with premium men's grooming products from Striking Viking. Join us today for exclusive support, packaging, and sales growth.</t>
  </si>
  <si>
    <t xml:space="preserve">Shop Striking Viking men's grooming sprays — sea salt hair sprays for texture &amp; hold, available in Blue Ocean and Citrus scents. Lightweight, fresh, and fast-styling.</t>
  </si>
  <si>
    <t xml:space="preserve">Shop Striking Viking after shave balm — alcohol-free, soothing post-shave balm for men. Reduces razor burn &amp; redness. Available in Vanilla, Sandalwood &amp; Unscented.</t>
  </si>
  <si>
    <t xml:space="preserve">Discover Scissors Ontaki, crafted from premium Japanese steel for clean, controlled grooming. Perfect for professionals and home use, bringing barbershop quality to your routine.</t>
  </si>
  <si>
    <t xml:space="preserve">Striking Viking beard care products are handcrafted with all natural and 100% organic ingredients leaving your beard and mustache full and healthy. Our unique blends of oils and balms are formulated to promote beard growth while our beard combs showcase fashion, functionality and leave your beard looking its best.</t>
  </si>
  <si>
    <t xml:space="preserve">Shop Striking Viking wooden beard combs — folding pocket combs, full-size beard combs &amp; anti-static hair combs. Snag-free grooming for beard &amp; hair. Free US shipping over $60.</t>
  </si>
  <si>
    <t xml:space="preserve">This beard growth butter with biotin is crafted to support a fuller-looking beard while delivering intense hydration and improved texture. It helps soften coarse hair, reduce the appearance of dryness, and enhance overall beard manageability. The lightweight, non-greasy formula absorbs quickly, while the fresh Blue Oce</t>
  </si>
  <si>
    <t xml:space="preserve">Groom and style your beard with the Striking Viking Boar Bristle Beard Brush. Natural beech wood handle, premium boar bristles, reduces frizz, and distributes natural oils.</t>
  </si>
  <si>
    <t xml:space="preserve">Create a fuller-looking beard instantly with the Striking Viking Beard Filler Pencil. Dual-tip design with blending brush for natural coverage, shaping, and beard styling.</t>
  </si>
  <si>
    <t xml:space="preserve">https://striking-viking.com/es/collections/beard-care</t>
  </si>
  <si>
    <t xml:space="preserve">Todo lo que necesitas para una barba bien cuidada. Aceites, bálsamos, mantecas, jabones, peines y kits. Más de 23,000 reseñas de 5 estrellas. Envío gratis en EE. UU. en compras superiores a $60.</t>
  </si>
  <si>
    <t xml:space="preserve">https://striking-viking.com/de/collections/2026-deals</t>
  </si>
  <si>
    <t xml:space="preserve">Bartpflege-Angebot bei Striking Viking. Spare bei Bartpflege, Pflegewerkzeugen und Styling-Essentials, die für täglichen Komfort und Selbstbewusstsein entwickelt wurden.</t>
  </si>
  <si>
    <t xml:space="preserve">https://striking-viking.com/en-ca/pages/contact-us</t>
  </si>
  <si>
    <t xml:space="preserve">https://striking-viking.com/es/products/striking-viking-beard-filler-pen-2-pack-waterproof-beard-pen-for-filling-gaps-covering-patches</t>
  </si>
  <si>
    <t xml:space="preserve">Rellena huecos en la barba y cubre zonas despobladas con el Striking Viking Waterproof Beard Filler Pen Pack de 2. Acabado resistente al sudor y de aspecto natural. Disponible en varios tonos.</t>
  </si>
  <si>
    <t xml:space="preserve">https://striking-viking.com/fr/pages/become-a-reseller</t>
  </si>
  <si>
    <t xml:space="preserve">Devenez revendeur et élevez votre commerce de détail avec des produits de soins masculins haut de gamme de Striking Viking. Rejoignez-nous dès aujourd'hui pour bénéficier d'un accompagnement exclusif, d'un emballage soigné et d'une croissance des ventes.</t>
  </si>
  <si>
    <t xml:space="preserve">https://striking-viking.com/fr/collections/beard-balm</t>
  </si>
  <si>
    <t xml:space="preserve">Baumes à barbe premium qui sculptent, nourrissent et disciplinent votre barbe. Ingrédients naturels, tenue moyenne, hydratation toute la journée. Découvrez toute la gamme chez Striking Viking.</t>
  </si>
  <si>
    <t xml:space="preserve">https://striking-viking.com/no/collections/shaving</t>
  </si>
  <si>
    <t xml:space="preserve">Handle Striking Viking barberingsessensialer. Glatte, behagelige barberinger med førsteklasses balmer, oljer og verktøy designet for rene resultater og daglig hudkomfort.</t>
  </si>
  <si>
    <t xml:space="preserve">https://striking-viking.com/it/collections/tattoo-aftercare</t>
  </si>
  <si>
    <t xml:space="preserve">Esplora la nostra collezione di prodotti per la cura del tatuaggio, pensata per nutrire e proteggere i tuoi tatuaggi, assicurando una guarigione perfetta e colori vivaci.</t>
  </si>
  <si>
    <t xml:space="preserve">https://striking-viking.com/de/collections/scissors-ontaki</t>
  </si>
  <si>
    <t xml:space="preserve">Entdecken Sie die Schere Ontaki aus hochwertigem japanischem Stahl für eine saubere, kontrollierte Pflege. Perfekt für den professionellen und privaten Gebrauch – für Barbershop-Qualität in Ihrem Alltag.</t>
  </si>
  <si>
    <t xml:space="preserve">https://striking-viking.com/es/products/striking-viking-sea-salt-hair-spray-strong-hold-citrus-texture-volume-beach-waves</t>
  </si>
  <si>
    <t xml:space="preserve">Striking Viking Spray de Sal Marina Cítrico. Fijación fuerte, ondas playeras con un refrescante aroma cítrico. Fórmula ligera y no grasa para todo tipo de cabello.</t>
  </si>
  <si>
    <t xml:space="preserve">https://striking-viking.com/es/collections/combs-and-brushes</t>
  </si>
  <si>
    <t xml:space="preserve">Peines premium para barba y cepillos de cerdas de jabalí para el cuidado diario. Peines de madera antiestáticos, cepillos de cerdas naturales. Herramientas esenciales para una barba bien cuidada.</t>
  </si>
  <si>
    <t xml:space="preserve">Upptäck den vikbara skäggkammen, ett oumbärligt grooming-tillbehör för moderna män. Underhåll enkelt ett stilrent, hälsosamt skägg med detta portabla, handgjorda verktyg.</t>
  </si>
  <si>
    <t xml:space="preserve">https://striking-viking.com/en-ca/pages/about-us</t>
  </si>
  <si>
    <t xml:space="preserve">https://striking-viking.com/fi/products/striking-viking-beard-filler-pen-2-pack-waterproof-beard-pen-for-filling-gaps-covering-patches</t>
  </si>
  <si>
    <t xml:space="preserve">Täytä partaan jäävät aukot ja peitä harvat kohdat Striking Viking Waterproof Partatäytekynä 2-pakkauksella. Hienkestävä, luonnollisen näköinen lopputulos. Saatavilla useissa sävyissä.</t>
  </si>
  <si>
    <t xml:space="preserve">https://striking-viking.com/de/pages/become-a-reseller</t>
  </si>
  <si>
    <t xml:space="preserve">Werden Sie Wiederverkäufer und steigern Sie Ihren Umsatz mit den hochwertigen Herrenpflegeprodukten von Striking Viking. Profitieren Sie noch heute von exklusivem Support, Verpackung und Umsatzwachstum.</t>
  </si>
  <si>
    <t xml:space="preserve">https://striking-viking.com/fr/collections/combs-and-brushes</t>
  </si>
  <si>
    <t xml:space="preserve">Peignes à barbe haut de gamme et brosses en poils de sanglier pour l’entretien quotidien. Peignes en bois antistatiques, brosses à poils naturels. Outils essentiels pour une barbe soignée.</t>
  </si>
  <si>
    <t xml:space="preserve">https://striking-viking.com/en-ca/collections/combs</t>
  </si>
  <si>
    <t xml:space="preserve">https://striking-viking.com/it/collections/combs</t>
  </si>
  <si>
    <t xml:space="preserve">Acquista i pettini in legno per barba Striking Viking — pettini pieghevoli da tasca, pettini per barba a grandezza naturale e pettini antistatici per capelli. Cura senza strappi per barba e capelli. Spedizione gratuita negli Stati Uniti per ordini superiori a 60$.</t>
  </si>
  <si>
    <t xml:space="preserve">https://striking-viking.com/it/collections/best-sellers-grooming-kit</t>
  </si>
  <si>
    <t xml:space="preserve">Acquista i prodotti per la cura della barba più venduti di Striking Viking. Valutati da oltre 23.000 clienti su Amazon. I migliori oli per barba, balsami, kit e strumenti per la cura.</t>
  </si>
  <si>
    <t xml:space="preserve">https://striking-viking.com/de/pages/about-us</t>
  </si>
  <si>
    <t xml:space="preserve">Die auffälligen Viking-Bartpflegeprodukte werden in Handarbeit aus rein natürlichen und 100 % biologischen Inhaltsstoffen hergestellt und sorgen dafür, dass Ihr Bart und Schnurrbart voll und gesund bleibt. Unsere einzigartigen Mischungen aus Ölen und Balsamen sind so formuliert, dass sie das Bartwachstum fördern, während unsere Bartkämme Mode und Funktionalität unterstreichen und Ihrem Bart ein optimales Aussehen verleihen.</t>
  </si>
  <si>
    <t xml:space="preserve">https://striking-viking.com/it/pages/contact-us</t>
  </si>
  <si>
    <t xml:space="preserve">Grazie per aver visitato Striking Viking! Hai una domanda o una preoccupazione? Siamo ansiosi di rispondere a qualsiasi domanda tu possa avere, quindi compila il modulo qui sotto e ti contatteremo entro il prossimo giorno lavorativo! Email: service@vikingbeardgear.com</t>
  </si>
  <si>
    <t xml:space="preserve">https://striking-viking.com/de</t>
  </si>
  <si>
    <t xml:space="preserve">Seit 2016 fertigt Striking Viking hochwertige natürliche Bartöle, Balsame, Kämme und Pflege-Sets für Männer. Kostenloser Versand bei Bestellungen über 35 €. Jetzt einkaufen.</t>
  </si>
  <si>
    <t xml:space="preserve">https://striking-viking.com/fi/collections/partavesi</t>
  </si>
  <si>
    <t xml:space="preserve">Puhdista ja raikasta partasi ilman, että poistat luonnollisia öljyjä. Sulfaatittomat partapesut ja shampoot, jotka ovat hellävaraisia iholle ja jättävät partasi pehmeäksi.</t>
  </si>
  <si>
    <t xml:space="preserve">https://striking-viking.com/es/collections/best-sellers-grooming-kit</t>
  </si>
  <si>
    <t xml:space="preserve">Compra los productos para el cuidado de la barba más vendidos de Striking Viking. Calificados por más de 23,000 clientes en Amazon. Los mejores aceites, bálsamos, kits y herramientas de cuidado para la barba.</t>
  </si>
  <si>
    <t xml:space="preserve">https://striking-viking.com/it/products/striking-viking-beard-filler-pen-2-pack-waterproof-beard-pen-for-filling-gaps-covering-patches</t>
  </si>
  <si>
    <t xml:space="preserve">Riempi i vuoti della barba e copri le zone rade con il Striking Viking Waterproof Beard Filler Pen 2-Pack. Resistente al sudore, effetto naturale. Disponibile in diverse tonalità.</t>
  </si>
  <si>
    <t xml:space="preserve">https://striking-viking.com/fi/collections/partavoide</t>
  </si>
  <si>
    <t xml:space="preserve">Premium-parta butter, joka hoitaa ja pehmentää partaasi syvältä. Kevyt pito, runsas kosteutus, ei rasvaista jäämää. Luonnolliset ainesosat kaikille partatyypeille.</t>
  </si>
  <si>
    <t xml:space="preserve">https://striking-viking.com/it/pages/about-us</t>
  </si>
  <si>
    <t xml:space="preserve">I prodotti per la cura della barba Striking Viking sono realizzati a mano con ingredienti completamente naturali e 100% biologici, lasciando la tua barba e i tuoi baffi folti e sani. Le nostre miscele uniche di oli e balsami sono formulate per favorire la crescita della barba, mentre i nostri pettini per barba uniscono stile, funzionalità e lasciano la tua barba al suo meglio.</t>
  </si>
  <si>
    <t xml:space="preserve">https://striking-viking.com/es</t>
  </si>
  <si>
    <t xml:space="preserve">Desde 2016, Striking Viking crea aceites para barba, bálsamos, peines y kits de cuidado premium y naturales para hombres. Envío gratis en pedidos superiores a 35 €. Compra ahora.</t>
  </si>
  <si>
    <t xml:space="preserve">https://striking-viking.com/fr/collections/2026-deals</t>
  </si>
  <si>
    <t xml:space="preserve">Offres soin de la barbe chez Striking Viking. Composez un lot et économisez sur les soins de la barbe, les outils de grooming et les essentiels de coiffage pensés pour le confort et la confiance au quotidien.</t>
  </si>
  <si>
    <t xml:space="preserve">https://striking-viking.com/de/collections/face-body</t>
  </si>
  <si>
    <t xml:space="preserve">Entdecke die Striking Viking Essentials für Gesicht und Körperpflege. Reinige, pflege und erfrische deine Routine mit unkomplizierter Pflege für selbstbewussten täglichen Komfort.</t>
  </si>
  <si>
    <t xml:space="preserve">https://striking-viking.com/fi/collections/kammat</t>
  </si>
  <si>
    <t xml:space="preserve">Osta Striking Viking puiset partakammat — taitettavat taskukammat, täysikokoiset partakammat ja antistaattiset hiuskammat. Takertumaton viimeistely parralle ja hiuksille. Ilmainen toimitus Yhdysvaltoihin yli 60 dollarin tilauksille.</t>
  </si>
  <si>
    <t xml:space="preserve">https://striking-viking.com/de/products/bartol-vanille-2</t>
  </si>
  <si>
    <t xml:space="preserve">Bartöl Terra Sol mit Bio-Argan-, Jojoba- und Teebaumölen. Macht den Bart weich, pflegt und fördert das Bartwachstum. 100 % natürlich, tierversuchsfrei. Kostenloser Versand in der EU.</t>
  </si>
  <si>
    <t xml:space="preserve">https://striking-viking.com/it</t>
  </si>
  <si>
    <t xml:space="preserve">Dal 2016, Striking Viking crea oli da barba naturali di alta qualità, balsami, pettini e kit per la cura maschile. Spedizione gratuita per ordini superiori a €35. Acquista ora.</t>
  </si>
  <si>
    <t xml:space="preserve">Entdecken Sie den faltbaren Bartkamm, ein unverzichtbares Pflegeaccessoire für moderne Männer. Mit diesem tragbaren, handgefertigten Werkzeug pflegen Sie ganz einfach einen stilvollen, gesunden Bart.</t>
  </si>
  <si>
    <t xml:space="preserve">https://striking-viking.com/sv/collections/beard-balm</t>
  </si>
  <si>
    <t xml:space="preserve">Premium skäggbalsam som formar, vårdar och tämjer ditt skägg. Naturliga ingredienser, medium stadga, fukt hela dagen. Utforska hela sortimentet hos Striking Viking.</t>
  </si>
  <si>
    <t xml:space="preserve">https://striking-viking.com/fi/collections/parta-voide</t>
  </si>
  <si>
    <t xml:space="preserve">Premium-partabalsamit, jotka muotoilevat, hoitavat ja kesyttävät partasi. Luonnolliset ainesosat, keskivahva pito, kosteuttaa koko päivän. Tutustu koko valikoimaan Striking Vikingilla.</t>
  </si>
  <si>
    <t xml:space="preserve">https://striking-viking.com/it/products/striking-viking-beard-kit-caddy-complete-beard-grooming-kit</t>
  </si>
  <si>
    <t xml:space="preserve">Striking Viking Beard Kit con caddy. Include shampoo, olio, balsamo, forbici, spazzola e pettine in un caddy di legno. Set completo per la cura della barba dedicato all’uomo moderno.</t>
  </si>
  <si>
    <t xml:space="preserve">https://striking-viking.com/sv/pages/about-us</t>
  </si>
  <si>
    <t xml:space="preserve">Striking Viking skäggvårdsprodukter är handgjorda med helt naturliga och 100% ekologiska ingredienser som gör ditt skägg och mustasch fylliga och hälsosamma. Våra unika blandningar av oljor och balms är framtagna för att främja skäggväxt medan våra skäggkammar visar upp stil, funktionalitet och får ditt skägg att se som bäst ut.</t>
  </si>
  <si>
    <t xml:space="preserve">https://striking-viking.com/no/collections/beard-oil</t>
  </si>
  <si>
    <t xml:space="preserve">Handle premium skjeggoljer for menn. Naturlige, lette formler som mykgjør, pleier og temmer skjegget ditt. Trekker raskt inn, uten å føles fet. Gratis frakt i USA på kjøp over $60.</t>
  </si>
  <si>
    <t xml:space="preserve">Descubre el Peine Plegable para Barba, un accesorio esencial de cuidado personal para el hombre moderno. Mantén fácilmente una barba elegante y saludable con esta herramienta portátil y hecha a mano.</t>
  </si>
  <si>
    <t xml:space="preserve">https://striking-viking.com/fi/collections/kasvot-keho</t>
  </si>
  <si>
    <t xml:space="preserve">Tutustu Striking Vikingin kasvojen ja vartalon hoidon perustuotteisiin. Puhdista, ravitse ja virkistä rutiinisi yksinkertaisella hoidolla, joka tuo itsevarmaa mukavuutta jokaiseen päivään.</t>
  </si>
  <si>
    <t xml:space="preserve">Entdecke, wie ein Pflege-Set dein Bart-Styling auf das nächste Level bringt. Perfekt für moderne Männer, die Wert auf Stil und Qualität in ihrer Pflegeroutine legen.</t>
  </si>
  <si>
    <t xml:space="preserve">https://striking-viking.com/fi/collections/biotin-beard-growth</t>
  </si>
  <si>
    <t xml:space="preserve">Vuodesta 2016 lähtien Striking Viking on valmistanut ensiluokkaisia luonnollisia partaöljyjä, -balsameja, kampoja ja hoitosettejä miehille. Ilmainen toimitus yli 35 € tilauksille. Osta nyt.</t>
  </si>
  <si>
    <t xml:space="preserve">https://striking-viking.com/fi/collections/harjat</t>
  </si>
  <si>
    <t xml:space="preserve">Striking Vikingin premium-tason hoitoharjat on suunniteltu virheettömään levitykseen, ylivoimaiseen mukavuuteen ja pitkäkestoisiin tyylityökaluihin jokapäiväiseen rutiiniisi.</t>
  </si>
  <si>
    <t xml:space="preserve">https://striking-viking.com/it/collections/beard-balm</t>
  </si>
  <si>
    <t xml:space="preserve">Balsami da barba premium che modellano, nutrono e domano la tua barba. Ingredienti naturali, tenuta media, idratazione per tutto il giorno. Scopri l’intera gamma su Striking Viking.</t>
  </si>
  <si>
    <t xml:space="preserve">https://striking-viking.com/fr/products/striking-viking-beard-kit-caddy-complete-beard-grooming-kit</t>
  </si>
  <si>
    <t xml:space="preserve">Le support de kit à barbe Striking Viking comprend shampooing, huile et baume au santal, ciseaux, brosse, peigne et support en bambou pour un soin complet de la barbe.</t>
  </si>
  <si>
    <t xml:space="preserve">https://striking-viking.com/no/pages/contact-us</t>
  </si>
  <si>
    <t xml:space="preserve">Takk for at du besøker Striking Viking! Har du et spørsmål eller en bekymring? Vi er ivrige etter å svare på alle spørsmål du måtte ha, så vennligst fyll ut skjemaet nedenfor, så tar vi kontakt med deg innen neste virkedag! E-post: service@vikingbeardgear.com</t>
  </si>
  <si>
    <t xml:space="preserve">https://striking-viking.com/it/collections/beard-growth-kits</t>
  </si>
  <si>
    <t xml:space="preserve">Hai problemi con una barba a chiazze? I nostri oli, kit e sieri per la crescita della barba ti aiutano a ottenere una barba più folta e piena in modo naturale. Formule arricchite con biotina che funzionano.</t>
  </si>
  <si>
    <t xml:space="preserve">https://striking-viking.com/it/collections/brushes</t>
  </si>
  <si>
    <t xml:space="preserve">Spazzole da toelettatura premium di Striking Viking progettate per un'applicazione impeccabile, comfort superiore e strumenti di stile duraturi per la tua routine quotidiana</t>
  </si>
  <si>
    <t xml:space="preserve">https://striking-viking.com/fi</t>
  </si>
  <si>
    <t xml:space="preserve">https://striking-viking.com/de/collections/beard-wash</t>
  </si>
  <si>
    <t xml:space="preserve">Reinige und erfrische deinen Bart, ohne die natürlichen Öle zu entziehen. Sulfatfreie Bartwaschmittel und Shampoos, die sanft zur Haut sind und deinen Bart weich hinterlassen.</t>
  </si>
  <si>
    <t xml:space="preserve">https://striking-viking.com/en-ca/products/striking-viking-blue-ocean-beard-oil-for-men-natural-beard-growth-oil-with-argan-jojoba</t>
  </si>
  <si>
    <t xml:space="preserve">Hydrate, soften, and nourish your beard with Striking Viking Blue Ocean Beard Oil. Made with natural oils to moisturize skin, reduce beard itch, and support healthy beard growth.</t>
  </si>
  <si>
    <t xml:space="preserve">https://striking-viking.com/fi/collections/shaving</t>
  </si>
  <si>
    <t xml:space="preserve">Osta Striking Viking -parranajon välttämättömyystarvikkeet. Sileät, mukavat ajot laadukkailla voiteilla, öljyillä ja työkaluilla, jotka on suunniteltu puhtaisiin tuloksiin ja päivittäiseen ihon mukavuuteen.</t>
  </si>
  <si>
    <t xml:space="preserve">https://striking-viking.com/de/collections/beard-growth-kits</t>
  </si>
  <si>
    <t xml:space="preserve">Kämpfst du mit einem lückenhaften Bart? Unsere Bartwuchs-Öle, Sets und Seren helfen dir, auf natürliche Weise einen dichteren, volleren Bart wachsen zu lassen. Mit Biotin angereicherte Formeln, die wirken.</t>
  </si>
  <si>
    <t xml:space="preserve">https://striking-viking.com/sv/collections/beard-wash</t>
  </si>
  <si>
    <t xml:space="preserve">Rengör och fräscha upp ditt skägg utan att ta bort de naturliga oljorna. Sulfatfria skäggtvättar och schampon som är skonsamma mot huden och gör ditt skägg mjukt.</t>
  </si>
  <si>
    <t xml:space="preserve">https://striking-viking.com/en-ca/pages/become-a-reseller</t>
  </si>
  <si>
    <t xml:space="preserve">https://striking-viking.com/it/pages/cookie-policy</t>
  </si>
  <si>
    <t xml:space="preserve">Un cookie è una piccola quantità di informazioni che utilizziamo per rendere migliore la tua esperienza di navigazione. Leggi come utilizziamo i cookie nella nostra informativa sui cookie.</t>
  </si>
  <si>
    <t xml:space="preserve">https://striking-viking.com/fr/products/striking-viking-terra-sol-beard-oil-for-men-natural-beard-growth-oil-with-argan-jojoba</t>
  </si>
  <si>
    <t xml:space="preserve">Hydratez, adoucissez et nourrissez votre barbe avec l'huile à barbe Terra Sol Striking Viking. Aux huiles naturelles pour hydrater la peau, réduire les démangeaisons et favoriser une pousse saine de la barbe.</t>
  </si>
  <si>
    <t xml:space="preserve">https://striking-viking.com/es/products/striking-viking-blue-ocean-beard-oil-for-men-natural-beard-growth-oil-with-argan-jojoba</t>
  </si>
  <si>
    <t xml:space="preserve">Descubre los beneficios del Aceite para Barba - Blue Ocean. Ingredientes totalmente naturales y orgánicos que promueven una barba sana y suave con un refrescante aroma a océano. ¡Haz tu pedido ahora!</t>
  </si>
  <si>
    <t xml:space="preserve">https://striking-viking.com/fi/products/striking-viking-mustache-wax-and-comb-kit</t>
  </si>
  <si>
    <t xml:space="preserve">Striking Viking Viiksivaha &amp; kammisetti. Vaniljalta tuoksuva mehiläisvaha muotoiluun ja hoitoon. Antistaattinen taskukampa mukana. Ei sisällä petrolatumia, vahva pito.</t>
  </si>
  <si>
    <t xml:space="preserve">https://striking-viking.com/no/collections/combs</t>
  </si>
  <si>
    <t xml:space="preserve">Handle Striking Viking treskjeggkammer – sammenleggbare lommekammer, kammer i full størrelse og antistatiske hårkammer. Flokefri pleie for skjegg og hår. Gratis frakt i USA på bestillinger over $60.</t>
  </si>
  <si>
    <t xml:space="preserve">https://striking-viking.com/es/collections/brushes</t>
  </si>
  <si>
    <t xml:space="preserve">Cepillos de cuidado premium de Striking Viking diseñados para una aplicación impecable, comodidad superior y herramientas de estilo duraderas para tu rutina diaria</t>
  </si>
  <si>
    <t xml:space="preserve">https://striking-viking.com/fr/products/striking-viking-beard-filler-pen-2-pack-waterproof-beard-pen-for-filling-gaps-covering-patches</t>
  </si>
  <si>
    <t xml:space="preserve">Le lot de 2 stylos correcteurs de barbe Striking Viking est un stylo à barbe imperméable pour combler les trous, masquer les zones clairsemées et définir votre barbe avec un fini naturel.</t>
  </si>
  <si>
    <t xml:space="preserve">Löydä taitettava partakampa, olennainen hoito- ja kauneusväline moderneille miehille. Ylläpidä helposti tyylikästä, tervettä partaa tämän kannettavan, käsintehdyn työkalun avulla.</t>
  </si>
  <si>
    <t xml:space="preserve">https://striking-viking.com/fi/collections/sprays</t>
  </si>
  <si>
    <t xml:space="preserve">Osta Striking Viking miesten grooming-suihkeet — merisuolasuihkeet hiuksille tuomaan rakennetta ja pitoa, saatavilla Blue Ocean- ja Citrus-tuoksuissa. Kevyt, raikas ja nopeaan muotoiluun.</t>
  </si>
  <si>
    <t xml:space="preserve">https://striking-viking.com/es/pages/data-sharing-opt-out</t>
  </si>
  <si>
    <t xml:space="preserve">Lee la Política de Privacidad de Striking Viking. Descubre cómo recopilamos, usamos y protegemos tu información para garantizar una experiencia de compra segura y confiable.</t>
  </si>
  <si>
    <t xml:space="preserve">https://striking-viking.com/fi/collections/parta-oljy</t>
  </si>
  <si>
    <t xml:space="preserve">Osta premium-partaöljyt miehille. Luonnolliset, kevyet koostumukset, jotka pehmentävät, hoitavat ja kesyttävät partasi. Imeytyy nopeasti, ei jätä rasvaista tunnetta. Ilmainen toimitus Yhdysvaltoihin yli 60 dollarin tilauksiin.</t>
  </si>
  <si>
    <t xml:space="preserve">https://striking-viking.com/es/products/striking-viking-terra-sol-beard-oil-for-men-natural-beard-growth-oil-with-argan-jojoba</t>
  </si>
  <si>
    <t xml:space="preserve">Aceite para Barba Terra Sol con aceites orgánicos de argán, jojoba y árbol de té. Suaviza, nutre y estimula el crecimiento de la barba. 100% natural, libre de crueldad. Envío gratis a la UE.</t>
  </si>
  <si>
    <t xml:space="preserve">https://striking-viking.com/no/pages/about-us</t>
  </si>
  <si>
    <t xml:space="preserve">Striking Viking skjeggpleieprodukter er håndlaget med helt naturlige og 100 % økologiske ingredienser som gir skjegget og barten din fylde og sunnhet. Våre unike blandinger av oljer og balmer er utviklet for å fremme skjeggvekst, mens våre skjeggkammer kombinerer stil og funksjonalitet og får skjegget ditt til å se best mulig ut.</t>
  </si>
  <si>
    <t xml:space="preserve">https://striking-viking.com/fr/collections/combs</t>
  </si>
  <si>
    <t xml:space="preserve">Achetez les peignes à barbe en bois Striking Viking — peignes de poche pliants, peignes à barbe grand format et peignes antistatiques pour cheveux. Un entretien sans accroc pour la barbe et les cheveux. Livraison gratuite aux États-Unis dès 60 $.</t>
  </si>
  <si>
    <t xml:space="preserve">https://striking-viking.com/es/collections/beard-growth-kits</t>
  </si>
  <si>
    <t xml:space="preserve">¿Tienes problemas con una barba irregular? Nuestros aceites, kits y sérums para el crecimiento de la barba te ayudan a conseguir una barba más densa y completa de forma natural. Fórmulas con biotina que realmente funcionan.</t>
  </si>
  <si>
    <t xml:space="preserve">https://striking-viking.com/sv/collections/biotin-beard-growth</t>
  </si>
  <si>
    <t xml:space="preserve">Sedan 2016 har Striking Viking tillverkat förstklassiga naturliga skäggoljor, balms, kammar och groomingkit för män. Fri frakt på beställningar över 35 €. Handla nu.</t>
  </si>
  <si>
    <t xml:space="preserve">https://striking-viking.com/fr/pages/contact-us</t>
  </si>
  <si>
    <t xml:space="preserve">Merci de visiter Striking Viking ! Vous avez une question ou une préoccupation ? Nous sommes impatients de répondre à toute question que vous pourriez avoir, alors veuillez remplir le formulaire ci-dessous et nous vous contacterons le jour ouvrable suivant ! Email : service@vikingbeardgear.com</t>
  </si>
  <si>
    <t xml:space="preserve">https://striking-viking.com/no/products/striking-viking-beard-filler-pen-2-pack-waterproof-beard-pen-for-filling-gaps-covering-patches</t>
  </si>
  <si>
    <t xml:space="preserve">Fyll skjegghull og dekk flekker med Striking Viking Vanntett Skjeggfyller Penn 2-pakning. Svettebestandig, naturlig utseende finish. Tilgjengelig i flere nyanser.</t>
  </si>
  <si>
    <t xml:space="preserve">https://striking-viking.com/fi/collections/sakset-ontaki</t>
  </si>
  <si>
    <t xml:space="preserve">Löydä Scissors Ontaki, valmistettu korkealaatuisesta japanilaisesta teräksestä siistiin ja hallittuun trimmaamiseen. Täydellinen ammattilaisille ja kotikäyttöön, tuoden parturiliikkeen laatua rutiiniisi.</t>
  </si>
  <si>
    <t xml:space="preserve">https://striking-viking.com/de/collections/shaving</t>
  </si>
  <si>
    <t xml:space="preserve">Entdecke Striking Viking Rasier-Essentials. Sanfte, komfortable Rasuren mit hochwertigen Balsamen, Ölen und Werkzeugen, entwickelt für ein sauberes Ergebnis und täglichen Hautkomfort.</t>
  </si>
  <si>
    <t xml:space="preserve">https://striking-viking.com/es/collections/face-body</t>
  </si>
  <si>
    <t xml:space="preserve">Descubre los esenciales de cuidado facial y corporal de Striking Viking. Limpia, nutre y renueva tu rutina con un cuidado sencillo para una comodidad diaria llena de confianza.</t>
  </si>
  <si>
    <t xml:space="preserve">https://striking-viking.com/es/collections/2026-deals</t>
  </si>
  <si>
    <t xml:space="preserve">Oferta de cuidado de barba en Striking Viking. Ahorra en productos para el cuidado de la barba, herramientas de grooming y esenciales de estilo diseñados para tu comodidad y confianza diaria.</t>
  </si>
  <si>
    <t xml:space="preserve">https://striking-viking.com/sv/collections/beard-oil</t>
  </si>
  <si>
    <t xml:space="preserve">Handla premium skäggoljor för män. Naturliga, lätta formulas som mjukgör, vårdar och tämjer ditt skägg. Snabbabsorberande, utan kladd. Fri frakt inom USA vid köp över $60.</t>
  </si>
  <si>
    <t xml:space="preserve">https://striking-viking.com/es/collections/hair-care</t>
  </si>
  <si>
    <t xml:space="preserve">Descubre productos de Cuidado Capilar de primera calidad en nuestra colección para lograr un cabello sano y brillante. Compra ahora las mejores soluciones de Cuidado Capilar adaptadas a todo tipo de cabello.</t>
  </si>
  <si>
    <t xml:space="preserve">https://striking-viking.com/it/collections/beard-butter</t>
  </si>
  <si>
    <t xml:space="preserve">Burro da barba premium che nutre in profondità e ammorbidisce la tua barba. Tenuta leggera, idratazione intensa, senza residui oleosi. Ingredienti naturali per tutti i tipi di barba.</t>
  </si>
  <si>
    <t xml:space="preserve">https://striking-viking.com/en-ca/products/striking-viking-sea-salt-hair-spray-strong-hold-citrus-texture-volume-beach-waves</t>
  </si>
  <si>
    <t xml:space="preserve">Create beach waves, texture, and lasting volume with Striking Viking Strong Hold Sea Salt Hair Spray. Lightweight formula with a refreshing citrus scent and UV protection.</t>
  </si>
  <si>
    <t xml:space="preserve">https://striking-viking.com/fr/collections/bundles</t>
  </si>
  <si>
    <t xml:space="preserve">Découvrez les coffrets de soins Striking Viking — des ensembles de soins pour barbe soigneusement sélectionnés avec huiles, baumes et peignes à prix avantageux. Des cadeaux parfaits pour hommes. Livraison gratuite aux États-Unis dès 60 $.</t>
  </si>
  <si>
    <t xml:space="preserve">https://striking-viking.com/en-gb/pages/contact-us</t>
  </si>
  <si>
    <t xml:space="preserve">https://striking-viking.com/de/products/schnurrbartwachs-und-kamm</t>
  </si>
  <si>
    <t xml:space="preserve">Striking Viking Schnurrbartwachs &amp; Kamm-Set. Vanilleduftendes Bienenwachs zum Stylen und Pflegen. Antistatischer Taschenkamm inklusive. Ohne Petroleum, starker Halt.</t>
  </si>
  <si>
    <t xml:space="preserve">Hydrate, soften, and nourish your beard with Striking Viking Terra Sol Beard Oil. Made with natural oils to moisturize skin, reduce beard itch, and support healthy beard growth.</t>
  </si>
  <si>
    <t xml:space="preserve">https://striking-viking.com/en-ca/collections/after-shave-balm</t>
  </si>
  <si>
    <t xml:space="preserve">https://striking-viking.com/fr</t>
  </si>
  <si>
    <t xml:space="preserve">Depuis 2016, Striking Viking crée des huiles à barbe naturelles haut de gamme, des baumes, des peignes et des coffrets de soins pour hommes. Livraison gratuite pour toute commande supérieure à 35 €. Achetez maintenant.</t>
  </si>
  <si>
    <t xml:space="preserve">https://striking-viking.com/de/collections/beard-balm</t>
  </si>
  <si>
    <t xml:space="preserve">Premium-Bartbalsame, die deinen Bart formen, pflegen und bändigen. Natürliche Inhaltsstoffe, mittlerer Halt, ganztägige Feuchtigkeit. Entdecke das komplette Sortiment bei Striking Viking.</t>
  </si>
  <si>
    <t xml:space="preserve">https://striking-viking.com/fi/collections/hiusten-hoito</t>
  </si>
  <si>
    <t xml:space="preserve">Löydä huippulaatuisia hiustenhoitotuotteita kokoelmastamme saavuttaaksesi terveet, kiiltävät hiukset. Osta nyt parhaat hiustenhoitoratkaisut, jotka on räätälöity kaikille hiustyypeille.</t>
  </si>
  <si>
    <t xml:space="preserve">https://striking-viking.com/it/products/striking-viking-sea-salt-hair-spray-strong-hold-citrus-texture-volume-beach-waves</t>
  </si>
  <si>
    <t xml:space="preserve">Striking Viking Spray al Sale Marino Agrumi. Tenuta forte, onde effetto spiaggia con un fresco profumo di agrumi. Formula leggera e non grassa adatta a tutti i tipi di capelli.</t>
  </si>
  <si>
    <t xml:space="preserve">https://striking-viking.com/de/products/bartfullstift</t>
  </si>
  <si>
    <t xml:space="preserve">Fülle Bartlücken und decke kahle Stellen mit dem Striking Viking Waterproof Bart‑Filler‑Stift 2er-Pack ab. Schweißresistentes, natürlich wirkendes Finish. Erhältlich in mehreren Farbtönen.</t>
  </si>
  <si>
    <t xml:space="preserve">https://striking-viking.com/sv/collections/sprays</t>
  </si>
  <si>
    <t xml:space="preserve">Handla Striking Viking herrsprayer för grooming – havssalt hårsprayer för textur och stadga, finns i dofterna Blue Ocean och Citrus. Lätta, fräscha och snabba att styla med.</t>
  </si>
  <si>
    <t xml:space="preserve">https://striking-viking.com/sv/collections/hair-care</t>
  </si>
  <si>
    <t xml:space="preserve">Upptäck hårvårdsprodukter av högsta kvalitet i vårt sortiment för att få ett friskt, glänsande hår. Handla nu för de bästa hårvårdslösningarna anpassade för alla hårtyper.</t>
  </si>
  <si>
    <t xml:space="preserve">https://striking-viking.com/fr/collections/sprays</t>
  </si>
  <si>
    <t xml:space="preserve">Découvrez les sprays de soin pour hommes Striking Viking — sprays capillaires au sel marin pour texture et tenue, disponibles en parfums Blue Ocean et Agrumes. Légers, frais et coiffage rapide.</t>
  </si>
  <si>
    <t xml:space="preserve">https://striking-viking.com/fr/collections/beard-filler-pens</t>
  </si>
  <si>
    <t xml:space="preserve">Comblez les zones clairsemées en un instant avec notre stylo correcteur de barbe waterproof. Couverture d'aspect naturel, plusieurs teintes disponibles. Le stylo à barbe n° 1 des ventes sur Amazon.</t>
  </si>
  <si>
    <t xml:space="preserve">https://striking-viking.com/sv/collections/scissors-ontaki</t>
  </si>
  <si>
    <t xml:space="preserve">Upptäck Scissors Ontaki, tillverkade av förstklassigt japanskt stål för ren och kontrollerad grooming. Perfekta för både proffs och hemmabruk, och ger barbershopkvalitet till din rutin.</t>
  </si>
  <si>
    <t xml:space="preserve">https://striking-viking.com/de/products/bartbalsam-manner-1</t>
  </si>
  <si>
    <t xml:space="preserve">Bergamot Thunder Bartbalsam von Striking Viking. Natürliche Formel mit Bienenwachs, Sheabutter und Arganöl stylt und macht das Barthaar weich. Bio, tierversuchsfreie Formel.</t>
  </si>
  <si>
    <t xml:space="preserve">https://striking-viking.com/en-gb/pages/about-us</t>
  </si>
  <si>
    <t xml:space="preserve">https://striking-viking.com/it/pages/become-a-reseller</t>
  </si>
  <si>
    <t xml:space="preserve">Diventa un rivenditore ed eleva il tuo negozio al dettaglio con prodotti premium per la cura maschile di Striking Viking. Unisciti a noi oggi per supporto esclusivo, packaging e crescita delle vendite.</t>
  </si>
  <si>
    <t xml:space="preserve">https://striking-viking.com/en-ca/collections/scissors-ontaki</t>
  </si>
  <si>
    <t xml:space="preserve">https://striking-viking.com/it/collections/bundles</t>
  </si>
  <si>
    <t xml:space="preserve">Acquista i set grooming Striking Viking — kit curati per la cura della barba con oli, balsami e pettini a un prezzo vantaggioso. Regali perfetti per uomini. Spedizione gratuita negli Stati Uniti per ordini superiori a 60$.</t>
  </si>
  <si>
    <t xml:space="preserve">https://striking-viking.com/de/collections/after-shave-balm</t>
  </si>
  <si>
    <t xml:space="preserve">Striking Viking After Shave Balsam kaufen – alkoholfreier, beruhigender Aftershave-Balsam für Männer. Reduziert Rasurbrand und Rötungen. Erhältlich in Vanille, Sandelholz &amp; Unparfümiert.</t>
  </si>
  <si>
    <t xml:space="preserve">https://striking-viking.com/en-ca/collections/sprays</t>
  </si>
  <si>
    <t xml:space="preserve">https://striking-viking.com/it/collections/hair-care</t>
  </si>
  <si>
    <t xml:space="preserve">Scopri prodotti per la Cura dei Capelli di alta qualità nella nostra collezione per ottenere capelli sani e luminosi. Acquista ora le migliori soluzioni per la Cura dei Capelli, pensate per tutti i tipi di capelli.</t>
  </si>
  <si>
    <t xml:space="preserve">https://striking-viking.com/fi/collections/pakkaukset</t>
  </si>
  <si>
    <t xml:space="preserve">Osta Striking Viking -hoitopakkaukset — huolella valitut parta­hoitosetit öljyillä, balmeilla ja kammoilla edulliseen hintaan. Täydelliset lahjat miehille. Ilmainen toimitus Yhdysvaltoihin yli 60 dollarin ostoksille.</t>
  </si>
  <si>
    <t xml:space="preserve">https://striking-viking.com/no/collections/after-shave-balm</t>
  </si>
  <si>
    <t xml:space="preserve">Handle Striking Viking aftershave-balsam – alkoholfri, beroligende balm for menn etter barbering. Reduserer barberingsutslett og rødhet. Tilgjengelig i Vanilje, Sandeltre og Uparfymert.</t>
  </si>
  <si>
    <t xml:space="preserve">https://striking-viking.com/fr/collections/hair-care</t>
  </si>
  <si>
    <t xml:space="preserve">Soins capillaires pour homme Striking Viking : sprays au sel de mer, poudres coiffantes, pommades et peignes. Grooming premium pour tous types de cheveux. Livraison gratuite aux USA dès 60 $.</t>
  </si>
  <si>
    <t xml:space="preserve">https://striking-viking.com/it/pages/data-sharing-opt-out</t>
  </si>
  <si>
    <t xml:space="preserve">Leggi l'Informativa sulla Privacy di Striking Viking. Scopri come raccogliamo, utilizziamo e proteggiamo le tue informazioni per garantire un'esperienza di acquisto sicura e affidabile.</t>
  </si>
  <si>
    <t xml:space="preserve">https://striking-viking.com/en-gb/collections/scissors-ontaki</t>
  </si>
  <si>
    <t xml:space="preserve">https://striking-viking.com/sv/collections/beard-care</t>
  </si>
  <si>
    <t xml:space="preserve">Allt du behöver för ett välvårdat skägg. Oljor, balmer, butters, tvättar, kammar och kit. Över 23 000 femstjärniga recensioner. Fri frakt inom USA vid köp över 60 $.</t>
  </si>
  <si>
    <t xml:space="preserve">https://striking-viking.com/es/collections/bundles</t>
  </si>
  <si>
    <t xml:space="preserve">Compra los sets de cuidado masculino Striking Viking: kits seleccionados para la barba con aceites, bálsamos y peines a un precio inmejorable. Regalos perfectos para hombres. Envío gratis en EE. UU. en compras superiores a $60.</t>
  </si>
  <si>
    <t xml:space="preserve">https://striking-viking.com/fr/collections/beard-butter</t>
  </si>
  <si>
    <t xml:space="preserve">Beurre à barbe premium qui nourrit en profondeur et adoucit votre barbe. Maintien léger, hydratation riche, sans résidu gras. Ingrédients naturels pour tous types de barbes.</t>
  </si>
  <si>
    <t xml:space="preserve">https://striking-viking.com/de/collections/bundles</t>
  </si>
  <si>
    <t xml:space="preserve">Entdecke Striking Viking Pflege-Bundles – sorgfältig zusammengestellte Bartpflege-Sets mit Ölen, Balsamen &amp; Kämmen zum attraktiven Preis. Perfekte Geschenke für Männer. Kostenloser Versand in den USA ab 60 $.</t>
  </si>
  <si>
    <t xml:space="preserve">https://striking-viking.com/de/pages/data-sharing-opt-out</t>
  </si>
  <si>
    <t xml:space="preserve">Lesen Sie die Striking Viking Datenschutzrichtlinie. Erfahren Sie, wie wir Ihre Informationen erfassen, verwenden und schützen, um ein sicheres und vertrauenswürdiges Einkaufserlebnis zu gewährleisten.</t>
  </si>
  <si>
    <t xml:space="preserve">https://striking-viking.com/fr/products/striking-viking-sea-salt-hair-spray-strong-hold-citrus-texture-volume-beach-waves</t>
  </si>
  <si>
    <t xml:space="preserve">Créez un effet plage, de la texture et un volume durable avec le spray capillaire au sel de mer tenue forte Striking Viking. Formule légère au parfum agrumes rafraîchissant et protection UV.</t>
  </si>
  <si>
    <t xml:space="preserve">https://striking-viking.com/es/blogs/learn</t>
  </si>
  <si>
    <t xml:space="preserve">Lee el blog de Striking Viking para obtener consejos de cuidado personal, guías de cuidado de la barba, información sobre productos y recomendaciones de estilo que te ayudarán a lucir impecable y sentirte seguro cada día.</t>
  </si>
  <si>
    <t xml:space="preserve">https://striking-viking.com/de/products/striking-viking-sea-salt-spray-for-men-blue-ocean-natural-texture-volume-hair-spray</t>
  </si>
  <si>
    <t xml:space="preserve">Striking Viking Meersalz‑Spray Blue Ocean. Mühelos lässige Beach-Wellen, natürliche Textur und Volumen mit einem frischen Küstenduft. Perfekt für alle Haartypen.</t>
  </si>
  <si>
    <t xml:space="preserve">https://striking-viking.com/de/collections/beard-butter</t>
  </si>
  <si>
    <t xml:space="preserve">Premium Bartbutter, die deinen Bart tiefenwirksam pflegt und weich macht. Leichter Halt, intensive Feuchtigkeit, kein fettiger Rückstand. Natürliche Inhaltsstoffe für alle Barttypen.</t>
  </si>
  <si>
    <t xml:space="preserve">https://striking-viking.com/fr/collections/beard-care</t>
  </si>
  <si>
    <t xml:space="preserve">Tout ce dont vous avez besoin pour une barbe soignée. Huiles, baumes, beurres, nettoyants, peignes et coffrets. Plus de 23 000 avis 5 étoiles. Livraison gratuite aux États-Unis dès 60 $.</t>
  </si>
  <si>
    <t xml:space="preserve">https://striking-viking.com/no/collections/bundles</t>
  </si>
  <si>
    <t xml:space="preserve">Handle Striking Viking pleiesett – nøye utvalgte skjeggpleiepakker med oljer, balmer og kammer til en god pris. Perfekte gaver til menn. Gratis frakt i USA på kjøp over $60.</t>
  </si>
  <si>
    <t xml:space="preserve">https://striking-viking.com/no/collections/combs-and-brushes</t>
  </si>
  <si>
    <t xml:space="preserve">Premium skjeggkammer og børster med villsvinbust for daglig stell. Antistatiske kammer i tre, børster med naturlig bust. Uunnværlige verktøy for et velstelt skjegg.</t>
  </si>
  <si>
    <t xml:space="preserve">https://striking-viking.com/es/collections/tattoo-aftercare</t>
  </si>
  <si>
    <t xml:space="preserve">Explora nuestra colección de Cuidado Posterior para Tatuajes, diseñada para nutrir y proteger tus tatuajes, asegurando que sanen de forma impecable y luzcan vibrantes.</t>
  </si>
  <si>
    <t xml:space="preserve">https://striking-viking.com/it/collections/powders</t>
  </si>
  <si>
    <t xml:space="preserve">Acquista la polvere modellante per capelli Striking Viking per uomo. Le formule a tenuta forte e leggera aggiungono volume, texture e un finish opaco senza residui. Funziona su tutti i tipi di capelli.</t>
  </si>
  <si>
    <t xml:space="preserve">https://striking-viking.com/de/collections/combs-and-brushes</t>
  </si>
  <si>
    <t xml:space="preserve">Premium Bartkämme und Wildschweinborstenbürsten für die tägliche Pflege. Antistatische Holzkämme, Naturborstenbürsten. Unverzichtbare Werkzeuge für einen gepflegten Bart.</t>
  </si>
  <si>
    <t xml:space="preserve">Oppdag den sammenleggbare skjeggbørsten, et essensielt pleietilbehør for moderne menn. Vedlikehold enkelt et stilig, sunt skjegg med dette bærbare, håndlagde verktøyet.</t>
  </si>
  <si>
    <t xml:space="preserve">https://striking-viking.com/es/collections/powders</t>
  </si>
  <si>
    <t xml:space="preserve">Compra el polvo para peinar de Striking Viking para hombres. Fórmulas de fijación fuerte y ligera que aportan volumen, textura y un acabado mate sin residuos. Funciona en todo tipo de cabello.</t>
  </si>
  <si>
    <t xml:space="preserve">https://striking-viking.com/sv</t>
  </si>
  <si>
    <t xml:space="preserve">https://striking-viking.com/it/products/striking-viking-mustache-wax-and-comb-kit</t>
  </si>
  <si>
    <t xml:space="preserve">Striking Viking Kit Cera per Baffi &amp; Pettine. Cera d’api alla vaniglia per modellare e nutrire. Pettine tascabile antistatico incluso. Senza petrolati, tenuta forte.</t>
  </si>
  <si>
    <t xml:space="preserve">https://striking-viking.com/es/collections/shaving</t>
  </si>
  <si>
    <t xml:space="preserve">Compra los esenciales de afeitado de Striking Viking. Afeitados suaves y cómodos con bálsamos, aceites y herramientas premium diseñados para resultados limpios y comodidad diaria de la piel.</t>
  </si>
  <si>
    <t xml:space="preserve">https://striking-viking.com/it/collections/biotin-beard-growth</t>
  </si>
  <si>
    <t xml:space="preserve">https://striking-viking.com/de/blogs/learn</t>
  </si>
  <si>
    <t xml:space="preserve">Lies den Striking Viking Blog für Pflegetipps, Bartpflege-Anleitungen, Produkt-Insights und Stilberatung, damit du jeden Tag gepflegt aussiehst und dich selbstbewusst fühlst.</t>
  </si>
  <si>
    <t xml:space="preserve">https://striking-viking.com/it/collections/shaving</t>
  </si>
  <si>
    <t xml:space="preserve">Acquista gli essenziali per la rasatura Striking Viking. Rasature lisce e confortevoli con balsami, oli e strumenti premium progettati per risultati impeccabili e comfort quotidiano della pelle.</t>
  </si>
  <si>
    <t xml:space="preserve">https://striking-viking.com/fr/collections/scissors-ontaki</t>
  </si>
  <si>
    <t xml:space="preserve">Découvrez les ciseaux Ontaki, fabriqués en acier japonais de qualité supérieure pour une coupe nette et maîtrisée. Parfaits pour les professionnels et une utilisation à domicile, ils apportent la qualité d’un salon de barbier à votre routine.</t>
  </si>
  <si>
    <t xml:space="preserve">https://striking-viking.com/it/collections/beard-wash</t>
  </si>
  <si>
    <t xml:space="preserve">Pulisci e rinfresca la tua barba senza eliminare gli oli naturali. Detergenti e shampoo per barba senza solfati, delicati sulla pelle e che lasciano la barba morbida.</t>
  </si>
  <si>
    <t xml:space="preserve">Découvrez comment un Kit de Soin peut sublimer votre barbe. Parfait pour les hommes modernes qui accordent de l’importance au style et à la qualité dans leur routine de soin.</t>
  </si>
  <si>
    <t xml:space="preserve">https://striking-viking.com/es/products/striking-viking-bergamot-thunder-beard-balm-for-men-natural-beard-balm-with-shea-butter</t>
  </si>
  <si>
    <t xml:space="preserve">Bálsamo para Barba Bergamot Thunder de Striking Viking. Fórmula natural con cera de abejas, manteca de karité y aceite de argán que estiliza y suaviza el vello facial. Fórmula orgánica y libre de crueldad.</t>
  </si>
  <si>
    <t xml:space="preserve">https://striking-viking.com/fr/pages/about-us</t>
  </si>
  <si>
    <t xml:space="preserve">Les produits de soin de la barbe Striking Viking sont fabriqués à la main avec des ingrédients entièrement naturels et 100 % biologiques, laissant votre barbe et votre moustache épaisses et en pleine santé. Nos mélanges uniques d’huiles et de baumes sont formulés pour favoriser la croissance de la barbe, tandis que nos peignes à barbe allient style, fonctionnalité et laissent votre barbe à son meilleur.</t>
  </si>
  <si>
    <t xml:space="preserve">https://striking-viking.com/fr/collections/brushes</t>
  </si>
  <si>
    <t xml:space="preserve">Brosses de soins haut de gamme par Striking Viking conçues pour une application impeccable, un confort supérieur et des outils de style durables pour votre routine quotidienne</t>
  </si>
  <si>
    <t xml:space="preserve">https://striking-viking.com/fi/collections/partakarvakasvupaketit</t>
  </si>
  <si>
    <t xml:space="preserve">Kamppailetko epätasaisen parran kanssa? Parrankasvuöljymme, -pakettimme ja seerumimme auttavat sinua kasvattamaan luonnollisesti tuuheamman ja täyteläisemmän parran. Biotiinilla rikastetut koostumukset, jotka todella toimivat.</t>
  </si>
  <si>
    <t xml:space="preserve">https://striking-viking.com/fr/pages/data-sharing-opt-out</t>
  </si>
  <si>
    <t xml:space="preserve">Lisez la politique de confidentialité Striking Viking. Découvrez comment nous collectons, utilisons et protégeons vos informations pour garantir une expérience d'achat sécurisée et fiable.</t>
  </si>
  <si>
    <t xml:space="preserve">https://striking-viking.com/en-gb/pages/become-a-reseller</t>
  </si>
  <si>
    <t xml:space="preserve">https://striking-viking.com/es/collections/combs</t>
  </si>
  <si>
    <t xml:space="preserve">Compra peines de madera para barba de Striking Viking: peines plegables de bolsillo, peines de barba de tamaño completo y peines antiestáticos para el cabello. Cuidado sin tirones para barba y cabello. Envío gratis a EE. UU. en compras superiores a $60.</t>
  </si>
  <si>
    <t xml:space="preserve">https://striking-viking.com/de/collections/powders</t>
  </si>
  <si>
    <t xml:space="preserve">Entdecke Striking Viking Haarstyling-Puder für Männer. Starke und leichte Halt-Formeln verleihen Volumen, Textur und ein mattes Finish – ganz ohne Rückstände. Geeignet für alle Haartypen.</t>
  </si>
  <si>
    <t xml:space="preserve">https://striking-viking.com/no/collections/beard-balm</t>
  </si>
  <si>
    <t xml:space="preserve">Premium skjeggbalmer som former, pleier og temmer skjegget ditt. Naturlige ingredienser, medium hold, fuktighet hele dagen. Handle hele utvalget hos Striking Viking.</t>
  </si>
  <si>
    <t xml:space="preserve">https://striking-viking.com/es/collections/beard-balm</t>
  </si>
  <si>
    <t xml:space="preserve">Bálsamos premium para barba que dan forma, acondicionan y doman tu barba. Ingredientes naturales, fijación media, hidratación todo el día. Descubre toda la gama en Striking Viking.</t>
  </si>
  <si>
    <t xml:space="preserve">https://striking-viking.com/de/collections/biotin-beard-growth</t>
  </si>
  <si>
    <t xml:space="preserve">https://striking-viking.com/fr/collections/beard-growth-kits</t>
  </si>
  <si>
    <t xml:space="preserve">Vous avez du mal avec une barbe clairsemée ? Nos huiles, kits et sérums pour la pousse de la barbe vous aident à obtenir une barbe plus dense et plus fournie, naturellement. Des formules enrichies en biotine qui fonctionnent.</t>
  </si>
  <si>
    <t xml:space="preserve">https://striking-viking.com/es/products/striking-viking-beard-grooming-kit-with-toiletry-bag-8-piece-mens-grooming-set</t>
  </si>
  <si>
    <t xml:space="preserve">Kit de Cuidado de Barba Striking Viking con Neceser. Incluye aceite para barba, champú, bálsamo, cepillo y peine. Set completo de cuidado de barba para hombres, todo natural.</t>
  </si>
  <si>
    <t xml:space="preserve">https://striking-viking.com/fr/blogs/learn/level-up-your-beard-game-the-striking-viking-beard-filler-pen</t>
  </si>
  <si>
    <t xml:space="preserve">Découvrez comment le Stylo Remplisseur de Barbe Striking Viking peut transformer votre barbe, combler les zones clairsemées et sublimer votre style en toute simplicité.</t>
  </si>
  <si>
    <t xml:space="preserve">https://striking-viking.com/fr/products/striking-viking-blue-ocean-beard-oil-for-men-natural-beard-growth-oil-with-argan-jojoba</t>
  </si>
  <si>
    <t xml:space="preserve">Hydratez, adoucissez et nourrissez votre barbe avec l'huile à barbe Blue Ocean Striking Viking. Aux huiles naturelles pour hydrater la peau, réduire les démangeaisons et favoriser une pousse saine de la barbe.</t>
  </si>
  <si>
    <t xml:space="preserve">https://striking-viking.com/it/collections/beard-filler-pens</t>
  </si>
  <si>
    <t xml:space="preserve">Scopri i migliori Pennarelli Riempitivi per Barba per valorizzare la tua barba. Questi pennarelli sono perfetti per ottenere un aspetto di barba più folta, senza sforzo.</t>
  </si>
  <si>
    <t xml:space="preserve">https://striking-viking.com/no/collections/scissors-ontaki</t>
  </si>
  <si>
    <t xml:space="preserve">Oppdag Scissors Ontaki, laget av førsteklasses japansk stål for ren, kontrollert grooming. Perfekt for profesjonelle og hjemmebruk, og gir barbershop-kvalitet til din rutine.</t>
  </si>
  <si>
    <t xml:space="preserve">https://striking-viking.com/es/pages/become-a-reseller</t>
  </si>
  <si>
    <t xml:space="preserve">Conviértete en distribuidor y eleva tu tienda con productos premium para el cuidado masculino de Striking Viking. Únete hoy para recibir apoyo exclusivo, empaques y crecimiento en ventas.</t>
  </si>
  <si>
    <t xml:space="preserve">https://striking-viking.com/fr/collections/beard-oil</t>
  </si>
  <si>
    <t xml:space="preserve">Découvrez nos huiles à barbe premium pour hommes. Des formules naturelles et légères qui adoucissent, nourrissent et disciplinent votre barbe. Absorption rapide, sans effet gras. Livraison gratuite aux États-Unis dès 60 $.</t>
  </si>
  <si>
    <t xml:space="preserve">https://striking-viking.com/fi/pages/become-a-reseller</t>
  </si>
  <si>
    <t xml:space="preserve">Tule jälleenmyyjäksi ja nosta vähittäiskauppasi tasoa Striking Vikingin premium miesten hoitotuotteilla. Liity mukaan tänään saadaksesi ainutlaatuista tukea, pakkausta ja myynnin kasvua.</t>
  </si>
  <si>
    <t xml:space="preserve">https://striking-viking.com/sv/pages/become-a-reseller</t>
  </si>
  <si>
    <t xml:space="preserve">Bli återförsäljare och lyft din butik med premiumprodukter för herrvård från Striking Viking. Gå med oss idag för exklusivt stöd, förpackningar och ökad försäljning.</t>
  </si>
  <si>
    <t xml:space="preserve">https://striking-viking.com/fi/products/striking-viking-beard-kit-caddy-complete-beard-grooming-kit</t>
  </si>
  <si>
    <t xml:space="preserve">Striking Viking Parta Kit puukorissa. Sisältää shampoon, öljyn, balsamin, sakset, harjan ja kamman puisessa telineessä. Täydellinen hoitosetti nykyaikaiselle miehelle.</t>
  </si>
  <si>
    <t xml:space="preserve">https://striking-viking.com/fi/collections/after-shave-balm</t>
  </si>
  <si>
    <t xml:space="preserve">Osta Striking Viking after shave -balsami — alkoholiton, rauhoittava parranajon jälkeinen balsami miehille. Vähentää parranajon aiheuttamaa kirvelyä ja punoitusta. Saatavilla vaniljan, santelipuun ja Hajusteeton -vaihtoehtoina.</t>
  </si>
  <si>
    <t xml:space="preserve">https://striking-viking.com/fr/collections/beard-wash</t>
  </si>
  <si>
    <t xml:space="preserve">Nettoyez et rafraîchissez votre barbe sans éliminer les huiles naturelles. Nos nettoyants et shampoings pour barbe sans sulfate sont doux pour la peau et laissent votre barbe souple.</t>
  </si>
  <si>
    <t xml:space="preserve">https://striking-viking.com/fr/products/striking-viking-bergamot-thunder-beard-balm-for-men-natural-beard-balm-with-shea-butter</t>
  </si>
  <si>
    <t xml:space="preserve">Coiffez, adoucissez et nourrissez votre barbe avec le baume à barbe Bergamot Thunder Striking Viking. Aux huiles naturelles, cire d'abeille et beurre de karité pour l'entretien quotidien de la barbe.</t>
  </si>
  <si>
    <t xml:space="preserve">https://striking-viking.com/fi/products/striking-viking-bergamot-thunder-beard-balm-for-men-natural-beard-balm-with-shea-butter</t>
  </si>
  <si>
    <t xml:space="preserve">Bergamot Thunder Partavoide by Striking Viking. Luonnollinen mehiläisvaha-, sheavoi- ja arganöljyseos muotoilee ja pehmentää partakarvaa. Orgaaninen, eläinkokeeton koostumus.</t>
  </si>
  <si>
    <t xml:space="preserve">https://striking-viking.com/fr/collections/after-shave-balm</t>
  </si>
  <si>
    <t xml:space="preserve">Achetez le baume après-rasage Striking Viking — baume apaisant sans alcool pour hommes, idéal après le rasage. Réduit les irritations et les rougeurs dues au rasoir. Disponible en Vanille, Bois de santal et Sans parfum.</t>
  </si>
  <si>
    <t xml:space="preserve">https://striking-viking.com/sv/collections/bundles</t>
  </si>
  <si>
    <t xml:space="preserve">Handla Striking Viking groomingpaket – noggrant utvalda skäggvårdset med oljor, balms och kammar till riktigt bra pris. Perfekta gåvor för män. Fri frakt inom USA vid köp över 60 $.</t>
  </si>
  <si>
    <t xml:space="preserve">https://striking-viking.com/no/collections/sprays</t>
  </si>
  <si>
    <t xml:space="preserve">Handle Striking Viking herresprayer for grooming – havsalt hårsprayer for tekstur og hold, tilgjengelig i duftene Blue Ocean og Citrus. Lett, frisk og gir rask styling.</t>
  </si>
  <si>
    <t xml:space="preserve">https://striking-viking.com/de/pages/cookie-policy</t>
  </si>
  <si>
    <t xml:space="preserve">Ein Cookie ist eine kleine Informationsmenge, die wir verwenden, um Ihr Surferlebnis zu verbessern. Lesen Sie in unserer Cookie-Richtlinie, wie wir Cookies verwenden.</t>
  </si>
  <si>
    <t xml:space="preserve">https://striking-viking.com/es/collections/beard-oil</t>
  </si>
  <si>
    <t xml:space="preserve">Compra aceites premium para barba de hombre. Fórmulas naturales y ligeras que suavizan, acondicionan y doman tu barba. De rápida absorción, no grasosas. Envío gratis en EE. UU. en compras superiores a $60.</t>
  </si>
  <si>
    <t xml:space="preserve">https://striking-viking.com/no/pages/cookie-policy</t>
  </si>
  <si>
    <t xml:space="preserve">En informasjonskapsel er en liten mengde informasjon som vi bruker for å gjøre din nettleseropplevelse bedre. Les hvordan vi bruker informasjonskapsler i vår retningslinje for informasjonskapsler.</t>
  </si>
  <si>
    <t xml:space="preserve">https://striking-viking.com/es/collections/scissors-ontaki</t>
  </si>
  <si>
    <t xml:space="preserve">Descubre las tijeras Ontaki, forjadas con acero japonés de primera calidad para un cuidado limpio y controlado. Perfectas para profesionales y uso en casa, llevan la calidad de la barbería a tu rutina.</t>
  </si>
  <si>
    <t xml:space="preserve">https://striking-viking.com/fi/products/striking-viking-beard-grooming-kit-with-toiletry-bag-8-piece-mens-grooming-set</t>
  </si>
  <si>
    <t xml:space="preserve">Striking Viking Parta-hoitosetti toilettilaukun kanssa. Sisältää partaöljyn, shampoon, balsamin, harjan ja kamman. Täysin luonnollinen, täydellinen partanhoitopaketti miehille.</t>
  </si>
  <si>
    <t xml:space="preserve">https://striking-viking.com/it/collections/beard-oil</t>
  </si>
  <si>
    <t xml:space="preserve">Acquista oli da barba premium per uomo. Formule naturali e leggere che ammorbidiscono, nutrono e domano la tua barba. Assorbimento rapido, non unge. Spedizione gratuita negli Stati Uniti per ordini superiori a $60.</t>
  </si>
  <si>
    <t xml:space="preserve">https://striking-viking.com/de/pages/contact-us</t>
  </si>
  <si>
    <t xml:space="preserve">Vielen Dank für Ihren Besuch bei Striking Viking! Haben Sie eine Frage oder ein Anliegen? Wir beantworten gerne Ihre Fragen. Füllen Sie daher bitte das untenstehende Formular aus. Wir werden uns am nächsten Werktag mit Ihnen in Verbindung setzen! E-Mail: service@vikingbeardgear.com</t>
  </si>
  <si>
    <t xml:space="preserve">https://striking-viking.com/de/products/bartol-vanille-3</t>
  </si>
  <si>
    <t xml:space="preserve">Entdecken Sie die Vorteile von Bartöl - Blue Ocean. 100 % natürliche, biologische Inhaltsstoffe fördern einen gesunden, weichen Bart mit einem erfrischenden Ozean-Duft. Jetzt bestellen!</t>
  </si>
  <si>
    <t xml:space="preserve">https://striking-viking.com/fr/collections/powders</t>
  </si>
  <si>
    <t xml:space="preserve">Achetez la poudre coiffante Striking Viking pour hommes. Des formules à tenue forte et légère ajoutent du volume, de la texture et une finition mate sans résidu. Convient à tous les types de cheveux.</t>
  </si>
  <si>
    <t xml:space="preserve">https://striking-viking.com/es/collections/biotin-beard-growth</t>
  </si>
  <si>
    <t xml:space="preserve">https://striking-viking.com/it/collections/2026-deals</t>
  </si>
  <si>
    <t xml:space="preserve">Saldi per la cura della barba da Striking Viking. Risparmia su prodotti per la cura della barba, strumenti per la rasatura e accessori di styling pensati per il comfort e la sicurezza di ogni giorno.</t>
  </si>
  <si>
    <t xml:space="preserve">https://striking-viking.com/es/products/striking-viking-beard-kit-caddy-complete-beard-grooming-kit</t>
  </si>
  <si>
    <t xml:space="preserve">Striking Viking Kit de Barba con Organizador. Incluye champú, aceite, bálsamo, tijeras, cepillo y peine en un organizador de madera. Set completo de cuidado para el hombre moderno.</t>
  </si>
  <si>
    <t xml:space="preserve">https://striking-viking.com/sv/pages/contact-us</t>
  </si>
  <si>
    <t xml:space="preserve">Tack för att du besöker Striking Viking! Har du en fråga eller fundering? Vi är angelägna om att besvara alla dina frågor, så fyll gärna i formuläret nedan så kontaktar vi dig nästa arbetsdag! E-post: service@vikingbeardgear.com</t>
  </si>
  <si>
    <t xml:space="preserve">https://striking-viking.com/de/collections/combs</t>
  </si>
  <si>
    <t xml:space="preserve">Entdecke Striking Viking Holzbartkämme – klappbare Taschen-Kämme, Bartkämme in voller Größe &amp; antistatische Haarkämme. Ziepfreies Styling für Bart &amp; Haar. Kostenloser Versand in den USA ab 60 $.</t>
  </si>
  <si>
    <t xml:space="preserve">https://striking-viking.com/es/pages/about-us</t>
  </si>
  <si>
    <t xml:space="preserve">Los productos para el cuidado de la barba de Striking Viking están hechos a mano con ingredientes totalmente naturales y 100% orgánicos, dejando tu barba y bigote llenos y saludables. Nuestras mezclas únicas de aceites y bálsamos están formuladas para promover el crecimiento de la barba, mientras que nuestros peines para barba destacan por su estilo, funcionalidad y dejan tu barba luciendo en su mejor estado.</t>
  </si>
  <si>
    <t xml:space="preserve">https://striking-viking.com/fi/collections/jauheet</t>
  </si>
  <si>
    <t xml:space="preserve">Osta Striking Viking hiusmuotoilupuuteria miehille. Vahvat ja kevyet koostumukset tuovat volyymia, rakennetta ja mattapinnan ilman jäämiä. Sopii kaikille hiustyypeille.</t>
  </si>
  <si>
    <t xml:space="preserve">https://striking-viking.com/it/products/striking-viking-terra-sol-beard-oil-for-men-natural-beard-growth-oil-with-argan-jojoba</t>
  </si>
  <si>
    <t xml:space="preserve">Olio da Barba Terra Sol con oli biologici di Argan, Jojoba e Tea Tree. Ammorbidisce, nutre e favorisce la crescita della barba. 100% naturale, cruelty-free. Spedizione gratuita in UE.</t>
  </si>
  <si>
    <t xml:space="preserve">https://striking-viking.com/fr/products/striking-viking-sea-salt-spray-for-men-blue-ocean-natural-texture-volume-hair-spray</t>
  </si>
  <si>
    <t xml:space="preserve">Créez des ondulations effet plage naturelles avec le spray au sel de mer Blue Ocean Striking Viking. Apporte texture, volume, protection contre la chaleur et un frais parfum océan pour un coiffage toute la journée.</t>
  </si>
  <si>
    <t xml:space="preserve">https://striking-viking.com/it/products/striking-viking-blue-ocean-beard-oil-for-men-natural-beard-growth-oil-with-argan-jojoba</t>
  </si>
  <si>
    <t xml:space="preserve">Scopri i benefici dell’Olio da Barba - Blue Ocean. Ingredienti completamente naturali e biologici favoriscono una barba sana e morbida con una fresca fragranza oceanica. Ordina ora!</t>
  </si>
  <si>
    <t xml:space="preserve">https://striking-viking.com/fi/pages/about-us</t>
  </si>
  <si>
    <t xml:space="preserve">Valloittavat viikinkien partahoitotuotteet on käsintehty kaikista luonnollisista ja 100 % orgaanisista ainesosista, jättäen partasi ja viiksesi täysinäisiksi ja terveiksi. Yksilölliset öljy- ja balsamiseokset on kehitetty edistämään partakasvua, kun taas partakammemme esittelevät muotia, toimivuutta ja saavat partasi näyttämään parhaimmaltaan.</t>
  </si>
  <si>
    <t xml:space="preserve">https://striking-viking.com/it/products/striking-viking-beard-grooming-kit-with-toiletry-bag-8-piece-mens-grooming-set</t>
  </si>
  <si>
    <t xml:space="preserve">Striking Viking Kit per la cura della barba con beauty case. Include olio per barba, shampoo, balsamo, spazzola e pettine. Set completo e naturale per la cura della barba da uomo.</t>
  </si>
  <si>
    <t xml:space="preserve">https://striking-viking.com/no/collections/beard-growth-kits</t>
  </si>
  <si>
    <t xml:space="preserve">Sliter du med ujevn skjeggvekst? Våre skjeggvekst-oljer, sett og serum hjelper deg å få et tykkere, fyldigere skjegg – helt naturlig. Biotin-berikede formler som virker.</t>
  </si>
  <si>
    <t xml:space="preserve">https://striking-viking.com/en-ca/products/striking-viking-terra-sol-beard-oil-for-men-natural-beard-growth-oil-with-argan-jojoba</t>
  </si>
  <si>
    <t xml:space="preserve">https://striking-viking.com/de/collections/sprays</t>
  </si>
  <si>
    <t xml:space="preserve">Entdecke Striking Viking Herren-Pflegesprays – Meersalz-Haarsprays für Textur und Halt, erhältlich in den Düften Blue Ocean und Citrus. Leicht, frisch und für schnelles Styling.</t>
  </si>
  <si>
    <t xml:space="preserve">Descubre cómo un Kit de Cuidado Personal puede llevar tu barba al siguiente nivel. Perfecto para hombres modernos que valoran el estilo y la calidad en su rutina de cuidado.</t>
  </si>
  <si>
    <t xml:space="preserve">https://striking-viking.com/es/products/striking-viking-mustache-wax-and-comb-kit</t>
  </si>
  <si>
    <t xml:space="preserve">Kit de Cera para Bigote Striking Viking y Peine. Cera de abejas con aroma a vainilla para peinar y acondicionar. Incluye peine de bolsillo antiestático. Fijación fuerte, sin petróleo.</t>
  </si>
  <si>
    <t xml:space="preserve">https://striking-viking.com/fr/blogs/learn</t>
  </si>
  <si>
    <t xml:space="preserve">Lisez le blog Striking Viking pour des conseils de soins, des guides d’entretien de la barbe, des informations sur les produits et des astuces de style pour vous aider à avoir fière allure et à vous sentir confiant chaque jour.</t>
  </si>
  <si>
    <t xml:space="preserve">https://striking-viking.com/fi/blogs/learn</t>
  </si>
  <si>
    <t xml:space="preserve">Lue Striking Viking -blogia saadaksesi hoitovinkkejä, partanhoito-oppaita, tuote-ideoita ja tyylivinkkejä, jotka auttavat sinua näyttämään huolitellulta ja tuntemaan olosi itsevarmaksi joka päivä.</t>
  </si>
  <si>
    <t xml:space="preserve">https://striking-viking.com/fr/collections/best-sellers-grooming-kit</t>
  </si>
  <si>
    <t xml:space="preserve">Découvrez les produits de soin de barbe les plus vendus de Striking Viking. Évalués par plus de 23 000 clients sur Amazon. Huiles à barbe, baumes, coffrets et accessoires de soin haut de gamme.</t>
  </si>
  <si>
    <t xml:space="preserve">Découvrez le Peigne à Barbe Pliant, un accessoire de soin essentiel pour l’homme moderne. Entretenez facilement une barbe élégante et saine avec cet outil portable et fait main.</t>
  </si>
  <si>
    <t xml:space="preserve">https://striking-viking.com/it/collections/face-body</t>
  </si>
  <si>
    <t xml:space="preserve">Esplora gli essenziali per la cura del viso e del corpo di Striking Viking. Pulisci, nutri e rinnova la tua routine con una cura semplice per un comfort quotidiano sicuro.</t>
  </si>
  <si>
    <t xml:space="preserve">https://striking-viking.com/sv/pages/data-sharing-opt-out</t>
  </si>
  <si>
    <t xml:space="preserve">Läs Striking Viking integritetspolicy. Ta reda på hur vi samlar in, använder och skyddar din information för att säkerställa en säker och pålitlig shoppingupplevelse.</t>
  </si>
  <si>
    <t xml:space="preserve">https://striking-viking.com/es/pages/cookie-policy</t>
  </si>
  <si>
    <t xml:space="preserve">Una cookie es una pequeña cantidad de información que usamos para mejorar tu experiencia de navegación. Lee cómo usamos las cookies en nuestra política de cookies.</t>
  </si>
  <si>
    <t xml:space="preserve">https://striking-viking.com/es/collections/after-shave-balm</t>
  </si>
  <si>
    <t xml:space="preserve">Compra el after shave bálsamo de Striking Viking — bálsamo para después de afeitar sin alcohol, calmante para hombres. Reduce la irritación y el enrojecimiento causados por la afeitada. Disponible en Vainilla, Sándalo y Sin Fragancia.</t>
  </si>
  <si>
    <t xml:space="preserve">https://striking-viking.com/fr/collections/biotin-beard-growth</t>
  </si>
  <si>
    <t xml:space="preserve">https://striking-viking.com/it/collections/after-shave-balm</t>
  </si>
  <si>
    <t xml:space="preserve">Acquista il dopobarba Striking Viking — balsamo lenitivo senza alcol per uomo, ideale dopo la rasatura. Riduce irritazioni e rossori da rasoio. Disponibile nelle varianti Vaniglia, Sandalo e Senza Profumo.</t>
  </si>
  <si>
    <t xml:space="preserve">https://striking-viking.com/fi/products/striking-viking-terra-sol-beard-oil-for-men-natural-beard-growth-oil-with-argan-jojoba</t>
  </si>
  <si>
    <t xml:space="preserve">Partaöljy Terra Sol, jossa on luomu argan-, jojoba- ja teepuuöljyä. Pehmentää, ravitsee ja edistää parran kasvua. 100 % luonnollinen, eläinkokeeton. Ilmainen toimitus EU-alueelle.</t>
  </si>
  <si>
    <t xml:space="preserve">https://striking-viking.com/sv/collections/beard-growth-kits</t>
  </si>
  <si>
    <t xml:space="preserve">Kämpar du med en ojämn skäggväxt? Våra skäggoljor, kit och serum för skäggtillväxt hjälper dig att odla ett tjockare, fylligare skägg på ett naturligt sätt. Biotininfuserade formler som fungerar.</t>
  </si>
  <si>
    <t xml:space="preserve">https://striking-viking.com/fr/collections/shaving</t>
  </si>
  <si>
    <t xml:space="preserve">Achetez les essentiels de rasage Striking Viking. Des rasages doux et confortables avec des baumes, huiles et outils haut de gamme conçus pour des résultats impeccables et le confort quotidien de la peau.</t>
  </si>
  <si>
    <t xml:space="preserve">https://striking-viking.com/fi/collections/kammat-ja-harjat</t>
  </si>
  <si>
    <t xml:space="preserve">Premium-partakammat ja villisianharjaksiset harjat päivittäiseen huolenpitoon. Antistaattiset puukammat, luonnonharjaksiset harjat. Välttämättömät työkalut huolitellulle parralle.</t>
  </si>
  <si>
    <t xml:space="preserve">https://striking-viking.com/fi/collections/parta-ja-hiusten-hoito</t>
  </si>
  <si>
    <t xml:space="preserve">Kaikki mitä tarvitset huoliteltuun partaan. Öljyt, balmivoiteet, partavahat, pesuaineet, kammat ja setit. Yli 23 000 viiden tähden arvostelua. Ilmainen toimitus Yhdysvaltoihin yli 60 dollarin tilauksiin.</t>
  </si>
  <si>
    <t xml:space="preserve">https://striking-viking.com/no/collections/beard-care</t>
  </si>
  <si>
    <t xml:space="preserve">Alt du trenger for et velstelt skjegg. Oljer, balsamer, butters, vask, kammer og sett. Over 23 000 femstjerners anmeldelser. Gratis frakt i USA på kjøp over $60.</t>
  </si>
  <si>
    <t xml:space="preserve">https://striking-viking.com/fi/products/striking-viking-blue-ocean-beard-oil-for-men-natural-beard-growth-oil-with-argan-jojoba</t>
  </si>
  <si>
    <t xml:space="preserve">Tutustu Partaöljyn - Blue Ocean hyötyihin. Täysin luonnolliset, orgaaniset ainesosat edistävät terveen, pehmeän parran kasvua raikkaalla meren tuoksulla. Tilaa nyt!</t>
  </si>
  <si>
    <t xml:space="preserve">https://striking-viking.com/de/collections/beard-oil</t>
  </si>
  <si>
    <t xml:space="preserve">Entdecke Premium-Bartöle für Männer. Natürliche, leichte Formeln, die deinen Bart weich machen, pflegen und zähmen. Schnell einziehend, nicht fettend. Kostenloser Versand in den USA ab $60.</t>
  </si>
  <si>
    <t xml:space="preserve">https://striking-viking.com/en-gb/collections/after-shave-balm</t>
  </si>
  <si>
    <t xml:space="preserve">https://striking-viking.com/it/collections/scissors-ontaki</t>
  </si>
  <si>
    <t xml:space="preserve">Scopri le forbici Ontaki, realizzate in acciaio giapponese di alta qualità per una cura pulita e precisa. Perfette per professionisti e per l’uso domestico, portano la qualità da barbiere nella tua routine.</t>
  </si>
  <si>
    <t xml:space="preserve">https://striking-viking.com/en-gb/collections/combs</t>
  </si>
  <si>
    <t xml:space="preserve">https://striking-viking.com/fr/collections/face-body</t>
  </si>
  <si>
    <t xml:space="preserve">Découvrez les essentiels de soins du visage et du corps Striking Viking. Nettoyez, nourrissez et rafraîchissez votre routine avec des soins simples pour un confort quotidien assuré.</t>
  </si>
  <si>
    <t xml:space="preserve">https://striking-viking.com/fr/pages/cookie-policy</t>
  </si>
  <si>
    <t xml:space="preserve">Un cookie est une petite quantité d’informations que nous utilisons pour améliorer votre expérience de navigation. Lisez comment nous utilisons les cookies dans notre politique relative aux cookies.</t>
  </si>
  <si>
    <t xml:space="preserve">https://striking-viking.com/es/collections/beard-butter</t>
  </si>
  <si>
    <t xml:space="preserve">Manteca premium para barba que acondiciona y suaviza profundamente tu barba. Fijación ligera, hidratación intensa, sin residuos grasos. Ingredientes naturales para todo tipo de barbas.</t>
  </si>
  <si>
    <t xml:space="preserve">https://striking-viking.com/de/collections/beard-care</t>
  </si>
  <si>
    <t xml:space="preserve">Alles, was du für einen gepflegten Bart brauchst. Öle, Balsame, Butters, Waschprodukte, Kämme und Sets. Über 23.000 5-Sterne-Bewertungen. Kostenloser Versand in den USA ab 60 $.</t>
  </si>
  <si>
    <t xml:space="preserve">https://striking-viking.com/it/blogs/learn</t>
  </si>
  <si>
    <t xml:space="preserve">Leggi il blog di Striking Viking per consigli sulla cura personale, guide per la cura della barba, approfondimenti sui prodotti e suggerimenti di stile per aiutarti a essere impeccabile e sentirti sicuro di te ogni giorno.</t>
  </si>
  <si>
    <t xml:space="preserve">https://striking-viking.com/es/collections/sprays</t>
  </si>
  <si>
    <t xml:space="preserve">Compra sprays de cuidado masculino Striking Viking — sprays de sal marina para el cabello que aportan textura y fijación, disponibles en fragancias Blue Ocean y Citrus. Ligeros, frescos y de peinado rápido.</t>
  </si>
  <si>
    <t xml:space="preserve">https://striking-viking.com/it/products/striking-viking-bergamot-thunder-beard-balm-for-men-natural-beard-balm-with-shea-butter</t>
  </si>
  <si>
    <t xml:space="preserve">Balsamo per barba Bergamot Thunder di Striking Viking. Formula naturale con cera d’api, burro di karité e olio di argan per modellare e ammorbidire la barba. Formula biologica e cruelty-free.</t>
  </si>
  <si>
    <t xml:space="preserve">https://striking-viking.com/sv/collections/after-shave-balm</t>
  </si>
  <si>
    <t xml:space="preserve">Handla Striking Viking after shave-balsam — alkoholfritt, lugnande balm för män efter rakning. Minskar rakbränna och rodnad. Finns i Vanilj, Sandelträ och Oparfymerad.</t>
  </si>
  <si>
    <t xml:space="preserve">https://striking-viking.com/fr/products/striking-viking-mustache-wax-and-comb-kit</t>
  </si>
  <si>
    <t xml:space="preserve">Kit cire à moustache et peigne Striking Viking à la cire d'abeille naturelle, tenue moyenne à forte, doux parfum vanille et peigne anti-statique pour un coiffage facile.</t>
  </si>
  <si>
    <t xml:space="preserve">https://striking-viking.com/fi/collections/2026-deals</t>
  </si>
  <si>
    <t xml:space="preserve">Parta-hoidon ale Striking Vikingilla. Säästä parta-hoidossa, hoitotyökaluissa ja muotoilun perustuotteissa, jotka on suunniteltu päivittäiseen mukavuuteen ja itsevarmuuteen.</t>
  </si>
  <si>
    <t xml:space="preserve">https://striking-viking.com/fi/pages/contact-us</t>
  </si>
  <si>
    <t xml:space="preserve">Kiitos vierailustasi Striking Vikingissä! Onko sinulla kysymys tai huolenaihe? Olemme innokkaita vastaamaan kaikkiin kysymyksiisi, joten täytäthän alla oleva lomake, niin otamme sinuun yhteyttä seuraavana työpäivänä! Sähköposti: service@vikingbeardgear.com</t>
  </si>
  <si>
    <t xml:space="preserve">https://striking-viking.com/it/collections/beard-care</t>
  </si>
  <si>
    <t xml:space="preserve">Tutto ciò di cui hai bisogno per una barba curata. Oli, balsami, burri, detergenti, pettini e kit. Oltre 23.000 recensioni a 5 stelle. Spedizione gratuita negli Stati Uniti per ordini superiori a $60.</t>
  </si>
  <si>
    <t xml:space="preserve">https://striking-viking.com/it/collections/combs-and-brushes</t>
  </si>
  <si>
    <t xml:space="preserve">Pettini premium per barba e spazzole con setole di cinghiale per la cura quotidiana. Pettini in legno antistatici, spazzole con setole naturali. Strumenti essenziali per una barba curata.</t>
  </si>
  <si>
    <t xml:space="preserve">https://striking-viking.com/es/pages/contact-us</t>
  </si>
  <si>
    <t xml:space="preserve">¡Gracias por visitar Striking Viking! ¿Tiene alguna pregunta o inquietud? Estamos ansiosos por responder cualquier pregunta que tenga, así que por favor complete el formulario a continuación y nos pondremos en contacto con usted el próximo día hábil. Correo electrónico: service@vikingbeardgear.com</t>
  </si>
  <si>
    <t xml:space="preserve">https://striking-viking.com/it/collections/sprays</t>
  </si>
  <si>
    <t xml:space="preserve">Acquista gli spray per la cura maschile Striking Viking — spray al sale marino per capelli, per texture e tenuta, disponibili nelle fragranze Blue Ocean e Citrus. Leggeri, freschi e per uno styling rapido.</t>
  </si>
  <si>
    <t xml:space="preserve">https://striking-viking.com/en-gb/collections/sprays</t>
  </si>
  <si>
    <t xml:space="preserve">https://striking-viking.com/sv/collections/combs</t>
  </si>
  <si>
    <t xml:space="preserve">Handla Striking Viking träkammar för skägget – vikbara fickkammar, kammar i full storlek för skägg och antistatiska hårkammar. Trasselfri grooming för skägg och hår. Fri frakt inom USA vid köp över 60 $.</t>
  </si>
  <si>
    <t xml:space="preserve">Achieve a fuller-looking beard with the Striking Viking Beard Growth Mastery Bundle. Includes Sandalwood &amp; Vanilla Biotin Oils, a titanium derma roller, and a storage case for daily beard care.</t>
  </si>
  <si>
    <t xml:space="preserve">https://striking-viking.com/en-gb/products/striking-viking-vanilla-beard-growth-oil-with-biotin-castor-oil-for-fuller-beard-growth</t>
  </si>
  <si>
    <t xml:space="preserve">Promote a fuller, healthier beard with Striking Viking Vanilla Beard Growth Oil. Infused with Biotin, Castor Oil, and natural oils to nourish and soften facial hair.</t>
  </si>
  <si>
    <t xml:space="preserve">Prepare your skin for a smoother shave with Striking Viking Vanilla Pre Shave Oil. Moisturizes, softens beard hair, and improves razor glide with a warm vanilla scent.</t>
  </si>
  <si>
    <t xml:space="preserve">https://striking-viking.com/en-gb/products/striking-viking-blue-ocean-beard-balm-for-men-natural-beard-balm-with-shea-butter-jojoba</t>
  </si>
  <si>
    <t xml:space="preserve">Shape, soften, and nourish your beard with Striking Viking Blue Ocean Beard Balm. Made with beeswax, shea butter, and natural oils for all-day conditioning and styling.</t>
  </si>
  <si>
    <t xml:space="preserve">https://striking-viking.com/de/pages/collab</t>
  </si>
  <si>
    <t xml:space="preserve">https://striking-viking.com/it/products/striking-viking-vanilla-beard-balm</t>
  </si>
  <si>
    <t xml:space="preserve">Balsamo per barba alla vaniglia di Striking Viking. Formula completamente naturale con burro di karité, cera d’api e olio di argan che ammorbidisce, modella e doma i peli del viso. Senza crudeltà e senza parabeni.</t>
  </si>
  <si>
    <t xml:space="preserve">https://striking-viking.com/en-ca/products/striking-viking-boar-bristle-beard-brush-for-men-natural-beech-wood-grooming-brush</t>
  </si>
  <si>
    <t xml:space="preserve">https://striking-viking.com/sv/blogs/learn/the-ultimate-beard-growth-routine-for-a-thicker-healthier-beard-2026-guide</t>
  </si>
  <si>
    <t xml:space="preserve">Kämpar du med en ojämn skäggväxt? Upptäck den ultimata rutinen för skäggtillväxt med skäggolja, balm och groomingverktyg för att få ett fylligare och friskare skägg.</t>
  </si>
  <si>
    <t xml:space="preserve">https://striking-viking.com/de/products/bartbutter-vanille</t>
  </si>
  <si>
    <t xml:space="preserve">Striking Viking Bartbutter Vanille macht deinen Bart weich und pflegt ihn mit einem warmen Vanilleduft. Nicht fettende, rein natürliche Formel für einen gesunden, leicht zu bändigenden Bart.</t>
  </si>
  <si>
    <t xml:space="preserve">https://striking-viking.com/fr/products/striking-viking-tea-tree-biotin-beard-shampoo-conditioner-set-for-healthy-beard-care</t>
  </si>
  <si>
    <t xml:space="preserve">Nettoyez, hydratez et renforcez votre barbe avec le coffret shampooing et après-shampooing à barbe à l'arbre à thé et à la biotine Striking Viking. Aide à réduire les démangeaisons et favorise une pousse saine.</t>
  </si>
  <si>
    <t xml:space="preserve">https://striking-viking.com/it/products/striking-viking-boar-bristle-beard-brush-for-men-natural-beech-wood-grooming-brush</t>
  </si>
  <si>
    <t xml:space="preserve">Spazzola per barba Striking Viking con setole di cinghiale e manico in legno di faggio. Domina, ammorbidisce e dona lucentezza alla tua barba. Setole naturali per un aspetto curato e sano.</t>
  </si>
  <si>
    <t xml:space="preserve">https://striking-viking.com/en-gb/products/striking-viking-vanilla-pre-shave-oil-for-men-smooth-razor-glide-skin-protection</t>
  </si>
  <si>
    <t xml:space="preserve">https://striking-viking.com/sv/pages/sign-up</t>
  </si>
  <si>
    <t xml:space="preserve">https://striking-viking.com/en-ca/products/striking-viking-tea-tree-biotin-beard-shampoo-conditioner-set-for-healthy-beard-care</t>
  </si>
  <si>
    <t xml:space="preserve">Cleanse, hydrate, and strengthen your beard with Striking Viking Tea Tree &amp; Biotin Beard Shampoo &amp; Conditioner Set. Helps reduce beard itch and supports healthy beard growth.</t>
  </si>
  <si>
    <t xml:space="preserve">https://striking-viking.com/en-gb/products/striking-viking-beard-filler-pencil-with-dual-tip-pen-brush-for-natural-beard-styling</t>
  </si>
  <si>
    <t xml:space="preserve">https://striking-viking.com/en-gb/products/striking-viking-sandalwood-beard-growth-bundle-with-titanium-derma-roller-beard-growth-serum</t>
  </si>
  <si>
    <t xml:space="preserve">Achieve a fuller-looking beard with the Striking Viking Sandalwood Beard Growth Bundle. Includes two Biotin Beard Growth Serums, a titanium derma roller, and a storage case.</t>
  </si>
  <si>
    <t xml:space="preserve">https://striking-viking.com/fi/blogs/learn/spring-style-refresh-how-to-update-your-beard-and-hair-for-warmer-weather</t>
  </si>
  <si>
    <t xml:space="preserve">Päivitä parta- ja hiusrutiinisi kevääseen. Kevyempi hoito, luonnollinen tekstuuri ja huoliteltu, vaivattoman tyylikäs ilme sopivat täydellisesti lämpimämpiin päiviin.</t>
  </si>
  <si>
    <t xml:space="preserve">Grow a fuller-looking beard with the Striking Viking Vanilla Beard Growth Bundle. Includes two Biotin Beard Growth Serums, a titanium derma roller, and a protective storage case.</t>
  </si>
  <si>
    <t xml:space="preserve">https://striking-viking.com/en-gb/products/striking-viking-bergamot-thunder-beard-oil-for-men-natural-beard-growth-oil-with-argan-jojoba</t>
  </si>
  <si>
    <t xml:space="preserve">Hydrate, soften, and nourish your beard with Striking Viking Bergamot Thunder Beard Oil. Made with natural oils to moisturize skin, reduce beard itch, and support healthy beard growth.</t>
  </si>
  <si>
    <t xml:space="preserve">https://striking-viking.com/en-gb/products/ontaki-german-steel-beard-mustache-scissors-professional-grooming-kit</t>
  </si>
  <si>
    <t xml:space="preserve">Trim and shape facial hair with ONTAKI 5-inch German Steel Beard &amp; Mustache Scissors. Includes beard comb and travel case for professional grooming at home or on the go.</t>
  </si>
  <si>
    <t xml:space="preserve">Not sure which weapon a Viking should wield? Let him choose his own. The Striking Viking Gift Card unlocks premium men’s grooming essentials—crafted with natural ingredients, refined design, and modern Norse strength. From beard oils and balms to complete grooming kits, this gift card delivers confidence, ritual, and s</t>
  </si>
  <si>
    <t xml:space="preserve">https://striking-viking.com/it/blogs/learn/spring-style-refresh-how-to-update-your-beard-and-hair-for-warmer-weather</t>
  </si>
  <si>
    <t xml:space="preserve">Rinnova la tua routine di barba e capelli per la primavera. Alleggerisci la cura personale, valorizza la texture e porta uno stile più definito e naturale nella stagione calda.</t>
  </si>
  <si>
    <t xml:space="preserve">https://striking-viking.com/it/products/striking-viking-vanilla-beard-growth-kit-with-biotin-oil-0-25mm-derma-roller</t>
  </si>
  <si>
    <t xml:space="preserve">Striking Viking Kit Crescita Barba con Olio alla Vaniglia e Biotina &amp; Derma Roller. Favorisce una crescita della barba più folta e densa in modo naturale. Facile da usare, formula indolore.</t>
  </si>
  <si>
    <t xml:space="preserve">https://striking-viking.com/fi/collections/striking-deals</t>
  </si>
  <si>
    <t xml:space="preserve">Osta Striking Vikingin huipputarjouksia. Säästä partaöljyissä, -balsameissa, hoitotyökaluissa ja muotoilun perustuotteissa, jotka on valmistettu päivittäiseen mukavuuteen ja itsevarmaan tyyliin.</t>
  </si>
  <si>
    <t xml:space="preserve">https://striking-viking.com/en-gb/products/striking-viking-beard-growth-power-kit-with-biotin-beard-oil-shampoo-derma-roller</t>
  </si>
  <si>
    <t xml:space="preserve">Achieve a fuller-looking beard with the Striking Viking Beard Growth Power Kit. Includes a biotin beard growth oil, beard shampoo, and derma roller to support your daily beard care routine.</t>
  </si>
  <si>
    <t xml:space="preserve">https://striking-viking.com/fi/products/striking-viking-wooden-beard-care-caddy-board-only</t>
  </si>
  <si>
    <t xml:space="preserve">Striking Viking puinen Parta-hoitotarvikepidike. Täysin luonnollinen bambuorganisoija partahoitopakkaukseesi. Tyylikäs kylpyhuonetarvike parrakkaille miehille. Vain alusta.</t>
  </si>
  <si>
    <t xml:space="preserve">https://striking-viking.com/es/pages/sign-up</t>
  </si>
  <si>
    <t xml:space="preserve">https://striking-viking.com/fr/products/striking-viking-wooden-beard-care-caddy-board-only</t>
  </si>
  <si>
    <t xml:space="preserve">Le support de rangement en bois Striking Viking, en bambou naturel, garde brosses, peignes et essentiels de soin de la barbe organisés sur le plan de votre salle de bain.</t>
  </si>
  <si>
    <t xml:space="preserve">Discover the key beard oil ingredients that contribute to a healthier, softer beard. Learn why these ingredients are essential for optimal beard care and grooming.</t>
  </si>
  <si>
    <t xml:space="preserve">https://striking-viking.com/de/products/bartbutter</t>
  </si>
  <si>
    <t xml:space="preserve">Bartbutter spendet intensive Feuchtigkeit mit einer nicht fettenden Formel. Erleben Sie langanhaltenden Duft, Vielseitigkeit und pflegende Wirkung für die Gesundheit Ihres Bartes.</t>
  </si>
  <si>
    <t xml:space="preserve">This beard growth butter with biotin is formulated to support stronger-looking beard hair and improve overall beard appearance. It delivers deep hydration to both beard hair and the skin underneath, helping reduce the look of dryness and patchiness. The fast-absorbing, non-greasy formula softens coarse hair and enhance</t>
  </si>
  <si>
    <t xml:space="preserve">https://striking-viking.com/it/blogs/learn/all-you-need-to-know-about-beard-filler-pens</t>
  </si>
  <si>
    <t xml:space="preserve">Scopri come le penne riempitive per barba possono coprire le zone rade e nascondere i punti calvi, donandoti un aspetto più pieno senza il timore di essere scoperto.</t>
  </si>
  <si>
    <t xml:space="preserve">https://striking-viking.com/en-ca/products/striking-viking-beard-shampoo-with-natural-peppermint-eucalyptus-for-refreshing-beard-care</t>
  </si>
  <si>
    <t xml:space="preserve">Cleanse and refresh your beard with Striking Viking Beard Shampoo. Infused with natural peppermint and eucalyptus to remove dirt while keeping your beard healthy-looking and nourished.</t>
  </si>
  <si>
    <t xml:space="preserve">https://striking-viking.com/en-ca/products/striking-viking-sandalwood-beard-shampoo-conditioner-set-hydrating-beard-care-for-men</t>
  </si>
  <si>
    <t xml:space="preserve">Cleanse, hydrate, and soften your beard with Striking Viking Sandalwood Beard Shampoo &amp; Conditioner Set. Helps reduce beard itch while promoting healthy beard care.</t>
  </si>
  <si>
    <t xml:space="preserve">https://striking-viking.com/en-gb/products/striking-viking-beard-rehab-growth-kit-with-sandalwood-beard-care-derma-roller</t>
  </si>
  <si>
    <t xml:space="preserve">Restore and strengthen your beard with the Striking Viking Beard Rehab &amp; Growth Kit. Includes a sandalwood beard growth kit, beard butter, and beard shampoo &amp; conditioner for complete beard care.</t>
  </si>
  <si>
    <t xml:space="preserve">https://striking-viking.com/sv/blogs/learn/how-to-keep-your-tattoos-looking-bold-for-years-the-role-of-tattoo-balms</t>
  </si>
  <si>
    <t xml:space="preserve">Upptäck hur tatueringsbalsam kan hjälpa till att hålla dina tatueringar livfulla och djärva i många år framöver. Lär dig viktiga tips för kontinuerlig tatueringsvård.</t>
  </si>
  <si>
    <t xml:space="preserve">https://striking-viking.com/de/collections/striking-deals</t>
  </si>
  <si>
    <t xml:space="preserve">Entdecke beeindruckende Angebote bei Striking Viking. Spare bei Bartölen, Balsamen, Pflegewerkzeugen und Styling-Essentials, die für täglichen Komfort und selbstbewussten Stil gefertigt wurden.</t>
  </si>
  <si>
    <t xml:space="preserve">https://striking-viking.com/en-gb/products/charlemagne-original-hair-pomade-for-men-strong-hold-water-based-styling-pomade-100ml</t>
  </si>
  <si>
    <t xml:space="preserve">Style your hair with Charlemagne Original Hair Pomade. A water-based formula with strong flexible hold, natural shine, and cherry &amp; oud fragrance for classic hairstyles.</t>
  </si>
  <si>
    <t xml:space="preserve">https://striking-viking.com/de/pages/free-moustache-beard-scissors</t>
  </si>
  <si>
    <t xml:space="preserve">Style, soften, and nourish your beard with Striking Viking Vanilla Beard Balm 2 Pack. Made with natural ingredients for long-lasting hold, hydration, and a healthy-looking beard.</t>
  </si>
  <si>
    <t xml:space="preserve">https://striking-viking.com/en-gb/products/striking-viking-sea-salt-hair-spray-strong-hold-citrus-texture-volume-beach-waves</t>
  </si>
  <si>
    <t xml:space="preserve">Discover premium beard grooming tools to achieve professional styling at home. Shop our beard care kit, scissors, brushes, and accessories today. Perfect for grooming excellence.</t>
  </si>
  <si>
    <t xml:space="preserve">https://striking-viking.com/en-gb/products/striking-viking-tea-tree-biotin-beard-shampoo-for-clean-healthy-soft-beard-care-for-men</t>
  </si>
  <si>
    <t xml:space="preserve">Deeply cleanse, nourish, and hydrate your beard with Striking Viking Tea Tree &amp; Biotin Beard Shampoo. Helps reduce beard itch while promoting healthy beard care.</t>
  </si>
  <si>
    <t xml:space="preserve">Discover the Striking Viking Beard Comb for routine beard management. Perfect for all beard types, hypoallergenic, stylish, and portable for your grooming needs.</t>
  </si>
  <si>
    <t xml:space="preserve">https://striking-viking.com/it/products/striking-viking-beard-oil-variety-4-pack-citrus-vanilla-cedarwood-sandalwood</t>
  </si>
  <si>
    <t xml:space="preserve">Prova 4 profumazioni di Beard Oil Striking Viking in un unico set. La formula biologica ammorbidisce, idrata e favorisce la crescita sana della barba. Il regalo perfetto per la cura maschile.</t>
  </si>
  <si>
    <t xml:space="preserve">https://striking-viking.com/it/products/striking-viking-sandalwood-beard-growth-kit-with-biotin-oil-0-25mm-derma-roller</t>
  </si>
  <si>
    <t xml:space="preserve">Striking Viking Kit Crescita Barba con Olio alla Biotina e Sandalo &amp; Derma Roller. Favorisce una crescita della barba più folta e densa in modo naturale. Facile da usare, formula indolore.</t>
  </si>
  <si>
    <t xml:space="preserve">https://striking-viking.com/es/pages/collab</t>
  </si>
  <si>
    <t xml:space="preserve">https://striking-viking.com/en-gb/products/charlemagne-carbon-wide-tooth-comb-for-men-heat-resistant-carbon-fiber-hair-comb</t>
  </si>
  <si>
    <t xml:space="preserve">Detangle thick, curly, and wet hair with the Charlemagne Carbon Wide-Tooth Comb. Made from heat-resistant carbon fiber with an anti-static design for smooth, comfortable styling.</t>
  </si>
  <si>
    <t xml:space="preserve">https://striking-viking.com/sv/pages/collab</t>
  </si>
  <si>
    <t xml:space="preserve">Upgrade your grooming routine with the Striking Viking Battle-Ready Beard Care Kit. Includes 4 beard oils, 4 beard balms, and a beard filler pen for a fuller, softer, and well-styled beard.</t>
  </si>
  <si>
    <t xml:space="preserve">https://striking-viking.com/sv/collections/viking-beard-kits</t>
  </si>
  <si>
    <t xml:space="preserve">Den perfekta gåvan för skäggiga män. Kompletta skäggvårdskit med oljor, balms, kammar och mer. Färdiginslagen förpackning. Perfekt för födelsedagar och högtider.</t>
  </si>
  <si>
    <t xml:space="preserve">https://striking-viking.com/de/products/bartbutter-vanille-1</t>
  </si>
  <si>
    <t xml:space="preserve">Bartbutter spendet intensive Feuchtigkeit mit einer nicht fettenden Formel, langanhaltendem Duft und wichtigen Nährstoffen für einen gesunden Bart. Perfekt für die Bartpflege.</t>
  </si>
  <si>
    <t xml:space="preserve">Discover the best scented beard oil by Striking Viking for deep nourishment, healthier beard growth, and irresistible natural fragrance. Perfect for your grooming routine!</t>
  </si>
  <si>
    <t xml:space="preserve">https://striking-viking.com/fi/pages/collab</t>
  </si>
  <si>
    <t xml:space="preserve">https://striking-viking.com/en-ca/products/striking-viking-sandalwood-beard-growth-bundle-with-titanium-derma-roller-beard-growth-serum</t>
  </si>
  <si>
    <t xml:space="preserve">https://striking-viking.com/fi/blogs/learn/the-ultimate-beard-growth-routine-for-a-thicker-healthier-beard-2026-guide</t>
  </si>
  <si>
    <t xml:space="preserve">Kamppailetko epätasaisen parran kanssa? Löydä paras parran kasvurutiini käyttämällä partaöljyä, partavahaa ja hoitovälineitä saavuttaaksesi tuuheamman ja terveemmän parran.</t>
  </si>
  <si>
    <t xml:space="preserve">https://striking-viking.com/it/products/striking-viking-beard-balm-variety-4-pack-citrus-vanilla-cedarwood-sandalwood</t>
  </si>
  <si>
    <t xml:space="preserve">Set Varietà 4-Pack Balsamo per Barba Striking Viking. Ingredienti naturali, applicazione facile, styling non grasso. Ammorbidisce la barba e riduce il prurito. Senza crudeltà.</t>
  </si>
  <si>
    <t xml:space="preserve">https://striking-viking.com/en-gb/blogs/learn/beard-grooming-tools-for-professional-styling-at-home</t>
  </si>
  <si>
    <t xml:space="preserve">https://striking-viking.com/en-ca/products/beard-growth-balm-with-biotin-2-oz-vanilla</t>
  </si>
  <si>
    <t xml:space="preserve">This beard growth balm with biotin is designed to support a fuller-looking beard while keeping it soft, manageable, and well-groomed. The formula blends natural oils and butters to condition beard hair, improve texture, and provide light hold for shaping and control. With a smooth vanilla scent, it adds a subtle warmth</t>
  </si>
  <si>
    <t xml:space="preserve">https://striking-viking.com/it/blogs/learn/beard-oil-vs-beard-balm-solving-the-modern-problem-for-gentlemen-with-beards</t>
  </si>
  <si>
    <t xml:space="preserve">Esplora l’Olio da Barba e i suoi benefici rispetto al Balsamo da Barba. Scopri quale prodotto è ideale per la tua routine di cura della barba in questa guida essenziale.</t>
  </si>
  <si>
    <t xml:space="preserve">https://striking-viking.com/es/blogs/learn/the-ultimate-beard-growth-routine-for-a-thicker-healthier-beard-2026-guide</t>
  </si>
  <si>
    <t xml:space="preserve">¿Tienes problemas con una barba irregular? Descubre la rutina definitiva para el crecimiento de la barba usando aceite, bálsamo y herramientas de cuidado para lograr una barba más densa y saludable.</t>
  </si>
  <si>
    <t xml:space="preserve">https://striking-viking.com/de/blogs/learn/the-ultimate-beard-growth-routine-for-a-thicker-healthier-beard-2026-guide</t>
  </si>
  <si>
    <t xml:space="preserve">Kämpfst du mit einem lückenhaften Bart? Entdecke die ultimative Bartwuchs-Routine mit Bartöl, Balsam und Pflegewerkzeugen, um einen volleren, gesünderen Bart zu erreichen.</t>
  </si>
  <si>
    <t xml:space="preserve">https://striking-viking.com/sv/collections/featured-products</t>
  </si>
  <si>
    <t xml:space="preserve">Upptäck ett brett urval av utvalda produkter skapade för att passa din unika stil. Handla våra utvalda produkter för kvalitet och variation du kan lita på redan idag.</t>
  </si>
  <si>
    <t xml:space="preserve">https://striking-viking.com/en-ca/products/beard-growth-balm-with-biotin-2-oz-blue-ocean</t>
  </si>
  <si>
    <t xml:space="preserve">Designed for everyday grooming, this beard growth balm with biotin helps support stronger-looking beard hair and a fuller appearance. The conditioning formula softens coarse hair, improves manageability, and provides light hold for a clean, defined look. The Blue Ocean scent delivers a crisp, refreshing finish, making</t>
  </si>
  <si>
    <t xml:space="preserve">https://striking-viking.com/en-gb/products/striking-viking-vanilla-beard-growth-bundle-with-biotin-beard-serum-titanium-derma-roller</t>
  </si>
  <si>
    <t xml:space="preserve">https://striking-viking.com/es/products/striking-viking-wooden-beard-care-caddy-board-only</t>
  </si>
  <si>
    <t xml:space="preserve">Striking Viking Organizador de madera para el cuidado de la barba. Organizador de bambú 100% natural para tu kit de cuidado personal. Accesorio elegante para el baño de hombres con barba. Solo la base.</t>
  </si>
  <si>
    <t xml:space="preserve">https://striking-viking.com/en-ca/products/striking-viking-beard-growth-mastery-bundle-with-sandalwood-vanilla-biotin-oils-and-derma-roller</t>
  </si>
  <si>
    <t xml:space="preserve">https://striking-viking.com/en-ca/blogs/learn/beard-grooming-tools-for-professional-styling-at-home</t>
  </si>
  <si>
    <t xml:space="preserve">https://striking-viking.com/en-gb/products/striking-viking-blue-ocean-beard-oil-for-men-natural-beard-growth-oil-with-argan-jojoba</t>
  </si>
  <si>
    <t xml:space="preserve">https://striking-viking.com/en-gb/products/striking-viking-beard-shampoo-with-natural-peppermint-eucalyptus-for-refreshing-beard-care</t>
  </si>
  <si>
    <t xml:space="preserve">https://striking-viking.com/en-ca/products/striking-viking-terra-sol-beard-balm-for-men-natural-beard-balm-with-shea-butter-jojoba</t>
  </si>
  <si>
    <t xml:space="preserve">Style, soften, and nourish your beard with Striking Viking Terra Sol Beard Balm. Made with beeswax, shea butter, and natural oils for daily beard care and light hold.</t>
  </si>
  <si>
    <t xml:space="preserve">https://striking-viking.com/fi/pages/sign-up</t>
  </si>
  <si>
    <t xml:space="preserve">Hydrate, soften, and nourish your beard with Striking Viking Vanilla Beard Oil. Made with natural oils to reduce dryness, itchiness, and promote a healthy-looking beard.</t>
  </si>
  <si>
    <t xml:space="preserve">https://striking-viking.com/de/collections/subscribe-save</t>
  </si>
  <si>
    <t xml:space="preserve">Abonniere Striking Viking für lückenlose Bartpflege. Genieße hochwertige Produkte, die direkt zu dir nach Hause geliefert werden – ganz ohne den Aufwand des Nachbestellens.</t>
  </si>
  <si>
    <t xml:space="preserve">https://striking-viking.com/en-gb/products/striking-viking-sandalwood-pre-shave-oil-for-men-smooth-razor-glide-skin-protection</t>
  </si>
  <si>
    <t xml:space="preserve">Prepare your skin for a smoother shave with Striking Viking Sandalwood Pre Shave Oil. Softens beard hair, improves razor glide, and helps protect sensitive skin.</t>
  </si>
  <si>
    <t xml:space="preserve">Promote a fuller-looking beard with Striking Viking Biotin Beard Growth Oil. Hydrates, softens, reduces beard itch, and nourishes with biotin, argan oil, and jojoba oil.</t>
  </si>
  <si>
    <t xml:space="preserve">https://striking-viking.com/en-ca/products/striking-viking-vanilla-beard-oil-with-natural-organic-oils-for-soft-healthy-beard-care</t>
  </si>
  <si>
    <t xml:space="preserve">https://striking-viking.com/en-gb/products/striking-viking-terra-sol-beard-oil-for-men-natural-beard-growth-oil-with-argan-jojoba</t>
  </si>
  <si>
    <t xml:space="preserve">https://striking-viking.com/no/products/beard-growth-balm-with-biotin-2-oz-blue-ocean</t>
  </si>
  <si>
    <t xml:space="preserve">https://striking-viking.com/en-gb/products/striking-viking-beard-growth-mastery-bundle-with-sandalwood-vanilla-biotin-oils-and-derma-roller</t>
  </si>
  <si>
    <t xml:space="preserve">https://striking-viking.com/it/products/striking-viking-folding-wooden-comb-sandalwood-beard-hair-comb</t>
  </si>
  <si>
    <t xml:space="preserve">Pettine pieghevole in legno: Eleva la cura personale con il nostro pettine in legno di sandalo dallo stile a serramanico. Favorisci la crescita sana dei capelli e riduci la rottura senza sforzo.</t>
  </si>
  <si>
    <t xml:space="preserve">https://striking-viking.com/de/pages/sign-up</t>
  </si>
  <si>
    <t xml:space="preserve">https://striking-viking.com/no/products/beard-growth-balm-with-biotin-2-oz-vanilla</t>
  </si>
  <si>
    <t xml:space="preserve">https://striking-viking.com/en-gb/products/striking-viking-battle-ready-beard-care-kit-with-beard-oils-balms-beard-filler-pen</t>
  </si>
  <si>
    <t xml:space="preserve">Scopri i migliori consigli e prodotti naturali per la cura della barba Striking Viking. Ottieni un look pulito e ordinato con i nostri essenziali per la cura della barba da uomo, scelti dagli esperti.</t>
  </si>
  <si>
    <t xml:space="preserve">https://striking-viking.com/fr/products/striking-viking-peppermint-eucalyptus-beard-shampoo-conditioner-set-for-healthy-beard-care</t>
  </si>
  <si>
    <t xml:space="preserve">Nettoyez, hydratez et rafraîchissez votre barbe avec le coffret shampooing et après-shampooing à barbe à la menthe poivrée et à l'eucalyptus Striking Viking. Aide à réduire les démangeaisons et la sécheresse.</t>
  </si>
  <si>
    <t xml:space="preserve">https://striking-viking.com/no/blogs/learn/how-to-keep-your-tattoos-looking-bold-for-years-the-role-of-tattoo-balms</t>
  </si>
  <si>
    <t xml:space="preserve">Oppdag hvordan tatoveringsbalmer kan hjelpe deg med å holde tatoveringene dine livlige og sterke i mange år fremover. Lær viktige tips for vedvarende tatoveringspleie.</t>
  </si>
  <si>
    <t xml:space="preserve">Crafted for modern grooming, this beard growth balm with biotin helps support the appearance of a fuller-looking beard while improving softness and manageability. Enriched with natural oils and nourishing butters, it delivers lightweight hold to shape and define without heaviness or buildup.The warm sandalwood scent ad</t>
  </si>
  <si>
    <t xml:space="preserve">https://striking-viking.com/de/blogs/learn/spring-style-refresh-how-to-update-your-beard-and-hair-for-warmer-weather</t>
  </si>
  <si>
    <t xml:space="preserve">Bringen Sie frischen Schwung in Ihre Bart- und Haarpflege für den Frühling. Setzen Sie auf leichtere Pflege, betonen Sie Struktur und tragen Sie einen markanteren, müheloseren Look in die warme Jahreszeit.</t>
  </si>
  <si>
    <t xml:space="preserve">https://striking-viking.com/it/products/striking-viking-cedarwood-beard-oil</t>
  </si>
  <si>
    <t xml:space="preserve">Olio da barba al legno di cedro di Striking Viking. Oli biologici di argan, jojoba e legno di cedro favoriscono la crescita della barba, riducono il prurito e donano una lucentezza naturale. Formula cruelty-free.</t>
  </si>
  <si>
    <t xml:space="preserve">https://striking-viking.com/es/blogs/learn/spring-style-refresh-how-to-update-your-beard-and-hair-for-warmer-weather</t>
  </si>
  <si>
    <t xml:space="preserve">Renueva tu rutina de barba y cabello para la primavera. Simplifica tu cuidado personal, resalta la textura y luce un estilo más definido y natural en los días cálidos.</t>
  </si>
  <si>
    <t xml:space="preserve">https://striking-viking.com/en-ca/products/striking-viking-tea-tree-biotin-beard-shampoo-for-clean-healthy-soft-beard-care-for-men</t>
  </si>
  <si>
    <t xml:space="preserve">https://striking-viking.com/no/products/beard-growth-balm-with-biotin-2-oz-sandalwood</t>
  </si>
  <si>
    <t xml:space="preserve">https://striking-viking.com/it/collections/subscribe-save</t>
  </si>
  <si>
    <t xml:space="preserve">Abbonati a Striking Viking per una cura della barba senza interruzioni. Goditi prodotti premium consegnati direttamente a casa tua, senza lo stress di doverli riordinare.</t>
  </si>
  <si>
    <t xml:space="preserve">https://striking-viking.com/sv/products/striking-viking-terra-sol-beard-oil-for-men-natural-beard-growth-oil-with-argan-jojoba</t>
  </si>
  <si>
    <t xml:space="preserve">Skäggolja Terra Sol med ekologiska argan-, jojoba- och tea tree-oljor. Mjukgör, vårdar och främjar skäggväxt. 100% naturlig, ej testad på djur. Fri frakt inom EU.</t>
  </si>
  <si>
    <t xml:space="preserve">Scopri come un Kit da Barba può portare la tua cura della barba a un livello superiore. Perfetto per l’uomo moderno che apprezza stile e qualità nella sua routine di grooming.</t>
  </si>
  <si>
    <t xml:space="preserve">Scopri il Pettine da Barba Pieghevole, un accessorio essenziale per la cura della barba dell’uomo moderno. Mantieni facilmente una barba elegante e sana con questo strumento portatile e artigianale.</t>
  </si>
  <si>
    <t xml:space="preserve">https://striking-viking.com/it/products/striking-viking-wooden-beard-care-caddy-board-only</t>
  </si>
  <si>
    <t xml:space="preserve">Striking Viking Caddy in legno per la cura della barba. Organizzatore in bambù 100% naturale per il tuo kit di grooming. Accessorio elegante per il bagno degli uomini con barba. Solo supporto.</t>
  </si>
  <si>
    <t xml:space="preserve">https://striking-viking.com/sv/products/striking-viking-blue-ocean-beard-oil-for-men-natural-beard-growth-oil-with-argan-jojoba</t>
  </si>
  <si>
    <t xml:space="preserve">Upptäck fördelarna med Beard Oil - Blue Ocean. Helt naturliga, ekologiska ingredienser främjar ett hälsosamt, mjukt skägg med en uppfriskande doft av havet. Beställ nu!</t>
  </si>
  <si>
    <t xml:space="preserve">https://striking-viking.com/fi/collections/viikinki-partasetit</t>
  </si>
  <si>
    <t xml:space="preserve">Täydellinen lahja parrakkaille miehille. Täydelliset partahoitosetit öljyillä, balmeilla, kamoilla ja muilla tarvikkeilla. Lahjavalmiit pakkaukset. Täydellinen syntymäpäiville ja juhliin.</t>
  </si>
  <si>
    <t xml:space="preserve">https://striking-viking.com/en-gb/products/striking-viking-biotin-beard-growth-oil-for-men-unscented-beard-growth-serum</t>
  </si>
  <si>
    <t xml:space="preserve">https://striking-viking.com/it/products/striking-viking-blue-ocean-beard-balm-for-men-natural-beard-balm-with-shea-butter-jojoba</t>
  </si>
  <si>
    <t xml:space="preserve">Blue Ocean Beard Balm di Striking Viking. Cera d’api naturale, burro di karité e olio di argan ammorbidiscono e modellano la tua barba. Fresco profumo oceanico. Senza crudeltà.</t>
  </si>
  <si>
    <t xml:space="preserve">https://striking-viking.com/de/products/bartol-vanille-1</t>
  </si>
  <si>
    <t xml:space="preserve">Entdecken Sie die Vorteile von Bartöl - Bergamot Thunder, hergestellt aus rein natürlichen Inhaltsstoffen, um das Bartwachstum zu fördern, Irritationen zu reduzieren und Glanz zu verleihen. Bestellen Sie noch heute!</t>
  </si>
  <si>
    <t xml:space="preserve">https://striking-viking.com/en-ca/products/beard-growth-balm-with-biotin-2-oz-sandalwood</t>
  </si>
  <si>
    <t xml:space="preserve">https://striking-viking.com/de/products/bartbalsam-manner-2</t>
  </si>
  <si>
    <t xml:space="preserve">Bartbalsam Terra Sol mit Bienenwachs, Sheabutter &amp; Jojoba. Stylt, macht weich &amp; pflegt auf natürliche Weise. Nicht fettend, bio &amp; tierversuchsfrei. Kostenloser Versand in der EU.</t>
  </si>
  <si>
    <t xml:space="preserve">https://striking-viking.com/fr/products/beard-growth-balm-with-biotin-2-oz-blue-ocean</t>
  </si>
  <si>
    <t xml:space="preserve">Conçu pour le soin quotidien, ce baume à barbe pour la pousse à la biotine aide à favoriser un poil d'apparence plus forte et une barbe plus fournie. Sa formule nourrissante assouplit le poil épais, améliore la maniabilité et offre une tenue légère pour un rendu net et défini. Le parfum Blue Ocean offre une finition fr</t>
  </si>
  <si>
    <t xml:space="preserve">https://striking-viking.com/it/products/striking-viking-folding-wooden-beard-comb-for-men-anti-static-sandalwood-grooming-comb</t>
  </si>
  <si>
    <t xml:space="preserve">Striking Viking pettine pieghevole in legno per uomo. Legno di sandalo antistatico, design doppio lato per la cura di barba e capelli. Portatile, lucidato a mano e pronto per il viaggio.</t>
  </si>
  <si>
    <t xml:space="preserve">https://striking-viking.com/en-ca/products/striking-viking-unscented-beard-oil-and-balm-kit-natural-beard-grooming-set-for-men</t>
  </si>
  <si>
    <t xml:space="preserve">Hydrate, soften, and style your beard with the Striking Viking Unscented Beard Oil and Balm Kit. Natural ingredients help reduce itch, dryness, and beard dandruff.</t>
  </si>
  <si>
    <t xml:space="preserve">https://striking-viking.com/fi/collections/trending-now</t>
  </si>
  <si>
    <t xml:space="preserve">Osta Striking Vikingin suosituimmat hoitotuotteet juuri nyt – trendikkäät partaöljyt, partavahat, hiusten muotoiluvälineet ja hoitosetit, joita tuhannet miehet rakastavat.</t>
  </si>
  <si>
    <t xml:space="preserve">https://striking-viking.com/fr/products/striking-viking-biotin-beard-growth-oil-for-men-unscented-beard-growth-serum</t>
  </si>
  <si>
    <t xml:space="preserve">Favorisez une barbe d'apparence plus fournie avec l'huile de pousse pour barbe à la biotine Striking Viking. Hydrate, adoucit, réduit les démangeaisons et nourrit avec biotine, huile d'argan et huile de jojoba.</t>
  </si>
  <si>
    <t xml:space="preserve">https://striking-viking.com/it/products/beard-growth-balm-with-biotin-2-oz-sandalwood</t>
  </si>
  <si>
    <t xml:space="preserve">https://striking-viking.com/it/products/striking-viking-beard-filler-pen-2-pack-dual-tip-waterproof-beard-pen-for-natural-beard-filling</t>
  </si>
  <si>
    <t xml:space="preserve">Ottieni 2 penne riempitive per barba a doppia punta Striking Viking. Riempi le zone rade, definisci i contorni e crea tratti naturali. Resistente all’acqua, 5 tonalità, matita e pennello.</t>
  </si>
  <si>
    <t xml:space="preserve">https://striking-viking.com/it/products/striking-viking-beard-growth-oil-with-biotin-sandalwood</t>
  </si>
  <si>
    <t xml:space="preserve">Olio Crescita Barba al Sandalo con Biotina di Striking Viking. Biotina e olio di ricino favoriscono una crescita della barba più folta e spessa. Nutre e condiziona per una barba sana.</t>
  </si>
  <si>
    <t xml:space="preserve">Trim beards, mustaches, eyebrows, nose, and ear hair with ONTAKI Facial Hair Grooming Scissors. Includes curved and rounded safety tip scissors for precise grooming.</t>
  </si>
  <si>
    <t xml:space="preserve">Löydä parhaat vinkit ja luonnolliset tuotteet Striking Viking -partahoidolle. Saavuta siisti, järjestetty ilme asiantuntevilla partahoidon välttämättömyyksillä miehille.</t>
  </si>
  <si>
    <t xml:space="preserve">Designed for deeper conditioning, this beard growth butter with biotin helps support the appearance of a thicker, fuller-looking beard. The formula hydrates beard hair and skin while improving softness, smoothness, and overall texture. With a subtle vanilla scent, it delivers a clean, refined grooming experience. The f</t>
  </si>
  <si>
    <t xml:space="preserve">https://striking-viking.com/de/products/beard-growth-balm-with-biotin-2-oz-blue-ocean</t>
  </si>
  <si>
    <t xml:space="preserve">https://striking-viking.com/fr/products/striking-viking-vanilla-beard-balm</t>
  </si>
  <si>
    <t xml:space="preserve">Le baume à barbe à la vanille Striking Viking aide à adoucir, hydrater, soigner et coiffer barbe et moustache grâce à des ingrédients naturels et un agréable parfum vanille.</t>
  </si>
  <si>
    <t xml:space="preserve">https://striking-viking.com/fr/products/striking-viking-blue-ocean-beard-balm-for-men-natural-beard-balm-with-shea-butter-jojoba</t>
  </si>
  <si>
    <t xml:space="preserve">Mettez en forme, adoucissez et nourrissez votre barbe avec le baume à barbe Blue Ocean Striking Viking. À la cire d'abeille, au beurre de karité et aux huiles naturelles pour un soin et un coiffage toute la journée.</t>
  </si>
  <si>
    <t xml:space="preserve">Create natural-looking hairstyles with Striking Viking Matte Hair Pomade. Water-based formula with a matte finish, linen scent, and medium or strong hold for all-day styling.</t>
  </si>
  <si>
    <t xml:space="preserve">https://striking-viking.com/it/collections/viking-beard-kits</t>
  </si>
  <si>
    <t xml:space="preserve">Il regalo perfetto per uomini con la barba. Kit completi per la cura della barba con oli, balsami, pettini e altro ancora. Confezione pronta da regalare. Ideale per compleanni e festività.</t>
  </si>
  <si>
    <t xml:space="preserve">https://striking-viking.com/fr/products/striking-viking-beard-shampoo-conditioner-cologne-argan-jojoba-oil</t>
  </si>
  <si>
    <t xml:space="preserve">Le shampoing et après-shampoing pour barbe Cologne offre un nettoyage hydratant grâce aux huiles d’argan et de jojoba pour garder votre barbe et votre peau saines, douces et sans démangeaisons.</t>
  </si>
  <si>
    <t xml:space="preserve">https://striking-viking.com/fr/collections/trending-now</t>
  </si>
  <si>
    <t xml:space="preserve">Découvrez dès maintenant les produits de soins les plus populaires de Striking Viking : huiles à barbe tendance, baumes, outils de coiffure et kits de soins appréciés par des milliers d’hommes.</t>
  </si>
  <si>
    <t xml:space="preserve">Keep your beard soft, smooth, and hydrated with Striking Viking Unscented Beard Butter. A lightweight, non-greasy formula designed for daily beard care and styling.</t>
  </si>
  <si>
    <t xml:space="preserve">https://striking-viking.com/de/products/bartkamm</t>
  </si>
  <si>
    <t xml:space="preserve">Striking Viking Sandelholz Bartkamm Schwarz. Minimiert Haarbruch und statische Aufladung dank doppelseitigem Design. Perfekt zum Formen und Pflegen deines Bartes im Alltag.</t>
  </si>
  <si>
    <t xml:space="preserve">https://striking-viking.com/es/collections/viking-beard-kits</t>
  </si>
  <si>
    <t xml:space="preserve">El regalo perfecto para hombres con barba. Kits completos de cuidado de barba con aceites, bálsamos, peines y más. Presentación lista para regalar. Ideal para cumpleaños y días festivos.</t>
  </si>
  <si>
    <t xml:space="preserve">https://striking-viking.com/sv/products/striking-viking-beard-rehab-growth-kit-with-sandalwood-beard-care-derma-roller</t>
  </si>
  <si>
    <t xml:space="preserve">Striking Viking Skägg Rehab &amp; Tillväxtkit i Sandelträ. Utformat för att reparera, främja tillväxt och förbättra ditt skägg med daglig återfuktning och djup rengöring. Komplett set.</t>
  </si>
  <si>
    <t xml:space="preserve">https://striking-viking.com/de/products/bartol-zedernholz</t>
  </si>
  <si>
    <t xml:space="preserve">Cedarwood Bartöl von Striking Viking. Bio-Argan-, Jojoba- und Zedernholzöle fördern das Bartwachstum, lindern Juckreiz und verleihen natürlichen Glanz. Tierversuchsfreie Formel.</t>
  </si>
  <si>
    <t xml:space="preserve">https://striking-viking.com/fi/products/striking-viking-sandalwood-beard-growth-kit-with-biotin-oil-0-25mm-derma-roller</t>
  </si>
  <si>
    <t xml:space="preserve">Striking Viking Parta Kasvatuspakkaus santelipuu-biotiiiniöljyllä ja derma-rullalla. Edistää luonnollisesti paksumpaa, tuuheampaa parran kasvua. Helppokäyttöinen, kivuton koostumus.</t>
  </si>
  <si>
    <t xml:space="preserve">https://striking-viking.com/en-gb/products/striking-viking-boar-bristle-beard-brush-for-men-natural-beech-wood-grooming-brush</t>
  </si>
  <si>
    <t xml:space="preserve">https://striking-viking.com/it/products/striking-viking-sandalwood-beard-shampoo-conditioner-set-hydrating-beard-care-for-men</t>
  </si>
  <si>
    <t xml:space="preserve">Set Shampoo e Balsamo per Barba al Sandalo di Striking Viking. Formula naturale che ripristina l’idratazione, deterge a fondo e favorisce la crescita sana della barba.</t>
  </si>
  <si>
    <t xml:space="preserve">https://striking-viking.com/de/collections/viking-beard-kits</t>
  </si>
  <si>
    <t xml:space="preserve">Das perfekte Geschenk für bärtige Männer. Komplette Bartpflege-Sets mit Ölen, Balsamen, Kämmen und mehr. Geschenkfertige Verpackung. Ideal für Geburtstage und Feiertage.</t>
  </si>
  <si>
    <t xml:space="preserve">https://striking-viking.com/sv/products/gift-card-striking-viking</t>
  </si>
  <si>
    <t xml:space="preserve">Osäker på vilket vapen en viking ska bära? Låt honom välja själv. Striking Viking Presentkort ger tillgång till exklusiva groomingprodukter för män—skapade med naturliga ingredienser, stilren design och modern nordisk styrka. Från skäggoljor och balms till kompletta groomingkit, levererar detta presentkort självförtroe</t>
  </si>
  <si>
    <t xml:space="preserve">Upptäck de bästa tipsen och naturliga produkterna för Striking Viking skäggvård. Få en ren, välordnad look med våra expertrekommenderade skäggvårdsprodukter för män.</t>
  </si>
  <si>
    <t xml:space="preserve">Beard Butter with a fresh, oceanic scent — deep hydration in a non-greasy cream. Softens beard hair and the skin beneath to reduce itch. Daily leave-in, pre-shave, or styling cream. Deep Hydration That Lasts: Shea butter, coconut oil, cocoa butter, and jojoba oil lock in moisture without weighing the beard down. Soften</t>
  </si>
  <si>
    <t xml:space="preserve">https://striking-viking.com/fr/products/striking-viking-cedarwood-beard-oil</t>
  </si>
  <si>
    <t xml:space="preserve">L'huile à barbe au cèdre Striking Viking aide à adoucir, hydrater, soigner et discipliner barbe et moustache grâce à des huiles naturelles et un parfum cèdre chaleureux.</t>
  </si>
  <si>
    <t xml:space="preserve">https://striking-viking.com/de/products/bartshampoo-und-spulung</t>
  </si>
  <si>
    <t xml:space="preserve">Das Bartshampoo und die Bartspülung Cologne bieten eine feuchtigkeitsspendende Reinigung mit Argan- und Jojobaöl, um Ihren Bart und Ihre Haut gesund, weich und juckfrei zu halten.</t>
  </si>
  <si>
    <t xml:space="preserve">https://striking-viking.com/fr/products/beard-growth-balm-with-biotin-2-oz-sandalwood</t>
  </si>
  <si>
    <t xml:space="preserve">Conçu pour les soins de barbe modernes, ce baume à barbe pour la pousse à la biotine aide à favoriser l'apparence d'une barbe plus fournie tout en améliorant la douceur et la maniabilité. Enrichi d'huiles naturelles et de beurres nourrissants, il offre une tenue légère pour façonner et définir sans alourdir ni laisser</t>
  </si>
  <si>
    <t xml:space="preserve">https://striking-viking.com/fr/blogs/learn/how-to-keep-your-tattoos-looking-bold-for-years-the-role-of-tattoo-balms</t>
  </si>
  <si>
    <t xml:space="preserve">Découvrez comment les baumes pour tatouage peuvent aider à garder vos tatouages éclatants et intenses pendant des années. Découvrez des conseils essentiels pour prendre soin de vos tatouages au quotidien.</t>
  </si>
  <si>
    <t xml:space="preserve">https://striking-viking.com/fr/products/striking-viking-beard-filler-pen-2-pack-dual-tip-waterproof-beard-pen-for-natural-beard-filling</t>
  </si>
  <si>
    <t xml:space="preserve">Comblez instantanément les trous de la barbe avec le lot de 2 stylos correcteurs de barbe Striking Viking. Formule double embout, imperméable et résistante aux bavures pour une barbe d'apparence plus fournie et naturelle.</t>
  </si>
  <si>
    <t xml:space="preserve">https://striking-viking.com/fr/products/striking-viking-boar-bristle-beard-brush-for-men-natural-beech-wood-grooming-brush</t>
  </si>
  <si>
    <t xml:space="preserve">Soignez et coiffez votre barbe avec la brosse à barbe en poils de sanglier Striking Viking. Manche en bois de hêtre naturel, poils de sanglier haut de gamme, réduit les frisottis et répartit les huiles naturelles.</t>
  </si>
  <si>
    <t xml:space="preserve">https://striking-viking.com/de/collections/trending-now</t>
  </si>
  <si>
    <t xml:space="preserve">Entdecke jetzt die beliebtesten Pflegeprodukte von Striking Viking – angesagte Bartöle, Balsame, Haarstyling-Tools und Pflegesets, die von Tausenden Männern geschätzt werden.</t>
  </si>
  <si>
    <t xml:space="preserve">El cuidado de la barba va más allá de solo peinarla. Descubre productos esenciales como aceite y bálsamo para barba para lucir una barba bien cuidada y con estilo.</t>
  </si>
  <si>
    <t xml:space="preserve">https://striking-viking.com/en-ca/products/striking-viking-unscented-beard-butter-for-moisturizing-softening-daily-beard-care</t>
  </si>
  <si>
    <t xml:space="preserve">https://striking-viking.com/en-gb/products/striking-viking-folding-wooden-beard-comb-for-men-anti-static-sandalwood-grooming-comb</t>
  </si>
  <si>
    <t xml:space="preserve">Style and groom your beard with the Striking Viking Folding Wooden Beard Comb. Anti-static sandalwood design with smooth teeth for comfortable beard and hair grooming.</t>
  </si>
  <si>
    <t xml:space="preserve">https://striking-viking.com/en-ca/products/striking-viking-biotin-beard-growth-oil-for-men-unscented-beard-growth-serum</t>
  </si>
  <si>
    <t xml:space="preserve">Mustache styling 2-pack with two wax tins and a pocket comb. Medium-hold sandalwood-scented formula for shaping and taming. Built for daily grooming and on-the-go touch-ups. Medium Hold That Stays: Beeswax, cocoa butter, and shea butter give grip to shape and tame the mustache, without stiffness or flaking. Designed fo</t>
  </si>
  <si>
    <t xml:space="preserve">https://striking-viking.com/es/collections/new-in-oils-balms</t>
  </si>
  <si>
    <t xml:space="preserve">Explora los aceites y bálsamos para barba de Striking Viking para nutrir y estilizar. Fórmulas naturales que suavizan, hidratan y apoyan un cuidado diario saludable.</t>
  </si>
  <si>
    <t xml:space="preserve">Achieve salon-quality haircuts with the ONTAKI 7-inch Hair Thinning Shears Kit. Includes thinning shears, cutting scissors, texturizing shears, razor comb, and styling combs.</t>
  </si>
  <si>
    <t xml:space="preserve">https://striking-viking.com/fr/products/striking-viking-vanilla-beard-growth-kit-with-biotin-oil-0-25mm-derma-roller</t>
  </si>
  <si>
    <t xml:space="preserve">Faites pousser une barbe d'apparence plus fournie avec le kit de pousse pour barbe à la vanille Striking Viking : huile à barbe à la biotine, derma roller en titane 0,25 mm et étui de voyage.</t>
  </si>
  <si>
    <t xml:space="preserve">https://striking-viking.com/fr/products/striking-viking-bergamot-thunder-beard-oil-for-men-natural-beard-growth-oil-with-argan-jojoba</t>
  </si>
  <si>
    <t xml:space="preserve">Hydratez, adoucissez et nourrissez votre barbe avec l'huile à barbe Bergamot Thunder Striking Viking. Aux huiles naturelles pour hydrater la peau, réduire les démangeaisons et favoriser une pousse saine de la barbe.</t>
  </si>
  <si>
    <t xml:space="preserve">https://striking-viking.com/de/products/bartbalsam-vielfalt-set</t>
  </si>
  <si>
    <t xml:space="preserve">Striking Viking Bartbalsam 4er-Set im Sortimentspaket. Natürliche Inhaltsstoffe, einfache Anwendung, nicht fettendes Styling. Macht den Bart weich &amp; reduziert Juckreiz. Ohne Tierversuche.</t>
  </si>
  <si>
    <t xml:space="preserve">https://striking-viking.com/en-ca/products/striking-viking-battle-ready-beard-care-kit-with-beard-oils-balms-beard-filler-pen</t>
  </si>
  <si>
    <t xml:space="preserve">https://striking-viking.com/de/products/beard-growth-balm-with-biotin-2-oz-sandalwood</t>
  </si>
  <si>
    <t xml:space="preserve">https://striking-viking.com/en-ca/products/beard-growth-butter-with-biotin-4-oz-sandalwood</t>
  </si>
  <si>
    <t xml:space="preserve">https://striking-viking.com/fr/products/striking-viking-terra-sol-beard-balm-for-men-natural-beard-balm-with-shea-butter-jojoba</t>
  </si>
  <si>
    <t xml:space="preserve">Coiffez, adoucissez et nourrissez votre barbe avec le baume à barbe Terra Sol Striking Viking. À la cire d'abeille, au beurre de karité et aux huiles naturelles pour un soin quotidien et une tenue légère.</t>
  </si>
  <si>
    <t xml:space="preserve">https://striking-viking.com/fi/products/striking-viking-sandalwood-beard-growth-bundle-with-titanium-derma-roller-beard-growth-serum</t>
  </si>
  <si>
    <t xml:space="preserve">Striking Viking Santelipuu Parta Kasvupaketti, jossa on Follikkelien Aktivointiseerumi ja Titaaninen Derma Roller. 540 neulaa tuuheamman, täyteläisemmän Parta kasvun edistämiseen.</t>
  </si>
  <si>
    <t xml:space="preserve">https://striking-viking.com/fi/products/striking-viking-tea-tree-biotin-beard-shampoo-conditioner-set-for-healthy-beard-care</t>
  </si>
  <si>
    <t xml:space="preserve">Tea Tree &amp; Biotiini Parta Shampoo &amp; Hoitoaine -setti Striking Vikingilta. Ravitseva, edistää kasvua ja ehkäisee kutinaa – puhtaalle, terveelle ja tyylikkäälle parralle.</t>
  </si>
  <si>
    <t xml:space="preserve">https://striking-viking.com/en-gb/products/beard-growth-balm-with-biotin-2-oz-blue-ocean</t>
  </si>
  <si>
    <t xml:space="preserve">https://striking-viking.com/de/products/bartol-vielfalt-set</t>
  </si>
  <si>
    <t xml:space="preserve">Teste 4 Striking Viking Bartöl-Düfte in einem Set. Die organische Formel macht den Bart weich, spendet Feuchtigkeit und fördert gesundes Bartwachstum. Das perfekte Pflegegeschenk für Männer.</t>
  </si>
  <si>
    <t xml:space="preserve">https://striking-viking.com/it/products/striking-viking-sandalwood-wooden-beard-comb-brown</t>
  </si>
  <si>
    <t xml:space="preserve">Striking Viking Pettine da Barba in Legno di Sandalo Marrone. Design a doppia faccia per curare e modellare. Antistatico, distribuisce gli oli in modo uniforme. Portatile e resistente.</t>
  </si>
  <si>
    <t xml:space="preserve">https://striking-viking.com/en-ca/products/striking-viking-vanilla-beard-growth-oil-with-biotin-castor-oil-for-fuller-beard-growth</t>
  </si>
  <si>
    <t xml:space="preserve">https://striking-viking.com/fr/products/striking-viking-beard-filler-pencil-with-dual-tip-pen-brush-for-natural-beard-styling</t>
  </si>
  <si>
    <t xml:space="preserve">Obtenez instantanément une barbe d'apparence plus fournie avec le stylo correcteur de barbe Striking Viking. Design double embout avec brosse de fondu pour une couverture naturelle, une mise en forme et un coiffage de la barbe.</t>
  </si>
  <si>
    <t xml:space="preserve">https://striking-viking.com/en-ca/products/beard-growth-butter-with-biotin-4-oz-blue-ocean</t>
  </si>
  <si>
    <t xml:space="preserve">https://striking-viking.com/en-gb/products/beard-growth-balm-with-biotin-2-oz-sandalwood</t>
  </si>
  <si>
    <t xml:space="preserve">https://striking-viking.com/fr/products/striking-viking-matte-hair-pomade-for-men-linen-scent-water-based-medium-strong-hold</t>
  </si>
  <si>
    <t xml:space="preserve">Créez des coiffures d'aspect naturel avec la pommade coiffante mate Striking Viking. Formule à base aqueuse au fini mat, parfum lin et tenue moyenne ou forte pour un coiffage toute la journée.</t>
  </si>
  <si>
    <t xml:space="preserve">https://striking-viking.com/it/products/striking-viking-terra-sol-beard-balm-for-men-natural-beard-balm-with-shea-butter-jojoba</t>
  </si>
  <si>
    <t xml:space="preserve">Balsamo Barba Terra Sol con cera d’api, burro di karité e jojoba. Modella, ammorbidisce e nutre in modo naturale. Non unge, biologico e cruelty-free. Spedizione gratuita in UE.</t>
  </si>
  <si>
    <t xml:space="preserve">https://striking-viking.com/de/products/bartwuchs-kit</t>
  </si>
  <si>
    <t xml:space="preserve">Striking Viking Bartwachstums-Set mit Sandelholz-Biotin-Öl &amp; Derma Roller. Fördert auf natürliche Weise ein dichteres, volleres Bartwachstum. Einfach anzuwenden, schmerzfreie Formel.</t>
  </si>
  <si>
    <t xml:space="preserve">https://striking-viking.com/es/blogs/learn/pocket-blade-grooming-striking-viking-s-folding-beard-comb</t>
  </si>
  <si>
    <t xml:space="preserve">Descubre el Striking Viking Peine Plegable para Barba y logra la máxima precisión y estilo en tu cuidado personal. Perfecto para una barba definida y con carácter.</t>
  </si>
  <si>
    <t xml:space="preserve">Descubre los mejores consejos y productos naturales para el cuidado de la barba Striking Viking. Consigue un aspecto limpio y organizado con nuestros esenciales expertos para el cuidado de la barba masculina.</t>
  </si>
  <si>
    <t xml:space="preserve">https://striking-viking.com/de/products/bartwuchs-set</t>
  </si>
  <si>
    <t xml:space="preserve">Striking Viking Bartwachstums-Set mit Vanille-Biotin-Öl &amp; Derma Roller. Fördert auf natürliche Weise ein dichteres, volleres Bartwachstum. Einfach anzuwenden, schmerzfreie Formel.</t>
  </si>
  <si>
    <t xml:space="preserve">https://striking-viking.com/it/products/beard-growth-balm-with-biotin-2-oz-vanilla</t>
  </si>
  <si>
    <t xml:space="preserve">https://striking-viking.com/fr/products/striking-viking-sandalwood-beard-growth-kit-with-biotin-oil-0-25mm-derma-roller</t>
  </si>
  <si>
    <t xml:space="preserve">Favorisez une barbe plus dense et plus fournie avec le kit de pousse pour barbe Striking Viking : huile de pousse à la biotine, derma roller 0,25 mm et étui de voyage.</t>
  </si>
  <si>
    <t xml:space="preserve">https://striking-viking.com/en-gb/products/striking-viking-terra-sol-beard-balm-for-men-natural-beard-balm-with-shea-butter-jojoba</t>
  </si>
  <si>
    <t xml:space="preserve">https://striking-viking.com/fr/products/striking-viking-vanilla-beard-growth-oil-with-biotin-castor-oil-for-fuller-beard-growth</t>
  </si>
  <si>
    <t xml:space="preserve">Favorisez une barbe plus fournie et plus saine avec l'huile de pousse pour barbe à la vanille Striking Viking. À la biotine, à l'huile de ricin et aux huiles naturelles pour nourrir et adoucir les poils du visage.</t>
  </si>
  <si>
    <t xml:space="preserve">https://striking-viking.com/fr/products/striking-viking-vanilla-beard-oil-balm-kit-for-soft-healthy-beard-care-for-men</t>
  </si>
  <si>
    <t xml:space="preserve">Hydratez, adoucissez et coiffez votre barbe avec le kit huile et baume à barbe à la vanille Striking Viking. Un soin naturel pour une barbe saine et bien soignée.</t>
  </si>
  <si>
    <t xml:space="preserve">https://striking-viking.com/de/collections/new-in-oils-balms</t>
  </si>
  <si>
    <t xml:space="preserve">Entdecke Striking Viking Bartöle und Balsame für Pflege und Styling. Natürliche Formeln, die weich machen, hydratisieren und eine gesunde tägliche Bartpflege unterstützen.</t>
  </si>
  <si>
    <t xml:space="preserve">https://striking-viking.com/en-gb/products/striking-viking-vanilla-beard-balm-2-pack-with-natural-organic-ingredients-for-beard-styling</t>
  </si>
  <si>
    <t xml:space="preserve">https://striking-viking.com/en-ca/products/striking-viking-matte-hair-pomade-for-men-linen-scent-water-based-medium-strong-hold</t>
  </si>
  <si>
    <t xml:space="preserve">Beard Butter with a bold citrus-and-herb scent — deep hydration in a non-greasy cream. Softens beard hair and the skin beneath to reduce itch. Daily leave-in, pre-shave, or styling cream. Deep Hydration That Lasts: Shea butter, coconut oil, cocoa butter, and jojoba oil lock in moisture without weighing the beard down.</t>
  </si>
  <si>
    <t xml:space="preserve">https://striking-viking.com/de/products/striking-viking-matte-hair-pomade-for-men-linen-scent-water-based-medium-strong-hold</t>
  </si>
  <si>
    <t xml:space="preserve">Matte Finish Haarpomade mit Leinen-Duft von Striking Viking. Mittlerer bis starker Halt, leicht auswaschbar. Pflegt das Haar für natürliches, gepflegtes Styling – jeden Tag.</t>
  </si>
  <si>
    <t xml:space="preserve">https://striking-viking.com/de/products/beard-growth-balm-with-biotin-2-oz-vanilla</t>
  </si>
  <si>
    <t xml:space="preserve">https://striking-viking.com/it/products/striking-viking-beard-filler-pencil-with-dual-tip-pen-brush-for-natural-beard-styling</t>
  </si>
  <si>
    <t xml:space="preserve">Riempi le zone rade della barba e definisci i contorni in pochi secondi con la Striking Viking Dual Tip Beard Filler Pen. Resistente all’acqua, disponibile in 5 tonalità, con punta a matita e pennello inclusi.</t>
  </si>
  <si>
    <t xml:space="preserve">https://striking-viking.com/it/products/striking-viking-biotin-beard-growth-oil-for-men-unscented-beard-growth-serum</t>
  </si>
  <si>
    <t xml:space="preserve">Olio Crescita Barba Biotina (Senza Profumo) di Striking Viking. Oli di Argan e Jojoba favoriscono una crescita della barba più folta e sana. Non unge, non provoca prurito e si applica facilmente.</t>
  </si>
  <si>
    <t xml:space="preserve">https://striking-viking.com/de/products/klappbarer-holzkamm</t>
  </si>
  <si>
    <t xml:space="preserve">Klappbarer Holzkamm: Verschönern Sie Ihre Haarpflege mit unserem Sandelholzkamm im Springmesser-Stil. Fördern Sie gesundes Haarwachstum und reduzieren Sie mühelos Haarbruch.</t>
  </si>
  <si>
    <t xml:space="preserve">https://striking-viking.com/es/blogs/learn/how-to-keep-your-tattoos-looking-bold-for-years-the-role-of-tattoo-balms</t>
  </si>
  <si>
    <t xml:space="preserve">Descubre cómo los bálsamos para tatuajes pueden ayudar a mantener tus tatuajes vibrantes y definidos durante años. Aprende consejos esenciales para el cuidado continuo de tus tatuajes.</t>
  </si>
  <si>
    <t xml:space="preserve">https://striking-viking.com/en-ca/products/striking-viking-folding-wooden-beard-comb-for-men-anti-static-sandalwood-grooming-comb</t>
  </si>
  <si>
    <t xml:space="preserve">https://striking-viking.com/it/blogs/learn/how-to-keep-your-tattoos-looking-bold-for-years-the-role-of-tattoo-balms</t>
  </si>
  <si>
    <t xml:space="preserve">Scopri come i balsami per tatuaggi possono aiutarti a mantenere i tuoi tatuaggi vividi e intensi negli anni a venire. Scopri i consigli essenziali per la cura continua dei tatuaggi.</t>
  </si>
  <si>
    <t xml:space="preserve">https://striking-viking.com/it/products/striking-viking-vanilla-beard-oil-balm-kit-for-soft-healthy-beard-care-for-men</t>
  </si>
  <si>
    <t xml:space="preserve">Set Olio e Balsamo per Barba Striking Viking alla Vaniglia. Idrata, ammorbidisce e modella la tua barba con ingredienti naturali e una calda fragranza di vaniglia.</t>
  </si>
  <si>
    <t xml:space="preserve">https://striking-viking.com/de/products/bartwasch-und-pflegeset-sandelholz</t>
  </si>
  <si>
    <t xml:space="preserve">Sandelholz Bart Shampoo &amp; Conditioner Set von Striking Viking. Natürliche Formel stellt Feuchtigkeit wieder her, reinigt gründlich und fördert gesundes Bartwachstum.</t>
  </si>
  <si>
    <t xml:space="preserve">https://striking-viking.com/en-ca/products/striking-viking-blue-ocean-beard-balm-for-men-natural-beard-balm-with-shea-butter-jojoba</t>
  </si>
  <si>
    <t xml:space="preserve">https://striking-viking.com/fr/products/striking-viking-sandalwood-beard-shampoo-conditioner-set-hydrating-beard-care-for-men</t>
  </si>
  <si>
    <t xml:space="preserve">Nettoyez, hydratez et adoucissez votre barbe avec le coffret shampooing et après-shampooing à barbe au santal Striking Viking. Aide à réduire les démangeaisons pour un soin de la barbe sain.</t>
  </si>
  <si>
    <t xml:space="preserve">https://striking-viking.com/de/products/bartwuchsol-fur-manner-vanille</t>
  </si>
  <si>
    <t xml:space="preserve">Das Bartwuchsöl nährt und pflegt Ihren Bart. Es ist mit Biotin und Rizinusöl angereichert, um maximales Wachstum zu gewährleisten und einen volleren und leichter zu handhabenden Bart zu erhalten.</t>
  </si>
  <si>
    <t xml:space="preserve">https://striking-viking.com/de/products/striking-viking-boar-bristle-beard-brush-for-men-natural-beech-wood-grooming-brush</t>
  </si>
  <si>
    <t xml:space="preserve">Striking Viking Bartbürste mit Wildschweinborsten und Griff aus Buchenholz. Zähmt, macht den Bart weich und verleiht Glanz. Natürliche Borsten für ein gepflegtes, gesundes Aussehen.</t>
  </si>
  <si>
    <t xml:space="preserve">https://striking-viking.com/en-ca/products/beard-growth-butter-with-biotin-4-oz-vanilla</t>
  </si>
  <si>
    <t xml:space="preserve">https://striking-viking.com/de/products/striking-viking-biotin-beard-growth-oil-for-men-unscented-beard-growth-serum</t>
  </si>
  <si>
    <t xml:space="preserve">Bartwuchs-Öl Biotin (Unparfümiert) von Striking Viking. Argan- und Jojobaöle fördern volleres, gesünderes Bartwachstum. Nicht fettend, juckreizfrei und einfach aufzutragen.</t>
  </si>
  <si>
    <t xml:space="preserve">https://striking-viking.com/en-ca/products/charlemagne-carbon-wide-tooth-comb-for-men-heat-resistant-carbon-fiber-hair-comb</t>
  </si>
  <si>
    <t xml:space="preserve">https://striking-viking.com/es/blogs/learn/unlock-your-beard-s-full-potential-beard-growth-kits-oils</t>
  </si>
  <si>
    <t xml:space="preserve">Desbloquea el máximo potencial de tu barba con nuestro Kit de Crecimiento para Barba. Descubre los aceites y kits de Striking Viking para una barba sana y abundante.</t>
  </si>
  <si>
    <t xml:space="preserve">https://striking-viking.com/fr/products/striking-viking-folding-wooden-beard-comb-for-men-anti-static-sandalwood-grooming-comb</t>
  </si>
  <si>
    <t xml:space="preserve">Coiffez et soignez votre barbe avec le peigne à barbe pliant en bois Striking Viking. Design en bois de santal anti-statique à dents lisses pour un soin confortable de la barbe et des cheveux.</t>
  </si>
  <si>
    <t xml:space="preserve">https://striking-viking.com/fi/blogs/learn/pocket-blade-grooming-striking-viking-s-folding-beard-comb</t>
  </si>
  <si>
    <t xml:space="preserve">Löydä Striking Viking Taitettava Parta Kampa, joka tarjoaa äärimmäistä huolellisuutta ja tyyliä partasi hoitoon. Täydellinen terävään, tarkoitukselliseen partaan.</t>
  </si>
  <si>
    <t xml:space="preserve">https://striking-viking.com/fi/products/striking-viking-hybrid-beard-growth-bundle-with-sandalwood-unscented-beard-oils-and-derma-roller</t>
  </si>
  <si>
    <t xml:space="preserve">Striking Viking Hybrid Parta Kasvupaketti santelipuu- ja Hajusteeton biotiiniöljyillä + titaaninen derma-rulla. Valitse hajusteeton tai tuoksullinen – sinun päätöksesi.</t>
  </si>
  <si>
    <t xml:space="preserve">https://striking-viking.com/it/products/striking-viking-bergamot-thunder-beard-oil-for-men-natural-beard-growth-oil-with-argan-jojoba</t>
  </si>
  <si>
    <t xml:space="preserve">Scopri i benefici dell’Olio da Barba - Bergamot Thunder, realizzato con ingredienti completamente naturali per favorire la crescita della barba, ridurre le irritazioni e donare lucentezza. Ordina oggi!</t>
  </si>
  <si>
    <t xml:space="preserve">https://striking-viking.com/fr/collections/viking-beard-kits</t>
  </si>
  <si>
    <t xml:space="preserve">Le cadeau parfait pour les hommes barbus. Coffrets complets d’entretien de la barbe avec huiles, baumes, peignes et plus encore. Emballage prêt à offrir. Idéal pour les anniversaires et les fêtes.</t>
  </si>
  <si>
    <t xml:space="preserve">https://striking-viking.com/it/products/beard-growth-balm-with-biotin-2-oz-blue-ocean</t>
  </si>
  <si>
    <t xml:space="preserve">https://striking-viking.com/en-ca/products/beard-butter-bergamot-thunder</t>
  </si>
  <si>
    <t xml:space="preserve">https://striking-viking.com/fr/products/striking-viking-beard-oil-variety-4-pack-citrus-vanilla-cedarwood-sandalwood</t>
  </si>
  <si>
    <t xml:space="preserve">Le coffret de 4 huiles à barbe Striking Viking réunit les huiles Agrumes, Vanille, Cèdre et Santal pour adoucir, hydrater, soigner et discipliner les poils du visage.</t>
  </si>
  <si>
    <t xml:space="preserve">https://striking-viking.com/de/products/striking-viking-beard-filler-pen-2-pack-dual-tip-waterproof-beard-pen-for-natural-beard-filling</t>
  </si>
  <si>
    <t xml:space="preserve">Erhalte 2x Striking Viking Dual Tip Bart Filler Stifte. Fülle Lücken, definiere Konturen und kreiere natürlich aussehende Haarstriche. Wasserfest, 5 Farbtöne, Stift &amp; Bürste.</t>
  </si>
  <si>
    <t xml:space="preserve">https://striking-viking.com/en-ca/products/striking-viking-beard-filler-pencil-with-dual-tip-pen-brush-for-natural-beard-styling</t>
  </si>
  <si>
    <t xml:space="preserve">https://striking-viking.com/en-ca/products/striking-viking-bergamot-thunder-beard-oil-for-men-natural-beard-growth-oil-with-argan-jojoba</t>
  </si>
  <si>
    <t xml:space="preserve">https://striking-viking.com/de/blogs/learn/how-to-keep-your-tattoos-looking-bold-for-years-the-role-of-tattoo-balms</t>
  </si>
  <si>
    <t xml:space="preserve">Entdecke, wie Tattoo-Balsame dabei helfen, deine Tattoos über Jahre hinweg lebendig und kraftvoll zu erhalten. Erfahre wichtige Tipps für die dauerhafte Tattoo-Pflege.</t>
  </si>
  <si>
    <t xml:space="preserve">https://striking-viking.com/fi/collections/new-in-oils-balms</t>
  </si>
  <si>
    <t xml:space="preserve">Tutustu Striking Viking -partaöljyihin ja -partavoiteisiin ravitsevaa hoitoa ja muotoilua varten. Luonnolliset koostumukset, jotka pehmentävät, kosteuttavat ja tukevat terveellistä päivittäistä partahoitoa.</t>
  </si>
  <si>
    <t xml:space="preserve">https://striking-viking.com/it/collections/trending-now</t>
  </si>
  <si>
    <t xml:space="preserve">Acquista subito i prodotti per la cura personale più popolari di Striking Viking: oli da barba di tendenza, balsami, strumenti per lo styling dei capelli e kit per la cura amati da migliaia di uomini.</t>
  </si>
  <si>
    <t xml:space="preserve">https://striking-viking.com/it/products/striking-viking-matte-hair-pomade-for-men-linen-scent-water-based-medium-strong-hold</t>
  </si>
  <si>
    <t xml:space="preserve">Pomata per capelli effetto opaco con profumo di lino di Striking Viking. Tenuta da media a forte, si lava via facilmente. Nutre i capelli per uno styling naturale e curato ogni giorno.</t>
  </si>
  <si>
    <t xml:space="preserve">https://striking-viking.com/de/products/bartwasch-und-pflegeset</t>
  </si>
  <si>
    <t xml:space="preserve">Bart Shampoo &amp; Conditioner Set mit Pfefferminze &amp; Eukalyptus von Striking Viking. Reinigt, pflegt und fördert gesundes Bartwachstum. Verabschiede dich von Juckreiz.</t>
  </si>
  <si>
    <t xml:space="preserve">https://striking-viking.com/en-gb/products/beard-growth-balm-with-biotin-2-oz-vanilla</t>
  </si>
  <si>
    <t xml:space="preserve">https://striking-viking.com/es/blogs/learn/beard-oil-vs-beard-balm-solving-the-modern-problem-for-gentlemen-with-beards</t>
  </si>
  <si>
    <t xml:space="preserve">Explora el Aceite para Barba y sus beneficios en comparación con el Bálsamo para Barba. Descubre cuál producto es ideal para tu rutina de cuidado de la barba en esta guía esencial.</t>
  </si>
  <si>
    <t xml:space="preserve">https://striking-viking.com/es/collections/trending-now</t>
  </si>
  <si>
    <t xml:space="preserve">Compra los productos de cuidado personal más populares de Striking Viking ahora mismo: aceites para barba en tendencia, bálsamos, herramientas para peinar el cabello y kits de cuidado apreciados por miles de hombres.</t>
  </si>
  <si>
    <t xml:space="preserve">https://striking-viking.com/fr/products/striking-viking-beard-balm-variety-4-pack-citrus-vanilla-cedarwood-sandalwood</t>
  </si>
  <si>
    <t xml:space="preserve">Le coffret de 4 baumes à barbe Striking Viking réunit les parfums Agrumes, Vanille, Cèdre et Santal pour adoucir, soigner, hydrater et coiffer les poils du visage.</t>
  </si>
  <si>
    <t xml:space="preserve">https://striking-viking.com/it/products/striking-viking-vanilla-beard-growth-oil-with-biotin-castor-oil-for-fuller-beard-growth</t>
  </si>
  <si>
    <t xml:space="preserve">L'Olio per la Crescita della Barba nutre e condiziona la tua barba. Arricchito con biotina e olio di ricino per una crescita massima, garantisce una barba più folta e facile da gestire.</t>
  </si>
  <si>
    <t xml:space="preserve">https://striking-viking.com/de/products/bartol-und-balsam-vanille</t>
  </si>
  <si>
    <t xml:space="preserve">Striking Viking Bartöl &amp; Balsam Set in Vanille. Spendet Feuchtigkeit, macht deinen Bart weich und formt ihn mit natürlichen Inhaltsstoffen und einem warmen Vanilleduft.</t>
  </si>
  <si>
    <t xml:space="preserve">https://striking-viking.com/de/products/bartbalsam-manner</t>
  </si>
  <si>
    <t xml:space="preserve">Vanilla Bartbalsam von Striking Viking. Die rein natürliche Formel mit Sheabutter, Bienenwachs und Arganöl macht das Barthaar weich, formt und bändigt es. Ohne Tierversuche und ohne Parabene.</t>
  </si>
  <si>
    <t xml:space="preserve">Cut fabric with precision using ONTAKI 6.5-inch Curved Fabric Scissors. German stainless steel blades are ideal for embroidery, applique, quilting, sewing, and detailed craft work.</t>
  </si>
  <si>
    <t xml:space="preserve">https://striking-viking.com/en-gb/products/striking-viking-matte-hair-pomade-for-men-linen-scent-water-based-medium-strong-hold</t>
  </si>
  <si>
    <t xml:space="preserve">https://striking-viking.com/de/products/bartbalsam-manner-3</t>
  </si>
  <si>
    <t xml:space="preserve">Blue Ocean Bartbalsam von Striking Viking. Natürliches Bienenwachs, Sheabutter und Arganöl machen deinen Bart weich und formbar. Erfrischender Ozean-Duft. Ohne Tierversuche.</t>
  </si>
  <si>
    <t xml:space="preserve">https://striking-viking.com/it/products/sandalwood-wooden-beard-comb-black-striking-viking</t>
  </si>
  <si>
    <t xml:space="preserve">Striking Viking Pettine per barba in legno di sandalo nero. Riduce al minimo la rottura e l’elettricità statica grazie al design a doppia faccia. Perfetto per modellare e curare la barba ogni giorno.</t>
  </si>
  <si>
    <t xml:space="preserve">Trim and shape facial hair safely with ONTAKI 4.2-inch Japanese Steel Rounded Tip Beard &amp; Mustache Scissors. Includes beard comb, travel pouch, and finger inserts.</t>
  </si>
  <si>
    <t xml:space="preserve">https://striking-viking.com/fr/products/beard-growth-balm-with-biotin-2-oz-vanilla</t>
  </si>
  <si>
    <t xml:space="preserve">Ce baume à barbe pour la pousse à la biotine est conçu pour favoriser l'apparence d'une barbe plus fournie tout en la gardant douce, maniable et bien soignée. Sa formule associe huiles et beurres naturels pour nourrir le poil, améliorer la texture et offrir une tenue légère pour le façonnage et le contrôle. Avec un par</t>
  </si>
  <si>
    <t xml:space="preserve">https://striking-viking.com/fr-ca/collections/hair-care</t>
  </si>
  <si>
    <t xml:space="preserve">https://striking-viking.com/fr-ca/collections/sprays</t>
  </si>
  <si>
    <t xml:space="preserve">https://striking-viking.com/fr-ca/collections/beard-butter</t>
  </si>
  <si>
    <t xml:space="preserve">https://striking-viking.com/fr-ca/pages/contact-us</t>
  </si>
  <si>
    <t xml:space="preserve">https://striking-viking.com/fr-ca/products/striking-viking-mustache-wax-and-comb-kit</t>
  </si>
  <si>
    <t xml:space="preserve">https://striking-viking.com/fr-ca/pages/about-us</t>
  </si>
  <si>
    <t xml:space="preserve">https://striking-viking.com/fr-ca/pages/cookie-policy</t>
  </si>
  <si>
    <t xml:space="preserve">https://striking-viking.com/fr-ca/collections/bundles</t>
  </si>
  <si>
    <t xml:space="preserve">https://striking-viking.com/fr-ca/collections/shaving</t>
  </si>
  <si>
    <t xml:space="preserve">https://striking-viking.com/fr-ca/collections/biotin-beard-growth</t>
  </si>
  <si>
    <t xml:space="preserve">https://striking-viking.com/fr-ca/pages/data-sharing-opt-out</t>
  </si>
  <si>
    <t xml:space="preserve">https://striking-viking.com/fr-ca/collections/combs</t>
  </si>
  <si>
    <t xml:space="preserve">https://striking-viking.com/fr-ca/collections/best-sellers-grooming-kit</t>
  </si>
  <si>
    <t xml:space="preserve">https://striking-viking.com/fr-ca/collections/beard-filler-pens</t>
  </si>
  <si>
    <t xml:space="preserve">https://striking-viking.com/fr-ca/collections/scissors-ontaki</t>
  </si>
  <si>
    <t xml:space="preserve">https://striking-viking.com/fr-ca/collections/beard-wash</t>
  </si>
  <si>
    <t xml:space="preserve">https://striking-viking.com/fr-ca/collections/after-shave-balm</t>
  </si>
  <si>
    <t xml:space="preserve">https://striking-viking.com/fr-ca/collections/face-body</t>
  </si>
  <si>
    <t xml:space="preserve">https://striking-viking.com/fr-ca/blogs/learn</t>
  </si>
  <si>
    <t xml:space="preserve">https://striking-viking.com/fr-ca/collections/combs-and-brushes</t>
  </si>
  <si>
    <t xml:space="preserve">https://striking-viking.com/fr-ca/collections/powders</t>
  </si>
  <si>
    <t xml:space="preserve">https://striking-viking.com/fr-ca/collections/2026-deals</t>
  </si>
  <si>
    <t xml:space="preserve">https://striking-viking.com/fr-ca/collections/brushes</t>
  </si>
  <si>
    <t xml:space="preserve">https://striking-viking.com/fr-ca/collections/beard-growth-kits</t>
  </si>
  <si>
    <t xml:space="preserve">https://striking-viking.com/fr-ca</t>
  </si>
  <si>
    <t xml:space="preserve">https://striking-viking.com/fr-ca/pages/become-a-reseller</t>
  </si>
  <si>
    <t xml:space="preserve">https://striking-viking.com/fr-ca/collections/beard-care</t>
  </si>
  <si>
    <t xml:space="preserve">https://striking-viking.com/fr-ca/collections/beard-oil</t>
  </si>
  <si>
    <t xml:space="preserve">https://striking-viking.com/fr-ca/collections/beard-balm</t>
  </si>
  <si>
    <t xml:space="preserve">https://striking-viking.com/fr-ca/products/striking-viking-wooden-beard-care-caddy-board-only</t>
  </si>
  <si>
    <t xml:space="preserve">https://striking-viking.com/fr-ca/products/striking-viking-sea-salt-hair-spray-strong-hold-citrus-texture-volume-beach-waves</t>
  </si>
  <si>
    <t xml:space="preserve">https://striking-viking.com/fr-ca/products/striking-viking-blue-ocean-beard-oil-for-men-natural-beard-growth-oil-with-argan-jojoba</t>
  </si>
  <si>
    <t xml:space="preserve">https://striking-viking.com/fr-ca/products/striking-viking-terra-sol-beard-oil-for-men-natural-beard-growth-oil-with-argan-jojoba</t>
  </si>
  <si>
    <t xml:space="preserve">https://striking-viking.com/fr-ca/blogs/learn/level-up-your-beard-game-the-striking-viking-beard-filler-pen</t>
  </si>
  <si>
    <t xml:space="preserve">https://striking-viking.com/fr-ca/products/striking-viking-bergamot-thunder-beard-balm-for-men-natural-beard-balm-with-shea-butter</t>
  </si>
  <si>
    <t xml:space="preserve">https://striking-viking.com/fr-ca/products/striking-viking-beard-filler-pen-2-pack-waterproof-beard-pen-for-filling-gaps-covering-patches</t>
  </si>
  <si>
    <t xml:space="preserve">https://striking-viking.com/fr-ca/products/striking-viking-beard-kit-caddy-complete-beard-grooming-kit</t>
  </si>
  <si>
    <t xml:space="preserve">https://striking-viking.com/fr-ca/products/striking-viking-sea-salt-spray-for-men-blue-ocean-natural-texture-volume-hair-spray</t>
  </si>
  <si>
    <t xml:space="preserve">https://striking-viking.com/sv/pages/ilm-form-not-visible</t>
  </si>
  <si>
    <t xml:space="preserve">https://striking-viking.com/de/products/ontaki-japanese-steel-rounded-tip-beard-mustache-scissors-4-2-inch-grooming-kit</t>
  </si>
  <si>
    <t xml:space="preserve">ONTAKI 4,2" Bart- &amp; Schnurrbartschere mit abgerundeter Spitze von Striking Viking. Japanischer Stahl für sicheres, präzises Trimmen von Bärten, Schnurrbärten &amp; Augenbrauen.</t>
  </si>
  <si>
    <t xml:space="preserve">https://striking-viking.com/de/pages/ilm2025</t>
  </si>
  <si>
    <t xml:space="preserve">https://striking-viking.com/fr/blogs/learn/16918829-the-ingredients-and-why-they-matter</t>
  </si>
  <si>
    <t xml:space="preserve">Découvrez les ingrédients clés de l'huile à barbe qui contribuent à une barbe plus saine et plus douce. Découvrez pourquoi ces ingrédients sont essentiels pour un soin et un entretien de la barbe optimaux.</t>
  </si>
  <si>
    <t xml:space="preserve">https://striking-viking.com/fi/products/striking-viking-cedarwood-beard-balm</t>
  </si>
  <si>
    <t xml:space="preserve">Striking Vikingin Cedarwood Partavoide. Mehiläisvaha, sheavoi ja arganöljy pehmentävät, muotoilevat ja kesyttävät partasi luonnollisesti. Luomu, eläinkokeeton ja parabeeniton.</t>
  </si>
  <si>
    <t xml:space="preserve">https://striking-viking.com/fr/pages/collab</t>
  </si>
  <si>
    <t xml:space="preserve">https://striking-viking.com/es/products/striking-viking-matte-hair-pomade-for-men-linen-scent-water-based-medium-strong-hold</t>
  </si>
  <si>
    <t xml:space="preserve">Pomada para el cabello de acabado mate con aroma a lino de Striking Viking. Fijación media a fuerte, fácil de lavar. Nutre el cabello para un peinado natural y pulido cada día.</t>
  </si>
  <si>
    <t xml:space="preserve">https://striking-viking.com/fi/products/striking-viking-biotin-beard-growth-oil-for-men-unscented-beard-growth-serum</t>
  </si>
  <si>
    <t xml:space="preserve">Parta Growth Oil Biotin (Hajusteeton) by Striking Viking. Argan- ja jojobaöljyt edistävät tuuheampaa, terveempää parran kasvua. Ei jätä rasvaiseksi, ei kutise ja on helppo levittää.</t>
  </si>
  <si>
    <t xml:space="preserve">https://striking-viking.com/de/products/vanille-bartbalsam</t>
  </si>
  <si>
    <t xml:space="preserve">Striking Viking Vanilla Bartbalsam 2er-Pack. Natürliche &amp; biologische Formel macht den Bart weich, reduziert Juckreiz. Sheabutter, Bienenwachs &amp; Arganöl. Ohne Tierversuche.</t>
  </si>
  <si>
    <t xml:space="preserve">https://striking-viking.com/it/products/striking-viking-beard-growth-kit-with-beard-roller-vanilla-unscented-biotin-oils-for-men</t>
  </si>
  <si>
    <t xml:space="preserve">Striking Viking Kit Crescita Barba con Oli alla Biotina alla Vaniglia e Senza Profumo + Derma Roller in Titanio. Fai crescere una barba più folta, con o senza fragranza.</t>
  </si>
  <si>
    <t xml:space="preserve">https://striking-viking.com/es/products/beard-growth-butter-with-biotin-4-oz-blue-ocean</t>
  </si>
  <si>
    <t xml:space="preserve">https://striking-viking.com/en-ca/products/2x-mustache-wax-comb-set-sandalwood</t>
  </si>
  <si>
    <t xml:space="preserve">https://striking-viking.com/fr-ca/pages/ilm-form-not-visible</t>
  </si>
  <si>
    <t xml:space="preserve">https://striking-viking.com/no/products/striking-viking-sandalwood-beard-balm</t>
  </si>
  <si>
    <t xml:space="preserve">Beard Balm Sandalwood hjelper deg med å forme, gi glans og mykne skjegget ditt ved hjelp av helt naturlige ingredienser. Nyt et sunt, fyldig skjegg med fuktighetsgivende egenskaper.</t>
  </si>
  <si>
    <t xml:space="preserve">https://striking-viking.com/no/products/striking-viking-sandalwood-beard-oil</t>
  </si>
  <si>
    <t xml:space="preserve">Beard Oil Sandalwood mykgjør, nærer og fremmer skjeggvekst. Håndlaget med økologiske ingredienser, temmer den uregjerlige hår for et glansfullt, kløfritt skjegg.</t>
  </si>
  <si>
    <t xml:space="preserve">https://striking-viking.com/fr-ca/products/striking-viking-sandalwood-shaving-cream-for-men-rich-lather-for-a-smooth-comfortable-shave</t>
  </si>
  <si>
    <t xml:space="preserve">Profitez d'un rasage doux et confortable avec la crème à raser au santal Striking Viking. Mousse riche, formule pour peaux sensibles et parfum santal haut de gamme.</t>
  </si>
  <si>
    <t xml:space="preserve">https://striking-viking.com/de/products/ontaki-curved-fabric-scissors-6-5-inch-german-stainless-steel-embroidery-scissors</t>
  </si>
  <si>
    <t xml:space="preserve">Verbessern Sie Ihre Nähprojekte mit den ONTAKI gebogenen Stoffscheren, gefertigt aus deutschem Edelstahl für rasiermesserscharfe, präzise Schnitte. Perfekt für Profis und Hobbyisten.</t>
  </si>
  <si>
    <t xml:space="preserve">https://striking-viking.com/fr-ca/products/striking-viking-peppermint-eucalyptus-beard-shampoo-conditioner-set-for-healthy-beard-care</t>
  </si>
  <si>
    <t xml:space="preserve">https://striking-viking.com/de/blogs/learn/41241281-the-dude</t>
  </si>
  <si>
    <t xml:space="preserve">Entdecken Sie, wie der Dude mit seinem legendären Bart Selbstvertrauen und Stil verkörpert und beweist, dass ein toller Bart Ihr Selbstbewusstsein stärken kann. Jetzt shoppen!</t>
  </si>
  <si>
    <t xml:space="preserve">https://striking-viking.com/fi/products/striking-viking-beard-shampoo-conditioner-cologne-argan-jojoba-oil</t>
  </si>
  <si>
    <t xml:space="preserve">Partashampoo ja hoitoaine Cologne tarjoaa kosteuttavan puhdistuksen käyttäen argan- ja jojobaöljyjä pitämään partasi ja ihosi terveinä, pehmeinä ja kutinattomina.</t>
  </si>
  <si>
    <t xml:space="preserve">https://striking-viking.com/fi/collections/last-chance-bogo-free</t>
  </si>
  <si>
    <t xml:space="preserve">https://striking-viking.com/fi/products/charlemagne-carbon-hair-comb-for-men-professional-heat-resistant-styling-detangling-comb</t>
  </si>
  <si>
    <t xml:space="preserve">Charlemagne Carbon-hiuskampa by Striking Viking. Käsintehty Saksassa – kaksipuoliset leveät ja hienot hampaat muotoiluun, selvittämiseen ja hiuspohjan stimulointiin.</t>
  </si>
  <si>
    <t xml:space="preserve">https://striking-viking.com/en-gb/blogs/learn/41234689-brian-wilson</t>
  </si>
  <si>
    <t xml:space="preserve">Discover Brian Wilson, a professional baseball relief pitcher and Beard of the Week Winner with a standout beard. Learn about his style, achievements, and unique beard stats.</t>
  </si>
  <si>
    <t xml:space="preserve">https://striking-viking.com/es/products/ontaki-professional-thinning-texturizing-scissors-set-6-5-inch-japanese-alloy-steel</t>
  </si>
  <si>
    <t xml:space="preserve">Tijeras de entresacar y texturizar ONTAKI 6.5" de Striking Viking. Hojas de acero alemán para un arreglo preciso de barba, cabello y bigote en casa o en el salón.</t>
  </si>
  <si>
    <t xml:space="preserve">https://striking-viking.com/fi/products/ontaki-curved-fabric-scissors-6-5-inch-german-stainless-steel-embroidery-scissors</t>
  </si>
  <si>
    <t xml:space="preserve">Paranna ompeluprojektejasi ONTAKI-kaarevilla kangassaksilla, jotka on valmistettu saksalaisesta ruostumattomasta teräksestä teräviin ja tarkkoihin leikkauksiin. Täydelliset ammattilaisille ja harrastajille.</t>
  </si>
  <si>
    <t xml:space="preserve">https://striking-viking.com/es/products/striking-viking-tea-tree-biotin-beard-wash-cologne-for-clean-fresh-healthy-beard-care</t>
  </si>
  <si>
    <t xml:space="preserve">Beard Wash Cologne de Striking Viking ofrece ingredientes totalmente naturales para un aroma herbal fresco, nutriendo e hidratando tu barba con Tea Tree y Biotina.</t>
  </si>
  <si>
    <t xml:space="preserve">https://striking-viking.com/de/products/beard-growth-butter-with-biotin-4-oz-vanilla</t>
  </si>
  <si>
    <t xml:space="preserve">https://striking-viking.com/es/products/ontaki-duckbill-applique-scissors-4-5-inch-carbon-steel-fabric-thread-cutting-scissors</t>
  </si>
  <si>
    <t xml:space="preserve">Tijeras de apliqué tipo pico de pato ONTAKI 4.5" de Striking Viking. Corte preciso para telas y manualidades. Duraderas y cómodas para proyectos de costura, bordado y acolchado.</t>
  </si>
  <si>
    <t xml:space="preserve">https://striking-viking.com/es/pages/beard-filler-pens</t>
  </si>
  <si>
    <t xml:space="preserve">Descubre los mejores lápices rellenadores de barba para hombres. Rellena al instante las zonas despobladas, define las líneas de la barba y consigue un aspecto más denso con trazos naturales similares al vello.</t>
  </si>
  <si>
    <t xml:space="preserve">https://striking-viking.com/fr-ca/products/striking-viking-vanilla-after-shave-balm-for-men-soothing-hydration-skin-care</t>
  </si>
  <si>
    <t xml:space="preserve">Apaisez, hydratez et rafraîchissez votre peau après le rasage avec le baume après-rasage à la vanille Striking Viking. Doux pour les peaux sensibles, avec un parfum vanille chaleureux.</t>
  </si>
  <si>
    <t xml:space="preserve">https://striking-viking.com/fr/products/ontaki-japanese-steel-rounded-tip-beard-mustache-scissors-4-2-inch-grooming-kit</t>
  </si>
  <si>
    <t xml:space="preserve">Taillez et mettez en forme vos poils du visage en toute sécurité avec les ciseaux à barbe et moustache à bouts arrondis ONTAKI de 4,2 pouces en acier japonais. Comprend un peigne à barbe, une pochette de voyage et des inserts pour les doigts.</t>
  </si>
  <si>
    <t xml:space="preserve">https://striking-viking.com/es/products/charlemagne-carbon-hair-comb-for-men-professional-heat-resistant-styling-detangling-comb</t>
  </si>
  <si>
    <t xml:space="preserve">Peine de cabello de carbono Charlemagne de Striking Viking. Hecho a mano en Alemania: dientes anchos y finos para dar forma, desenredar y estimular el cuero cabelludo.</t>
  </si>
  <si>
    <t xml:space="preserve">https://striking-viking.com/fr/products/striking-viking-beard-growth-mastery-bundle-with-sandalwood-vanilla-biotin-oils-and-derma-roller</t>
  </si>
  <si>
    <t xml:space="preserve">Obtenez une barbe d'apparence plus fournie avec le coffret maîtrise de la pousse de la barbe Striking Viking. Comprend des huiles à la biotine santal et vanille, un derma roller en titane et un étui de rangement pour l'entretien quotidien.</t>
  </si>
  <si>
    <t xml:space="preserve">https://striking-viking.com/es/products/striking-viking-unscented-after-shave-balm-for-men-soothing-hydration-skin-care</t>
  </si>
  <si>
    <t xml:space="preserve">Bálsamo After Shave para Hombres ofrece un cuidado calmante e hidratante para todo tipo de piel. Este bálsamo sin fragancia rejuvenece y equilibra tu piel después del afeitado.</t>
  </si>
  <si>
    <t xml:space="preserve">https://striking-viking.com/fi/products/beard-growth-balm-with-biotin-2-oz-vanilla</t>
  </si>
  <si>
    <t xml:space="preserve">https://striking-viking.com/es/products/charlemagne-round-hair-brush-for-men-professional-styling-brush-for-volume-blow-drying</t>
  </si>
  <si>
    <t xml:space="preserve">Cepillo redondo para el cabello Charlemagne de Striking Viking. Fabricado en Alemania para lograr volumen, forma y control de calidad de salón. Estándares profesionales para el peinado diario.</t>
  </si>
  <si>
    <t xml:space="preserve">https://striking-viking.com/fi/pages/ilm-2025-sign-up</t>
  </si>
  <si>
    <t xml:space="preserve">https://striking-viking.com/sv/products/charlemagne-original-hair-pomade-for-men-strong-hold-water-based-styling-pomade-100ml</t>
  </si>
  <si>
    <t xml:space="preserve">Charlemagne Original Hårpomada från Striking Viking. Tillverkad i Tyskland. Klassisk stadga och diskret glans med doft av körsbär och oud. Perfekt för välvårdade frisyrer.</t>
  </si>
  <si>
    <t xml:space="preserve">https://striking-viking.com/en-ca/products/striking-viking-beard-rehab-growth-kit-with-sandalwood-beard-care-derma-roller</t>
  </si>
  <si>
    <t xml:space="preserve">https://striking-viking.com/no/products/ontaki-curved-fabric-scissors-6-5-inch-german-stainless-steel-embroidery-scissors</t>
  </si>
  <si>
    <t xml:space="preserve">Forbedre syprosjektene dine med ONTAKI buede stoffsakser, laget av tysk rustfritt stål for sylskarpe, presise kutt. Perfekt for profesjonelle og hobbyentusiaster.</t>
  </si>
  <si>
    <t xml:space="preserve">https://striking-viking.com/it/products/striking-viking-hybrid-beard-growth-bundle-with-sandalwood-unscented-beard-oils-and-derma-roller</t>
  </si>
  <si>
    <t xml:space="preserve">Striking Viking Set Ibrido per la Crescita della Barba con Oli alla Biotina Sandalo &amp; Senza Profumo + Derma Roller in Titanio. Scegli tra senza profumo o profumato — a te la scelta.</t>
  </si>
  <si>
    <t xml:space="preserve">https://striking-viking.com/fr-ca/blogs/learn/striking-viking-beard-comb-for-routine-beard-management</t>
  </si>
  <si>
    <t xml:space="preserve">Découvrez le peigne à barbe Striking Viking pour l'entretien quotidien de votre barbe. Parfait pour tous les types de barbe, hypoallergénique, élégant et facile à transporter pour vos besoins de soins.</t>
  </si>
  <si>
    <t xml:space="preserve">https://striking-viking.com/it/products/beard-butter-bergamot-thunder</t>
  </si>
  <si>
    <t xml:space="preserve">https://striking-viking.com/fr-ca/products/striking-viking-vanilla-beard-balm-2-pack-with-natural-organic-ingredients-for-beard-styling</t>
  </si>
  <si>
    <t xml:space="preserve">Coiffez, adoucissez et nourrissez votre barbe avec le lot de 2 baumes à barbe à la vanille Striking Viking. Ingrédients naturels pour une tenue durable, une hydratation et une barbe d'apparence saine.</t>
  </si>
  <si>
    <t xml:space="preserve">https://striking-viking.com/fi/products/charlemagne-round-hair-brush-for-men-professional-styling-brush-for-volume-blow-drying</t>
  </si>
  <si>
    <t xml:space="preserve">Charlemagne by Striking Viking Pyöreä hiusharja. Valmistettu Saksassa salonkitasoiseen volyymiin, muotoon ja hallintaan. Ammattilaistason laatu jokapäiväiseen muotoiluun.</t>
  </si>
  <si>
    <t xml:space="preserve">https://striking-viking.com/sv/pages/write-a-review</t>
  </si>
  <si>
    <t xml:space="preserve">https://striking-viking.com/es/pages/free-moustache-beard-scissors</t>
  </si>
  <si>
    <t xml:space="preserve">https://striking-viking.com/fr/products/beard-butter-blue-ocean</t>
  </si>
  <si>
    <t xml:space="preserve">Beurre à barbe au parfum frais et océanique — une hydratation profonde dans une crème non grasse. Assouplit le poil et la peau en dessous pour réduire les démangeaisons. Soin sans rinçage au quotidien, crème avant-rasage ou crème coiffante. Une hydratation profonde et durable : le beurre de karité, l'huile de coco, le</t>
  </si>
  <si>
    <t xml:space="preserve">https://striking-viking.com/fi/products/striking-viking-beard-balm-variety-4-pack-citrus-vanilla-cedarwood-sandalwood</t>
  </si>
  <si>
    <t xml:space="preserve">Striking Viking Partavoide 4 kpl lajitelmasetti. Luonnolliset ainesosat, helppo levittää, ei jätä rasvaista tunnetta. Pehmentää partaa ja vähentää kutinaa. Ei testattu eläimillä.</t>
  </si>
  <si>
    <t xml:space="preserve">https://striking-viking.com/de/collections/charlemagne</t>
  </si>
  <si>
    <t xml:space="preserve">Entdecke Charlemagne von Striking Viking – Premium-Bart- und Haarpflege in markanten Düften: Tabak &amp; Vanille, Leder &amp; Limette-Minze. Hebe deine Pflegeroutine auf ein neues Level.</t>
  </si>
  <si>
    <t xml:space="preserve">https://striking-viking.com/fr-ca/products/striking-viking-beard-rehab-growth-kit-with-sandalwood-beard-care-derma-roller</t>
  </si>
  <si>
    <t xml:space="preserve">Restaurez et renforcez votre barbe avec le kit de réhabilitation et de pousse de la barbe Striking Viking. Comprend un kit de pousse au santal, un beurre à barbe et un shampooing et après-shampooing à barbe pour un soin complet.</t>
  </si>
  <si>
    <t xml:space="preserve">https://striking-viking.com/fr-ca/products/striking-viking-vanilla-beard-oil-with-natural-organic-oils-for-soft-healthy-beard-care</t>
  </si>
  <si>
    <t xml:space="preserve">Hydratez, adoucissez et nourrissez votre barbe avec l'huile à barbe à la vanille Striking Viking. Aux huiles naturelles pour réduire la sécheresse, les démangeaisons et favoriser une barbe d'apparence saine.</t>
  </si>
  <si>
    <t xml:space="preserve">https://striking-viking.com/fi/products/striking-viking-tea-tree-biotin-beard-wash-cologne-for-clean-fresh-healthy-beard-care</t>
  </si>
  <si>
    <t xml:space="preserve">Partashampoo Köln by Striking Viking tarjoaa täysin luonnollisia ainesosia raikkaalle yrttiselle tuoksulle, raviten ja kosteuttaen partaasi Teepuulla ja Biotinilla.</t>
  </si>
  <si>
    <t xml:space="preserve">Discover the best beard care products for a lustrous, well-groomed beard. Shop top grooming supplies and tools designed for everyday beard management and styling.</t>
  </si>
  <si>
    <t xml:space="preserve">https://striking-viking.com/fi/products/charlemagne-original-hair-pomade-for-men-strong-hold-water-based-styling-pomade-100ml</t>
  </si>
  <si>
    <t xml:space="preserve">Charlemagne Original Hair Pomade by Striking Viking. Valmistettu Saksassa. Klassinen pito ja hillitty kiilto kirsikka-oud-tuoksulla. Täydellinen viimeisteltyihin kampauksiin.</t>
  </si>
  <si>
    <t xml:space="preserve">L’entretien de la barbe va bien au-delà du simple coiffage. Découvrez des produits essentiels comme l’huile et le baume à barbe pour une barbe soignée et stylée.</t>
  </si>
  <si>
    <t xml:space="preserve">https://striking-viking.com/fi/pages/spurit-subscriptions</t>
  </si>
  <si>
    <t xml:space="preserve">It seems that the text you provided consists of HTML tags without any translatable content. If you have specific sentences or phrases that need translation, please provide them, and I will be happy to assist you.</t>
  </si>
  <si>
    <t xml:space="preserve">https://striking-viking.com/sv/products/beard-growth-butter-with-biotin-4-oz-blue-ocean</t>
  </si>
  <si>
    <t xml:space="preserve">https://striking-viking.com/fi/products/beard-growth-balm-with-biotin-2-oz-sandalwood</t>
  </si>
  <si>
    <t xml:space="preserve">https://striking-viking.com/it/blogs/learn/top-10-beard-costumes-for-halloween</t>
  </si>
  <si>
    <t xml:space="preserve">Scopri i migliori costumi con barba per Halloween con la nostra top 10 che presenta personaggi iconici come Vichinghi, Forrest Gump e Maghi. Perfetti per un costume d’impatto e facile!</t>
  </si>
  <si>
    <t xml:space="preserve">https://striking-viking.com/fr-ca/products/striking-viking-biotin-beard-growth-oil-for-men-unscented-beard-growth-serum</t>
  </si>
  <si>
    <t xml:space="preserve">https://striking-viking.com/fr-ca/products/striking-viking-blue-ocean-beard-balm-for-men-natural-beard-balm-with-shea-butter-jojoba</t>
  </si>
  <si>
    <t xml:space="preserve">https://striking-viking.com/fi/blogs/learn/16918829-the-ingredients-and-why-they-matter</t>
  </si>
  <si>
    <t xml:space="preserve">Löydä avainpartaöljyn ainesosat, jotka edistävät terveempää, pehmeämpää partaa. Opi, miksi nämä ainesosat ovat välttämättömiä optimaaliseen partahoidon ja -muotoilun kannalta.</t>
  </si>
  <si>
    <t xml:space="preserve">https://striking-viking.com/es/pages/write-a-review</t>
  </si>
  <si>
    <t xml:space="preserve">https://striking-viking.com/it/products/beard-growth-butter-with-biotin-4-oz-vanilla</t>
  </si>
  <si>
    <t xml:space="preserve">https://striking-viking.com/en-ca/blogs/learn/striking-viking-beard-comb-for-routine-beard-management</t>
  </si>
  <si>
    <t xml:space="preserve">https://striking-viking.com/es/products/round-hair-brush</t>
  </si>
  <si>
    <t xml:space="preserve">Cepillo Redondo para Cabello Striking Viking Negro. Cerdas con punta de bola y mango de goma para un peinado suave y sin enredos. Aporta volumen y forma al cabello de medio a largo.</t>
  </si>
  <si>
    <t xml:space="preserve">https://striking-viking.com/es/products/striking-viking-beard-growth-kit-with-beard-roller-vanilla-unscented-biotin-oils-for-men</t>
  </si>
  <si>
    <t xml:space="preserve">Kit de Crecimiento de Barba Striking Viking con Aceites de Biotina Vainilla y Sin Fragancia + Derma Roller de Titanio. Haz crecer una barba más densa con o sin aroma.</t>
  </si>
  <si>
    <t xml:space="preserve">https://striking-viking.com/fi/products/ontaki-japanese-steel-beard-hair-scissors-5-5-inch-professional-grooming-shears</t>
  </si>
  <si>
    <t xml:space="preserve">ONTAKI 5.5" Parta- ja hiussakset by Striking Viking. Laadukasta japanilaista terästä terävään ja tarkkaan Partan ja viiksien siistimiseen. Saatavilla useissa tyyleissä.</t>
  </si>
  <si>
    <t xml:space="preserve">https://striking-viking.com/es/products/striking-viking-hair-styling-powder-for-men-light-hold-vanilla-natural-volume-texture</t>
  </si>
  <si>
    <t xml:space="preserve">Descubre el Polvo para Peinar con aroma a vainilla que ofrece fijación ligera, volumen natural y estilo sin esfuerzo para hombres. Perfecto para un look fresco y definido cada día.</t>
  </si>
  <si>
    <t xml:space="preserve">https://striking-viking.com/no/products/gift-card-striking-viking</t>
  </si>
  <si>
    <t xml:space="preserve">Usikker på hvilket våpen en viking bør velge? La ham bestemme selv. Striking Viking Gavekort gir tilgang til førsteklasses pleieprodukter for menn—laget med naturlige ingredienser, raffinert design og moderne norrøn styrke. Fra skjeggoljer og balmer til komplette pleiesett, gir dette gavekortet selvtillit, ritual og st</t>
  </si>
  <si>
    <t xml:space="preserve">https://striking-viking.com/de/pages/ilm-form-not-visible</t>
  </si>
  <si>
    <t xml:space="preserve">https://striking-viking.com/fr-ca/products/ontaki-german-steel-beard-mustache-scissors-professional-grooming-kit</t>
  </si>
  <si>
    <t xml:space="preserve">Taillez et mettez en forme vos poils du visage avec les ciseaux à barbe et moustache ONTAKI de 5 pouces en acier allemand. Comprend un peigne à barbe et un étui de voyage pour un soin professionnel, à la maison comme en déplacement.</t>
  </si>
  <si>
    <t xml:space="preserve">https://striking-viking.com/it/products/striking-viking-unscented-beard-butter-for-moisturizing-softening-daily-beard-care</t>
  </si>
  <si>
    <t xml:space="preserve">Beard Butter offre un’idratazione intensa con una formula non grassa, una fragranza duratura e nutrienti essenziali per la salute della barba. Perfetto per le routine di cura.</t>
  </si>
  <si>
    <t xml:space="preserve">Style and detangle with the Charlemagne Carbon Hair Comb. Made from premium carbon fiber with wide and fine teeth for smooth styling, scalp comfort, and everyday grooming.</t>
  </si>
  <si>
    <t xml:space="preserve">https://striking-viking.com/fr-ca/products/striking-viking-unscented-beard-shampoo-conditioner-set-natural-beard-care-for-men</t>
  </si>
  <si>
    <t xml:space="preserve">Nettoyez, hydratez et adoucissez votre barbe avec le shampooing et après-shampooing à barbe sans parfum Striking Viking. Formule sans sulfates ni parabènes pour un soin sain de la barbe.</t>
  </si>
  <si>
    <t xml:space="preserve">https://striking-viking.com/sv/products/charlemagne-carbon-wide-tooth-comb-for-men-heat-resistant-carbon-fiber-hair-comb</t>
  </si>
  <si>
    <t xml:space="preserve">Charlemagne Kolfiber Kam med Breda Tänder från Striking Viking. Tillverkad i Tyskland av professionella barberare för skonsam utredning av tjockt, fuktigt eller svårhanterligt hår.</t>
  </si>
  <si>
    <t xml:space="preserve">https://striking-viking.com/fr-ca/pages/collab</t>
  </si>
  <si>
    <t xml:space="preserve">https://striking-viking.com/it/products/striking-viking-vanilla-beard-butter-for-soft-hydrated-healthy-beard-care-for-men</t>
  </si>
  <si>
    <t xml:space="preserve">Striking Viking Beard Butter Vanilla ammorbidisce e nutre la tua barba con una calda fragranza di vaniglia. Formula completamente naturale e non unta per una barba sana e facile da gestire.</t>
  </si>
  <si>
    <t xml:space="preserve">https://striking-viking.com/en-gb/products/ontaki-duckbill-applique-scissors-4-5-inch-carbon-steel-fabric-thread-cutting-scissors</t>
  </si>
  <si>
    <t xml:space="preserve">Cut fabric and threads with precision using ONTAKI 4.5" Duckbill Applique Scissors. Carbon steel blades with an ergonomic design for quilting, embroidery, sewing, and crafts.</t>
  </si>
  <si>
    <t xml:space="preserve">https://striking-viking.com/fr-ca/products/carbon-hair-comb</t>
  </si>
  <si>
    <t xml:space="preserve">Striking Viking Peigne à Cheveux Carbone Noir. Double face avec dents larges et fines. Antistatique, durable et résistant à la chaleur. Soin de précision pour la maison et le salon de coiffure.</t>
  </si>
  <si>
    <t xml:space="preserve">https://striking-viking.com/de/products/bartbalsam</t>
  </si>
  <si>
    <t xml:space="preserve">Bartbalsam Sandelholz formt, verleiht Glanz und macht Ihren Bart geschmeidig. Er verwendet ausschließlich natürliche Inhaltsstoffe. Freuen Sie sich über einen gesunden, vollen Bart mit feuchtigkeitsspendenden Eigenschaften.</t>
  </si>
  <si>
    <t xml:space="preserve">https://striking-viking.com/en-ca/blogs/learn/41234689-brian-wilson</t>
  </si>
  <si>
    <t xml:space="preserve">https://striking-viking.com/fr/products/striking-viking-unscented-after-shave-balm-for-men-soothing-hydration-skin-care</t>
  </si>
  <si>
    <t xml:space="preserve">Apaisez et hydratez votre peau après le rasage avec le baume après-rasage sans parfum Striking Viking. Formule sans parfum pour peaux sensibles et entretien quotidien.</t>
  </si>
  <si>
    <t xml:space="preserve">https://striking-viking.com/es/products/ontaki-beard-mustache-scissors-with-finger-rest-5-inch-german-steel-grooming-kit</t>
  </si>
  <si>
    <t xml:space="preserve">Tijeras para barba y bigote ONTAKI de 5" con apoyo para los dedos de Striking Viking. Acero alemán para un recorte preciso y cómodo. Perfectas para el cuidado detallado.</t>
  </si>
  <si>
    <t xml:space="preserve">https://striking-viking.com/de/products/beard-growth-butter-with-biotin-4-oz-blue-ocean</t>
  </si>
  <si>
    <t xml:space="preserve">https://striking-viking.com/fi/blogs/learn/essential-grooming-supplies-for-the-bearded-man</t>
  </si>
  <si>
    <t xml:space="preserve">Löydä parhaat partahoidon tuotteet kiiltävälle, hyvin hoidettulle parralle. Osta huipputason hoitotarvikkeita ja työkaluja, jotka on suunniteltu päivittäiseen parranhoitoon ja muotoiluun.</t>
  </si>
  <si>
    <t xml:space="preserve">https://striking-viking.com/en-ca/products/charlemagne-round-hair-brush-for-men-professional-styling-brush-for-volume-blow-drying</t>
  </si>
  <si>
    <t xml:space="preserve">Create volume and smooth styling with the Charlemagne Round Hair Brush. Features ball-tipped bristles, a rubber grip, and a lightweight design for effortless blow-drying and everyday grooming.</t>
  </si>
  <si>
    <t xml:space="preserve">https://striking-viking.com/no/blogs/learn/beard-grooming-tools-for-professional-styling-at-home</t>
  </si>
  <si>
    <t xml:space="preserve">Oppdag førsteklasses skjeggpleieverktøy for å oppnå profesjonell styling hjemme. Handle vårt skjeggpleiesett, sakser, børster og tilbehør i dag. Perfekt for pleie i toppklasse.</t>
  </si>
  <si>
    <t xml:space="preserve">https://striking-viking.com/fi/products/gift-card-striking-viking</t>
  </si>
  <si>
    <t xml:space="preserve">Etkö ole varma, mitä asetta viikingin tulisi käyttää? Anna hänen valita omansa. Striking Viking -lahjakortti avaa ensiluokkaiset miesten hoitotuotteet – luonnollisista ainesosista valmistettuja, hienostuneella muotoilulla ja modernilla pohjoismaisella vahvuudella varustettuja. Partaöljyistä ja -balsameista täydellisiin</t>
  </si>
  <si>
    <t xml:space="preserve">https://striking-viking.com/de/products/bartol-sandelholz</t>
  </si>
  <si>
    <t xml:space="preserve">Bartöl Sandelholz macht den Bart weich, pflegt ihn und fördert das Bartwachstum. Handgefertigt aus Bio-Zutaten bändigt es widerspenstiges Haar und sorgt für einen glänzenden, juckfreien Bart.</t>
  </si>
  <si>
    <t xml:space="preserve">https://striking-viking.com/es/products/ontaki-japanese-steel-beard-mustache-scissors-5-5-inch-professional-grooming-kit</t>
  </si>
  <si>
    <t xml:space="preserve">Tijeras para barba y bigote ONTAKI 5.5" de Striking Viking. Acero japonés para uso con la mano izquierda o derecha. Resultados de cuidado precisos y cómodos en cada uso.</t>
  </si>
  <si>
    <t xml:space="preserve">https://striking-viking.com/fr-ca/products/striking-viking-beard-growth-oil-with-biotin-sandalwood</t>
  </si>
  <si>
    <t xml:space="preserve">L'huile de pousse pour barbe à la biotine et au santal Striking Viking nourrit et soigne les poils du visage tout en hydratant la peau pour une barbe plus fournie et d'apparence plus saine.</t>
  </si>
  <si>
    <t xml:space="preserve">https://striking-viking.com/sv/pages/ilm-2025-sign-up</t>
  </si>
  <si>
    <t xml:space="preserve">https://striking-viking.com/it/products/striking-viking-vanilla-beard-balm-2-pack-with-natural-organic-ingredients-for-beard-styling</t>
  </si>
  <si>
    <t xml:space="preserve">Striking Viking Balsamo per Barba alla Vaniglia Confezione da 2. Formula naturale e biologica che ammorbidisce la barba e riduce il prurito. Burro di karité, cera d’api e olio di argan. Senza crudeltà.</t>
  </si>
  <si>
    <t xml:space="preserve">https://striking-viking.com/fi/pages/free-moustache-beard-scissors</t>
  </si>
  <si>
    <t xml:space="preserve">https://striking-viking.com/no/products/carbon-hair-comb</t>
  </si>
  <si>
    <t xml:space="preserve">Striking Viking Karbon Hårkam Svart. Dobbeltsidig med brede og fine tenner. Antistatisk, slitesterk og varmebestandig. Presisjonspleie for hjemmet og barbersalongen.</t>
  </si>
  <si>
    <t xml:space="preserve">https://striking-viking.com/it/products/striking-viking-unscented-shaving-cream-for-men-rich-lather-for-a-smooth-comfortable-shave</t>
  </si>
  <si>
    <t xml:space="preserve">Striking Viking Crema da Barba Senza Profumo. Formula senza fragranze per pelli sensibili. Idrata, protegge e lenisce per una rasatura liscia e senza irritazioni.</t>
  </si>
  <si>
    <t xml:space="preserve">https://striking-viking.com/de/products/bartwasche-pfefferminze</t>
  </si>
  <si>
    <t xml:space="preserve">Peppermint &amp; Eucalyptus Bart Shampoo von Striking Viking. Natürliche Reinigung revitalisiert und säubert das Barthaar. Hält den Bart gesund, gepflegt und frisch duftend.</t>
  </si>
  <si>
    <t xml:space="preserve">https://striking-viking.com/fr/products/striking-viking-unscented-shaving-cream-for-men-rich-lather-for-a-smooth-comfortable-shave</t>
  </si>
  <si>
    <t xml:space="preserve">Profitez d'un rasage doux et sans irritation avec la crème à raser sans parfum Striking Viking. Mousse riche, formule sans parfum, idéale pour les peaux sensibles.</t>
  </si>
  <si>
    <t xml:space="preserve">https://striking-viking.com/de/products/bartwaschmittel</t>
  </si>
  <si>
    <t xml:space="preserve">Beard Wash Cologne von Striking Viking bietet rein natürliche Inhaltsstoffe für einen frischen Kräuterduft und pflegt und hydratisiert Ihren Bart mit Teebaum und Biotin.</t>
  </si>
  <si>
    <t xml:space="preserve">https://striking-viking.com/fi/products/beard-growth-butter-with-biotin-4-oz-sandalwood</t>
  </si>
  <si>
    <t xml:space="preserve">https://striking-viking.com/es/products/striking-viking-beard-growth-oil-with-biotin-sandalwood</t>
  </si>
  <si>
    <t xml:space="preserve">Aceite para Crecimiento de Barba con Sándalo y Biotina de Striking Viking. La biotina y el aceite de ricino promueven un crecimiento de barba más denso y grueso. Nutre y acondiciona para un vello facial saludable.</t>
  </si>
  <si>
    <t xml:space="preserve">https://striking-viking.com/es/products/ontaki-curved-fabric-scissors-6-5-inch-german-stainless-steel-embroidery-scissors</t>
  </si>
  <si>
    <t xml:space="preserve">Mejora tus proyectos de costura con las Tijeras de Tela Curvas ONTAKI, fabricadas en acero inoxidable alemán para cortes precisos y afilados como una navaja. Perfectas para profesionales y aficionados.</t>
  </si>
  <si>
    <t xml:space="preserve">https://striking-viking.com/fr-ca/products/ontaki-japanese-steel-beard-hair-scissors-5-5-inch-professional-grooming-shears</t>
  </si>
  <si>
    <t xml:space="preserve">Taillez barbe, moustache et cheveux avec les ciseaux en acier japonais ONTAKI de 5,5 pouces. Lames convexes de précision, manche ergonomique et performances de qualité professionnelle.</t>
  </si>
  <si>
    <t xml:space="preserve">https://striking-viking.com/fi/blogs/learn/what-is-movember-unveiling-the-significance-behind-the-month-of-facial-fuzz</t>
  </si>
  <si>
    <t xml:space="preserve">Tutustu kasvojen karvoitukseen Movemberissa, kuukaudessa, joka on omistettu miesten terveysasioiden esille tuomiselle ja tämän maailmanlaajuisen liikkeen vaikutuksen korostamiselle.</t>
  </si>
  <si>
    <t xml:space="preserve">https://striking-viking.com/en-ca/blogs/learn/scented-beard-oil-by-striking-viking</t>
  </si>
  <si>
    <t xml:space="preserve">https://striking-viking.com/en-ca/products/charlemagne-original-hair-pomade-for-men-strong-hold-water-based-styling-pomade-100ml</t>
  </si>
  <si>
    <t xml:space="preserve">https://striking-viking.com/it/products/charlemagne-carbon-hair-comb-for-men-professional-heat-resistant-styling-detangling-comb</t>
  </si>
  <si>
    <t xml:space="preserve">Charlemagne Carbon Pettine per Capelli di Striking Viking. Realizzato a mano in Germania – doppia dentatura larga e fine per modellare, districare e stimolare il cuoio capelluto.</t>
  </si>
  <si>
    <t xml:space="preserve">https://striking-viking.com/es/products/striking-viking-folding-wooden-beard-comb-for-men-anti-static-sandalwood-grooming-comb</t>
  </si>
  <si>
    <t xml:space="preserve">Peine de madera plegable Striking Viking para hombres. Sándalo antiestático, diseño de doble cara para el cuidado de la barba y el cabello. Portátil, pulido a mano y listo para viajar.</t>
  </si>
  <si>
    <t xml:space="preserve">https://striking-viking.com/it/collections/featured-products</t>
  </si>
  <si>
    <t xml:space="preserve">Scopri un'ampia selezione di prodotti in evidenza, realizzati per adattarsi al tuo stile unico. Acquista oggi i nostri prodotti in evidenza per qualità e varietà su cui puoi contare.</t>
  </si>
  <si>
    <t xml:space="preserve">https://striking-viking.com/no/products/beard-growth-butter-with-biotin-4-oz-sandalwood</t>
  </si>
  <si>
    <t xml:space="preserve">https://striking-viking.com/no/products/beard-butter-bergamot-thunder</t>
  </si>
  <si>
    <t xml:space="preserve">https://striking-viking.com/fr/collections/new-in-oils-balms</t>
  </si>
  <si>
    <t xml:space="preserve">Découvrez les huiles et baumes à barbe Striking Viking pour nourrir et styliser. Des formules naturelles qui adoucissent, hydratent et soutiennent un entretien quotidien sain.</t>
  </si>
  <si>
    <t xml:space="preserve">https://striking-viking.com/it/products/striking-viking-citrus-beard-oil</t>
  </si>
  <si>
    <t xml:space="preserve">Beard Oil Citrus ammorbidisce la tua barba, ripristina l’idratazione e favorisce la crescita. Realizzato artigianalmente con ingredienti biologici, doma i peli ribelli e riduce il prurito.</t>
  </si>
  <si>
    <t xml:space="preserve">https://striking-viking.com/it/products/striking-viking-sandalwood-beard-growth-bundle-with-titanium-derma-roller-beard-growth-serum</t>
  </si>
  <si>
    <t xml:space="preserve">Striking Viking Set Crescita Barba al Sandalo con Siero Attivatore dei Follicoli e Rullo Derma in Titanio. 540 aghi per una crescita della barba più folta e densa.</t>
  </si>
  <si>
    <t xml:space="preserve">https://striking-viking.com/fr-ca/collections/new-in-oils-balms</t>
  </si>
  <si>
    <t xml:space="preserve">https://striking-viking.com/es/products/striking-viking-cedarwood-beard-balm</t>
  </si>
  <si>
    <t xml:space="preserve">Bálsamo para barba de cedro de Striking Viking. Cera de abejas, manteca de karité y aceite de argán suavizan, estilizan y doman tu barba de forma natural. Orgánico, libre de crueldad y sin parabenos.</t>
  </si>
  <si>
    <t xml:space="preserve">https://striking-viking.com/it/products/striking-viking-cedarwood-beard-balm</t>
  </si>
  <si>
    <t xml:space="preserve">Balsamo per barba al legno di cedro di Striking Viking. Cera d’api, burro di karité e olio di argan ammorbidiscono, modellano e domano la tua barba in modo naturale. Biologico, cruelty-free e senza parabeni.</t>
  </si>
  <si>
    <t xml:space="preserve">https://striking-viking.com/fr/products/striking-viking-hybrid-beard-growth-bundle-with-sandalwood-unscented-beard-oils-and-derma-roller</t>
  </si>
  <si>
    <t xml:space="preserve">Obtenez une barbe d'apparence plus fournie avec le coffret hybride pousse de la barbe Striking Viking. Comprend des huiles à barbe santal et sans parfum et un derma roller haut de gamme.</t>
  </si>
  <si>
    <t xml:space="preserve">https://striking-viking.com/es/products/striking-viking-beard-filler-pencil-with-dual-tip-pen-brush-for-natural-beard-styling</t>
  </si>
  <si>
    <t xml:space="preserve">Rellena parches en la barba y define las líneas en segundos con el Striking Viking Dual Tip Beard Filler Pen. Resistente al agua, disponible en 5 tonos, incluye punta de lápiz y cepillo.</t>
  </si>
  <si>
    <t xml:space="preserve">https://striking-viking.com/en-ca/products/ontaki-japanese-steel-rounded-tip-beard-mustache-scissors-4-2-inch-grooming-kit</t>
  </si>
  <si>
    <t xml:space="preserve">https://striking-viking.com/fi/products/striking-viking-citrus-beard-balm</t>
  </si>
  <si>
    <t xml:space="preserve">Citrus Partavoide by Striking Viking. Luonnollinen mehiläisvaha, sheavoi ja arganöljy pehmentävät, muotoilevat ja tuovat kiiltoa partaasi. Luomu ja eläinkokeeton koostumus.</t>
  </si>
  <si>
    <t xml:space="preserve">https://striking-viking.com/fi/products/striking-viking-unscented-beard-oil-natural-organic-beard-care</t>
  </si>
  <si>
    <t xml:space="preserve">Partaöljy (hajusteeton) terveelle kiillolle, vahvalle kasvulle ja vahvoille säikeille. Nauti kylpylähoidosta ja ammattimaisesta parturinhoidosta kotisi mukavuudessa.</t>
  </si>
  <si>
    <t xml:space="preserve">https://striking-viking.com/it/products/striking-viking-unscented-beard-oil-and-balm-kit-natural-beard-grooming-set-for-men</t>
  </si>
  <si>
    <t xml:space="preserve">Set Olio &amp; Balsamo Barba Striking Viking Senza Profumo. Idrata, ammorbidisce e modella la tua barba con ingredienti naturali. Senza fragranze, ideale per pelli sensibili.</t>
  </si>
  <si>
    <t xml:space="preserve">https://striking-viking.com/fi/products/striking-viking-vanilla-beard-butter-for-soft-hydrated-healthy-beard-care-for-men</t>
  </si>
  <si>
    <t xml:space="preserve">Striking Viking Partavoide Vanilla pehmentää ja ravitsee partaasi lämpimällä vaniljan tuoksulla. Ei-rasvainen, täysin luonnollinen koostumus terveelle ja helposti hallittavalle parralle.</t>
  </si>
  <si>
    <t xml:space="preserve">https://striking-viking.com/fr-ca/products/ontaki-hair-thinning-shears-kit-7-inch-professional-hair-cutting-texturizing-set</t>
  </si>
  <si>
    <t xml:space="preserve">Réalisez des coupes dignes d'un salon avec le kit de ciseaux à effiler ONTAKI de 7 pouces. Comprend ciseaux à effiler, ciseaux de coupe, ciseaux à texturiser, peigne rasoir et peignes de coiffage.</t>
  </si>
  <si>
    <t xml:space="preserve">https://striking-viking.com/sv/products/striking-viking-sandalwood-after-shave-balm-for-men-soothing-hydration-skin-care</t>
  </si>
  <si>
    <t xml:space="preserve">Striking Viking After Shave Balm med sandelträ. Lugnar och återfuktar huden efter rakning med en maskulin doft av sandelträ. Alkoholfri och passar alla hudtyper.</t>
  </si>
  <si>
    <t xml:space="preserve">https://striking-viking.com/fr/products/striking-viking-beard-and-mustache-scissors-kit-for-men</t>
  </si>
  <si>
    <t xml:space="preserve">Kit ciseaux à barbe et moustache Striking Viking pour homme, ciseaux en acier inoxydable bien aiguisés et mini peigne pour tailler, mettre en forme et soigner avec précision.</t>
  </si>
  <si>
    <t xml:space="preserve">https://striking-viking.com/de/products/striking-viking-beard-rehab-growth-kit-with-sandalwood-beard-care-derma-roller</t>
  </si>
  <si>
    <t xml:space="preserve">Striking Viking Bart Rehab &amp; Growth Kit in Sandelholz. Entwickelt, um deinen Bart mit täglicher Feuchtigkeitspflege und gründlicher Reinigung zu reparieren, wachsen zu lassen und zu verbessern. Komplettes Set.</t>
  </si>
  <si>
    <t xml:space="preserve">https://striking-viking.com/fi/products/striking-viking-beard-oil-variety-4-pack-citrus-vanilla-cedarwood-sandalwood</t>
  </si>
  <si>
    <t xml:space="preserve">Kokeile neljää Striking Viking Partaöljy -tuoksua yhdessä setissä. Luonnonmukainen koostumus pehmentää, kosteuttaa ja edistää terveen parran kasvua. Täydellinen lahja miehen parranhoitoon.</t>
  </si>
  <si>
    <t xml:space="preserve">https://striking-viking.com/fi/products/charlemagne-carbon-wide-tooth-comb-for-men-heat-resistant-carbon-fiber-hair-comb</t>
  </si>
  <si>
    <t xml:space="preserve">Charlemagne Carbon Wide-Tooth Comb by Striking Viking. Valmistettu Saksassa ammattipartureiden toimesta hellävaraiseen paksun, kostean tai vaikeasti hallittavan hiuksen selvittämiseen.</t>
  </si>
  <si>
    <t xml:space="preserve">https://striking-viking.com/it/products/striking-viking-vanilla-pre-shave-oil-for-men-smooth-razor-glide-skin-protection</t>
  </si>
  <si>
    <t xml:space="preserve">Striking Viking Olio Pre Barba alla Vaniglia. Rasatura impeccabile e scorrevole con una calda fragranza di vaniglia. Idrata e nutre la pelle per un rituale di cura più sano.</t>
  </si>
  <si>
    <t xml:space="preserve">https://striking-viking.com/es/products/striking-viking-sandalwood-beard-oil-balm-kit-for-soft-healthy-beard-care-for-men</t>
  </si>
  <si>
    <t xml:space="preserve">Set de Aceite y Bálsamo para Barba Striking Viking en Sándalo. Hidrata, suaviza y da estilo a tu barba con ingredientes naturales. El dúo perfecto de cuidado masculino.</t>
  </si>
  <si>
    <t xml:space="preserve">Découvrez les meilleurs conseils et des produits naturels pour l’entretien de la barbe Striking Viking. Obtenez un look propre et soigné grâce à nos essentiels experts pour l’entretien de la barbe masculine.</t>
  </si>
  <si>
    <t xml:space="preserve">https://striking-viking.com/de/blogs/learn/essential-grooming-supplies-for-the-bearded-man</t>
  </si>
  <si>
    <t xml:space="preserve">Entdecken Sie die besten Bartpflegeprodukte für einen glänzenden, gepflegten Bart. Kaufen Sie erstklassige Pflegeprodukte und Werkzeuge für die tägliche Bartpflege und das Bartstyling.</t>
  </si>
  <si>
    <t xml:space="preserve">https://striking-viking.com/no/collections/striking-deals</t>
  </si>
  <si>
    <t xml:space="preserve">Handle Striking Deals hos Striking Viking. Spar på skjeggoljer, balmer, pleieverktøy og styling-essensielle produkter laget for daglig komfort og selvsikker stil.</t>
  </si>
  <si>
    <t xml:space="preserve">https://striking-viking.com/it/products/charlemagne-round-hair-brush-for-men-professional-styling-brush-for-volume-blow-drying</t>
  </si>
  <si>
    <t xml:space="preserve">Charlemagne di Striking Viking Spazzola Rotonda per Capelli. Realizzata in Germania per volume, forma e controllo da salone. Standard professionali per lo styling quotidiano.</t>
  </si>
  <si>
    <t xml:space="preserve">https://striking-viking.com/es/products/sandalwood-wooden-beard-comb-black-striking-viking</t>
  </si>
  <si>
    <t xml:space="preserve">Striking Viking Peine para Barba de Madera de Sándalo Negro. Minimiza la rotura y la estática con su diseño de doble cara. Perfecto para dar forma y cuidar tu barba a diario.</t>
  </si>
  <si>
    <t xml:space="preserve">https://striking-viking.com/sv/products/striking-viking-beard-shampoo-with-natural-peppermint-eucalyptus-for-refreshing-beard-care</t>
  </si>
  <si>
    <t xml:space="preserve">Peppermint &amp; Eucalyptus Skäggschampo från Striking Viking. Naturlig tvätt som återupplivar och rengör skägghår. Håller skägget friskt, näringsrikt och fräscht doftande.</t>
  </si>
  <si>
    <t xml:space="preserve">https://striking-viking.com/it/blogs/learn/46928577-tips-to-protect-your-beard-from-the-cold</t>
  </si>
  <si>
    <t xml:space="preserve">Scopri i consigli essenziali per la cura della barba per proteggerla dal freddo. Impara come mantenere la tua barba sana, idratata e alla moda durante l'inverno.</t>
  </si>
  <si>
    <t xml:space="preserve">https://striking-viking.com/fr/blogs/learn/elevate-your-look-pomade</t>
  </si>
  <si>
    <t xml:space="preserve">Découvrez la Pommade Mate de Striking Viking pour une finition propre et naturelle. Nourrissez et coiffez vos cheveux sans effort grâce à cette formule à base d’eau, facile à rincer.</t>
  </si>
  <si>
    <t xml:space="preserve">https://striking-viking.com/sv/pages/striking-viking-affiliate-program</t>
  </si>
  <si>
    <t xml:space="preserve">Striking Viking affiliateprogram är ett sätt för kreatörer att tjäna provision på försäljning genom att hänvisa kunder till webbplatsen med unika länkar, gå med idag!</t>
  </si>
  <si>
    <t xml:space="preserve">https://striking-viking.com/de/collections/featured-products</t>
  </si>
  <si>
    <t xml:space="preserve">Entdecken Sie eine große Auswahl an Produkten, die genau zu Ihrem individuellen Stil passen. Kaufen Sie noch heute unsere Produkte und profitieren Sie von der Qualität und Vielfalt, der Sie vertrauen können.</t>
  </si>
  <si>
    <t xml:space="preserve">https://striking-viking.com/fr-ca/products/striking-viking-boar-bristle-beard-brush-for-men-natural-beech-wood-grooming-brush</t>
  </si>
  <si>
    <t xml:space="preserve">https://striking-viking.com/no/products/2x-mustache-wax-comb-set-sandalwood</t>
  </si>
  <si>
    <t xml:space="preserve">https://striking-viking.com/fr/pages/free-moustache-beard-scissors</t>
  </si>
  <si>
    <t xml:space="preserve">https://striking-viking.com/es/products/striking-viking-beard-oil-variety-4-pack-citrus-vanilla-cedarwood-sandalwood</t>
  </si>
  <si>
    <t xml:space="preserve">Prueba 4 aromas de Striking Viking Beard Oil en un solo set. Fórmula orgánica que suaviza, hidrata y promueve el crecimiento saludable de la barba. El regalo de cuidado personal perfecto para hombres.</t>
  </si>
  <si>
    <t xml:space="preserve">https://striking-viking.com/de/pages/ilm-2025-sign-up</t>
  </si>
  <si>
    <t xml:space="preserve">https://striking-viking.com/fi/products/striking-viking-sandalwood-beard-shampoo-for-clean-healthy-soft-beard-care-for-men</t>
  </si>
  <si>
    <t xml:space="preserve">Striking Vikingin santelipuu Parta-shampoo. Luonnollinen koostumus puhdistaa, pehmentää ja hoitaa partakarvat. Nauti lämpimästä santelipuun tuoksusta jokaisella pesulla.</t>
  </si>
  <si>
    <t xml:space="preserve">https://striking-viking.com/it/blogs/learn/16918829-the-ingredients-and-why-they-matter</t>
  </si>
  <si>
    <t xml:space="preserve">Scopri gli ingredienti chiave dell’olio da barba che contribuiscono a una barba più sana e morbida. Scopri perché questi ingredienti sono essenziali per una cura e una manutenzione ottimali della barba.</t>
  </si>
  <si>
    <t xml:space="preserve">https://striking-viking.com/it/blogs/learn/beard-grooming-tools-for-professional-styling-at-home</t>
  </si>
  <si>
    <t xml:space="preserve">Scopri strumenti premium per la cura della barba per ottenere uno styling professionale a casa. Acquista oggi il nostro kit per la cura della barba, forbici, spazzole e accessori. Perfetto per un'eccellenza nella cura della barba.</t>
  </si>
  <si>
    <t xml:space="preserve">https://striking-viking.com/sv/blogs/learn/top-10-beard-costumes-for-halloween</t>
  </si>
  <si>
    <t xml:space="preserve">Upptäck de bästa skäggkostymerna för Halloween med vår topp 10-lista som innehåller ikoniska karaktärer som vikingar, Forrest Gump och trollkarlar. Perfekt för en slående, enkel kostym!</t>
  </si>
  <si>
    <t xml:space="preserve">https://striking-viking.com/fr-ca/products/striking-viking-tea-tree-biotin-beard-shampoo-conditioner-set-for-healthy-beard-care</t>
  </si>
  <si>
    <t xml:space="preserve">Entdecke erstklassige Pflegeprodukte, damit dein Bart stilvoll aussieht und frei von abstehenden Haaren bleibt. Hebe deine Pflegeroutine noch heute auf ein neues Level!</t>
  </si>
  <si>
    <t xml:space="preserve">https://striking-viking.com/en-gb/products/ontaki-facial-hair-grooming-scissors-2-pack-precision-beard-nose-mustache-trimming</t>
  </si>
  <si>
    <t xml:space="preserve">https://striking-viking.com/es/products/striking-viking-boar-bristle-beard-brush-for-men-natural-beech-wood-grooming-brush</t>
  </si>
  <si>
    <t xml:space="preserve">Cepillo para barba de cerdas de jabalí Striking Viking con mango de madera de haya. Domina, suaviza y da brillo a tu barba. Cerdas naturales para un aspecto pulido y saludable.</t>
  </si>
  <si>
    <t xml:space="preserve">https://striking-viking.com/fr-ca/products/striking-viking-unscented-shaving-cream-for-men-rich-lather-for-a-smooth-comfortable-shave</t>
  </si>
  <si>
    <t xml:space="preserve">https://striking-viking.com/it/products/charlemagne-original-hair-pomade-for-men-strong-hold-water-based-styling-pomade-100ml</t>
  </si>
  <si>
    <t xml:space="preserve">Charlemagne Original Hair Pomade di Striking Viking. Prodotta in Germania. Tenuta classica e lucentezza discreta con profumo di ciliegia e oud. Perfetta per acconciature curate.</t>
  </si>
  <si>
    <t xml:space="preserve">https://striking-viking.com/fr-ca/blogs/learn/top-10-beard-costumes-for-halloween</t>
  </si>
  <si>
    <t xml:space="preserve">Découvrez les meilleurs costumes à barbe pour Halloween avec notre top 10 mettant en vedette des personnages emblématiques comme les Vikings, Forrest Gump et les Sorciers. Parfait pour un costume saisissant et facile !</t>
  </si>
  <si>
    <t xml:space="preserve">https://striking-viking.com/de/products/ontaki-japanese-steel-beard-hair-scissors-5-5-inch-professional-grooming-shears</t>
  </si>
  <si>
    <t xml:space="preserve">ONTAKI 5,5" Bart- &amp; Haarschere von Striking Viking. Premium-Japanstahl für scharfes, präzises Bart- und Schnurrbartschneiden. In mehreren Ausführungen erhältlich.</t>
  </si>
  <si>
    <t xml:space="preserve">https://striking-viking.com/de/blogs/learn/elevate-your-look-pomade</t>
  </si>
  <si>
    <t xml:space="preserve">Entdecke die Matte Pomade von Striking Viking für ein sauberes, natürliches Finish. Pflege und style dein Haar mühelos mit dieser leicht auswaschbaren, wasserbasierten Formel.</t>
  </si>
  <si>
    <t xml:space="preserve">https://striking-viking.com/de/products/carbon-wide-tooth-comb</t>
  </si>
  <si>
    <t xml:space="preserve">Striking Viking Carbon Kamm mit breiten Zähnen Schwarz. Antistatisches, hitzebeständiges Design zum Entwirren von dickem, lockigem oder feuchtem Haar. Leicht &amp; langlebig.</t>
  </si>
  <si>
    <t xml:space="preserve">https://striking-viking.com/fr/pages/special-discount</t>
  </si>
  <si>
    <t xml:space="preserve">Bienvenue sur notre page de remise spéciale ! Merci d'avoir scanné le code QR sur l'emballage de votre produit et de nous avoir rejoints ici. En gage de notre reconnaissance, nous sommes ravis de vous offrir un code de réduction exclusif à utiliser lors de votre prochain achat. Profitez d'une généreuse remise de 15 % s</t>
  </si>
  <si>
    <t xml:space="preserve">https://striking-viking.com/fr-ca/collections/trending-now</t>
  </si>
  <si>
    <t xml:space="preserve">https://striking-viking.com/fi/products/striking-viking-bergamot-thunder-beard-oil-for-men-natural-beard-growth-oil-with-argan-jojoba</t>
  </si>
  <si>
    <t xml:space="preserve">Tutustu Partaöljyn - Bergamot Thunder - hyötyihin, joka on valmistettu täysin luonnollisista ainesosista edistämään parran kasvua, vähentämään ärsytystä ja lisäämään kiiltoa. Tilaa jo tänään!</t>
  </si>
  <si>
    <t xml:space="preserve">https://striking-viking.com/en-ca/blogs/learn/16918829-the-ingredients-and-why-they-matter</t>
  </si>
  <si>
    <t xml:space="preserve">https://striking-viking.com/de/blogs/learn/striking-viking-beard-comb-for-routine-beard-management</t>
  </si>
  <si>
    <t xml:space="preserve">Entdecken Sie den Striking Viking Bartkamm für die regelmäßige Bartpflege. Perfekt für alle Barttypen, hypoallergen, stylisch und tragbar für Ihre Pflegebedürfnisse.</t>
  </si>
  <si>
    <t xml:space="preserve">https://striking-viking.com/es/blogs/learn/41234689-brian-wilson</t>
  </si>
  <si>
    <t xml:space="preserve">Descubre a Brian Wilson, un lanzador relevista profesional de béisbol y ganador del premio Barba de la Semana, conocido por su barba destacada. Conoce su estilo, logros y estadísticas únicas de su barba.</t>
  </si>
  <si>
    <t xml:space="preserve">https://striking-viking.com/fr/products/beard-growth-butter-with-biotin-4-oz-sandalwood</t>
  </si>
  <si>
    <t xml:space="preserve">Ce beurre à barbe pour la pousse à la biotine est formulé pour favoriser un poil d'apparence plus forte et améliorer l'aspect général de la barbe. Il apporte une hydratation profonde au poil comme à la peau en dessous, aidant à réduire l'aspect de sécheresse et les zones clairsemées. Sa formule non grasse à absorption</t>
  </si>
  <si>
    <t xml:space="preserve">https://striking-viking.com/no/blogs/learn/41234689-brian-wilson</t>
  </si>
  <si>
    <t xml:space="preserve">Oppdag Brian Wilson, en profesjonell baseball-relieffpitcher og Vinner av Ukens Skjegg med et imponerende skjegg. Lær om hans stil, prestasjoner og unike skjeggstatistikk.</t>
  </si>
  <si>
    <t xml:space="preserve">https://striking-viking.com/fr/products/striking-viking-citrus-beard-balm</t>
  </si>
  <si>
    <t xml:space="preserve">Le baume à barbe aux agrumes Striking Viking adoucit, soigne, hydrate et coiffe barbe et moustache grâce à des ingrédients naturels et un parfum orange rafraîchissant.</t>
  </si>
  <si>
    <t xml:space="preserve">https://striking-viking.com/fr/collections/last-chance-bogo-free</t>
  </si>
  <si>
    <t xml:space="preserve">https://striking-viking.com/es/products/striking-viking-cedarwood-beard-oil</t>
  </si>
  <si>
    <t xml:space="preserve">Aceite para barba de cedro de Striking Viking. Aceites orgánicos de argán, jojoba y cedro que favorecen el crecimiento de la barba, reducen la picazón y aportan brillo natural. Fórmula libre de crueldad.</t>
  </si>
  <si>
    <t xml:space="preserve">https://striking-viking.com/it/collections/new-in-oils-balms</t>
  </si>
  <si>
    <t xml:space="preserve">Esplora gli oli e i balsami per barba Striking Viking per nutrimento e styling. Formule naturali che ammorbidiscono, idratano e supportano una cura quotidiana sana.</t>
  </si>
  <si>
    <t xml:space="preserve">https://striking-viking.com/fr/products/ontaki-facial-hair-grooming-scissors-2-pack-precision-beard-nose-mustache-trimming</t>
  </si>
  <si>
    <t xml:space="preserve">Taillez barbe, moustache, sourcils, poils du nez et des oreilles avec les ciseaux de soin des poils du visage ONTAKI. Comprend des ciseaux à pointe courbée et à bouts arrondis de sécurité pour un soin précis.</t>
  </si>
  <si>
    <t xml:space="preserve">https://striking-viking.com/de/products/bartbalsam-zedernholz</t>
  </si>
  <si>
    <t xml:space="preserve">Cedarwood Bartbalsam von Striking Viking. Bienenwachs, Sheabutter und Arganöl machen deinen Bart auf natürliche Weise weich, formbar und zähmbar. Bio, tierversuchsfrei und ohne Parabene.</t>
  </si>
  <si>
    <t xml:space="preserve">https://striking-viking.com/fr-ca/products/striking-viking-hair-styling-powder-for-men-strong-hold-vanilla-volume-texture</t>
  </si>
  <si>
    <t xml:space="preserve">Créez un volume et une texture longue durée avec la poudre coiffante tenue forte Striking Viking. Formule légère au frais parfum vanille pour tous les types de cheveux.</t>
  </si>
  <si>
    <t xml:space="preserve">https://striking-viking.com/fi/products/striking-viking-blue-ocean-beard-balm-for-men-natural-beard-balm-with-shea-butter-jojoba</t>
  </si>
  <si>
    <t xml:space="preserve">Blue Ocean Partavoide by Striking Viking. Luonnollinen mehiläisvaha, sheavoi ja arganöljy pehmentävät ja muotoilevat partaasi. Raikas merellinen tuoksu. Ei eläinkokeita.</t>
  </si>
  <si>
    <t xml:space="preserve">https://striking-viking.com/de/products/round-hair-brush</t>
  </si>
  <si>
    <t xml:space="preserve">Striking Viking Rundhaarbürste Schwarz. Kugelspitzen-Borsten mit Gummigriff für glattes, verknotungsfreies Styling. Verleiht Volumen und Form für mittellanges bis langes Haar.</t>
  </si>
  <si>
    <t xml:space="preserve">https://striking-viking.com/fr/pages/ilm2025</t>
  </si>
  <si>
    <t xml:space="preserve">https://striking-viking.com/fr/collections/striking-deals</t>
  </si>
  <si>
    <t xml:space="preserve">Profitez des offres exceptionnelles chez Striking Viking. Économisez sur les huiles à barbe, les baumes, les outils de soin et les essentiels de coiffage conçus pour un confort quotidien et un style assuré.</t>
  </si>
  <si>
    <t xml:space="preserve">https://striking-viking.com/es/products/beard-growth-balm-with-biotin-2-oz-vanilla</t>
  </si>
  <si>
    <t xml:space="preserve">https://striking-viking.com/it/products/carbon-hair-comb</t>
  </si>
  <si>
    <t xml:space="preserve">Striking Viking Pettine per Capelli in Carbonio Nero. Doppio lato con denti larghi e fini. Antistatico, resistente e termoresistente. Cura di precisione per casa e barberia.</t>
  </si>
  <si>
    <t xml:space="preserve">https://striking-viking.com/fr-ca/blogs/learn/46928577-tips-to-protect-your-beard-from-the-cold</t>
  </si>
  <si>
    <t xml:space="preserve">Découvrez des conseils essentiels pour l’entretien de la barbe afin de protéger votre barbe du froid. Apprenez comment garder votre barbe saine, hydratée et stylée pendant l’hiver.</t>
  </si>
  <si>
    <t xml:space="preserve">https://striking-viking.com/en-gb/blogs/learn/scented-beard-oil-by-striking-viking</t>
  </si>
  <si>
    <t xml:space="preserve">https://striking-viking.com/sv/products/striking-viking-boar-bristle-beard-brush-for-men-natural-beech-wood-grooming-brush</t>
  </si>
  <si>
    <t xml:space="preserve">Striking Viking skäggborste med svinborst och handtag av bokträ. Tämjer, mjukar upp och ger glans åt ditt skägg. Naturliga borst för en välvårdad, hälsosam look.</t>
  </si>
  <si>
    <t xml:space="preserve">https://striking-viking.com/fi/products/striking-viking-sandalwood-beard-oil</t>
  </si>
  <si>
    <t xml:space="preserve">Partaöljy Santelipuu pehmentää, ravitsee ja edistää partakasvua. Käsintehty orgaanisista ainesosista, se tamee hallitsemattomat karvat tuottaen kiiltävän, kutittamattoman parran.</t>
  </si>
  <si>
    <t xml:space="preserve">https://striking-viking.com/fi/products/striking-viking-vanilla-shaving-cream-for-men-rich-lather-for-a-smooth-comfortable-shave</t>
  </si>
  <si>
    <t xml:space="preserve">Striking Viking Shaving Cream Vanilla. Runsas vaahto ja lämmin vaniljan tuoksu takaavat sileän, ärsyttämättömän parranajon. Sopii herkälle ja kaikille ihotyypeille.</t>
  </si>
  <si>
    <t xml:space="preserve">https://striking-viking.com/fr/products/beard-growth-butter-with-biotin-4-oz-blue-ocean</t>
  </si>
  <si>
    <t xml:space="preserve">Ce beurre à barbe pour la pousse à la biotine est élaboré pour favoriser l'apparence d'une barbe plus fournie tout en offrant une hydratation intense et une meilleure texture. Il aide à assouplir le poil épais, à réduire l'aspect de sécheresse et à améliorer la maniabilité générale de la barbe. Sa formule légère et non</t>
  </si>
  <si>
    <t xml:space="preserve">https://striking-viking.com/fi/products/beard-growth-butter-with-biotin-4-oz-vanilla</t>
  </si>
  <si>
    <t xml:space="preserve">https://striking-viking.com/fr-ca/products/striking-viking-vanilla-beard-growth-bundle-with-biotin-beard-serum-titanium-derma-roller</t>
  </si>
  <si>
    <t xml:space="preserve">Faites pousser une barbe d'apparence plus fournie avec le coffret pousse de la barbe à la vanille Striking Viking. Comprend deux sérums de pousse à la biotine, un derma roller en titane et un étui de rangement protecteur.</t>
  </si>
  <si>
    <t xml:space="preserve">https://striking-viking.com/de/products/charlemagne-round-hair-brush-for-men-professional-styling-brush-for-volume-blow-drying</t>
  </si>
  <si>
    <t xml:space="preserve">Charlemagne Rundhaarbürste von Striking Viking. Gefertigt in Deutschland für Salon-Qualität, Volumen, Form und Kontrolle. Professionelle Standards für das tägliche Styling.</t>
  </si>
  <si>
    <t xml:space="preserve">https://striking-viking.com/es/products/striking-viking-blue-ocean-beard-balm-for-men-natural-beard-balm-with-shea-butter-jojoba</t>
  </si>
  <si>
    <t xml:space="preserve">Blue Ocean Bálsamo para Barba de Striking Viking. Cera de abejas natural, manteca de karité y aceite de argán suavizan y dan forma a tu barba. Aroma refrescante a océano. Libre de crueldad.</t>
  </si>
  <si>
    <t xml:space="preserve">https://striking-viking.com/fr-ca/pages/ilm2025</t>
  </si>
  <si>
    <t xml:space="preserve">https://striking-viking.com/de/products/2x-mustache-wax-comb-set-sandalwood</t>
  </si>
  <si>
    <t xml:space="preserve">https://striking-viking.com/es/collections/featured-products</t>
  </si>
  <si>
    <t xml:space="preserve">Descubre una amplia selección de productos destacados, elaborados para adaptarse a tu estilo único. Compra nuestros productos destacados hoy y disfruta de la calidad y variedad en la que puedes confiar.</t>
  </si>
  <si>
    <t xml:space="preserve">https://striking-viking.com/fr/pages/ilm-2025-sign-up</t>
  </si>
  <si>
    <t xml:space="preserve">https://striking-viking.com/fr-ca/products/striking-viking-vanilla-pre-shave-oil-for-men-smooth-razor-glide-skin-protection</t>
  </si>
  <si>
    <t xml:space="preserve">Préparez votre peau à un rasage plus doux avec l'huile avant-rasage à la vanille Striking Viking. Hydrate, adoucit les poils de la barbe et améliore la glisse du rasoir avec un parfum vanille chaleureux.</t>
  </si>
  <si>
    <t xml:space="preserve">https://striking-viking.com/fr/products/beard-growth-butter-with-biotin-4-oz-vanilla</t>
  </si>
  <si>
    <t xml:space="preserve">Conçu pour un soin en profondeur, ce beurre à barbe pour la pousse à la biotine aide à favoriser l'apparence d'une barbe plus épaisse et plus fournie. Sa formule hydrate le poil et la peau tout en améliorant la douceur, le lisse et la texture générale. Avec un parfum subtil de vanille, il offre une expérience de soin p</t>
  </si>
  <si>
    <t xml:space="preserve">https://striking-viking.com/it/products/gift-card-striking-viking</t>
  </si>
  <si>
    <t xml:space="preserve">Non sai quale arma dovrebbe brandire un vero vichingo? Lascialo scegliere da solo. La Gift Card Striking Viking apre le porte agli essenziali per la cura maschile di alta qualità—realizzati con ingredienti naturali, design raffinato e la forza moderna dei norreni. Dagli oli e balsami per barba ai kit completi per la cu</t>
  </si>
  <si>
    <t xml:space="preserve">https://striking-viking.com/fr-ca/products/ontaki-beard-mustache-scissors-with-finger-rest-5-inch-german-steel-grooming-kit</t>
  </si>
  <si>
    <t xml:space="preserve">Taillez et mettez en forme vos poils du visage avec les ciseaux à barbe et moustache ONTAKI de 5 pouces en acier allemand. Comprend un repose-doigt, deux peignes de soin et une pochette de voyage en simili-cuir PU.</t>
  </si>
  <si>
    <t xml:space="preserve">https://striking-viking.com/fr-ca/products/striking-viking-sandalwood-beard-oil</t>
  </si>
  <si>
    <t xml:space="preserve">L'huile à barbe au santal Striking Viking aide à adoucir, hydrater, soigner et discipliner barbe et moustache grâce à des huiles naturelles et un parfum santal chaleureux.</t>
  </si>
  <si>
    <t xml:space="preserve">https://striking-viking.com/fr-ca/products/striking-viking-vanilla-beard-oil-balm-kit-for-soft-healthy-beard-care-for-men</t>
  </si>
  <si>
    <t xml:space="preserve">https://striking-viking.com/fr-ca/blogs/learn/41234689-brian-wilson</t>
  </si>
  <si>
    <t xml:space="preserve">Découvrez Brian Wilson, un lanceur de relève professionnel de baseball et gagnant du prix Barbe de la Semaine avec une barbe remarquable. Découvrez son style, ses réalisations et les statistiques uniques de sa barbe.</t>
  </si>
  <si>
    <t xml:space="preserve">https://striking-viking.com/fr-ca/products/striking-viking-unscented-beard-butter-for-moisturizing-softening-daily-beard-care</t>
  </si>
  <si>
    <t xml:space="preserve">Gardez votre barbe douce, lisse et hydratée avec le beurre à barbe sans parfum Striking Viking. Une formule légère et non grasse conçue pour l'entretien et le coiffage quotidiens de la barbe.</t>
  </si>
  <si>
    <t xml:space="preserve">https://striking-viking.com/de/products/ontaki-professional-thinning-texturizing-scissors-set-6-5-inch-japanese-alloy-steel</t>
  </si>
  <si>
    <t xml:space="preserve">ONTAKI 6,5" Effilier- und Texturierungsschere von Striking Viking. Klingen aus deutschem Stahl für präzises Bart-, Haar- und Schnurrbartstyling zu Hause oder im Salon.</t>
  </si>
  <si>
    <t xml:space="preserve">https://striking-viking.com/fi/products/sandalwood-wooden-beard-comb-black-striking-viking</t>
  </si>
  <si>
    <t xml:space="preserve">Striking Viking Sandalwood Wooden Parta Kampa Musta. Minimoi katkeilun ja staattisuuden kaksipuolisen muotoilun ansiosta. Täydellinen Partan muotoiluun ja hoitoon päivittäin.</t>
  </si>
  <si>
    <t xml:space="preserve">https://striking-viking.com/es/products/carbon-hair-comb</t>
  </si>
  <si>
    <t xml:space="preserve">Striking Viking Peine de Cabello de Carbono Negro. De doble cara con dientes anchos y finos. Antiestático, duradero y resistente al calor. Cuidado de precisión para el hogar y la barbería.</t>
  </si>
  <si>
    <t xml:space="preserve">https://striking-viking.com/fr/blogs/learn/top-10-beard-costumes-for-halloween</t>
  </si>
  <si>
    <t xml:space="preserve">https://striking-viking.com/it/blogs/learn/elevate-your-look-pomade</t>
  </si>
  <si>
    <t xml:space="preserve">Scopri la Matte Pomade di Striking Viking per una finitura pulita e naturale. Nutri e modella i tuoi capelli con facilità grazie a questa formula a base d’acqua, facile da risciacquare.</t>
  </si>
  <si>
    <t xml:space="preserve">https://striking-viking.com/fr/blogs/learn/41241281-the-dude</t>
  </si>
  <si>
    <t xml:space="preserve">Découvrez comment The Dude incarne la confiance et le style avec sa barbe légendaire, prouvant qu'une belle barbe peut renforcer votre assurance dès aujourd'hui. Achetez maintenant !</t>
  </si>
  <si>
    <t xml:space="preserve">https://striking-viking.com/fr/products/ontaki-japanese-steel-beard-mustache-scissors-5-5-inch-professional-grooming-kit</t>
  </si>
  <si>
    <t xml:space="preserve">Taillez et mettez en forme vos poils du visage avec les ciseaux à barbe et moustache ONTAKI de 5,5 pouces en acier japonais. Comprend un peigne à barbe et une pochette en simili-cuir PU pour un soin professionnel.</t>
  </si>
  <si>
    <t xml:space="preserve">https://striking-viking.com/fr-ca/products/beard-growth-butter-with-biotin-4-oz-vanilla</t>
  </si>
  <si>
    <t xml:space="preserve">https://striking-viking.com/it/products/ontaki-japanese-steel-beard-hair-scissors-5-5-inch-professional-grooming-shears</t>
  </si>
  <si>
    <t xml:space="preserve">ONTAKI forbici barba e capelli 5,5" di Striking Viking. Acciaio giapponese premium per una rifinitura della barba e dei baffi affilata e precisa. Disponibili in diversi stili.</t>
  </si>
  <si>
    <t xml:space="preserve">https://striking-viking.com/it/products/beard-butter-blue-ocean</t>
  </si>
  <si>
    <t xml:space="preserve">https://striking-viking.com/fr/products/striking-viking-beard-growth-kit-with-beard-roller-vanilla-unscented-biotin-oils-for-men</t>
  </si>
  <si>
    <t xml:space="preserve">Faites pousser une barbe d'apparence plus fournie avec le kit de pousse de la barbe Striking Viking. Comprend un roller à barbe ainsi que des huiles à la biotine vanille et sans parfum pour l'entretien quotidien.</t>
  </si>
  <si>
    <t xml:space="preserve">https://striking-viking.com/es/products/charlemagne-original-hair-pomade-for-men-strong-hold-water-based-styling-pomade-100ml</t>
  </si>
  <si>
    <t xml:space="preserve">Pomada para el cabello Charlemagne Original de Striking Viking. Fabricada en Alemania. Fijación clásica y brillo sutil con aroma a cereza y oud. Perfecta para peinados pulidos.</t>
  </si>
  <si>
    <t xml:space="preserve">https://striking-viking.com/fr-ca/products/beard-growth-balm-with-biotin-2-oz-vanilla</t>
  </si>
  <si>
    <t xml:space="preserve">https://striking-viking.com/it/products/striking-viking-tea-tree-biotin-beard-shampoo-for-clean-healthy-soft-beard-care-for-men</t>
  </si>
  <si>
    <t xml:space="preserve">Shampoo per barba con Tea Tree e Biotina di Striking Viking. Deterge e nutre i peli della barba per morbidezza e freschezza. Favorisce la crescita sana della barba in modo naturale.</t>
  </si>
  <si>
    <t xml:space="preserve">https://striking-viking.com/it/pages/write-a-review</t>
  </si>
  <si>
    <t xml:space="preserve">https://striking-viking.com/de/products/charlemagne-carbon-hair-comb-for-men-professional-heat-resistant-styling-detangling-comb</t>
  </si>
  <si>
    <t xml:space="preserve">Charlemagne Carbon Haarkamm von Striking Viking. Handgefertigt in Deutschland – doppelte breite und feine Zähne zum Formen, Entwirren und zur Anregung der Kopfhaut.</t>
  </si>
  <si>
    <t xml:space="preserve">https://striking-viking.com/fr-ca/pages/beard-filler-pens</t>
  </si>
  <si>
    <t xml:space="preserve">Découvrez les meilleurs stylos de remplissage pour barbe pour hommes. Comblez instantanément les zones clairsemées, définissez les contours de votre barbe et obtenez un effet de barbe plus dense grâce à des traits naturels semblables à des poils.</t>
  </si>
  <si>
    <t xml:space="preserve">https://striking-viking.com/fr-ca/collections/striking-deals</t>
  </si>
  <si>
    <t xml:space="preserve">https://striking-viking.com/fi/products/ontaki-japanese-steel-rounded-tip-beard-mustache-scissors-4-2-inch-grooming-kit</t>
  </si>
  <si>
    <t xml:space="preserve">ONTAKI 4,2" pyöristetyn kärjen Parta- &amp; Viikset-sakset by Striking Viking. Japanilainen teräs turvalliseen ja tarkkaan partojen, viiksien ja kulmakarvojen siistimiseen.</t>
  </si>
  <si>
    <t xml:space="preserve">https://striking-viking.com/fr/pages/striking-viking-affiliate-program</t>
  </si>
  <si>
    <t xml:space="preserve">Le programme d’affiliation Striking Viking est un moyen pour les créateurs de gagner une commission sur les ventes en recommandant des clients au site web grâce à des liens uniques, rejoignez-nous dès aujourd’hui !</t>
  </si>
  <si>
    <t xml:space="preserve">https://striking-viking.com/fr-ca/products/beard-growth-balm-with-biotin-2-oz-blue-ocean</t>
  </si>
  <si>
    <t xml:space="preserve">https://striking-viking.com/fr/blogs/learn/essential-grooming-supplies-for-the-bearded-man</t>
  </si>
  <si>
    <t xml:space="preserve">Découvrez les meilleurs produits de soin pour une barbe éclatante et bien entretenue. Achetez des accessoires et outils de toilettage haut de gamme conçus pour l’entretien et le style quotidien de la barbe.</t>
  </si>
  <si>
    <t xml:space="preserve">https://striking-viking.com/fr/products/ontaki-beard-mustache-scissors-with-finger-rest-5-inch-german-steel-grooming-kit</t>
  </si>
  <si>
    <t xml:space="preserve">https://striking-viking.com/it/products/ontaki-german-steel-beard-mustache-scissors-professional-grooming-kit</t>
  </si>
  <si>
    <t xml:space="preserve">ONTAKI forbici per barba e baffi da 5" in acciaio tedesco di Striking Viking. Forbici di precisione professionali per una cura della barba e dei baffi confortevole e impeccabile.</t>
  </si>
  <si>
    <t xml:space="preserve">https://striking-viking.com/sv/products/carbon-hair-comb</t>
  </si>
  <si>
    <t xml:space="preserve">Striking Viking Kolfiber Hårkam Svart. Dubbelsidig med både grova och fina tänder. Antistatisk, hållbar och värmetålig. Precision för skäggvård hemma och på barbershop.</t>
  </si>
  <si>
    <t xml:space="preserve">https://striking-viking.com/fi/products/hair-fiber-men</t>
  </si>
  <si>
    <t xml:space="preserve">Hiuskuituratkaisu miehille luonnollisen tuuheammille hiuksille. Koe Striking Vikingin tuuheuttavat kuidut, jotka sopivat sekä miehille että naisille ja takaavat kestävät tulokset.</t>
  </si>
  <si>
    <t xml:space="preserve">https://striking-viking.com/fi/products/striking-viking-sandalwood-after-shave-balm-for-men-soothing-hydration-skin-care</t>
  </si>
  <si>
    <t xml:space="preserve">Striking Viking Parranajon jälkeinen balsami santelipuulla. Rauhoittaa ja kosteuttaa ihoa parranajon jälkeen miehekkäällä santelipuun tuoksulla. Alkoholiton, sopii kaikille ihotyypeille.</t>
  </si>
  <si>
    <t xml:space="preserve">https://striking-viking.com/fr/products/striking-viking-battle-ready-beard-care-kit-with-beard-oils-balms-beard-filler-pen</t>
  </si>
  <si>
    <t xml:space="preserve">Rehaussez votre routine d'entretien avec le kit de soin de la barbe Battle-Ready Striking Viking. Comprend 4 huiles à barbe, 4 baumes à barbe et un stylo correcteur de barbe pour une barbe plus fournie, plus douce et bien coiffée.</t>
  </si>
  <si>
    <t xml:space="preserve">https://striking-viking.com/de/blogs/learn/beard-grooming-tools-for-professional-styling-at-home</t>
  </si>
  <si>
    <t xml:space="preserve">Entdecken Sie hochwertige Bartpflege-Tools für professionelles Styling zu Hause. Kaufen Sie noch heute unser Bartpflegeset, Scheren, Bürsten und Zubehör. Perfekt für exzellente Bartpflege.</t>
  </si>
  <si>
    <t xml:space="preserve">https://striking-viking.com/no/products/striking-viking-bergamot-thunder-beard-oil-for-men-natural-beard-growth-oil-with-argan-jojoba</t>
  </si>
  <si>
    <t xml:space="preserve">Oppdag fordelene med Beard Oil - Bergamot Thunder, laget med helt naturlige ingredienser for å fremme skjeggvekst, redusere irritasjon og gi glans. Bestill i dag!</t>
  </si>
  <si>
    <t xml:space="preserve">https://striking-viking.com/es/products/beard-butter-blue-ocean</t>
  </si>
  <si>
    <t xml:space="preserve">https://striking-viking.com/fr-ca/pages/spurit-invoices-cancelled</t>
  </si>
  <si>
    <t xml:space="preserve">Votre abonnement a été annulé Nous espérons vous revoir bientôt ! Veuillez visiter à nouveau notre boutique pour profiter des cadeaux précieux et des promotions !</t>
  </si>
  <si>
    <t xml:space="preserve">https://striking-viking.com/fi/products/round-hair-brush</t>
  </si>
  <si>
    <t xml:space="preserve">Striking Viking Pyöreä Hiusharja Musta. Pallopäiset harjakset ja kuminen ote takaavat sileän, takuttoman muotoilun. Lisää tuuheutta ja muotoa keskipitkille ja pitkille hiuksille.</t>
  </si>
  <si>
    <t xml:space="preserve">https://striking-viking.com/fr-ca/products/striking-viking-battle-ready-beard-care-kit-with-beard-oils-balms-beard-filler-pen</t>
  </si>
  <si>
    <t xml:space="preserve">https://striking-viking.com/en-ca/products/ontaki-german-steel-beard-mustache-scissors-professional-grooming-kit</t>
  </si>
  <si>
    <t xml:space="preserve">https://striking-viking.com/fr/collections/subscribe-save</t>
  </si>
  <si>
    <t xml:space="preserve">Abonnez-vous à Striking Viking pour un soin de barbe ininterrompu. Profitez de produits haut de gamme livrés directement chez vous, sans le tracas de devoir recommander.</t>
  </si>
  <si>
    <t xml:space="preserve">https://striking-viking.com/fr/products/striking-viking-vanilla-beard-oil-with-natural-organic-oils-for-soft-healthy-beard-care</t>
  </si>
  <si>
    <t xml:space="preserve">https://striking-viking.com/sv/products/beard-growth-butter-with-biotin-4-oz-sandalwood</t>
  </si>
  <si>
    <t xml:space="preserve">https://striking-viking.com/fr/products/striking-viking-vanilla-beard-growth-bundle-with-biotin-beard-serum-titanium-derma-roller</t>
  </si>
  <si>
    <t xml:space="preserve">https://striking-viking.com/fr-ca/products/striking-viking-vanilla-beard-growth-kit-with-biotin-oil-0-25mm-derma-roller</t>
  </si>
  <si>
    <t xml:space="preserve">https://striking-viking.com/de/pages/special-discount</t>
  </si>
  <si>
    <t xml:space="preserve">Willkommen auf unserer speziellen Rabattseite! Vielen Dank, dass Sie den QR-Code auf Ihrer Produktverpackung gescannt haben und sich uns angeschlossen haben. Als Zeichen unserer Wertschätzung bieten wir Ihnen gerne einen exklusiven Rabattcode an, den Sie bei Ihrem nächsten Einkauf verwenden können. Genießen Sie großzüg</t>
  </si>
  <si>
    <t xml:space="preserve">https://striking-viking.com/sv/products/striking-viking-vanilla-beard-butter-for-soft-hydrated-healthy-beard-care-for-men</t>
  </si>
  <si>
    <t xml:space="preserve">Striking Viking Beard Butter Vanilla mjukar upp och vårdar ditt skägg med en varm vaniljdoft. Icke-fet, helt naturlig formula för ett hälsosamt och lättskött skägg.</t>
  </si>
  <si>
    <t xml:space="preserve">https://striking-viking.com/sv/products/ontaki-facial-hair-grooming-scissors-2-pack-precision-beard-nose-mustache-trimming</t>
  </si>
  <si>
    <t xml:space="preserve">ONTAKI ansiktshårssaxar 2-pack från Striking Viking. Precisa trimningar för skägg, mustasch och ögonbryn. Vassa blad i rostfritt stål för professionella resultat.</t>
  </si>
  <si>
    <t xml:space="preserve">https://striking-viking.com/sv/pages/beard-filler-pens</t>
  </si>
  <si>
    <t xml:space="preserve">Upptäck de bästa skäggfyllningspennorna för män. Fyll ut glesa partier i skägget direkt, markera skägglinjer och skapa ett fylligare skägg med naturliga, hårstråliknande drag.</t>
  </si>
  <si>
    <t xml:space="preserve">https://striking-viking.com/it/pages/special-discount</t>
  </si>
  <si>
    <t xml:space="preserve">Benvenuto nella nostra pagina di sconti speciali! Grazie per aver scansionato il QR code sulla confezione del tuo prodotto e per esserti unito a noi qui. Come segno di apprezzamento, siamo lieti di offrirti un codice sconto esclusivo da utilizzare per il tuo prossimo acquisto. Goditi un generoso sconto del 15% sul tuo</t>
  </si>
  <si>
    <t xml:space="preserve">https://striking-viking.com/es/products/ontaki-japanese-steel-beard-hair-scissors-5-5-inch-professional-grooming-shears</t>
  </si>
  <si>
    <t xml:space="preserve">Tijeras para barba y cabello ONTAKI 5.5" de Striking Viking. Acero japonés de primera calidad para un recorte de barba y bigote afilado y preciso. Disponibles en varios estilos.</t>
  </si>
  <si>
    <t xml:space="preserve">https://striking-viking.com/it/products/striking-viking-vanilla-shaving-cream-for-men-rich-lather-for-a-smooth-comfortable-shave</t>
  </si>
  <si>
    <t xml:space="preserve">Striking Viking Crema da Barba alla Vaniglia. Schiuma ricca con una calda fragranza di vaniglia per una rasatura liscia e senza irritazioni. Ideale per pelli sensibili e per tutti i tipi di pelle.</t>
  </si>
  <si>
    <t xml:space="preserve">https://striking-viking.com/fr-ca/products/striking-viking-beard-filler-pen-2-pack-dual-tip-waterproof-beard-pen-for-natural-beard-filling</t>
  </si>
  <si>
    <t xml:space="preserve">https://striking-viking.com/de/products/bartwasche-teebaum</t>
  </si>
  <si>
    <t xml:space="preserve">Bart-Shampoo mit Teebaumöl &amp; Biotin von Striking Viking. Reinigt und pflegt das Barthaar für Geschmeidigkeit und Frische. Fördert auf natürliche Weise gesundes Bartwachstum.</t>
  </si>
  <si>
    <t xml:space="preserve">https://striking-viking.com/it/products/ontaki-beard-mustache-scissors-with-finger-rest-5-inch-german-steel-grooming-kit</t>
  </si>
  <si>
    <t xml:space="preserve">Forbici per barba e baffi ONTAKI 5" con poggiadito di Striking Viking. Acciaio tedesco per una rifinitura precisa e confortevole. Perfette per una cura dettagliata.</t>
  </si>
  <si>
    <t xml:space="preserve">https://striking-viking.com/fr-ca/products/ontaki-japanese-steel-rounded-tip-beard-mustache-scissors-4-2-inch-grooming-kit</t>
  </si>
  <si>
    <t xml:space="preserve">https://striking-viking.com/it/collections/last-chance-bogo-free</t>
  </si>
  <si>
    <t xml:space="preserve">https://striking-viking.com/de/products/beard-butter-bergamot-thunder</t>
  </si>
  <si>
    <t xml:space="preserve">https://striking-viking.com/sv/products/beard-growth-butter-with-biotin-4-oz-vanilla</t>
  </si>
  <si>
    <t xml:space="preserve">https://striking-viking.com/es/products/striking-viking-vanilla-beard-butter-for-soft-hydrated-healthy-beard-care-for-men</t>
  </si>
  <si>
    <t xml:space="preserve">Striking Viking Beard Butter Vainilla suaviza y nutre tu barba con un cálido aroma a vainilla. Fórmula totalmente natural y no grasa para una barba saludable y fácil de manejar.</t>
  </si>
  <si>
    <t xml:space="preserve">https://striking-viking.com/es/products/charlemagne-carbon-wide-tooth-comb-for-men-heat-resistant-carbon-fiber-hair-comb</t>
  </si>
  <si>
    <t xml:space="preserve">Peine de dientes anchos de carbono Charlemagne de Striking Viking. Fabricado en Alemania por barberos profesionales para desenredar suavemente el cabello grueso, húmedo o difícil de manejar.</t>
  </si>
  <si>
    <t xml:space="preserve">https://striking-viking.com/it/products/ontaki-facial-hair-grooming-scissors-2-pack-precision-beard-nose-mustache-trimming</t>
  </si>
  <si>
    <t xml:space="preserve">ONTAKI Forbici per peli del viso 2 pezzi di Striking Viking. Rifinitura precisa per barba, baffi e sopracciglia. Acciaio inox affilato per risultati professionali.</t>
  </si>
  <si>
    <t xml:space="preserve">https://striking-viking.com/fr/products/striking-viking-sandalwood-beard-oil-balm-kit-for-soft-healthy-beard-care-for-men</t>
  </si>
  <si>
    <t xml:space="preserve">Hydratez, adoucissez et coiffez votre barbe avec le kit huile et baume à barbe au santal Striking Viking. Un soin naturel pour des poils du visage plus sains et faciles à discipliner.</t>
  </si>
  <si>
    <t xml:space="preserve">https://striking-viking.com/en-gb/products/ontaki-curved-fabric-scissors-6-5-inch-german-stainless-steel-embroidery-scissors</t>
  </si>
  <si>
    <t xml:space="preserve">https://striking-viking.com/en-gb/products/charlemagne-round-hair-brush-for-men-professional-styling-brush-for-volume-blow-drying</t>
  </si>
  <si>
    <t xml:space="preserve">https://striking-viking.com/fr-ca/products/striking-viking-vanilla-shaving-cream-for-men-rich-lather-for-a-smooth-comfortable-shave</t>
  </si>
  <si>
    <t xml:space="preserve">Profitez d'un rasage doux et net avec la crème à raser à la vanille Striking Viking. Mousse riche, formule pour peaux sensibles et parfum vanille chaleureux pour l'entretien quotidien.</t>
  </si>
  <si>
    <t xml:space="preserve">https://striking-viking.com/fr-ca/products/striking-viking-sandalwood-pre-shave-oil-for-men-smooth-razor-glide-skin-protection</t>
  </si>
  <si>
    <t xml:space="preserve">Préparez votre peau à un rasage plus doux avec l'huile avant-rasage au santal Striking Viking. Adoucit les poils de la barbe, améliore la glisse du rasoir et aide à protéger les peaux sensibles.</t>
  </si>
  <si>
    <t xml:space="preserve">https://striking-viking.com/fr-ca/blogs/learn/the-ultimate-guide-to-tattoo-aftercare-with-striking-viking</t>
  </si>
  <si>
    <t xml:space="preserve">Découvrez Striking Viking pour des conseils essentiels sur les soins après tatouage, afin de garantir des couleurs éclatantes, une tenue durable et une cicatrisation en douceur.</t>
  </si>
  <si>
    <t xml:space="preserve">https://striking-viking.com/de/products/aftershave-balsam-fur-manner-vanille</t>
  </si>
  <si>
    <t xml:space="preserve">Striking Viking Aftershave-Balsam Vanille. Beruhigt, spendet Feuchtigkeit und revitalisiert die Haut nach der Rasur mit einem warmen Vanilleduft. Pflegt alle Hauttypen.</t>
  </si>
  <si>
    <t xml:space="preserve">https://striking-viking.com/fi/products/striking-viking-battle-ready-beard-care-kit-with-beard-oils-balms-beard-filler-pen</t>
  </si>
  <si>
    <t xml:space="preserve">Striking Viking Battle-Ready Parta Kit — täydellinen hoitopaketti. Kaikki, mitä partasi tarvitsee näyttääkseen tuuhealta, terävältä ja voimakkaalta. Säästä jopa 33 %.</t>
  </si>
  <si>
    <t xml:space="preserve">https://striking-viking.com/de/blogs/learn/41234689-brian-wilson</t>
  </si>
  <si>
    <t xml:space="preserve">Entdecken Sie Brian Wilson, einen professionellen Baseball-Relief-Pitcher und Gewinner des Barts der Woche mit einem auffälligen Bart. Erfahren Sie mehr über seinen Stil, seine Erfolge und seine einzigartigen Bartstatistiken.</t>
  </si>
  <si>
    <t xml:space="preserve">https://striking-viking.com/en-gb/products/ontaki-japanese-steel-rounded-tip-beard-mustache-scissors-4-2-inch-grooming-kit</t>
  </si>
  <si>
    <t xml:space="preserve">https://striking-viking.com/es/products/striking-viking-vanilla-beard-balm</t>
  </si>
  <si>
    <t xml:space="preserve">Bálsamo para barba de vainilla de Striking Viking. Fórmula totalmente natural con manteca de karité, cera de abejas y aceite de argán que suaviza, estiliza y doma el vello facial. Libre de crueldad y sin parabenos.</t>
  </si>
  <si>
    <t xml:space="preserve">https://striking-viking.com/fr/products/ontaki-duckbill-applique-scissors-4-5-inch-carbon-steel-fabric-thread-cutting-scissors</t>
  </si>
  <si>
    <t xml:space="preserve">Coupez tissu et fils avec précision grâce aux ciseaux à appliqué à bec de canard ONTAKI de 4,5 pouces. Lames en acier au carbone au design ergonomique pour le matelassage, la broderie, la couture et les loisirs créatifs.</t>
  </si>
  <si>
    <t xml:space="preserve">https://striking-viking.com/it/products/striking-viking-beard-rehab-growth-kit-with-sandalwood-beard-care-derma-roller</t>
  </si>
  <si>
    <t xml:space="preserve">Striking Viking Beard Rehab &amp; Growth Kit al sandalo. Progettato per riparare, far crescere e migliorare la tua barba con idratazione quotidiana e pulizia profonda. Set completo.</t>
  </si>
  <si>
    <t xml:space="preserve">https://striking-viking.com/es/products/striking-viking-beard-growth-mastery-bundle-with-sandalwood-vanilla-biotin-oils-and-derma-roller</t>
  </si>
  <si>
    <t xml:space="preserve">Striking Viking Mastery Bundle con aceites de biotina de sándalo y vainilla + rodillo de titanio. El kit definitivo para el crecimiento de la barba, para una barba más densa y abundante.</t>
  </si>
  <si>
    <t xml:space="preserve">https://striking-viking.com/fr/products/striking-viking-sandalwood-pre-shave-oil-for-men-smooth-razor-glide-skin-protection</t>
  </si>
  <si>
    <t xml:space="preserve">https://striking-viking.com/fr/pages/write-a-review</t>
  </si>
  <si>
    <t xml:space="preserve">https://striking-viking.com/it/products/striking-viking-sandalwood-beard-oil</t>
  </si>
  <si>
    <t xml:space="preserve">Beard Oil Sandalwood ammorbidisce, nutre e favorisce la crescita della barba. Realizzato artigianalmente con ingredienti biologici, doma i peli ribelli per una barba lucente e senza prurito.</t>
  </si>
  <si>
    <t xml:space="preserve">https://striking-viking.com/fr-ca/products/striking-viking-sandalwood-beard-shampoo-conditioner-set-hydrating-beard-care-for-men</t>
  </si>
  <si>
    <t xml:space="preserve">https://striking-viking.com/it/collections/striking-deals</t>
  </si>
  <si>
    <t xml:space="preserve">Scopri offerte imperdibili da Striking Viking. Risparmia su oli per barba, balsami, strumenti per la cura e accessori per lo styling, realizzati per il comfort quotidiano e uno stile sicuro.</t>
  </si>
  <si>
    <t xml:space="preserve">https://striking-viking.com/fi/products/striking-viking-beard-growth-mastery-bundle-with-sandalwood-vanilla-biotin-oils-and-derma-roller</t>
  </si>
  <si>
    <t xml:space="preserve">Striking Viking Mastery -paketti santelipuu- ja vanilja-biotiiiniöljyillä + titaaninen derma roller. Täydellinen partakasvatuspaketti tuuheammalle, täyteläisemmälle parralle.</t>
  </si>
  <si>
    <t xml:space="preserve">https://striking-viking.com/it/blogs/learn/essential-grooming-supplies-for-the-bearded-man</t>
  </si>
  <si>
    <t xml:space="preserve">Scopri i migliori prodotti per la cura della barba per una barba lucente e ben curata. Acquista i migliori articoli e strumenti per la cura quotidiana e lo styling della barba.</t>
  </si>
  <si>
    <t xml:space="preserve">https://striking-viking.com/fr-ca/pages/sign-up</t>
  </si>
  <si>
    <t xml:space="preserve">https://striking-viking.com/fr/products/striking-viking-tea-tree-biotin-beard-shampoo-for-clean-healthy-soft-beard-care-for-men</t>
  </si>
  <si>
    <t xml:space="preserve">Nettoyez en profondeur, nourrissez et hydratez votre barbe avec le shampooing à barbe à l'arbre à thé et à la biotine Striking Viking. Aide à réduire les démangeaisons pour un soin de la barbe sain.</t>
  </si>
  <si>
    <t xml:space="preserve">https://striking-viking.com/fi/products/beard-butter-blue-ocean</t>
  </si>
  <si>
    <t xml:space="preserve">https://striking-viking.com/fi/blogs/learn/top-10-beard-costumes-for-halloween</t>
  </si>
  <si>
    <t xml:space="preserve">Löydä parhaat partapuvut Halloweeniksi huipputoivelistaltamme, jossa on ikonisia hahmoja kuten viikingit, Forrest Gump ja velhot. Täydellinen näyttävään, helppoon asuun!</t>
  </si>
  <si>
    <t xml:space="preserve">https://striking-viking.com/it/products/ontaki-japanese-steel-rounded-tip-beard-mustache-scissors-4-2-inch-grooming-kit</t>
  </si>
  <si>
    <t xml:space="preserve">ONTAKI Forbici per barba e baffi da 4,2" a punta arrotondata di Striking Viking. Acciaio giapponese per una rifinitura sicura e precisa di barba, baffi e sopracciglia.</t>
  </si>
  <si>
    <t xml:space="preserve">https://striking-viking.com/fr-ca/collections/viking-beard-kits</t>
  </si>
  <si>
    <t xml:space="preserve">https://striking-viking.com/fr/products/ontaki-german-steel-beard-mustache-scissors-professional-grooming-kit</t>
  </si>
  <si>
    <t xml:space="preserve">https://striking-viking.com/fr-ca/collections/last-chance-bogo-free</t>
  </si>
  <si>
    <t xml:space="preserve">https://striking-viking.com/fr/products/striking-viking-unscented-pre-shave-oil-for-men-smooth-razor-glide-skin-protection</t>
  </si>
  <si>
    <t xml:space="preserve">Préparez votre peau à un rasage plus doux avec l'huile avant-rasage sans parfum Striking Viking. Formule sans parfum pour une meilleure glisse du rasoir, une hydratation et une protection.</t>
  </si>
  <si>
    <t xml:space="preserve">https://striking-viking.com/fr/products/round-hair-brush</t>
  </si>
  <si>
    <t xml:space="preserve">Brosse ronde Striking Viking noire. Poils à embouts ronds avec poignée en caoutchouc pour un coiffage lisse et sans nœuds. Apporte volume et forme aux cheveux mi-longs à longs.</t>
  </si>
  <si>
    <t xml:space="preserve">https://striking-viking.com/no/products/beard-growth-butter-with-biotin-4-oz-blue-ocean</t>
  </si>
  <si>
    <t xml:space="preserve">https://striking-viking.com/en-gb/products/striking-viking-vanilla-beard-oil-with-natural-organic-oils-for-soft-healthy-beard-care</t>
  </si>
  <si>
    <t xml:space="preserve">https://striking-viking.com/de/products/beard-butter-blue-ocean</t>
  </si>
  <si>
    <t xml:space="preserve">https://striking-viking.com/es/products/beard-growth-butter-with-biotin-4-oz-sandalwood</t>
  </si>
  <si>
    <t xml:space="preserve">https://striking-viking.com/es/products/striking-viking-beard-filler-pen-2-pack-dual-tip-waterproof-beard-pen-for-natural-beard-filling</t>
  </si>
  <si>
    <t xml:space="preserve">Consigue 2 lápices rellenadores de barba Striking Viking Dual Tip. Rellena huecos, define líneas y crea trazos de vello de aspecto natural. Resistente al agua, 5 tonos, lápiz y cepillo.</t>
  </si>
  <si>
    <t xml:space="preserve">https://striking-viking.com/sv/products/striking-viking-battle-ready-beard-care-kit-with-beard-oils-balms-beard-filler-pen</t>
  </si>
  <si>
    <t xml:space="preserve">Striking Viking Battle-Ready Beard Kit — det ultimata vårdpaketet för skägget. Allt ditt skägg behöver för att se fylligt, välformat och kraftfullt ut. Spara upp till 33 %.</t>
  </si>
  <si>
    <t xml:space="preserve">https://striking-viking.com/it/pages/collab</t>
  </si>
  <si>
    <t xml:space="preserve">https://striking-viking.com/de/products/striking-viking-hybrid-beard-growth-bundle-with-sandalwood-unscented-beard-oils-and-derma-roller</t>
  </si>
  <si>
    <t xml:space="preserve">Striking Viking Hybrid Bartwachstums-Bundle mit Sandelholz- &amp; Unparfümiertem Biotin-Öl + Titan-Derma-Roller. Wähle zwischen duftfrei oder mit Duft – ganz nach deinem Geschmack.</t>
  </si>
  <si>
    <t xml:space="preserve">https://striking-viking.com/it/pages/striking-viking-affiliate-program</t>
  </si>
  <si>
    <t xml:space="preserve">Il programma di affiliazione Striking Viking è un modo per i creatori di guadagnare una commissione sulle vendite indirizzando i clienti al sito web tramite link unici, unisciti oggi!</t>
  </si>
  <si>
    <t xml:space="preserve">https://striking-viking.com/en-gb/products/beard-growth-butter-with-biotin-4-oz-vanilla</t>
  </si>
  <si>
    <t xml:space="preserve">https://striking-viking.com/no/products/striking-viking-beard-shampoo-conditioner-cologne-argan-jojoba-oil</t>
  </si>
  <si>
    <t xml:space="preserve">Beard Shampoo &amp; Conditioner Cologne gir en fuktighetsgivende rengjøring ved hjelp av argan- og jojobaoljer for å holde skjegg og hud sunne, myke og fri for kløe.</t>
  </si>
  <si>
    <t xml:space="preserve">https://striking-viking.com/it/blogs/learn/41234689-brian-wilson</t>
  </si>
  <si>
    <t xml:space="preserve">Scopri Brian Wilson, un lanciatore di rilievo professionista di baseball e vincitore del premio Beard of the Week con una barba eccezionale. Scopri il suo stile, i suoi successi e le statistiche uniche della sua barba.</t>
  </si>
  <si>
    <t xml:space="preserve">https://striking-viking.com/es/products/striking-viking-sandalwood-beard-balm</t>
  </si>
  <si>
    <t xml:space="preserve">El Bálsamo para Barba de Sándalo ayuda a dar forma, brillo y suavidad a tu barba utilizando ingredientes totalmente naturales. Disfruta de una barba saludable y de aspecto abundante gracias a sus propiedades hidratantes.</t>
  </si>
  <si>
    <t xml:space="preserve">https://striking-viking.com/no/products/beard-growth-butter-with-biotin-4-oz-vanilla</t>
  </si>
  <si>
    <t xml:space="preserve">https://striking-viking.com/es/products/striking-viking-vanilla-beard-oil-with-natural-organic-oils-for-soft-healthy-beard-care</t>
  </si>
  <si>
    <t xml:space="preserve">Descubre el mejor Aceite para Barba de Vainilla. Ingredientes orgánicos que estimulan el crecimiento, suavizan y aportan brillo para una barba saludable todo el año.</t>
  </si>
  <si>
    <t xml:space="preserve">https://striking-viking.com/fr/collections/featured-products</t>
  </si>
  <si>
    <t xml:space="preserve">Découvrez une large sélection de produits vedettes conçus pour s'adapter à votre style unique. Achetez nos produits vedettes pour une qualité et une variété auxquelles vous pouvez faire confiance dès aujourd'hui.</t>
  </si>
  <si>
    <t xml:space="preserve">https://striking-viking.com/en-ca/products/striking-viking-sandalwood-pre-shave-oil-for-men-smooth-razor-glide-skin-protection</t>
  </si>
  <si>
    <t xml:space="preserve">https://striking-viking.com/fr/products/striking-viking-sandalwood-after-shave-balm-for-men-soothing-hydration-skin-care</t>
  </si>
  <si>
    <t xml:space="preserve">Apaisez, hydratez et rafraîchissez votre peau après le rasage avec le baume après-rasage au santal Striking Viking. Idéal pour les peaux sensibles, avec un parfum santal chaleureux.</t>
  </si>
  <si>
    <t xml:space="preserve">https://striking-viking.com/sv/pages/free-moustache-beard-scissors</t>
  </si>
  <si>
    <t xml:space="preserve">https://striking-viking.com/de/collections/last-chance-bogo-free</t>
  </si>
  <si>
    <t xml:space="preserve">https://striking-viking.com/fr-ca/blogs/learn/16918829-the-ingredients-and-why-they-matter</t>
  </si>
  <si>
    <t xml:space="preserve">https://striking-viking.com/fr-ca/products/striking-viking-beard-shampoo-with-natural-peppermint-eucalyptus-for-refreshing-beard-care</t>
  </si>
  <si>
    <t xml:space="preserve">Nettoyez et rafraîchissez votre barbe avec le shampooing à barbe Striking Viking. À la menthe poivrée et à l'eucalyptus naturels pour éliminer les impuretés tout en gardant une barbe saine et nourrie.</t>
  </si>
  <si>
    <t xml:space="preserve">https://striking-viking.com/fr-ca/products/striking-viking-vanilla-beard-butter-for-soft-hydrated-healthy-beard-care-for-men</t>
  </si>
  <si>
    <t xml:space="preserve">Hydratez en profondeur, adoucissez et coiffez votre barbe avec le beurre à barbe à la vanille Striking Viking. Formule légère et non grasse pour l'entretien quotidien de la barbe.</t>
  </si>
  <si>
    <t xml:space="preserve">https://striking-viking.com/sv/products/beard-growth-balm-with-biotin-2-oz-sandalwood</t>
  </si>
  <si>
    <t xml:space="preserve">https://striking-viking.com/en-ca/blogs/learn/essential-grooming-supplies-for-the-bearded-man</t>
  </si>
  <si>
    <t xml:space="preserve">https://striking-viking.com/it/pages/ilm-2025-sign-up</t>
  </si>
  <si>
    <t xml:space="preserve">https://striking-viking.com/fr/products/striking-viking-beard-rehab-growth-kit-with-sandalwood-beard-care-derma-roller</t>
  </si>
  <si>
    <t xml:space="preserve">https://striking-viking.com/fr/products/striking-viking-unscented-beard-oil-and-balm-kit-natural-beard-grooming-set-for-men</t>
  </si>
  <si>
    <t xml:space="preserve">Hydratez, adoucissez et coiffez votre barbe avec le kit huile et baume à barbe sans parfum Striking Viking. Des ingrédients naturels aident à réduire les démangeaisons, la sécheresse et les pellicules de barbe.</t>
  </si>
  <si>
    <t xml:space="preserve">https://striking-viking.com/fr-ca/products/striking-viking-beard-growth-power-kit-with-biotin-beard-oil-shampoo-derma-roller</t>
  </si>
  <si>
    <t xml:space="preserve">Obtenez une barbe d'apparence plus fournie avec le kit puissance pousse de la barbe Striking Viking. Comprend une huile de pousse pour barbe à la biotine, un shampooing à barbe et un derma roller pour votre routine quotidienne.</t>
  </si>
  <si>
    <t xml:space="preserve">https://striking-viking.com/fr-ca/products/striking-viking-beard-filler-pencil-with-dual-tip-pen-brush-for-natural-beard-styling</t>
  </si>
  <si>
    <t xml:space="preserve">https://striking-viking.com/fi/products/striking-viking-sandalwood-beard-balm</t>
  </si>
  <si>
    <t xml:space="preserve">Partabalsami Santelipuu auttaa muotoilemaan, kiillottamaan ja pehmentämään partaasi käyttäen täysin luonnollisia ainesosia. Nauti terveestä, täyteläiseltä näyttävästä parrasta, jossa on kosteuttavia ominaisuuksia.</t>
  </si>
  <si>
    <t xml:space="preserve">https://striking-viking.com/fr/products/gift-card-striking-viking</t>
  </si>
  <si>
    <t xml:space="preserve">Vous ne savez pas quelle arme un Viking devrait brandir ? Laissez-le choisir la sienne. La carte-cadeau Striking Viking donne accès à l’essentiel du soin masculin haut de gamme—élaboré avec des ingrédients naturels, un design raffiné et la force moderne des Nordiques. Des huiles et baumes pour barbe aux coffrets de soi</t>
  </si>
  <si>
    <t xml:space="preserve">https://striking-viking.com/en-gb/blogs/learn/16918829-the-ingredients-and-why-they-matter</t>
  </si>
  <si>
    <t xml:space="preserve">https://striking-viking.com/fr/products/beard-butter-bergamot-thunder</t>
  </si>
  <si>
    <t xml:space="preserve">Beurre à barbe au parfum audacieux d'agrumes et d'herbes — une hydratation profonde dans une crème non grasse. Assouplit le poil et la peau en dessous pour réduire les démangeaisons. Soin sans rinçage au quotidien, crème avant-rasage ou crème coiffante. Une hydratation profonde et durable : le beurre de karité, l'huile</t>
  </si>
  <si>
    <t xml:space="preserve">https://striking-viking.com/sv/products/striking-viking-sandalwood-shaving-cream-for-men-rich-lather-for-a-smooth-comfortable-shave</t>
  </si>
  <si>
    <t xml:space="preserve">Rakkräm för män från Striking Viking lyfter din rakning med en lugnande sandelträdoft, utformad för känslig hud och säkerställer en jämn, irritationsfri rakning.</t>
  </si>
  <si>
    <t xml:space="preserve">https://striking-viking.com/fr/products/carbon-wide-tooth-comb</t>
  </si>
  <si>
    <t xml:space="preserve">Striking Viking Peigne Large Dents en Carbone Noir. Conception antistatique et résistante à la chaleur pour démêler les cheveux épais, bouclés ou humides. Léger et durable.</t>
  </si>
  <si>
    <t xml:space="preserve">https://striking-viking.com/fr-ca/products/striking-viking-tea-tree-biotin-beard-wash-cologne-for-clean-fresh-healthy-beard-care</t>
  </si>
  <si>
    <t xml:space="preserve">Nettoyez, hydratez et rafraîchissez votre barbe avec le shampooing à barbe Cologne à l'arbre à thé et à la biotine Striking Viking pour une barbe saine et agréablement parfumée.</t>
  </si>
  <si>
    <t xml:space="preserve">https://striking-viking.com/it/products/striking-viking-vanilla-beard-growth-bundle-with-biotin-beard-serum-titanium-derma-roller</t>
  </si>
  <si>
    <t xml:space="preserve">Striking Viking Set Crescita Barba alla Vaniglia con Siero alla Biotina e Derma Roller in Titanio. 540 micro-aghi per una crescita della barba più folta e densa.</t>
  </si>
  <si>
    <t xml:space="preserve">https://striking-viking.com/fr/products/gift-wrapping</t>
  </si>
  <si>
    <t xml:space="preserve">Ajoutez une protection supplémentaire à votre commande avec l'emballage cadeau, pour qu'elle reste à l'abri des dommages, des pertes ou du vol pendant l'expédition.</t>
  </si>
  <si>
    <t xml:space="preserve">https://striking-viking.com/es/products/striking-viking-unscented-beard-oil-natural-organic-beard-care</t>
  </si>
  <si>
    <t xml:space="preserve">Aceite para barba (sin aroma) para un brillo saludable, crecimiento robusto y hebras fuertes. Disfruta de un tratamiento de spa y cuidado profesional de barbero en la comodidad de tu hogar.</t>
  </si>
  <si>
    <t xml:space="preserve">https://striking-viking.com/es/products/striking-viking-beard-growth-power-kit-with-biotin-beard-oil-shampoo-derma-roller</t>
  </si>
  <si>
    <t xml:space="preserve">Striking Viking Beard Growth Power Kit: un sistema de cuidado de alto rendimiento para lograr una barba más densa y abundante. Ahorra un 30% en este set completo de cuidado para la barba.</t>
  </si>
  <si>
    <t xml:space="preserve">https://striking-viking.com/de/products/bartol-und-balsam</t>
  </si>
  <si>
    <t xml:space="preserve">Striking Viking Bartöl &amp; Balsam Set in Sandelholz. Spendet Feuchtigkeit, macht deinen Bart weich und formt ihn mit natürlichen Inhaltsstoffen. Das perfekte Pflege-Duo für Männer.</t>
  </si>
  <si>
    <t xml:space="preserve">https://striking-viking.com/fi/products/striking-viking-beard-shampoo-with-natural-peppermint-eucalyptus-for-refreshing-beard-care</t>
  </si>
  <si>
    <t xml:space="preserve">Peppermint &amp; Eucalyptus Parta Shampoo by Striking Viking. Luonnollinen pesu virkistää ja puhdistaa partakarvat. Pitää Partan terveenä, ravittuna ja raikkaan tuoksuisena.</t>
  </si>
  <si>
    <t xml:space="preserve">https://striking-viking.com/fi/collections/esitellyt-tuotteet</t>
  </si>
  <si>
    <t xml:space="preserve">Löydä laaja valikoima esiteltyjä tuotteita, jotka on suunniteltu sopimaan ainutlaatuiseen tyyliisi. Osta esiteltyjä tuotteitamme laadun ja monipuolisuuden vuoksi, joihin voit luottaa tänään.</t>
  </si>
  <si>
    <t xml:space="preserve">https://striking-viking.com/fr/products/striking-viking-sandalwood-beard-growth-bundle-with-titanium-derma-roller-beard-growth-serum</t>
  </si>
  <si>
    <t xml:space="preserve">Obtenez une barbe d'apparence plus fournie avec le coffret pousse de la barbe au santal Striking Viking. Comprend deux sérums de pousse à la biotine, un derma roller en titane et un étui de rangement.</t>
  </si>
  <si>
    <t xml:space="preserve">https://striking-viking.com/fr-ca/products/striking-viking-vanilla-beard-balm</t>
  </si>
  <si>
    <t xml:space="preserve">https://striking-viking.com/en-ca/products/striking-viking-beard-growth-power-kit-with-biotin-beard-oil-shampoo-derma-roller</t>
  </si>
  <si>
    <t xml:space="preserve">https://striking-viking.com/es/products/striking-viking-beard-shampoo-with-natural-peppermint-eucalyptus-for-refreshing-beard-care</t>
  </si>
  <si>
    <t xml:space="preserve">Champú para barba de menta y eucalipto de Striking Viking. Lavado natural que rejuvenece y limpia el vello facial. Mantiene la barba sana, nutrida y con un aroma fresco.</t>
  </si>
  <si>
    <t xml:space="preserve">https://striking-viking.com/sv/products/striking-viking-cedarwood-beard-balm</t>
  </si>
  <si>
    <t xml:space="preserve">Cedarwood Beard Balm från Striking Viking. Bivax, sheasmör och arganolja mjukar upp, formar och tämjer ditt skägg på ett naturligt sätt. Ekologisk, cruelty-free och fri från parabener.</t>
  </si>
  <si>
    <t xml:space="preserve">https://striking-viking.com/fr/products/charlemagne-carbon-wide-tooth-comb-for-men-heat-resistant-carbon-fiber-hair-comb</t>
  </si>
  <si>
    <t xml:space="preserve">Démêlez les cheveux épais, bouclés et humides avec le peigne à dents larges en carbone Charlemagne. En fibre de carbone résistante à la chaleur, au design anti-statique pour un coiffage lisse et confortable.</t>
  </si>
  <si>
    <t xml:space="preserve">https://striking-viking.com/es/collections/subscribe-save</t>
  </si>
  <si>
    <t xml:space="preserve">Suscríbete a Striking Viking para un cuidado de barba sin interrupciones. Disfruta de productos premium entregados directamente en tu puerta, sin la molestia de volver a hacer pedidos.</t>
  </si>
  <si>
    <t xml:space="preserve">https://striking-viking.com/es/pages/ilm-form-not-visible</t>
  </si>
  <si>
    <t xml:space="preserve">https://striking-viking.com/no/products/striking-viking-sandalwood-shaving-cream-for-men-rich-lather-for-a-smooth-comfortable-shave</t>
  </si>
  <si>
    <t xml:space="preserve">Barberkrem for menn fra Striking Viking løfter barberingen din med en beroligende sandeltreduft, designet for sensitiv hud og gir en jevn, irritasjonsfri barbering.</t>
  </si>
  <si>
    <t xml:space="preserve">https://striking-viking.com/fr/pages/spurit-invoices-cancelled</t>
  </si>
  <si>
    <t xml:space="preserve">https://striking-viking.com/fi/pages/ilm2025</t>
  </si>
  <si>
    <t xml:space="preserve">https://striking-viking.com/de/products/beard-growth-butter-with-biotin-4-oz-sandalwood</t>
  </si>
  <si>
    <t xml:space="preserve">https://striking-viking.com/fr-ca/products/beard-growth-balm-with-biotin-2-oz-sandalwood</t>
  </si>
  <si>
    <t xml:space="preserve">https://striking-viking.com/fr-ca/pages/free-moustache-beard-scissors</t>
  </si>
  <si>
    <t xml:space="preserve">https://striking-viking.com/es/blogs/learn/scented-beard-oil-by-striking-viking</t>
  </si>
  <si>
    <t xml:space="preserve">Descubre el mejor aceite para barba perfumado de Striking Viking para una nutrición profunda, un crecimiento de barba más saludable y una fragancia natural irresistible. ¡Perfecto para tu rutina de cuidado personal!</t>
  </si>
  <si>
    <t xml:space="preserve">https://striking-viking.com/fr-ca/products/striking-viking-hair-styling-powder-for-men-light-hold-vanilla-natural-volume-texture</t>
  </si>
  <si>
    <t xml:space="preserve">Ajoutez du volume et de la texture naturels avec la poudre coiffante pour homme Striking Viking. Formule légère à tenue légère, au frais parfum vanille, pour tous les types de cheveux.</t>
  </si>
  <si>
    <t xml:space="preserve">https://striking-viking.com/fr/products/carbon-hair-comb</t>
  </si>
  <si>
    <t xml:space="preserve">https://striking-viking.com/fr-ca/products/striking-viking-tea-tree-biotin-beard-shampoo-for-clean-healthy-soft-beard-care-for-men</t>
  </si>
  <si>
    <t xml:space="preserve">https://striking-viking.com/es/products/striking-viking-vanilla-pre-shave-oil-for-men-smooth-razor-glide-skin-protection</t>
  </si>
  <si>
    <t xml:space="preserve">Striking Viking Aceite Pre Afeitado Vainilla. Afeitado impecable y suave con un cálido aroma a vainilla. Hidrata y acondiciona la piel para un ritual de cuidado más saludable.</t>
  </si>
  <si>
    <t xml:space="preserve">https://striking-viking.com/it/products/round-hair-brush</t>
  </si>
  <si>
    <t xml:space="preserve">Striking Viking Spazzola Rotonda per Capelli Nera. Setole con punte a sfera e impugnatura in gomma per uno styling liscio e senza nodi. Dona volume e forma ai capelli da medi a lunghi.</t>
  </si>
  <si>
    <t xml:space="preserve">https://striking-viking.com/es/products/striking-viking-sandalwood-beard-oil</t>
  </si>
  <si>
    <t xml:space="preserve">El Aceite para Barba de Sándalo suaviza, nutre y estimula el crecimiento de la barba. Elaborado a mano con ingredientes orgánicos, doma los vellos rebeldes para una barba brillante y sin picazón.</t>
  </si>
  <si>
    <t xml:space="preserve">https://striking-viking.com/fr-ca/products/striking-viking-sandalwood-beard-growth-bundle-with-titanium-derma-roller-beard-growth-serum</t>
  </si>
  <si>
    <t xml:space="preserve">https://striking-viking.com/fi/collections/charlemagne</t>
  </si>
  <si>
    <t xml:space="preserve">Löydä Charlemagne by Striking Viking — ensiluokkaista parran ja hiusten hoitoa rohkeissa tuoksuissa: Tupakka &amp; Vanilja, Nahka &amp; Lime Minttu. Nosta rutiinisi uudelle tasolle.</t>
  </si>
  <si>
    <t xml:space="preserve">https://striking-viking.com/es/products/gift-card-striking-viking</t>
  </si>
  <si>
    <t xml:space="preserve">¿No sabes qué arma debería empuñar un vikingo? Deja que él elija la suya. La Tarjeta de Regalo Striking Viking desbloquea lo mejor en cuidado masculino—esenciales elaborados con ingredientes naturales, diseño refinado y la fuerza moderna de los nórdicos. Desde aceites y bálsamos para barba hasta kits completos de cuida</t>
  </si>
  <si>
    <t xml:space="preserve">https://striking-viking.com/fi/blogs/learn/beard-grooming-tools-for-professional-styling-at-home</t>
  </si>
  <si>
    <t xml:space="preserve">Löydä ensiluokkaiset partahoidon työkalut saavuttaaksesi ammattimaisen muotoilun kotona. Osta partahoitopakettimme, sakset, harjat ja tarvikkeet tänään. Täydellinen hoitotaituruuteen.</t>
  </si>
  <si>
    <t xml:space="preserve">https://striking-viking.com/es/products/striking-viking-unscented-beard-balm-natural-beard-styling-conditioning</t>
  </si>
  <si>
    <t xml:space="preserve">Beard Balm (Sin aroma) de Striking Viking ofrece una sujeción superior, suavidad y forma. Hidrata y acondiciona para una barba más manejable y densa de forma natural.</t>
  </si>
  <si>
    <t xml:space="preserve">https://striking-viking.com/it/products/striking-viking-unscented-beard-shampoo-conditioner-set-natural-beard-care-for-men</t>
  </si>
  <si>
    <t xml:space="preserve">Set di shampoo e balsamo per barba senza profumo per uomo. Favorisce la crescita, riduce il prurito e deterge in profondità per una barba morbida, sana e senza fragranza.</t>
  </si>
  <si>
    <t xml:space="preserve">https://striking-viking.com/fi/products/striking-viking-beard-rehab-growth-kit-with-sandalwood-beard-care-derma-roller</t>
  </si>
  <si>
    <t xml:space="preserve">Striking Viking Parta Rehab &amp; Growth Kit Sandalwood-tuoksulla. Suunniteltu korjaamaan, kasvattamaan ja parantamaan partaasi päivittäisellä kosteutuksella ja syväpuhdistuksella. Täydellinen setti.</t>
  </si>
  <si>
    <t xml:space="preserve">https://striking-viking.com/fr-ca/pages/write-a-review</t>
  </si>
  <si>
    <t xml:space="preserve">https://striking-viking.com/it/products/beard-growth-butter-with-biotin-4-oz-sandalwood</t>
  </si>
  <si>
    <t xml:space="preserve">https://striking-viking.com/fr/products/charlemagne-carbon-hair-comb-for-men-professional-heat-resistant-styling-detangling-comb</t>
  </si>
  <si>
    <t xml:space="preserve">Coiffez et démêlez avec le peigne à cheveux en carbone Charlemagne. En fibre de carbone haut de gamme, à dents larges et fines pour un coiffage lisse, un confort du cuir chevelu et un entretien quotidien.</t>
  </si>
  <si>
    <t xml:space="preserve">https://striking-viking.com/fr/products/striking-viking-sandalwood-shaving-cream-for-men-rich-lather-for-a-smooth-comfortable-shave</t>
  </si>
  <si>
    <t xml:space="preserve">https://striking-viking.com/no/products/beard-butter-blue-ocean</t>
  </si>
  <si>
    <t xml:space="preserve">https://striking-viking.com/sv/blogs/learn/beard-grooming-tools-for-professional-styling-at-home</t>
  </si>
  <si>
    <t xml:space="preserve">Upptäck förstklassiga skäggvårdsverktyg för att uppnå professionell styling hemma. Handla vårt skäggvårdskit, saxar, borstar och tillbehör idag. Perfekt för vård i toppklass.</t>
  </si>
  <si>
    <t xml:space="preserve">https://striking-viking.com/no/products/charlemagne-original-hair-pomade-for-men-strong-hold-water-based-styling-pomade-100ml</t>
  </si>
  <si>
    <t xml:space="preserve">Charlemagne Original Hårpomade fra Striking Viking. Produsert i Tyskland. Klassisk hold og diskret glans med duft av kirsebær og oud. Perfekt for velstelte frisyrer.</t>
  </si>
  <si>
    <t xml:space="preserve">https://striking-viking.com/de/products/striking-viking-hair-styling-powder-for-men-light-hold-vanilla-natural-volume-texture</t>
  </si>
  <si>
    <t xml:space="preserve">Entdecken Sie das Haarstyling-Puder mit Vanilleduft für leichten Halt, natürliches Volumen und müheloses Styling für Männer. Perfekt für einen frischen, scharfen Look jeden Tag.</t>
  </si>
  <si>
    <t xml:space="preserve">https://striking-viking.com/fi/products/striking-viking-folding-wooden-comb-sandalwood-beard-hair-comb</t>
  </si>
  <si>
    <t xml:space="preserve">Taitettava puinen kampa: Kohota hoitoa sandaalipuusta valmistetulla, switchblade-tyylisellä kammalla. Edistä tervettä hiusten kasvua ja vähennä katkeilua vaivattomasti.</t>
  </si>
  <si>
    <t xml:space="preserve">https://striking-viking.com/fr/blogs/learn/striking-viking-beard-comb-for-routine-beard-management</t>
  </si>
  <si>
    <t xml:space="preserve">https://striking-viking.com/no/products/striking-viking-vanilla-beard-balm-2-pack-with-natural-organic-ingredients-for-beard-styling</t>
  </si>
  <si>
    <t xml:space="preserve">Striking Viking Vanilje Skjeggbalsam 2-pakning. Naturlig og økologisk formel mykgjør skjegget, reduserer kløe. Sheasmør, bivoks og arganolje. Ikke testet på dyr.</t>
  </si>
  <si>
    <t xml:space="preserve">https://striking-viking.com/it/products/striking-viking-unscented-beard-oil-natural-organic-beard-care</t>
  </si>
  <si>
    <t xml:space="preserve">Olio da barba (senza profumo) per una lucentezza sana, crescita robusta e peli forti. Goditi un trattamento spa e la cura professionale del barbiere nel comfort di casa tua.</t>
  </si>
  <si>
    <t xml:space="preserve">https://striking-viking.com/fr-ca/products/beard-butter-blue-ocean</t>
  </si>
  <si>
    <t xml:space="preserve">https://striking-viking.com/fr/products/2x-mustache-wax-comb-set-sandalwood</t>
  </si>
  <si>
    <t xml:space="preserve">Coffret de 2 pour le coiffage de la moustache avec deux boîtes de cire et un peigne de poche. Formule à tenue moyenne parfumée au santal pour façonner et discipliner. Conçu pour le grooming quotidien et les retouches en déplacement. Une tenue moyenne qui dure : la cire d'abeille, le beurre de cacao et le beurre de kari</t>
  </si>
  <si>
    <t xml:space="preserve">https://striking-viking.com/sv/products/beard-butter-blue-ocean</t>
  </si>
  <si>
    <t xml:space="preserve">https://striking-viking.com/it/products/striking-viking-sandalwood-shaving-cream-for-men-rich-lather-for-a-smooth-comfortable-shave</t>
  </si>
  <si>
    <t xml:space="preserve">Crema da barba per uomo di Striking Viking eleva la tua rasatura con un rilassante aroma di sandalo, progettata per pelli sensibili per garantire una rasatura liscia e senza irritazioni.</t>
  </si>
  <si>
    <t xml:space="preserve">https://striking-viking.com/fi/products/striking-viking-cedarwood-beard-oil</t>
  </si>
  <si>
    <t xml:space="preserve">Striking Vikingin Cedarwood Partaöljy. Luonnonmukaiset argan-, jojoba- ja setripuuöljyt edistävät parran kasvua, vähentävät kutinaa ja tuovat luonnollista kiiltoa. Eläinkokeeton koostumus.</t>
  </si>
  <si>
    <t xml:space="preserve">https://striking-viking.com/fr-ca/products/striking-viking-beard-and-mustache-scissors-kit-for-men</t>
  </si>
  <si>
    <t xml:space="preserve">https://striking-viking.com/fr-ca/products/striking-viking-citrus-beard-balm</t>
  </si>
  <si>
    <t xml:space="preserve">https://striking-viking.com/es/products/beard-growth-balm-with-biotin-2-oz-sandalwood</t>
  </si>
  <si>
    <t xml:space="preserve">https://striking-viking.com/en-gb/products/beard-growth-butter-with-biotin-4-oz-sandalwood</t>
  </si>
  <si>
    <t xml:space="preserve">https://striking-viking.com/de/products/carbon-hair-comb</t>
  </si>
  <si>
    <t xml:space="preserve">Striking Viking Carbon-Haarkamm Schwarz. Beidseitig mit groben und feinen Zähnen. Antistatisch, langlebig und hitzebeständig. Präzises Styling für Zuhause und Barbershop.</t>
  </si>
  <si>
    <t xml:space="preserve">https://striking-viking.com/fi/pages/ilm-form-not-visible</t>
  </si>
  <si>
    <t xml:space="preserve">https://striking-viking.com/fr/products/striking-viking-vanilla-after-shave-balm-for-men-soothing-hydration-skin-care</t>
  </si>
  <si>
    <t xml:space="preserve">https://striking-viking.com/it/pages/free-moustache-beard-scissors</t>
  </si>
  <si>
    <t xml:space="preserve">https://striking-viking.com/sv/products/striking-viking-cedarwood-beard-oil</t>
  </si>
  <si>
    <t xml:space="preserve">Cedarwood Beard Oil från Striking Viking. Ekologiska argan-, jojoba- och cederträoljor främjar skäggväxt, minskar klåda och ger naturlig glans. Cruelty-free formula.</t>
  </si>
  <si>
    <t xml:space="preserve">https://striking-viking.com/fr-ca/blogs/learn/the-ultimate-beard-growth-routine-for-a-thicker-healthier-beard-2026-guide</t>
  </si>
  <si>
    <t xml:space="preserve">Vous avez du mal avec une barbe clairsemée ? Découvrez la routine ultime pour la pousse de la barbe en utilisant de l’huile à barbe, un baume et des accessoires de soin pour obtenir une barbe plus dense et en meilleure santé.</t>
  </si>
  <si>
    <t xml:space="preserve">Discover the best beard costumes for Halloween with our top 10 list featuring iconic characters like Vikings, Forrest Gump, and Wizards. Perfect for a striking, easy costume!</t>
  </si>
  <si>
    <t xml:space="preserve">https://striking-viking.com/fr/products/striking-viking-unscented-beard-shampoo-conditioner-set-natural-beard-care-for-men</t>
  </si>
  <si>
    <t xml:space="preserve">https://striking-viking.com/fr-ca/blogs/learn/how-to-keep-your-tattoos-looking-bold-for-years-the-role-of-tattoo-balms</t>
  </si>
  <si>
    <t xml:space="preserve">https://striking-viking.com/es/products/striking-viking-biotin-beard-growth-oil-for-men-unscented-beard-growth-serum</t>
  </si>
  <si>
    <t xml:space="preserve">Aceite para Crecimiento de Barba con Biotina (Sin Fragancia) de Striking Viking. Los aceites de argán y jojoba promueven un crecimiento de barba más abundante y saludable. No es graso, no produce picazón y es fácil de aplicar.</t>
  </si>
  <si>
    <t xml:space="preserve">https://striking-viking.com/de/products/bartwasch-und-pflege</t>
  </si>
  <si>
    <t xml:space="preserve">Tea Tree &amp; Biotin Bart Shampoo &amp; Conditioner Set von Striking Viking. Pflegt, fördert das Wachstum und beugt Juckreiz vor – für einen sauberen, gesunden und gepflegten Bart.</t>
  </si>
  <si>
    <t xml:space="preserve">https://striking-viking.com/fr/products/ontaki-curved-fabric-scissors-6-5-inch-german-stainless-steel-embroidery-scissors</t>
  </si>
  <si>
    <t xml:space="preserve">Coupez le tissu avec précision grâce aux ciseaux à tissu courbés ONTAKI de 6,5 pouces. Leurs lames en acier inoxydable allemand sont idéales pour la broderie, l'appliqué, le matelassage, la couture et les travaux de création détaillés.</t>
  </si>
  <si>
    <t xml:space="preserve">https://striking-viking.com/es/products/striking-viking-beard-shampoo-conditioner-cologne-argan-jojoba-oil</t>
  </si>
  <si>
    <t xml:space="preserve">El Champú y Acondicionador para Barba con fragancia ofrece una limpieza hidratante utilizando aceites de argán y jojoba para mantener tu barba y piel saludables, suaves y libres de picazón.</t>
  </si>
  <si>
    <t xml:space="preserve">https://striking-viking.com/es/pages/striking-viking-affiliate-program</t>
  </si>
  <si>
    <t xml:space="preserve">El programa de afiliados de Striking Viking es una forma para que los creadores ganen comisión por ventas al referir clientes al sitio web usando enlaces únicos, ¡únete hoy!</t>
  </si>
  <si>
    <t xml:space="preserve">https://striking-viking.com/es/products/beard-growth-butter-with-biotin-4-oz-vanilla</t>
  </si>
  <si>
    <t xml:space="preserve">https://striking-viking.com/en-gb/products/ontaki-hair-thinning-shears-kit-7-inch-professional-hair-cutting-texturizing-set</t>
  </si>
  <si>
    <t xml:space="preserve">https://striking-viking.com/es/products/ontaki-facial-hair-grooming-scissors-2-pack-precision-beard-nose-mustache-trimming</t>
  </si>
  <si>
    <t xml:space="preserve">Tijeras para vello facial ONTAKI 2-Pack de Striking Viking. Recorte preciso para barbas, bigotes y cejas. Acero inoxidable afilado para resultados profesionales.</t>
  </si>
  <si>
    <t xml:space="preserve">https://striking-viking.com/fr/blogs/learn/spring-style-refresh-how-to-update-your-beard-and-hair-for-warmer-weather</t>
  </si>
  <si>
    <t xml:space="preserve">Rafraîchissez votre routine barbe et cheveux pour le printemps. Allégez vos soins, mettez en valeur la texture et adoptez un style plus net et naturel pour les beaux jours.</t>
  </si>
  <si>
    <t xml:space="preserve">https://striking-viking.com/fr-ca/products/charlemagne-carbon-wide-tooth-comb-for-men-heat-resistant-carbon-fiber-hair-comb</t>
  </si>
  <si>
    <t xml:space="preserve">https://striking-viking.com/sv/products/striking-viking-blue-ocean-beard-balm-for-men-natural-beard-balm-with-shea-butter-jojoba</t>
  </si>
  <si>
    <t xml:space="preserve">Blue Ocean Beard Balm från Striking Viking. Naturligt bivax, sheasmör och arganolja mjukar upp och formar ditt skägg. Uppfriskande doft av havet. Ej testad på djur.</t>
  </si>
  <si>
    <t xml:space="preserve">https://striking-viking.com/de/products/ontaki-duckbill-applique-scissors-4-5-inch-carbon-steel-fabric-thread-cutting-scissors</t>
  </si>
  <si>
    <t xml:space="preserve">ONTAKI 4,5" Duckbill-Applikationsschere von Striking Viking. Präzises Schneiden von Stoff und Bastelmaterial. Langlebig und komfortabel für Näh-, Stick- und Quiltprojekte.</t>
  </si>
  <si>
    <t xml:space="preserve">Oppdag de beste tipsene og naturlige produktene for Striking Viking skjeggpleie. Oppnå et rent, velstelt utseende med våre ekspertutvalgte skjeggpleie-essensielle for menn.</t>
  </si>
  <si>
    <t xml:space="preserve">https://striking-viking.com/fi/pages/special-discount</t>
  </si>
  <si>
    <t xml:space="preserve">Tervetuloa erikoisalennussivullemme! Kiitos, että skannasit QR-koodin tuotepakkauksestasi ja liityit mukaan. Kiitoksena haluamme tarjota sinulle eksklusiivisen alennuskoodin, jota voit käyttää seuraavassa ostoksessasi. Nauti anteliaasta 15% alennuksesta tilauksessasi koodilla: Strikingpackage15 Varmistaaksesi reiluuden</t>
  </si>
  <si>
    <t xml:space="preserve">https://striking-viking.com/fi/pages/beard-filler-pens</t>
  </si>
  <si>
    <t xml:space="preserve">Löydä parhaat partakynät miehille. Täytä partaan ilmestyvät aukot välittömästi, terävöitä parran rajat ja luo tuuheamman parran ilme luonnollisilla, hiuksenomaisilla vedoilla.</t>
  </si>
  <si>
    <t xml:space="preserve">https://striking-viking.com/sv/pages/ilm2025</t>
  </si>
  <si>
    <t xml:space="preserve">https://striking-viking.com/en-gb/products/beard-butter-bergamot-thunder</t>
  </si>
  <si>
    <t xml:space="preserve">https://striking-viking.com/fr/products/striking-viking-unscented-beard-butter-for-moisturizing-softening-daily-beard-care</t>
  </si>
  <si>
    <t xml:space="preserve">https://striking-viking.com/es/blogs/learn/top-10-beard-costumes-for-halloween</t>
  </si>
  <si>
    <t xml:space="preserve">Descubre los mejores disfraces de barba para Halloween con nuestra lista de los 10 mejores, que presenta personajes icónicos como vikingos, Forrest Gump y magos. ¡Perfectos para un disfraz llamativo y fácil!</t>
  </si>
  <si>
    <t xml:space="preserve">https://striking-viking.com/fi/blogs/learn/41241281-the-dude</t>
  </si>
  <si>
    <t xml:space="preserve">Opi, kuinka The Dude ilmentää itseluottamusta ja tyyliä legendaarisella parrallaan, todistaen, että loistava parta voi nostaa itseluottamustasi tänään. Osta nyt!</t>
  </si>
  <si>
    <t xml:space="preserve">https://striking-viking.com/es/products/beard-butter-bergamot-thunder</t>
  </si>
  <si>
    <t xml:space="preserve">https://striking-viking.com/it/products/striking-viking-unscented-after-shave-balm-for-men-soothing-hydration-skin-care</t>
  </si>
  <si>
    <t xml:space="preserve">Il Balsamo Dopobarba per Uomo offre una cura lenitiva e idratante per tutti i tipi di pelle. Questo balsamo senza profumo rigenera ed equilibra la tua pelle dopo la rasatura.</t>
  </si>
  <si>
    <t xml:space="preserve">https://striking-viking.com/en-gb/blogs/learn/essential-grooming-supplies-for-the-bearded-man</t>
  </si>
  <si>
    <t xml:space="preserve">https://striking-viking.com/de/products/ontaki-german-steel-beard-mustache-scissors-professional-grooming-kit</t>
  </si>
  <si>
    <t xml:space="preserve">ONTAKI 5" Bart- &amp; Schnurrbartschere aus deutschem Stahl von Striking Viking. Professionelle Präzisionsschere für komfortables, sauberes Bart- und Schnurrbartstyling.</t>
  </si>
  <si>
    <t xml:space="preserve">https://striking-viking.com/de/blogs/learn/16918829-the-ingredients-and-why-they-matter</t>
  </si>
  <si>
    <t xml:space="preserve">Entdecken Sie die wichtigsten Inhaltsstoffe von Bartöl, die zu einem gesünderen, weicheren Bart beitragen. Erfahren Sie, warum diese Inhaltsstoffe für eine optimale Bartpflege unerlässlich sind.</t>
  </si>
  <si>
    <t xml:space="preserve">https://striking-viking.com/it/blogs/learn/striking-viking-beard-comb-for-routine-beard-management</t>
  </si>
  <si>
    <t xml:space="preserve">Scopri il pettine per barba Striking Viking per la cura quotidiana della barba. Perfetto per tutti i tipi di barba, ipoallergenico, elegante e portatile per le tue esigenze di grooming.</t>
  </si>
  <si>
    <t xml:space="preserve">https://striking-viking.com/sv/blogs/learn/16918829-the-ingredients-and-why-they-matter</t>
  </si>
  <si>
    <t xml:space="preserve">Upptäck de viktigaste ingredienserna i skäggolja som bidrar till ett friskare, mjukare skägg. Lär dig varför dessa ingredienser är avgörande för optimal skäggvård och grooming.</t>
  </si>
  <si>
    <t xml:space="preserve">https://striking-viking.com/es/pages/special-discount</t>
  </si>
  <si>
    <t xml:space="preserve">¡Bienvenido a nuestra página de descuento especial! Gracias por escanear el código QR en el empaque de tu producto y unirte a nosotros aquí. Como muestra de nuestro agradecimiento, nos complace ofrecerte un código de descuento exclusivo que puedes usar en tu próxima compra. Disfruta de un generoso 15% de descuento en t</t>
  </si>
  <si>
    <t xml:space="preserve">https://striking-viking.com/it/pages/sign-up</t>
  </si>
  <si>
    <t xml:space="preserve">https://striking-viking.com/fr/products/striking-viking-sandalwood-beard-shampoo-for-clean-healthy-soft-beard-care-for-men</t>
  </si>
  <si>
    <t xml:space="preserve">Nettoyez, hydratez et adoucissez votre barbe avec le shampooing à barbe au santal Striking Viking. Élimine la saleté et le sébum tout en laissant un parfum santal chaleureux.</t>
  </si>
  <si>
    <t xml:space="preserve">https://striking-viking.com/es/products/beard-growth-balm-with-biotin-2-oz-blue-ocean</t>
  </si>
  <si>
    <t xml:space="preserve">https://striking-viking.com/it/products/striking-viking-sandalwood-beard-shampoo-for-clean-healthy-soft-beard-care-for-men</t>
  </si>
  <si>
    <t xml:space="preserve">Shampoo per barba al sandalo di Striking Viking. Formula naturale che deterge, ammorbidisce e nutre i peli della barba. Goditi un caldo profumo di sandalo ad ogni lavaggio.</t>
  </si>
  <si>
    <t xml:space="preserve">https://striking-viking.com/fr/products/striking-viking-sandalwood-beard-oil</t>
  </si>
  <si>
    <t xml:space="preserve">https://striking-viking.com/de/blogs/learn/top-10-beard-costumes-for-halloween</t>
  </si>
  <si>
    <t xml:space="preserve">Entdecke die besten Bartkostüme für Halloween mit unserer Top 10-Liste mit Kultfiguren wie Wikingern, Forrest Gump und Zauberern. Perfekt für ein auffälliges, einfaches Kostüm!</t>
  </si>
  <si>
    <t xml:space="preserve">https://striking-viking.com/fi/products/striking-viking-unscented-after-shave-balm-for-men-soothing-hydration-skin-care</t>
  </si>
  <si>
    <t xml:space="preserve">After Shave Balm for Men tarjoaa rauhoittavaa, kosteuttavaa hoitoa kaikille ihotyypeille. Tämä hajusteeton balsami elvyttää ja tasapainottaa ihoasi parranajon jälkeen.</t>
  </si>
  <si>
    <t xml:space="preserve">https://striking-viking.com/sv/products/striking-viking-vanilla-beard-balm</t>
  </si>
  <si>
    <t xml:space="preserve">Vanilj Skäggbalsam från Striking Viking. Helt naturlig formula med sheasmör, bivax och arganolja som mjukar upp, formar och tämjer ansiktshår. Fri från djurtester och parabener.</t>
  </si>
  <si>
    <t xml:space="preserve">https://striking-viking.com/es/blogs/learn/elevate-your-look-pomade</t>
  </si>
  <si>
    <t xml:space="preserve">Descubre la Pomada Mate de Striking Viking para un acabado limpio y natural. Nutre y peina tu cabello sin esfuerzo con esta fórmula a base de agua, fácil de enjuagar.</t>
  </si>
  <si>
    <t xml:space="preserve">https://striking-viking.com/fr/products/striking-viking-hair-styling-powder-for-men-light-hold-vanilla-natural-volume-texture</t>
  </si>
  <si>
    <t xml:space="preserve">https://striking-viking.com/fr-ca/products/striking-viking-beard-oil-variety-4-pack-citrus-vanilla-cedarwood-sandalwood</t>
  </si>
  <si>
    <t xml:space="preserve">https://striking-viking.com/fi/products/beard-growth-balm-with-biotin-2-oz-blue-ocean</t>
  </si>
  <si>
    <t xml:space="preserve">https://striking-viking.com/fr-ca/products/charlemagne-round-hair-brush-for-men-professional-styling-brush-for-volume-blow-drying</t>
  </si>
  <si>
    <t xml:space="preserve">Créez du volume et un coiffage lisse avec la brosse à cheveux ronde Charlemagne. Dotée de picots à embouts à billes, d'une prise en main caoutchoutée et d'un design léger pour un brushing sans effort et un entretien quotidien.</t>
  </si>
  <si>
    <t xml:space="preserve">https://striking-viking.com/fr-ca/products/charlemagne-carbon-hair-comb-for-men-professional-heat-resistant-styling-detangling-comb</t>
  </si>
  <si>
    <t xml:space="preserve">https://striking-viking.com/it/products/striking-viking-sandalwood-beard-oil-balm-kit-for-soft-healthy-beard-care-for-men</t>
  </si>
  <si>
    <t xml:space="preserve">Set Olio e Balsamo per Barba Striking Viking al Sandalo. Idrata, ammorbidisce e modella la tua barba con ingredienti naturali. Il duo perfetto per la cura maschile.</t>
  </si>
  <si>
    <t xml:space="preserve">https://striking-viking.com/es/collections/striking-deals</t>
  </si>
  <si>
    <t xml:space="preserve">Descubre ofertas impactantes en Striking Viking. Ahorra en aceites para barba, bálsamos, herramientas de cuidado y esenciales de estilo, elaborados para la comodidad diaria y un estilo seguro.</t>
  </si>
  <si>
    <t xml:space="preserve">https://striking-viking.com/fr-ca/products/2x-mustache-wax-comb-set-sandalwood</t>
  </si>
  <si>
    <t xml:space="preserve">https://striking-viking.com/de/products/rasiercreme-fur-manner-1</t>
  </si>
  <si>
    <t xml:space="preserve">Die Rasiercreme für Männer von Striking Viking veredelt Ihre Rasur mit einem beruhigenden Sandelholzaroma. Sie wurde für empfindliche Haut entwickelt und sorgt für eine glatte, irritationsfreie Rasur.</t>
  </si>
  <si>
    <t xml:space="preserve">https://striking-viking.com/fi/products/striking-viking-beard-filler-pen-2-pack-dual-tip-waterproof-beard-pen-for-natural-beard-filling</t>
  </si>
  <si>
    <t xml:space="preserve">Hanki 2x Striking Viking Dual Tip Parta Filler -kynää. Täytä harvat kohdat, määrittele rajat ja luo luonnollisen näköisiä karvaviivoja. Vedenkestävä, 5 sävyä, kynä ja harja.</t>
  </si>
  <si>
    <t xml:space="preserve">https://striking-viking.com/sv/products/beard-growth-balm-with-biotin-2-oz-vanilla</t>
  </si>
  <si>
    <t xml:space="preserve">https://striking-viking.com/en-ca/pages/special-discount</t>
  </si>
  <si>
    <t xml:space="preserve">Welcome to our Special Discount Page! Thank you for scanning the QR code on your product package and joining us here. As a token of our appreciation, we're delighted to offer you an exclusive discount code that you can use for your next purchase. Enjoy a generous 15% discount on your order with the code: Strikingpackag</t>
  </si>
  <si>
    <t xml:space="preserve">https://striking-viking.com/fi/products/striking-viking-tea-tree-biotin-beard-shampoo-for-clean-healthy-soft-beard-care-for-men</t>
  </si>
  <si>
    <t xml:space="preserve">Parta Shampoo Tea Tree -öljyllä ja Biotiinilla Striking Vikingilta. Puhdistaa ja ravitsee partakarvat tehden niistä pehmeät ja raikkaat. Edistää luonnollisesti terveen partakasvun.</t>
  </si>
  <si>
    <t xml:space="preserve">https://striking-viking.com/fr/products/ontaki-hair-thinning-shears-kit-7-inch-professional-hair-cutting-texturizing-set</t>
  </si>
  <si>
    <t xml:space="preserve">https://striking-viking.com/it/products/striking-viking-hair-styling-powder-for-men-light-hold-vanilla-natural-volume-texture</t>
  </si>
  <si>
    <t xml:space="preserve">Scopri la Polvere Modellante per Capelli con profumo di vaniglia che offre una tenuta leggera, volume naturale e uno stile senza sforzo per uomini. Perfetta per un look fresco e curato ogni giorno.</t>
  </si>
  <si>
    <t xml:space="preserve">https://striking-viking.com/fr-ca/products/striking-viking-vanilla-beard-growth-oil-with-biotin-castor-oil-for-fuller-beard-growth</t>
  </si>
  <si>
    <t xml:space="preserve">https://striking-viking.com/fr-ca/products/ontaki-duckbill-applique-scissors-4-5-inch-carbon-steel-fabric-thread-cutting-scissors</t>
  </si>
  <si>
    <t xml:space="preserve">https://striking-viking.com/es/products/striking-viking-hair-styling-powder-for-men-strong-hold-vanilla-volume-texture</t>
  </si>
  <si>
    <t xml:space="preserve">Striking Viking Polvo para Peinar Vainilla Fijación Fuerte. Volumen sin esfuerzo y control de estilo todo el día con aroma a vainilla. Funciona para todo tipo de cabello.</t>
  </si>
  <si>
    <t xml:space="preserve">https://striking-viking.com/de/products/bartol-unparfumiert</t>
  </si>
  <si>
    <t xml:space="preserve">Bartöl (parfümfrei) für gesunden Glanz, kräftiges Wachstum und kräftiges Barthaar. Genießen Sie eine Spa-Behandlung und professionelle Bartpflege bequem von zu Hause aus.</t>
  </si>
  <si>
    <t xml:space="preserve">https://striking-viking.com/fr-ca/products/striking-viking-sandalwood-beard-growth-kit-with-biotin-oil-0-25mm-derma-roller</t>
  </si>
  <si>
    <t xml:space="preserve">https://striking-viking.com/en-gb/blogs/learn/striking-viking-beard-comb-for-routine-beard-management</t>
  </si>
  <si>
    <t xml:space="preserve">https://striking-viking.com/it/blogs/learn/the-ultimate-beard-growth-routine-for-a-thicker-healthier-beard-2026-guide</t>
  </si>
  <si>
    <t xml:space="preserve">Hai problemi con una barba a chiazze? Scopri la routine definitiva per la crescita della barba usando olio, balsamo e strumenti per la cura, per ottenere una barba più folta e sana.</t>
  </si>
  <si>
    <t xml:space="preserve">https://striking-viking.com/sv/products/striking-viking-sandalwood-beard-balm</t>
  </si>
  <si>
    <t xml:space="preserve">Beard Balm Sandalwood hjälper till att forma, ge glans och mjuka upp ditt skägg med helt naturliga ingredienser. Njut av ett hälsosamt, fylligt skägg med återfuktande egenskaper.</t>
  </si>
  <si>
    <t xml:space="preserve">https://striking-viking.com/it/pages/ilm-form-not-visible</t>
  </si>
  <si>
    <t xml:space="preserve">https://striking-viking.com/it/products/striking-viking-beard-growth-power-kit-with-biotin-beard-oil-shampoo-derma-roller</t>
  </si>
  <si>
    <t xml:space="preserve">Striking Viking Beard Growth Power Kit — un sistema di cura ad alte prestazioni per una barba più piena e folta. Risparmia il 30% su questo kit completo per la cura della barba.</t>
  </si>
  <si>
    <t xml:space="preserve">https://striking-viking.com/fi/products/ontaki-facial-hair-grooming-scissors-2-pack-precision-beard-nose-mustache-trimming</t>
  </si>
  <si>
    <t xml:space="preserve">ONTAKI kasvojen karvojen sakset 2 kpl Striking Vikingilta. Tarkkaa siistimistä parralle, viiksille ja kulmakarvoille. Terävä ruostumaton teräs ammattimaisiin tuloksiin.</t>
  </si>
  <si>
    <t xml:space="preserve">https://striking-viking.com/es/blogs/learn/41241281-the-dude</t>
  </si>
  <si>
    <t xml:space="preserve">Descubre cómo The Dude encarna la confianza y el estilo con su barba legendaria, demostrando que una gran barba puede aumentar tu seguridad hoy mismo. ¡Compra ahora!</t>
  </si>
  <si>
    <t xml:space="preserve">https://striking-viking.com/sv/products/striking-viking-beard-shampoo-conditioner-cologne-argan-jojoba-oil</t>
  </si>
  <si>
    <t xml:space="preserve">Beard Shampoo &amp; Conditioner Cologne erbjuder en återfuktande rengöring med hjälp av argan- och jojobaoljor för att hålla ditt skägg och din hud hälsosam, mjuk och fri från klåda.</t>
  </si>
  <si>
    <t xml:space="preserve">https://striking-viking.com/fi/products/striking-viking-sandalwood-beard-oil-balm-kit-for-soft-healthy-beard-care-for-men</t>
  </si>
  <si>
    <t xml:space="preserve">Striking Viking Partaöljy &amp; Balm Set Sandalwood-tuoksulla. Kosteuttaa, pehmentää ja muotoilee partasi luonnollisilla ainesosilla. Täydellinen hoitopaketti miehille.</t>
  </si>
  <si>
    <t xml:space="preserve">https://striking-viking.com/fr-ca/products/striking-viking-beard-growth-kit-with-beard-roller-vanilla-unscented-biotin-oils-for-men</t>
  </si>
  <si>
    <t xml:space="preserve">https://striking-viking.com/es/products/striking-viking-vanilla-beard-balm-2-pack-with-natural-organic-ingredients-for-beard-styling</t>
  </si>
  <si>
    <t xml:space="preserve">Striking Viking Bálsamo para Barba de Vainilla Pack de 2. Fórmula natural y orgánica que suaviza la barba y reduce la picazón. Manteca de karité, cera de abejas y aceite de argán. Libre de crueldad animal.</t>
  </si>
  <si>
    <t xml:space="preserve">https://striking-viking.com/fr-ca/products/beard-butter-bergamot-thunder</t>
  </si>
  <si>
    <t xml:space="preserve">https://striking-viking.com/fr/products/striking-viking-vanilla-shaving-cream-for-men-rich-lather-for-a-smooth-comfortable-shave</t>
  </si>
  <si>
    <t xml:space="preserve">https://striking-viking.com/it/products/striking-viking-unscented-pre-shave-oil-for-men-smooth-razor-glide-skin-protection</t>
  </si>
  <si>
    <t xml:space="preserve">Striking Viking Olio Pre Barba Senza Profumo. Formula senza fragranze per una rasatura impeccabile e scorrevole, con avanzato effetto emolliente e condizionante per la pelle. Adatto a tutti i tipi di pelle.</t>
  </si>
  <si>
    <t xml:space="preserve">https://striking-viking.com/sv/products/ontaki-curved-fabric-scissors-6-5-inch-german-stainless-steel-embroidery-scissors</t>
  </si>
  <si>
    <t xml:space="preserve">Förbättra dina syprojekt med ONTAKI böjda tygsaxar, tillverkade av tyskt rostfritt stål för rakbladsvassa, precisa snitt. Perfekta för både proffs och hobbyanvändare.</t>
  </si>
  <si>
    <t xml:space="preserve">https://striking-viking.com/fr-ca/products/striking-viking-unscented-pre-shave-oil-for-men-smooth-razor-glide-skin-protection</t>
  </si>
  <si>
    <t xml:space="preserve">https://striking-viking.com/es/products/striking-viking-peppermint-eucalyptus-beard-shampoo-conditioner-set-for-healthy-beard-care</t>
  </si>
  <si>
    <t xml:space="preserve">Set de Champú y Acondicionador para Barba de Menta y Eucalipto de Striking Viking. Limpia, acondiciona y promueve el crecimiento saludable de la barba. Di adiós a la picazón.</t>
  </si>
  <si>
    <t xml:space="preserve">https://striking-viking.com/es/products/ontaki-german-steel-beard-mustache-scissors-professional-grooming-kit</t>
  </si>
  <si>
    <t xml:space="preserve">Tijeras para barba y bigote ONTAKI 5" de acero alemán de Striking Viking. Tijeras de precisión de calidad profesional para un arreglo cómodo y limpio de la barba y el bigote.</t>
  </si>
  <si>
    <t xml:space="preserve">https://striking-viking.com/it/pages/ilm2025</t>
  </si>
  <si>
    <t xml:space="preserve">https://striking-viking.com/fi/products/carbon-hair-comb</t>
  </si>
  <si>
    <t xml:space="preserve">Striking Viking hiilikuituinen hiuskampa, musta. Kaksipuolinen, leveät ja tiheät hampaat. Antistaattinen, kestävä ja lämmönkestävä. Tarkkaa viimeistelyä kotiin ja parturiliikkeeseen.</t>
  </si>
  <si>
    <t xml:space="preserve">https://striking-viking.com/fi/collections/subscribe-save</t>
  </si>
  <si>
    <t xml:space="preserve">Tilaa Striking Viking ja varmista keskeytymätön parranhoito. Nauti ensiluokkaisista tuotteista, jotka toimitetaan suoraan kotiovellesi ilman uudelleentilaamisen vaivaa.</t>
  </si>
  <si>
    <t xml:space="preserve">https://striking-viking.com/fr-ca/products/striking-viking-beard-shampoo-conditioner-cologne-argan-jojoba-oil</t>
  </si>
  <si>
    <t xml:space="preserve">https://striking-viking.com/en-gb/products/charlemagne-carbon-hair-comb-for-men-professional-heat-resistant-styling-detangling-comb</t>
  </si>
  <si>
    <t xml:space="preserve">https://striking-viking.com/fi/products/striking-viking-boar-bristle-beard-brush-for-men-natural-beech-wood-grooming-brush</t>
  </si>
  <si>
    <t xml:space="preserve">Striking Viking Partaharja villisian harjaksilla ja pyökkipuukahvalla. Kesyttää, pehmentää ja kiillottaa partasi. Luonnolliset harjakset antavat huolitellun ja terveen ilmeen.</t>
  </si>
  <si>
    <t xml:space="preserve">https://striking-viking.com/it/products/ontaki-curved-fabric-scissors-6-5-inch-german-stainless-steel-embroidery-scissors</t>
  </si>
  <si>
    <t xml:space="preserve">Migliora i tuoi progetti di cucito con le forbici curve per tessuto ONTAKI, realizzate in acciaio inox tedesco per tagli precisi e affilati come rasoi. Perfette per professionisti e appassionati.</t>
  </si>
  <si>
    <t xml:space="preserve">https://striking-viking.com/fr-ca/products/striking-viking-bergamot-thunder-beard-oil-for-men-natural-beard-growth-oil-with-argan-jojoba</t>
  </si>
  <si>
    <t xml:space="preserve">https://striking-viking.com/es/blogs/learn/the-ultimate-guide-to-tattoo-aftercare-with-striking-viking</t>
  </si>
  <si>
    <t xml:space="preserve">Explora Striking Viking para descubrir consejos esenciales de cuidado posterior del tatuaje que garantizan colores vibrantes, tinta duradera y una cicatrización suave.</t>
  </si>
  <si>
    <t xml:space="preserve">https://striking-viking.com/fr/products/charlemagne-round-hair-brush-for-men-professional-styling-brush-for-volume-blow-drying</t>
  </si>
  <si>
    <t xml:space="preserve">https://striking-viking.com/it/products/striking-viking-sandalwood-beard-balm</t>
  </si>
  <si>
    <t xml:space="preserve">Il Beard Balm Sandalwood aiuta a modellare, lucidare e ammorbidire la tua barba utilizzando ingredienti completamente naturali. Goditi una barba sana e dall’aspetto pieno grazie alle proprietà idratanti.</t>
  </si>
  <si>
    <t xml:space="preserve">https://striking-viking.com/es/products/striking-viking-vanilla-beard-growth-bundle-with-biotin-beard-serum-titanium-derma-roller</t>
  </si>
  <si>
    <t xml:space="preserve">Striking Viking Pack de Crecimiento de Barba con Vainilla, Suero con Biotina y Rodillo Derma de Titanio. 540 agujas para un crecimiento de barba más denso y abundante.</t>
  </si>
  <si>
    <t xml:space="preserve">https://striking-viking.com/es/products/striking-viking-tea-tree-biotin-beard-shampoo-for-clean-healthy-soft-beard-care-for-men</t>
  </si>
  <si>
    <t xml:space="preserve">Champú para barba con árbol de té y biotina de Striking Viking. Limpia y nutre el vello facial para mayor suavidad y frescura. Favorece el crecimiento saludable de la barba de forma natural.</t>
  </si>
  <si>
    <t xml:space="preserve">https://striking-viking.com/en-ca/blogs/learn/top-10-beard-costumes-for-halloween</t>
  </si>
  <si>
    <t xml:space="preserve">https://striking-viking.com/fr-ca/blogs/learn/essential-grooming-supplies-for-the-bearded-man</t>
  </si>
  <si>
    <t xml:space="preserve">https://striking-viking.com/fi/blogs/learn/striking-viking-beard-comb-for-routine-beard-management</t>
  </si>
  <si>
    <t xml:space="preserve">Löydä vaikuttava viikinkimallinen partakampa päivittäiseen partahallintaan. Täydellinen kaikille partatyypeille, hypoallergeeninen, tyylikäs ja kannettava hoitotarpeitasi varten.</t>
  </si>
  <si>
    <t xml:space="preserve">https://striking-viking.com/sv/products/striking-viking-unscented-beard-balm-natural-beard-styling-conditioning</t>
  </si>
  <si>
    <t xml:space="preserve">Beard Balm (Unscented) från Striking Viking ger överlägset stadga, mjukhet och form. Återfuktar och vårdar för ett mer välvårdat och fylligare skägg på ett naturligt sätt.</t>
  </si>
  <si>
    <t xml:space="preserve">https://striking-viking.com/no/products/striking-viking-cedarwood-beard-oil</t>
  </si>
  <si>
    <t xml:space="preserve">Cedarwood Beard Oil fra Striking Viking. Økologiske argan-, jojoba- og sedertreoljer fremmer skjeggvekst, reduserer kløe og gir naturlig glans. Dyrevennlig formel.</t>
  </si>
  <si>
    <t xml:space="preserve">https://striking-viking.com/en-ca/products/ontaki-hair-thinning-shears-kit-7-inch-professional-hair-cutting-texturizing-set</t>
  </si>
  <si>
    <t xml:space="preserve">https://striking-viking.com/sv/products/2x-mustache-wax-comb-set-sandalwood</t>
  </si>
  <si>
    <t xml:space="preserve">https://striking-viking.com/de/products/striking-viking-unscented-beard-shampoo-conditioner-set-natural-beard-care-for-men</t>
  </si>
  <si>
    <t xml:space="preserve">Duftfreies Bartshampoo und Conditioner-Set für Männer. Fördert das Wachstum, reduziert Juckreiz und reinigt gründlich für einen weichen, gesunden und parfümfreien Bart.</t>
  </si>
  <si>
    <t xml:space="preserve">https://striking-viking.com/en-ca/products/ontaki-duckbill-applique-scissors-4-5-inch-carbon-steel-fabric-thread-cutting-scissors</t>
  </si>
  <si>
    <t xml:space="preserve">https://striking-viking.com/fr/blogs/learn/the-ultimate-guide-to-tattoo-aftercare-with-striking-viking</t>
  </si>
  <si>
    <t xml:space="preserve">https://striking-viking.com/it/products/striking-viking-tea-tree-biotin-beard-wash-cologne-for-clean-fresh-healthy-beard-care</t>
  </si>
  <si>
    <t xml:space="preserve">Beard Wash Cologne di Striking Viking offre ingredienti completamente naturali per una fresca fragranza erbacea, nutrendo e idratando la tua barba con Tea Tree e Biotina.</t>
  </si>
  <si>
    <t xml:space="preserve">https://striking-viking.com/en-gb/products/beard-growth-butter-with-biotin-4-oz-blue-ocean</t>
  </si>
  <si>
    <t xml:space="preserve">https://striking-viking.com/fr/products/striking-viking-vanilla-beard-butter-for-soft-hydrated-healthy-beard-care-for-men</t>
  </si>
  <si>
    <t xml:space="preserve">https://striking-viking.com/fi/products/striking-viking-unscented-pre-shave-oil-for-men-smooth-razor-glide-skin-protection</t>
  </si>
  <si>
    <t xml:space="preserve">Striking Viking Pre Shave Oil Hajusteeton. Hajusteeton koostumus takaa saumattoman, sileän ajon edistyksellisellä liukuvuudella ja ihonhoidolla. Sopii kaikille ihotyypeille.</t>
  </si>
  <si>
    <t xml:space="preserve">https://striking-viking.com/de/products/pre-shave-ol-manner-vanille</t>
  </si>
  <si>
    <t xml:space="preserve">Striking Viking Pre Shave Öl Vanille. Nahtloses, sanftes Rasiererlebnis mit warmem Vanilleduft. Spendet Feuchtigkeit und pflegt die Haut für ein gesünderes Pflegeritual.</t>
  </si>
  <si>
    <t xml:space="preserve">https://striking-viking.com/fi/products/beard-growth-butter-with-biotin-4-oz-blue-ocean</t>
  </si>
  <si>
    <t xml:space="preserve">https://striking-viking.com/fr/products/striking-viking-citrus-beard-oil</t>
  </si>
  <si>
    <t xml:space="preserve">L'huile à barbe aux agrumes Striking Viking aide à adoucir, hydrater, soigner et discipliner barbe et moustache grâce à des huiles naturelles et un parfum orange rafraîchissant.</t>
  </si>
  <si>
    <t xml:space="preserve">https://striking-viking.com/en-ca/products/striking-viking-vanilla-beard-growth-bundle-with-biotin-beard-serum-titanium-derma-roller</t>
  </si>
  <si>
    <t xml:space="preserve">https://striking-viking.com/sv/blogs/learn/essential-grooming-supplies-for-the-bearded-man</t>
  </si>
  <si>
    <t xml:space="preserve">Upptäck de bästa skäggvårdsprodukterna för ett glänsande, välvårdat skägg. Handla de främsta groomingprodukterna och verktygen som är utformade för daglig skäggvård och styling.</t>
  </si>
  <si>
    <t xml:space="preserve">https://striking-viking.com/no/products/striking-viking-cedarwood-beard-balm</t>
  </si>
  <si>
    <t xml:space="preserve">Cedarwood Beard Balm fra Striking Viking. Bivoks, sheasmør og arganolje mykgjør, former og temmer skjegget ditt på en naturlig måte. Økologisk, ikke testet på dyr og uten parabener.</t>
  </si>
  <si>
    <t xml:space="preserve">https://striking-viking.com/fr/blogs/learn/41234689-brian-wilson</t>
  </si>
  <si>
    <t xml:space="preserve">https://striking-viking.com/fr-ca/blogs/learn/scented-beard-oil-by-striking-viking</t>
  </si>
  <si>
    <t xml:space="preserve">Découvrez la meilleure huile à barbe parfumée de Striking Viking pour une nutrition en profondeur, une croissance de barbe plus saine et un parfum naturel irrésistible. Parfait pour votre routine de soins !</t>
  </si>
  <si>
    <t xml:space="preserve">https://striking-viking.com/fr-ca/products/striking-viking-cedarwood-beard-oil</t>
  </si>
  <si>
    <t xml:space="preserve">https://striking-viking.com/it/products/striking-viking-unscented-beard-balm-natural-beard-styling-conditioning</t>
  </si>
  <si>
    <t xml:space="preserve">Beard Balm (Unscented) di Striking Viking offre una tenuta superiore, morbidezza e forma. Idrata e nutre per una barba più disciplinata e folta in modo naturale.</t>
  </si>
  <si>
    <t xml:space="preserve">https://striking-viking.com/fr/blogs/learn/the-ultimate-beard-growth-routine-for-a-thicker-healthier-beard-2026-guide</t>
  </si>
  <si>
    <t xml:space="preserve">https://striking-viking.com/it/products/ontaki-duckbill-applique-scissors-4-5-inch-carbon-steel-fabric-thread-cutting-scissors</t>
  </si>
  <si>
    <t xml:space="preserve">ONTAKI Forbici Applique Duckbill 4,5" di Striking Viking. Taglio preciso per tessuti e lavori creativi. Resistenti e comode per progetti di cucito, ricamo e quilting.</t>
  </si>
  <si>
    <t xml:space="preserve">https://striking-viking.com/es/products/striking-viking-vanilla-shaving-cream-for-men-rich-lather-for-a-smooth-comfortable-shave</t>
  </si>
  <si>
    <t xml:space="preserve">Striking Viking Crema de Afeitar Vainilla. Espuma rica con un cálido aroma a vainilla para un afeitado suave y sin irritaciones. Ideal para piel sensible y todo tipo de piel.</t>
  </si>
  <si>
    <t xml:space="preserve">https://striking-viking.com/de/products/charlemagne-carbon-wide-tooth-comb-for-men-heat-resistant-carbon-fiber-hair-comb</t>
  </si>
  <si>
    <t xml:space="preserve">Charlemagne Carbon-Kamm mit breiten Zähnen von Striking Viking. Hergestellt in Deutschland von professionellen Barbieren für sanftes Entwirren von dickem, feuchtem oder schwer zu bändigendem Haar.</t>
  </si>
  <si>
    <t xml:space="preserve">https://striking-viking.com/sv/products/striking-viking-tea-tree-biotin-beard-wash-cologne-for-clean-fresh-healthy-beard-care</t>
  </si>
  <si>
    <t xml:space="preserve">Beard Wash Cologne från Striking Viking erbjuder helt naturliga ingredienser för en fräsch örtig doft, som vårdar och återfuktar ditt skägg med Tea Tree &amp; Biotin.</t>
  </si>
  <si>
    <t xml:space="preserve">https://striking-viking.com/it/blogs/learn/scented-beard-oil-by-striking-viking</t>
  </si>
  <si>
    <t xml:space="preserve">Scopri il miglior olio da barba profumato di Striking Viking per un nutrimento profondo, una crescita della barba più sana e un'irresistibile fragranza naturale. Perfetto per la tua routine di cura personale!</t>
  </si>
  <si>
    <t xml:space="preserve">https://striking-viking.com/en-gb/products/striking-viking-unscented-beard-butter-for-moisturizing-softening-daily-beard-care</t>
  </si>
  <si>
    <t xml:space="preserve">https://striking-viking.com/fi/products/striking-viking-unscented-beard-butter-for-moisturizing-softening-daily-beard-care</t>
  </si>
  <si>
    <t xml:space="preserve">Partavoide tarjoaa intensiivistä kosteutusta ei-rasvaisella koostumuksella, pitkäkestoisella tuoksulla ja välttämättömillä ravinteilla partasi terveydelle. Täydellinen hoitorutiineihin.</t>
  </si>
  <si>
    <t xml:space="preserve">https://striking-viking.com/sv/blogs/learn/41241281-the-dude</t>
  </si>
  <si>
    <t xml:space="preserve">Upptäck hur The Dude utstrålar självförtroende och stil med sitt legendariska skägg, och bevisar att ett fantastiskt skägg kan stärka din självkänsla redan idag. Handla nu!</t>
  </si>
  <si>
    <t xml:space="preserve">https://striking-viking.com/fr/blogs/learn/46928577-tips-to-protect-your-beard-from-the-cold</t>
  </si>
  <si>
    <t xml:space="preserve">https://striking-viking.com/de/blogs/learn/how-to-choose-the-right-hair-cutting-scissors-for-home-or-salon-use</t>
  </si>
  <si>
    <t xml:space="preserve">Entdecken Sie, wie Sie die richtigen Haarschneidescheren für den Heimgebrauch oder den Salon auswählen, um bei jedem Schnitt Ergebnisse in Salonqualität zu erzielen.</t>
  </si>
  <si>
    <t xml:space="preserve">https://striking-viking.com/de/products/bartbalsam-zitrus</t>
  </si>
  <si>
    <t xml:space="preserve">Citrus Bartbalsam von Striking Viking. Natürliches Bienenwachs, Sheabutter und Arganöl machen deinen Bart weich, formen ihn und verleihen ihm Glanz. Bio-Formel, tierversuchsfrei.</t>
  </si>
  <si>
    <t xml:space="preserve">https://striking-viking.com/de/blogs/learn/scented-beard-oil-by-striking-viking</t>
  </si>
  <si>
    <t xml:space="preserve">Entdecken Sie das beste duftende Bartöl von Striking Viking für tiefe Pflege, gesünderes Bartwachstum und einen unwiderstehlichen natürlichen Duft. Perfekt für Ihre Pflegeroutine!</t>
  </si>
  <si>
    <t xml:space="preserve">https://striking-viking.com/it/products/striking-viking-sandalwood-beard-butter-for-soft-hydrated-healthy-beard-care-for-men</t>
  </si>
  <si>
    <t xml:space="preserve">Il Beard Butter offre un’idratazione intensa con una formula non grassa. Vivi una fragranza duratura, versatilità e cura nutriente per la salute della tua barba.</t>
  </si>
  <si>
    <t xml:space="preserve">https://striking-viking.com/fr/products/striking-viking-beard-shampoo-with-natural-peppermint-eucalyptus-for-refreshing-beard-care</t>
  </si>
  <si>
    <t xml:space="preserve">https://striking-viking.com/es/products/striking-viking-sandalwood-beard-butter-for-soft-hydrated-healthy-beard-care-for-men</t>
  </si>
  <si>
    <t xml:space="preserve">La Manteca para Barba proporciona una hidratación intensa con una fórmula no grasa. Experimenta una fragancia duradera, versatilidad y un cuidado nutritivo para la salud de tu barba.</t>
  </si>
  <si>
    <t xml:space="preserve">https://striking-viking.com/fr-ca/products/carbon-wide-tooth-comb</t>
  </si>
  <si>
    <t xml:space="preserve">https://striking-viking.com/it/products/striking-viking-citrus-beard-balm</t>
  </si>
  <si>
    <t xml:space="preserve">Citrus Beard Balm di Striking Viking. Cera d’api naturale, burro di karité e olio di argan ammorbidiscono, modellano e donano lucentezza alla tua barba. Formula biologica e cruelty-free.</t>
  </si>
  <si>
    <t xml:space="preserve">https://striking-viking.com/fi/products/beard-butter-bergamot-thunder</t>
  </si>
  <si>
    <t xml:space="preserve">https://striking-viking.com/es/products/striking-viking-sandalwood-beard-shampoo-for-clean-healthy-soft-beard-care-for-men</t>
  </si>
  <si>
    <t xml:space="preserve">Champú para barba de sándalo de Striking Viking. Fórmula natural que limpia, suaviza y acondiciona el vello facial. Disfruta de un cálido aroma a sándalo en cada lavado.</t>
  </si>
  <si>
    <t xml:space="preserve">https://striking-viking.com/sv/blogs/learn/41234689-brian-wilson</t>
  </si>
  <si>
    <t xml:space="preserve">Upptäck Brian Wilson, en professionell basebollreliefpitcher och vinnare av Veckans Skägg med ett utmärkande skägg. Lär dig mer om hans stil, prestationer och unika skäggstatistik.</t>
  </si>
  <si>
    <t xml:space="preserve">Entdecken Sie Top-Tipps und Naturprodukte für die markante Wikinger-Bartpflege. Erzielen Sie einen sauberen, gepflegten Look mit unseren professionellen Bartpflege-Essentials für Männer.</t>
  </si>
  <si>
    <t xml:space="preserve">https://striking-viking.com/fr/products/striking-viking-vanilla-pre-shave-oil-for-men-smooth-razor-glide-skin-protection</t>
  </si>
  <si>
    <t xml:space="preserve">https://striking-viking.com/de/products/charlemagne-original-hair-pomade-for-men-strong-hold-water-based-styling-pomade-100ml</t>
  </si>
  <si>
    <t xml:space="preserve">Charlemagne Original Haarpomade von Striking Viking. Hergestellt in Deutschland. Klassischer Halt &amp; dezenter Glanz mit Kirsch-Oud-Duft. Perfekt für gepflegte Frisuren.</t>
  </si>
  <si>
    <t xml:space="preserve">https://striking-viking.com/en-gb/products/2x-mustache-wax-comb-set-sandalwood</t>
  </si>
  <si>
    <t xml:space="preserve">https://striking-viking.com/fr/products/striking-viking-beard-growth-oil-with-biotin-sandalwood</t>
  </si>
  <si>
    <t xml:space="preserve">https://striking-viking.com/es/products/striking-viking-citrus-beard-balm</t>
  </si>
  <si>
    <t xml:space="preserve">Bálsamo para barba cítrico de Striking Viking. Cera de abejas natural, manteca de karité y aceite de argán suavizan, moldean y aportan brillo a tu barba. Fórmula orgánica y libre de crueldad.</t>
  </si>
  <si>
    <t xml:space="preserve">https://striking-viking.com/en-ca/products/charlemagne-carbon-hair-comb-for-men-professional-heat-resistant-styling-detangling-comb</t>
  </si>
  <si>
    <t xml:space="preserve">https://striking-viking.com/fi/pages/striking-viking-affiliate-program</t>
  </si>
  <si>
    <t xml:space="preserve">Striking Viking -kumppaniohjelma on tapa luoda ansaita komissioita myynnistä ohjaamalla asiakkaita verkkosivustolle ainutlaatuisten linkkien avulla, liity mukaan tänään!</t>
  </si>
  <si>
    <t xml:space="preserve">https://striking-viking.com/no/blogs/learn/top-10-beard-costumes-for-halloween</t>
  </si>
  <si>
    <t xml:space="preserve">Oppdag de beste skjeggkostymene til Halloween med vår topp 10-liste som fremhever ikoniske karakterer som vikinger, Forrest Gump og trollmenn. Perfekt for et slående, enkelt kostyme!</t>
  </si>
  <si>
    <t xml:space="preserve">https://striking-viking.com/fr-ca/products/striking-viking-terra-sol-beard-balm-for-men-natural-beard-balm-with-shea-butter-jojoba</t>
  </si>
  <si>
    <t xml:space="preserve">https://striking-viking.com/de/products/after-shave-balsam-fur-manner</t>
  </si>
  <si>
    <t xml:space="preserve">After Shave Balsam für Männer bietet beruhigende, feuchtigkeitsspendende Pflege für alle Hauttypen. Dieser geruchsneutrale Balsam regeneriert und gleicht Ihre Haut nach der Rasur aus.</t>
  </si>
  <si>
    <t xml:space="preserve">https://striking-viking.com/fr-ca/blogs/learn/elevate-your-look-pomade</t>
  </si>
  <si>
    <t xml:space="preserve">https://striking-viking.com/fi/products/striking-viking-vanilla-beard-balm-2-pack-with-natural-organic-ingredients-for-beard-styling</t>
  </si>
  <si>
    <t xml:space="preserve">Striking Viking Vanilla Partavoide 2-pack. Luonnollinen ja orgaaninen koostumus pehmentää partaa, vähentää kutinaa. Sheavoi, mehiläisvaha ja arganöljy. Ei eläinkokeita.</t>
  </si>
  <si>
    <t xml:space="preserve">https://striking-viking.com/fr-ca/products/striking-viking-sandalwood-beard-oil-balm-kit-for-soft-healthy-beard-care-for-men</t>
  </si>
  <si>
    <t xml:space="preserve">https://striking-viking.com/fr-ca/products/beard-growth-butter-with-biotin-4-oz-sandalwood</t>
  </si>
  <si>
    <t xml:space="preserve">https://striking-viking.com/fr/products/striking-viking-sandalwood-beard-balm</t>
  </si>
  <si>
    <t xml:space="preserve">Le baume à barbe au santal Striking Viking adoucit, soigne, hydrate et coiffe barbe et moustache grâce à des ingrédients naturels et un parfum santal chaleureux.</t>
  </si>
  <si>
    <t xml:space="preserve">https://striking-viking.com/fr-ca/products/striking-viking-beard-balm-variety-4-pack-citrus-vanilla-cedarwood-sandalwood</t>
  </si>
  <si>
    <t xml:space="preserve">https://striking-viking.com/de/products/bartbalsam-geruchsneutral</t>
  </si>
  <si>
    <t xml:space="preserve">Bartbalsam (unparfümiert) von Striking Viking bietet hervorragenden Halt, Weichheit und Form. Spendet Feuchtigkeit und pflegt für einen natürlich zähmbareren und dichteren Bart.</t>
  </si>
  <si>
    <t xml:space="preserve">https://striking-viking.com/fr-ca/collections/featured-products</t>
  </si>
  <si>
    <t xml:space="preserve">https://striking-viking.com/fr/collections/charlemagne</t>
  </si>
  <si>
    <t xml:space="preserve">Découvrez Charlemagne par Striking Viking — soins premium pour barbe et cheveux aux parfums audacieux : Tabac &amp; Vanille, Cuir &amp; Citron Menthe. Élevez votre routine.</t>
  </si>
  <si>
    <t xml:space="preserve">https://striking-viking.com/es/products/striking-viking-sandalwood-beard-growth-bundle-with-titanium-derma-roller-beard-growth-serum</t>
  </si>
  <si>
    <t xml:space="preserve">Striking Viking Pack de Crecimiento de Barba con Sándalo, Suero Activador de Folículos y Rodillo Derma de Titanio. 540 agujas para un crecimiento de barba más denso y abundante.</t>
  </si>
  <si>
    <t xml:space="preserve">https://striking-viking.com/fi/products/striking-viking-vanilla-beard-growth-kit-with-biotin-oil-0-25mm-derma-roller</t>
  </si>
  <si>
    <t xml:space="preserve">Striking Viking Parta Kasvatuspakkaus vanilja-biotiiiniöljyllä ja derma-rullalla. Edistää luonnollisesti paksumpaa, tuuheampaa parran kasvua. Helppokäyttöinen, kivuton koostumus.</t>
  </si>
  <si>
    <t xml:space="preserve">https://striking-viking.com/sv/pages/special-discount</t>
  </si>
  <si>
    <t xml:space="preserve">Välkommen till vår sida för specialrabatt! Tack för att du skannade QR-koden på din produktförpackning och anslöt dig till oss här. Som ett tecken på vår uppskattning är vi glada att erbjuda dig en exklusiv rabattkod som du kan använda vid ditt nästa köp. Njut av en generös 15% rabatt på din beställning med koden: Stri</t>
  </si>
  <si>
    <t xml:space="preserve">https://striking-viking.com/no/products/ontaki-duckbill-applique-scissors-4-5-inch-carbon-steel-fabric-thread-cutting-scissors</t>
  </si>
  <si>
    <t xml:space="preserve">ONTAKI 4,5" Duckbill applikasjonssaks fra Striking Viking. Presis klipping av stoff og håndarbeid. Slitesterk og komfortabel for sying, broderi og quilting-prosjekter.</t>
  </si>
  <si>
    <t xml:space="preserve">https://striking-viking.com/no/blogs/learn/elevate-your-look-pomade</t>
  </si>
  <si>
    <t xml:space="preserve">Oppdag Striking Viking sin Matte Pomade for en ren, naturlig finish. Gi næring og style håret ditt enkelt med denne vannbaserte formelen som er lett å skylle ut.</t>
  </si>
  <si>
    <t xml:space="preserve">https://striking-viking.com/es/products/striking-viking-citrus-beard-oil</t>
  </si>
  <si>
    <t xml:space="preserve">El Aceite para Barba Citrus suaviza tu barba, restaura la hidratación y promueve el crecimiento. Elaborado a mano con ingredientes orgánicos, doma los vellos rebeldes y reduce la picazón.</t>
  </si>
  <si>
    <t xml:space="preserve">https://striking-viking.com/fi/products/ontaki-beard-mustache-scissors-with-finger-rest-5-inch-german-steel-grooming-kit</t>
  </si>
  <si>
    <t xml:space="preserve">ONTAKI 5" Parta- &amp; Viikset-sakset sormitukella Striking Vikingilta. Saksalainen teräs tarkkaan ja mukavaan siistimiseen. Täydellinen yksityiskohtaiseen huoltoon.</t>
  </si>
  <si>
    <t xml:space="preserve">https://striking-viking.com/fi/products/striking-viking-matte-hair-pomade-for-men-linen-scent-water-based-medium-strong-hold</t>
  </si>
  <si>
    <t xml:space="preserve">Mattaisen lopputuloksen hiuspomade pellavantuoksulla Striking Vikingilta. Keskivahva tai vahva pito, helppo pestä pois. Ravitseva koostumus luonnolliseen ja huoliteltuun muotoiluun joka päivä.</t>
  </si>
  <si>
    <t xml:space="preserve">https://striking-viking.com/fr/blogs/learn/scented-beard-oil-by-striking-viking</t>
  </si>
  <si>
    <t xml:space="preserve">https://striking-viking.com/fi/products/striking-viking-unscented-beard-shampoo-conditioner-set-natural-beard-care-for-men</t>
  </si>
  <si>
    <t xml:space="preserve">Hajusteeton partashampoo ja hoitoainepakkaus miehille. Edistää kasvua, vähentää kutinaa ja puhdistaa syvästi pehmeän, terveen ja hajusteettoman parran saavuttamiseksi.</t>
  </si>
  <si>
    <t xml:space="preserve">https://striking-viking.com/no/products/striking-viking-unscented-beard-balm-natural-beard-styling-conditioning</t>
  </si>
  <si>
    <t xml:space="preserve">Beard Balm (Unscented) fra Striking Viking gir overlegen hold, mykhet og form. Fuktighetsgivende og pleiende for et mer velstelt og fyldigere skjegg – helt naturlig.</t>
  </si>
  <si>
    <t xml:space="preserve">https://striking-viking.com/sv/products/beard-butter-bergamot-thunder</t>
  </si>
  <si>
    <t xml:space="preserve">https://striking-viking.com/fr/products/ontaki-japanese-steel-beard-hair-scissors-5-5-inch-professional-grooming-shears</t>
  </si>
  <si>
    <t xml:space="preserve">https://striking-viking.com/it/pages/beard-filler-pens</t>
  </si>
  <si>
    <t xml:space="preserve">Scopri le migliori penne riempitive per barba da uomo. Riempi all’istante le zone rade, definisci i contorni della barba e ottieni un aspetto più folto con tratti naturali simili ai peli.</t>
  </si>
  <si>
    <t xml:space="preserve">https://striking-viking.com/de/pages/write-a-review</t>
  </si>
  <si>
    <t xml:space="preserve">https://striking-viking.com/it/products/charlemagne-carbon-wide-tooth-comb-for-men-heat-resistant-carbon-fiber-hair-comb</t>
  </si>
  <si>
    <t xml:space="preserve">Charlemagne Pettine a Denti Larghi in Carbonio di Striking Viking. Realizzato in Germania da barbieri professionisti per districare delicatamente capelli spessi, umidi o difficili da gestire.</t>
  </si>
  <si>
    <t xml:space="preserve">https://striking-viking.com/es/products/carbon-wide-tooth-comb</t>
  </si>
  <si>
    <t xml:space="preserve">Striking Viking Peine de carbono de dientes anchos negro. Diseño antiestático y resistente al calor para desenredar cabello grueso, rizado o húmedo. Ligero y duradero.</t>
  </si>
  <si>
    <t xml:space="preserve">https://striking-viking.com/fr-ca/products/striking-viking-sandalwood-beard-balm</t>
  </si>
  <si>
    <t xml:space="preserve">https://striking-viking.com/sv/products/striking-viking-bergamot-thunder-beard-oil-for-men-natural-beard-growth-oil-with-argan-jojoba</t>
  </si>
  <si>
    <t xml:space="preserve">Upptäck fördelarna med Beard Oil - Bergamot Thunder, tillverkad med helt naturliga ingredienser för att främja skäggväxt, minska irritation och ge glans. Beställ idag!</t>
  </si>
  <si>
    <t xml:space="preserve">https://striking-viking.com/fr-ca/blogs/learn/spring-style-refresh-how-to-update-your-beard-and-hair-for-warmer-weather</t>
  </si>
  <si>
    <t xml:space="preserve">https://striking-viking.com/fr/products/striking-viking-hair-styling-powder-for-men-strong-hold-vanilla-volume-texture</t>
  </si>
  <si>
    <t xml:space="preserve">https://striking-viking.com/sv/products/striking-viking-sandalwood-beard-oil</t>
  </si>
  <si>
    <t xml:space="preserve">Beard Oil Sandalwood mjukar upp, vårdar och främjar skäggväxt. Handgjord med ekologiska ingredienser, tämjer den bångstyriga strån för ett glänsande, kli-fritt skägg.</t>
  </si>
  <si>
    <t xml:space="preserve">https://striking-viking.com/fr-ca/products/gift-wrapping</t>
  </si>
  <si>
    <t xml:space="preserve">https://striking-viking.com/es/pages/ilm2025</t>
  </si>
  <si>
    <t xml:space="preserve">https://striking-viking.com/es/products/striking-viking-sandalwood-beard-shampoo-conditioner-set-hydrating-beard-care-for-men</t>
  </si>
  <si>
    <t xml:space="preserve">Set de Champú y Acondicionador para Barba de Sándalo de Striking Viking. Fórmula natural que restaura la hidratación, limpia en profundidad y promueve el crecimiento saludable de la barba.</t>
  </si>
  <si>
    <t xml:space="preserve">https://striking-viking.com/de/blogs/learn/beard-oil-vs-beard-balm-solving-the-modern-problem-for-gentlemen-with-beards</t>
  </si>
  <si>
    <t xml:space="preserve">Entdecke Bartöl und seine Vorteile im Vergleich zu Bartbalsam. Finde in diesem unverzichtbaren Ratgeber heraus, welches Produkt ideal für deine Bartpflege-Routine ist.</t>
  </si>
  <si>
    <t xml:space="preserve">https://striking-viking.com/es/products/2x-mustache-wax-comb-set-sandalwood</t>
  </si>
  <si>
    <t xml:space="preserve">https://striking-viking.com/fr/blogs/learn/all-you-need-to-know-about-beard-filler-pens</t>
  </si>
  <si>
    <t xml:space="preserve">Découvrez comment les stylos combleurs pour barbe peuvent remplir les zones clairsemées et masquer les trous, pour une barbe plus dense sans craindre d’être démasqué.</t>
  </si>
  <si>
    <t xml:space="preserve">https://striking-viking.com/es/products/striking-viking-tea-tree-biotin-beard-shampoo-conditioner-set-for-healthy-beard-care</t>
  </si>
  <si>
    <t xml:space="preserve">Set de Champú y Acondicionador para Barba con Árbol de Té y Biotina de Striking Viking. Nutre, estimula el crecimiento y previene la picazón para una barba limpia, saludable y sofisticada.</t>
  </si>
  <si>
    <t xml:space="preserve">https://striking-viking.com/fr-ca/products/striking-viking-beard-growth-mastery-bundle-with-sandalwood-vanilla-biotin-oils-and-derma-roller</t>
  </si>
  <si>
    <t xml:space="preserve">https://striking-viking.com/fr-ca/products/striking-viking-citrus-beard-oil</t>
  </si>
  <si>
    <t xml:space="preserve">https://striking-viking.com/fi/products/striking-viking-vanilla-beard-balm</t>
  </si>
  <si>
    <t xml:space="preserve">Vanilla Partavoide by Striking Viking. Täysin luonnollinen sheavoi-, mehiläisvaha- ja arganöljyseos pehmentää, muotoilee ja kesyttää kasvojen karvoituksen. Eläinkokeeton ja parabeeniton.</t>
  </si>
  <si>
    <t xml:space="preserve">https://striking-viking.com/it/products/beard-growth-butter-with-biotin-4-oz-blue-ocean</t>
  </si>
  <si>
    <t xml:space="preserve">https://striking-viking.com/fr-ca/collections/subscribe-save</t>
  </si>
  <si>
    <t xml:space="preserve">https://striking-viking.com/fr/pages/ilm-form-not-visible</t>
  </si>
  <si>
    <t xml:space="preserve">https://striking-viking.com/en-gb/products/striking-viking-unscented-beard-oil-and-balm-kit-natural-beard-grooming-set-for-men</t>
  </si>
  <si>
    <t xml:space="preserve">https://striking-viking.com/es/products/striking-viking-folding-wooden-comb-sandalwood-beard-hair-comb</t>
  </si>
  <si>
    <t xml:space="preserve">Peine de madera plegable: Eleva tu rutina de cuidado con nuestro peine de sándalo estilo navaja. Promueve el crecimiento saludable del cabello y reduce la rotura sin esfuerzo.</t>
  </si>
  <si>
    <t xml:space="preserve">https://striking-viking.com/it/products/striking-viking-battle-ready-beard-care-kit-with-beard-oils-balms-beard-filler-pen</t>
  </si>
  <si>
    <t xml:space="preserve">Striking Viking Battle-Ready Beard Kit — il kit definitivo per la cura della barba. Tutto ciò di cui la tua barba ha bisogno per apparire folta, curata e potente. Risparmia fino al 33%.</t>
  </si>
  <si>
    <t xml:space="preserve">https://striking-viking.com/en-ca/products/ontaki-curved-fabric-scissors-6-5-inch-german-stainless-steel-embroidery-scissors</t>
  </si>
  <si>
    <t xml:space="preserve">https://striking-viking.com/it/products/striking-viking-sandalwood-after-shave-balm-for-men-soothing-hydration-skin-care</t>
  </si>
  <si>
    <t xml:space="preserve">Striking Viking Balsamo Dopobarba al Sandalo. Lenisce e idrata la pelle dopo la rasatura con una fragranza maschile al sandalo. Senza alcol, adatto a tutti i tipi di pelle.</t>
  </si>
  <si>
    <t xml:space="preserve">https://striking-viking.com/en-ca/products/beard-butter-blue-ocean</t>
  </si>
  <si>
    <t xml:space="preserve">https://striking-viking.com/es/products/striking-viking-unscented-beard-shampoo-conditioner-set-natural-beard-care-for-men</t>
  </si>
  <si>
    <t xml:space="preserve">Set de champú y acondicionador para barba sin fragancia para hombres. Promueve el crecimiento, reduce la picazón y limpia profundamente para una barba suave, saludable y sin aroma.</t>
  </si>
  <si>
    <t xml:space="preserve">https://striking-viking.com/fr-ca/blogs/learn/all-you-need-to-know-about-beard-filler-pens</t>
  </si>
  <si>
    <t xml:space="preserve">https://striking-viking.com/no/products/striking-viking-beard-rehab-growth-kit-with-sandalwood-beard-care-derma-roller</t>
  </si>
  <si>
    <t xml:space="preserve">Striking Viking Skjegg Rehab &amp; Vekstsett i sandeltre. Utviklet for å reparere, gro og forbedre skjegget ditt med daglig fuktighet og grundig rens. Komplett sett.</t>
  </si>
  <si>
    <t xml:space="preserve">https://striking-viking.com/fr-ca/products/round-hair-brush</t>
  </si>
  <si>
    <t xml:space="preserve">https://striking-viking.com/sv/collections/last-chance-bogo-free</t>
  </si>
  <si>
    <t xml:space="preserve">https://striking-viking.com/fr-ca/products/striking-viking-folding-wooden-beard-comb-for-men-anti-static-sandalwood-grooming-comb</t>
  </si>
  <si>
    <t xml:space="preserve">https://striking-viking.com/sv/products/beard-growth-balm-with-biotin-2-oz-blue-ocean</t>
  </si>
  <si>
    <t xml:space="preserve">https://striking-viking.com/fr/products/charlemagne-original-hair-pomade-for-men-strong-hold-water-based-styling-pomade-100ml</t>
  </si>
  <si>
    <t xml:space="preserve">Coiffez vos cheveux avec la pommade coiffante Original Charlemagne. Formule à base aqueuse à tenue forte et flexible, brillance naturelle et parfum cerise et oud pour des coiffures classiques.</t>
  </si>
  <si>
    <t xml:space="preserve">https://striking-viking.com/es/products/striking-viking-beard-rehab-growth-kit-with-sandalwood-beard-care-derma-roller</t>
  </si>
  <si>
    <t xml:space="preserve">Striking Viking Kit de Recuperación y Crecimiento de Barba en Sándalo. Diseñado para reparar, hacer crecer y mejorar tu barba con hidratación diaria y limpieza profunda. Set completo.</t>
  </si>
  <si>
    <t xml:space="preserve">https://striking-viking.com/de/pages/beard-filler-pens</t>
  </si>
  <si>
    <t xml:space="preserve">Entdecke die besten Bart-Füllstifte für Männer. Fülle Bartlücken sofort auf, definiere Bartkonturen und sorge mit natürlichen, haarähnlichen Strichen für einen volleren Bart.</t>
  </si>
  <si>
    <t xml:space="preserve">https://striking-viking.com/no/blogs/learn/essential-grooming-supplies-for-the-bearded-man</t>
  </si>
  <si>
    <t xml:space="preserve">Oppdag de beste skjeggpleieproduktene for et glansfullt, velstelt skjegg. Handle førsteklasses pleieprodukter og verktøy designet for daglig skjegghåndtering og styling.</t>
  </si>
  <si>
    <t xml:space="preserve">https://striking-viking.com/es/products/striking-viking-hybrid-beard-growth-bundle-with-sandalwood-unscented-beard-oils-and-derma-roller</t>
  </si>
  <si>
    <t xml:space="preserve">Striking Viking Pack Híbrido para el Crecimiento de la Barba con Aceites de Biotina de Sándalo y Sin Fragancia + Derma Roller de Titanio. Elige entre sin aroma o con fragancia — tú decides.</t>
  </si>
  <si>
    <t xml:space="preserve">https://striking-viking.com/fr/blogs/learn/beard-grooming-tools-for-professional-styling-at-home</t>
  </si>
  <si>
    <t xml:space="preserve">Découvrez des outils de soin de barbe haut de gamme pour obtenir un style professionnel à la maison. Achetez dès aujourd'hui notre kit de soins pour barbe, ciseaux, brosses et accessoires. Parfait pour une barbe d'exception.</t>
  </si>
  <si>
    <t xml:space="preserve">https://striking-viking.com/sv/products/sandalwood-wooden-beard-comb-black-striking-viking</t>
  </si>
  <si>
    <t xml:space="preserve">Striking Viking sandelträ kam i trä för skägg, svart. Minskar slitage och statisk elektricitet med dubbelsidig design. Perfekt för att forma och vårda ditt skägg varje dag.</t>
  </si>
  <si>
    <t xml:space="preserve">https://striking-viking.com/es/products/striking-viking-unscented-beard-butter-for-moisturizing-softening-daily-beard-care</t>
  </si>
  <si>
    <t xml:space="preserve">Beard Butter ofrece una hidratación intensa con una fórmula no grasa, fragancia duradera y nutrientes esenciales para la salud de la barba. Perfecto para las rutinas de cuidado.</t>
  </si>
  <si>
    <t xml:space="preserve">https://striking-viking.com/fr-ca/pages/special-discount</t>
  </si>
  <si>
    <t xml:space="preserve">https://striking-viking.com/fr-ca/products/ontaki-curved-fabric-scissors-6-5-inch-german-stainless-steel-embroidery-scissors</t>
  </si>
  <si>
    <t xml:space="preserve">https://striking-viking.com/fi/products/striking-viking-vanilla-after-shave-balm-for-men-soothing-hydration-skin-care</t>
  </si>
  <si>
    <t xml:space="preserve">Striking Viking Parranajon jälkeinen balsami Vanilja. Rauhoittaa, kosteuttaa ja elvyttää ihoa parranajon jälkeen lämpimällä vaniljan tuoksulla. Ravitseva kaikille ihotyypeille.</t>
  </si>
  <si>
    <t xml:space="preserve">https://striking-viking.com/fr-ca/products/striking-viking-matte-hair-pomade-for-men-linen-scent-water-based-medium-strong-hold</t>
  </si>
  <si>
    <t xml:space="preserve">https://striking-viking.com/fi/products/striking-viking-folding-wooden-beard-comb-for-men-anti-static-sandalwood-grooming-comb</t>
  </si>
  <si>
    <t xml:space="preserve">Striking Viking taitettava puinen kampa miehille. Antistaattinen santelipuu, kaksipuolinen muotoilu parran ja hiusten hoitoon. Kannettava, käsin kiillotettu ja matkakäyttöön valmis.</t>
  </si>
  <si>
    <t xml:space="preserve">https://striking-viking.com/es/products/striking-viking-sandalwood-after-shave-balm-for-men-soothing-hydration-skin-care</t>
  </si>
  <si>
    <t xml:space="preserve">Bálsamo After Shave Striking Viking con sándalo. Calma e hidrata la piel después del afeitado con una fragancia masculina de sándalo. Sin alcohol, apto para todo tipo de piel.</t>
  </si>
  <si>
    <t xml:space="preserve">https://striking-viking.com/de/products/striking-viking-unscented-beard-oil-and-balm-kit-natural-beard-grooming-set-for-men</t>
  </si>
  <si>
    <t xml:space="preserve">Striking Viking Bartöl &amp; Balsam Set Unparfümiert. Spendet Feuchtigkeit, macht den Bart weich und formt ihn mit natürlichen Inhaltsstoffen. Ohne Duftstoffe für empfindliche Haut.</t>
  </si>
  <si>
    <t xml:space="preserve">https://striking-viking.com/es/products/striking-viking-unscented-beard-oil-and-balm-kit-natural-beard-grooming-set-for-men</t>
  </si>
  <si>
    <t xml:space="preserve">Set de Aceite y Bálsamo para Barba Striking Viking Sin Fragancia. Hidrata, suaviza y da estilo a tu barba con ingredientes naturales. Sin perfume, ideal para piel sensible.</t>
  </si>
  <si>
    <t xml:space="preserve">https://striking-viking.com/es/products/striking-viking-vanilla-beard-growth-oil-with-biotin-castor-oil-for-fuller-beard-growth</t>
  </si>
  <si>
    <t xml:space="preserve">El Aceite para el Crecimiento de la Barba nutre y acondiciona tu barba. Enriquecido con biotina y aceite de ricino para un crecimiento máximo, asegura una barba más densa y manejable.</t>
  </si>
  <si>
    <t xml:space="preserve">https://striking-viking.com/fi/pages/write-a-review</t>
  </si>
  <si>
    <t xml:space="preserve">https://striking-viking.com/en-ca/products/striking-viking-vanilla-beard-balm-2-pack-with-natural-organic-ingredients-for-beard-styling</t>
  </si>
  <si>
    <t xml:space="preserve">https://striking-viking.com/fr-ca/products/ontaki-facial-hair-grooming-scissors-2-pack-precision-beard-nose-mustache-trimming</t>
  </si>
  <si>
    <t xml:space="preserve">https://striking-viking.com/fi/products/striking-viking-sandalwood-shaving-cream-for-men-rich-lather-for-a-smooth-comfortable-shave</t>
  </si>
  <si>
    <t xml:space="preserve">Miesten partavaahto Striking Viking nostaa parranajosi rauhoittavalla santelipuun aromilla, joka on suunniteltu herkälle iholle varmistaen sileän, ärsyttämättömän parranajon.</t>
  </si>
  <si>
    <t xml:space="preserve">https://striking-viking.com/fr-ca/products/ontaki-japanese-steel-beard-mustache-scissors-5-5-inch-professional-grooming-kit</t>
  </si>
  <si>
    <t xml:space="preserve">https://striking-viking.com/no/blogs/learn/16918829-the-ingredients-and-why-they-matter</t>
  </si>
  <si>
    <t xml:space="preserve">Oppdag de viktigste ingrediensene i skjeggolje som bidrar til et sunnere, mykere skjegg. Lær hvorfor disse ingrediensene er essensielle for optimal skjeggpleie og grooming.</t>
  </si>
  <si>
    <t xml:space="preserve">https://striking-viking.com/en-gb/blogs/learn/top-10-beard-costumes-for-halloween</t>
  </si>
  <si>
    <t xml:space="preserve">https://striking-viking.com/fi/blogs/learn/the-ultimate-guide-to-tattoo-aftercare-with-striking-viking</t>
  </si>
  <si>
    <t xml:space="preserve">Tutustu Striking Viking -tuotteisiin ja löydä tärkeimmät vinkit tatuoinnin jälkihoitoon, jotka varmistavat kirkkaat, pitkäkestoiset värit ja sujuvan paranemisprosessin.</t>
  </si>
  <si>
    <t xml:space="preserve">https://striking-viking.com/sv/products/striking-viking-biotin-beard-growth-oil-for-men-unscented-beard-growth-serum</t>
  </si>
  <si>
    <t xml:space="preserve">Beard Growth Oil Biotin (Oparfymerad) från Striking Viking. Argan- och jojobaoljor främjar fylligare, friskare skäggväxt. Icke-fet, kliar inte och är lätt att applicera.</t>
  </si>
  <si>
    <t xml:space="preserve">https://striking-viking.com/es/products/striking-viking-sandalwood-shaving-cream-for-men-rich-lather-for-a-smooth-comfortable-shave</t>
  </si>
  <si>
    <t xml:space="preserve">Crema de afeitar para hombres de Striking Viking eleva tu afeitado con un relajante aroma a sándalo, diseñada para piel sensible y garantiza un afeitado suave y sin irritaciones.</t>
  </si>
  <si>
    <t xml:space="preserve">https://striking-viking.com/no/pages/special-discount</t>
  </si>
  <si>
    <t xml:space="preserve">Velkommen til vår spesielle rabattside! Takk for at du skannet QR-koden på produktpakken din og ble med oss her. Som et tegn på vår takknemlighet, er vi glade for å kunne tilby deg en eksklusiv rabattkode du kan bruke på ditt neste kjøp. Nyt en raus 15 % rabatt på bestillingen din med koden: Strikingpackage15 For å sik</t>
  </si>
  <si>
    <t xml:space="preserve">https://striking-viking.com/es/products/striking-viking-bergamot-thunder-beard-oil-for-men-natural-beard-growth-oil-with-argan-jojoba</t>
  </si>
  <si>
    <t xml:space="preserve">Descubre los beneficios del Aceite para Barba - Bergamot Thunder, elaborado con ingredientes totalmente naturales para promover el crecimiento de la barba, reducir la irritación y aportar brillo. ¡Haz tu pedido hoy!</t>
  </si>
  <si>
    <t xml:space="preserve">https://striking-viking.com/es/products/striking-viking-unscented-pre-shave-oil-for-men-smooth-razor-glide-skin-protection</t>
  </si>
  <si>
    <t xml:space="preserve">Striking Viking Aceite Pre Afeitado Sin Fragancia. Fórmula sin perfume para un afeitado impecable y suave, con deslizamiento avanzado y acondicionamiento de la piel. Para todo tipo de piel.</t>
  </si>
  <si>
    <t xml:space="preserve">https://striking-viking.com/de/products/after-shave-balsam</t>
  </si>
  <si>
    <t xml:space="preserve">Striking Viking Aftershave-Balsam mit Sandelholz. Beruhigt und spendet Feuchtigkeit nach der Rasur mit einem maskulinen Sandelholzduft. Alkoholfrei und für alle Hauttypen geeignet.</t>
  </si>
  <si>
    <t xml:space="preserve">https://striking-viking.com/fr-ca/collections/charlemagne</t>
  </si>
  <si>
    <t xml:space="preserve">https://striking-viking.com/fr-ca/blogs/learn/beard-grooming-tools-for-professional-styling-at-home</t>
  </si>
  <si>
    <t xml:space="preserve">https://striking-viking.com/fi/products/striking-viking-vanilla-beard-growth-oil-with-biotin-castor-oil-for-fuller-beard-growth</t>
  </si>
  <si>
    <t xml:space="preserve">Partakasvuöljy ravitsee ja hoitaa partaasi. Biotiinilla ja ricinöljyllä infusoituna maksimaalista kasvua varten se varmistaa täyteläisemmän ja hallittavamman parran.</t>
  </si>
  <si>
    <t xml:space="preserve">https://striking-viking.com/it/products/2x-mustache-wax-comb-set-sandalwood</t>
  </si>
  <si>
    <t xml:space="preserve">https://striking-viking.com/fi/blogs/learn/41234689-brian-wilson</t>
  </si>
  <si>
    <t xml:space="preserve">Tutustu Brian Wilsoniin, ammattimainen baseballin pelastuspelaaja ja Viikon Parta -voittaja, jolla on erottuva parta. Opi hänen tyylistään, saavutuksistaan ja ainutlaatuisista partastatistiikoistaan.</t>
  </si>
  <si>
    <t xml:space="preserve">https://striking-viking.com/fr/pages/sign-up</t>
  </si>
  <si>
    <t xml:space="preserve">https://striking-viking.com/es/blogs/learn/essential-grooming-supplies-for-the-bearded-man</t>
  </si>
  <si>
    <t xml:space="preserve">Descubre los mejores productos para el cuidado de la barba y luce una barba lustrosa y bien arreglada. Compra los mejores suministros y herramientas de aseo diseñados para el manejo y el estilo diario de la barba.</t>
  </si>
  <si>
    <t xml:space="preserve">https://striking-viking.com/fr-ca/pages/striking-viking-affiliate-program</t>
  </si>
  <si>
    <t xml:space="preserve">https://striking-viking.com/de/products/pre-shave-ol-manner</t>
  </si>
  <si>
    <t xml:space="preserve">Striking Viking Pre-Shave-Öl Sandelholz. Sorgt für eine glatte, gleitunterstützte Rasur mit Sandelholzduft. Spendet Feuchtigkeit und schützt die Haut vor jeder Rasur.</t>
  </si>
  <si>
    <t xml:space="preserve">https://striking-viking.com/fi/blogs/learn/scented-beard-oil-by-striking-viking</t>
  </si>
  <si>
    <t xml:space="preserve">Löydä paras tuoksuva partaöljy Striking Vikingilta syvään ravitsemukseen, terveellisempään partakasvuun ja vastustamattomaan luonnolliseen tuoksuun. Täydellinen hoitorutiiniisi!</t>
  </si>
  <si>
    <t xml:space="preserve">https://striking-viking.com/de/products/haarfasern-fur-manner</t>
  </si>
  <si>
    <t xml:space="preserve">Die Haarfaserlösung für Männer für natürlich volleres Haar. Erleben Sie die verdichtenden Fasern von Striking Viking, ideal für Männer und Frauen, für langanhaltende Ergebnisse.</t>
  </si>
  <si>
    <t xml:space="preserve">https://striking-viking.com/fi/products/striking-viking-terra-sol-beard-balm-for-men-natural-beard-balm-with-shea-butter-jojoba</t>
  </si>
  <si>
    <t xml:space="preserve">Partavoide Terra Sol mehiläisvahalla, sheavoilla ja jojoballa. Muotoilee, pehmentää ja ravitsee luonnollisesti. Ei jätä rasvaiseksi, on luomu ja eläinkokeeton. Ilmainen toimitus EU-alueelle.</t>
  </si>
  <si>
    <t xml:space="preserve">https://striking-viking.com/es/blogs/learn/striking-viking-beard-comb-for-routine-beard-management</t>
  </si>
  <si>
    <t xml:space="preserve">Descubre el Striking Viking Beard Comb para el cuidado rutinario de la barba. Perfecto para todo tipo de barbas, hipoalergénico, elegante y portátil para tus necesidades de cuidado personal.</t>
  </si>
  <si>
    <t xml:space="preserve">https://striking-viking.com/sv/products/striking-viking-citrus-beard-balm</t>
  </si>
  <si>
    <t xml:space="preserve">Citrus Skäggbalsam från Striking Viking. Naturligt bivax, sheasmör och arganolja mjukar upp, formar och ger glans åt ditt skägg. Ekologisk, cruelty-free formula.</t>
  </si>
  <si>
    <t xml:space="preserve">https://striking-viking.com/fr-ca/products/striking-viking-unscented-beard-oil-and-balm-kit-natural-beard-grooming-set-for-men</t>
  </si>
  <si>
    <t xml:space="preserve">https://striking-viking.com/es/products/striking-viking-terra-sol-beard-balm-for-men-natural-beard-balm-with-shea-butter-jojoba</t>
  </si>
  <si>
    <t xml:space="preserve">Bálsamo para Barba Terra Sol con cera de abejas, manteca de karité y jojoba. Estiliza, suaviza y nutre de forma natural. No graso, orgánico y libre de crueldad. Envío gratis a la UE.</t>
  </si>
  <si>
    <t xml:space="preserve">https://striking-viking.com/es/products/striking-viking-battle-ready-beard-care-kit-with-beard-oils-balms-beard-filler-pen</t>
  </si>
  <si>
    <t xml:space="preserve">Striking Viking Battle-Ready Beard Kit — el set de cuidado definitivo. Todo lo que tu barba necesita para lucir completa, definida y poderosa. Ahorra hasta un 33%.</t>
  </si>
  <si>
    <t xml:space="preserve">https://striking-viking.com/en-gb/pages/special-discount</t>
  </si>
  <si>
    <t xml:space="preserve">https://striking-viking.com/de/pages/striking-viking-affiliate-program</t>
  </si>
  <si>
    <t xml:space="preserve">Das Partnerprogramm von Striking Viking ist eine Möglichkeit für Entwickler, Provisionen für Verkäufe zu verdienen, indem sie Kunden über einzigartige Links auf die Website verweisen. Melden Sie sich noch heute an!</t>
  </si>
  <si>
    <t xml:space="preserve">https://striking-viking.com/fr-ca/products/striking-viking-hybrid-beard-growth-bundle-with-sandalwood-unscented-beard-oils-and-derma-roller</t>
  </si>
  <si>
    <t xml:space="preserve">https://striking-viking.com/no/products/striking-viking-beard-balm-variety-4-pack-citrus-vanilla-cedarwood-sandalwood</t>
  </si>
  <si>
    <t xml:space="preserve">Striking Viking Skjeggbalsam 4-pakning Variasjonssett. Naturlige ingredienser, enkel påføring, ikke-fet styling. Gjør skjegget mykere og reduserer kløe. Ikke testet på dyr.</t>
  </si>
  <si>
    <t xml:space="preserve">https://striking-viking.com/fi/products/striking-viking-hair-styling-powder-for-men-light-hold-vanilla-natural-volume-texture</t>
  </si>
  <si>
    <t xml:space="preserve">Löydä hiusten muotoilujauhe vaniljan tuoksulla, joka tarjoaa kevyen pidon, luonnollista volyymia ja vaivatonta tyyliä miehille. Täydellinen raikkaaseen, terävään ilmeeseen joka päivä.</t>
  </si>
  <si>
    <t xml:space="preserve">https://striking-viking.com/es/pages/ilm-2025-sign-up</t>
  </si>
  <si>
    <t xml:space="preserve">https://striking-viking.com/sv/products/striking-viking-beard-balm-variety-4-pack-citrus-vanilla-cedarwood-sandalwood</t>
  </si>
  <si>
    <t xml:space="preserve">Striking Viking Skäggbalsam 4-pack Variation Set. Naturliga ingredienser, enkel applicering, fettfri styling. Mjukgör skägget och minskar klåda. Ej testad på djur.</t>
  </si>
  <si>
    <t xml:space="preserve">https://striking-viking.com/es/collections/last-chance-bogo-free</t>
  </si>
  <si>
    <t xml:space="preserve">https://striking-viking.com/fr-ca/products/striking-viking-unscented-after-shave-balm-for-men-soothing-hydration-skin-care</t>
  </si>
  <si>
    <t xml:space="preserve">https://striking-viking.com/fr/products/striking-viking-beard-growth-power-kit-with-biotin-beard-oil-shampoo-derma-roller</t>
  </si>
  <si>
    <t xml:space="preserve">https://striking-viking.com/fr-ca/blogs/learn/41241281-the-dude</t>
  </si>
  <si>
    <t xml:space="preserve">https://striking-viking.com/en-ca/products/striking-viking-vanilla-pre-shave-oil-for-men-smooth-razor-glide-skin-protection</t>
  </si>
  <si>
    <t xml:space="preserve">https://striking-viking.com/fi/blogs/learn/elevate-your-look-pomade</t>
  </si>
  <si>
    <t xml:space="preserve">Löydä Striking Vikingin mattapomade puhtaaseen, luonnolliseen lopputulokseen. Ravitse ja muotoile hiuksesi vaivattomasti tällä helposti pois huuhdeltavalla, vesipohjaisella koostumuksella.</t>
  </si>
  <si>
    <t xml:space="preserve">https://striking-viking.com/fr-ca/products/striking-viking-sandalwood-beard-shampoo-for-clean-healthy-soft-beard-care-for-men</t>
  </si>
  <si>
    <t xml:space="preserve">https://striking-viking.com/en-gb/products/beard-butter-blue-ocean</t>
  </si>
  <si>
    <t xml:space="preserve">https://striking-viking.com/de/blogs/learn/46928577-tips-to-protect-your-beard-from-the-cold</t>
  </si>
  <si>
    <t xml:space="preserve">Entdecken Sie wichtige Bartpflegetipps, um Ihren Bart vor der Kälte zu schützen. Erfahren Sie, wie Sie Ihren Bart im Winter gesund, mit Feuchtigkeit versorgt und stilvoll halten.</t>
  </si>
  <si>
    <t xml:space="preserve">https://striking-viking.com/fr-ca/products/charlemagne-original-hair-pomade-for-men-strong-hold-water-based-styling-pomade-100ml</t>
  </si>
  <si>
    <t xml:space="preserve">https://striking-viking.com/de/products/gift-card-striking-viking</t>
  </si>
  <si>
    <t xml:space="preserve">Unsicher, zu welcher Waffe ein Wikinger greifen sollte? Lass ihn selbst wählen. Die Striking Viking Geschenkkarte eröffnet Zugang zu hochwertigen Pflege-Essentials für Männer – gefertigt aus natürlichen Inhaltsstoffen, mit edlem Design und moderner nordischer Stärke. Von Bartölen und Balsamen bis hin zu kompletten Pfle</t>
  </si>
  <si>
    <t xml:space="preserve">https://striking-viking.com/it/products/striking-viking-beard-growth-mastery-bundle-with-sandalwood-vanilla-biotin-oils-and-derma-roller</t>
  </si>
  <si>
    <t xml:space="preserve">Striking Viking Mastery Bundle con oli alla biotina sandalo e vaniglia + dermaroller in titanio. Il kit definitivo per la crescita della barba, per una barba più folta e piena.</t>
  </si>
  <si>
    <t xml:space="preserve">https://striking-viking.com/it/products/striking-viking-vanilla-after-shave-balm-for-men-soothing-hydration-skin-care</t>
  </si>
  <si>
    <t xml:space="preserve">Striking Viking Balsamo Dopobarba alla Vaniglia. Lenisce, idrata e rivitalizza la pelle dopo la rasatura con una calda fragranza di vaniglia. Nutre tutti i tipi di pelle.</t>
  </si>
  <si>
    <t xml:space="preserve">https://striking-viking.com/es/blogs/learn/beard-grooming-tools-for-professional-styling-at-home</t>
  </si>
  <si>
    <t xml:space="preserve">Descubre herramientas premium para el cuidado de la barba y logra un estilo profesional en casa. Compra hoy nuestro kit de cuidado de barba, tijeras, cepillos y accesorios. Perfecto para una excelencia en el arreglo personal.</t>
  </si>
  <si>
    <t xml:space="preserve">https://striking-viking.com/fr-ca/products/beard-growth-butter-with-biotin-4-oz-blue-ocean</t>
  </si>
  <si>
    <t xml:space="preserve">https://striking-viking.com/no/products/striking-viking-citrus-beard-oil</t>
  </si>
  <si>
    <t xml:space="preserve">Beard Oil Citrus mykgjør skjegget ditt, gjenoppretter fuktighet og fremmer vekst. Håndlaget med økologiske ingredienser, temmer den uregjerlige hår og reduserer kløe.</t>
  </si>
  <si>
    <t xml:space="preserve">https://striking-viking.com/es/products/striking-viking-beard-balm-variety-4-pack-citrus-vanilla-cedarwood-sandalwood</t>
  </si>
  <si>
    <t xml:space="preserve">Set de 4 bálsamos para barba Striking Viking. Ingredientes naturales, aplicación fácil, estilo no graso. Suaviza la barba y reduce la picazón. Libre de crueldad animal.</t>
  </si>
  <si>
    <t xml:space="preserve">https://striking-viking.com/it/products/striking-viking-hair-styling-powder-for-men-strong-hold-vanilla-volume-texture</t>
  </si>
  <si>
    <t xml:space="preserve">Striking Viking Polvere Modellante per Capelli Vaniglia Tenuta Forte. Volume senza sforzo e controllo dello stile per tutto il giorno con profumo di vaniglia. Adatta a tutti i tipi di capelli.</t>
  </si>
  <si>
    <t xml:space="preserve">https://striking-viking.com/fr-ca/products/striking-viking-sandalwood-after-shave-balm-for-men-soothing-hydration-skin-care</t>
  </si>
  <si>
    <t xml:space="preserve">https://striking-viking.com/fr/products/striking-viking-vanilla-beard-balm-2-pack-with-natural-organic-ingredients-for-beard-styling</t>
  </si>
  <si>
    <t xml:space="preserve">https://striking-viking.com/fi/products/2x-mustache-wax-comb-set-sandalwood</t>
  </si>
  <si>
    <t xml:space="preserve">https://striking-viking.com/fr/pages/beard-filler-pens</t>
  </si>
  <si>
    <t xml:space="preserve">https://striking-viking.com/en-ca/products/ontaki-facial-hair-grooming-scissors-2-pack-precision-beard-nose-mustache-trimming</t>
  </si>
  <si>
    <t xml:space="preserve">https://striking-viking.com/es/products/striking-viking-vanilla-beard-growth-kit-with-biotin-oil-0-25mm-derma-roller</t>
  </si>
  <si>
    <t xml:space="preserve">Kit de Crecimiento de Barba Striking Viking con Aceite de Biotina y Vainilla y Derma Roller. Promueve el crecimiento natural de una barba más densa y abundante. Fórmula fácil de usar y sin dolor.</t>
  </si>
  <si>
    <t xml:space="preserve">https://striking-viking.com/fi/products/striking-viking-beard-growth-oil-with-biotin-sandalwood</t>
  </si>
  <si>
    <t xml:space="preserve">Striking Viking Sandalwood Parta Kasvuöljy Biotiinilla. Biotiini ja risiiniöljy edistävät tuuheampaa, paksumpaa Parta kasvua. Ravitseva ja hoitava öljy terveelle karvalle.</t>
  </si>
  <si>
    <t xml:space="preserve">https://striking-viking.com/fr-ca/pages/ilm-2025-sign-up</t>
  </si>
  <si>
    <t xml:space="preserve">https://striking-viking.com/it/products/striking-viking-beard-shampoo-with-natural-peppermint-eucalyptus-for-refreshing-beard-care</t>
  </si>
  <si>
    <t xml:space="preserve">Shampoo Barba alla Menta Piperita e Eucalipto di Striking Viking. Detergente naturale che rivitalizza e pulisce i peli della barba. Mantiene la barba sana, nutrita e dal profumo fresco.</t>
  </si>
  <si>
    <t xml:space="preserve">https://striking-viking.com/fr/products/striking-viking-tea-tree-biotin-beard-wash-cologne-for-clean-fresh-healthy-beard-care</t>
  </si>
  <si>
    <t xml:space="preserve">https://striking-viking.com/es/products/striking-viking-sandalwood-wooden-beard-comb-brown</t>
  </si>
  <si>
    <t xml:space="preserve">Striking Viking Peine de Madera de Sándalo para Barba Marrón. Diseño de doble cara para peinar y dar forma. Antiestático, distribuye los aceites de manera uniforme. Portátil y duradero.</t>
  </si>
  <si>
    <t xml:space="preserve">https://striking-viking.com/es/blogs/learn/16918829-the-ingredients-and-why-they-matter</t>
  </si>
  <si>
    <t xml:space="preserve">Descubre los ingredientes clave del aceite para barba que contribuyen a una barba más saludable y suave. Aprende por qué estos ingredientes son esenciales para un cuidado y arreglo óptimos de la barba.</t>
  </si>
  <si>
    <t xml:space="preserve">https://striking-viking.com/es/products/striking-viking-sandalwood-beard-growth-kit-with-biotin-oil-0-25mm-derma-roller</t>
  </si>
  <si>
    <t xml:space="preserve">Kit de Crecimiento de Barba Striking Viking con Aceite de Biotina y Sándalo y Derma Roller. Promueve el crecimiento natural de una barba más densa y abundante. Fórmula fácil de usar y sin dolor.</t>
  </si>
  <si>
    <t xml:space="preserve">Source: striking-viking - Issues.xlsx / Title too long</t>
  </si>
  <si>
    <t xml:space="preserve">Best Selling Beard Products for Men | Top-Rated Grooming | Striking Viking</t>
  </si>
  <si>
    <t xml:space="preserve">Become a Reseller | Join Striking Viking Wholesale Men's Grooming Brand</t>
  </si>
  <si>
    <t xml:space="preserve">Beard Combs &amp; Brushes | Wooden, Boar Bristle &amp; Styling Tools | Striking Viking</t>
  </si>
  <si>
    <t xml:space="preserve">Men's Grooming Sprays – Sea Salt Hair Spray &amp; Beard Spray | Striking Viking</t>
  </si>
  <si>
    <t xml:space="preserve">Men's Beard Care Products – Oils, Balms, Combs &amp; More | Striking Viking</t>
  </si>
  <si>
    <t xml:space="preserve">Best Beard Oil for Men | Natural &amp; Organic Beard Oils | Striking Viking</t>
  </si>
  <si>
    <t xml:space="preserve">After Shave Balm for Men – Soothing Post-Shave Skin Care | Striking Viking</t>
  </si>
  <si>
    <t xml:space="preserve">Men's Face &amp; Body Care – Pre Shave, Shaving Cream &amp; More | Striking Viking</t>
  </si>
  <si>
    <t xml:space="preserve">Beard Filler Pen | Instant Coverage for Patchy Beards | Striking Viking</t>
  </si>
  <si>
    <t xml:space="preserve">Tattoo Aftercare: Premium Balm Collection for Healing – Striking Viking</t>
  </si>
  <si>
    <t xml:space="preserve">Scissors Ontaki - Premium Japanese Grooming Scissors for Precision Cuts – Striking Viking</t>
  </si>
  <si>
    <t xml:space="preserve">Men's Shaving Products – Creams, Oils &amp; After Shave Balm | Striking Viking</t>
  </si>
  <si>
    <t xml:space="preserve">Hair Styling Powder for Men – Volume, Texture &amp; Matte Hold | Striking Viking</t>
  </si>
  <si>
    <t xml:space="preserve">Beard Wash &amp; Shampoo for Men | Gentle, Natural Formulas | Striking Viking</t>
  </si>
  <si>
    <t xml:space="preserve">Folding Beard Comb - Essential Grooming Tool for the Modern Man – Striking Viking</t>
  </si>
  <si>
    <t xml:space="preserve">Productos para el cuidado de la barba masculina – Aceites, bálsamos, peines y más | Striking Viking</t>
  </si>
  <si>
    <t xml:space="preserve">Lápiz Rellenador de Barba 2-Pack Resistente al Agua | Rellena Huecos | Striking Viking</t>
  </si>
  <si>
    <t xml:space="preserve">Devenez Revendeur | Rejoignez Striking Viking, la marque de soins pour hommes en gros</t>
  </si>
  <si>
    <t xml:space="preserve">Baume à barbe pour homme | Discipliner, nourrir &amp; styliser | Striking Viking</t>
  </si>
  <si>
    <t xml:space="preserve">Barberingsprodukter for menn – Kremer, oljer og aftershave-balsam | Striking Viking</t>
  </si>
  <si>
    <t xml:space="preserve">Cura del Tatuaggio: Collezione Premium di Balsami per la Guarigione – Striking Viking</t>
  </si>
  <si>
    <t xml:space="preserve">Schere Ontaki – Hochwertige japanische Fellschere für präzise Schnitte – Striking Viking</t>
  </si>
  <si>
    <t xml:space="preserve">Spray de Sal Marina Cítrico Fijación Fuerte | Cabello Masculino | Striking Viking</t>
  </si>
  <si>
    <t xml:space="preserve">Peines y Cepillos para Barba | Herramientas de Madera, Cerdas de Jabalí y Estilo | Striking Viking</t>
  </si>
  <si>
    <t xml:space="preserve">Hopfällbar skäggkam – oumbärligt vårdverktyg för den moderna mannen – Striking Viking</t>
  </si>
  <si>
    <t xml:space="preserve">https://striking-viking.com/en-gb/collections/shaving</t>
  </si>
  <si>
    <t xml:space="preserve">https://striking-viking.com/es/collections/beard-wash</t>
  </si>
  <si>
    <t xml:space="preserve">Champú y Jabón para Barba de Hombre | Fórmulas Suaves y Naturales | Striking Viking</t>
  </si>
  <si>
    <t xml:space="preserve">Werden Sie Wiederverkäufer | Schließen Sie sich der Striking Viking Großhandelsmarke für Herrenpflege an</t>
  </si>
  <si>
    <t xml:space="preserve">Peignes et brosses à barbe | Bois, poils de sanglier et outils de coiffage | Striking Viking</t>
  </si>
  <si>
    <t xml:space="preserve">Pettini da Barba in Legno per Uomo – Tascabile e Formato Standard | Striking Viking</t>
  </si>
  <si>
    <t xml:space="preserve">I prodotti per la barba più venduti per uomo | Cura personale più apprezzata | Striking Viking</t>
  </si>
  <si>
    <t xml:space="preserve">https://striking-viking.com/no/collections/tattoo-aftercare</t>
  </si>
  <si>
    <t xml:space="preserve">Tatoveringspleie: Premium balsamkolleksjon for heling – Striking Viking</t>
  </si>
  <si>
    <t xml:space="preserve">https://striking-viking.com/no/collections/best-sellers-grooming-kit</t>
  </si>
  <si>
    <t xml:space="preserve">Bestselgende skjeggprodukter for menn | Topprangert pleie | Striking Viking</t>
  </si>
  <si>
    <t xml:space="preserve">Parta Pesuaine &amp; Shampoo miehille | Hellävaraiset, luonnolliset koostumukset | Striking Viking</t>
  </si>
  <si>
    <t xml:space="preserve">Los productos para barba más vendidos para hombres | Cuidado masculino mejor valorado | Striking Viking</t>
  </si>
  <si>
    <t xml:space="preserve">Penna Riempitiva per Barba 2 Pezzi Impermeabile | Riempie le Zone Vuote | Striking Viking</t>
  </si>
  <si>
    <t xml:space="preserve">https://striking-viking.com/sv/collections/powders</t>
  </si>
  <si>
    <t xml:space="preserve">Hårstylingspuder för män – Volym, textur &amp; matt stadga | Striking Viking</t>
  </si>
  <si>
    <t xml:space="preserve">https://striking-viking.com/de/collections/best-sellers-grooming-kit</t>
  </si>
  <si>
    <t xml:space="preserve">Bestseller Bartprodukte für Männer | Top-bewertete Pflege | Striking Viking</t>
  </si>
  <si>
    <t xml:space="preserve">Puiset Parta kammat miehille – taskukokoiset &amp; täysikokoiset | Striking Viking</t>
  </si>
  <si>
    <t xml:space="preserve">https://striking-viking.com/en-ca/collections/beard-care</t>
  </si>
  <si>
    <t xml:space="preserve">https://striking-viking.com/en-ca/collections/beard-filler-pens</t>
  </si>
  <si>
    <t xml:space="preserve">Striking Viking Prodotti per la Barba | Cura della persona resa semplice</t>
  </si>
  <si>
    <t xml:space="preserve">https://striking-viking.com/sv/collections/brushes</t>
  </si>
  <si>
    <t xml:space="preserve">Skägg- och hårborstar för män – Borst- och rundborstar | Striking Viking</t>
  </si>
  <si>
    <t xml:space="preserve">Zusammenklappbarer Bartkamm – Unverzichtbares Pflegewerkzeug für den modernen Mann – Striking Viking</t>
  </si>
  <si>
    <t xml:space="preserve">Kit Barba con Caddy | Set Completo per la Cura della Barba | Striking Viking</t>
  </si>
  <si>
    <t xml:space="preserve">Beste skjeggolje for menn | Naturlige og økologiske skjeggoljer | Striking Viking</t>
  </si>
  <si>
    <t xml:space="preserve">Peine de Barba Plegable - Herramienta Esencial de Cuidado para el Hombre Moderno – Striking Viking</t>
  </si>
  <si>
    <t xml:space="preserve">Pflege-Set: Das ideale Geschenk für den modernen Mann – Striking Viking</t>
  </si>
  <si>
    <t xml:space="preserve">https://striking-viking.com/es/blogs/learn/ride-the-wave-striking-viking-sea-salt-spray-for-effortless-men-s-style</t>
  </si>
  <si>
    <t xml:space="preserve">Striking Viking Sea - Estilo masculino sin esfuerzo con spray de sal marina</t>
  </si>
  <si>
    <t xml:space="preserve">Parta- ja hiusharjat miehille – villisika- ja pyöröharjat | Striking Viking</t>
  </si>
  <si>
    <t xml:space="preserve">https://striking-viking.com/en-ca/collections/face-body</t>
  </si>
  <si>
    <t xml:space="preserve">Balsamo per barba da uomo | Modella, nutri e definisci | Striking Viking</t>
  </si>
  <si>
    <t xml:space="preserve">Coffret Barbe avec Support | Ensemble de Soin Complet | Striking Viking</t>
  </si>
  <si>
    <t xml:space="preserve">Prodotti per la crescita della barba per uomo – Oli, kit e sieri | Striking Viking</t>
  </si>
  <si>
    <t xml:space="preserve">Spazzole per Barba e Capelli da Uomo – Spazzole in Setola di Cinghiale e Rotonde | Striking Viking</t>
  </si>
  <si>
    <t xml:space="preserve">https://striking-viking.com/en-gb/collections/beard-care</t>
  </si>
  <si>
    <t xml:space="preserve">Bartwäsche &amp; Shampoo für Männer | Sanfte, natürliche Formeln | Striking Viking</t>
  </si>
  <si>
    <t xml:space="preserve">Miesten parranajotuotteet – voiteet, öljyt &amp; Parranajon jälkeinen balsami | Striking Viking</t>
  </si>
  <si>
    <t xml:space="preserve">Skäggtvätt &amp; Schampo för män | Skonsamma, naturliga formulor | Striking Viking</t>
  </si>
  <si>
    <t xml:space="preserve">Aceite para Barba Blue Ocean | 100% Natural y Orgánico | Striking Viking</t>
  </si>
  <si>
    <t xml:space="preserve">Cepillos para barba y cabello para hombres – Cepillos de jabalí y redondos | Striking Viking</t>
  </si>
  <si>
    <t xml:space="preserve">Stylo Remplisseur de Barbe 2-Pack Imperméable | Combler les trous | Striking Viking</t>
  </si>
  <si>
    <t xml:space="preserve">Käännettävä Partakampa - Olennainen Hoitotyökalu Modernille Miehelle – Striking Viking</t>
  </si>
  <si>
    <t xml:space="preserve">Miesten hoitosuihkeet – Merisuolasuihke hiuksille &amp; Parta suihke | Striking Viking</t>
  </si>
  <si>
    <t xml:space="preserve">Paras Partaöljy miehille | Luonnolliset &amp; orgaaniset Partaöljyt | Striking Viking</t>
  </si>
  <si>
    <t xml:space="preserve">Aceite para Barba – Terra Sol | Orgánico, 100% Natural | Striking Viking</t>
  </si>
  <si>
    <t xml:space="preserve">https://striking-viking.com/en-gb/collections/best-sellers-grooming-kit</t>
  </si>
  <si>
    <t xml:space="preserve">Peignes à barbe en bois pour hommes – Format de poche et grand format | Striking Viking</t>
  </si>
  <si>
    <t xml:space="preserve">Productos para el crecimiento de la barba para hombres – Aceites, kits y sérums | Striking Viking</t>
  </si>
  <si>
    <t xml:space="preserve">Ontaki Sakset - Premium Japanilaiset Hoitosakset Tarkkoihin Leikkauksiin – Striking Viking</t>
  </si>
  <si>
    <t xml:space="preserve">https://striking-viking.com/it/blogs/learn/ride-the-wave-striking-viking-sea-salt-spray-for-effortless-men-s-style</t>
  </si>
  <si>
    <t xml:space="preserve">Striking Viking Sea - Stile maschile senza sforzo con spray al sale marino</t>
  </si>
  <si>
    <t xml:space="preserve">https://striking-viking.com/en-ca/collections/tattoo-aftercare</t>
  </si>
  <si>
    <t xml:space="preserve">Rasierprodukte für Männer – Cremes, Öle &amp; Aftershave-Balsam | Striking Viking</t>
  </si>
  <si>
    <t xml:space="preserve">https://striking-viking.com/no/pages/become-a-reseller</t>
  </si>
  <si>
    <t xml:space="preserve">Bli en forhandler | Bli med i Striking Viking engrosmerke for menns pleieprodukter</t>
  </si>
  <si>
    <t xml:space="preserve">Bästa skäggoljan för män | Naturliga &amp; ekologiska skäggoljor | Striking Viking</t>
  </si>
  <si>
    <t xml:space="preserve">Burro da Barba per Uomo | Trattamento Nutriente e Tenuta Morbida | Striking Viking</t>
  </si>
  <si>
    <t xml:space="preserve">Coffrets et ensembles de soins pour homme – Économisez sur l’entretien de la barbe | Striking Viking</t>
  </si>
  <si>
    <t xml:space="preserve">https://striking-viking.com/de/collections/brushes</t>
  </si>
  <si>
    <t xml:space="preserve">Bart- &amp; Haarbürsten für Männer – Wildschwein- &amp; Rundbürsten | Striking Viking</t>
  </si>
  <si>
    <t xml:space="preserve">Beard Oil | Terra Sol, Natural Beard Growth Oil with Argan &amp; Jojoba – Striking Viking</t>
  </si>
  <si>
    <t xml:space="preserve">https://striking-viking.com/en-gb/collections/beard-wash</t>
  </si>
  <si>
    <t xml:space="preserve">https://striking-viking.com/fi/collections/tattoo-aftercare</t>
  </si>
  <si>
    <t xml:space="preserve">Tatuoinnin jälkihoito: Premium-voidekokoelma paranemiseen – Striking Viking</t>
  </si>
  <si>
    <t xml:space="preserve">https://striking-viking.com/fr/collections/tattoo-aftercare</t>
  </si>
  <si>
    <t xml:space="preserve">Soin du tatouage : Collection de baumes premium pour la cicatrisation – Striking Viking</t>
  </si>
  <si>
    <t xml:space="preserve">Spray al Sale Marino Agrumi Tenuta Forte | Capelli Uomo | Striking Viking</t>
  </si>
  <si>
    <t xml:space="preserve">Bart‑Filler‑Stift 2er-Pack Wasserdicht | Lücken füllen | Striking Viking</t>
  </si>
  <si>
    <t xml:space="preserve">Herrsprayer för grooming – Havssalt hårspray &amp; skäggspray | Striking Viking</t>
  </si>
  <si>
    <t xml:space="preserve">https://striking-viking.com/en-gb/collections/tattoo-aftercare</t>
  </si>
  <si>
    <t xml:space="preserve">Sprays de soin pour hommes – Spray coiffant au sel de mer &amp; Spray pour barbe | Striking Viking</t>
  </si>
  <si>
    <t xml:space="preserve">Stylo correcteur de barbe | Couverture instantanée des barbes clairsemées | Striking Viking</t>
  </si>
  <si>
    <t xml:space="preserve">Saxar Ontaki - Premium japanska grooming-saxar för precisa klipp – Striking Viking</t>
  </si>
  <si>
    <t xml:space="preserve">Diventa un Rivenditore | Unisciti a Striking Viking, il marchio all’ingrosso per la cura maschile</t>
  </si>
  <si>
    <t xml:space="preserve">https://striking-viking.com/no/collections/powders</t>
  </si>
  <si>
    <t xml:space="preserve">Hårstylingpulver for menn – Volum, tekstur og matt hold | Striking Viking</t>
  </si>
  <si>
    <t xml:space="preserve">Set e Kit per la Cura dell’Uomo – Risparmia sulla Cura della Barba | Striking Viking</t>
  </si>
  <si>
    <t xml:space="preserve">Aftershave-Balsam für Männer – Beruhigende Pflege nach der Rasur | Striking Viking</t>
  </si>
  <si>
    <t xml:space="preserve">Miesten hoitopaketit ja setit – Säästä Parta-hoidossa | Striking Viking</t>
  </si>
  <si>
    <t xml:space="preserve">After Shave Balm for menn – Beroligende hudpleie etter barbering | Striking Viking</t>
  </si>
  <si>
    <t xml:space="preserve">https://striking-viking.com/sv/collections/combs-and-brushes</t>
  </si>
  <si>
    <t xml:space="preserve">Skäggkammar &amp; borstar | Trä, svinborst &amp; stylingverktyg | Striking Viking</t>
  </si>
  <si>
    <t xml:space="preserve">Skäggvårdsprodukter för män – oljor, balmer, kammar &amp; mer | Striking Viking</t>
  </si>
  <si>
    <t xml:space="preserve">Packs y sets de cuidado masculino – Ahorra en el cuidado de la barba | Striking Viking</t>
  </si>
  <si>
    <t xml:space="preserve">Beurre à barbe pour homme | Soin profond &amp; tenue souple | Striking Viking</t>
  </si>
  <si>
    <t xml:space="preserve">Pflege-Bundles &amp; Sets für Männer – Sparen Sie bei der Bartpflege | Striking Viking</t>
  </si>
  <si>
    <t xml:space="preserve">https://striking-viking.com/fr/blogs/learn/ride-the-wave-striking-viking-sea-salt-spray-for-effortless-men-s-style</t>
  </si>
  <si>
    <t xml:space="preserve">Striking Viking Sea – Style masculin sans effort avec spray au sel de mer</t>
  </si>
  <si>
    <t xml:space="preserve">Spray au Sel Marin Agrumes Tenue Forte | Cheveux Homme | Striking Viking</t>
  </si>
  <si>
    <t xml:space="preserve">https://striking-viking.com/en-gb/collections/combs-and-brushes</t>
  </si>
  <si>
    <t xml:space="preserve">https://striking-viking.com/en-gb/collections/beard-filler-pens</t>
  </si>
  <si>
    <t xml:space="preserve">https://striking-viking.com/en-ca/collections/shaving</t>
  </si>
  <si>
    <t xml:space="preserve">Produits de soin de la barbe pour hommes – Huiles, baumes, peignes et plus | Striking Viking</t>
  </si>
  <si>
    <t xml:space="preserve">Skjeggkammer og -børster | Tre, villsvinbust og stylingverktøy | Striking Viking</t>
  </si>
  <si>
    <t xml:space="preserve">https://striking-viking.com/en-ca/collections/best-sellers-grooming-kit</t>
  </si>
  <si>
    <t xml:space="preserve">https://striking-viking.com/es/collections/beard-filler-pens</t>
  </si>
  <si>
    <t xml:space="preserve">Lápices Rellenadores de Barba - Lo Mejor en Cuidado Masculino – Striking Viking</t>
  </si>
  <si>
    <t xml:space="preserve">Cuidado del Tatuaje: Colección Premium de Bálsamos para la Curación – Striking Viking</t>
  </si>
  <si>
    <t xml:space="preserve">Polvere per lo Styling dei Capelli da Uomo – Volume, Texture e Tenuta Opaca | Striking Viking</t>
  </si>
  <si>
    <t xml:space="preserve">Bartkämme &amp; Bürsten | Holz, Wildschweinborsten &amp; Styling-Tools | Striking Viking</t>
  </si>
  <si>
    <t xml:space="preserve">Sammenleggbar skjeggbørste – Essensielt pleieverktøy for den moderne mannen – Striking Viking</t>
  </si>
  <si>
    <t xml:space="preserve">Polvo para Peinar para Hombres – Volumen, Textura y Fijación Mate | Striking Viking</t>
  </si>
  <si>
    <t xml:space="preserve">https://striking-viking.com/en-gb/collections/beard-oil</t>
  </si>
  <si>
    <t xml:space="preserve">https://striking-viking.com/en-gb/collections/face-body</t>
  </si>
  <si>
    <t xml:space="preserve">Productos de afeitado para hombre – Cremas, aceites y bálsamo para después de afeitar | Striking Viking</t>
  </si>
  <si>
    <t xml:space="preserve">Prodotti da barba per uomo – Creme, oli e balsamo dopobarba | Striking Viking</t>
  </si>
  <si>
    <t xml:space="preserve">Ciseaux Ontaki - Ciseaux de toilettage japonais haut de gamme pour des coupes de précision – Striking Viking</t>
  </si>
  <si>
    <t xml:space="preserve">Detergente e shampoo per barba da uomo | Formule delicate e naturali | Striking Viking</t>
  </si>
  <si>
    <t xml:space="preserve">Coffret de Soin : Le Cadeau Idéal pour l’Homme d’Aujourd’hui – Striking Viking</t>
  </si>
  <si>
    <t xml:space="preserve">Bálsamo para Barba Bergamota Thunder | Natural y Orgánico | Striking Viking</t>
  </si>
  <si>
    <t xml:space="preserve">Brosses à barbe et à cheveux pour hommes – Brosses en poils de sanglier et rondes | Striking Viking</t>
  </si>
  <si>
    <t xml:space="preserve">Parta kasvutuotteet miehille – öljyt, setit &amp; seerumit | Striking Viking</t>
  </si>
  <si>
    <t xml:space="preserve">Peines de madera para barba para hombre – De bolsillo y tamaño completo | Striking Viking</t>
  </si>
  <si>
    <t xml:space="preserve">Haarstyling-Puder für Männer – Volumen, Textur &amp; matter Halt | Striking Viking</t>
  </si>
  <si>
    <t xml:space="preserve">Bálsamo para Barba de Hombre | Moldea, Nutre y Estiliza | Striking Viking</t>
  </si>
  <si>
    <t xml:space="preserve">Produits de croissance de barbe pour hommes – Huiles, coffrets &amp; sérums | Striking Viking</t>
  </si>
  <si>
    <t xml:space="preserve">Penna Riempitiva per Barba - Il Meglio della Cura Maschile – Striking Viking</t>
  </si>
  <si>
    <t xml:space="preserve">Saks Ontaki - Premium japanske pleiesakser for presise klipp – Striking Viking</t>
  </si>
  <si>
    <t xml:space="preserve">Conviértete en distribuidor | Únete a Striking Viking, la marca mayorista de cuidado masculino</t>
  </si>
  <si>
    <t xml:space="preserve">Meilleure huile à barbe pour homme | Huiles à barbe naturelles et bio | Striking Viking</t>
  </si>
  <si>
    <t xml:space="preserve">Tule jälleenmyyjäksi | Liity Striking Vikingin tukkumyyntimiehisyyden brändiin</t>
  </si>
  <si>
    <t xml:space="preserve">Bli återförsäljare | Gå med i Striking Viking grossistmärke för herrvård</t>
  </si>
  <si>
    <t xml:space="preserve">Parta-pakkaus säilytyskorilla | Täydellinen hoitosetti | Striking Viking</t>
  </si>
  <si>
    <t xml:space="preserve">Parranajon jälkeinen balsami miehille – Rauhoittava ihonhoito parranajon jälkeen | Striking Viking</t>
  </si>
  <si>
    <t xml:space="preserve">Shampoing et nettoyant pour barbe pour homme | Formules douces et naturelles | Striking Viking</t>
  </si>
  <si>
    <t xml:space="preserve">https://striking-viking.com/en-ca/collections/beard-oil</t>
  </si>
  <si>
    <t xml:space="preserve">Partavoide Bergamot Thunder | Luonnollinen &amp; Orgaaninen | Striking Viking</t>
  </si>
  <si>
    <t xml:space="preserve">Baume Après-Rasage pour Homme – Soin Apaisant Après-Rasage | Striking Viking</t>
  </si>
  <si>
    <t xml:space="preserve">Herresprayer for pleie – Saltvannsspray for hår &amp; skjeggspray | Striking Viking</t>
  </si>
  <si>
    <t xml:space="preserve">https://striking-viking.com/de/collections/tattoo-aftercare</t>
  </si>
  <si>
    <t xml:space="preserve">Tattoo-Pflege: Premium-Balsam-Kollektion für die Heilung – Striking Viking</t>
  </si>
  <si>
    <t xml:space="preserve">https://striking-viking.com/no/collections/beard-wash</t>
  </si>
  <si>
    <t xml:space="preserve">Skjeggvaske &amp; sjampo for menn | Skånsomme, naturlige formler | Striking Viking</t>
  </si>
  <si>
    <t xml:space="preserve">Mejor aceite para barba para hombres | Aceites para barba naturales y orgánicos | Striking Viking</t>
  </si>
  <si>
    <t xml:space="preserve">Tijeras Ontaki - Tijeras de aseo japonesas premium para cortes de precisión – Striking Viking</t>
  </si>
  <si>
    <t xml:space="preserve">https://striking-viking.com/sv/collections/best-sellers-grooming-kit</t>
  </si>
  <si>
    <t xml:space="preserve">Bästsäljande skäggprodukter för män | Topprankad grooming | Striking Viking</t>
  </si>
  <si>
    <t xml:space="preserve">Miglior olio da barba per uomo | Oli da barba naturali e biologici | Striking Viking</t>
  </si>
  <si>
    <t xml:space="preserve">Poudre coiffante pour hommes – Volume, texture et fixation mate | Striking Viking</t>
  </si>
  <si>
    <t xml:space="preserve">https://striking-viking.com/en-ca/collections/beard-wash</t>
  </si>
  <si>
    <t xml:space="preserve">Kit para Barba con Organizador | Set Completo de Cuidado | Striking Viking</t>
  </si>
  <si>
    <t xml:space="preserve">https://striking-viking.com/fr/products/striking-viking-beard-grooming-kit-with-toiletry-bag-8-piece-mens-grooming-set</t>
  </si>
  <si>
    <t xml:space="preserve">Coffret d’entretien de barbe avec trousse de toilette | Striking Viking</t>
  </si>
  <si>
    <t xml:space="preserve">Hiusmuotoilupuuteri miehille – volyymi, tekstuuri &amp; mattapintainen pito | Striking Viking</t>
  </si>
  <si>
    <t xml:space="preserve">Pflegesprays für Männer – Meersalz-Haarspray &amp; Bart-Spray | Striking Viking</t>
  </si>
  <si>
    <t xml:space="preserve">Kit de Cuidado Personal: El Regalo Ideal para el Hombre de Hoy – Striking Viking</t>
  </si>
  <si>
    <t xml:space="preserve">https://striking-viking.com/no/collections/brushes</t>
  </si>
  <si>
    <t xml:space="preserve">Skjegg- og hårbørster for menn – Børster med villsvinbust og rundbørster | Striking Viking</t>
  </si>
  <si>
    <t xml:space="preserve">https://striking-viking.com/en-ca/collections/powders</t>
  </si>
  <si>
    <t xml:space="preserve">Kit de Cera para Bigote y Peine Vainilla | Estilo y Cuidado | Striking Viking</t>
  </si>
  <si>
    <t xml:space="preserve">Meilleures ventes de produits pour la barbe pour hommes | Soins masculins les mieux notés | Striking Viking</t>
  </si>
  <si>
    <t xml:space="preserve">Peigne à barbe pliant - Outil de soin essentiel pour l’homme moderne – Striking Viking</t>
  </si>
  <si>
    <t xml:space="preserve">Bálsamo After Shave para Hombres – Cuidado Calmante de la Piel Después de Afeitar | Striking Viking</t>
  </si>
  <si>
    <t xml:space="preserve">Balsamo Dopobarba per Uomo – Cura Lenitiva della Pelle dopo la Rasatura | Striking Viking</t>
  </si>
  <si>
    <t xml:space="preserve">Produits de rasage pour hommes – Crèmes, huiles &amp; baume après-rasage | Striking Viking</t>
  </si>
  <si>
    <t xml:space="preserve">Parta kammat &amp; harjat | Puiset, villisian harjaksiset &amp; muotoilutyökalut | Striking Viking</t>
  </si>
  <si>
    <t xml:space="preserve">Miesten Parta-hoitotuotteet – Öljyt, Balmit, Kammat &amp; Paljon Muuta | Striking Viking</t>
  </si>
  <si>
    <t xml:space="preserve">https://striking-viking.com/en-gb/collections/powders</t>
  </si>
  <si>
    <t xml:space="preserve">Skjeggpleieprodukter for menn – oljer, balmer, kammer og mer | Striking Viking</t>
  </si>
  <si>
    <t xml:space="preserve">Partaöljy Blue Ocean | Täysin luonnollinen &amp; orgaaninen | Striking Viking</t>
  </si>
  <si>
    <t xml:space="preserve">https://striking-viking.com/en-ca/collections/combs-and-brushes</t>
  </si>
  <si>
    <t xml:space="preserve">Forbici Ontaki - Forbici giapponesi premium per la cura maschile e tagli di precisione – Striking Viking</t>
  </si>
  <si>
    <t xml:space="preserve">https://striking-viking.com/fi/collections/parhaat-myynti-hoitotarvikkeet</t>
  </si>
  <si>
    <t xml:space="preserve">Myydyimmät Parta-tuotteet miehille | Huippuarvosteltu miesten ihonhoito | Striking Viking</t>
  </si>
  <si>
    <t xml:space="preserve">Soins visage &amp; corps homme – Pré-rasage, crème à raser et plus | Striking Viking</t>
  </si>
  <si>
    <t xml:space="preserve">Manteca para Barba para Hombres | Acondicionamiento Profundo y Fijación Suave | Striking Viking</t>
  </si>
  <si>
    <t xml:space="preserve">Bartpflegeprodukte für Männer – Öle, Balsame, Kämme &amp; mehr | Striking Viking</t>
  </si>
  <si>
    <t xml:space="preserve">Sprays de Cuidado Masculino – Spray de Sal Marina para el Cabello y Spray para Barba | Striking Viking</t>
  </si>
  <si>
    <t xml:space="preserve">Balsamo Barba Bergamotto Thunder | Naturale &amp; Biologico | Striking Viking</t>
  </si>
  <si>
    <t xml:space="preserve">After Shave Balm för män – Lugnande hudvård efter rakning | Striking Viking</t>
  </si>
  <si>
    <t xml:space="preserve">Kit Cire à Moustache &amp; Peigne Vanille | Styliser &amp; Soigner | Striking Viking</t>
  </si>
  <si>
    <t xml:space="preserve">Prodotti per la cura della barba da uomo – Oli, balsami, pettini e altro | Striking Viking</t>
  </si>
  <si>
    <t xml:space="preserve">Pettini e spazzole per barba | Legno, setole di cinghiale e strumenti per lo styling | Striking Viking</t>
  </si>
  <si>
    <t xml:space="preserve">https://striking-viking.com/sv/collections/shaving</t>
  </si>
  <si>
    <t xml:space="preserve">Rakprodukter för män – Krämer, oljor &amp; after shave-balsam | Striking Viking</t>
  </si>
  <si>
    <t xml:space="preserve">Spray per la cura dell’uomo – Spray al sale marino per capelli &amp; spray per barba | Striking Viking</t>
  </si>
  <si>
    <t xml:space="preserve">https://striking-viking.com/en-ca/blogs/learn/how-to-use-beard-balm-properly-a-complete-guide</t>
  </si>
  <si>
    <t xml:space="preserve">Beard Balm - How to use the RIGHT way (Most Do It Wrong) – Striking Viking</t>
  </si>
  <si>
    <t xml:space="preserve">How to Fill In a Patchy Beard: Fast &amp; Long-Term Fixes – Striking Viking</t>
  </si>
  <si>
    <t xml:space="preserve">Blue Ocean Beard Balm for Men – Natural Beard Balm with Shea Butter &amp; – Striking Viking</t>
  </si>
  <si>
    <t xml:space="preserve">https://striking-viking.com/sv/collections/trending-now</t>
  </si>
  <si>
    <t xml:space="preserve">Trendande produkter för herrvård – Det hetaste just nu | Striking Viking</t>
  </si>
  <si>
    <t xml:space="preserve">Den ultimata skäggväxtrutinen för ett fylligare, friskare skägg (Guide – Striking Viking</t>
  </si>
  <si>
    <t xml:space="preserve">Coffret Shampooing et Après-shampoing Barbe Arbre à Thé &amp; Biotine | Striking Viking</t>
  </si>
  <si>
    <t xml:space="preserve">Spazzola per barba con setole di cinghiale | Manico in legno di faggio | Striking Viking</t>
  </si>
  <si>
    <t xml:space="preserve">https://striking-viking.com/sv/collections/subscribe-save</t>
  </si>
  <si>
    <t xml:space="preserve">Prenumerera på enkla skäggvårdsprodukter utan krångel – Striking Viking</t>
  </si>
  <si>
    <t xml:space="preserve">Kevään tyylipäivitys: Uudista parta ja hiukset tänä kautena – Striking Viking</t>
  </si>
  <si>
    <t xml:space="preserve">https://striking-viking.com/de/blogs/learn/how-to-use-beard-balm-properly-a-complete-guide</t>
  </si>
  <si>
    <t xml:space="preserve">Bartbalsam – So wendest du ihn RICHTIG an (Die meisten machen es falsch) – Striking Viking</t>
  </si>
  <si>
    <t xml:space="preserve">After Shave Balm |Unscented, Soothing Hydration &amp; Skin Care – Striking Viking</t>
  </si>
  <si>
    <t xml:space="preserve">https://striking-viking.com/no/blogs/learn/the-ultimate-guide-to-tattoo-aftercare-with-striking-viking</t>
  </si>
  <si>
    <t xml:space="preserve">Striking Viking: Den ultimate guiden til etterbehandling av tatoveringer</t>
  </si>
  <si>
    <t xml:space="preserve">ONTAKI German Steel Beard &amp; Mustache Scissors | Professional Grooming – Striking Viking</t>
  </si>
  <si>
    <t xml:space="preserve">https://striking-viking.com/fi/collections/parta-perusteet</t>
  </si>
  <si>
    <t xml:space="preserve">Parta Essentials – Nosta hoitorutiinisi uudelle tasolle – Striking Viking</t>
  </si>
  <si>
    <t xml:space="preserve">Rinnova il tuo stile primaverile: aggiorna barba e capelli questa stagione – Striking Viking</t>
  </si>
  <si>
    <t xml:space="preserve">Kit Crescita Barba Vaniglia | Olio alla Biotina &amp; Roller | Striking Viking</t>
  </si>
  <si>
    <t xml:space="preserve">https://striking-viking.com/en-ca/collections/trending-now</t>
  </si>
  <si>
    <t xml:space="preserve">Trending Men's Grooming Products – What's Hot Right Now | Striking Viking</t>
  </si>
  <si>
    <t xml:space="preserve">https://striking-viking.com/en-gb/blogs/learn/the-ultimate-beard-growth-routine-for-a-thicker-healthier-beard-2026-guide</t>
  </si>
  <si>
    <t xml:space="preserve">The Ultimate Beard Growth Routine for a Thicker, Healthier Beard (2026 – Striking Viking</t>
  </si>
  <si>
    <t xml:space="preserve">Puiset Parta-hoitotarvikkeeteline | Bambusta valmistettu järjestelijä | Striking Viking</t>
  </si>
  <si>
    <t xml:space="preserve">Caddy de Soin pour Barbe en Bois | Organisateur en Bambou | Striking Viking</t>
  </si>
  <si>
    <t xml:space="preserve">Beard Oil Ingredients: Essential Components for a Healthier Beard - Best Selection – Striking Viking</t>
  </si>
  <si>
    <t xml:space="preserve">Bartbutter – Befeuchten und beruhigen Sie Ihren Bart auf natürliche Weise – Striking Viking</t>
  </si>
  <si>
    <t xml:space="preserve">Penna Riempitiva per Barba: La Guida Definitiva per Valorizzare la Barba – Striking Viking</t>
  </si>
  <si>
    <t xml:space="preserve">https://striking-viking.com/no/blogs/learn/spring-style-refresh-how-to-update-your-beard-and-hair-for-warmer-weather</t>
  </si>
  <si>
    <t xml:space="preserve">Vårens stiloppdatering: Forny skjegg og hår denne sesongen – Striking Viking</t>
  </si>
  <si>
    <t xml:space="preserve">https://striking-viking.com/no/blogs/learn/how-to-fill-in-a-patchy-beard</t>
  </si>
  <si>
    <t xml:space="preserve">Tatueringar: Håll dem djärva i åratal med tatueringsbalsam – Striking Viking</t>
  </si>
  <si>
    <t xml:space="preserve">Charlemagne Original Hair Pomade for Men – Strong Hold Water-Based Sty – Striking Viking</t>
  </si>
  <si>
    <t xml:space="preserve">https://striking-viking.com/en-ca/blogs/learn/spring-style-refresh-how-to-update-your-beard-and-hair-for-warmer-weather</t>
  </si>
  <si>
    <t xml:space="preserve">Spring Style Refresh: Update Your Beard and Hair This Season – Striking Viking</t>
  </si>
  <si>
    <t xml:space="preserve">https://striking-viking.com/en-gb/blogs/learn/how-to-fill-in-a-patchy-beard</t>
  </si>
  <si>
    <t xml:space="preserve">Beard Grooming Tools for Professional Styling at Home | Striking Viking</t>
  </si>
  <si>
    <t xml:space="preserve">https://striking-viking.com/en-ca/blogs/learn/how-to-fill-in-a-patchy-beard</t>
  </si>
  <si>
    <t xml:space="preserve">https://striking-viking.com/en-gb/blogs/learn/how-to-use-beard-balm-properly-a-complete-guide</t>
  </si>
  <si>
    <t xml:space="preserve">https://striking-viking.com/sv/blogs/learn/spring-style-refresh-how-to-update-your-beard-and-hair-for-warmer-weather</t>
  </si>
  <si>
    <t xml:space="preserve">Vårens stiluppdatering: Förnya ditt skägg och hår den här säsongen – Striking Viking</t>
  </si>
  <si>
    <t xml:space="preserve">Kit Crescita Barba Sandalo | Olio alla Biotina &amp; Roller | Striking Viking</t>
  </si>
  <si>
    <t xml:space="preserve">Charlemagne Carbon Wide-Tooth Comb for Men – Heat-Resistant Carbon Fib – Striking Viking</t>
  </si>
  <si>
    <t xml:space="preserve">https://striking-viking.com/en-gb/blogs/learn/spring-style-refresh-how-to-update-your-beard-and-hair-for-warmer-weather</t>
  </si>
  <si>
    <t xml:space="preserve">https://striking-viking.com/en-ca/collections/featured-products</t>
  </si>
  <si>
    <t xml:space="preserve">Explore Top Quality Featured Products for Every Style | Shop Now – Striking Viking</t>
  </si>
  <si>
    <t xml:space="preserve">Bartbutter – Intensive Feuchtigkeitsversorgung und lang anhaltender Duft – Striking Viking</t>
  </si>
  <si>
    <t xml:space="preserve">Scented Beard Oil by Striking Viking – Deep Nourishment &amp; Natural Fragrance</t>
  </si>
  <si>
    <t xml:space="preserve">Täydellinen Partan Kasvatusrutiini Tuuhkeammalle, Terveemmälle Partall – Striking Viking</t>
  </si>
  <si>
    <t xml:space="preserve">Confezione da 4 Balsami per Barba | Naturali e Profumati | Striking Viking</t>
  </si>
  <si>
    <t xml:space="preserve">https://striking-viking.com/en-gb/collections/featured-products</t>
  </si>
  <si>
    <t xml:space="preserve">Olio da Barba vs Balsamo da Barba: Scegli il Meglio per la Tua Barba – Striking Viking</t>
  </si>
  <si>
    <t xml:space="preserve">La rutina definitiva para el crecimiento de la barba: consigue una bar – Striking Viking</t>
  </si>
  <si>
    <t xml:space="preserve">Beard Shampoo | Sandalwood, for Clean Healthy Soft Beard Care – Striking Viking</t>
  </si>
  <si>
    <t xml:space="preserve">https://striking-viking.com/en-gb/products/striking-viking-sandalwood-shaving-cream-for-men-rich-lather-for-a-smooth-comfortable-shave</t>
  </si>
  <si>
    <t xml:space="preserve">Shaving Cream for Men | Sandalwood, Rich Lather for a Smooth Comfortab – Striking Viking</t>
  </si>
  <si>
    <t xml:space="preserve">Die ultimative Bart-Wachstumsroutine für einen dichteren, gesünderen B – Striking Viking</t>
  </si>
  <si>
    <t xml:space="preserve">Utforska utvalda produkter av högsta kvalitet för varje stil | Handla nu – Striking Viking</t>
  </si>
  <si>
    <t xml:space="preserve">Barba: Oltre la Pettinatura – Prodotti Essenziali per la Cura – Striking Viking</t>
  </si>
  <si>
    <t xml:space="preserve">Caddy de Cuidado de Barba de Madera | Organizador de Bambú | Striking Viking</t>
  </si>
  <si>
    <t xml:space="preserve">Beard Balm for Men | Terra Sol, Natural Beard Balm with Shea Butter &amp; – Striking Viking</t>
  </si>
  <si>
    <t xml:space="preserve">https://striking-viking.com/sv/blogs/learn/how-to-use-beard-balm-properly-a-complete-guide</t>
  </si>
  <si>
    <t xml:space="preserve">Skäggbalsam – Så använder du det på RÄTT sätt (De flesta gör fel) – Striking Viking</t>
  </si>
  <si>
    <t xml:space="preserve">https://striking-viking.com/fi/blogs/learn/how-to-use-beard-balm-properly-a-complete-guide</t>
  </si>
  <si>
    <t xml:space="preserve">Partavoide – Näin käytät sitä OIKEIN (Useimmat tekevät sen väärin) – Striking Viking</t>
  </si>
  <si>
    <t xml:space="preserve">https://striking-viking.com/en-ca/products/striking-viking-sandalwood-beard-shampoo-for-clean-healthy-soft-beard-care-for-men</t>
  </si>
  <si>
    <t xml:space="preserve">Striking Viking Cura della Barba: Consigli Esperti per una Barba Perfettamente Curata</t>
  </si>
  <si>
    <t xml:space="preserve">Coffret Shampooing et Après-shampoing Barbe Menthe Poivrée | Striking Viking</t>
  </si>
  <si>
    <t xml:space="preserve">Tatoveringer: Hold dem sterke i årevis med tatoveringsbalmer – Striking Viking</t>
  </si>
  <si>
    <t xml:space="preserve">Frischer Frühlingsstil: Aktualisiere deinen Bart und dein Haar in dieser Saison – Striking Viking</t>
  </si>
  <si>
    <t xml:space="preserve">Renueva tu Estilo de Primavera: Actualiza tu Barba y Cabello Esta Temporada – Striking Viking</t>
  </si>
  <si>
    <t xml:space="preserve">Abbonati per ricevere gli essenziali per la cura della barba senza pensieri – Striking Viking</t>
  </si>
  <si>
    <t xml:space="preserve">Pettine da Barba Pieghevole - Strumento Essenziale per la Cura dell'Uomo Moderno – Striking Viking</t>
  </si>
  <si>
    <t xml:space="preserve">Caddy per la Cura della Barba in Legno | Organizer in Bambù | Striking Viking</t>
  </si>
  <si>
    <t xml:space="preserve">Beard Filler Pens: The Ultimate Guide to Enhancing Beards – Striking Viking</t>
  </si>
  <si>
    <t xml:space="preserve">Striking Viking Beard Grooming: Expert Tips for a Perfectly Groomed Beard</t>
  </si>
  <si>
    <t xml:space="preserve">Baume à barbe pour la pousse à la biotine | Blue Ocean – Striking Viking</t>
  </si>
  <si>
    <t xml:space="preserve">Pettine Pieghevole in Legno per Uomo | Barba &amp; Capelli | Striking Viking</t>
  </si>
  <si>
    <t xml:space="preserve">ONTAKI Beard &amp; Mustache Scissors with Finger Rest 5 Inch – German Stee – Striking Viking</t>
  </si>
  <si>
    <t xml:space="preserve">Suosituimmat miesten grooming-tuotteet – Mikä on nyt pinnalla | Striking Viking</t>
  </si>
  <si>
    <t xml:space="preserve">https://striking-viking.com/fi/products/striking-viking-beard-growth-power-kit-with-biotin-beard-oil-shampoo-derma-roller</t>
  </si>
  <si>
    <t xml:space="preserve">Parta Kasvun Tehopaketti | Täyteläisempi, Paksumpi Parta | Striking Viking</t>
  </si>
  <si>
    <t xml:space="preserve">Huile de croissance pour barbe à la biotine sans parfum | Striking Viking</t>
  </si>
  <si>
    <t xml:space="preserve">https://striking-viking.com/en-gb/blogs/learn/all-you-need-to-know-about-beard-filler-pens</t>
  </si>
  <si>
    <t xml:space="preserve">Penna Riempitiva per Barba Doppia Punta Confezione da 2 | Riempi le Zone Diradate | Striking Viking</t>
  </si>
  <si>
    <t xml:space="preserve">https://striking-viking.com/es/blogs/learn/all-you-need-to-know-about-beard-filler-pens</t>
  </si>
  <si>
    <t xml:space="preserve">Lápices Rellenadores de Barba: La Guía Definitiva para Realzar tu Barba – Striking Viking</t>
  </si>
  <si>
    <t xml:space="preserve">ONTAKI Facial Hair Grooming Scissors 2 Pack – Precision Beard, Nose &amp; – Striking Viking</t>
  </si>
  <si>
    <t xml:space="preserve">Valloittava viikinkiparta: Asiantuntevat vinkit täydellisesti hoidettuun partaan – Striking Viking</t>
  </si>
  <si>
    <t xml:space="preserve">https://striking-viking.com/en-ca/products/striking-viking-unscented-after-shave-balm-for-men-soothing-hydration-skin-care</t>
  </si>
  <si>
    <t xml:space="preserve">https://striking-viking.com/en-gb/products/striking-viking-unscented-after-shave-balm-for-men-soothing-hydration-skin-care</t>
  </si>
  <si>
    <t xml:space="preserve">Produits de soins pour hommes tendance – Les incontournables du moment | Striking Viking</t>
  </si>
  <si>
    <t xml:space="preserve">Kits de Cuidado de Barba y Sets de Regalo para Hombres | Striking Viking</t>
  </si>
  <si>
    <t xml:space="preserve">https://striking-viking.com/fi/blogs/learn/unlock-your-beard-s-full-potential-beard-growth-kits-oils</t>
  </si>
  <si>
    <t xml:space="preserve">Parta Kasvatuspakkaus: Vapauta Partasi Täysi Potentiaali – Striking Viking</t>
  </si>
  <si>
    <t xml:space="preserve">Parta Kasvatuspakkaus Santelipuu | Biotiiniöljy &amp; Rulla | Striking Viking</t>
  </si>
  <si>
    <t xml:space="preserve">https://striking-viking.com/de/blogs/learn/unlock-your-beard-s-full-potential-beard-growth-kits-oils</t>
  </si>
  <si>
    <t xml:space="preserve">Bartwachstums-Set: Entfalte das volle Potenzial deines Bartes – Striking Viking</t>
  </si>
  <si>
    <t xml:space="preserve">ONTAKI Professional Thinning &amp; Texturizing Scissors Set 6.5 Inch – Jap – Striking Viking</t>
  </si>
  <si>
    <t xml:space="preserve">Bartshampoo &amp; Conditioner Kölnisch Wasser - Argan &amp; Jojobaöl – Striking Viking</t>
  </si>
  <si>
    <t xml:space="preserve">Tattoos : Gardez-les éclatants pendant des années avec des baumes pour tatouages – Striking Viking</t>
  </si>
  <si>
    <t xml:space="preserve">Stylo de remplissage pour barbe double pointe lot de 2 | Combler les zones clairsemées | Striking Viking</t>
  </si>
  <si>
    <t xml:space="preserve">Brosse à barbe en poils de sanglier | Manche en bois de hêtre | Striking Viking</t>
  </si>
  <si>
    <t xml:space="preserve">Angesagte Männerpflege-Produkte – Das ist jetzt im Trend | Striking Viking</t>
  </si>
  <si>
    <t xml:space="preserve">Barba: Más Allá del Peinado – Productos Esenciales para el Cuidado Masculino – Striking Viking</t>
  </si>
  <si>
    <t xml:space="preserve">https://striking-viking.com/en-gb/blogs/learn/beard-oil-vs-beard-balm-solving-the-modern-problem-for-gentlemen-with-beards</t>
  </si>
  <si>
    <t xml:space="preserve">Beard Oil vs Beard Balm: Choose the Best for Your Beard – Striking Viking</t>
  </si>
  <si>
    <t xml:space="preserve">https://striking-viking.com/sv/products/striking-viking-unscented-beard-shampoo-conditioner-set-natural-beard-care-for-men</t>
  </si>
  <si>
    <t xml:space="preserve">Skäggschampo &amp; Skäggbalsam (Oparfymerad) - Naturlig Vård – Striking Viking</t>
  </si>
  <si>
    <t xml:space="preserve">ONTAKI Hair Thinning Shears Kit 7 Inch – Professional Hair Cutting &amp; T – Striking Viking</t>
  </si>
  <si>
    <t xml:space="preserve">Kit de pousse de barbe Vanille | Huile à la biotine &amp; rouleau | Striking Viking</t>
  </si>
  <si>
    <t xml:space="preserve">https://striking-viking.com/en-ca/blogs/learn/all-you-need-to-know-about-beard-filler-pens</t>
  </si>
  <si>
    <t xml:space="preserve">https://striking-viking.com/fi/blogs/learn/how-to-keep-your-tattoos-looking-bold-for-years-the-role-of-tattoo-balms</t>
  </si>
  <si>
    <t xml:space="preserve">Tatuoinnit: Pidä ne näyttävinä vuosia Tattoo Balmien avulla – Striking Viking</t>
  </si>
  <si>
    <t xml:space="preserve">Stylo Correcteur de Barbe Double Pointe | Combler les Trous de Barbe | Striking Viking</t>
  </si>
  <si>
    <t xml:space="preserve">Striking Viking Cuidado de la barba: Consejos de expertos para una barba perfectamente arreglada</t>
  </si>
  <si>
    <t xml:space="preserve">https://striking-viking.com/it/products/striking-viking-beard-shampoo-conditioner-cologne-argan-jojoba-oil</t>
  </si>
  <si>
    <t xml:space="preserve">Shampoo e Balsamo per Barba Cologne - Olio di Argan e Jojoba – Striking Viking</t>
  </si>
  <si>
    <t xml:space="preserve">Kit de pousse de barbe Santal | Huile à la biotine &amp; Rouleau | Striking Viking</t>
  </si>
  <si>
    <t xml:space="preserve">https://striking-viking.com/en-ca/blogs/learn/beard-oil-vs-beard-balm-solving-the-modern-problem-for-gentlemen-with-beards</t>
  </si>
  <si>
    <t xml:space="preserve">Coffret Huile et Baume à Barbe Vanille | Nourrissez &amp; Stylisez | Striking Viking</t>
  </si>
  <si>
    <t xml:space="preserve">https://striking-viking.com/fi/blogs/learn/all-you-need-to-know-about-beard-filler-pens</t>
  </si>
  <si>
    <t xml:space="preserve">Parta-täytekynät: Täydellinen opas partojen korostamiseen – Striking Viking</t>
  </si>
  <si>
    <t xml:space="preserve">Penna Riempitiva per Barba Doppia Punta | Riempi le Zone Diradate della Barba | Striking Viking</t>
  </si>
  <si>
    <t xml:space="preserve">https://striking-viking.com/en-gb/collections/trending-now</t>
  </si>
  <si>
    <t xml:space="preserve">Tatuajes: Mantén su color y definición durante años con bálsamos para tatuajes – Striking Viking</t>
  </si>
  <si>
    <t xml:space="preserve">Tatuaggi: Mantienili vividi per anni con i balsami per tatuaggi – Striking Viking</t>
  </si>
  <si>
    <t xml:space="preserve">Set Olio e Balsamo per Barba Vaniglia | Nutri e Stile | Striking Viking</t>
  </si>
  <si>
    <t xml:space="preserve">Bartbürste mit Wildschweinborsten | Griff aus Buchenholz | Striking Viking</t>
  </si>
  <si>
    <t xml:space="preserve">https://striking-viking.com/fr/blogs/learn/unlock-your-beard-s-full-potential-beard-growth-kits-oils</t>
  </si>
  <si>
    <t xml:space="preserve">Kit de Croissance de Barbe : Libérez tout le potentiel de votre barbe – Striking Viking</t>
  </si>
  <si>
    <t xml:space="preserve">Kit de Crecimiento de Barba: Libera Todo el Potencial de Tu Barba – Striking Viking</t>
  </si>
  <si>
    <t xml:space="preserve">Olio da Barba Bergamotto Thunder | Naturale &amp; Biologico | Striking Viking</t>
  </si>
  <si>
    <t xml:space="preserve">https://striking-viking.com/sv/blogs/learn/all-you-need-to-know-about-beard-filler-pens</t>
  </si>
  <si>
    <t xml:space="preserve">Skäggfyllnadspennor: Den ultimata guiden till att förbättra skägget – Striking Viking</t>
  </si>
  <si>
    <t xml:space="preserve">ONTAKI Japanese Steel Beard &amp; Hair Scissors 5.5 Inch – Professional Gr – Striking Viking</t>
  </si>
  <si>
    <t xml:space="preserve">https://striking-viking.com/it/blogs/learn/unlock-your-beard-s-full-potential-beard-growth-kits-oils</t>
  </si>
  <si>
    <t xml:space="preserve">Kit Crescita Barba: Libera il vero potenziale della tua barba – Striking Viking</t>
  </si>
  <si>
    <t xml:space="preserve">Bart‑Filler‑Stift Dual Tip 2er-Pack | Lücken auffüllen | Striking Viking</t>
  </si>
  <si>
    <t xml:space="preserve">Tattoos: Halte sie jahrelang kräftig mit Tattoo-Balsam – Striking Viking</t>
  </si>
  <si>
    <t xml:space="preserve">Prodotti di tendenza per la cura maschile – Le novità del momento | Striking Viking</t>
  </si>
  <si>
    <t xml:space="preserve">ONTAKI Japanese Steel Beard &amp; Mustache Scissors 5.5 Inch – Professiona – Striking Viking</t>
  </si>
  <si>
    <t xml:space="preserve">Aceite para barba vs Bálsamo para barba: Elige lo mejor para tu barba – Striking Viking</t>
  </si>
  <si>
    <t xml:space="preserve">Parta: Kampaamisen Tuolle Puolen – Välttämättömät Hoitotuotteet – Striking Viking</t>
  </si>
  <si>
    <t xml:space="preserve">Productos de cuidado masculino en tendencia – Lo más popular ahora mismo | Striking Viking</t>
  </si>
  <si>
    <t xml:space="preserve">Coffret de 4 Baumes à Barbe Variés | Naturels &amp; Parfumés | Striking Viking</t>
  </si>
  <si>
    <t xml:space="preserve">Olio per la Crescita della Barba per una Barba più Piena e Folta | Striking Viking</t>
  </si>
  <si>
    <t xml:space="preserve">ONTAKI Curved Fabric Scissors 6.5 Inch – German Stainless Steel Embroi – Striking Viking</t>
  </si>
  <si>
    <t xml:space="preserve">ONTAKI Japanese Steel Rounded Tip Beard &amp; Mustache Scissors 4.2 Inch G – Striking Viking</t>
  </si>
  <si>
    <t xml:space="preserve">https://striking-viking.com/sv/blogs/learn/beard-oil-vs-beard-balm-solving-the-modern-problem-for-gentlemen-with-beards</t>
  </si>
  <si>
    <t xml:space="preserve">Skäggolja vs Skäggbalsam: Välj det bästa för ditt skägg – Striking Viking</t>
  </si>
  <si>
    <t xml:space="preserve">https://striking-viking.com/fr-ca/collections/tattoo-aftercare</t>
  </si>
  <si>
    <t xml:space="preserve">https://striking-viking.com/fr-ca/products/striking-viking-beard-grooming-kit-with-toiletry-bag-8-piece-mens-grooming-set</t>
  </si>
  <si>
    <t xml:space="preserve">https://striking-viking.com/fr-ca/blogs/learn/ride-the-wave-striking-viking-sea-salt-spray-for-effortless-men-s-style</t>
  </si>
  <si>
    <t xml:space="preserve">Ingrédients de l’huile à barbe : composants essentiels pour une barbe plus saine – meilleur choix – Striking Viking</t>
  </si>
  <si>
    <t xml:space="preserve">https://striking-viking.com/en-ca/products/ontaki-japanese-steel-beard-hair-scissors-5-5-inch-professional-grooming-shears</t>
  </si>
  <si>
    <t xml:space="preserve">https://striking-viking.com/fi/products/striking-viking-unscented-beard-oil-and-balm-kit-natural-beard-grooming-set-for-men</t>
  </si>
  <si>
    <t xml:space="preserve">Partaöljy &amp; partabalsami -setti Hajusteeton | Ravitse &amp; muotoile | Striking Viking</t>
  </si>
  <si>
    <t xml:space="preserve">Kit Crescita Barba Vaniglia &amp; Senza Profumo | Roller Kit | Striking Viking</t>
  </si>
  <si>
    <t xml:space="preserve">Skjeggbalm Sandeltre – Naturlig og Økologisk Skjeggpleie | Striking Viking</t>
  </si>
  <si>
    <t xml:space="preserve">Crème à raser pour homme - Parfum luxueux de bois de santal – Striking Viking</t>
  </si>
  <si>
    <t xml:space="preserve">ONTAKI Gebogene Stoffschere - Präzisions 6.5" Näh- &amp; Stickwerkzeug – Striking Viking</t>
  </si>
  <si>
    <t xml:space="preserve">The Dude – Kultiger Stil und Selbstvertrauen mit der Auszeichnung „Bart der Woche“ – Striking Viking</t>
  </si>
  <si>
    <t xml:space="preserve">Brian Wilson - Baseball Relief Pitcher &amp; Beard of the Week Winner – Striking Viking</t>
  </si>
  <si>
    <t xml:space="preserve">ONTAKI Kaarevat kangassakset – Tarkkuus 6,5" ompelu- ja kirjontatyökalu – Striking Viking</t>
  </si>
  <si>
    <t xml:space="preserve">Champú para Barba con Colonia de Árbol de Té y Biotina | Aroma Fresco – Striking Viking</t>
  </si>
  <si>
    <t xml:space="preserve">Lápices Rellenadores de Barba para Hombres | Rellena Parches y Huecos al Instante – Striking Viking</t>
  </si>
  <si>
    <t xml:space="preserve">Coffret Maîtrise de la Pousse de Barbe Santal &amp; Vanille | Striking Viking</t>
  </si>
  <si>
    <t xml:space="preserve">Bálsamo para después de afeitar para hombres - Cuidado nutritivo sin fragancia – Striking Viking</t>
  </si>
  <si>
    <t xml:space="preserve">https://striking-viking.com/fr-ca/blogs/learn/how-to-use-beard-balm-properly-a-complete-guide</t>
  </si>
  <si>
    <t xml:space="preserve">Baume à barbe – Comment l’utiliser correctement (La plupart se trompent) – Striking Viking</t>
  </si>
  <si>
    <t xml:space="preserve">https://striking-viking.com/no/collections/featured-products</t>
  </si>
  <si>
    <t xml:space="preserve">Utforsk førsteklasses utvalgte produkter for enhver stil | Kjøp nå – Striking Viking</t>
  </si>
  <si>
    <t xml:space="preserve">Cepillo Redondo para Cabello | Volumen y Control de Salón | Striking Viking</t>
  </si>
  <si>
    <t xml:space="preserve">ONTAKI buede stoffsakser – presisjonsverktøy 6,5" for søm og broderi – Striking Viking</t>
  </si>
  <si>
    <t xml:space="preserve">Striking Viking Peigne à barbe - Outil ultime pour le coiffage et l’entretien de la barbe</t>
  </si>
  <si>
    <t xml:space="preserve">Partavoide lajitelma 4-pack | Luonnollinen &amp; hajustettu | Striking Viking</t>
  </si>
  <si>
    <t xml:space="preserve">https://striking-viking.com/it/collections/beard-essentials</t>
  </si>
  <si>
    <t xml:space="preserve">Essenziali per la Barba - Eleva la Tua Routine di Cura – Striking Viking</t>
  </si>
  <si>
    <t xml:space="preserve">Huile à Barbe Vanille | Bio &amp; Non Testé sur les Animaux | Striking Viking</t>
  </si>
  <si>
    <t xml:space="preserve">Best Beard Care Products - Essential Grooming Supplies for Men – Striking Viking</t>
  </si>
  <si>
    <t xml:space="preserve">Barbe : Au-delà du peignage – Produits essentiels pour l’entretien – Striking Viking</t>
  </si>
  <si>
    <t xml:space="preserve">Skjegg: Mer enn bare børsting – Essensielle pleieprodukter – Striking Viking</t>
  </si>
  <si>
    <t xml:space="preserve">Costumi da barba per Halloween: I 10 look più cool per una notte spettrale – Striking Viking</t>
  </si>
  <si>
    <t xml:space="preserve">https://striking-viking.com/no/products/hair-fiber-men</t>
  </si>
  <si>
    <t xml:space="preserve">Hair Fiber Men: Best Thickening Solution for Fuller Hair – Striking Viking</t>
  </si>
  <si>
    <t xml:space="preserve">Partaöljyn ainesosat: Olennaiset komponentit terveemmälle parralle - Paras valinta – Striking Viking</t>
  </si>
  <si>
    <t xml:space="preserve">https://striking-viking.com/sv/blogs/learn/46928577-tips-to-protect-your-beard-from-the-cold</t>
  </si>
  <si>
    <t xml:space="preserve">Skäggvårdstips: Expertråd för att skydda ditt skägg mot kallt väder – Striking Viking</t>
  </si>
  <si>
    <t xml:space="preserve">Kit para Crecimiento de Barba Vainilla y Sin Aroma | Kit con Roller | Striking Viking</t>
  </si>
  <si>
    <t xml:space="preserve">Beard Care Tips: Expert Advice to Protect Your Beard from Cold Weather – Striking Viking</t>
  </si>
  <si>
    <t xml:space="preserve">Polvo para peinar para hombres - Fijación ligera y aroma a vainilla | Viking – Striking Viking</t>
  </si>
  <si>
    <t xml:space="preserve">Ciseaux à barbe et moustache en acier allemand ONTAKI 5" | Striking Viking</t>
  </si>
  <si>
    <t xml:space="preserve">Burro per Barba - Idratazione Intensa e Fragranza Duratura – Striking Viking</t>
  </si>
  <si>
    <t xml:space="preserve">Charlemagne Carbon Hair Comb for Men – Professional Heat-Resistant Sty – Striking Viking</t>
  </si>
  <si>
    <t xml:space="preserve">Shampooing à Barbe &amp; Après-shampooing à Barbe (Sans Parfum) - Soin Naturel – Striking Viking</t>
  </si>
  <si>
    <t xml:space="preserve">ONTAKI Duckbill Applique Scissors 4.5 Inch – Carbon Steel Fabric &amp; Thr – Striking Viking</t>
  </si>
  <si>
    <t xml:space="preserve">Peigne à Cheveux Carbone Noir | Antistatique Double Face | Striking Viking</t>
  </si>
  <si>
    <t xml:space="preserve">Produits de soin : Offrez à votre barbe une allure impeccable – Striking Viking</t>
  </si>
  <si>
    <t xml:space="preserve">Baume Après-Rasage pour Homme - Soin Nourrissant Sans Parfum – Striking Viking</t>
  </si>
  <si>
    <t xml:space="preserve">Tijeras para barba y bigote ONTAKI 5" con apoyo para dedos | Striking Viking</t>
  </si>
  <si>
    <t xml:space="preserve">Parhaat partahoidon tuotteet - Olennaiset hoitotarvikkeet miehille – Striking Viking</t>
  </si>
  <si>
    <t xml:space="preserve">Charlemagne Round Hair Brush for Men – Professional Styling Brush for – Striking Viking</t>
  </si>
  <si>
    <t xml:space="preserve">https://striking-viking.com/fr/products/striking-viking-unscented-beard-oil-natural-organic-beard-care</t>
  </si>
  <si>
    <t xml:space="preserve">Huile à Barbe Sans Parfum – Brillance Naturelle &amp; Croissance | Striking Viking</t>
  </si>
  <si>
    <t xml:space="preserve">Huile de croissance pour barbe à la biotine et bois de santal | Striking Viking</t>
  </si>
  <si>
    <t xml:space="preserve">Balsamo per Barba alla Vaniglia Confezione da 2 | Nutri e Ammorbidisci | Striking Viking</t>
  </si>
  <si>
    <t xml:space="preserve">https://striking-viking.com/sv/products/striking-viking-hair-styling-powder-for-men-light-hold-vanilla-natural-volume-texture</t>
  </si>
  <si>
    <t xml:space="preserve">Hårstylingspuder för män – Lätt stadga &amp; vaniljdoft | Viking – Striking Viking</t>
  </si>
  <si>
    <t xml:space="preserve">Bart Shampoo Pfefferminze &amp; Eukalyptus | Sauberer Bart | Striking Viking</t>
  </si>
  <si>
    <t xml:space="preserve">Bartwaschmittel mit Teebaumöl und Biotin | Frischer Duft – Striking Viking</t>
  </si>
  <si>
    <t xml:space="preserve">https://striking-viking.com/no/products/striking-viking-unscented-after-shave-balm-for-men-soothing-hydration-skin-care</t>
  </si>
  <si>
    <t xml:space="preserve">Aftershave-balsam for menn – nærende uparfymert pleie – Striking Viking</t>
  </si>
  <si>
    <t xml:space="preserve">Aceite para Crecimiento de Barba con Biotina y Sándalo | Striking Viking</t>
  </si>
  <si>
    <t xml:space="preserve">Tijeras de Tela Curvas ONTAKI - Herramienta de Costura y Bordado de Precisión 6.5" – Striking Viking</t>
  </si>
  <si>
    <t xml:space="preserve">https://striking-viking.com/de/blogs/learn/what-are-the-best-beard-scissors-for-precision-grooming</t>
  </si>
  <si>
    <t xml:space="preserve">Bartschere: Finden Sie die Beste für präzises Grooming – Striking Viking</t>
  </si>
  <si>
    <t xml:space="preserve">Ciseaux à barbe et cheveux ONTAKI 5,5" acier japonais | Striking Viking</t>
  </si>
  <si>
    <t xml:space="preserve">https://striking-viking.com/it/products/carbon-wide-tooth-comb</t>
  </si>
  <si>
    <t xml:space="preserve">Pettine a Denti Larghi in Carbonio Nero | Antistatico | Striking Viking</t>
  </si>
  <si>
    <t xml:space="preserve">Charlemagne Pettine per Capelli in Carbonio | Styling di Precisione - Striking Viking</t>
  </si>
  <si>
    <t xml:space="preserve">Peine de Madera Plegable para Hombre | Barba y Cabello | Striking Viking</t>
  </si>
  <si>
    <t xml:space="preserve">https://striking-viking.com/no/blogs/learn/the-ultimate-beard-growth-routine-for-a-thicker-healthier-beard-2026-guide</t>
  </si>
  <si>
    <t xml:space="preserve">Den ultimate rutinen for skjeggvekst for et fyldigere, sunnere skjegg – Striking Viking</t>
  </si>
  <si>
    <t xml:space="preserve">https://striking-viking.com/no/blogs/learn/beard-oil-vs-beard-balm-solving-the-modern-problem-for-gentlemen-with-beards</t>
  </si>
  <si>
    <t xml:space="preserve">Skjeggolje vs Skjeggbalm: Velg det beste for skjegget ditt – Striking Viking</t>
  </si>
  <si>
    <t xml:space="preserve">Esplora prodotti in evidenza di alta qualità per ogni stile | Acquista ora – Striking Viking</t>
  </si>
  <si>
    <t xml:space="preserve">https://striking-viking.com/no/products/striking-viking-hair-styling-powder-for-men-light-hold-vanilla-natural-volume-texture</t>
  </si>
  <si>
    <t xml:space="preserve">Hårstylingpulver for menn – lett hold og vaniljeduft | Viking – Striking Viking</t>
  </si>
  <si>
    <t xml:space="preserve">Olio da Barba Citrus - Ammorbidente e Crescita Barba Bio | Striking Viking</t>
  </si>
  <si>
    <t xml:space="preserve">https://striking-viking.com/en-gb/products/ontaki-professional-thinning-texturizing-scissors-set-6-5-inch-japanese-alloy-steel</t>
  </si>
  <si>
    <t xml:space="preserve">Bálsamo para Barba Cedro | Solución Natural de Cuidado Personal | Striking Viking</t>
  </si>
  <si>
    <t xml:space="preserve">Balsamo Barba Legno di Cedro | Soluzione Naturale per la Cura della Barba | Striking Viking</t>
  </si>
  <si>
    <t xml:space="preserve">Coffret Croissance de Barbe Bois de Santal &amp; Sans Parfum | Striking Viking</t>
  </si>
  <si>
    <t xml:space="preserve">Lápiz Rellenador de Barba Punta Dual | Rellena Huecos en la Barba | Striking Viking</t>
  </si>
  <si>
    <t xml:space="preserve">Set Olio e Balsamo per Barba Senza Profumo | Nutri e Stile | Striking Viking</t>
  </si>
  <si>
    <t xml:space="preserve">Set de Aceite y Bálsamo para Barba Sándalo | Nutre y Estiliza | Striking Viking</t>
  </si>
  <si>
    <t xml:space="preserve">https://striking-viking.com/it/blogs/learn/tame-the-wild-meet-the-striking-viking-sandalwood-beard-comb</t>
  </si>
  <si>
    <t xml:space="preserve">Pettine per barba in legno di sandalo Striking Viking per una cura impeccabile</t>
  </si>
  <si>
    <t xml:space="preserve">https://striking-viking.com/no/products/striking-viking-beard-filler-pen-2-pack-dual-tip-waterproof-beard-pen-for-natural-beard-filling</t>
  </si>
  <si>
    <t xml:space="preserve">Skjeggfyller Penn Dobbel Spiss 2-pakning | Fyll Ujevnheter | Striking Viking</t>
  </si>
  <si>
    <t xml:space="preserve">Striking Viking Soin de la barbe : conseils d’expert pour une barbe parfaitement entretenue</t>
  </si>
  <si>
    <t xml:space="preserve">Die besten Bartpflegeprodukte – unverzichtbare Pflegeprodukte für Männer – Striking Viking</t>
  </si>
  <si>
    <t xml:space="preserve">https://striking-viking.com/sv/products/hair-fiber-men</t>
  </si>
  <si>
    <t xml:space="preserve">Spazzola Rotonda per Capelli | Volume e Controllo da Salone | Striking Viking</t>
  </si>
  <si>
    <t xml:space="preserve">Consigli per la cura della barba: consigli degli esperti per proteggere la tua barba dal freddo – Striking Viking</t>
  </si>
  <si>
    <t xml:space="preserve">Entdecken Sie hochwertige Produkte für jeden Stil | Jetzt einkaufen – Striking Viking</t>
  </si>
  <si>
    <t xml:space="preserve">https://striking-viking.com/en-ca/blogs/learn/46928577-tips-to-protect-your-beard-from-the-cold</t>
  </si>
  <si>
    <t xml:space="preserve">Set de 4 Aceites para Barba Variedad | Fórmula Orgánica | Striking Viking</t>
  </si>
  <si>
    <t xml:space="preserve">Parta Shampoo Sandalwood | Täysin luonnollinen koostumus | Striking Viking</t>
  </si>
  <si>
    <t xml:space="preserve">Ingredienti dell'Olio da Barba: Componenti Essenziali per una Barba più Sana - Migliore Selezione – Striking Viking</t>
  </si>
  <si>
    <t xml:space="preserve">https://striking-viking.com/es/blogs/learn/how-to-use-beard-balm-properly-a-complete-guide</t>
  </si>
  <si>
    <t xml:space="preserve">Bálsamo para Barba - Cómo usarlo de la manera CORRECTA (La mayoría lo hace mal) – Striking Viking</t>
  </si>
  <si>
    <t xml:space="preserve">Strumenti per la cura della barba per uno styling professionale a casa | Striking Viking</t>
  </si>
  <si>
    <t xml:space="preserve">Skäggkostymer för Halloween: Topp 10 coolaste stilarna för en kuslig natt – Striking Viking</t>
  </si>
  <si>
    <t xml:space="preserve">Pflegeprodukte: Verwöhne deinen Bart und zähme abstehende Haare – Striking Viking</t>
  </si>
  <si>
    <t xml:space="preserve">Cepillo para Barba de Cerdas de Jabalí | Mango de Madera de Haya | Striking Viking</t>
  </si>
  <si>
    <t xml:space="preserve">Pomata per Capelli Originale | Tenuta Classica &amp; Brillantezza | Striking Viking</t>
  </si>
  <si>
    <t xml:space="preserve">https://striking-viking.com/fi/blogs/learn/the-ultimate-guide-to-grooming-with-ontaki-scissors</t>
  </si>
  <si>
    <t xml:space="preserve">Ontaki-sakset: Täydellinen opas miesten huoliteltuun tyyliin – Striking Viking</t>
  </si>
  <si>
    <t xml:space="preserve">Costumes de barbe pour Halloween : Top 10 des looks les plus cool pour une nuit effrayante – Striking Viking</t>
  </si>
  <si>
    <t xml:space="preserve">Striking Viking: Verleihe deinem Look das gewisse Etwas mit matter Pomade</t>
  </si>
  <si>
    <t xml:space="preserve">Carbon Kamm mit breiten Zähnen Schwarz | Antistatisch | Striking Viking</t>
  </si>
  <si>
    <t xml:space="preserve">Partaöljy Bergamot Thunder | Luonnollinen &amp; Orgaaninen | Striking Viking</t>
  </si>
  <si>
    <t xml:space="preserve">The Dude - Iconic Style and Confidence with Beard of the Week Award – Striking Viking</t>
  </si>
  <si>
    <t xml:space="preserve">Auffälliger Bartkamm von Viking – Ultimatives Bartstyling- und Pflegewerkzeug – Striking Viking</t>
  </si>
  <si>
    <t xml:space="preserve">Brian Wilson - Lanzador relevista de béisbol y ganador de Barba de la Semana – Striking Viking</t>
  </si>
  <si>
    <t xml:space="preserve">https://striking-viking.com/no/collections/trending-now</t>
  </si>
  <si>
    <t xml:space="preserve">Trendy herrepleieprodukter – Dette er det hotteste akkurat nå | Striking Viking</t>
  </si>
  <si>
    <t xml:space="preserve">https://striking-viking.com/fr/blogs/learn/beard-oil-vs-beard-balm-solving-the-modern-problem-for-gentlemen-with-beards</t>
  </si>
  <si>
    <t xml:space="preserve">Huile à barbe ou baume à barbe : choisissez le meilleur pour votre barbe – Striking Viking</t>
  </si>
  <si>
    <t xml:space="preserve">Brian Wilson – Baseballens relieffpitcher og Ukens Skjegg-vinner – Striking Viking</t>
  </si>
  <si>
    <t xml:space="preserve">Baume à Barbe Agrumes | Discipliner, Faire Briller &amp; Nourrir | Striking Viking</t>
  </si>
  <si>
    <t xml:space="preserve">Ciseaux de toilettage pour poils du visage ONTAKI Lot de 2 | Striking Viking</t>
  </si>
  <si>
    <t xml:space="preserve">Pettine per Capelli in Carbonio Nero | Antistatico a Doppia Faccia | Striking Viking</t>
  </si>
  <si>
    <t xml:space="preserve">Conseils pour l’entretien de la barbe : avis d’experts pour protéger votre barbe du froid – Striking Viking</t>
  </si>
  <si>
    <t xml:space="preserve">Beurre à barbe pour la pousse à la biotine | Blue Ocean – Striking Viking</t>
  </si>
  <si>
    <t xml:space="preserve">https://striking-viking.com/es/blogs/learn/46928577-tips-to-protect-your-beard-from-the-cold</t>
  </si>
  <si>
    <t xml:space="preserve">Consejos para el cuidado de la barba: asesoramiento experto para proteger tu barba del frío – Striking Viking</t>
  </si>
  <si>
    <t xml:space="preserve">https://striking-viking.com/es/products/striking-viking-vanilla-beard-oil-balm-kit-for-soft-healthy-beard-care-for-men</t>
  </si>
  <si>
    <t xml:space="preserve">Set de Aceite y Bálsamo para Barba Vainilla | Nutre y Estiliza | Striking Viking</t>
  </si>
  <si>
    <t xml:space="preserve">https://striking-viking.com/en-ca/products/striking-viking-hair-styling-powder-for-men-light-hold-vanilla-natural-volume-texture</t>
  </si>
  <si>
    <t xml:space="preserve">Hair Styling Powder, Light Hold | Vanilla – Natural Volume &amp; Texture – Striking Viking</t>
  </si>
  <si>
    <t xml:space="preserve">Explora productos destacados de primera calidad para cada estilo | Compra ahora – Striking Viking</t>
  </si>
  <si>
    <t xml:space="preserve">https://striking-viking.com/es/products/hair-fiber-men</t>
  </si>
  <si>
    <t xml:space="preserve">Ciseaux à barbe et moustache ONTAKI 5" avec repose-doigt | Striking Viking</t>
  </si>
  <si>
    <t xml:space="preserve">Brian Wilson - Lanceur de relève au baseball et Gagnant de la Barbe de la Semaine – Striking Viking</t>
  </si>
  <si>
    <t xml:space="preserve">Beurre à Barbe - Hydratation Intense &amp; Parfum Longue Durée – Striking Viking</t>
  </si>
  <si>
    <t xml:space="preserve">Le Mec - Style iconique et confiance avec le prix Barbe de la Semaine – Striking Viking</t>
  </si>
  <si>
    <t xml:space="preserve">Forbici per Barba e Capelli ONTAKI 5.5" Acciaio Giapponese | Striking Viking</t>
  </si>
  <si>
    <t xml:space="preserve">Kit de Croissance de Barbe Vanille &amp; Sans Parfum | Kit Roller | Striking Viking</t>
  </si>
  <si>
    <t xml:space="preserve">Pomada para Cabello Original | Fijación y Brillo Clásicos | Striking Viking</t>
  </si>
  <si>
    <t xml:space="preserve">Shampoo Barba Tea Tree &amp; Biotina | Cura Sana della Barba | Striking Viking</t>
  </si>
  <si>
    <t xml:space="preserve">Stylos de remplissage pour barbe pour hommes | Comblez instantanément les trous et les zones clairsemées de la barbe – Striking Viking</t>
  </si>
  <si>
    <t xml:space="preserve">Meilleurs produits pour l’entretien de la barbe - Fournitures essentielles de soins pour hommes – Striking Viking</t>
  </si>
  <si>
    <t xml:space="preserve">Forbici per barba e baffi in acciaio tedesco ONTAKI 5" | Striking Viking</t>
  </si>
  <si>
    <t xml:space="preserve">Hair Fiber Men: Paras ratkaisu tuuheammille hiuksille – Striking Viking</t>
  </si>
  <si>
    <t xml:space="preserve">Parranajon jälkeinen balsami Santelipuu | Rauhoittaa &amp; Kosteuttaa | Striking Viking</t>
  </si>
  <si>
    <t xml:space="preserve">https://striking-viking.com/fr-ca/products/striking-viking-sandalwood-beard-butter-for-soft-hydrated-healthy-beard-care-for-men</t>
  </si>
  <si>
    <t xml:space="preserve">Beurre à Barbe - Hydratez et Apaisez Votre Barbe Naturellement – Striking Viking</t>
  </si>
  <si>
    <t xml:space="preserve">Bartpflege-Tools für professionelles Styling zu Hause | Striking Viking</t>
  </si>
  <si>
    <t xml:space="preserve">Abonnez-vous pour des essentiels de soin de barbe sans tracas – Striking Viking</t>
  </si>
  <si>
    <t xml:space="preserve">https://striking-viking.com/en-gb/blogs/learn/41241281-the-dude</t>
  </si>
  <si>
    <t xml:space="preserve">Skäggfyllnadspennor för män | Fyll ut skäggfläckar och glipor direkt – Striking Viking</t>
  </si>
  <si>
    <t xml:space="preserve">Tijeras para barba y cabello ONTAKI 5.5" acero japonés | Striking Viking</t>
  </si>
  <si>
    <t xml:space="preserve">https://striking-viking.com/no/blogs/learn/how-to-use-beard-balm-properly-a-complete-guide</t>
  </si>
  <si>
    <t xml:space="preserve">Skjeggbalsam – Slik bruker du den RIKTIG (De fleste gjør det feil) – Striking Viking</t>
  </si>
  <si>
    <t xml:space="preserve">https://striking-viking.com/fr-ca/blogs/learn/how-to-choose-the-right-hair-cutting-scissors-for-home-or-salon-use</t>
  </si>
  <si>
    <t xml:space="preserve">Ciseaux : comment choisir les bons outils de coupe pour les cheveux – Striking Viking</t>
  </si>
  <si>
    <t xml:space="preserve">Coffret Huile et Baume à Barbe Santal | Nourrir &amp; Styliser | Striking Viking</t>
  </si>
  <si>
    <t xml:space="preserve">Aftershave-Balsam Vanille | Beruhigen &amp; Hydratisieren | Striking Viking</t>
  </si>
  <si>
    <t xml:space="preserve">Taisteluun Valmis Parta -pakkaus | Täydellinen hoitosetti | Striking Viking</t>
  </si>
  <si>
    <t xml:space="preserve">Brian Wilson – Baseball-Relief-Pitcher und Gewinner des Barts der Woche – Striking Viking</t>
  </si>
  <si>
    <t xml:space="preserve">Bálsamo para Barba Vainilla | Estilo y Cuidado Natural | Striking Viking</t>
  </si>
  <si>
    <t xml:space="preserve">https://striking-viking.com/no/products/striking-viking-tea-tree-biotin-beard-wash-cologne-for-clean-fresh-healthy-beard-care</t>
  </si>
  <si>
    <t xml:space="preserve">Skjeggshampo Cologne med Tea Tree og Biotin | Frisk duft – Striking Viking</t>
  </si>
  <si>
    <t xml:space="preserve">https://striking-viking.com/no/blogs/learn/46928577-tips-to-protect-your-beard-from-the-cold</t>
  </si>
  <si>
    <t xml:space="preserve">Skjeggpleietips: Ekspertråd for å beskytte skjegget ditt mot kaldt vær – Striking Viking</t>
  </si>
  <si>
    <t xml:space="preserve">Pack Maestría en Crecimiento de Barba Sándalo y Vainilla | Striking Viking</t>
  </si>
  <si>
    <t xml:space="preserve">https://striking-viking.com/fr/products/striking-viking-cedarwood-beard-balm</t>
  </si>
  <si>
    <t xml:space="preserve">Baume à Barbe Bois de Cèdre | Solution de Soin Naturelle | Striking Viking</t>
  </si>
  <si>
    <t xml:space="preserve">I migliori prodotti per la cura della barba - Forniture essenziali per la cura dell'uomo – Striking Viking</t>
  </si>
  <si>
    <t xml:space="preserve">Partahatut Halloweeniksi: 10 Siisteintä Ilmettä Pelottavalle Yölle – Striking Viking</t>
  </si>
  <si>
    <t xml:space="preserve">Lápiz Rellenador de Barba Punta Dual Paquete de 2 | Rellena Zonas con Menos Barba | Striking Viking</t>
  </si>
  <si>
    <t xml:space="preserve">Productos de cuidado: Mima tu barba y controla los pelos rebeldes – Striking Viking</t>
  </si>
  <si>
    <t xml:space="preserve">https://striking-viking.com/fr/products/striking-viking-sandalwood-beard-butter-for-soft-hydrated-healthy-beard-care-for-men</t>
  </si>
  <si>
    <t xml:space="preserve">Brian Wilson - Lanciatore di rilievo di baseball &amp; Vincitore della Barba della Settimana – Striking Viking</t>
  </si>
  <si>
    <t xml:space="preserve">Bálsamo para Barba Sándalo - Cuidado de Barba Natural y Orgánico | Striking Viking</t>
  </si>
  <si>
    <t xml:space="preserve">Aceite para Barba de Vainilla | Orgánico y Libre de Crueldad | Striking Viking</t>
  </si>
  <si>
    <t xml:space="preserve">https://striking-viking.com/en-ca/blogs/learn/the-ultimate-beard-growth-routine-for-a-thicker-healthier-beard-2026-guide</t>
  </si>
  <si>
    <t xml:space="preserve">Découvrez des produits vedettes de qualité supérieure pour chaque style | Achetez maintenant – Striking Viking</t>
  </si>
  <si>
    <t xml:space="preserve">https://striking-viking.com/fr/collections/beard-essentials</t>
  </si>
  <si>
    <t xml:space="preserve">Essentiels pour la barbe – Élevez votre routine de soins – Striking Viking</t>
  </si>
  <si>
    <t xml:space="preserve">https://striking-viking.com/fr/blogs/learn/tame-the-wild-meet-the-striking-viking-sandalwood-beard-comb</t>
  </si>
  <si>
    <t xml:space="preserve">Peigne à barbe en bois de santal Striking Viking pour une mise en forme parfaite</t>
  </si>
  <si>
    <t xml:space="preserve">Shampoing Barbe Menthe Poivrée &amp; Eucalyptus | Barbe Propre | Striking Viking</t>
  </si>
  <si>
    <t xml:space="preserve">https://striking-viking.com/fi/products/striking-viking-sandalwood-beard-butter-for-soft-hydrated-healthy-beard-care-for-men</t>
  </si>
  <si>
    <t xml:space="preserve">Partavoide - Kosteuta ja rauhoita partaasi luonnollisesti – Striking Viking</t>
  </si>
  <si>
    <t xml:space="preserve">Coffret Huile et Baume à Barbe Sans Parfum | Nourrissez &amp; Stylisez | Striking Viking</t>
  </si>
  <si>
    <t xml:space="preserve">Kit Puissance Croissance Barbe | Barbe Plus Dense, Plus Épaisse | Striking Viking</t>
  </si>
  <si>
    <t xml:space="preserve">Partavoide Santelipuu – Luonnollinen &amp; Orgaaninen Partahoito | Striking Viking</t>
  </si>
  <si>
    <t xml:space="preserve">https://striking-viking.com/sv/products/striking-viking-citrus-beard-oil</t>
  </si>
  <si>
    <t xml:space="preserve">Skäggolja Citrus – Ekologisk mjukgörande &amp; tillväxt för skägg | Striking Viking</t>
  </si>
  <si>
    <t xml:space="preserve">https://striking-viking.com/en-gb/products/ontaki-japanese-steel-beard-mustache-scissors-5-5-inch-professional-grooming-kit</t>
  </si>
  <si>
    <t xml:space="preserve">Shampoing à Barbe Cologne avec Arbre à Thé &amp; Biotine | Parfum Frais – Striking Viking</t>
  </si>
  <si>
    <t xml:space="preserve">Aceite para Barba Sin Aroma - Brillo Natural y Crecimiento | Striking Viking</t>
  </si>
  <si>
    <t xml:space="preserve">Kit Potenciador de Crecimiento de Barba | Barba Más Llena y Gruesa | Striking Viking</t>
  </si>
  <si>
    <t xml:space="preserve">https://striking-viking.com/en-gb/blogs/learn/46928577-tips-to-protect-your-beard-from-the-cold</t>
  </si>
  <si>
    <t xml:space="preserve">Tutustu huippulaatuisiin esiteltyihin tuotteisiin joka tyyliin | Osta nyt – Striking Viking</t>
  </si>
  <si>
    <t xml:space="preserve">https://striking-viking.com/fr-ca/blogs/learn/what-are-the-best-beard-scissors-for-precision-grooming</t>
  </si>
  <si>
    <t xml:space="preserve">Ciseaux à barbe : trouvez les meilleurs pour une taille précise – Striking Viking</t>
  </si>
  <si>
    <t xml:space="preserve">Coffret Croissance Barbe Bois de Santal | Sérum &amp; Roller | Striking Viking</t>
  </si>
  <si>
    <t xml:space="preserve">https://striking-viking.com/fr-ca/blogs/learn/beard-oil-vs-beard-balm-solving-the-modern-problem-for-gentlemen-with-beards</t>
  </si>
  <si>
    <t xml:space="preserve">Bart: Mehr als nur Kämmen – Unverzichtbare Pflegeprodukte – Striking Viking</t>
  </si>
  <si>
    <t xml:space="preserve">Suscríbete para recibir lo esencial del cuidado de la barba sin complicaciones – Striking Viking</t>
  </si>
  <si>
    <t xml:space="preserve">https://striking-viking.com/fi/products/striking-viking-vanilla-beard-oil-balm-kit-for-soft-healthy-beard-care-for-men</t>
  </si>
  <si>
    <t xml:space="preserve">Partaöljy &amp; partabalsami -setti Vanilja | Ravitse &amp; muotoile | Striking Viking</t>
  </si>
  <si>
    <t xml:space="preserve">Aceite para barba perfumado de Striking Viking – Nutrición profunda y fragancia natural</t>
  </si>
  <si>
    <t xml:space="preserve">Poudre coiffante pour hommes - Fixation légère &amp; parfum vanille | Viking – Striking Viking</t>
  </si>
  <si>
    <t xml:space="preserve">https://striking-viking.com/es/collections/beard-essentials</t>
  </si>
  <si>
    <t xml:space="preserve">Esenciales para la barba - Eleva tu rutina de cuidado – Striking Viking</t>
  </si>
  <si>
    <t xml:space="preserve">Aceite para Barba Sándalo para Cuidado Saludable de la Barba | Striking Viking</t>
  </si>
  <si>
    <t xml:space="preserve">https://striking-viking.com/es/blogs/learn/what-are-the-best-beard-scissors-for-precision-grooming</t>
  </si>
  <si>
    <t xml:space="preserve">Tijeras para barba: Encuentra las mejores para un arreglo preciso – Striking Viking</t>
  </si>
  <si>
    <t xml:space="preserve">https://striking-viking.com/fr/blogs/learn/the-ultimate-guide-to-grooming-with-ontaki-scissors</t>
  </si>
  <si>
    <t xml:space="preserve">Ciseaux Ontaki : Le guide ultime de la toilette masculine – Striking Viking</t>
  </si>
  <si>
    <t xml:space="preserve">Partakarvojen hoitotyökalut ammattimaiseen muotoiluun kotona | Striking Viking</t>
  </si>
  <si>
    <t xml:space="preserve">Bálsamo para Barba Sin Aroma - Suaviza y Domina de Forma Natural | Striking Viking</t>
  </si>
  <si>
    <t xml:space="preserve">Shampoo per Barba e Balsamo per Barba (Senza Profumo) - Cura Naturale – Striking Viking</t>
  </si>
  <si>
    <t xml:space="preserve">Peigne à Cheveux en Carbone Charlemagne | Coiffage de Précision - Striking Viking</t>
  </si>
  <si>
    <t xml:space="preserve">Haarstylingpuder für Männer – Leichter Halt &amp;amp; Vanilleduft | Viking – Striking Viking</t>
  </si>
  <si>
    <t xml:space="preserve">Olio da Barba Senza Profumo - Lucentezza Naturale e Crescita | Striking Viking</t>
  </si>
  <si>
    <t xml:space="preserve">Crema da Barba per Uomo - Profumo Lussuoso di Sandalo – Striking Viking</t>
  </si>
  <si>
    <t xml:space="preserve">https://striking-viking.com/fr-ca/blogs/learn/unlock-your-beard-s-full-potential-beard-growth-kits-oils</t>
  </si>
  <si>
    <t xml:space="preserve">La routine ultime pour la pousse de barbe : une barbe plus épaisse et – Striking Viking</t>
  </si>
  <si>
    <t xml:space="preserve">Beard Costumes for Halloween: Top 10 Coolest Looks for Spooky Night – Striking Viking</t>
  </si>
  <si>
    <t xml:space="preserve">Aceite para Crecimiento de Barba con Biotina Sin Aroma | Striking Viking</t>
  </si>
  <si>
    <t xml:space="preserve">Ciseaux à tissu courbés ONTAKI - Outil de couture et broderie de précision 6,5" – Striking Viking</t>
  </si>
  <si>
    <t xml:space="preserve">Champú y Acondicionador para Barba con Colonia - Aceite de Argán y Joj – Striking Viking</t>
  </si>
  <si>
    <t xml:space="preserve">https://striking-viking.com/en-ca/pages/beard-filler-pens</t>
  </si>
  <si>
    <t xml:space="preserve">Beard Filler Pens for Men | Fill Beard Patches &amp; Gaps Instantly – Striking Viking</t>
  </si>
  <si>
    <t xml:space="preserve">Tijeras para el cuidado del vello facial ONTAKI 2 unidades | Striking Viking</t>
  </si>
  <si>
    <t xml:space="preserve">Vårdvårdsprodukter: Skäm bort ditt skägg och tämj bångstyriga strån – Striking Viking</t>
  </si>
  <si>
    <t xml:space="preserve">https://striking-viking.com/no/blogs/learn/striking-viking-beard-comb-for-routine-beard-management</t>
  </si>
  <si>
    <t xml:space="preserve">Striking Viking Skjeggkam - Det ultimate verktøyet for styling og pleie av skjegget</t>
  </si>
  <si>
    <t xml:space="preserve">https://striking-viking.com/fr-ca/blogs/learn/the-ultimate-guide-to-grooming-with-ontaki-scissors</t>
  </si>
  <si>
    <t xml:space="preserve">Rafraîchissement de style printanier : Mettez à jour votre barbe et vos cheveux cette saison – Striking Viking</t>
  </si>
  <si>
    <t xml:space="preserve">https://striking-viking.com/it/blogs/learn/how-to-choose-the-right-hair-cutting-scissors-for-home-or-salon-use</t>
  </si>
  <si>
    <t xml:space="preserve">Forbici: Come Scegliere gli Strumenti Giusti per Tagliare i Capelli – Striking Viking</t>
  </si>
  <si>
    <t xml:space="preserve">Parta Täytekynät Miehille | Täytä Partaaukot ja -raot Välittömästi – Striking Viking</t>
  </si>
  <si>
    <t xml:space="preserve">https://striking-viking.com/en-ca/products/hair-fiber-men</t>
  </si>
  <si>
    <t xml:space="preserve">Disfraces de barba para Halloween: Los 10 looks más geniales para una noche espeluznante – Striking Viking</t>
  </si>
  <si>
    <t xml:space="preserve">Kaveri - Ikoninen tyyli ja itseluottamus Viikon partapalkinnolla – Striking Viking</t>
  </si>
  <si>
    <t xml:space="preserve">https://striking-viking.com/fi/products/carbon-wide-tooth-comb</t>
  </si>
  <si>
    <t xml:space="preserve">Hiilikuituinen leveähampainen kampa musta | Antistaattinen | Striking Viking</t>
  </si>
  <si>
    <t xml:space="preserve">Balsamo Dopobarba per Uomo - Cura Nutriente Senza Profumo – Striking Viking</t>
  </si>
  <si>
    <t xml:space="preserve">https://striking-viking.com/it/products/striking-viking-vanilla-beard-oil-with-natural-organic-oils-for-soft-healthy-beard-care</t>
  </si>
  <si>
    <t xml:space="preserve">Olio da Barba alla Vaniglia | Biologico &amp; Cruelty-Free | Striking Viking</t>
  </si>
  <si>
    <t xml:space="preserve">Bartöl Inhaltsstoffe: Essenzielle Komponenten für einen gesünderen Bart – Beste Auswahl – Striking Viking</t>
  </si>
  <si>
    <t xml:space="preserve">Striking Viking Pettine per Barba - Strumento Definitivo per lo Styling e la Cura della Barba</t>
  </si>
  <si>
    <t xml:space="preserve">Skäggoljans ingredienser: Viktiga komponenter för ett friskare skägg – Bästa urvalet – Striking Viking</t>
  </si>
  <si>
    <t xml:space="preserve">https://striking-viking.com/en-gb/products/striking-viking-hair-styling-powder-for-men-light-hold-vanilla-natural-volume-texture</t>
  </si>
  <si>
    <t xml:space="preserve">Bartkostüme für Halloween: Top 10 der coolsten Looks für die Gruselnacht – Striking Viking</t>
  </si>
  <si>
    <t xml:space="preserve">https://striking-viking.com/fr/blogs/learn/what-are-the-best-beard-scissors-for-precision-grooming</t>
  </si>
  <si>
    <t xml:space="preserve">https://striking-viking.com/fi/blogs/learn/46928577-tips-to-protect-your-beard-from-the-cold</t>
  </si>
  <si>
    <t xml:space="preserve">Partahoidon vinkit: Asiantuntevat neuvot suojataksesi partasi kylmältä säältä – Striking Viking</t>
  </si>
  <si>
    <t xml:space="preserve">Set Olio e Balsamo per Barba Sandalwood | Nutri e Stile | Striking Viking</t>
  </si>
  <si>
    <t xml:space="preserve">Parta Shampoo Tea Tree &amp; Biotiini | Terveellinen hoito | Striking Viking</t>
  </si>
  <si>
    <t xml:space="preserve">https://striking-viking.com/fr/blogs/learn/how-to-use-beard-balm-properly-a-complete-guide</t>
  </si>
  <si>
    <t xml:space="preserve">https://striking-viking.com/en-gb/products/hair-fiber-men</t>
  </si>
  <si>
    <t xml:space="preserve">https://striking-viking.com/fi/products/striking-viking-unscented-beard-balm-natural-beard-styling-conditioning</t>
  </si>
  <si>
    <t xml:space="preserve">Partavoide Hajusteeton – Pehmentää ja Kesyttää Luonnollisesti | Striking Viking</t>
  </si>
  <si>
    <t xml:space="preserve">https://striking-viking.com/en-ca/products/ontaki-professional-thinning-texturizing-scissors-set-6-5-inch-japanese-alloy-steel</t>
  </si>
  <si>
    <t xml:space="preserve">Polvere per lo Styling dei Capelli da Uomo - Tenuta Leggera &amp; Profumo di Vaniglia | Viking – Striking Viking</t>
  </si>
  <si>
    <t xml:space="preserve">https://striking-viking.com/en-gb/pages/beard-filler-pens</t>
  </si>
  <si>
    <t xml:space="preserve">La routine definitiva per la crescita della barba per una barba più fo – Striking Viking</t>
  </si>
  <si>
    <t xml:space="preserve">Skäggbalsam Sandelträ – Naturlig &amp; Ekologisk Skäggvård | Striking Viking</t>
  </si>
  <si>
    <t xml:space="preserve">Kit Potenziato Crescita Barba | Barba più Folta e Spessa | Striking Viking</t>
  </si>
  <si>
    <t xml:space="preserve">El Tipo - Estilo icónico y confianza con el premio Barba de la Semana – Striking Viking</t>
  </si>
  <si>
    <t xml:space="preserve">Partaöljy &amp; Balm Setti Santelipuu | Ravitse &amp; Muotoile | Striking Viking</t>
  </si>
  <si>
    <t xml:space="preserve">https://striking-viking.com/it/blogs/learn/the-ultimate-guide-to-grooming-with-ontaki-scissors</t>
  </si>
  <si>
    <t xml:space="preserve">Forbici Ontaki: La Guida Definitiva alla Cura Personale – Striking Viking</t>
  </si>
  <si>
    <t xml:space="preserve">Pack de 2 Bálsamos para Barba de Vainilla | Nutre y Suaviza | Striking Viking</t>
  </si>
  <si>
    <t xml:space="preserve">https://striking-viking.com/fr-ca/products/striking-viking-cedarwood-beard-balm</t>
  </si>
  <si>
    <t xml:space="preserve">ONTAKI Böjda Tygsaxar - Precision 6,5" Sy- &amp; Broderiverktyg – Striking Viking</t>
  </si>
  <si>
    <t xml:space="preserve">Tijeras para barba y bigote de acero alemán ONTAKI 5" | Striking Viking</t>
  </si>
  <si>
    <t xml:space="preserve">https://striking-viking.com/de/blogs/learn/all-you-need-to-know-about-beard-filler-pens</t>
  </si>
  <si>
    <t xml:space="preserve">Bart-Füllstifte: Der ultimative Ratgeber zur Bart-Optimierung – Striking Viking</t>
  </si>
  <si>
    <t xml:space="preserve">Pleieprodukter: Skjem bort skjegget ditt og tem uregjerlige hår – Striking Viking</t>
  </si>
  <si>
    <t xml:space="preserve">Carbon-hiuskampa Musta | Antistaattinen kaksipuolinen | Striking Viking</t>
  </si>
  <si>
    <t xml:space="preserve">https://striking-viking.com/no/products/striking-viking-unscented-beard-shampoo-conditioner-set-natural-beard-care-for-men</t>
  </si>
  <si>
    <t xml:space="preserve">Skjeggshampo &amp; Skjeggpleie (Uparfymert) – Naturlig Pleie – Striking Viking</t>
  </si>
  <si>
    <t xml:space="preserve">ONTAKI Forbici Curve per Tessuto - Strumento di Precisione 6.5" per Cucito e Ricamo – Striking Viking</t>
  </si>
  <si>
    <t xml:space="preserve">Striking Viking: La guía definitiva para el cuidado posterior del tatuaje</t>
  </si>
  <si>
    <t xml:space="preserve">Balsamo Barba Sandalo - Cura Barba Naturale e Biologica | Striking Viking</t>
  </si>
  <si>
    <t xml:space="preserve">Champú para Barba Árbol de Té y Biotina | Cuidado Saludable | Striking Viking</t>
  </si>
  <si>
    <t xml:space="preserve">Valloittava viikinkien partakampa - Paras partatyylin ja hoidon työkalu – Striking Viking</t>
  </si>
  <si>
    <t xml:space="preserve">Bartshampoo &amp;amp; Bartspülung (unparfümiert) - Natürliche Pflege – Striking Viking</t>
  </si>
  <si>
    <t xml:space="preserve">https://striking-viking.com/de/collections/beard-essentials</t>
  </si>
  <si>
    <t xml:space="preserve">Bart-Essentials – Bring deine Pflegeroutine auf das nächste Level – Striking Viking</t>
  </si>
  <si>
    <t xml:space="preserve">https://striking-viking.com/no/pages/beard-filler-pens</t>
  </si>
  <si>
    <t xml:space="preserve">Skjeggfyllepenn for menn | Fyll skjeggflekker og hull umiddelbart – Striking Viking</t>
  </si>
  <si>
    <t xml:space="preserve">https://striking-viking.com/en-gb/products/ontaki-beard-mustache-scissors-with-finger-rest-5-inch-german-steel-grooming-kit</t>
  </si>
  <si>
    <t xml:space="preserve">Shampoo da Barba con Profumo, Tea Tree e Biotina | Fragranza Fresca – Striking Viking</t>
  </si>
  <si>
    <t xml:space="preserve">https://striking-viking.com/sv/blogs/learn/striking-viking-beard-comb-for-routine-beard-management</t>
  </si>
  <si>
    <t xml:space="preserve">Striking Viking Skäggkam - Det ultimata verktyget för skäggstyling och grooming</t>
  </si>
  <si>
    <t xml:space="preserve">https://striking-viking.com/fr-ca/blogs/learn/tame-the-wild-meet-the-striking-viking-sandalwood-beard-comb</t>
  </si>
  <si>
    <t xml:space="preserve">Huile à Barbe Agrumes - Adoucissante &amp; Favorise la Pousse, Bio | Striking Viking</t>
  </si>
  <si>
    <t xml:space="preserve">Bästa skäggvårdsprodukterna – Viktiga groomingprodukter för män – Striking Viking</t>
  </si>
  <si>
    <t xml:space="preserve">Huile à barbe parfumée par Striking Viking – Nutrition profonde &amp; parfum naturel</t>
  </si>
  <si>
    <t xml:space="preserve">Balsamo Barba Senza Profumo - Ammorbidisci e Domina in Modo Naturale | Striking Viking</t>
  </si>
  <si>
    <t xml:space="preserve">Olio da barba profumato di Striking Viking – Nutrimento profondo e fragranza naturale</t>
  </si>
  <si>
    <t xml:space="preserve">Partavoide - Tehokas kosteutus &amp; Pitkäkestoinen tuoksu – Striking Viking</t>
  </si>
  <si>
    <t xml:space="preserve">The Dude – Ikonisk stil och självförtroende med Veckans skägg-utmärkelse – Striking Viking</t>
  </si>
  <si>
    <t xml:space="preserve">Scheren: So wählst du die richtigen Haarschneidewerkzeuge aus – Striking Viking</t>
  </si>
  <si>
    <t xml:space="preserve">Duftendes Bartöl von Striking Viking – Tiefenpflege &amp;amp; natürlicher Duft</t>
  </si>
  <si>
    <t xml:space="preserve">Burro per Barba - Idrata e Lenisce la Tua Barba in Modo Naturale – Striking Viking</t>
  </si>
  <si>
    <t xml:space="preserve">Manteca para Barba - Hidrata y Calma tu Barba de Forma Natural – Striking Viking</t>
  </si>
  <si>
    <t xml:space="preserve">Balsamo Barba Citrus | Modella, Dona Lucentezza e Nutre | Striking Viking</t>
  </si>
  <si>
    <t xml:space="preserve">Brian Wilson – Basebollreliefpitcher &amp; Skägg-veckans vinnare – Striking Viking</t>
  </si>
  <si>
    <t xml:space="preserve">Markante Wikinger-Bartpflege: Expertentipps für einen perfekt gepflegten Bart – Striking Viking</t>
  </si>
  <si>
    <t xml:space="preserve">https://striking-viking.com/no/blogs/learn/41241281-the-dude</t>
  </si>
  <si>
    <t xml:space="preserve">The Dude – Ikonisk stil og selvtillit med Ukens Skjegg-pris – Striking Viking</t>
  </si>
  <si>
    <t xml:space="preserve">Bálsamo para Barba Cítrico | Moldea, Da Brillo y Nutre | Striking Viking</t>
  </si>
  <si>
    <t xml:space="preserve">Skjeggkostymer til Halloween: Topp 10 kuleste stiler for en skummel kveld – Striking Viking</t>
  </si>
  <si>
    <t xml:space="preserve">After Shave Balsam für Männer – pflegende, parfümfreie Pflege – Striking Viking</t>
  </si>
  <si>
    <t xml:space="preserve">Vanilja Partavoide 2 kpl pakkaus | Ravitse &amp; Pehmennä | Striking Viking</t>
  </si>
  <si>
    <t xml:space="preserve">Bartbalsam Unparfümiert – Natürlich weich und gebändigt | Striking Viking</t>
  </si>
  <si>
    <t xml:space="preserve">Aceite para Barba Cítrico - Orgánico, Suavizante y Estimulador de Crecimiento de Barba | Striking Viking</t>
  </si>
  <si>
    <t xml:space="preserve">https://striking-viking.com/fr-ca/products/striking-viking-unscented-beard-balm-natural-beard-styling-conditioning</t>
  </si>
  <si>
    <t xml:space="preserve">Baume à Barbe Sans Parfum - Adoucissez et Domptez Naturellement | Striking Viking</t>
  </si>
  <si>
    <t xml:space="preserve">Partashampoo &amp; Partahoitoaine (Hajusteeton) - Luonnollinen Hoito – Striking Viking</t>
  </si>
  <si>
    <t xml:space="preserve">Penna Riempitiva per Barba da Uomo | Riempie Istantaneamente Zone Vuote e Spazi nella Barba – Striking Viking</t>
  </si>
  <si>
    <t xml:space="preserve">https://striking-viking.com/en-ca/products/ontaki-beard-mustache-scissors-with-finger-rest-5-inch-german-steel-grooming-kit</t>
  </si>
  <si>
    <t xml:space="preserve">Peine de Dientes Anchos de Carbono Negro | Antiestático | Striking Viking</t>
  </si>
  <si>
    <t xml:space="preserve">Bartöl vs Bartbalsam: Wähle das Beste für deinen Bart – Striking Viking</t>
  </si>
  <si>
    <t xml:space="preserve">https://striking-viking.com/it/products/hair-fiber-men</t>
  </si>
  <si>
    <t xml:space="preserve">Stylos de remplissage pour barbe : le guide ultime pour sublimer votre barbe – Striking Viking</t>
  </si>
  <si>
    <t xml:space="preserve">Set de Champú y Acondicionador para Barba Árbol de Té y Biotina | Striking Viking</t>
  </si>
  <si>
    <t xml:space="preserve">Kit Barba Pronto alla Battaglia | Set Completo per la Cura | Striking Viking</t>
  </si>
  <si>
    <t xml:space="preserve">Champú para Barba y Acondicionador para Barba (Sin Fragancia) - Cuidado Natural – Striking Viking</t>
  </si>
  <si>
    <t xml:space="preserve">Pommade Cheveux Originale | Tenue Classique &amp; Brillance | Striking Viking</t>
  </si>
  <si>
    <t xml:space="preserve">https://striking-viking.com/es/blogs/learn/the-ultimate-guide-to-grooming-with-ontaki-scissors</t>
  </si>
  <si>
    <t xml:space="preserve">Tijeras Ontaki: La Guía Definitiva de Cuidado Personal – Striking Viking</t>
  </si>
  <si>
    <t xml:space="preserve">https://striking-viking.com/en-gb/products/ontaki-japanese-steel-beard-hair-scissors-5-5-inch-professional-grooming-shears</t>
  </si>
  <si>
    <t xml:space="preserve">Bart-Füllstifte für Männer | Bartlücken &amp; -stellen sofort auffüllen – Striking Viking</t>
  </si>
  <si>
    <t xml:space="preserve">Beste skjeggpleieprodukter – Essensielle pleieprodukter for menn – Striking Viking</t>
  </si>
  <si>
    <t xml:space="preserve">Outils de soin de la barbe pour un style professionnel à la maison | Striking Viking</t>
  </si>
  <si>
    <t xml:space="preserve">Manteca para Barba - Hidratación Intensa y Fragancia Duradera – Striking Viking</t>
  </si>
  <si>
    <t xml:space="preserve">https://striking-viking.com/no/blogs/learn/all-you-need-to-know-about-beard-filler-pens</t>
  </si>
  <si>
    <t xml:space="preserve">Skjeggfyllepenn: Den ultimate guiden til fyldigere skjegg – Striking Viking</t>
  </si>
  <si>
    <t xml:space="preserve">Parranajon jälkeinen balsami Vanilja | Rauhoittaa &amp; Kosteuttaa | Striking Viking</t>
  </si>
  <si>
    <t xml:space="preserve">https://striking-viking.com/en-ca/products/striking-viking-sandalwood-shaving-cream-for-men-rich-lather-for-a-smooth-comfortable-shave</t>
  </si>
  <si>
    <t xml:space="preserve">https://striking-viking.com/fr/products/striking-viking-unscented-beard-balm-natural-beard-styling-conditioning</t>
  </si>
  <si>
    <t xml:space="preserve">Set de Aceite y Bálsamo para Barba Sin Aroma | Nutre y Estiliza | Striking Viking</t>
  </si>
  <si>
    <t xml:space="preserve">Aceite para el Crecimiento de Barba para una Barba más Llena y Gruesa | Striking Viking</t>
  </si>
  <si>
    <t xml:space="preserve">Skjeggolje Ingredienser: Essensielle komponenter for et sunnere skjegg - Beste utvalg – Striking Viking</t>
  </si>
  <si>
    <t xml:space="preserve">Crema de Afeitar para Hombres - Lujosa Fragancia de Sándalo – Striking Viking</t>
  </si>
  <si>
    <t xml:space="preserve">Aceite para Barba Bergamota Thunder | Natural y Orgánico | Striking Viking</t>
  </si>
  <si>
    <t xml:space="preserve">Aftershave-Balsam Sandelholz | Beruhigen &amp; Spenden Feuchtigkeit | Striking Viking</t>
  </si>
  <si>
    <t xml:space="preserve">https://striking-viking.com/fr-ca/collections/beard-essentials</t>
  </si>
  <si>
    <t xml:space="preserve">Partakasvuoilolle täyteläisemmälle, paksummalle partalle | Striking Viking</t>
  </si>
  <si>
    <t xml:space="preserve">Brian Wilson - Pesäpallo Vapautusheittäjä &amp; Viikon Parta Voittaja – Striking Viking</t>
  </si>
  <si>
    <t xml:space="preserve">Los mejores productos para el cuidado de la barba - Suministros esenciales de aseo para hombres – Striking Viking</t>
  </si>
  <si>
    <t xml:space="preserve">https://striking-viking.com/it/blogs/learn/41241281-the-dude</t>
  </si>
  <si>
    <t xml:space="preserve">The Dude - Stile iconico e sicurezza con il premio Barba della Settimana – Striking Viking</t>
  </si>
  <si>
    <t xml:space="preserve">Tuoksuva partaöljy Striking Vikingilta – Syvä ravinto &amp; Luonnollinen tuoksu</t>
  </si>
  <si>
    <t xml:space="preserve">Haarfasern für Männer: Die beste Lösung für volleres Haar – Striking Viking</t>
  </si>
  <si>
    <t xml:space="preserve">Striking Viking Peine para Barba - La Herramienta Definitiva para Estilizar y Cuidar la Barba</t>
  </si>
  <si>
    <t xml:space="preserve">https://striking-viking.com/it/blogs/learn/how-to-use-beard-balm-properly-a-complete-guide</t>
  </si>
  <si>
    <t xml:space="preserve">Balsamo per barba - Come usarlo nel modo GIUSTO (La maggior parte lo fa nel modo sbagliato) – Striking Viking</t>
  </si>
  <si>
    <t xml:space="preserve">Kit de Barba Listo para la Batalla | Set Completo de Cuidado Masculino | Striking Viking</t>
  </si>
  <si>
    <t xml:space="preserve">https://striking-viking.com/en-ca/blogs/learn/41241281-the-dude</t>
  </si>
  <si>
    <t xml:space="preserve">https://striking-viking.com/es/blogs/learn/how-to-choose-the-right-hair-cutting-scissors-for-home-or-salon-use</t>
  </si>
  <si>
    <t xml:space="preserve">Tijeras: Cómo elegir las herramientas adecuadas para cortar el cabello – Striking Viking</t>
  </si>
  <si>
    <t xml:space="preserve">Skjeggbalsam Variasjon 4-pakning | Naturlig &amp; Duftende | Striking Viking</t>
  </si>
  <si>
    <t xml:space="preserve">Hiusten muotoilujauhe miehille - Kevyt pito &amp; Vaniljan tuoksu | Viking – Striking Viking</t>
  </si>
  <si>
    <t xml:space="preserve">https://striking-viking.com/fi/products/striking-viking-beard-growth-kit-with-beard-roller-vanilla-unscented-biotin-oils-for-men</t>
  </si>
  <si>
    <t xml:space="preserve">Parta Kasvatuspakkaus Vanilja &amp; Hajusteeton | Rullapakkaus | Striking Viking</t>
  </si>
  <si>
    <t xml:space="preserve">https://striking-viking.com/en-ca/products/ontaki-japanese-steel-beard-mustache-scissors-5-5-inch-professional-grooming-kit</t>
  </si>
  <si>
    <t xml:space="preserve">https://striking-viking.com/fr/blogs/learn/how-to-choose-the-right-hair-cutting-scissors-for-home-or-salon-use</t>
  </si>
  <si>
    <t xml:space="preserve">Bartpflegetipps: Expertenratschläge zum Schutz Ihres Bartes vor kaltem Wetter – Striking Viking</t>
  </si>
  <si>
    <t xml:space="preserve">Herramientas para el cuidado de la barba para un estilo profesional en casa | Striking Viking</t>
  </si>
  <si>
    <t xml:space="preserve">Skjeggolje Citrus – Økologisk mykgjøring og vekst for skjegg | Striking Viking</t>
  </si>
  <si>
    <t xml:space="preserve">Polvere per Styling dei Capelli alla Vaniglia Tenuta Forte | Striking Viking</t>
  </si>
  <si>
    <t xml:space="preserve">Kit para Crecimiento de Barba Vainilla | Aceite de Biotina y Roller | Striking Viking</t>
  </si>
  <si>
    <t xml:space="preserve">https://striking-viking.com/it/blogs/learn/what-are-the-best-beard-scissors-for-precision-grooming</t>
  </si>
  <si>
    <t xml:space="preserve">Forbici da Barba: Scopri le Migliori per una Cura Precisa – Striking Viking</t>
  </si>
  <si>
    <t xml:space="preserve">Shampoo Barba Menta Piperita &amp; Eucalipto | Barba Pulita | Striking Viking</t>
  </si>
  <si>
    <t xml:space="preserve">https://striking-viking.com/fr-ca/products/striking-viking-unscented-beard-oil-natural-organic-beard-care</t>
  </si>
  <si>
    <t xml:space="preserve">Ingredientes del Aceite para Barba: Componentes Esenciales para una Barba Más Saludable - Mejor Selección – Striking Viking</t>
  </si>
  <si>
    <t xml:space="preserve">Kit de Crecimiento de Barba Sándalo | Aceite de Biotina y Roller | Striking Viking</t>
  </si>
  <si>
    <t xml:space="preserve">Source: striking-viking - Issues.xlsx / Missing H1</t>
  </si>
  <si>
    <t xml:space="preserve">Sr.no.</t>
  </si>
  <si>
    <t xml:space="preserve">H1</t>
  </si>
  <si>
    <t xml:space="preserve">H1 length</t>
  </si>
  <si>
    <t xml:space="preserve">Missing</t>
  </si>
  <si>
    <t xml:space="preserve">https://striking-viking.com/fr/pages/faqs</t>
  </si>
  <si>
    <t xml:space="preserve">https://striking-viking.com/it/pages/faqs</t>
  </si>
  <si>
    <t xml:space="preserve">https://striking-viking.com/sv/pages/faqs</t>
  </si>
  <si>
    <t xml:space="preserve">https://striking-viking.com/sv/collections/2026-deals</t>
  </si>
  <si>
    <t xml:space="preserve">https://striking-viking.com/en-gb/pages/faqs</t>
  </si>
  <si>
    <t xml:space="preserve">https://striking-viking.com/no/collections/2026-deals</t>
  </si>
  <si>
    <t xml:space="preserve">https://striking-viking.com/es/pages/faqs</t>
  </si>
  <si>
    <t xml:space="preserve">https://striking-viking.com/en-gb/collections/2026-deals</t>
  </si>
  <si>
    <t xml:space="preserve">https://striking-viking.com/en-ca/pages/faqs</t>
  </si>
  <si>
    <t xml:space="preserve">https://striking-viking.com/fi/pages/faqs</t>
  </si>
  <si>
    <t xml:space="preserve">https://striking-viking.com/no/pages/faqs</t>
  </si>
  <si>
    <t xml:space="preserve">https://striking-viking.com/en-ca/collections/2026-deals</t>
  </si>
  <si>
    <t xml:space="preserve">https://striking-viking.com/de/pages/faqs</t>
  </si>
  <si>
    <t xml:space="preserve">https://striking-viking.com/en-gb/pages/sign-up</t>
  </si>
  <si>
    <t xml:space="preserve">https://striking-viking.com/en-ca/pages/sign-up</t>
  </si>
  <si>
    <t xml:space="preserve">https://striking-viking.com/en-gb/pages/free-moustache-beard-scissors</t>
  </si>
  <si>
    <t xml:space="preserve">https://striking-viking.com/sv/collections/new-in-oils-balms</t>
  </si>
  <si>
    <t xml:space="preserve">https://striking-viking.com/en-ca/collections/new-in-oils-balms</t>
  </si>
  <si>
    <t xml:space="preserve">https://striking-viking.com/en-ca/pages/free-moustache-beard-scissors</t>
  </si>
  <si>
    <t xml:space="preserve">https://striking-viking.com/en-gb/collections/new-in-oils-balms</t>
  </si>
  <si>
    <t xml:space="preserve">https://striking-viking.com/fr-ca/pages/faqs</t>
  </si>
  <si>
    <t xml:space="preserve">https://striking-viking.com/no/pages/ilm2025</t>
  </si>
  <si>
    <t xml:space="preserve">https://striking-viking.com/no/pages/ilm-2025-sign-up</t>
  </si>
  <si>
    <t xml:space="preserve">https://striking-viking.com/en-ca/pages/ilm-2025-sign-up</t>
  </si>
  <si>
    <t xml:space="preserve">https://striking-viking.com/en-gb/pages/ilm2025</t>
  </si>
  <si>
    <t xml:space="preserve">https://striking-viking.com/no/collections/new-in-oils-balms</t>
  </si>
  <si>
    <t xml:space="preserve">https://striking-viking.com/no/pages/free-moustache-beard-scissors</t>
  </si>
  <si>
    <t xml:space="preserve">https://striking-viking.com/en-gb/pages/ilm-2025-sign-up</t>
  </si>
  <si>
    <t xml:space="preserve">https://striking-viking.com/no/pages/sign-up</t>
  </si>
  <si>
    <t xml:space="preserve">https://striking-viking.com/en-ca/pages/ilm2025</t>
  </si>
  <si>
    <t xml:space="preserve">Source: striking-viking - Issues.xlsx / Meta description too short</t>
  </si>
  <si>
    <t xml:space="preserve">https://striking-viking.com/de/blogs/learn/ride-the-wave-striking-viking-sea-salt-spray-for-effortless-men-s-style</t>
  </si>
  <si>
    <t xml:space="preserve">Entdecke das Striking Viking Meersalzspray für mühelosen Style, der das Wesen des Ozeans einfängt.</t>
  </si>
  <si>
    <t xml:space="preserve">https://striking-viking.com/fi/blogs/learn/ride-the-wave-striking-viking-sea-salt-spray-for-effortless-men-s-style</t>
  </si>
  <si>
    <t xml:space="preserve">Löydä Striking Viking merisuolasuihke vaivattomaan tyyliin, joka vangitsee meren olemuksen.</t>
  </si>
  <si>
    <t xml:space="preserve">https://striking-viking.com/no/blogs/learn/ride-the-wave-striking-viking-sea-salt-spray-for-effortless-men-s-style</t>
  </si>
  <si>
    <t xml:space="preserve">Oppdag Striking Viking havsalt-spray for en uanstrengt stil som fanger essensen av havet.</t>
  </si>
  <si>
    <t xml:space="preserve">https://striking-viking.com/sv/blogs/learn/ride-the-wave-striking-viking-sea-salt-spray-for-effortless-men-s-style</t>
  </si>
  <si>
    <t xml:space="preserve">Upptäck Striking Viking havssaltspray för en avslappnad stil som fångar havets essens.</t>
  </si>
  <si>
    <t xml:space="preserve">https://striking-viking.com/sv/blogs/learn/the-ultimate-guide-to-grooming-with-ontaki-scissors</t>
  </si>
  <si>
    <t xml:space="preserve">Upptäck de bästa groomingteknikerna med Ontaki-saxar från Striking Viking. Höj din stil idag!</t>
  </si>
  <si>
    <t xml:space="preserve">https://striking-viking.com/es/pages/spurit-reminders-cancelled</t>
  </si>
  <si>
    <t xml:space="preserve">Cancelación exitosa de los recordatorios de factura</t>
  </si>
  <si>
    <t xml:space="preserve">https://striking-viking.com/en-ca/pages/spurit-notifications-cancelled</t>
  </si>
  <si>
    <t xml:space="preserve">Receiving these notifications successfully cancelled</t>
  </si>
  <si>
    <t xml:space="preserve">https://striking-viking.com/fr/products/shipping-protection</t>
  </si>
  <si>
    <t xml:space="preserve">Protégez votre commande contre les dommages, la perte ou le vol pendant la livraison.</t>
  </si>
  <si>
    <t xml:space="preserve">https://striking-viking.com/no/pages/spurit-notifications-cancelled</t>
  </si>
  <si>
    <t xml:space="preserve">Mottak av disse varslene ble vellykket kansellert</t>
  </si>
  <si>
    <t xml:space="preserve">https://striking-viking.com/es/products/shipping-protection</t>
  </si>
  <si>
    <t xml:space="preserve">Protege tu pedido contra daños, pérdida o robo durante el envío.</t>
  </si>
  <si>
    <t xml:space="preserve">https://striking-viking.com/no/pages/spurit-merchant-notifications-cancelled</t>
  </si>
  <si>
    <t xml:space="preserve">Motta disse varslingene ble vellykket kansellert Du kan gjenoppta det når som helst i appen</t>
  </si>
  <si>
    <t xml:space="preserve">Receiving invoice reminders successfully cancelled</t>
  </si>
  <si>
    <t xml:space="preserve">https://striking-viking.com/en-ca/pages/spurit-merchant-notifications-cancelled</t>
  </si>
  <si>
    <t xml:space="preserve">Receiving these notifications successfully cancelled You can resume it anytime in the app</t>
  </si>
  <si>
    <t xml:space="preserve">https://striking-viking.com/it/pages/spurit-reminders-cancelled</t>
  </si>
  <si>
    <t xml:space="preserve">Ricezione dei promemoria delle fatture annullata con successo</t>
  </si>
  <si>
    <t xml:space="preserve">https://striking-viking.com/en-ca/pages/spurit-reminders-cancelled</t>
  </si>
  <si>
    <t xml:space="preserve">https://striking-viking.com/en-gb/pages/spurit-notifications-cancelled</t>
  </si>
  <si>
    <t xml:space="preserve">https://striking-viking.com/it/products/shipping-protection</t>
  </si>
  <si>
    <t xml:space="preserve">Proteggi il tuo ordine da danni, smarrimento o furto durante la spedizione.</t>
  </si>
  <si>
    <t xml:space="preserve">https://striking-viking.com/it/pages/spurit-notifications-cancelled</t>
  </si>
  <si>
    <t xml:space="preserve">Ricevere queste notifiche è stato annullato con successo</t>
  </si>
  <si>
    <t xml:space="preserve">https://striking-viking.com/fi/products/shipping-protection</t>
  </si>
  <si>
    <t xml:space="preserve">Suojaa tilauksesi vaurioilta, katoamiselta tai varkauksilta kuljetuksen aikana.</t>
  </si>
  <si>
    <t xml:space="preserve">https://striking-viking.com/fr/pages/spurit-notifications-cancelled</t>
  </si>
  <si>
    <t xml:space="preserve">Réception de ces notifications annulée avec succès</t>
  </si>
  <si>
    <t xml:space="preserve">https://striking-viking.com/de/pages/spurit-notifications-cancelled</t>
  </si>
  <si>
    <t xml:space="preserve">Der Empfang dieser Benachrichtigungen wurde erfolgreich abgebrochen</t>
  </si>
  <si>
    <t xml:space="preserve">https://striking-viking.com/en-ca/products/shipping-protection</t>
  </si>
  <si>
    <t xml:space="preserve">Protect your order from damage, loss, or theft during shipping.</t>
  </si>
  <si>
    <t xml:space="preserve">https://striking-viking.com/no/pages/spurit-reminders-cancelled</t>
  </si>
  <si>
    <t xml:space="preserve">Mottak av fakturapåminnelser er kansellert vellykket</t>
  </si>
  <si>
    <t xml:space="preserve">https://striking-viking.com/de/products/shipping-protection</t>
  </si>
  <si>
    <t xml:space="preserve">Schütze deine Bestellung vor Beschädigung, Verlust oder Diebstahl während des Versands.</t>
  </si>
  <si>
    <t xml:space="preserve">https://striking-viking.com/fi/pages/spurit-notifications-cancelled</t>
  </si>
  <si>
    <t xml:space="preserve">Nämä ilmoitukset on onnistuneesti peruttu.</t>
  </si>
  <si>
    <t xml:space="preserve">https://striking-viking.com/fi/pages/spurit-reminders-cancelled</t>
  </si>
  <si>
    <t xml:space="preserve">Laskumuistutusten vastaanottaminen on onnistuneesti peruutettu.</t>
  </si>
  <si>
    <t xml:space="preserve">https://striking-viking.com/fr/pages/spurit-reminders-cancelled</t>
  </si>
  <si>
    <t xml:space="preserve">Réception des rappels de facture annulée avec succès</t>
  </si>
  <si>
    <t xml:space="preserve">https://striking-viking.com/de/pages/spurit-reminders-cancelled</t>
  </si>
  <si>
    <t xml:space="preserve">Der Erhalt von Rechnungserinnerungen wurde erfolgreich storniert</t>
  </si>
  <si>
    <t xml:space="preserve">https://striking-viking.com/sv/pages/spurit-reminders-cancelled</t>
  </si>
  <si>
    <t xml:space="preserve">Mottagande av fakturapåminnelser har avbrutits framgångsrikt</t>
  </si>
  <si>
    <t xml:space="preserve">https://striking-viking.com/en-gb/pages/spurit-reminders-cancelled</t>
  </si>
  <si>
    <t xml:space="preserve">https://striking-viking.com/es/pages/spurit-notifications-cancelled</t>
  </si>
  <si>
    <t xml:space="preserve">Recibir estas notificaciones se canceló correctamente</t>
  </si>
  <si>
    <t xml:space="preserve">https://striking-viking.com/no/blogs/learn/the-ultimate-guide-to-grooming-with-ontaki-scissors</t>
  </si>
  <si>
    <t xml:space="preserve">Oppdag de beste pleieteknikkene med Ontaki-sakser fra Striking Viking. Løft stilen din i dag!</t>
  </si>
  <si>
    <t xml:space="preserve">https://striking-viking.com/en-gb/products/shipping-protection</t>
  </si>
  <si>
    <t xml:space="preserve">https://striking-viking.com/sv/pages/spurit-notifications-cancelled</t>
  </si>
  <si>
    <t xml:space="preserve">Att ta emot dessa aviseringar har avbrutits framgångsrikt</t>
  </si>
  <si>
    <t xml:space="preserve">https://striking-viking.com/no/products/shipping-protection</t>
  </si>
  <si>
    <t xml:space="preserve">Beskytt bestillingen din mot skade, tap eller tyveri under frakt.</t>
  </si>
  <si>
    <t xml:space="preserve">https://striking-viking.com/fr-ca/pages/spurit-notifications-cancelled</t>
  </si>
  <si>
    <t xml:space="preserve">https://striking-viking.com/fr-ca/pages/spurit-reminders-cancelled</t>
  </si>
  <si>
    <t xml:space="preserve">https://striking-viking.com/fi/pages/spurit-merchant-notifications-cancelled</t>
  </si>
  <si>
    <t xml:space="preserve">Nämä ilmoitukset on onnistuneesti peruutettu Voit jatkaa sitä milloin tahansa sovelluksessa</t>
  </si>
  <si>
    <t xml:space="preserve">https://striking-viking.com/en-gb/pages/spurit-merchant-notifications-cancelled</t>
  </si>
  <si>
    <t xml:space="preserve">https://striking-viking.com/sv/products/shipping-protection</t>
  </si>
  <si>
    <t xml:space="preserve">Skydda din beställning mot skador, förlust eller stöld under leveransen.</t>
  </si>
  <si>
    <t xml:space="preserve">https://striking-viking.com/fr-ca/products/shipping-protection</t>
  </si>
  <si>
    <t xml:space="preserve">Source: striking-viking - Issues.xlsx / Meta description tag missing or</t>
  </si>
  <si>
    <t xml:space="preserve">https://striking-viking.com/en-gb/pages/spurit-subscriptions</t>
  </si>
  <si>
    <t xml:space="preserve">https://striking-viking.com/no/pages/spurit-subscriptions</t>
  </si>
  <si>
    <t xml:space="preserve">https://striking-viking.com/fr-ca/pages/spurit-subscriptions</t>
  </si>
  <si>
    <t xml:space="preserve">https://striking-viking.com/es/pages/spurit-subscriptions</t>
  </si>
  <si>
    <t xml:space="preserve">https://striking-viking.com/it/pages/spurit-subscriptions</t>
  </si>
  <si>
    <t xml:space="preserve">https://striking-viking.com/en-ca/pages/spurit-subscriptions</t>
  </si>
  <si>
    <t xml:space="preserve">https://striking-viking.com/fr/pages/spurit-subscriptions</t>
  </si>
  <si>
    <t xml:space="preserve">https://striking-viking.com/de/pages/spurit-subscriptions</t>
  </si>
  <si>
    <t xml:space="preserve">https://striking-viking.com/sv/pages/spurit-subscriptions</t>
  </si>
  <si>
    <t xml:space="preserve">Source: striking-viking - Issues.xlsx / Multiple H1 tags</t>
  </si>
  <si>
    <t xml:space="preserve">Sr. no.</t>
  </si>
  <si>
    <t xml:space="preserve">Beard Balm
 Beard Balm</t>
  </si>
  <si>
    <t xml:space="preserve">10
 10</t>
  </si>
  <si>
    <t xml:space="preserve">Beard &amp; Hair Care
 Beard Care</t>
  </si>
  <si>
    <t xml:space="preserve">17
 10</t>
  </si>
  <si>
    <t xml:space="preserve">Beard Oils
 Beard Oil</t>
  </si>
  <si>
    <t xml:space="preserve">10
 9</t>
  </si>
  <si>
    <t xml:space="preserve">Striking Viking – Premium Beard &amp; Hair Grooming Products for Men
 Striking Viking Vanilla Beard Growth Oil with Biotin &amp; Castor Oil for Fuller Beard Growth
 Striking Viking Mustache Wax and Comb Kit
 Striking Viking Cedarwood Beard Oil
 Striking Viking Folding Wooden Comb – Sandalwood Beard &amp; Hair Comb</t>
  </si>
  <si>
    <t xml:space="preserve">64
 89
 41
 35
 66</t>
  </si>
  <si>
    <t xml:space="preserve">Beard Filler Pens for Men
 Beard Filler Pens for Men</t>
  </si>
  <si>
    <t xml:space="preserve">25
 25</t>
  </si>
  <si>
    <t xml:space="preserve">Beard Butter
 Beard Butter</t>
  </si>
  <si>
    <t xml:space="preserve">12
 12</t>
  </si>
  <si>
    <t xml:space="preserve">Beard Wash
 Beard Shampoo &amp; Wash</t>
  </si>
  <si>
    <t xml:space="preserve">10
 20</t>
  </si>
  <si>
    <t xml:space="preserve">Ride the Wave: Striking Viking Sea Salt Spray for Effortless Men’s Style
 Ride the Wave: Striking Viking Sea Salt Spray for Effortless Men’s Style</t>
  </si>
  <si>
    <t xml:space="preserve">72
 72</t>
  </si>
  <si>
    <t xml:space="preserve">Striking Viking Beard Filler Pencil with Dual-Tip Pen &amp; Brush for Natural Beard Styling
 Benefits</t>
  </si>
  <si>
    <t xml:space="preserve">87
 8</t>
  </si>
  <si>
    <t xml:space="preserve">Cuidado de barba y cabello
 Cuidado de la barba</t>
  </si>
  <si>
    <t xml:space="preserve">26
 19</t>
  </si>
  <si>
    <t xml:space="preserve">Baume à barbe
 Baume à barbe</t>
  </si>
  <si>
    <t xml:space="preserve">13
 13</t>
  </si>
  <si>
    <t xml:space="preserve">https://striking-viking.com/en-ca/collections/beard-balm</t>
  </si>
  <si>
    <t xml:space="preserve">https://striking-viking.com/de/collections/beard-filler-pens</t>
  </si>
  <si>
    <t xml:space="preserve">Bart-Füllstifte für Männer
 Bart-Füllstifte für Männer</t>
  </si>
  <si>
    <t xml:space="preserve">26
 26</t>
  </si>
  <si>
    <t xml:space="preserve">Champú para Barba
 Champú y lavado para barba</t>
  </si>
  <si>
    <t xml:space="preserve">17
 26</t>
  </si>
  <si>
    <t xml:space="preserve">Ride the Wave: Auffälliges Viking Sea Salt Spray für mühelosen Männerstil
 Ride the Wave: Auffälliges Viking Sea Salt Spray für mühelosen Männerstil</t>
  </si>
  <si>
    <t xml:space="preserve">73
 73</t>
  </si>
  <si>
    <t xml:space="preserve">Striking Viking – Premium Beard &amp; Hair Grooming Products for Men
 Bartwuchs-Öl für Männer – Vanille
 Schnurrbartwachs und Kamm
 Bartöl – Zedernholz
 Klappbarer Holzkamm – Sandelholz</t>
  </si>
  <si>
    <t xml:space="preserve">64
 33
 25
 19
 32</t>
  </si>
  <si>
    <t xml:space="preserve">Partashampoo
 Partashampoo &amp; Pesu</t>
  </si>
  <si>
    <t xml:space="preserve">12
 19</t>
  </si>
  <si>
    <t xml:space="preserve">Partavaahto
 Partavoide</t>
  </si>
  <si>
    <t xml:space="preserve">11
 10</t>
  </si>
  <si>
    <t xml:space="preserve">Striking Viking – Premium Beard &amp; Hair Grooming Products for Men
 Aceite para el Crecimiento de Barba para Hombres - Vainilla
 Cera para bigote y peine
 Aceite para Barba - Cedro
 Peine de Madera Plegable - Sándalo</t>
  </si>
  <si>
    <t xml:space="preserve">64
 59
 24
 25
 34</t>
  </si>
  <si>
    <t xml:space="preserve">Striking Viking – Premium Beard &amp; Hair Grooming Products for Men
 Olio per la Crescita della Barba per Uomo - Vaniglia
 Cera per baffi e pettine
 Olio da Barba - Legno di Cedro
 Pettine Pieghevole in Legno - Sandalo</t>
  </si>
  <si>
    <t xml:space="preserve">64
 52
 24
 30
 37</t>
  </si>
  <si>
    <t xml:space="preserve">Skäggbalsam
 Skäggbalsam</t>
  </si>
  <si>
    <t xml:space="preserve">11
 11</t>
  </si>
  <si>
    <t xml:space="preserve">Partavaahto
 Partaöljy</t>
  </si>
  <si>
    <t xml:space="preserve">11
 9</t>
  </si>
  <si>
    <t xml:space="preserve">Skjeggoljer
 Skjeggolje</t>
  </si>
  <si>
    <t xml:space="preserve">Domina la ola: Striking Viking Spray de Sal Marina para un estilo masculino sin esfuerzo
 Súbete a la ola: Striking Viking Sea Salt Spray para un estilo masculino sin esfuerzo</t>
  </si>
  <si>
    <t xml:space="preserve">88
 85</t>
  </si>
  <si>
    <t xml:space="preserve">Balsamo per barba
 Balsamo per barba</t>
  </si>
  <si>
    <t xml:space="preserve">17
 17</t>
  </si>
  <si>
    <t xml:space="preserve">Striking Viking – Premium Beard &amp; Hair Grooming Products for Men
 Partaöljy miehille - Vanilja
 Viiksivaha ja kampa
 Partaöljy - Setripuu
 Taitettava puukampa - santelipuu</t>
  </si>
  <si>
    <t xml:space="preserve">64
 28
 19
 20
 32</t>
  </si>
  <si>
    <t xml:space="preserve">Bartshampoo
 Bartshampoo &amp; Wasch</t>
  </si>
  <si>
    <t xml:space="preserve">11
 19</t>
  </si>
  <si>
    <t xml:space="preserve">https://striking-viking.com/no/collections/beard-butter</t>
  </si>
  <si>
    <t xml:space="preserve">Skjeggsmør
 Skjeggsmør</t>
  </si>
  <si>
    <t xml:space="preserve">Skäggtvätt
 Skäggschampo &amp; Tvätt</t>
  </si>
  <si>
    <t xml:space="preserve">https://striking-viking.com/no/collections/beard-filler-pens</t>
  </si>
  <si>
    <t xml:space="preserve">Skjeggfyllepenn for menn
 Skjeggfyllepenn for menn</t>
  </si>
  <si>
    <t xml:space="preserve">24
 24</t>
  </si>
  <si>
    <t xml:space="preserve">Partaöljyt
 Partaöljy</t>
  </si>
  <si>
    <t xml:space="preserve">Cavalca l’onda: Striking Viking Spray al Sale Marino per uno stile maschile senza sforzo
 Cavalca l'onda: Striking Viking Sea Salt Spray per uno stile maschile senza sforzo</t>
  </si>
  <si>
    <t xml:space="preserve">88
 82</t>
  </si>
  <si>
    <t xml:space="preserve">https://striking-viking.com/en-gb/collections/beard-butter</t>
  </si>
  <si>
    <t xml:space="preserve">Skäggoljor
 Skäggolja</t>
  </si>
  <si>
    <t xml:space="preserve">Burro per barba
 Burro per barba</t>
  </si>
  <si>
    <t xml:space="preserve">15
 15</t>
  </si>
  <si>
    <t xml:space="preserve">Striking Viking – Premium Beard &amp; Hair Grooming Products for Men
 Huile de pousse pour barbe à la vanille Striking Viking à la biotine et à l'huile de ricin pour une barbe plus fournie
 Kit cire à moustache et peigne Striking Viking
 Huile à barbe au cèdre Striking Viking
 Peigne pliant en bois Striking Viking – Peigne à barbe et cheveux en bois de santal</t>
  </si>
  <si>
    <t xml:space="preserve">64
 118
 46
 38
 83</t>
  </si>
  <si>
    <t xml:space="preserve">Bartbalsam
 Bartbalsam</t>
  </si>
  <si>
    <t xml:space="preserve">Stylos combleurs de barbe pour hommes
 Stylos combleurs de barbe pour hommes</t>
  </si>
  <si>
    <t xml:space="preserve">37
 37</t>
  </si>
  <si>
    <t xml:space="preserve">https://striking-viking.com/no</t>
  </si>
  <si>
    <t xml:space="preserve">Striking Viking – Premium Beard &amp; Hair Grooming Products for Men
 Skjeggvekstolje for menn – Vanilje
 Bartvoks og kam
 Skjeggolje – Sedertre
 Sammenleggbar kam i tre – sandeltre</t>
  </si>
  <si>
    <t xml:space="preserve">64
 34
 15
 21
 35</t>
  </si>
  <si>
    <t xml:space="preserve">https://striking-viking.com/en-ca/collections/beard-butter</t>
  </si>
  <si>
    <t xml:space="preserve">Skägg- &amp; Hårvård
 Skäggvård</t>
  </si>
  <si>
    <t xml:space="preserve">16
 9</t>
  </si>
  <si>
    <t xml:space="preserve">Beurre à barbe
 Beurre à barbe</t>
  </si>
  <si>
    <t xml:space="preserve">14
 14</t>
  </si>
  <si>
    <t xml:space="preserve">Surfez sur la vague : Striking Viking Spray au sel de mer pour un style masculin sans effort
 Surfez la vague : Striking Viking Sea Salt Spray pour un style masculin sans effort</t>
  </si>
  <si>
    <t xml:space="preserve">92
 83</t>
  </si>
  <si>
    <t xml:space="preserve">https://striking-viking.com/sv/collections/beard-butter</t>
  </si>
  <si>
    <t xml:space="preserve">Skäggsmör
 Skäggsmör</t>
  </si>
  <si>
    <t xml:space="preserve">9
 9</t>
  </si>
  <si>
    <t xml:space="preserve">https://striking-viking.com/en-gb/collections/beard-balm</t>
  </si>
  <si>
    <t xml:space="preserve">Bartbutter
 Bartbutter</t>
  </si>
  <si>
    <t xml:space="preserve">Soin de la barbe et des cheveux
 Soin de la barbe</t>
  </si>
  <si>
    <t xml:space="preserve">31
 16</t>
  </si>
  <si>
    <t xml:space="preserve">Lápices Rellenadores de Barba para Hombres
 Lápices Rellenadores de Barba para Hombres</t>
  </si>
  <si>
    <t xml:space="preserve">42
 42</t>
  </si>
  <si>
    <t xml:space="preserve">Striking Viking – Premium Beard &amp; Hair Grooming Products for Men
 Skäggväxtolja för män - Vanilj
 Mustaschvax och kam
 Skäggolja – cederträ
 Fällbar träkam - sandelträ</t>
  </si>
  <si>
    <t xml:space="preserve">64
 30
 19
 20
 26</t>
  </si>
  <si>
    <t xml:space="preserve">Ride the Wave: Striking Viking Merisuolasuihke vaivattomaan miesten tyyliin
 Ratsasta aaltoa: Striking Viking Merisuolasuihke vaivattomaan miesten tyyliin</t>
  </si>
  <si>
    <t xml:space="preserve">75
 77</t>
  </si>
  <si>
    <t xml:space="preserve">Detergente per barba
 Shampoo e Detergente per Barba</t>
  </si>
  <si>
    <t xml:space="preserve">20
 30</t>
  </si>
  <si>
    <t xml:space="preserve">https://striking-viking.com/en-ca/blogs/learn/ride-the-wave-striking-viking-sea-salt-spray-for-effortless-men-s-style</t>
  </si>
  <si>
    <t xml:space="preserve">https://striking-viking.com/en-ca</t>
  </si>
  <si>
    <t xml:space="preserve">Skjeggbalsam
 Skjeggbalsam</t>
  </si>
  <si>
    <t xml:space="preserve">Bálsamo para Barba
 Bálsamo para Barba</t>
  </si>
  <si>
    <t xml:space="preserve">18
 18</t>
  </si>
  <si>
    <t xml:space="preserve">Penne Riempitive per Barba da Uomo
 Penne Riempitive per Barba da Uomo</t>
  </si>
  <si>
    <t xml:space="preserve">34
 34</t>
  </si>
  <si>
    <t xml:space="preserve">https://striking-viking.com/sv/collections/beard-filler-pens</t>
  </si>
  <si>
    <t xml:space="preserve">Skäggfyllnadspennor för män
 Skäggfyllnadspennor för män</t>
  </si>
  <si>
    <t xml:space="preserve">27
 27</t>
  </si>
  <si>
    <t xml:space="preserve">Huiles à barbe
 Huile à barbe</t>
  </si>
  <si>
    <t xml:space="preserve">14
 13</t>
  </si>
  <si>
    <t xml:space="preserve">Shampoing à barbe
 Shampooing et Nettoyant pour Barbe</t>
  </si>
  <si>
    <t xml:space="preserve">17
 34</t>
  </si>
  <si>
    <t xml:space="preserve">Skjeggshampo
 Skjeggshampo og vask</t>
  </si>
  <si>
    <t xml:space="preserve">12
 20</t>
  </si>
  <si>
    <t xml:space="preserve">https://striking-viking.com/fi/collections/beard-filler-pens</t>
  </si>
  <si>
    <t xml:space="preserve">Parta Filler -kynät miehille
 Parta Filler -kynät miehille</t>
  </si>
  <si>
    <t xml:space="preserve">28
 28</t>
  </si>
  <si>
    <t xml:space="preserve">Aceites para Barba
 Aceite para Barba</t>
  </si>
  <si>
    <t xml:space="preserve">18
 17</t>
  </si>
  <si>
    <t xml:space="preserve">Oli da Barba
 Olio da Barba</t>
  </si>
  <si>
    <t xml:space="preserve">12
 13</t>
  </si>
  <si>
    <t xml:space="preserve">Ri bølgen: Striking Viking Sea Salt Spray for uanstrengt herrestil
 Ta bølgen: Striking Viking Sea Salt Spray for ubesværet herrestil</t>
  </si>
  <si>
    <t xml:space="preserve">66
 65</t>
  </si>
  <si>
    <t xml:space="preserve">Parta &amp; Hiustenhoito
 Parta-hoito</t>
  </si>
  <si>
    <t xml:space="preserve">20
 11</t>
  </si>
  <si>
    <t xml:space="preserve">Skjegg- og hårpleie
 Skjeggpleie</t>
  </si>
  <si>
    <t xml:space="preserve">19
 11</t>
  </si>
  <si>
    <t xml:space="preserve">Rid vågen: Striking Viking Sea Salt Spray för en avslappnad herrstil
 Rida på vågen: Striking Viking Sea Salt Spray för enkel herrstil</t>
  </si>
  <si>
    <t xml:space="preserve">68
 64</t>
  </si>
  <si>
    <t xml:space="preserve">Bartöle
 Bartöl</t>
  </si>
  <si>
    <t xml:space="preserve">7
 6</t>
  </si>
  <si>
    <t xml:space="preserve">Mantequilla para Barba
 Manteca para Barba</t>
  </si>
  <si>
    <t xml:space="preserve">22
 18</t>
  </si>
  <si>
    <t xml:space="preserve">Bart &amp; Haarpflege
 Bartpflege</t>
  </si>
  <si>
    <t xml:space="preserve">Cura della Barba e dei Capelli
 Cura della Barba</t>
  </si>
  <si>
    <t xml:space="preserve">30
 16</t>
  </si>
  <si>
    <t xml:space="preserve">Striking Viking Beard Growth Mastery Bundle with Sandalwood &amp; Vanilla Biotin Oils and Derma Roller
 Beard Growth Mastery Bundle - Sandalwood &amp; Vanilla Biotin Oils + Derma Roller</t>
  </si>
  <si>
    <t xml:space="preserve">98
 77</t>
  </si>
  <si>
    <t xml:space="preserve">Unlock Your Beard’s Full Potential: Beard Growth Kits &amp; Oils
 Unlock Your Beard’s Full Potential: Striking Viking’s Beard Growth Kits &amp; Oils</t>
  </si>
  <si>
    <t xml:space="preserve">60
 78</t>
  </si>
  <si>
    <t xml:space="preserve">https://striking-viking.com/no/products/striking-viking-beard-growth-mastery-bundle-with-sandalwood-vanilla-biotin-oils-and-derma-roller</t>
  </si>
  <si>
    <t xml:space="preserve">Skjeggvekst Mesterpakke – Sandeltre &amp; Vanilje Biotinoljer + Derma Roller
 Beard Growth Mastery Bundle – Sandalwood &amp; Vanilla Biotin Oils + Derma Roller</t>
  </si>
  <si>
    <t xml:space="preserve">72
 77</t>
  </si>
  <si>
    <t xml:space="preserve">Striking Viking Sandalwood Beard Growth Bundle with Titanium Derma Roller &amp; Beard Growth Serum
 Sandalwood Beard Growth Bundle with Roller - Follicle Activating</t>
  </si>
  <si>
    <t xml:space="preserve">94
 64</t>
  </si>
  <si>
    <t xml:space="preserve">Striking Viking Vanilla Beard Growth Bundle with Biotin Beard Serum &amp; Titanium Derma Roller
 Vanilla Beard Growth Bundle with Roller - Biotin Infused</t>
  </si>
  <si>
    <t xml:space="preserve">91
 56</t>
  </si>
  <si>
    <t xml:space="preserve">https://striking-viking.com/no/products/striking-viking-sandalwood-beard-growth-kit-with-biotin-oil-0-25mm-derma-roller</t>
  </si>
  <si>
    <t xml:space="preserve">Skjeggvekstsett – Sandeltre Skjegg Biotin Vekstolje &amp; Derma Roller
 Skjeggvekstsett med Derma Roller &amp; Biotin-serum</t>
  </si>
  <si>
    <t xml:space="preserve">66
 47</t>
  </si>
  <si>
    <t xml:space="preserve">https://striking-viking.com/no/collections/viking-beard-kits</t>
  </si>
  <si>
    <t xml:space="preserve">Skjeggsett og pakker
 Gaver og pakker</t>
  </si>
  <si>
    <t xml:space="preserve">20
 15</t>
  </si>
  <si>
    <t xml:space="preserve">https://striking-viking.com/en-gb/blogs/learn/ride-the-wave-striking-viking-sea-salt-spray-for-effortless-men-s-style</t>
  </si>
  <si>
    <t xml:space="preserve">Kit Crescita Barba - Olio alla Vaniglia con Biotina per Crescita Barba &amp; Derma Roller
 Vanilla Beard Growth Kit: Roller &amp; Olio Infuso di Biotina</t>
  </si>
  <si>
    <t xml:space="preserve">85
 57</t>
  </si>
  <si>
    <t xml:space="preserve">https://striking-viking.com/en-ca/blogs/learn/beard-grooming-comparison</t>
  </si>
  <si>
    <t xml:space="preserve">Striking Viking vs Competitors: Beard Grooming Comparison
 Why Striking Viking Stands Out in Beard Grooming</t>
  </si>
  <si>
    <t xml:space="preserve">57
 48</t>
  </si>
  <si>
    <t xml:space="preserve">https://striking-viking.com/en-ca/products/striking-viking-sandalwood-beard-growth-kit-with-biotin-oil-0-25mm-derma-roller</t>
  </si>
  <si>
    <t xml:space="preserve">Striking Viking Sandalwood Beard Growth Kit with Biotin Oil &amp; 0.25mm Derma Roller
 Beard Growth Kit with Derma Roller &amp; Biotin Serum</t>
  </si>
  <si>
    <t xml:space="preserve">81
 49</t>
  </si>
  <si>
    <t xml:space="preserve">Striking Viking Beard Growth Kit with Beard Roller, Vanilla &amp; Unscented Biotin Oils for Men
 The Clean Beard Growth Kit Bundle - Vanilla &amp; Unscented Biotin Oils + Roller</t>
  </si>
  <si>
    <t xml:space="preserve">91
 76</t>
  </si>
  <si>
    <t xml:space="preserve">Striking Viking Vanilla Beard Growth Kit with Biotin Oil &amp; 0.25mm Derma Roller
 Vanilla Beard Growth Kit: Roller &amp; Biotin Infused Oil</t>
  </si>
  <si>
    <t xml:space="preserve">78
 53</t>
  </si>
  <si>
    <t xml:space="preserve">Beard Shampoo | with Natural Peppermint &amp; Eucalyptus
 Benefits</t>
  </si>
  <si>
    <t xml:space="preserve">52
 8</t>
  </si>
  <si>
    <t xml:space="preserve">https://striking-viking.com/fi/blogs/learn/beard-grooming-comparison</t>
  </si>
  <si>
    <t xml:space="preserve">Striking Viking vs kilpailijat: Partojen hoitotuotteiden vertailu
 Miksi Striking Viking Erottuu Partahoidossa</t>
  </si>
  <si>
    <t xml:space="preserve">65
 43</t>
  </si>
  <si>
    <t xml:space="preserve">https://striking-viking.com/en-ca/products/striking-viking-hybrid-beard-growth-bundle-with-sandalwood-unscented-beard-oils-and-derma-roller</t>
  </si>
  <si>
    <t xml:space="preserve">Striking Viking Hybrid Beard Growth Bundle with Sandalwood &amp; Unscented Beard Oils and Derma Roller
 The Hybrid Beard Growth Bundle - Sandalwood &amp; Unscented + Roller</t>
  </si>
  <si>
    <t xml:space="preserve">98
 64</t>
  </si>
  <si>
    <t xml:space="preserve">https://striking-viking.com/sv/blogs/learn/beard-grooming-comparison</t>
  </si>
  <si>
    <t xml:space="preserve">Striking Viking vs konkurrenter: Skäggvårdsjämförelse
 Varför Striking Viking sticker ut inom skäggvård</t>
  </si>
  <si>
    <t xml:space="preserve">53
 48</t>
  </si>
  <si>
    <t xml:space="preserve">https://striking-viking.com/no/products/striking-viking-vanilla-beard-growth-kit-with-biotin-oil-0-25mm-derma-roller</t>
  </si>
  <si>
    <t xml:space="preserve">Skjeggvekstsett – Vanilje Skjegg Biotin Vekstolje &amp; Derma Roller
 Vanilla Beard Growth Kit: Roller &amp; biotin-infusert olje</t>
  </si>
  <si>
    <t xml:space="preserve">64
 55</t>
  </si>
  <si>
    <t xml:space="preserve">Kit Crescita Barba - Olio Crescita Barba alla Biotina al Sandalo &amp; Derma Roller
 Kit per la crescita della barba con Derma Roller &amp; Siero alla Biotina</t>
  </si>
  <si>
    <t xml:space="preserve">79
 69</t>
  </si>
  <si>
    <t xml:space="preserve">https://striking-viking.com/en-gb/products/striking-viking-hybrid-beard-growth-bundle-with-sandalwood-unscented-beard-oils-and-derma-roller</t>
  </si>
  <si>
    <t xml:space="preserve">https://striking-viking.com/en-ca/products/striking-viking-vanilla-beard-growth-kit-with-biotin-oil-0-25mm-derma-roller</t>
  </si>
  <si>
    <t xml:space="preserve">Skäggkit och paket
 Presenter &amp; Paket</t>
  </si>
  <si>
    <t xml:space="preserve">https://striking-viking.com/en-gb/products/striking-viking-beard-growth-kit-with-beard-roller-vanilla-unscented-biotin-oils-for-men</t>
  </si>
  <si>
    <t xml:space="preserve">https://striking-viking.com/en-ca/collections/viking-beard-kits</t>
  </si>
  <si>
    <t xml:space="preserve">Beard Kits and Bundles
 Gifts &amp; Bundles</t>
  </si>
  <si>
    <t xml:space="preserve">22
 15</t>
  </si>
  <si>
    <t xml:space="preserve">https://striking-viking.com/en-gb/blogs/learn/beard-grooming-comparison</t>
  </si>
  <si>
    <t xml:space="preserve">https://striking-viking.com/en-ca/products/striking-viking-beard-growth-kit-with-beard-roller-vanilla-unscented-biotin-oils-for-men</t>
  </si>
  <si>
    <t xml:space="preserve">https://striking-viking.com/no/blogs/learn/unlock-your-beard-s-full-potential-beard-growth-kits-oils</t>
  </si>
  <si>
    <t xml:space="preserve">Lås opp skjeggets fulle potensial: Skjeggvekstsett og oljer
 Lås opp skjeggets fulle potensial: Striking Viking’s Skjeggvekst-sett &amp; oljer</t>
  </si>
  <si>
    <t xml:space="preserve">59
 77</t>
  </si>
  <si>
    <t xml:space="preserve">Partasarjat ja -paketit
 Lahjat &amp; Pakkaukset</t>
  </si>
  <si>
    <t xml:space="preserve">23
 19</t>
  </si>
  <si>
    <t xml:space="preserve">https://striking-viking.com/sv/products/striking-viking-hybrid-beard-growth-bundle-with-sandalwood-unscented-beard-oils-and-derma-roller</t>
  </si>
  <si>
    <t xml:space="preserve">Hybrid Beard Growth-paketet – Sandelträ &amp; Oparfymerade Oljor + Derma Roller
 Hybrid Beard Growth Bundle – Sandalwood &amp; Oparfymerad + Roller</t>
  </si>
  <si>
    <t xml:space="preserve">75
 62</t>
  </si>
  <si>
    <t xml:space="preserve">Penna Riempitiva per Barba - Doppia Punta (confezione da 2)
 Striking Viking Dual-Tip Beard Filler Pen
 Il problema che la maggior parte degli uomini affronta
 La soluzione Striking Viking
 Progettato per durare tutto il giorno
 Trova la tua tonalità perfetta
 Cosa è incluso
 Come usare la Beard Filler Pen
 Perché gli uomini amano Striking Viking
 Perfetto per
 Porta la tua barba al livello successivo</t>
  </si>
  <si>
    <t xml:space="preserve">59
 41
 54
 28
 37
 30
 14
 30
 39
 12
 40</t>
  </si>
  <si>
    <t xml:space="preserve">Kit e set per la barba
 Regali e Set</t>
  </si>
  <si>
    <t xml:space="preserve">22
 12</t>
  </si>
  <si>
    <t xml:space="preserve">Beard Butter | Unscented
 Benefits
 Versatile Beard Care Solution
 Why You'll Love It</t>
  </si>
  <si>
    <t xml:space="preserve">24
 8
 29
 18</t>
  </si>
  <si>
    <t xml:space="preserve">https://striking-viking.com/en-gb/collections/viking-beard-kits</t>
  </si>
  <si>
    <t xml:space="preserve">Kits y paquetes para barba
 Regalos y Packs</t>
  </si>
  <si>
    <t xml:space="preserve">26
 15</t>
  </si>
  <si>
    <t xml:space="preserve">Skäggrehab &amp; Tillväxtkit - Sandelträ
 Skägg Rehab &amp; Växtkit – Sandelträ</t>
  </si>
  <si>
    <t xml:space="preserve">36
 33</t>
  </si>
  <si>
    <t xml:space="preserve">Hyödynnä partasi täysi potentiaali: Parrankasvatuspakkaukset &amp; Öljyt
 Avaa partasi täysi potentiaali: Striking Viking’n partakasvatussarjat &amp;ja öljyt</t>
  </si>
  <si>
    <t xml:space="preserve">68
 79</t>
  </si>
  <si>
    <t xml:space="preserve">Parta Kasvatuspakkaus – Santelipuu Parta Biotiini Kasvuöljy &amp; Derma Roller
 Parta-kasvupaketti Derma Rollerilla &amp; Biotiini-seerumilla</t>
  </si>
  <si>
    <t xml:space="preserve">74
 57</t>
  </si>
  <si>
    <t xml:space="preserve">Entfalten Sie das volle Potenzial Ihres Bartes: Bartwuchs-Kits und -Öle
 Entfalten Sie das volle Potenzial Ihres Bartes: Bartwuchs-Sets und -Öle von Striking Viking</t>
  </si>
  <si>
    <t xml:space="preserve">71
 91</t>
  </si>
  <si>
    <t xml:space="preserve">Bartpflege-Sets und -Pakete
 Geschenke &amp; Sets</t>
  </si>
  <si>
    <t xml:space="preserve">27
 16</t>
  </si>
  <si>
    <t xml:space="preserve">https://striking-viking.com/de/products/striking-viking-beard-filler-pencil-with-dual-tip-pen-brush-for-natural-beard-styling</t>
  </si>
  <si>
    <t xml:space="preserve">Bart‑Filler‑Stift – Dual-Tip-Stift &amp; Bürste
 Striking Viking Dual-Tip Bart‑Filler‑Stift
 Das Problem, das die meisten Männer kennen
 Die Striking Viking Lösung
 Für den ganzen Tag gemacht
 Finde deinen perfekten Farbton
 Lieferumfang
 So verwendest du den Bart‑Filler‑Stift
 Warum Männer Striking Viking lieben
 Perfekt geeignet für
 Bring dein Bart-Game aufs nächste Level</t>
  </si>
  <si>
    <t xml:space="preserve">43
 42
 42
 26
 26
 30
 12
 38
 35
 20
 39</t>
  </si>
  <si>
    <t xml:space="preserve">Kit de pousse pour barbe à la vanille Striking Viking avec huile à la biotine et derma roller 0,25 mm
 Kit de pousse pour barbe à la vanille : roller &amp; huile à la biotine</t>
  </si>
  <si>
    <t xml:space="preserve">101
 67</t>
  </si>
  <si>
    <t xml:space="preserve">Santelipuu Parta Kasvupaketti – Follikkelia Aktivoiva Seerumi &amp; Titaaninen Derma Roller
 Santelipuu Parta Kasvupaketti rullalla – Karvatuppeja aktivoiva</t>
  </si>
  <si>
    <t xml:space="preserve">87
 63</t>
  </si>
  <si>
    <t xml:space="preserve">https://striking-viking.com/sv/blogs/learn/unlock-your-beard-s-full-potential-beard-growth-kits-oils</t>
  </si>
  <si>
    <t xml:space="preserve">Lås upp din skäggs fulla potential: Skäggväxtkit &amp; oljor
 Lås upp ditt skäggs fulla potential: Striking Viking’s Beard Growth Kits &amp; Oils</t>
  </si>
  <si>
    <t xml:space="preserve">56
 79</t>
  </si>
  <si>
    <t xml:space="preserve">Stylo correcteur de barbe Striking Viking avec stylo et brosse double embout pour un coiffage naturel de la barbe
 Bienfaits</t>
  </si>
  <si>
    <t xml:space="preserve">113
 9</t>
  </si>
  <si>
    <t xml:space="preserve">Bartwachstums-Set – Sandelholz Bart Biotin Wachstumsöl &amp; Derma Roller
 Bartwachstums-Kit mit Derma Roller &amp; Biotin-Serum</t>
  </si>
  <si>
    <t xml:space="preserve">69
 49</t>
  </si>
  <si>
    <t xml:space="preserve">Bartwachstums-Set – Vanille Bart Biotin Wachstumsöl &amp; Derma Roller
 Vanille Bart Growth Kit: Roller &amp; Biotin-angereichertes Öl</t>
  </si>
  <si>
    <t xml:space="preserve">66
 58</t>
  </si>
  <si>
    <t xml:space="preserve">Kit de pousse pour barbe au santal Striking Viking avec huile à la biotine et derma roller 0,25 mm
 Kit de pousse pour barbe avec derma roller &amp; sérum à la biotine</t>
  </si>
  <si>
    <t xml:space="preserve">98
 63</t>
  </si>
  <si>
    <t xml:space="preserve">https://striking-viking.com/en-gb/blogs/learn/unlock-your-beard-s-full-potential-beard-growth-kits-oils</t>
  </si>
  <si>
    <t xml:space="preserve">Penna Riempitiva per Barba - Matita a Doppia Punta &amp; Pennello
 Striking Viking Dual-Tip Beard Filler Pen
 Il problema che la maggior parte degli uomini affronta
 La soluzione Striking Viking
 Progettato per durare tutto il giorno
 Trova la tua tonalità perfetta
 Cosa è incluso
 Come usare la Beard Filler Pen
 Perché gli uomini amano Striking Viking
 Perfetto per
 Porta la tua barba al livello successivo</t>
  </si>
  <si>
    <t xml:space="preserve">61
 41
 54
 28
 37
 30
 14
 30
 39
 12
 40</t>
  </si>
  <si>
    <t xml:space="preserve">Libérez tout le potentiel de votre barbe : kits de croissance et huiles pour barbe
 Libérez le plein potentiel de votre barbe : Kits &amp; Huiles Croissance de la Barbe de Striking Viking</t>
  </si>
  <si>
    <t xml:space="preserve">82
 99</t>
  </si>
  <si>
    <t xml:space="preserve">Libera el máximo potencial de tu barba: kits y aceites para el crecimiento de la barba
 Desbloquea el potencial completo de tu barba: Kits y Aceites para el Crecimiento de Barba de Striking Viking</t>
  </si>
  <si>
    <t xml:space="preserve">86
 108</t>
  </si>
  <si>
    <t xml:space="preserve">https://striking-viking.com/sv/products/striking-viking-vanilla-beard-growth-kit-with-biotin-oil-0-25mm-derma-roller</t>
  </si>
  <si>
    <t xml:space="preserve">Skäggväxtkit – Vanilj Skäggbiotin Tillväxtolja &amp; Derma Roller
 Vanilla Beard Growth Kit: Roller &amp; Biotininfuserad olja</t>
  </si>
  <si>
    <t xml:space="preserve">61
 55</t>
  </si>
  <si>
    <t xml:space="preserve">Hybrid Parta Kasvupaketti – Santelipuu &amp; Hajusteeton Öljy + Derma Roller
 Hybrid Parta Growth Bundle – Sandalwood &amp; Hajusteeton + Roller</t>
  </si>
  <si>
    <t xml:space="preserve">72
 62</t>
  </si>
  <si>
    <t xml:space="preserve">Kits et coffrets pour barbe
 Cadeaux et Coffrets</t>
  </si>
  <si>
    <t xml:space="preserve">27
 19</t>
  </si>
  <si>
    <t xml:space="preserve">https://striking-viking.com/sv/products/striking-viking-sandalwood-beard-growth-kit-with-biotin-oil-0-25mm-derma-roller</t>
  </si>
  <si>
    <t xml:space="preserve">Skäggväxtkit – Sandelträ Skäggbiotin Tillväxtolja &amp; Derma Roller
 Skäggväxtkit med Derma Roller &amp; Biotin-serum</t>
  </si>
  <si>
    <t xml:space="preserve">64
 44</t>
  </si>
  <si>
    <t xml:space="preserve">Sblocca il pieno potenziale della tua barba: kit e oli per la crescita della barba
 Sblocca il pieno potenziale della tua barba: Beard Growth Kits &amp; Oils di Striking Viking</t>
  </si>
  <si>
    <t xml:space="preserve">82
 88</t>
  </si>
  <si>
    <t xml:space="preserve">Bart‑Filler‑Stift – Dualspitze (2er‑Pack)
 Striking Viking Dual-Tip Bart‑Filler‑Stift
 Das Problem, das die meisten Männer kennen
 Die Striking Viking Lösung
 Gemacht für den ganzen Tag
 Finde deinen perfekten Farbton
 Das ist enthalten
 So verwendest du den Bart‑Filler‑Stift
 Darum lieben Männer Striking Viking
 Perfekt geeignet für
 Bring dein Bart-Game aufs nächste Level</t>
  </si>
  <si>
    <t xml:space="preserve">41
 42
 42
 26
 26
 30
 17
 38
 35
 20
 39</t>
  </si>
  <si>
    <t xml:space="preserve">https://striking-viking.com/en-ca/blogs/learn/unlock-your-beard-s-full-potential-beard-growth-kits-oils</t>
  </si>
  <si>
    <t xml:space="preserve">ONTAKI Bart- &amp; Schnurrbartschere aus japanischem Stahl mit abgerundeter Spitze (4.2")
 ONTAKI Japanische Stahl Rundspitzen Bart &amp; Schnurrbart Schere (4.2")</t>
  </si>
  <si>
    <t xml:space="preserve">85
 68</t>
  </si>
  <si>
    <t xml:space="preserve">Kit Crescita Barba - Oli alla Biotina Vaniglia &amp; Senza Profumo + Roller
 Il Clean Beard Growth Kit Bundle - Oli alla Biotina Vaniglia &amp; Senza Profumo + Roller</t>
  </si>
  <si>
    <t xml:space="preserve">71
 85</t>
  </si>
  <si>
    <t xml:space="preserve">Skjeggolje – Sandeltre
 Sandalwood Beard Oil</t>
  </si>
  <si>
    <t xml:space="preserve">22
 20</t>
  </si>
  <si>
    <t xml:space="preserve">Tijeras de apliqué ONTAKI Duckbill (4.5")
 Tijeras de Aplique de Pico de Pato ONTAKI (4.5") - Tijeras de Corte de Tela y Artesanía de Precisión &amp;</t>
  </si>
  <si>
    <t xml:space="preserve">41
 102</t>
  </si>
  <si>
    <t xml:space="preserve">Coffret maîtrise de la pousse de la barbe Striking Viking avec huiles à la biotine santal et vanille et derma roller
 Coffret maîtrise de la pousse de la barbe - Huiles à la biotine santal &amp; vanille + derma roller</t>
  </si>
  <si>
    <t xml:space="preserve">116
 95</t>
  </si>
  <si>
    <t xml:space="preserve">Il Kit Crescita Barba Ibrido - Oli al Sandalo e Neutro + Derma Roller
 Hybrid Beard Growth Bundle - Sandalwood &amp; Unscented + Roller</t>
  </si>
  <si>
    <t xml:space="preserve">69
 60</t>
  </si>
  <si>
    <t xml:space="preserve">https://striking-viking.com/it/products/ontaki-hair-thinning-shears-kit-7-inch-professional-hair-cutting-texturizing-set</t>
  </si>
  <si>
    <t xml:space="preserve">Kit Forbici Sfoltitrici per Capelli ONTAKI (7")
 Kit Forbici Sfoltitrici ONTAKI - 7"</t>
  </si>
  <si>
    <t xml:space="preserve">47
 35</t>
  </si>
  <si>
    <t xml:space="preserve">Kit para Crecimiento de Barba - Aceites de Biotina Vainilla y Sin Aroma + Roller
 El Clean Beard Growth Kit Bundle - Aceites de Biotina Vainilla &amp; Sin Fragancia + Rodillo</t>
  </si>
  <si>
    <t xml:space="preserve">80
 88</t>
  </si>
  <si>
    <t xml:space="preserve">https://striking-viking.com/no/blogs/learn/beard-grooming-comparison</t>
  </si>
  <si>
    <t xml:space="preserve">Striking Viking vs konkurrenter: Skjeggpleie sammenligning
 Hvorfor Striking Viking skiller seg ut innen skjeggpleie</t>
  </si>
  <si>
    <t xml:space="preserve">58
 56</t>
  </si>
  <si>
    <t xml:space="preserve">Bartöl – Sandelholz
 Sandelholz Bartöl</t>
  </si>
  <si>
    <t xml:space="preserve">19
 17</t>
  </si>
  <si>
    <t xml:space="preserve">https://striking-viking.com/de/blogs/learn/beard-grooming-comparison</t>
  </si>
  <si>
    <t xml:space="preserve">Striking Viking vs Wettbewerber: Bartpflege-Vergleich
 Warum Striking Viking in der Bartpflege herausragt</t>
  </si>
  <si>
    <t xml:space="preserve">53
 50</t>
  </si>
  <si>
    <t xml:space="preserve">https://striking-viking.com/fi/products/ontaki-hair-thinning-shears-kit-7-inch-professional-hair-cutting-texturizing-set</t>
  </si>
  <si>
    <t xml:space="preserve">ONTAKI hiusten harvennussaksisetti (7")
 ONTAKI Hiusten Ohennus Sakset - 7"</t>
  </si>
  <si>
    <t xml:space="preserve">39
 34</t>
  </si>
  <si>
    <t xml:space="preserve">Kit Crescita Barba al Sandalo - Siero Attivatore dei Follicoli &amp; Derma Roller in Titanio
 Sandalo Beard Growth Bundle con Roller - Attiva Follicoli</t>
  </si>
  <si>
    <t xml:space="preserve">88
 57</t>
  </si>
  <si>
    <t xml:space="preserve">https://striking-viking.com/fr/blogs/learn/beard-grooming-comparison</t>
  </si>
  <si>
    <t xml:space="preserve">Striking Viking vs concurrents : comparaison des soins de la barbe
 Pourquoi Striking Viking se démarque dans le soin de la barbe</t>
  </si>
  <si>
    <t xml:space="preserve">66
 61</t>
  </si>
  <si>
    <t xml:space="preserve">Coffret hybride pousse de la barbe Striking Viking avec huiles à barbe santal et sans parfum et derma roller
 Le coffret hybride pousse de la barbe - Santal &amp; sans parfum + roller</t>
  </si>
  <si>
    <t xml:space="preserve">108
 69</t>
  </si>
  <si>
    <t xml:space="preserve">Lápiz Rellenador de Barba - Doble Punta con Lápiz y Cepillo
 Striking Viking Dual-Tip Beard Filler Pen
 El problema que enfrentan la mayoría de los hombres
 La solución Striking Viking
 Hecho para durar todo el día
 Encuentra tu tono perfecto
 Qué incluye
 Cómo usar el Beard Filler Pen
 Por qué los hombres aman Striking Viking
 Perfecto para
 Lleva tu barba al siguiente nivel</t>
  </si>
  <si>
    <t xml:space="preserve">59
 41
 51
 27
 28
 26
 11
 29
 40
 13
 33</t>
  </si>
  <si>
    <t xml:space="preserve">Bart-Reha &amp; Wachstumsset – Sandelholz
 Bart Rehab &amp; Growth Kit – Sandelholz</t>
  </si>
  <si>
    <t xml:space="preserve">37
 36</t>
  </si>
  <si>
    <t xml:space="preserve">https://striking-viking.com/no/products/striking-viking-sandalwood-beard-growth-bundle-with-titanium-derma-roller-beard-growth-serum</t>
  </si>
  <si>
    <t xml:space="preserve">Sandalwood Skjeggvekstpakke – Follikkelaktiverende Serum &amp; Titanium Derma Roller
 Sandalwood Beard Growth Bundle med roller – Hårsekkaktiverende</t>
  </si>
  <si>
    <t xml:space="preserve">80
 62</t>
  </si>
  <si>
    <t xml:space="preserve">Skjeggfyller-penn – Dobbel tupp (2-pakning)
 Striking Viking Dual-Tip Beard Filler Pen
 Problemet de fleste menn møter
 Striking Viking-løsningen
 Bygget for å vare hele dagen
 Finn din perfekte nyanse
 Dette får du med
 Slik bruker du Beard Filler Pen
 Hvorfor menn elsker Striking Viking
 Perfekt for
 Ta skjegget ditt til neste nivå</t>
  </si>
  <si>
    <t xml:space="preserve">43
 41
 30
 25
 28
 24
 16
 31
 35
 11
 31</t>
  </si>
  <si>
    <t xml:space="preserve">https://striking-viking.com/no/products/ontaki-hair-thinning-shears-kit-7-inch-professional-hair-cutting-texturizing-set</t>
  </si>
  <si>
    <t xml:space="preserve">ONTAKI Hårtynningssaks Sett (7")
 ONTAKI Hair Thinning Shears Kit - 7"</t>
  </si>
  <si>
    <t xml:space="preserve">32
 36</t>
  </si>
  <si>
    <t xml:space="preserve">https://striking-viking.com/sv/products/striking-viking-sandalwood-beard-growth-bundle-with-titanium-derma-roller-beard-growth-serum</t>
  </si>
  <si>
    <t xml:space="preserve">Sandelträ Skäggväxtpaket – Follikelaktiverande Serum &amp; Titan Derma Roller
 Sandalwood Beard Growth Bundle med Roller – Hårsäckaktiverande</t>
  </si>
  <si>
    <t xml:space="preserve">73
 62</t>
  </si>
  <si>
    <t xml:space="preserve">Partaöljy - Santelipuu
 Sandalwood Beard Oil</t>
  </si>
  <si>
    <t xml:space="preserve">Coffret pousse de la barbe à la vanille Striking Viking avec sérum à la biotine et derma roller en titane
 Coffret pousse de la barbe à la vanille avec roller - Enrichi en biotine</t>
  </si>
  <si>
    <t xml:space="preserve">105
 72</t>
  </si>
  <si>
    <t xml:space="preserve">https://striking-viking.com/sv/products/striking-viking-vanilla-beard-growth-bundle-with-biotin-beard-serum-titanium-derma-roller</t>
  </si>
  <si>
    <t xml:space="preserve">Vanilj Skäggväxt Paket – Biotinberikat Tillväxtserum &amp; Titan Derma Roller
 Vanilla Beard Growth Bundle med Roller – Biotinberikad</t>
  </si>
  <si>
    <t xml:space="preserve">73
 54</t>
  </si>
  <si>
    <t xml:space="preserve">https://striking-viking.com/de/products/striking-viking-sandalwood-beard-growth-bundle-with-titanium-derma-roller-beard-growth-serum</t>
  </si>
  <si>
    <t xml:space="preserve">Sandelholz Bartwachstums-Bundle – Follikel-aktivierendes Serum &amp; Titanium Derma Roller
 Sandelholz Bart Wachstums-Bundle mit Roller – Follikel-aktivierend</t>
  </si>
  <si>
    <t xml:space="preserve">86
 66</t>
  </si>
  <si>
    <t xml:space="preserve">Beurre à barbe | Sans parfum
 Bienfaits
 Une solution de soin de la barbe polyvalente
 Pourquoi vous allez l'adorer</t>
  </si>
  <si>
    <t xml:space="preserve">28
 9
 44
 28</t>
  </si>
  <si>
    <t xml:space="preserve">https://striking-viking.com/it/blogs/learn/beard-grooming-comparison</t>
  </si>
  <si>
    <t xml:space="preserve">Striking Viking vs Competitor: Confronto sulla cura della barba
 Perché Striking Viking si distingue nella cura della barba</t>
  </si>
  <si>
    <t xml:space="preserve">63
 58</t>
  </si>
  <si>
    <t xml:space="preserve">Kit de pousse de la barbe Striking Viking avec roller à barbe, huiles à la biotine vanille et sans parfum pour homme
 Le coffret kit de pousse de la barbe propre - Huiles à la biotine vanille &amp; sans parfum + roller</t>
  </si>
  <si>
    <t xml:space="preserve">116
 96</t>
  </si>
  <si>
    <t xml:space="preserve">ONTAKI japanilaiset pyöristetyn kärjen parta- ja viiksisakset
 ONTAKI Japanilainen teräs pyöristettykärkinen parta &amp;ja viikset sakset (4.2")</t>
  </si>
  <si>
    <t xml:space="preserve">61
 77</t>
  </si>
  <si>
    <t xml:space="preserve">https://striking-viking.com/sv/products/striking-viking-beard-filler-pencil-with-dual-tip-pen-brush-for-natural-beard-styling</t>
  </si>
  <si>
    <t xml:space="preserve">Skäggfyllarpenna – Dubbelspetsad Penna &amp; Borste
 Striking Viking Dual-Tip Beard Filler Pen
 Problemet de flesta män möter
 Striking Viking-lösningen
 Byggd för att hålla hela dagen
 Hitta din perfekta nyans
 Detta ingår
 Så använder du Beard Filler Pen
 Varför män älskar Striking Viking
 Perfekt för
 Ta ditt skägg till nästa nivå</t>
  </si>
  <si>
    <t xml:space="preserve">47
 41
 29
 25
 30
 24
 11
 31
 33
 11
 29</t>
  </si>
  <si>
    <t xml:space="preserve">Kit Riabilitazione e Crescita Barba - Sandalo
 Kit Barba Rehab &amp; Crescita – Sandalo</t>
  </si>
  <si>
    <t xml:space="preserve">45
 36</t>
  </si>
  <si>
    <t xml:space="preserve">https://striking-viking.com/sv/products/ontaki-hair-thinning-shears-kit-7-inch-professional-hair-cutting-texturizing-set</t>
  </si>
  <si>
    <t xml:space="preserve">ONTAKI Håruttunningssax Kit (7")
 ONTAKI Håruttunningssaxar Kit - 7"</t>
  </si>
  <si>
    <t xml:space="preserve">32
 34</t>
  </si>
  <si>
    <t xml:space="preserve">Pack Maestría en Crecimiento de Barba - Aceites de Biotina Sándalo &amp; Vainilla + Derma Roller
 Beard Growth Mastery Bundle - Aceites de Biotina Sándalo &amp; Vainilla + Derma Roller</t>
  </si>
  <si>
    <t xml:space="preserve">92
 82</t>
  </si>
  <si>
    <t xml:space="preserve">Olio da Barba - Sandalo
 Sandalwood Beard Oil</t>
  </si>
  <si>
    <t xml:space="preserve">23
 20</t>
  </si>
  <si>
    <t xml:space="preserve">Parta Kasvun Hallinnan Paketti – Santelipuu &amp; Vanilja Biotiiniöljyt + Derma Roller
 Parta Growth Mastery Bundle – Sandalwood &amp; Vanilla Biotin Oils + Derma Roller</t>
  </si>
  <si>
    <t xml:space="preserve">82
 77</t>
  </si>
  <si>
    <t xml:space="preserve">https://striking-viking.com/es/blogs/learn/beard-grooming-comparison</t>
  </si>
  <si>
    <t xml:space="preserve">Striking Viking vs Competidores: Comparación de Cuidado de Barba
 Por qué Striking Viking destaca en el cuidado de la barba</t>
  </si>
  <si>
    <t xml:space="preserve">64
 57</t>
  </si>
  <si>
    <t xml:space="preserve">ONTAKI Forbici per Barba e Baffi a Punta Arrotondata in Acciaio Giapponese (4.2")
 Forbici ONTAKI per barba e baffi con punta arrotondata in acciaio giapponese (4,2")</t>
  </si>
  <si>
    <t xml:space="preserve">81
 83</t>
  </si>
  <si>
    <t xml:space="preserve">Lápiz Rellenador de Barba - Punta Doble (paquete de 2)
 Striking Viking Dual-Tip Beard Filler Pen
 El problema que enfrentan la mayoría de los hombres
 La solución Striking Viking
 Hecho para durar todo el día
 Encuentra tu tono perfecto
 Qué incluye
 Cómo usar el Beard Filler Pen
 Por qué los hombres aman Striking Viking
 Perfecto para
 Lleva tu barba al siguiente nivel</t>
  </si>
  <si>
    <t xml:space="preserve">54
 41
 51
 27
 28
 26
 11
 29
 40
 13
 33</t>
  </si>
  <si>
    <t xml:space="preserve">Das Hybrid-Bartwachstums-Bundle – Sandelholz- &amp; Unparfümiert-Öle + Derma Roller
 Das Hybrid Bartwachstums-Bundle – Sandelholz &amp; Unparfümiert + Roller</t>
  </si>
  <si>
    <t xml:space="preserve">79
 68</t>
  </si>
  <si>
    <t xml:space="preserve">https://striking-viking.com/sv/products/ontaki-duckbill-applique-scissors-4-5-inch-carbon-steel-fabric-thread-cutting-scissors</t>
  </si>
  <si>
    <t xml:space="preserve">ONTAKI Duckbill Applikationssax (4.5")
 ONTAKI Duckbill Applique-sax (4.5") – Precisionssax för hantverk &amp; tygklippning</t>
  </si>
  <si>
    <t xml:space="preserve">38
 79</t>
  </si>
  <si>
    <t xml:space="preserve">Shampooing à barbe | à la menthe poivrée et à l'eucalyptus naturels
 Bienfaits</t>
  </si>
  <si>
    <t xml:space="preserve">67
 9</t>
  </si>
  <si>
    <t xml:space="preserve">https://striking-viking.com/sv/products/striking-viking-beard-growth-kit-with-beard-roller-vanilla-unscented-biotin-oils-for-men</t>
  </si>
  <si>
    <t xml:space="preserve">Skäggväxtkit – Vanilj &amp; Oparfymerade Biotinoljor + Roller
 Clean Beard Growth Kit Bundle - Vanilj &amp; Oparfymerade Biotin-oljor + Roller</t>
  </si>
  <si>
    <t xml:space="preserve">57
 75</t>
  </si>
  <si>
    <t xml:space="preserve">Kit Crescita Barba alla Vaniglia - Siero Crescita alla Biotina &amp; Derma Roller in Titanio
 Vanilla Beard Growth Bundle con roller - Arricchito con biotina</t>
  </si>
  <si>
    <t xml:space="preserve">88
 63</t>
  </si>
  <si>
    <t xml:space="preserve">Coffret pousse de la barbe au santal Striking Viking avec derma roller en titane et sérum de pousse
 Coffret pousse de la barbe au santal avec roller - Activateur de follicules</t>
  </si>
  <si>
    <t xml:space="preserve">99
 75</t>
  </si>
  <si>
    <t xml:space="preserve">https://striking-viking.com/no/products/striking-viking-hybrid-beard-growth-bundle-with-sandalwood-unscented-beard-oils-and-derma-roller</t>
  </si>
  <si>
    <t xml:space="preserve">Hybrid Skjeggvekstpakke – Sandeltre &amp; Uparfymert Olje + Derma Roller
 Hybrid Beard Growth Bundle – Sandeltre &amp; Uparfymert + Roller</t>
  </si>
  <si>
    <t xml:space="preserve">68
 60</t>
  </si>
  <si>
    <t xml:space="preserve">https://striking-viking.com/no/products/striking-viking-beard-growth-kit-with-beard-roller-vanilla-unscented-biotin-oils-for-men</t>
  </si>
  <si>
    <t xml:space="preserve">Skjeggvekstsett – Vanilje &amp; Uparfymert Biotinoljer + Rulle
 The Clean Beard Growth Kit Bundle – Vanilje &amp; Uparfymert Biotin-olje + Roller</t>
  </si>
  <si>
    <t xml:space="preserve">58
 77</t>
  </si>
  <si>
    <t xml:space="preserve">Aceite para Barba - Sándalo
 Aceite para barba de sándalo</t>
  </si>
  <si>
    <t xml:space="preserve">27
 28</t>
  </si>
  <si>
    <t xml:space="preserve">Parta Rehab &amp; Kasvatuspakkaus - Santelipuu
 Parta Kuntoutus &amp; Kasvatuspakkaus – Santelipuu</t>
  </si>
  <si>
    <t xml:space="preserve">42
 46</t>
  </si>
  <si>
    <t xml:space="preserve">https://striking-viking.com/sv/products/striking-viking-beard-growth-mastery-bundle-with-sandalwood-vanilla-biotin-oils-and-derma-roller</t>
  </si>
  <si>
    <t xml:space="preserve">Skäggtillväxt Mästarpaket – Sandelträ &amp; Vanilj Biotinoljor + Derma Roller
 Beard Growth Mastery Bundle – Sandalwood &amp; Vanilla Biotin Oils + Derma Roller</t>
  </si>
  <si>
    <t xml:space="preserve">73
 77</t>
  </si>
  <si>
    <t xml:space="preserve">ONTAKI Duckbill Applikationsschere (4.5")
 ONTAKI Entenschnabel Applikationsschere (4.5") – Präzisionshandwerk &amp; Stoffschneideschere</t>
  </si>
  <si>
    <t xml:space="preserve">41
 89</t>
  </si>
  <si>
    <t xml:space="preserve">https://striking-viking.com/no/products/striking-viking-beard-filler-pencil-with-dual-tip-pen-brush-for-natural-beard-styling</t>
  </si>
  <si>
    <t xml:space="preserve">Skjeggfyller-penn – Dobbelspiss blyant og børste
 Striking Viking Dual-Tip Beard Filler Pen
 Problemet de fleste menn møter
 Striking Viking-løsningen
 Bygget for å vare hele dagen
 Finn din perfekte nyanse
 Dette får du med
 Slik bruker du Beard Filler Pen
 Derfor elsker menn Striking Viking
 Perfekt for
 Ta skjegget ditt til neste nivå</t>
  </si>
  <si>
    <t xml:space="preserve">48
 41
 30
 25
 28
 24
 16
 31
 34
 11
 31</t>
  </si>
  <si>
    <t xml:space="preserve">Partatäytekynä – Kaksipäinen (2 kpl pakkaus)
 Striking Viking Kaksikärkinen Partatäytekynä
 Ongelma, jonka useimmat miehet kohtaavat
 Striking Viking -ratkaisu
 Suunniteltu kestämään koko päivän
 Löydä täydellinen sävysi
 Mitä pakkaus sisältää
 Näin käytät Partatäytekynää
 Miksi miehet rakastavat Striking Vikingiä
 Täydellinen
 Nosta partapelisi uudelle tasolle</t>
  </si>
  <si>
    <t xml:space="preserve">44
 44
 40
 25
 33
 24
 21
 27
 41
 11
 33</t>
  </si>
  <si>
    <t xml:space="preserve">https://striking-viking.com/fi/products/striking-viking-beard-filler-pencil-with-dual-tip-pen-brush-for-natural-beard-styling</t>
  </si>
  <si>
    <t xml:space="preserve">Partatäytekynä – Kaksipäinen kynä ja harja
 Striking Viking Kaksikärkinen Partatäytekynä
 Ongelma, jonka useimmat miehet kohtaavat
 Striking Viking -ratkaisu
 Suunniteltu kestämään koko päivän
 Löydä täydellinen sävysi
 Mitä pakkaus sisältää
 Näin käytät Partatäytekynää
 Miksi miehet rakastavat Striking Vikingiä
 Täydellinen
 Nosta partapelisi uudelle tasolle</t>
  </si>
  <si>
    <t xml:space="preserve">42
 44
 40
 25
 33
 24
 21
 27
 41
 11
 33</t>
  </si>
  <si>
    <t xml:space="preserve">https://striking-viking.com/es/products/ontaki-hair-thinning-shears-kit-7-inch-professional-hair-cutting-texturizing-set</t>
  </si>
  <si>
    <t xml:space="preserve">Kit de tijeras para adelgazar cabello ONTAKI (7")
 Kit de tijeras de desbaste ONTAKI - 7"</t>
  </si>
  <si>
    <t xml:space="preserve">49
 38</t>
  </si>
  <si>
    <t xml:space="preserve">https://striking-viking.com/fr-ca/blogs/learn/beard-grooming-comparison</t>
  </si>
  <si>
    <t xml:space="preserve">Pack Crecimiento de Barba Vainilla - Suero de Crecimiento con Biotina y Derma Roller de Titanio
 Vanilla Beard Growth Bundle con rodillo - Enriquecido con biotina</t>
  </si>
  <si>
    <t xml:space="preserve">95
 65</t>
  </si>
  <si>
    <t xml:space="preserve">https://striking-viking.com/sv/products/striking-viking-beard-filler-pen-2-pack-dual-tip-waterproof-beard-pen-for-natural-beard-filling</t>
  </si>
  <si>
    <t xml:space="preserve">Skäggfyllningspenna – Dubbelspets (2-pack)
 Striking Viking Dual-Tip Beard Filler Pen
 Problemet de flesta män möter
 Striking Viking-lösningen
 Byggd för att hålla hela dagen
 Hitta din perfekta nyans
 Detta ingår
 Så använder du Beard Filler Pen
 Varför män älskar Striking Viking
 Perfekt för
 Ta ditt skägg till nästa nivå</t>
  </si>
  <si>
    <t xml:space="preserve">42
 41
 29
 25
 30
 24
 11
 31
 33
 11
 29</t>
  </si>
  <si>
    <t xml:space="preserve">ONTAKI forbici applicatrici Duckbill (4,5")
 Forbici Duckbill Applique ONTAKI (4.5") – Forbici di precisione per artigianato e taglio tessuti</t>
  </si>
  <si>
    <t xml:space="preserve">43
 96</t>
  </si>
  <si>
    <t xml:space="preserve">https://striking-viking.com/de/products/ontaki-hair-thinning-shears-kit-7-inch-professional-hair-cutting-texturizing-set</t>
  </si>
  <si>
    <t xml:space="preserve">ONTAKI Haarausdünnungs-Scheren-Set (7")
 ONTAKI Haarverdünnungsscheren-Set - 7"</t>
  </si>
  <si>
    <t xml:space="preserve">39
 38</t>
  </si>
  <si>
    <t xml:space="preserve">https://striking-viking.com/es/products/ontaki-japanese-steel-rounded-tip-beard-mustache-scissors-4-2-inch-grooming-kit</t>
  </si>
  <si>
    <t xml:space="preserve">ONTAKI Tijeras para Barba y Bigote de Punta Redondeada de Acero Japonés (4.2")
 Tijeras para barba y bigote ONTAKI de acero japonés con punta redondeada (4,2")</t>
  </si>
  <si>
    <t xml:space="preserve">78
 79</t>
  </si>
  <si>
    <t xml:space="preserve">https://striking-viking.com/fi/products/striking-viking-vanilla-beard-growth-bundle-with-biotin-beard-serum-titanium-derma-roller</t>
  </si>
  <si>
    <t xml:space="preserve">Vanilja Parta Kasvupaketti – Biotiinilla Rikastettu Kasvuseerumi &amp; Titaaninen Derma Roller
 Vanilla Parta Growth Bundle rullalla – Biotiinilla rikastettu</t>
  </si>
  <si>
    <t xml:space="preserve">90
 61</t>
  </si>
  <si>
    <t xml:space="preserve">Pack Crecimiento de Barba Sándalo - Suero Activador de Folículos y Derma Roller de Titanio
 Pack de crecimiento de barba con sándalo y rodillo - Activador de folículos</t>
  </si>
  <si>
    <t xml:space="preserve">90
 75</t>
  </si>
  <si>
    <t xml:space="preserve">Parta Kasvatuspakkaus – Vanilja Parta Biotiini Kasvuöljy &amp; Derma Roller
 Vanilla Parta Growth Kit: Roller &amp; Biotiinilla rikastettu öljy</t>
  </si>
  <si>
    <t xml:space="preserve">71
 62</t>
  </si>
  <si>
    <t xml:space="preserve">ONTAKI Andenebb Applikasjonssaks (4.5")
 ONTAKI Duckbill Applique-saks (4.5") – Presisjonssaks for håndverk og stoffklipping</t>
  </si>
  <si>
    <t xml:space="preserve">39
 83</t>
  </si>
  <si>
    <t xml:space="preserve">Skäggolja - Sandelträ
 Sandelträ Skäggolja</t>
  </si>
  <si>
    <t xml:space="preserve">21
 19</t>
  </si>
  <si>
    <t xml:space="preserve">https://striking-viking.com/no/products/ontaki-japanese-steel-rounded-tip-beard-mustache-scissors-4-2-inch-grooming-kit</t>
  </si>
  <si>
    <t xml:space="preserve">ONTAKI Japansk Stål Rundt-Tupp Skjegg- og Bartesaks (4.2")
 ONTAKI japansk stål skjegg- og bartesaks med avrundet tupp (4,2")</t>
  </si>
  <si>
    <t xml:space="preserve">58
 65</t>
  </si>
  <si>
    <t xml:space="preserve">Skjegg Rehab &amp; Vekstsett – Sandeltre
 Skjegg Rehab &amp; Vekstsett – Sandeltre</t>
  </si>
  <si>
    <t xml:space="preserve">36
 36</t>
  </si>
  <si>
    <t xml:space="preserve">Kit de Recuperación y Crecimiento de Barba - Sándalo
 Kit de rehabilitación y crecimiento para barba – Sándalo</t>
  </si>
  <si>
    <t xml:space="preserve">52
 56</t>
  </si>
  <si>
    <t xml:space="preserve">Pack Híbrido para Crecimiento de Barba - Aceites de Sándalo y Sin Aroma + Derma Roller
 Hybrid Beard Growth Bundle - Sándalo &amp; Sin Fragancia + Roller</t>
  </si>
  <si>
    <t xml:space="preserve">86
 61</t>
  </si>
  <si>
    <t xml:space="preserve">https://striking-viking.com/fi/products/ontaki-duckbill-applique-scissors-4-5-inch-carbon-steel-fabric-thread-cutting-scissors</t>
  </si>
  <si>
    <t xml:space="preserve">ONTAKI Duckbill-applikaatiosakset (4.5")
 ONTAKI Ankkapään Applikaatiosakset (4.5") – Tarkkuusaskartelu &amp;ja Kankaan Leikkaamiseen tarkoitetut Sakset</t>
  </si>
  <si>
    <t xml:space="preserve">40
 106</t>
  </si>
  <si>
    <t xml:space="preserve">https://striking-viking.com/sv/products/ontaki-japanese-steel-rounded-tip-beard-mustache-scissors-4-2-inch-grooming-kit</t>
  </si>
  <si>
    <t xml:space="preserve">ONTAKI Japanskt stål rundad-tipp skägg- &amp; mustaschsax (4.2")
 ONTAKI japanska stålskägg- &amp; mustasch saxar med rundad spets (4,2")</t>
  </si>
  <si>
    <t xml:space="preserve">60
 67</t>
  </si>
  <si>
    <t xml:space="preserve">https://striking-viking.com/de/products/striking-viking-beard-growth-mastery-bundle-with-sandalwood-vanilla-biotin-oils-and-derma-roller</t>
  </si>
  <si>
    <t xml:space="preserve">Bartwachstums-Meisterschaftsset – Sandelholz- &amp; Vanille-Biotin-Öle + Derma Roller
 Bartwachstum Mastery Bundle – Sandelholz &amp; Vanille Biotin Öle + Derma Roller</t>
  </si>
  <si>
    <t xml:space="preserve">81
 76</t>
  </si>
  <si>
    <t xml:space="preserve">Parta Kasvatuspakkaus – Vanilja &amp; Hajusteeton Biotiiniöljyt + Rulla
 Clean Parta Kasvatuspaketti - Vanilja &amp; Hajusteeton Biotiiniöljy + Rulla</t>
  </si>
  <si>
    <t xml:space="preserve">67
 72</t>
  </si>
  <si>
    <t xml:space="preserve">https://striking-viking.com/no/products/striking-viking-vanilla-beard-growth-bundle-with-biotin-beard-serum-titanium-derma-roller</t>
  </si>
  <si>
    <t xml:space="preserve">Vanilje Skjeggvekstpakke – Biotinberiket Vekstserum &amp; Titanium Derma Roller
 Vanilla Beard Growth Bundle med rulle – biotinberiket</t>
  </si>
  <si>
    <t xml:space="preserve">75
 53</t>
  </si>
  <si>
    <t xml:space="preserve">https://striking-viking.com/de/products/striking-viking-beard-growth-kit-with-beard-roller-vanilla-unscented-biotin-oils-for-men</t>
  </si>
  <si>
    <t xml:space="preserve">Bartwachstums-Set – Vanille &amp; Unparfümiert Biotin-Öle + Roller
 Das Clean Bartwachstums-Kit Bundle – Vanille &amp; Unparfümiertes Biotin-Öl + Roller</t>
  </si>
  <si>
    <t xml:space="preserve">62
 80</t>
  </si>
  <si>
    <t xml:space="preserve">https://striking-viking.com/de/products/striking-viking-vanilla-beard-growth-bundle-with-biotin-beard-serum-titanium-derma-roller</t>
  </si>
  <si>
    <t xml:space="preserve">Vanilla Bartwachstums-Bundle – Biotin-angereichertes Wachstumsserum &amp; Titanium Derma Roller
 Vanilla Bart-Wachstums-Bundle mit Roller – Mit Biotin angereichert</t>
  </si>
  <si>
    <t xml:space="preserve">91
 66</t>
  </si>
  <si>
    <t xml:space="preserve">Kit Maestria Crescita Barba - Oli alla Biotina Sandalo &amp; Vaniglia + Derma Roller
 Beard Growth Mastery Bundle - Oli alla Biotina Sandalwood &amp; Vanilla + Derma Roller</t>
  </si>
  <si>
    <t xml:space="preserve">80
 82</t>
  </si>
  <si>
    <t xml:space="preserve">Kit para Crecimiento de Barba - Aceite de Biotina con Vainilla para Crecimiento de Barba y Derma Roller
 Kit de Crecimiento de Barba con Vainilla: Roller y Aceite Infundido con Biotina</t>
  </si>
  <si>
    <t xml:space="preserve">103
 79</t>
  </si>
  <si>
    <t xml:space="preserve">Kit para Crecimiento de Barba - Aceite de Biotina para Barba con Sándalo y Derma Roller
 Kit de Crecimiento de Barba con Rodillo Derma y Sérum de Biotina</t>
  </si>
  <si>
    <t xml:space="preserve">87
 64</t>
  </si>
  <si>
    <t xml:space="preserve">Source: striking-viking - Issues.xlsx / Pages have high AI content leve</t>
  </si>
  <si>
    <t xml:space="preserve">Sr.no</t>
  </si>
  <si>
    <t xml:space="preserve">AI content level</t>
  </si>
  <si>
    <t xml:space="preserve">AI content status</t>
  </si>
  <si>
    <t xml:space="preserve">No. of content words</t>
  </si>
  <si>
    <t xml:space="preserve">Success</t>
  </si>
  <si>
    <t xml:space="preserve">Striking Viking Black Sandalwood Beard Comb with fine and coarse teeth for detangling, smoothing, styling, and grooming. Includes protective carry case.</t>
  </si>
  <si>
    <t xml:space="preserve">Sandalwood Wooden Beard Comb - Black | Striking Viking</t>
  </si>
  <si>
    <t xml:space="preserve">Need to Fixed</t>
  </si>
  <si>
    <t xml:space="preserve">Source: striking-viking - Issues.xlsx / Missing alt text</t>
  </si>
  <si>
    <t xml:space="preserve">https://striking-viking.com/cdn/shop/files/preview_images/06fa7414903d4ace94cbe4e096befa28.thumbnail.0000000000_1024x1024.jpg?v=1786601229
 https://striking-viking.com/cdn/shop/files/preview_images/3b2d1290045c417e8b589a319a2e2fbf.thumbnail.0000000000_1024x1024.jpg?v=1786616279
 https://striking-viking.com/cdn/shop/files/preview_images/bbf7ac2d6bcb4e9781033073d3e04183.thumbnail.0000000000_1024x1024.jpg?v=1786599449</t>
  </si>
  <si>
    <t xml:space="preserve">https://striking-viking.com/cdn/shop/files/preview_images/bbf7ac2d6bcb4e9781033073d3e04183.thumbnail.0000000000_1024x1024.jpg?v=1786599449</t>
  </si>
  <si>
    <t xml:space="preserve">https://striking-viking.com/cdn/shop/files/preview_images/49129432d5d543f2b09f1e3faab28f4a.thumbnail.0000000000_1024x1024.jpg?v=1786599719</t>
  </si>
  <si>
    <t xml:space="preserve">https://striking-viking.com/no/products/striking-viking-mustache-wax-and-comb-kit</t>
  </si>
  <si>
    <t xml:space="preserve">https://striking-viking.com/en-gb/products/striking-viking-mustache-wax-and-comb-kit</t>
  </si>
  <si>
    <t xml:space="preserve">https://striking-viking.com/cdn/shop/files/preview_images/ba5feb9f783d4fa1adb23a394602c871.thumbnail.0000000000_1024x1024.jpg?v=1786599826</t>
  </si>
  <si>
    <t xml:space="preserve">https://striking-viking.com/en-ca/products/striking-viking-beard-kit-caddy-complete-beard-grooming-kit</t>
  </si>
  <si>
    <t xml:space="preserve">https://striking-viking.com/sv/products/striking-viking-mustache-wax-and-comb-kit</t>
  </si>
  <si>
    <t xml:space="preserve">https://striking-viking.com/no/products/striking-viking-beard-kit-caddy-complete-beard-grooming-kit</t>
  </si>
  <si>
    <t xml:space="preserve">https://striking-viking.com/de/products/bartset-mit-caddy</t>
  </si>
  <si>
    <t xml:space="preserve">https://striking-viking.com/en-ca/products/striking-viking-beard-filler-pen-2-pack-waterproof-beard-pen-for-filling-gaps-covering-patches</t>
  </si>
  <si>
    <t xml:space="preserve">https://striking-viking.com/en-ca/products/striking-viking-mustache-wax-and-comb-kit</t>
  </si>
  <si>
    <t xml:space="preserve">https://striking-viking.com/cdn/shop/files/preview_images/5ccb603517a94a8fbc089e8b0a2c2fb4.thumbnail.0000000000_1024x1024.jpg?v=1786600783</t>
  </si>
  <si>
    <t xml:space="preserve">https://striking-viking.com/cdn/shop/files/preview_images/654292f4a09e42b6b95c9ef48340e293.thumbnail.0000000000_1024x1024.jpg?v=1786600236</t>
  </si>
  <si>
    <t xml:space="preserve">https://striking-viking.com/en-ca/products/striking-viking-beard-balm-variety-4-pack-citrus-vanilla-cedarwood-sandalwood</t>
  </si>
  <si>
    <t xml:space="preserve">https://striking-viking.com/cdn/shop/files/preview_images/48bcbed35d964c5e8dffe8424e4076a8.thumbnail.0000000000_1024x1024.jpg?v=1786601016</t>
  </si>
  <si>
    <t xml:space="preserve">https://striking-viking.com/en-ca/products/striking-viking-wooden-beard-care-caddy-board-only</t>
  </si>
  <si>
    <t xml:space="preserve">https://striking-viking.com/en-gb/products/striking-viking-sandalwood-beard-oil</t>
  </si>
  <si>
    <t xml:space="preserve">https://striking-viking.com/cdn/shop/files/preview_images/694214d8b7b34d50be83f74012b962d8.thumbnail.0000000000_1024x1024.jpg?v=1786601440</t>
  </si>
  <si>
    <t xml:space="preserve">https://striking-viking.com/cdn/shop/files/preview_images/06fa7414903d4ace94cbe4e096befa28.thumbnail.0000000000_1024x1024.jpg?v=1786601229</t>
  </si>
  <si>
    <t xml:space="preserve">https://striking-viking.com/en-ca/products/striking-viking-beard-oil-variety-4-pack-citrus-vanilla-cedarwood-sandalwood</t>
  </si>
  <si>
    <t xml:space="preserve">https://striking-viking.com/cdn/shop/files/preview_images/2aac013d604940b58d3cb008c2f75bb9.thumbnail.0000000000_1024x1024.jpg?v=1786600897</t>
  </si>
  <si>
    <t xml:space="preserve">https://striking-viking.com/en-gb/products/striking-viking-vanilla-beard-balm</t>
  </si>
  <si>
    <t xml:space="preserve">https://striking-viking.com/en-gb/products/striking-viking-wooden-beard-care-caddy-board-only</t>
  </si>
  <si>
    <t xml:space="preserve">https://striking-viking.com/cdn/shop/files/preview_images/3b2d1290045c417e8b589a319a2e2fbf.thumbnail.0000000000_1024x1024.jpg?v=1786616279</t>
  </si>
  <si>
    <t xml:space="preserve">https://striking-viking.com/en-ca/products/striking-viking-beard-shampoo-conditioner-cologne-argan-jojoba-oil</t>
  </si>
  <si>
    <t xml:space="preserve">https://striking-viking.com/cdn/shop/files/preview_images/223d982d630541b8bca51e5de6c59550.thumbnail.0000000000_1024x1024.jpg?v=1786603784</t>
  </si>
  <si>
    <t xml:space="preserve">https://striking-viking.com/cdn/shop/files/preview_images/133175d72f9a4cf5aaecad8194713d87.thumbnail.0000000000_1024x1024.jpg?v=1783943838</t>
  </si>
  <si>
    <t xml:space="preserve">https://striking-viking.com/en-gb/products/sandalwood-wooden-beard-comb-black-striking-viking</t>
  </si>
  <si>
    <t xml:space="preserve">https://striking-viking.com/cdn/shop/files/preview_images/630e16646ea940d38a7dbfb0a14c8ee6.thumbnail.0000000000_1024x1024.jpg?v=1786617599</t>
  </si>
  <si>
    <t xml:space="preserve">https://striking-viking.com/no/products/striking-viking-wooden-beard-care-caddy-board-only</t>
  </si>
  <si>
    <t xml:space="preserve">https://striking-viking.com/cdn/shop/files/preview_images/ea71e2ed828246ed942cb9b167fb5a7e.thumbnail.0000000000_1024x1024.jpg?v=1783948364</t>
  </si>
  <si>
    <t xml:space="preserve">https://striking-viking.com/en-gb/products/striking-viking-beard-oil-variety-4-pack-citrus-vanilla-cedarwood-sandalwood</t>
  </si>
  <si>
    <t xml:space="preserve">https://striking-viking.com/cdn/shop/files/preview_images/e5633e001a744211bc5b12bd22e9862c.thumbnail.0000000000_1024x1024.jpg?v=1783945120</t>
  </si>
  <si>
    <t xml:space="preserve">https://striking-viking.com/no/products/striking-viking-beard-growth-oil-with-biotin-sandalwood</t>
  </si>
  <si>
    <t xml:space="preserve">https://striking-viking.com/cdn/shop/files/preview_images/032fdd356ead42c19de3ca802ac3a37b.thumbnail.0000000000_1024x1024.jpg?v=1786599587</t>
  </si>
  <si>
    <t xml:space="preserve">https://striking-viking.com/en-ca/products/striking-viking-beard-growth-oil-with-biotin-sandalwood</t>
  </si>
  <si>
    <t xml:space="preserve">https://striking-viking.com/en-ca/products/striking-viking-sandalwood-wooden-beard-comb-brown</t>
  </si>
  <si>
    <t xml:space="preserve">https://striking-viking.com/cdn/shop/files/preview_images/32f6dad1813c4e97ac84d74390b8e3ba.thumbnail.0000000000_1024x1024.jpg?v=1786604633</t>
  </si>
  <si>
    <t xml:space="preserve">https://striking-viking.com/de/products/bartpflege</t>
  </si>
  <si>
    <t xml:space="preserve">https://striking-viking.com/en-ca/products/striking-viking-unscented-beard-oil-natural-organic-beard-care</t>
  </si>
  <si>
    <t xml:space="preserve">https://striking-viking.com/cdn/shop/files/preview_images/8a045c5fae8942ea962f142b6e25d24a.thumbnail.0000000000_1024x1024.jpg?v=1786610842</t>
  </si>
  <si>
    <t xml:space="preserve">https://striking-viking.com/en-ca/products/striking-viking-folding-wooden-comb-sandalwood-beard-hair-comb</t>
  </si>
  <si>
    <t xml:space="preserve">https://striking-viking.com/en-gb/products/striking-viking-beard-balm-variety-4-pack-citrus-vanilla-cedarwood-sandalwood</t>
  </si>
  <si>
    <t xml:space="preserve">https://striking-viking.com/en-ca/products/striking-viking-cedarwood-beard-balm</t>
  </si>
  <si>
    <t xml:space="preserve">https://striking-viking.com/cdn/shop/files/preview_images/c89d3523362c428dade03256b113e919.thumbnail.0000000000_1024x1024.jpg?v=1786600350</t>
  </si>
  <si>
    <t xml:space="preserve">https://striking-viking.com/de/products/striking-viking-sandalwood-wooden-beard-comb-brown</t>
  </si>
  <si>
    <t xml:space="preserve">https://striking-viking.com/en-gb/products/striking-viking-sandalwood-beard-balm</t>
  </si>
  <si>
    <t xml:space="preserve">https://striking-viking.com/cdn/shop/files/preview_images/61498a206a02426392439b9e42809c58.thumbnail.0000000000_1024x1024.jpg?v=1786600477</t>
  </si>
  <si>
    <t xml:space="preserve">https://striking-viking.com/en-ca/products/striking-viking-unscented-beard-balm-natural-beard-styling-conditioning</t>
  </si>
  <si>
    <t xml:space="preserve">https://striking-viking.com/cdn/shop/files/preview_images/0ebc618aebb84e839189ab492bd964c1.thumbnail.0000000000_1024x1024.jpg?v=1786615713</t>
  </si>
  <si>
    <t xml:space="preserve">https://striking-viking.com/fr/products/striking-viking-sandalwood-wooden-beard-comb-brown</t>
  </si>
  <si>
    <t xml:space="preserve">https://striking-viking.com/fr/products/striking-viking-folding-wooden-comb-sandalwood-beard-hair-comb</t>
  </si>
  <si>
    <t xml:space="preserve">https://striking-viking.com/en-ca/products/sandalwood-wooden-beard-comb-black-striking-viking</t>
  </si>
  <si>
    <t xml:space="preserve">https://striking-viking.com/en-gb/products/striking-viking-beard-shampoo-conditioner-cologne-argan-jojoba-oil</t>
  </si>
  <si>
    <t xml:space="preserve">https://striking-viking.com/en-ca/products/striking-viking-cedarwood-beard-oil</t>
  </si>
  <si>
    <t xml:space="preserve">https://striking-viking.com/en-ca/products/striking-viking-vanilla-beard-balm</t>
  </si>
  <si>
    <t xml:space="preserve">https://striking-viking.com/sv/products/striking-viking-beard-oil-variety-4-pack-citrus-vanilla-cedarwood-sandalwood</t>
  </si>
  <si>
    <t xml:space="preserve">https://striking-viking.com/fr/products/sandalwood-wooden-beard-comb-black-striking-viking</t>
  </si>
  <si>
    <t xml:space="preserve">https://striking-viking.com/en-gb/products/striking-viking-folding-wooden-comb-sandalwood-beard-hair-comb</t>
  </si>
  <si>
    <t xml:space="preserve">https://striking-viking.com/sv/products/striking-viking-beard-kit-caddy-complete-beard-grooming-kit</t>
  </si>
  <si>
    <t xml:space="preserve">https://striking-viking.com/sv/products/striking-viking-wooden-beard-care-caddy-board-only</t>
  </si>
  <si>
    <t xml:space="preserve">https://striking-viking.com/sv/products/striking-viking-beard-filler-pen-2-pack-waterproof-beard-pen-for-filling-gaps-covering-patches</t>
  </si>
  <si>
    <t xml:space="preserve">https://striking-viking.com/sv/products/striking-viking-unscented-beard-oil-natural-organic-beard-care</t>
  </si>
  <si>
    <t xml:space="preserve">https://cdn.shopify.com/s/files/1/0766/7389/files/The-Big-Lebowski_Jeff-Bridges_Cowichan-cardigan_front-drink-mid_large.jpg?3795415887683916855
 https://cdn.shopify.com/s/files/1/0766/7389/files/lebowski_art_large.jpg?2456842852602523384
 https://cdn.shopify.com/s/files/1/0766/7389/files/lebowski_glasses_large.jpg?11227815953389399569</t>
  </si>
  <si>
    <t xml:space="preserve">https://cdn.shopify.com/s/files/1/0766/7389/files/brian_dodgers_large.jpg?11928763592456428587
 https://cdn.shopify.com/s/files/1/0766/7389/files/brian_wilson_before_and_after_large.jpg?38083682774682614
 https://cdn.shopify.com/s/files/1/0766/7389/files/brian_wilson_smiling_large.jpg?38083682774682614</t>
  </si>
  <si>
    <t xml:space="preserve">https://striking-viking.com/no/products/striking-viking-citrus-beard-balm</t>
  </si>
  <si>
    <t xml:space="preserve">https://striking-viking.com/cdn/shop/files/preview_images/54420569ea0440298c3f837092838622.thumbnail.0000000000_1024x1024.jpg?v=1786600582</t>
  </si>
  <si>
    <t xml:space="preserve">https://striking-viking.com/no/products/striking-viking-folding-wooden-comb-sandalwood-beard-hair-comb</t>
  </si>
  <si>
    <t xml:space="preserve">https://striking-viking.com/cdn/shop/files/preview_images/59360cd09ea240a0b2661030d5829c72.thumbnail.0000000000_1024x1024.jpg?v=1786601332</t>
  </si>
  <si>
    <t xml:space="preserve">https://striking-viking.com/en-gb/products/striking-viking-unscented-beard-oil-natural-organic-beard-care</t>
  </si>
  <si>
    <t xml:space="preserve">https://striking-viking.com/en-gb/products/striking-viking-citrus-beard-oil</t>
  </si>
  <si>
    <t xml:space="preserve">https://striking-viking.com/en-gb/products/striking-viking-cedarwood-beard-oil</t>
  </si>
  <si>
    <t xml:space="preserve">https://striking-viking.com/no/products/striking-viking-unscented-beard-oil-natural-organic-beard-care</t>
  </si>
  <si>
    <t xml:space="preserve">https://striking-viking.com/en-ca/products/striking-viking-sandalwood-beard-balm</t>
  </si>
  <si>
    <t xml:space="preserve">https://striking-viking.com/fi/products/striking-viking-sandalwood-wooden-beard-comb-brown</t>
  </si>
  <si>
    <t xml:space="preserve">https://striking-viking.com/sv/products/striking-viking-beard-growth-oil-with-biotin-sandalwood</t>
  </si>
  <si>
    <t xml:space="preserve">https://striking-viking.com/no/products/sandalwood-wooden-beard-comb-black-striking-viking</t>
  </si>
  <si>
    <t xml:space="preserve">https://striking-viking.com/fr-ca/products/striking-viking-sandalwood-wooden-beard-comb-brown</t>
  </si>
  <si>
    <t xml:space="preserve">https://striking-viking.com/en-gb/products/striking-viking-unscented-beard-balm-natural-beard-styling-conditioning</t>
  </si>
  <si>
    <t xml:space="preserve">https://striking-viking.com/sv/products/striking-viking-folding-wooden-comb-sandalwood-beard-hair-comb</t>
  </si>
  <si>
    <t xml:space="preserve">https://striking-viking.com/fr-ca/products/striking-viking-folding-wooden-comb-sandalwood-beard-hair-comb</t>
  </si>
  <si>
    <t xml:space="preserve">https://striking-viking.com/fi/products/striking-viking-citrus-beard-oil</t>
  </si>
  <si>
    <t xml:space="preserve">https://striking-viking.com/no/products/striking-viking-sandalwood-wooden-beard-comb-brown</t>
  </si>
  <si>
    <t xml:space="preserve">https://striking-viking.com/en-ca/products/striking-viking-citrus-beard-balm</t>
  </si>
  <si>
    <t xml:space="preserve">https://striking-viking.com/fr-ca/products/sandalwood-wooden-beard-comb-black-striking-viking</t>
  </si>
  <si>
    <t xml:space="preserve">https://striking-viking.com/en-gb/products/striking-viking-citrus-beard-balm</t>
  </si>
  <si>
    <t xml:space="preserve">https://striking-viking.com/no/products/striking-viking-vanilla-beard-balm</t>
  </si>
  <si>
    <t xml:space="preserve">https://striking-viking.com/de/products/bartol-zitrus</t>
  </si>
  <si>
    <t xml:space="preserve">https://striking-viking.com/sv/products/charlemagne-round-hair-brush-for-men-professional-styling-brush-for-volume-blow-drying</t>
  </si>
  <si>
    <t xml:space="preserve">https://striking-viking.com/sv/products/charlemagne-carbon-hair-comb-for-men-professional-heat-resistant-styling-detangling-comb</t>
  </si>
  <si>
    <t xml:space="preserve">https://striking-viking.com/no/products/striking-viking-unscented-beard-butter-for-moisturizing-softening-daily-beard-care</t>
  </si>
  <si>
    <t xml:space="preserve">https://striking-viking.com/en-gb/products/striking-viking-beard-growth-oil-with-biotin-sandalwood</t>
  </si>
  <si>
    <t xml:space="preserve">https://striking-viking.com/no/products/striking-viking-beard-oil-variety-4-pack-citrus-vanilla-cedarwood-sandalwood</t>
  </si>
  <si>
    <t xml:space="preserve">https://striking-viking.com/en-ca/products/striking-viking-sandalwood-beard-oil</t>
  </si>
  <si>
    <t xml:space="preserve">https://striking-viking.com/no/products/charlemagne-round-hair-brush-for-men-professional-styling-brush-for-volume-blow-drying</t>
  </si>
  <si>
    <t xml:space="preserve">https://cdn.shopify.com/s/files/1/0766/7389/files/brian_dodgers_large.jpg?11928763592456428587
 https://cdn.shopify.com/s/files/1/0766/7389/files/brian_wilson_smiling_large.jpg?38083682774682614</t>
  </si>
  <si>
    <t xml:space="preserve">https://striking-viking.com/de/products/bartwuchsol-biotin</t>
  </si>
  <si>
    <t xml:space="preserve">https://striking-viking.com/sv/products/striking-viking-unscented-beard-butter-for-moisturizing-softening-daily-beard-care</t>
  </si>
  <si>
    <t xml:space="preserve">https://striking-viking.com/no/products/charlemagne-carbon-wide-tooth-comb-for-men-heat-resistant-carbon-fiber-hair-comb</t>
  </si>
  <si>
    <t xml:space="preserve">https://striking-viking.com/sv/products/striking-viking-sandalwood-wooden-beard-comb-brown</t>
  </si>
  <si>
    <t xml:space="preserve">https://striking-viking.com/no/products/charlemagne-carbon-hair-comb-for-men-professional-heat-resistant-styling-detangling-comb</t>
  </si>
  <si>
    <t xml:space="preserve">https://striking-viking.com/no/products/striking-viking-beard-shampoo-with-natural-peppermint-eucalyptus-for-refreshing-beard-care</t>
  </si>
  <si>
    <t xml:space="preserve">https://striking-viking.com/en-gb/products/striking-viking-cedarwood-beard-balm</t>
  </si>
  <si>
    <t xml:space="preserve">https://striking-viking.com/en-ca/products/striking-viking-citrus-beard-oil</t>
  </si>
  <si>
    <t xml:space="preserve">Source: striking-viking - Issues.xlsx / External 4XX</t>
  </si>
  <si>
    <t xml:space="preserve"> </t>
  </si>
</sst>
</file>

<file path=xl/styles.xml><?xml version="1.0" encoding="utf-8"?>
<styleSheet xmlns="http://schemas.openxmlformats.org/spreadsheetml/2006/main">
  <numFmts count="7">
    <numFmt numFmtId="164" formatCode="General"/>
    <numFmt numFmtId="165" formatCode="\€#,##0\k;&quot;(€&quot;#,##0&quot;k)&quot;;\-"/>
    <numFmt numFmtId="166" formatCode="0.0%"/>
    <numFmt numFmtId="167" formatCode="#,##0"/>
    <numFmt numFmtId="168" formatCode="dd\-mmm\-yyyy"/>
    <numFmt numFmtId="169" formatCode="0.00%"/>
    <numFmt numFmtId="170" formatCode="0%"/>
  </numFmts>
  <fonts count="2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sz val="10"/>
      <name val="Arial"/>
      <family val="0"/>
      <charset val="1"/>
    </font>
    <font>
      <u val="single"/>
      <sz val="10"/>
      <color rgb="FF0563C1"/>
      <name val="Arial"/>
      <family val="0"/>
      <charset val="1"/>
    </font>
    <font>
      <b val="true"/>
      <sz val="10"/>
      <name val="Arial"/>
      <family val="0"/>
      <charset val="1"/>
    </font>
    <font>
      <b val="true"/>
      <sz val="12"/>
      <color rgb="FF1F3864"/>
      <name val="Arial"/>
      <family val="0"/>
      <charset val="1"/>
    </font>
    <font>
      <b val="true"/>
      <sz val="11"/>
      <color theme="1"/>
      <name val="Arial"/>
      <family val="0"/>
      <charset val="1"/>
    </font>
    <font>
      <b val="true"/>
      <sz val="11"/>
      <color rgb="FFFFFFFF"/>
      <name val="Arial"/>
      <family val="0"/>
      <charset val="1"/>
    </font>
    <font>
      <sz val="11"/>
      <color theme="1"/>
      <name val="Arial"/>
      <family val="0"/>
      <charset val="1"/>
    </font>
    <font>
      <b val="true"/>
      <sz val="11"/>
      <color rgb="FFFFFFFF"/>
      <name val="&quot;Arial&quot;"/>
      <family val="0"/>
      <charset val="1"/>
    </font>
    <font>
      <sz val="11"/>
      <color rgb="FF000000"/>
      <name val="&quot;Arial&quot;"/>
      <family val="0"/>
      <charset val="1"/>
    </font>
    <font>
      <u val="single"/>
      <sz val="11"/>
      <color rgb="FF000000"/>
      <name val="&quot;Arial&quot;"/>
      <family val="0"/>
      <charset val="1"/>
    </font>
    <font>
      <sz val="11"/>
      <color rgb="FF000000"/>
      <name val="Calibri"/>
      <family val="0"/>
      <charset val="1"/>
    </font>
    <font>
      <b val="true"/>
      <sz val="11"/>
      <color rgb="FF000000"/>
      <name val="&quot;Arial&quot;"/>
      <family val="0"/>
      <charset val="1"/>
    </font>
    <font>
      <b val="true"/>
      <sz val="11"/>
      <color rgb="FF000000"/>
      <name val="Calibri"/>
      <family val="0"/>
      <charset val="1"/>
    </font>
    <font>
      <b val="true"/>
      <sz val="17"/>
      <color rgb="FF000000"/>
      <name val="Calibri"/>
      <family val="0"/>
      <charset val="1"/>
    </font>
    <font>
      <b val="true"/>
      <sz val="15"/>
      <color rgb="FF000000"/>
      <name val="Calibri"/>
      <family val="0"/>
      <charset val="1"/>
    </font>
    <font>
      <b val="true"/>
      <sz val="16"/>
      <color rgb="FF000000"/>
      <name val="Calibri"/>
      <family val="0"/>
      <charset val="1"/>
    </font>
    <font>
      <b val="true"/>
      <sz val="15"/>
      <color theme="1"/>
      <name val="Arial"/>
      <family val="0"/>
      <charset val="1"/>
    </font>
    <font>
      <b val="true"/>
      <sz val="14"/>
      <color theme="1"/>
      <name val="Arial"/>
      <family val="0"/>
      <charset val="1"/>
    </font>
    <font>
      <b val="true"/>
      <sz val="13"/>
      <color theme="1"/>
      <name val="Arial"/>
      <family val="0"/>
      <charset val="1"/>
    </font>
    <font>
      <u val="single"/>
      <sz val="11"/>
      <color rgb="FF000000"/>
      <name val="Calibri"/>
      <family val="0"/>
      <charset val="1"/>
    </font>
  </fonts>
  <fills count="8">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FF2CC"/>
        <bgColor rgb="FFF2F2F2"/>
      </patternFill>
    </fill>
    <fill>
      <patternFill patternType="solid">
        <fgColor rgb="FF000000"/>
        <bgColor rgb="FF003300"/>
      </patternFill>
    </fill>
    <fill>
      <patternFill patternType="solid">
        <fgColor rgb="FFFFFFFF"/>
        <bgColor rgb="FFF2F2F2"/>
      </patternFill>
    </fill>
    <fill>
      <patternFill patternType="solid">
        <fgColor rgb="FFF9CB9C"/>
        <bgColor rgb="FFFFC7CE"/>
      </patternFill>
    </fill>
  </fills>
  <borders count="1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double">
        <color rgb="FF666666"/>
      </left>
      <right style="double">
        <color rgb="FF666666"/>
      </right>
      <top style="double">
        <color rgb="FF666666"/>
      </top>
      <bottom style="double">
        <color rgb="FF666666"/>
      </bottom>
      <diagonal/>
    </border>
    <border diagonalUp="false" diagonalDown="false">
      <left style="thin"/>
      <right style="thin"/>
      <top/>
      <bottom style="thin"/>
      <diagonal/>
    </border>
    <border diagonalUp="false" diagonalDown="false">
      <left style="thin">
        <color rgb="FF666666"/>
      </left>
      <right style="thin">
        <color rgb="FF666666"/>
      </right>
      <top/>
      <bottom style="thin">
        <color rgb="FF666666"/>
      </bottom>
      <diagonal/>
    </border>
    <border diagonalUp="false" diagonalDown="false">
      <left style="thin">
        <color rgb="FF666666"/>
      </left>
      <right style="thin">
        <color rgb="FF666666"/>
      </right>
      <top style="thin">
        <color rgb="FF666666"/>
      </top>
      <bottom style="thin">
        <color rgb="FF666666"/>
      </bottom>
      <diagonal/>
    </border>
    <border diagonalUp="false" diagonalDown="false">
      <left style="double">
        <color rgb="FF999999"/>
      </left>
      <right style="double">
        <color rgb="FF999999"/>
      </right>
      <top style="double">
        <color rgb="FF999999"/>
      </top>
      <bottom style="double">
        <color rgb="FF999999"/>
      </bottom>
      <diagonal/>
    </border>
    <border diagonalUp="false" diagonalDown="false">
      <left style="double"/>
      <right style="double"/>
      <top style="double"/>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8" fontId="8"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5"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left" vertical="bottom" textRotation="0" wrapText="false" indent="0" shrinkToFit="false"/>
      <protection locked="true" hidden="false"/>
    </xf>
    <xf numFmtId="164" fontId="15" fillId="5" borderId="2" xfId="0" applyFont="true" applyBorder="true" applyAlignment="true" applyProtection="false">
      <alignment horizontal="center" vertical="bottom" textRotation="0" wrapText="false" indent="0" shrinkToFit="false"/>
      <protection locked="true" hidden="false"/>
    </xf>
    <xf numFmtId="164" fontId="16" fillId="0" borderId="2" xfId="0" applyFont="true" applyBorder="true" applyAlignment="true" applyProtection="false">
      <alignment horizontal="left" vertical="bottom" textRotation="0" wrapText="false" indent="0" shrinkToFit="false"/>
      <protection locked="true" hidden="false"/>
    </xf>
    <xf numFmtId="164" fontId="17" fillId="0" borderId="2" xfId="0" applyFont="true" applyBorder="true" applyAlignment="true" applyProtection="false">
      <alignment horizontal="left" vertical="bottom"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left" vertical="bottom" textRotation="0" wrapText="true" indent="0" shrinkToFit="false"/>
      <protection locked="true" hidden="false"/>
    </xf>
    <xf numFmtId="164" fontId="16" fillId="0" borderId="2" xfId="0" applyFont="true" applyBorder="true" applyAlignment="true" applyProtection="false">
      <alignment horizontal="center" vertical="bottom" textRotation="0" wrapText="false" indent="0" shrinkToFit="false"/>
      <protection locked="true" hidden="false"/>
    </xf>
    <xf numFmtId="164" fontId="16" fillId="0" borderId="2" xfId="0" applyFont="true" applyBorder="true" applyAlignment="true" applyProtection="false">
      <alignment horizontal="center" vertical="bottom" textRotation="0" wrapText="tru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tru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left" vertical="center" textRotation="0" wrapText="fals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true" applyAlignment="true" applyProtection="false">
      <alignment horizontal="center" vertical="bottom" textRotation="0" wrapText="fals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12" fillId="6" borderId="2" xfId="0" applyFont="true" applyBorder="true" applyAlignment="false" applyProtection="false">
      <alignment horizontal="general" vertical="bottom" textRotation="0" wrapText="false" indent="0" shrinkToFit="false"/>
      <protection locked="true" hidden="false"/>
    </xf>
    <xf numFmtId="164" fontId="14" fillId="6" borderId="2" xfId="0" applyFont="true" applyBorder="true" applyAlignment="true" applyProtection="false">
      <alignment horizontal="center" vertical="bottom" textRotation="0" wrapText="false" indent="0" shrinkToFit="false"/>
      <protection locked="true" hidden="false"/>
    </xf>
    <xf numFmtId="164" fontId="14" fillId="6"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9" fontId="14" fillId="0" borderId="0"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21" fillId="0" borderId="2" xfId="0" applyFont="true" applyBorder="true" applyAlignment="true" applyProtection="false">
      <alignment horizontal="center" vertical="bottom" textRotation="0" wrapText="false" indent="0" shrinkToFit="false"/>
      <protection locked="true" hidden="false"/>
    </xf>
    <xf numFmtId="164" fontId="20" fillId="0" borderId="2" xfId="0" applyFont="true" applyBorder="true" applyAlignment="true" applyProtection="false">
      <alignment horizontal="center" vertical="bottom"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4" fontId="22" fillId="0" borderId="2" xfId="0" applyFont="true" applyBorder="true" applyAlignment="true" applyProtection="false">
      <alignment horizontal="center" vertical="bottom" textRotation="0" wrapText="true" indent="0" shrinkToFit="false"/>
      <protection locked="true" hidden="false"/>
    </xf>
    <xf numFmtId="164" fontId="20" fillId="0" borderId="2"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bottom" textRotation="0" wrapText="false" indent="0" shrinkToFit="false"/>
      <protection locked="true" hidden="false"/>
    </xf>
    <xf numFmtId="164" fontId="20" fillId="0" borderId="2" xfId="0" applyFont="true" applyBorder="true" applyAlignment="true" applyProtection="false">
      <alignment horizontal="center" vertical="bottom" textRotation="0" wrapText="true" indent="0" shrinkToFit="false"/>
      <protection locked="true" hidden="false"/>
    </xf>
    <xf numFmtId="164" fontId="18" fillId="0" borderId="2" xfId="0" applyFont="true" applyBorder="true" applyAlignment="true" applyProtection="false">
      <alignment horizontal="center" vertical="bottom" textRotation="0" wrapText="true" indent="0" shrinkToFit="false"/>
      <protection locked="true" hidden="false"/>
    </xf>
    <xf numFmtId="164" fontId="18" fillId="0" borderId="3" xfId="0" applyFont="true" applyBorder="true" applyAlignment="true" applyProtection="false">
      <alignment horizontal="general" vertical="bottom" textRotation="0" wrapText="false" indent="0" shrinkToFit="false"/>
      <protection locked="true" hidden="false"/>
    </xf>
    <xf numFmtId="164" fontId="18" fillId="0" borderId="4" xfId="0" applyFont="true" applyBorder="true" applyAlignment="true" applyProtection="false">
      <alignment horizontal="general" vertical="bottom" textRotation="0" wrapText="false" indent="0" shrinkToFit="false"/>
      <protection locked="true" hidden="false"/>
    </xf>
    <xf numFmtId="164" fontId="18" fillId="0" borderId="5"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24" fillId="0" borderId="2" xfId="0" applyFont="true" applyBorder="true" applyAlignment="true" applyProtection="false">
      <alignment horizontal="center" vertical="center" textRotation="0" wrapText="true" indent="0" shrinkToFit="false"/>
      <protection locked="true" hidden="false"/>
    </xf>
    <xf numFmtId="164" fontId="25" fillId="0" borderId="2"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5" fillId="0" borderId="6" xfId="0" applyFont="true" applyBorder="true" applyAlignment="true" applyProtection="false">
      <alignment horizontal="center" vertical="bottom" textRotation="0" wrapText="false" indent="0" shrinkToFit="false"/>
      <protection locked="true" hidden="false"/>
    </xf>
    <xf numFmtId="164" fontId="20" fillId="0" borderId="7" xfId="0" applyFont="true" applyBorder="true" applyAlignment="true" applyProtection="false">
      <alignment horizontal="center" vertical="bottom" textRotation="0" wrapText="false" indent="0" shrinkToFit="false"/>
      <protection locked="true" hidden="false"/>
    </xf>
    <xf numFmtId="164" fontId="20" fillId="0" borderId="7" xfId="0" applyFont="true" applyBorder="true" applyAlignment="tru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4" fontId="20" fillId="0" borderId="8" xfId="0" applyFont="true" applyBorder="true" applyAlignment="true" applyProtection="false">
      <alignment horizontal="general" vertical="bottom" textRotation="0" wrapText="false" indent="0" shrinkToFit="false"/>
      <protection locked="true" hidden="false"/>
    </xf>
    <xf numFmtId="164" fontId="20" fillId="0" borderId="8" xfId="0" applyFont="true" applyBorder="true" applyAlignment="true" applyProtection="false">
      <alignment horizontal="center" vertical="bottom" textRotation="0" wrapText="false" indent="0" shrinkToFit="false"/>
      <protection locked="true" hidden="false"/>
    </xf>
    <xf numFmtId="164" fontId="18" fillId="0" borderId="9" xfId="0" applyFont="true" applyBorder="true" applyAlignment="true" applyProtection="false">
      <alignment horizontal="general" vertical="bottom" textRotation="0" wrapText="false" indent="0" shrinkToFit="false"/>
      <protection locked="true" hidden="false"/>
    </xf>
    <xf numFmtId="164" fontId="18" fillId="0" borderId="9" xfId="0" applyFont="true" applyBorder="true" applyAlignment="true" applyProtection="false">
      <alignment horizontal="center" vertical="bottom" textRotation="0" wrapText="false" indent="0" shrinkToFit="false"/>
      <protection locked="true" hidden="false"/>
    </xf>
    <xf numFmtId="164" fontId="18" fillId="0" borderId="9" xfId="0" applyFont="true" applyBorder="true" applyAlignment="true" applyProtection="false">
      <alignment horizontal="right" vertical="bottom" textRotation="0" wrapText="false" indent="0" shrinkToFit="false"/>
      <protection locked="true" hidden="false"/>
    </xf>
    <xf numFmtId="164" fontId="26" fillId="0" borderId="6" xfId="0" applyFont="true" applyBorder="true" applyAlignment="true" applyProtection="false">
      <alignment horizontal="center" vertical="bottom" textRotation="0" wrapText="false" indent="0" shrinkToFit="false"/>
      <protection locked="true" hidden="false"/>
    </xf>
    <xf numFmtId="164" fontId="12" fillId="0" borderId="7" xfId="0" applyFont="true" applyBorder="true" applyAlignment="true" applyProtection="false">
      <alignment horizontal="center" vertical="bottom" textRotation="0" wrapText="false" indent="0" shrinkToFit="false"/>
      <protection locked="true" hidden="false"/>
    </xf>
    <xf numFmtId="164" fontId="24" fillId="0" borderId="6" xfId="0" applyFont="true" applyBorder="true" applyAlignment="true" applyProtection="false">
      <alignment horizontal="center" vertical="bottom" textRotation="0" wrapText="false" indent="0" shrinkToFit="false"/>
      <protection locked="true" hidden="false"/>
    </xf>
    <xf numFmtId="164" fontId="14" fillId="0" borderId="7" xfId="0" applyFont="true" applyBorder="true" applyAlignment="false" applyProtection="false">
      <alignment horizontal="general" vertical="bottom" textRotation="0" wrapText="false" indent="0" shrinkToFit="false"/>
      <protection locked="true" hidden="false"/>
    </xf>
    <xf numFmtId="164" fontId="18" fillId="0" borderId="7"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right" vertical="bottom" textRotation="0" wrapText="false" indent="0" shrinkToFit="false"/>
      <protection locked="true" hidden="false"/>
    </xf>
    <xf numFmtId="164" fontId="26" fillId="0" borderId="10" xfId="0" applyFont="true" applyBorder="true" applyAlignment="true" applyProtection="false">
      <alignment horizontal="center" vertical="bottom" textRotation="0" wrapText="false" indent="0" shrinkToFit="false"/>
      <protection locked="true" hidden="false"/>
    </xf>
    <xf numFmtId="164" fontId="18" fillId="7" borderId="2"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24" fillId="0" borderId="10" xfId="0" applyFont="true" applyBorder="true" applyAlignment="true" applyProtection="false">
      <alignment horizontal="center" vertical="bottom" textRotation="0" wrapText="false" indent="0" shrinkToFit="false"/>
      <protection locked="true" hidden="false"/>
    </xf>
    <xf numFmtId="164" fontId="20" fillId="0" borderId="7" xfId="0" applyFont="true" applyBorder="true" applyAlignment="true" applyProtection="false">
      <alignment horizontal="general" vertical="bottom" textRotation="0" wrapText="true" indent="0" shrinkToFit="false"/>
      <protection locked="true" hidden="false"/>
    </xf>
    <xf numFmtId="164" fontId="24" fillId="0" borderId="11" xfId="0" applyFont="true" applyBorder="true" applyAlignment="true" applyProtection="false">
      <alignment horizontal="center" vertical="bottom" textRotation="0" wrapText="false" indent="0" shrinkToFit="false"/>
      <protection locked="true" hidden="false"/>
    </xf>
    <xf numFmtId="164" fontId="27" fillId="0"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563C1"/>
          <bgColor rgb="FF000000"/>
        </patternFill>
      </fill>
    </dxf>
    <dxf>
      <fill>
        <patternFill patternType="solid">
          <fgColor rgb="FFFFC7CE"/>
          <bgColor rgb="FF000000"/>
        </patternFill>
      </fill>
    </dxf>
    <dxf>
      <fill>
        <patternFill patternType="solid">
          <fgColor rgb="FFFFF2CC"/>
          <bgColor rgb="FF000000"/>
        </patternFill>
      </fill>
    </dxf>
    <dxf>
      <fill>
        <patternFill patternType="solid">
          <fgColor rgb="FF9C0006"/>
          <bgColor rgb="FF000000"/>
        </patternFill>
      </fill>
    </dxf>
    <dxf>
      <fill>
        <patternFill patternType="solid">
          <fgColor rgb="FFC00000"/>
          <bgColor rgb="FF000000"/>
        </patternFill>
      </fill>
    </dxf>
    <dxf>
      <fill>
        <patternFill patternType="solid">
          <fgColor rgb="FFC6EFCE"/>
          <bgColor rgb="FF000000"/>
        </patternFill>
      </fill>
    </dxf>
    <dxf>
      <fill>
        <patternFill>
          <bgColor rgb="FFC6EFCE"/>
        </patternFill>
      </fill>
    </dxf>
    <dxf>
      <fill>
        <patternFill>
          <bgColor rgb="FFFFEB9C"/>
        </patternFill>
      </fill>
    </dxf>
    <dxf>
      <font>
        <name val="Arial"/>
        <charset val="1"/>
        <family val="0"/>
        <b val="1"/>
        <color rgb="FF9C0006"/>
      </font>
      <fill>
        <patternFill>
          <bgColor rgb="FFFFC7CE"/>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666666"/>
      <rgbColor rgb="FF9999FF"/>
      <rgbColor rgb="FF993366"/>
      <rgbColor rgb="FFFFF2CC"/>
      <rgbColor rgb="FFF2F2F2"/>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9CB9C"/>
      <rgbColor rgb="FF3366FF"/>
      <rgbColor rgb="FF4BACC6"/>
      <rgbColor rgb="FF9BBB59"/>
      <rgbColor rgb="FFFFCC00"/>
      <rgbColor rgb="FFF79646"/>
      <rgbColor rgb="FFFF6600"/>
      <rgbColor rgb="FF8064A2"/>
      <rgbColor rgb="FF999999"/>
      <rgbColor rgb="FF1F3864"/>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Robin%20-%20Site%20Audit%20Master%20Sheet.xlsx" TargetMode="External"/><Relationship Id="rId2" Type="http://schemas.openxmlformats.org/officeDocument/2006/relationships/hyperlink" Target="Robin%20-%20Site%20Audit%20Master%20Sheet.xlsx" TargetMode="External"/><Relationship Id="rId3" Type="http://schemas.openxmlformats.org/officeDocument/2006/relationships/hyperlink" Target="Robin%20-%20Site%20Audit%20Master%20Sheet.xlsx" TargetMode="External"/><Relationship Id="rId4" Type="http://schemas.openxmlformats.org/officeDocument/2006/relationships/hyperlink" Target="Robin%20-%20Site%20Audit%20Master%20Sheet.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hyperlink" Target="https://www.bigbatbox.com/en-ca" TargetMode="External"/><Relationship Id="rId2" Type="http://schemas.openxmlformats.org/officeDocument/2006/relationships/hyperlink" Target="https://www.bigbatbox.com/en-ca/products/squirrel-house-hideout-feeder" TargetMode="External"/><Relationship Id="rId3" Type="http://schemas.openxmlformats.org/officeDocument/2006/relationships/hyperlink" Target="https://www.bigbatbox.com/en-ca/products/squirrel-feeder" TargetMode="External"/><Relationship Id="rId4" Type="http://schemas.openxmlformats.org/officeDocument/2006/relationships/hyperlink" Target="https://www.bigbatbox.com/en-ca/products/owl-box" TargetMode="External"/><Relationship Id="rId5" Type="http://schemas.openxmlformats.org/officeDocument/2006/relationships/hyperlink" Target="https://www.bigbatbox.com/en-ca/cart" TargetMode="External"/><Relationship Id="rId6" Type="http://schemas.openxmlformats.org/officeDocument/2006/relationships/hyperlink" Target="https://www.bigbatbox.com/de/search" TargetMode="External"/><Relationship Id="rId7" Type="http://schemas.openxmlformats.org/officeDocument/2006/relationships/hyperlink" Target="https://www.bigbatbox.com/it/blogs/wildyard-learn" TargetMode="External"/><Relationship Id="rId8" Type="http://schemas.openxmlformats.org/officeDocument/2006/relationships/hyperlink" Target="https://www.bigbatbox.com/fr/products/squirrel-feeder" TargetMode="External"/><Relationship Id="rId9" Type="http://schemas.openxmlformats.org/officeDocument/2006/relationships/hyperlink" Target="https://www.bigbatbox.com/en-ca/collections/angry-birds-x-wildyard-birdhouses" TargetMode="External"/><Relationship Id="rId10" Type="http://schemas.openxmlformats.org/officeDocument/2006/relationships/hyperlink" Target="https://www.bigbatbox.com/fr/pages/warranty-registration" TargetMode="External"/><Relationship Id="rId11" Type="http://schemas.openxmlformats.org/officeDocument/2006/relationships/hyperlink" Target="https://www.bigbatbox.com/it/pages/work-with-us" TargetMode="External"/><Relationship Id="rId12" Type="http://schemas.openxmlformats.org/officeDocument/2006/relationships/hyperlink" Target="https://www.bigbatbox.com/fr/products/owl-box" TargetMode="External"/><Relationship Id="rId13" Type="http://schemas.openxmlformats.org/officeDocument/2006/relationships/hyperlink" Target="https://www.bigbatbox.com/es/cart" TargetMode="External"/><Relationship Id="rId14" Type="http://schemas.openxmlformats.org/officeDocument/2006/relationships/hyperlink" Target="https://www.bigbatbox.com/fr/products/bee-house" TargetMode="External"/><Relationship Id="rId15" Type="http://schemas.openxmlformats.org/officeDocument/2006/relationships/hyperlink" Target="https://www.bigbatbox.com/en-ca/pages/warranty-registration" TargetMode="External"/><Relationship Id="rId16" Type="http://schemas.openxmlformats.org/officeDocument/2006/relationships/hyperlink" Target="https://www.bigbatbox.com/en-ca/blogs/wildyard-learn" TargetMode="External"/><Relationship Id="rId17" Type="http://schemas.openxmlformats.org/officeDocument/2006/relationships/hyperlink" Target="https://www.bigbatbox.com/fr/blogs/fun-facts-about-owls" TargetMode="External"/><Relationship Id="rId18" Type="http://schemas.openxmlformats.org/officeDocument/2006/relationships/hyperlink" Target="https://www.bigbatbox.com/it" TargetMode="External"/><Relationship Id="rId19" Type="http://schemas.openxmlformats.org/officeDocument/2006/relationships/hyperlink" Target="https://www.bigbatbox.com/fr" TargetMode="External"/><Relationship Id="rId20" Type="http://schemas.openxmlformats.org/officeDocument/2006/relationships/hyperlink" Target="https://www.bigbatbox.com/fr/pages/work-with-us" TargetMode="External"/><Relationship Id="rId21" Type="http://schemas.openxmlformats.org/officeDocument/2006/relationships/hyperlink" Target="https://www.bigbatbox.com/en-ca/collections/bat-houses" TargetMode="External"/><Relationship Id="rId22" Type="http://schemas.openxmlformats.org/officeDocument/2006/relationships/hyperlink" Target="https://www.bigbatbox.com/fr/search" TargetMode="External"/><Relationship Id="rId23" Type="http://schemas.openxmlformats.org/officeDocument/2006/relationships/hyperlink" Target="https://www.bigbatbox.com/it/products/owl-box" TargetMode="External"/><Relationship Id="rId24" Type="http://schemas.openxmlformats.org/officeDocument/2006/relationships/hyperlink" Target="https://www.bigbatbox.com/it/pages/guide" TargetMode="External"/><Relationship Id="rId25" Type="http://schemas.openxmlformats.org/officeDocument/2006/relationships/hyperlink" Target="https://www.bigbatbox.com/en-ca/pages/cookie-policy" TargetMode="External"/><Relationship Id="rId26" Type="http://schemas.openxmlformats.org/officeDocument/2006/relationships/hyperlink" Target="https://www.bigbatbox.com/it/pages/become-a-reseller" TargetMode="External"/><Relationship Id="rId27" Type="http://schemas.openxmlformats.org/officeDocument/2006/relationships/hyperlink" Target="https://www.bigbatbox.com/fr/cart" TargetMode="External"/><Relationship Id="rId28" Type="http://schemas.openxmlformats.org/officeDocument/2006/relationships/hyperlink" Target="https://www.bigbatbox.com/en-ca/blogs/habitat-of-bats" TargetMode="External"/><Relationship Id="rId29" Type="http://schemas.openxmlformats.org/officeDocument/2006/relationships/hyperlink" Target="https://www.bigbatbox.com/it/collections/angry-birds-x-wildyard-birdhouses" TargetMode="External"/><Relationship Id="rId30" Type="http://schemas.openxmlformats.org/officeDocument/2006/relationships/hyperlink" Target="https://www.bigbatbox.com/fr/pages/1-for-the-planet" TargetMode="External"/><Relationship Id="rId31" Type="http://schemas.openxmlformats.org/officeDocument/2006/relationships/hyperlink" Target="https://www.bigbatbox.com/fr/blogs/bee-species" TargetMode="External"/><Relationship Id="rId32" Type="http://schemas.openxmlformats.org/officeDocument/2006/relationships/hyperlink" Target="https://www.bigbatbox.com/it/collections/bat-houses" TargetMode="External"/><Relationship Id="rId33" Type="http://schemas.openxmlformats.org/officeDocument/2006/relationships/hyperlink" Target="https://www.bigbatbox.com/fr/products/angry-birds-wildyard-diy-birdhouse-kit" TargetMode="External"/><Relationship Id="rId34" Type="http://schemas.openxmlformats.org/officeDocument/2006/relationships/hyperlink" Target="https://www.bigbatbox.com/it/products/squirrel-house-hideout-feeder" TargetMode="External"/><Relationship Id="rId35" Type="http://schemas.openxmlformats.org/officeDocument/2006/relationships/hyperlink" Target="https://www.bigbatbox.com/it/blogs/bee-species" TargetMode="External"/><Relationship Id="rId36" Type="http://schemas.openxmlformats.org/officeDocument/2006/relationships/hyperlink" Target="https://www.bigbatbox.com/en-ca/blogs/types-of-squirrels" TargetMode="External"/><Relationship Id="rId37" Type="http://schemas.openxmlformats.org/officeDocument/2006/relationships/hyperlink" Target="https://www.bigbatbox.com/en-ca/blogs/bee-species" TargetMode="External"/><Relationship Id="rId38" Type="http://schemas.openxmlformats.org/officeDocument/2006/relationships/hyperlink" Target="https://www.bigbatbox.com/fr/pages/guide" TargetMode="External"/><Relationship Id="rId39" Type="http://schemas.openxmlformats.org/officeDocument/2006/relationships/hyperlink" Target="https://www.bigbatbox.com/en-ca/pages/work-with-us" TargetMode="External"/><Relationship Id="rId40" Type="http://schemas.openxmlformats.org/officeDocument/2006/relationships/hyperlink" Target="https://www.bigbatbox.com/it/products/angry-birds-wildyard-flowerpot-birdhouse" TargetMode="External"/><Relationship Id="rId41" Type="http://schemas.openxmlformats.org/officeDocument/2006/relationships/hyperlink" Target="https://www.bigbatbox.com/it/pages/1-for-the-planet" TargetMode="External"/><Relationship Id="rId42" Type="http://schemas.openxmlformats.org/officeDocument/2006/relationships/hyperlink" Target="https://www.bigbatbox.com/en-ca/search" TargetMode="External"/><Relationship Id="rId43" Type="http://schemas.openxmlformats.org/officeDocument/2006/relationships/hyperlink" Target="https://www.bigbatbox.com/it/products/angry-birds-wildyard-diy-birdhouse-kit" TargetMode="External"/><Relationship Id="rId44" Type="http://schemas.openxmlformats.org/officeDocument/2006/relationships/hyperlink" Target="https://www.bigbatbox.com/en-ca/blogs/fun-facts-about-owls" TargetMode="External"/><Relationship Id="rId45" Type="http://schemas.openxmlformats.org/officeDocument/2006/relationships/hyperlink" Target="https://www.bigbatbox.com/fr/blogs/types-of-squirrels" TargetMode="External"/><Relationship Id="rId46" Type="http://schemas.openxmlformats.org/officeDocument/2006/relationships/hyperlink" Target="https://www.bigbatbox.com/fr/products/angry-birds-wildyard-flowerpot-birdhouse" TargetMode="External"/><Relationship Id="rId47" Type="http://schemas.openxmlformats.org/officeDocument/2006/relationships/hyperlink" Target="https://www.bigbatbox.com/fr/blogs/habitat-of-bats" TargetMode="External"/><Relationship Id="rId48" Type="http://schemas.openxmlformats.org/officeDocument/2006/relationships/hyperlink" Target="https://www.bigbatbox.com/en-ca/products/angry-birds-wildyard-flowerpot-birdhouse" TargetMode="External"/><Relationship Id="rId49" Type="http://schemas.openxmlformats.org/officeDocument/2006/relationships/hyperlink" Target="https://www.bigbatbox.com/fr/collections/bat-houses" TargetMode="External"/><Relationship Id="rId50" Type="http://schemas.openxmlformats.org/officeDocument/2006/relationships/hyperlink" Target="https://www.bigbatbox.com/fr/products/squirrel-house-hideout-feeder" TargetMode="External"/><Relationship Id="rId51" Type="http://schemas.openxmlformats.org/officeDocument/2006/relationships/hyperlink" Target="https://www.bigbatbox.com/fr/pages/become-a-reseller" TargetMode="External"/><Relationship Id="rId52" Type="http://schemas.openxmlformats.org/officeDocument/2006/relationships/hyperlink" Target="https://www.bigbatbox.com/it/cart" TargetMode="External"/><Relationship Id="rId53" Type="http://schemas.openxmlformats.org/officeDocument/2006/relationships/hyperlink" Target="https://www.bigbatbox.com/es/search" TargetMode="External"/><Relationship Id="rId54" Type="http://schemas.openxmlformats.org/officeDocument/2006/relationships/hyperlink" Target="https://www.bigbatbox.com/fr/blogs/wildyard-learn" TargetMode="External"/><Relationship Id="rId55" Type="http://schemas.openxmlformats.org/officeDocument/2006/relationships/hyperlink" Target="https://www.bigbatbox.com/en-ca/pages/become-a-reseller" TargetMode="External"/><Relationship Id="rId56" Type="http://schemas.openxmlformats.org/officeDocument/2006/relationships/hyperlink" Target="https://www.bigbatbox.com/fr/pages/cookie-policy" TargetMode="External"/><Relationship Id="rId57" Type="http://schemas.openxmlformats.org/officeDocument/2006/relationships/hyperlink" Target="https://www.bigbatbox.com/fr/collections/angry-birds-x-wildyard-birdhouses" TargetMode="External"/><Relationship Id="rId58" Type="http://schemas.openxmlformats.org/officeDocument/2006/relationships/hyperlink" Target="https://www.bigbatbox.com/it/products/bee-house" TargetMode="External"/><Relationship Id="rId59" Type="http://schemas.openxmlformats.org/officeDocument/2006/relationships/hyperlink" Target="https://www.bigbatbox.com/en-ca/pages/1-for-the-planet" TargetMode="External"/><Relationship Id="rId60" Type="http://schemas.openxmlformats.org/officeDocument/2006/relationships/hyperlink" Target="https://www.bigbatbox.com/en-ca/pages/guide" TargetMode="External"/><Relationship Id="rId61" Type="http://schemas.openxmlformats.org/officeDocument/2006/relationships/hyperlink" Target="https://www.bigbatbox.com/en-ca/products/bee-house" TargetMode="External"/><Relationship Id="rId62" Type="http://schemas.openxmlformats.org/officeDocument/2006/relationships/hyperlink" Target="https://www.bigbatbox.com/it/blogs/types-of-squirrels" TargetMode="External"/><Relationship Id="rId63" Type="http://schemas.openxmlformats.org/officeDocument/2006/relationships/hyperlink" Target="https://www.bigbatbox.com/it/blogs/fun-facts-about-owls" TargetMode="External"/><Relationship Id="rId64" Type="http://schemas.openxmlformats.org/officeDocument/2006/relationships/hyperlink" Target="https://www.bigbatbox.com/en-ca/products/angry-birds-wildyard-diy-birdhouse-kit" TargetMode="External"/><Relationship Id="rId65" Type="http://schemas.openxmlformats.org/officeDocument/2006/relationships/hyperlink" Target="https://www.bigbatbox.com/it/search" TargetMode="External"/><Relationship Id="rId66" Type="http://schemas.openxmlformats.org/officeDocument/2006/relationships/hyperlink" Target="https://www.bigbatbox.com/de/cart" TargetMode="External"/><Relationship Id="rId67" Type="http://schemas.openxmlformats.org/officeDocument/2006/relationships/hyperlink" Target="https://www.bigbatbox.com/it/pages/warranty-registration" TargetMode="External"/><Relationship Id="rId68" Type="http://schemas.openxmlformats.org/officeDocument/2006/relationships/hyperlink" Target="https://www.bigbatbox.com/it/pages/cookie-policy" TargetMode="External"/><Relationship Id="rId69" Type="http://schemas.openxmlformats.org/officeDocument/2006/relationships/hyperlink" Target="https://www.bigbatbox.com/it/blogs/habitat-of-bats" TargetMode="External"/><Relationship Id="rId70" Type="http://schemas.openxmlformats.org/officeDocument/2006/relationships/hyperlink" Target="https://www.bigbatbox.com/en-ca/pages/wildyard-affiliate-program" TargetMode="External"/><Relationship Id="rId71" Type="http://schemas.openxmlformats.org/officeDocument/2006/relationships/hyperlink" Target="https://www.bigbatbox.com/en-ca/pages/collab" TargetMode="External"/><Relationship Id="rId72" Type="http://schemas.openxmlformats.org/officeDocument/2006/relationships/hyperlink" Target="https://www.bigbatbox.com/en-ca/products/double-chamber-bat-house-cedar" TargetMode="External"/><Relationship Id="rId73" Type="http://schemas.openxmlformats.org/officeDocument/2006/relationships/hyperlink" Target="https://www.bigbatbox.com/fr/products/three-chamber-bat-house-certified-brown" TargetMode="External"/><Relationship Id="rId74" Type="http://schemas.openxmlformats.org/officeDocument/2006/relationships/hyperlink" Target="https://www.bigbatbox.com/en-ca/products/big-bat-barn" TargetMode="External"/><Relationship Id="rId75" Type="http://schemas.openxmlformats.org/officeDocument/2006/relationships/hyperlink" Target="https://www.bigbatbox.com/fr/products/double-chamber-bat-house-brown" TargetMode="External"/><Relationship Id="rId76" Type="http://schemas.openxmlformats.org/officeDocument/2006/relationships/hyperlink" Target="https://www.bigbatbox.com/en-ca/products/three-chamber-bat-house-certified-brown" TargetMode="External"/><Relationship Id="rId77" Type="http://schemas.openxmlformats.org/officeDocument/2006/relationships/hyperlink" Target="https://www.bigbatbox.com/en-ca/products/certified-triple-chamber-bat-house-unfinished" TargetMode="External"/><Relationship Id="rId78" Type="http://schemas.openxmlformats.org/officeDocument/2006/relationships/hyperlink" Target="https://www.bigbatbox.com/en-ca/blogs/habitat-of-bats/how-to-hang-a-bat-house-complete-guide" TargetMode="External"/><Relationship Id="rId79" Type="http://schemas.openxmlformats.org/officeDocument/2006/relationships/hyperlink" Target="https://www.bigbatbox.com/en-ca/products/big-bat-barn-three-chamber-premium-cedar-bat-barn-black" TargetMode="External"/><Relationship Id="rId80" Type="http://schemas.openxmlformats.org/officeDocument/2006/relationships/hyperlink" Target="https://www.bigbatbox.com/en-ca/blogs/bee-species/bee-wise-how-bee-houses-and-hotels-can-help-save-bees-the-environment" TargetMode="External"/><Relationship Id="rId81" Type="http://schemas.openxmlformats.org/officeDocument/2006/relationships/hyperlink" Target="https://www.bigbatbox.com/fr/products/double-chamber-bat-house-black" TargetMode="External"/><Relationship Id="rId82" Type="http://schemas.openxmlformats.org/officeDocument/2006/relationships/hyperlink" Target="https://www.bigbatbox.com/fr/products/double-chamber-bat-house-cedar" TargetMode="External"/><Relationship Id="rId83" Type="http://schemas.openxmlformats.org/officeDocument/2006/relationships/hyperlink" Target="https://www.bigbatbox.com/en-ca/blogs/habitat-of-bats/how-to-attract-bats-to-a-bat-house" TargetMode="External"/><Relationship Id="rId84" Type="http://schemas.openxmlformats.org/officeDocument/2006/relationships/hyperlink" Target="https://www.bigbatbox.com/en-ca/products/double-chamber-bat-house-black" TargetMode="External"/><Relationship Id="rId85" Type="http://schemas.openxmlformats.org/officeDocument/2006/relationships/hyperlink" Target="https://www.bigbatbox.com/en-ca/blogs/bee-species/how-to-maintain-your-bee-house-through-the-seasons" TargetMode="External"/><Relationship Id="rId86" Type="http://schemas.openxmlformats.org/officeDocument/2006/relationships/hyperlink" Target="https://www.bigbatbox.com/en-ca/products/double-chamber-bat-house-brown" TargetMode="External"/><Relationship Id="rId87" Type="http://schemas.openxmlformats.org/officeDocument/2006/relationships/hyperlink" Target="https://www.bigbatbox.com/blogs/habitat-of-bats/tagged/backyard-pest-control" TargetMode="External"/><Relationship Id="rId88" Type="http://schemas.openxmlformats.org/officeDocument/2006/relationships/hyperlink" Target="https://www.bigbatbox.com/blogs/bee-species/tagged/garden-biodiversity" TargetMode="External"/><Relationship Id="rId89" Type="http://schemas.openxmlformats.org/officeDocument/2006/relationships/hyperlink" Target="https://www.bigbatbox.com/blogs/types-of-squirrels/tagged/squirrel-feeder-ideas" TargetMode="External"/><Relationship Id="rId90" Type="http://schemas.openxmlformats.org/officeDocument/2006/relationships/hyperlink" Target="https://www.bigbatbox.com/blogs/fun-facts-about-owls/tagged/wildlife-conservation" TargetMode="External"/><Relationship Id="rId91" Type="http://schemas.openxmlformats.org/officeDocument/2006/relationships/hyperlink" Target="https://www.bigbatbox.com/blogs/fun-facts-about-owls/tagged/conservation" TargetMode="External"/><Relationship Id="rId92" Type="http://schemas.openxmlformats.org/officeDocument/2006/relationships/hyperlink" Target="https://www.bigbatbox.com/blogs/habitat-of-bats/tagged/pollination" TargetMode="External"/><Relationship Id="rId93" Type="http://schemas.openxmlformats.org/officeDocument/2006/relationships/hyperlink" Target="https://www.bigbatbox.com/en-ca/blogs/habitat-of-bats/tagged/bat-species" TargetMode="External"/><Relationship Id="rId94" Type="http://schemas.openxmlformats.org/officeDocument/2006/relationships/hyperlink" Target="https://www.bigbatbox.com/en-ca/blogs/habitat-of-bats/tagged/megabats" TargetMode="External"/><Relationship Id="rId95" Type="http://schemas.openxmlformats.org/officeDocument/2006/relationships/hyperlink" Target="https://www.bigbatbox.com/blogs/habitat-of-bats/tagged/wildlife" TargetMode="External"/><Relationship Id="rId96" Type="http://schemas.openxmlformats.org/officeDocument/2006/relationships/hyperlink" Target="https://www.bigbatbox.com/en-ca/blogs/types-of-squirrels/do-squirrels-hibernate" TargetMode="External"/><Relationship Id="rId97" Type="http://schemas.openxmlformats.org/officeDocument/2006/relationships/hyperlink" Target="https://www.bigbatbox.com/blogs/habitat-of-bats/tagged/pest-control" TargetMode="External"/><Relationship Id="rId98" Type="http://schemas.openxmlformats.org/officeDocument/2006/relationships/hyperlink" Target="https://www.bigbatbox.com/en-ca/collections/1-chamber-bat-houses" TargetMode="External"/><Relationship Id="rId99" Type="http://schemas.openxmlformats.org/officeDocument/2006/relationships/hyperlink" Target="https://www.bigbatbox.com/blogs/types-of-squirrels/tagged/backyard-habitat" TargetMode="External"/><Relationship Id="rId100" Type="http://schemas.openxmlformats.org/officeDocument/2006/relationships/hyperlink" Target="https://www.bigbatbox.com/blogs/habitat-of-bats/tagged/bat-box-placement" TargetMode="External"/><Relationship Id="rId101" Type="http://schemas.openxmlformats.org/officeDocument/2006/relationships/hyperlink" Target="https://www.bigbatbox.com/blogs/fun-facts-about-owls/tagged/wildlife-lifespan" TargetMode="External"/><Relationship Id="rId102" Type="http://schemas.openxmlformats.org/officeDocument/2006/relationships/hyperlink" Target="https://www.bigbatbox.com/en-ca/pages/faq" TargetMode="External"/><Relationship Id="rId103" Type="http://schemas.openxmlformats.org/officeDocument/2006/relationships/hyperlink" Target="https://www.bigbatbox.com/blogs/habitat-of-bats?page=4" TargetMode="External"/><Relationship Id="rId104" Type="http://schemas.openxmlformats.org/officeDocument/2006/relationships/hyperlink" Target="https://www.bigbatbox.com/blogs/types-of-squirrels/tagged/species-facts" TargetMode="External"/><Relationship Id="rId105" Type="http://schemas.openxmlformats.org/officeDocument/2006/relationships/hyperlink" Target="https://www.bigbatbox.com/blogs/types-of-squirrels/tagged/diy-squirrel-feeder" TargetMode="External"/><Relationship Id="rId106" Type="http://schemas.openxmlformats.org/officeDocument/2006/relationships/hyperlink" Target="https://www.bigbatbox.com/en-ca/collections/certified-bat-houses" TargetMode="External"/><Relationship Id="rId107" Type="http://schemas.openxmlformats.org/officeDocument/2006/relationships/hyperlink" Target="https://www.bigbatbox.com/en-ca/blogs/habitat-of-bats/tagged/vampire-bats" TargetMode="External"/><Relationship Id="rId108" Type="http://schemas.openxmlformats.org/officeDocument/2006/relationships/hyperlink" Target="https://www.bigbatbox.com/blogs/types-of-squirrels/tagged/squirrel-feeder" TargetMode="External"/><Relationship Id="rId109" Type="http://schemas.openxmlformats.org/officeDocument/2006/relationships/hyperlink" Target="https://www.bigbatbox.com/blogs/bee-species/tagged/pollination" TargetMode="External"/><Relationship Id="rId110" Type="http://schemas.openxmlformats.org/officeDocument/2006/relationships/hyperlink" Target="https://www.bigbatbox.com/blogs/bee-species/tagged/bee-conservation" TargetMode="External"/><Relationship Id="rId111" Type="http://schemas.openxmlformats.org/officeDocument/2006/relationships/hyperlink" Target="https://www.bigbatbox.com/en-ca/blogs/habitat-of-bats/tagged/microbats" TargetMode="External"/><Relationship Id="rId112" Type="http://schemas.openxmlformats.org/officeDocument/2006/relationships/hyperlink" Target="https://www.bigbatbox.com/blogs/types-of-squirrels/tagged/squirrel-box" TargetMode="External"/><Relationship Id="rId113" Type="http://schemas.openxmlformats.org/officeDocument/2006/relationships/hyperlink" Target="https://www.bigbatbox.com/en-ca/products/certified-triple-chamber-bat-house-black" TargetMode="External"/><Relationship Id="rId114" Type="http://schemas.openxmlformats.org/officeDocument/2006/relationships/hyperlink" Target="https://www.bigbatbox.com/blogs/bee-species/tagged/environmental-sustainability" TargetMode="External"/><Relationship Id="rId115" Type="http://schemas.openxmlformats.org/officeDocument/2006/relationships/hyperlink" Target="https://www.bigbatbox.com/blogs/habitat-of-bats/tagged/are-bats-dangerous" TargetMode="External"/><Relationship Id="rId116" Type="http://schemas.openxmlformats.org/officeDocument/2006/relationships/hyperlink" Target="https://www.bigbatbox.com/blogs/types-of-squirrels/tagged/squirrel-care" TargetMode="External"/><Relationship Id="rId117" Type="http://schemas.openxmlformats.org/officeDocument/2006/relationships/hyperlink" Target="https://www.bigbatbox.com/en-ca/products/bat-house-single-chamber-black" TargetMode="External"/><Relationship Id="rId118" Type="http://schemas.openxmlformats.org/officeDocument/2006/relationships/hyperlink" Target="https://www.bigbatbox.com/blogs/habitat-of-bats/tagged/home-pest-control" TargetMode="External"/><Relationship Id="rId119" Type="http://schemas.openxmlformats.org/officeDocument/2006/relationships/hyperlink" Target="https://www.bigbatbox.com/blogs/wildyard-learn/tagged/bat-houses" TargetMode="External"/><Relationship Id="rId120" Type="http://schemas.openxmlformats.org/officeDocument/2006/relationships/hyperlink" Target="https://www.bigbatbox.com/blogs/habitat-of-bats/tagged/attract-bats-to-yard" TargetMode="External"/><Relationship Id="rId121" Type="http://schemas.openxmlformats.org/officeDocument/2006/relationships/hyperlink" Target="https://www.bigbatbox.com/blogs/bee-species/tagged/bees" TargetMode="External"/><Relationship Id="rId122" Type="http://schemas.openxmlformats.org/officeDocument/2006/relationships/hyperlink" Target="https://www.bigbatbox.com/blogs/habitat-of-bats/tagged/biodiversity" TargetMode="External"/><Relationship Id="rId123" Type="http://schemas.openxmlformats.org/officeDocument/2006/relationships/hyperlink" Target="https://www.bigbatbox.com/en-ca/collections/2-chamber-bat-houses" TargetMode="External"/><Relationship Id="rId124" Type="http://schemas.openxmlformats.org/officeDocument/2006/relationships/hyperlink" Target="https://www.bigbatbox.com/blogs/habitat-of-bats/tagged/bat-benefits" TargetMode="External"/><Relationship Id="rId125" Type="http://schemas.openxmlformats.org/officeDocument/2006/relationships/hyperlink" Target="https://www.bigbatbox.com/blogs/habitat-of-bats/tagged/bat-prevention" TargetMode="External"/><Relationship Id="rId126" Type="http://schemas.openxmlformats.org/officeDocument/2006/relationships/hyperlink" Target="https://www.bigbatbox.com/blogs/habitat-of-bats/tagged/bats" TargetMode="External"/><Relationship Id="rId127" Type="http://schemas.openxmlformats.org/officeDocument/2006/relationships/hyperlink" Target="https://www.bigbatbox.com/en-ca/blogs/types-of-squirrels/what-to-feed-squirrels-year-round" TargetMode="External"/><Relationship Id="rId128" Type="http://schemas.openxmlformats.org/officeDocument/2006/relationships/hyperlink" Target="https://www.bigbatbox.com/blogs/habitat-of-bats/tagged/conservation" TargetMode="External"/><Relationship Id="rId129" Type="http://schemas.openxmlformats.org/officeDocument/2006/relationships/hyperlink" Target="https://www.bigbatbox.com/blogs/bee-species/tagged/bee-houses" TargetMode="External"/><Relationship Id="rId130" Type="http://schemas.openxmlformats.org/officeDocument/2006/relationships/hyperlink" Target="https://www.bigbatbox.com/blogs/habitat-of-bats/tagged/bat-box-installation" TargetMode="External"/><Relationship Id="rId131" Type="http://schemas.openxmlformats.org/officeDocument/2006/relationships/hyperlink" Target="https://www.bigbatbox.com/blogs/fun-facts-about-owls/tagged/backyard-wildlife" TargetMode="External"/><Relationship Id="rId132" Type="http://schemas.openxmlformats.org/officeDocument/2006/relationships/hyperlink" Target="https://www.bigbatbox.com/blogs/habitat-of-bats/tagged/bat-box-guide" TargetMode="External"/><Relationship Id="rId133" Type="http://schemas.openxmlformats.org/officeDocument/2006/relationships/hyperlink" Target="https://www.bigbatbox.com/en-ca/blogs/habitat-of-bats/best-backyard-bat-conservation-and-wildlife-habitat-trends-for-2026-so-far" TargetMode="External"/><Relationship Id="rId134" Type="http://schemas.openxmlformats.org/officeDocument/2006/relationships/hyperlink" Target="https://www.bigbatbox.com/blogs/fun-facts-about-owls/tagged/owl-nesting-box" TargetMode="External"/><Relationship Id="rId135" Type="http://schemas.openxmlformats.org/officeDocument/2006/relationships/hyperlink" Target="https://www.bigbatbox.com/blogs/habitat-of-bats/tagged/get-rid-of-bats" TargetMode="External"/><Relationship Id="rId136" Type="http://schemas.openxmlformats.org/officeDocument/2006/relationships/hyperlink" Target="https://www.bigbatbox.com/en-ca/pages/1-for-the-planet-merlin-tuttle-x-wild-yard" TargetMode="External"/><Relationship Id="rId137" Type="http://schemas.openxmlformats.org/officeDocument/2006/relationships/hyperlink" Target="https://www.bigbatbox.com/blogs/bee-species/tagged/pollinators" TargetMode="External"/><Relationship Id="rId138" Type="http://schemas.openxmlformats.org/officeDocument/2006/relationships/hyperlink" Target="https://www.bigbatbox.com/en-ca/blogs/bee-species/fun-facts-about-bees" TargetMode="External"/><Relationship Id="rId139" Type="http://schemas.openxmlformats.org/officeDocument/2006/relationships/hyperlink" Target="https://www.bigbatbox.com/blogs/fun-facts-about-owls/tagged/owl-nesting-boxes" TargetMode="External"/><Relationship Id="rId140" Type="http://schemas.openxmlformats.org/officeDocument/2006/relationships/hyperlink" Target="https://www.bigbatbox.com/blogs/types-of-squirrels/tagged/squirrel-behavior" TargetMode="External"/><Relationship Id="rId141" Type="http://schemas.openxmlformats.org/officeDocument/2006/relationships/hyperlink" Target="https://www.bigbatbox.com/blogs/fun-facts-about-owls/tagged/barn-owl-box" TargetMode="External"/><Relationship Id="rId142" Type="http://schemas.openxmlformats.org/officeDocument/2006/relationships/hyperlink" Target="https://www.bigbatbox.com/blogs/bee-species/tagged/biodiversity" TargetMode="External"/><Relationship Id="rId143" Type="http://schemas.openxmlformats.org/officeDocument/2006/relationships/hyperlink" Target="https://www.bigbatbox.com/blogs/wildyard-learn/tagged/wildlife-habitat-tips" TargetMode="External"/><Relationship Id="rId144" Type="http://schemas.openxmlformats.org/officeDocument/2006/relationships/hyperlink" Target="https://www.bigbatbox.com/fr/collections/all" TargetMode="External"/><Relationship Id="rId145" Type="http://schemas.openxmlformats.org/officeDocument/2006/relationships/hyperlink" Target="https://www.bigbatbox.com/fr/products/certified-triple-chamber-bat-house-unfinished" TargetMode="External"/><Relationship Id="rId146" Type="http://schemas.openxmlformats.org/officeDocument/2006/relationships/hyperlink" Target="https://www.bigbatbox.com/blogs/habitat-of-bats/tagged/attract-bats" TargetMode="External"/><Relationship Id="rId147" Type="http://schemas.openxmlformats.org/officeDocument/2006/relationships/hyperlink" Target="https://www.bigbatbox.com/blogs/habitat-of-bats/tagged/bat-removal" TargetMode="External"/><Relationship Id="rId148" Type="http://schemas.openxmlformats.org/officeDocument/2006/relationships/hyperlink" Target="https://www.bigbatbox.com/blogs/wildyard-learn/tagged/owl-houses" TargetMode="External"/><Relationship Id="rId149" Type="http://schemas.openxmlformats.org/officeDocument/2006/relationships/hyperlink" Target="https://www.bigbatbox.com/blogs/habitat-of-bats?page=2" TargetMode="External"/><Relationship Id="rId150" Type="http://schemas.openxmlformats.org/officeDocument/2006/relationships/hyperlink" Target="https://www.bigbatbox.com/fr/blogs/bee-species/where-to-hang-a-bee-house" TargetMode="External"/><Relationship Id="rId151" Type="http://schemas.openxmlformats.org/officeDocument/2006/relationships/hyperlink" Target="https://www.bigbatbox.com/en-ca/collections/bat-barn-junior" TargetMode="External"/><Relationship Id="rId152" Type="http://schemas.openxmlformats.org/officeDocument/2006/relationships/hyperlink" Target="https://www.bigbatbox.com/en-ca/blogs/habitat-of-bats/tagged/bat-diet" TargetMode="External"/><Relationship Id="rId153" Type="http://schemas.openxmlformats.org/officeDocument/2006/relationships/hyperlink" Target="https://www.bigbatbox.com/en-ca/blogs/habitat-of-bats/tagged/what-do-bats-eat" TargetMode="External"/><Relationship Id="rId154" Type="http://schemas.openxmlformats.org/officeDocument/2006/relationships/hyperlink" Target="https://www.bigbatbox.com/blogs/types-of-squirrels/tagged/nocturnal-animals" TargetMode="External"/><Relationship Id="rId155" Type="http://schemas.openxmlformats.org/officeDocument/2006/relationships/hyperlink" Target="https://www.bigbatbox.com/blogs/habitat-of-bats/tagged/backyard-eco-tips" TargetMode="External"/><Relationship Id="rId156" Type="http://schemas.openxmlformats.org/officeDocument/2006/relationships/hyperlink" Target="https://www.bigbatbox.com/blogs/fun-facts-about-owls/tagged/owl-nest-box" TargetMode="External"/><Relationship Id="rId157" Type="http://schemas.openxmlformats.org/officeDocument/2006/relationships/hyperlink" Target="https://www.bigbatbox.com/collections" TargetMode="External"/><Relationship Id="rId158" Type="http://schemas.openxmlformats.org/officeDocument/2006/relationships/hyperlink" Target="https://www.bigbatbox.com/blogs/fun-facts-about-owls/tagged/screech-owl-box" TargetMode="External"/><Relationship Id="rId159" Type="http://schemas.openxmlformats.org/officeDocument/2006/relationships/hyperlink" Target="https://www.bigbatbox.com/blogs/fun-facts-about-owls/tagged/owl-facts" TargetMode="External"/><Relationship Id="rId160" Type="http://schemas.openxmlformats.org/officeDocument/2006/relationships/hyperlink" Target="https://www.bigbatbox.com/blogs/habitat-of-bats?page=3" TargetMode="External"/><Relationship Id="rId161" Type="http://schemas.openxmlformats.org/officeDocument/2006/relationships/hyperlink" Target="https://www.bigbatbox.com/en-ca/products/wildyard-digital-gift-card" TargetMode="External"/><Relationship Id="rId162" Type="http://schemas.openxmlformats.org/officeDocument/2006/relationships/hyperlink" Target="https://www.bigbatbox.com/en-ca/blogs/types-of-squirrels/how-long-do-squirrels-live" TargetMode="External"/><Relationship Id="rId163" Type="http://schemas.openxmlformats.org/officeDocument/2006/relationships/hyperlink" Target="https://www.bigbatbox.com/blogs/types-of-squirrels/tagged/seasonal-guide" TargetMode="External"/><Relationship Id="rId164" Type="http://schemas.openxmlformats.org/officeDocument/2006/relationships/hyperlink" Target="https://www.bigbatbox.com/blogs/wildyard-learn/tagged/wildlife-maintenance" TargetMode="External"/><Relationship Id="rId165" Type="http://schemas.openxmlformats.org/officeDocument/2006/relationships/hyperlink" Target="https://www.bigbatbox.com/en-ca/blogs/types-of-squirrels/when-do-squirrels-have-babies" TargetMode="External"/><Relationship Id="rId166" Type="http://schemas.openxmlformats.org/officeDocument/2006/relationships/hyperlink" Target="https://www.bigbatbox.com/blogs/types-of-squirrels/tagged/buying-guide" TargetMode="External"/><Relationship Id="rId167" Type="http://schemas.openxmlformats.org/officeDocument/2006/relationships/hyperlink" Target="https://www.bigbatbox.com/en-ca/products/single-chamber-bat-house" TargetMode="External"/><Relationship Id="rId168" Type="http://schemas.openxmlformats.org/officeDocument/2006/relationships/hyperlink" Target="https://www.bigbatbox.com/fr/products/big-bat-barn-three-chamber-premium-cedar-bat-barn-black" TargetMode="External"/><Relationship Id="rId169" Type="http://schemas.openxmlformats.org/officeDocument/2006/relationships/hyperlink" Target="https://www.bigbatbox.com/blogs/bee-species/tagged/ecosystem" TargetMode="External"/><Relationship Id="rId170" Type="http://schemas.openxmlformats.org/officeDocument/2006/relationships/hyperlink" Target="https://www.bigbatbox.com/blogs/habitat-of-bats/tagged/bat-control" TargetMode="External"/><Relationship Id="rId171" Type="http://schemas.openxmlformats.org/officeDocument/2006/relationships/hyperlink" Target="https://www.bigbatbox.com/en-ca/blogs/types-of-squirrels/squirrel-house-vs-squirrel-feeder" TargetMode="External"/><Relationship Id="rId172" Type="http://schemas.openxmlformats.org/officeDocument/2006/relationships/hyperlink" Target="https://www.bigbatbox.com/fr/blogs/bee-species/do-solitary-bees-sting" TargetMode="External"/><Relationship Id="rId173" Type="http://schemas.openxmlformats.org/officeDocument/2006/relationships/hyperlink" Target="https://www.bigbatbox.com/en-ca/collections/all" TargetMode="External"/><Relationship Id="rId174" Type="http://schemas.openxmlformats.org/officeDocument/2006/relationships/hyperlink" Target="https://www.bigbatbox.com/en-ca/blogs/habitat-of-bats/5-best-tips-for-bat-house-maintenance" TargetMode="External"/><Relationship Id="rId175" Type="http://schemas.openxmlformats.org/officeDocument/2006/relationships/hyperlink" Target="https://www.bigbatbox.com/blogs/fun-facts-about-owls/tagged/owls" TargetMode="External"/><Relationship Id="rId176" Type="http://schemas.openxmlformats.org/officeDocument/2006/relationships/hyperlink" Target="https://www.bigbatbox.com/fr/products/big-bat-barn" TargetMode="External"/><Relationship Id="rId177" Type="http://schemas.openxmlformats.org/officeDocument/2006/relationships/hyperlink" Target="https://www.bigbatbox.com/blogs/habitat-of-bats/tagged/2026-trends" TargetMode="External"/><Relationship Id="rId178" Type="http://schemas.openxmlformats.org/officeDocument/2006/relationships/hyperlink" Target="https://www.bigbatbox.com/en-ca/blogs/habitat-of-bats/tagged/bat-food" TargetMode="External"/><Relationship Id="rId179" Type="http://schemas.openxmlformats.org/officeDocument/2006/relationships/hyperlink" Target="https://www.bigbatbox.com/blogs/fun-facts-about-owls/tagged/owl-box" TargetMode="External"/><Relationship Id="rId180" Type="http://schemas.openxmlformats.org/officeDocument/2006/relationships/hyperlink" Target="https://www.bigbatbox.com/blogs/fun-facts-about-owls/tagged/bird-house" TargetMode="External"/><Relationship Id="rId181" Type="http://schemas.openxmlformats.org/officeDocument/2006/relationships/hyperlink" Target="https://www.bigbatbox.com/blogs/bee-species/tagged/environmental-health" TargetMode="External"/><Relationship Id="rId182" Type="http://schemas.openxmlformats.org/officeDocument/2006/relationships/hyperlink" Target="https://www.bigbatbox.com/en-ca/collections/big-bat-barn-three-chamber-premium" TargetMode="External"/><Relationship Id="rId183" Type="http://schemas.openxmlformats.org/officeDocument/2006/relationships/hyperlink" Target="https://www.bigbatbox.com/en-ca/products/bat-barn-junior-brown" TargetMode="External"/><Relationship Id="rId184" Type="http://schemas.openxmlformats.org/officeDocument/2006/relationships/hyperlink" Target="https://www.bigbatbox.com/blogs/types-of-squirrels/tagged/cedar-habitat" TargetMode="External"/><Relationship Id="rId185" Type="http://schemas.openxmlformats.org/officeDocument/2006/relationships/hyperlink" Target="https://www.bigbatbox.com/blogs/habitat-of-bats/tagged/avoid-pesticides" TargetMode="External"/><Relationship Id="rId186" Type="http://schemas.openxmlformats.org/officeDocument/2006/relationships/hyperlink" Target="https://www.bigbatbox.com/blogs/habitat-of-bats/tagged/bat-boxes" TargetMode="External"/><Relationship Id="rId187" Type="http://schemas.openxmlformats.org/officeDocument/2006/relationships/hyperlink" Target="https://www.bigbatbox.com/blogs/wildyard-learn/tagged/bee-houses" TargetMode="External"/><Relationship Id="rId188" Type="http://schemas.openxmlformats.org/officeDocument/2006/relationships/hyperlink" Target="https://www.bigbatbox.com/blogs/types-of-squirrels/tagged/nest-box-maintenance" TargetMode="External"/><Relationship Id="rId189" Type="http://schemas.openxmlformats.org/officeDocument/2006/relationships/hyperlink" Target="https://www.bigbatbox.com/blogs/wildyard-learn/tagged/habitat-conservation" TargetMode="External"/><Relationship Id="rId190" Type="http://schemas.openxmlformats.org/officeDocument/2006/relationships/hyperlink" Target="https://www.bigbatbox.com/en-ca/blogs/types-of-squirrels/how-to-attract-squirrels-to-your-backyard" TargetMode="External"/><Relationship Id="rId191" Type="http://schemas.openxmlformats.org/officeDocument/2006/relationships/hyperlink" Target="https://www.bigbatbox.com/fr/products/single-chamber-bat-house" TargetMode="External"/><Relationship Id="rId192" Type="http://schemas.openxmlformats.org/officeDocument/2006/relationships/hyperlink" Target="https://www.bigbatbox.com/blogs/habitat-of-bats/tagged/ecosystem" TargetMode="External"/><Relationship Id="rId193" Type="http://schemas.openxmlformats.org/officeDocument/2006/relationships/hyperlink" Target="https://www.bigbatbox.com/blogs/habitat-of-bats/tagged/backyard-wildlife" TargetMode="External"/><Relationship Id="rId194" Type="http://schemas.openxmlformats.org/officeDocument/2006/relationships/hyperlink" Target="https://www.bigbatbox.com/blogs/bee-species/tagged/bee-hotels" TargetMode="External"/><Relationship Id="rId195" Type="http://schemas.openxmlformats.org/officeDocument/2006/relationships/hyperlink" Target="https://www.bigbatbox.com/en-ca/blogs/habitat-of-bats/some-interesting-busted-myths-and-facts-about-bats" TargetMode="External"/><Relationship Id="rId196" Type="http://schemas.openxmlformats.org/officeDocument/2006/relationships/hyperlink" Target="https://www.bigbatbox.com/fr/blogs/bee-species/mason-bees-vs-leafcutter-bees" TargetMode="External"/><Relationship Id="rId197" Type="http://schemas.openxmlformats.org/officeDocument/2006/relationships/hyperlink" Target="https://www.bigbatbox.com/en-ca/products/bat-barn-junior-black" TargetMode="External"/><Relationship Id="rId198" Type="http://schemas.openxmlformats.org/officeDocument/2006/relationships/hyperlink" Target="https://www.bigbatbox.com/blogs/wildyard-learn/tagged/wildlife-care" TargetMode="External"/><Relationship Id="rId199" Type="http://schemas.openxmlformats.org/officeDocument/2006/relationships/hyperlink" Target="https://www.bigbatbox.com/fr/products/certified-triple-chamber-bat-house-black" TargetMode="External"/><Relationship Id="rId200" Type="http://schemas.openxmlformats.org/officeDocument/2006/relationships/hyperlink" Target="https://www.bigbatbox.com/blogs/habitat-of-bats/tagged/night-guardians" TargetMode="External"/><Relationship Id="rId201" Type="http://schemas.openxmlformats.org/officeDocument/2006/relationships/hyperlink" Target="https://www.bigbatbox.com/blogs/wildyard-learn/tagged/wildlife-shelter" TargetMode="External"/><Relationship Id="rId202" Type="http://schemas.openxmlformats.org/officeDocument/2006/relationships/hyperlink" Target="https://www.bigbatbox.com/fr/pages/faq" TargetMode="External"/><Relationship Id="rId203" Type="http://schemas.openxmlformats.org/officeDocument/2006/relationships/hyperlink" Target="https://www.bigbatbox.com/blogs/habitat-of-bats/tagged/bat-box-sunlight-requirements" TargetMode="External"/><Relationship Id="rId204" Type="http://schemas.openxmlformats.org/officeDocument/2006/relationships/hyperlink" Target="https://www.bigbatbox.com/blogs/fun-facts-about-owls/tagged/bird-watching" TargetMode="External"/><Relationship Id="rId205" Type="http://schemas.openxmlformats.org/officeDocument/2006/relationships/hyperlink" Target="https://www.bigbatbox.com/blogs/types-of-squirrels/tagged/backyard-wildlife" TargetMode="External"/><Relationship Id="rId206" Type="http://schemas.openxmlformats.org/officeDocument/2006/relationships/hyperlink" Target="https://www.bigbatbox.com/blogs/habitat-of-bats/tagged/backyard-conservation" TargetMode="External"/><Relationship Id="rId207" Type="http://schemas.openxmlformats.org/officeDocument/2006/relationships/hyperlink" Target="https://www.bigbatbox.com/blogs/types-of-squirrels/tagged/habitat" TargetMode="External"/><Relationship Id="rId208" Type="http://schemas.openxmlformats.org/officeDocument/2006/relationships/hyperlink" Target="https://www.bigbatbox.com/fr/blogs/wildyard-learn/wildlife-care-expert-guide-to-maintaining-bat-owl-and-bee-houses" TargetMode="External"/><Relationship Id="rId209" Type="http://schemas.openxmlformats.org/officeDocument/2006/relationships/hyperlink" Target="https://www.bigbatbox.com/fr/blogs/habitat-of-bats/how-to-get-rid-of-bats" TargetMode="External"/><Relationship Id="rId210" Type="http://schemas.openxmlformats.org/officeDocument/2006/relationships/hyperlink" Target="https://www.bigbatbox.com/en-ca/blogs/bee-species/why-are-bees-important" TargetMode="External"/><Relationship Id="rId211" Type="http://schemas.openxmlformats.org/officeDocument/2006/relationships/hyperlink" Target="https://www.bigbatbox.com/en-ca/blogs/fun-facts-about-owls/owl-nesting-boxes-providing-safe-havens-for-nighttime-raptors" TargetMode="External"/><Relationship Id="rId212" Type="http://schemas.openxmlformats.org/officeDocument/2006/relationships/hyperlink" Target="https://www.bigbatbox.com/en-ca/blogs/wildyard-learn/wildlife-care-expert-guide-to-maintaining-bat-owl-and-bee-houses" TargetMode="External"/><Relationship Id="rId213" Type="http://schemas.openxmlformats.org/officeDocument/2006/relationships/hyperlink" Target="https://www.bigbatbox.com/fr/blogs/bee-species/bee-wise-how-bee-houses-and-hotels-can-help-save-bees-the-environment" TargetMode="External"/><Relationship Id="rId214" Type="http://schemas.openxmlformats.org/officeDocument/2006/relationships/hyperlink" Target="https://www.bigbatbox.com/en-ca/blogs/habitat-of-bats/the-night-guardians-the-importance-of-bats-to-our-world" TargetMode="External"/><Relationship Id="rId215" Type="http://schemas.openxmlformats.org/officeDocument/2006/relationships/hyperlink" Target="https://www.bigbatbox.com/fr/blogs/fun-facts-about-owls/owl-nesting-boxes-providing-safe-havens-for-nighttime-raptors" TargetMode="External"/><Relationship Id="rId216" Type="http://schemas.openxmlformats.org/officeDocument/2006/relationships/hyperlink" Target="https://www.bigbatbox.com/fr/blogs/bee-species/why-are-bees-important" TargetMode="External"/><Relationship Id="rId217" Type="http://schemas.openxmlformats.org/officeDocument/2006/relationships/hyperlink" Target="https://www.bigbatbox.com/fr/blogs/habitat-of-bats/the-night-guardians-the-importance-of-bats-to-our-world" TargetMode="External"/><Relationship Id="rId218" Type="http://schemas.openxmlformats.org/officeDocument/2006/relationships/hyperlink" Target="https://www.bigbatbox.com/en-ca/blogs/habitat-of-bats/how-to-get-rid-of-bats" TargetMode="External"/><Relationship Id="rId219" Type="http://schemas.openxmlformats.org/officeDocument/2006/relationships/hyperlink" Target="https://www.bigbatbox.com/es/blogs/fun-facts-about-owls/tagged/owl-nest-box" TargetMode="External"/><Relationship Id="rId220" Type="http://schemas.openxmlformats.org/officeDocument/2006/relationships/hyperlink" Target="https://www.bigbatbox.com/en-ca/collections/owl-boxes" TargetMode="External"/><Relationship Id="rId221" Type="http://schemas.openxmlformats.org/officeDocument/2006/relationships/hyperlink" Target="https://www.bigbatbox.com/en-ca/blogs/bee-species/tagged/bee-conservation" TargetMode="External"/><Relationship Id="rId222" Type="http://schemas.openxmlformats.org/officeDocument/2006/relationships/hyperlink" Target="https://www.bigbatbox.com/fr/blogs/habitat-of-bats/tagged/biodiversity" TargetMode="External"/><Relationship Id="rId223" Type="http://schemas.openxmlformats.org/officeDocument/2006/relationships/hyperlink" Target="https://www.bigbatbox.com/de/blogs/wildyard-learn/tagged/bat-houses" TargetMode="External"/><Relationship Id="rId224" Type="http://schemas.openxmlformats.org/officeDocument/2006/relationships/hyperlink" Target="https://www.bigbatbox.com/de/blogs/habitat-of-bats/tagged/bat-prevention" TargetMode="External"/><Relationship Id="rId225" Type="http://schemas.openxmlformats.org/officeDocument/2006/relationships/hyperlink" Target="https://www.bigbatbox.com/de/blogs/bee-species/tagged/bee-hotels" TargetMode="External"/><Relationship Id="rId226" Type="http://schemas.openxmlformats.org/officeDocument/2006/relationships/hyperlink" Target="https://www.bigbatbox.com/fr/blogs/habitat-of-bats/tagged/pollination" TargetMode="External"/><Relationship Id="rId227" Type="http://schemas.openxmlformats.org/officeDocument/2006/relationships/hyperlink" Target="https://www.bigbatbox.com/en-ca/blogs/wildyard-learn/tagged/wildlife-care" TargetMode="External"/><Relationship Id="rId228" Type="http://schemas.openxmlformats.org/officeDocument/2006/relationships/hyperlink" Target="https://www.bigbatbox.com/en-ca/blogs/habitat-of-bats/tagged/bat-removal" TargetMode="External"/><Relationship Id="rId229" Type="http://schemas.openxmlformats.org/officeDocument/2006/relationships/hyperlink" Target="https://www.bigbatbox.com/fr/blogs/fun-facts-about-owls/tagged/owl-nesting-boxes" TargetMode="External"/><Relationship Id="rId230" Type="http://schemas.openxmlformats.org/officeDocument/2006/relationships/hyperlink" Target="https://www.bigbatbox.com/en-ca/blogs/fun-facts-about-owls/tagged/bird-watching" TargetMode="External"/><Relationship Id="rId231" Type="http://schemas.openxmlformats.org/officeDocument/2006/relationships/hyperlink" Target="https://www.bigbatbox.com/en-ca/blogs/bee-species/tagged/bee-houses" TargetMode="External"/><Relationship Id="rId232" Type="http://schemas.openxmlformats.org/officeDocument/2006/relationships/hyperlink" Target="https://www.bigbatbox.com/fr/blogs/habitat-of-bats/tagged/bats" TargetMode="External"/><Relationship Id="rId233" Type="http://schemas.openxmlformats.org/officeDocument/2006/relationships/hyperlink" Target="https://www.bigbatbox.com/es/blogs/bee-species/tagged/pollination" TargetMode="External"/><Relationship Id="rId234" Type="http://schemas.openxmlformats.org/officeDocument/2006/relationships/hyperlink" Target="https://www.bigbatbox.com/es/blogs/habitat-of-bats/tagged/ecosystem" TargetMode="External"/><Relationship Id="rId235" Type="http://schemas.openxmlformats.org/officeDocument/2006/relationships/hyperlink" Target="https://www.bigbatbox.com/fr/blogs/habitat-of-bats/tagged/bat-control" TargetMode="External"/><Relationship Id="rId236" Type="http://schemas.openxmlformats.org/officeDocument/2006/relationships/hyperlink" Target="https://www.bigbatbox.com/es/blogs/habitat-of-bats/tagged/conservation" TargetMode="External"/><Relationship Id="rId237" Type="http://schemas.openxmlformats.org/officeDocument/2006/relationships/hyperlink" Target="https://www.bigbatbox.com/de/blogs/fun-facts-about-owls/tagged/bird-watching" TargetMode="External"/><Relationship Id="rId238" Type="http://schemas.openxmlformats.org/officeDocument/2006/relationships/hyperlink" Target="https://www.bigbatbox.com/en-ca/blogs/habitat-of-bats/tagged/bat-control" TargetMode="External"/><Relationship Id="rId239" Type="http://schemas.openxmlformats.org/officeDocument/2006/relationships/hyperlink" Target="https://www.bigbatbox.com/en-ca/blogs/habitat-of-bats/tagged/home-pest-control" TargetMode="External"/><Relationship Id="rId240" Type="http://schemas.openxmlformats.org/officeDocument/2006/relationships/hyperlink" Target="https://www.bigbatbox.com/es/blogs/bee-species/tagged/bees" TargetMode="External"/><Relationship Id="rId241" Type="http://schemas.openxmlformats.org/officeDocument/2006/relationships/hyperlink" Target="https://www.bigbatbox.com/es/blogs/wildyard-learn/tagged/wildlife-care" TargetMode="External"/><Relationship Id="rId242" Type="http://schemas.openxmlformats.org/officeDocument/2006/relationships/hyperlink" Target="https://www.bigbatbox.com/en-ca/blogs/habitat-of-bats/tagged/night-guardians" TargetMode="External"/><Relationship Id="rId243" Type="http://schemas.openxmlformats.org/officeDocument/2006/relationships/hyperlink" Target="https://www.bigbatbox.com/fr/blogs/habitat-of-bats/tagged/bat-removal" TargetMode="External"/><Relationship Id="rId244" Type="http://schemas.openxmlformats.org/officeDocument/2006/relationships/hyperlink" Target="https://www.bigbatbox.com/en-ca/blogs/bee-species/tagged/pollinators" TargetMode="External"/><Relationship Id="rId245" Type="http://schemas.openxmlformats.org/officeDocument/2006/relationships/hyperlink" Target="https://www.bigbatbox.com/de/blogs/bee-species/tagged/environmental-health" TargetMode="External"/><Relationship Id="rId246" Type="http://schemas.openxmlformats.org/officeDocument/2006/relationships/hyperlink" Target="https://www.bigbatbox.com/es/blogs/habitat-of-bats/tagged/pest-control" TargetMode="External"/><Relationship Id="rId247" Type="http://schemas.openxmlformats.org/officeDocument/2006/relationships/hyperlink" Target="https://www.bigbatbox.com/es/blogs/bee-species/tagged/environmental-health" TargetMode="External"/><Relationship Id="rId248" Type="http://schemas.openxmlformats.org/officeDocument/2006/relationships/hyperlink" Target="https://www.bigbatbox.com/fr/blogs/habitat-of-bats/tagged/pest-control" TargetMode="External"/><Relationship Id="rId249" Type="http://schemas.openxmlformats.org/officeDocument/2006/relationships/hyperlink" Target="https://www.bigbatbox.com/de/blogs/habitat-of-bats/tagged/night-guardians" TargetMode="External"/><Relationship Id="rId250" Type="http://schemas.openxmlformats.org/officeDocument/2006/relationships/hyperlink" Target="https://www.bigbatbox.com/es/blogs/habitat-of-bats/tagged/biodiversity" TargetMode="External"/><Relationship Id="rId251" Type="http://schemas.openxmlformats.org/officeDocument/2006/relationships/hyperlink" Target="https://www.bigbatbox.com/fr/blogs/bee-species/tagged/environmental-health" TargetMode="External"/><Relationship Id="rId252" Type="http://schemas.openxmlformats.org/officeDocument/2006/relationships/hyperlink" Target="https://www.bigbatbox.com/en-ca/blogs/wildyard-learn/tagged/wildlife-habitat-tips" TargetMode="External"/><Relationship Id="rId253" Type="http://schemas.openxmlformats.org/officeDocument/2006/relationships/hyperlink" Target="https://www.bigbatbox.com/en-ca/blogs/fun-facts-about-owls/tagged/barn-owl-box" TargetMode="External"/><Relationship Id="rId254" Type="http://schemas.openxmlformats.org/officeDocument/2006/relationships/hyperlink" Target="https://www.bigbatbox.com/de/blogs/wildyard-learn/tagged/bee-houses" TargetMode="External"/><Relationship Id="rId255" Type="http://schemas.openxmlformats.org/officeDocument/2006/relationships/hyperlink" Target="https://www.bigbatbox.com/fr/blogs/habitat-of-bats/tagged/home-pest-control" TargetMode="External"/><Relationship Id="rId256" Type="http://schemas.openxmlformats.org/officeDocument/2006/relationships/hyperlink" Target="https://www.bigbatbox.com/fr/blogs/bee-species/tagged/biodiversity" TargetMode="External"/><Relationship Id="rId257" Type="http://schemas.openxmlformats.org/officeDocument/2006/relationships/hyperlink" Target="https://www.bigbatbox.com/es/blogs/habitat-of-bats/tagged/bats" TargetMode="External"/><Relationship Id="rId258" Type="http://schemas.openxmlformats.org/officeDocument/2006/relationships/hyperlink" Target="https://www.bigbatbox.com/en-ca/blogs/bee-species/tagged/bees" TargetMode="External"/><Relationship Id="rId259" Type="http://schemas.openxmlformats.org/officeDocument/2006/relationships/hyperlink" Target="https://www.bigbatbox.com/es/blogs/wildyard-learn/tagged/habitat-conservation" TargetMode="External"/><Relationship Id="rId260" Type="http://schemas.openxmlformats.org/officeDocument/2006/relationships/hyperlink" Target="https://www.bigbatbox.com/es/blogs/wildyard-learn/tagged/wildlife-habitat-tips" TargetMode="External"/><Relationship Id="rId261" Type="http://schemas.openxmlformats.org/officeDocument/2006/relationships/hyperlink" Target="https://www.bigbatbox.com/de/blogs/bee-species/tagged/bee-houses" TargetMode="External"/><Relationship Id="rId262" Type="http://schemas.openxmlformats.org/officeDocument/2006/relationships/hyperlink" Target="https://www.bigbatbox.com/de/blogs/wildyard-learn/tagged/wildlife-habitat-tips" TargetMode="External"/><Relationship Id="rId263" Type="http://schemas.openxmlformats.org/officeDocument/2006/relationships/hyperlink" Target="https://www.bigbatbox.com/fr/blogs/fun-facts-about-owls/tagged/wildlife-conservation" TargetMode="External"/><Relationship Id="rId264" Type="http://schemas.openxmlformats.org/officeDocument/2006/relationships/hyperlink" Target="https://www.bigbatbox.com/fr/blogs/fun-facts-about-owls/tagged/bird-house" TargetMode="External"/><Relationship Id="rId265" Type="http://schemas.openxmlformats.org/officeDocument/2006/relationships/hyperlink" Target="https://www.bigbatbox.com/de/blogs/bee-species/tagged/pollinators" TargetMode="External"/><Relationship Id="rId266" Type="http://schemas.openxmlformats.org/officeDocument/2006/relationships/hyperlink" Target="https://www.bigbatbox.com/de/blogs/bee-species/tagged/pollination" TargetMode="External"/><Relationship Id="rId267" Type="http://schemas.openxmlformats.org/officeDocument/2006/relationships/hyperlink" Target="https://www.bigbatbox.com/de/blogs/wildyard-learn/tagged/wildlife-maintenance" TargetMode="External"/><Relationship Id="rId268" Type="http://schemas.openxmlformats.org/officeDocument/2006/relationships/hyperlink" Target="https://www.bigbatbox.com/es/blogs/fun-facts-about-owls/tagged/wildlife-conservation" TargetMode="External"/><Relationship Id="rId269" Type="http://schemas.openxmlformats.org/officeDocument/2006/relationships/hyperlink" Target="https://www.bigbatbox.com/fr/blogs/habitat-of-bats/tagged/bat-prevention" TargetMode="External"/><Relationship Id="rId270" Type="http://schemas.openxmlformats.org/officeDocument/2006/relationships/hyperlink" Target="https://www.bigbatbox.com/fr/blogs/habitat-of-bats/tagged/night-guardians" TargetMode="External"/><Relationship Id="rId271" Type="http://schemas.openxmlformats.org/officeDocument/2006/relationships/hyperlink" Target="https://www.bigbatbox.com/es/blogs/wildyard-learn/tagged/wildlife-maintenance" TargetMode="External"/><Relationship Id="rId272" Type="http://schemas.openxmlformats.org/officeDocument/2006/relationships/hyperlink" Target="https://www.bigbatbox.com/de/blogs/habitat-of-bats/tagged/get-rid-of-bats" TargetMode="External"/><Relationship Id="rId273" Type="http://schemas.openxmlformats.org/officeDocument/2006/relationships/hyperlink" Target="https://www.bigbatbox.com/es/blogs/habitat-of-bats/tagged/wildlife" TargetMode="External"/><Relationship Id="rId274" Type="http://schemas.openxmlformats.org/officeDocument/2006/relationships/hyperlink" Target="https://www.bigbatbox.com/en-ca/blogs/habitat-of-bats/tagged/pest-control" TargetMode="External"/><Relationship Id="rId275" Type="http://schemas.openxmlformats.org/officeDocument/2006/relationships/hyperlink" Target="https://www.bigbatbox.com/en-ca/blogs/habitat-of-bats/tagged/bats" TargetMode="External"/><Relationship Id="rId276" Type="http://schemas.openxmlformats.org/officeDocument/2006/relationships/hyperlink" Target="https://www.bigbatbox.com/es/blogs/bee-species/tagged/garden-biodiversity" TargetMode="External"/><Relationship Id="rId277" Type="http://schemas.openxmlformats.org/officeDocument/2006/relationships/hyperlink" Target="https://www.bigbatbox.com/en-ca/blogs/wildyard-learn/tagged/habitat-conservation" TargetMode="External"/><Relationship Id="rId278" Type="http://schemas.openxmlformats.org/officeDocument/2006/relationships/hyperlink" Target="https://www.bigbatbox.com/en-ca/blogs/fun-facts-about-owls/tagged/owl-nesting-boxes" TargetMode="External"/><Relationship Id="rId279" Type="http://schemas.openxmlformats.org/officeDocument/2006/relationships/hyperlink" Target="https://www.bigbatbox.com/fr/blogs/bee-species/tagged/ecosystem" TargetMode="External"/><Relationship Id="rId280" Type="http://schemas.openxmlformats.org/officeDocument/2006/relationships/hyperlink" Target="https://www.bigbatbox.com/fr/blogs/habitat-of-bats/tagged/ecosystem" TargetMode="External"/><Relationship Id="rId281" Type="http://schemas.openxmlformats.org/officeDocument/2006/relationships/hyperlink" Target="https://www.bigbatbox.com/en-ca/blogs/fun-facts-about-owls/tagged/owl-nest-box" TargetMode="External"/><Relationship Id="rId282" Type="http://schemas.openxmlformats.org/officeDocument/2006/relationships/hyperlink" Target="https://www.bigbatbox.com/de/blogs/bee-species/tagged/ecosystem" TargetMode="External"/><Relationship Id="rId283" Type="http://schemas.openxmlformats.org/officeDocument/2006/relationships/hyperlink" Target="https://www.bigbatbox.com/es/blogs/habitat-of-bats/tagged/home-pest-control" TargetMode="External"/><Relationship Id="rId284" Type="http://schemas.openxmlformats.org/officeDocument/2006/relationships/hyperlink" Target="https://www.bigbatbox.com/fr/blogs/wildyard-learn/tagged/wildlife-shelter" TargetMode="External"/><Relationship Id="rId285" Type="http://schemas.openxmlformats.org/officeDocument/2006/relationships/hyperlink" Target="https://www.bigbatbox.com/es/blogs/fun-facts-about-owls/tagged/owl-nesting-box" TargetMode="External"/><Relationship Id="rId286" Type="http://schemas.openxmlformats.org/officeDocument/2006/relationships/hyperlink" Target="https://www.bigbatbox.com/es/blogs/bee-species/tagged/environmental-sustainability" TargetMode="External"/><Relationship Id="rId287" Type="http://schemas.openxmlformats.org/officeDocument/2006/relationships/hyperlink" Target="https://www.bigbatbox.com/es/blogs/habitat-of-bats/tagged/bat-prevention" TargetMode="External"/><Relationship Id="rId288" Type="http://schemas.openxmlformats.org/officeDocument/2006/relationships/hyperlink" Target="https://www.bigbatbox.com/fr/blogs/bee-species/tagged/bee-houses" TargetMode="External"/><Relationship Id="rId289" Type="http://schemas.openxmlformats.org/officeDocument/2006/relationships/hyperlink" Target="https://www.bigbatbox.com/es/blogs/bee-species/tagged/ecosystem" TargetMode="External"/><Relationship Id="rId290" Type="http://schemas.openxmlformats.org/officeDocument/2006/relationships/hyperlink" Target="https://www.bigbatbox.com/en-ca/blogs/bee-species/tagged/pollination" TargetMode="External"/><Relationship Id="rId291" Type="http://schemas.openxmlformats.org/officeDocument/2006/relationships/hyperlink" Target="https://www.bigbatbox.com/fr/blogs/wildyard-learn/tagged/bee-houses" TargetMode="External"/><Relationship Id="rId292" Type="http://schemas.openxmlformats.org/officeDocument/2006/relationships/hyperlink" Target="https://www.bigbatbox.com/de/blogs/habitat-of-bats/tagged/home-pest-control" TargetMode="External"/><Relationship Id="rId293" Type="http://schemas.openxmlformats.org/officeDocument/2006/relationships/hyperlink" Target="https://www.bigbatbox.com/es/blogs/fun-facts-about-owls/tagged/bird-watching" TargetMode="External"/><Relationship Id="rId294" Type="http://schemas.openxmlformats.org/officeDocument/2006/relationships/hyperlink" Target="https://www.bigbatbox.com/es/blogs/habitat-of-bats/tagged/get-rid-of-bats" TargetMode="External"/><Relationship Id="rId295" Type="http://schemas.openxmlformats.org/officeDocument/2006/relationships/hyperlink" Target="https://www.bigbatbox.com/de/blogs/fun-facts-about-owls/tagged/wildlife-conservation" TargetMode="External"/><Relationship Id="rId296" Type="http://schemas.openxmlformats.org/officeDocument/2006/relationships/hyperlink" Target="https://www.bigbatbox.com/es/blogs/wildyard-learn/tagged/bee-houses" TargetMode="External"/><Relationship Id="rId297" Type="http://schemas.openxmlformats.org/officeDocument/2006/relationships/hyperlink" Target="https://www.bigbatbox.com/fr/blogs/habitat-of-bats/tagged/wildlife" TargetMode="External"/><Relationship Id="rId298" Type="http://schemas.openxmlformats.org/officeDocument/2006/relationships/hyperlink" Target="https://www.bigbatbox.com/fr/blogs/fun-facts-about-owls/tagged/screech-owl-box" TargetMode="External"/><Relationship Id="rId299" Type="http://schemas.openxmlformats.org/officeDocument/2006/relationships/hyperlink" Target="https://www.bigbatbox.com/es/blogs/fun-facts-about-owls/tagged/barn-owl-box" TargetMode="External"/><Relationship Id="rId300" Type="http://schemas.openxmlformats.org/officeDocument/2006/relationships/hyperlink" Target="https://www.bigbatbox.com/fr/blogs/wildyard-learn/tagged/wildlife-care" TargetMode="External"/><Relationship Id="rId301" Type="http://schemas.openxmlformats.org/officeDocument/2006/relationships/hyperlink" Target="https://www.bigbatbox.com/fr/blogs/wildyard-learn/tagged/wildlife-maintenance" TargetMode="External"/><Relationship Id="rId302" Type="http://schemas.openxmlformats.org/officeDocument/2006/relationships/hyperlink" Target="https://www.bigbatbox.com/es/blogs/habitat-of-bats/tagged/night-guardians" TargetMode="External"/><Relationship Id="rId303" Type="http://schemas.openxmlformats.org/officeDocument/2006/relationships/hyperlink" Target="https://www.bigbatbox.com/de/blogs/fun-facts-about-owls/tagged/bird-house" TargetMode="External"/><Relationship Id="rId304" Type="http://schemas.openxmlformats.org/officeDocument/2006/relationships/hyperlink" Target="https://www.bigbatbox.com/de/blogs/fun-facts-about-owls/tagged/owl-nesting-boxes" TargetMode="External"/><Relationship Id="rId305" Type="http://schemas.openxmlformats.org/officeDocument/2006/relationships/hyperlink" Target="https://www.bigbatbox.com/de/blogs/wildyard-learn/tagged/habitat-conservation" TargetMode="External"/><Relationship Id="rId306" Type="http://schemas.openxmlformats.org/officeDocument/2006/relationships/hyperlink" Target="https://www.bigbatbox.com/en-ca/blogs/wildyard-learn/tagged/wildlife-maintenance" TargetMode="External"/><Relationship Id="rId307" Type="http://schemas.openxmlformats.org/officeDocument/2006/relationships/hyperlink" Target="https://www.bigbatbox.com/en-ca/blogs/habitat-of-bats/tagged/get-rid-of-bats" TargetMode="External"/><Relationship Id="rId308" Type="http://schemas.openxmlformats.org/officeDocument/2006/relationships/hyperlink" Target="https://www.bigbatbox.com/fr/blogs/bee-species/tagged/environmental-sustainability" TargetMode="External"/><Relationship Id="rId309" Type="http://schemas.openxmlformats.org/officeDocument/2006/relationships/hyperlink" Target="https://www.bigbatbox.com/fr/products/bat-barn-junior-brown" TargetMode="External"/><Relationship Id="rId310" Type="http://schemas.openxmlformats.org/officeDocument/2006/relationships/hyperlink" Target="https://www.bigbatbox.com/fr/blogs/fun-facts-about-owls/tagged/owl-nest-box" TargetMode="External"/><Relationship Id="rId311" Type="http://schemas.openxmlformats.org/officeDocument/2006/relationships/hyperlink" Target="https://www.bigbatbox.com/de/blogs/bee-species/tagged/environmental-sustainability" TargetMode="External"/><Relationship Id="rId312" Type="http://schemas.openxmlformats.org/officeDocument/2006/relationships/hyperlink" Target="https://www.bigbatbox.com/fr/collections/owl-boxes" TargetMode="External"/><Relationship Id="rId313" Type="http://schemas.openxmlformats.org/officeDocument/2006/relationships/hyperlink" Target="https://www.bigbatbox.com/fr/blogs/bee-species/tagged/pollination" TargetMode="External"/><Relationship Id="rId314" Type="http://schemas.openxmlformats.org/officeDocument/2006/relationships/hyperlink" Target="https://www.bigbatbox.com/es/blogs/habitat-of-bats/tagged/bat-removal" TargetMode="External"/><Relationship Id="rId315" Type="http://schemas.openxmlformats.org/officeDocument/2006/relationships/hyperlink" Target="https://www.bigbatbox.com/de/blogs/habitat-of-bats/tagged/ecosystem" TargetMode="External"/><Relationship Id="rId316" Type="http://schemas.openxmlformats.org/officeDocument/2006/relationships/hyperlink" Target="https://www.bigbatbox.com/fr/products/bat-barn-junior-black" TargetMode="External"/><Relationship Id="rId317" Type="http://schemas.openxmlformats.org/officeDocument/2006/relationships/hyperlink" Target="https://www.bigbatbox.com/es/blogs/habitat-of-bats/tagged/bat-control" TargetMode="External"/><Relationship Id="rId318" Type="http://schemas.openxmlformats.org/officeDocument/2006/relationships/hyperlink" Target="https://www.bigbatbox.com/es/blogs/bee-species/tagged/pollinators" TargetMode="External"/><Relationship Id="rId319" Type="http://schemas.openxmlformats.org/officeDocument/2006/relationships/hyperlink" Target="https://www.bigbatbox.com/es/blogs/bee-species/tagged/biodiversity" TargetMode="External"/><Relationship Id="rId320" Type="http://schemas.openxmlformats.org/officeDocument/2006/relationships/hyperlink" Target="https://www.bigbatbox.com/fr/blogs/fun-facts-about-owls/tagged/bird-watching" TargetMode="External"/><Relationship Id="rId321" Type="http://schemas.openxmlformats.org/officeDocument/2006/relationships/hyperlink" Target="https://www.bigbatbox.com/de/blogs/bee-species/tagged/bees" TargetMode="External"/><Relationship Id="rId322" Type="http://schemas.openxmlformats.org/officeDocument/2006/relationships/hyperlink" Target="https://www.bigbatbox.com/en-ca/blogs/wildyard-learn/tagged/bee-houses" TargetMode="External"/><Relationship Id="rId323" Type="http://schemas.openxmlformats.org/officeDocument/2006/relationships/hyperlink" Target="https://www.bigbatbox.com/en-ca/blogs/habitat-of-bats/tagged/biodiversity" TargetMode="External"/><Relationship Id="rId324" Type="http://schemas.openxmlformats.org/officeDocument/2006/relationships/hyperlink" Target="https://www.bigbatbox.com/en-ca/blogs/fun-facts-about-owls/tagged/bird-house" TargetMode="External"/><Relationship Id="rId325" Type="http://schemas.openxmlformats.org/officeDocument/2006/relationships/hyperlink" Target="https://www.bigbatbox.com/es/blogs/wildyard-learn/tagged/wildlife-shelter" TargetMode="External"/><Relationship Id="rId326" Type="http://schemas.openxmlformats.org/officeDocument/2006/relationships/hyperlink" Target="https://www.bigbatbox.com/de/blogs/habitat-of-bats/tagged/bats" TargetMode="External"/><Relationship Id="rId327" Type="http://schemas.openxmlformats.org/officeDocument/2006/relationships/hyperlink" Target="https://www.bigbatbox.com/en-ca/blogs/fun-facts-about-owls/tagged/owl-box" TargetMode="External"/><Relationship Id="rId328" Type="http://schemas.openxmlformats.org/officeDocument/2006/relationships/hyperlink" Target="https://www.bigbatbox.com/fr/blogs/wildyard-learn/tagged/wildlife-habitat-tips" TargetMode="External"/><Relationship Id="rId329" Type="http://schemas.openxmlformats.org/officeDocument/2006/relationships/hyperlink" Target="https://www.bigbatbox.com/de/blogs/habitat-of-bats/tagged/biodiversity" TargetMode="External"/><Relationship Id="rId330" Type="http://schemas.openxmlformats.org/officeDocument/2006/relationships/hyperlink" Target="https://www.bigbatbox.com/es/blogs/bee-species/tagged/bee-houses" TargetMode="External"/><Relationship Id="rId331" Type="http://schemas.openxmlformats.org/officeDocument/2006/relationships/hyperlink" Target="https://www.bigbatbox.com/fr/blogs/bee-species/tagged/bee-conservation" TargetMode="External"/><Relationship Id="rId332" Type="http://schemas.openxmlformats.org/officeDocument/2006/relationships/hyperlink" Target="https://www.bigbatbox.com/de/blogs/habitat-of-bats/tagged/bat-control" TargetMode="External"/><Relationship Id="rId333" Type="http://schemas.openxmlformats.org/officeDocument/2006/relationships/hyperlink" Target="https://www.bigbatbox.com/fr/blogs/wildyard-learn/tagged/bat-houses" TargetMode="External"/><Relationship Id="rId334" Type="http://schemas.openxmlformats.org/officeDocument/2006/relationships/hyperlink" Target="https://www.bigbatbox.com/en-ca/blogs/bee-species/tagged/environmental-sustainability" TargetMode="External"/><Relationship Id="rId335" Type="http://schemas.openxmlformats.org/officeDocument/2006/relationships/hyperlink" Target="https://www.bigbatbox.com/fr/products/bat-house-single-chamber-black" TargetMode="External"/><Relationship Id="rId336" Type="http://schemas.openxmlformats.org/officeDocument/2006/relationships/hyperlink" Target="https://www.bigbatbox.com/en-ca/blogs/wildyard-learn/tagged/bat-houses" TargetMode="External"/><Relationship Id="rId337" Type="http://schemas.openxmlformats.org/officeDocument/2006/relationships/hyperlink" Target="https://www.bigbatbox.com/de/blogs/habitat-of-bats/tagged/wildlife" TargetMode="External"/><Relationship Id="rId338" Type="http://schemas.openxmlformats.org/officeDocument/2006/relationships/hyperlink" Target="https://www.bigbatbox.com/fr/blogs/habitat-of-bats/tagged/conservation" TargetMode="External"/><Relationship Id="rId339" Type="http://schemas.openxmlformats.org/officeDocument/2006/relationships/hyperlink" Target="https://www.bigbatbox.com/en-ca/blogs/fun-facts-about-owls/tagged/owl-nesting-box" TargetMode="External"/><Relationship Id="rId340" Type="http://schemas.openxmlformats.org/officeDocument/2006/relationships/hyperlink" Target="https://www.bigbatbox.com/de/blogs/bee-species/tagged/garden-biodiversity" TargetMode="External"/><Relationship Id="rId341" Type="http://schemas.openxmlformats.org/officeDocument/2006/relationships/hyperlink" Target="https://www.bigbatbox.com/fr/blogs/bee-species/tagged/garden-biodiversity" TargetMode="External"/><Relationship Id="rId342" Type="http://schemas.openxmlformats.org/officeDocument/2006/relationships/hyperlink" Target="https://www.bigbatbox.com/fr/blogs/fun-facts-about-owls/tagged/owl-nesting-box" TargetMode="External"/><Relationship Id="rId343" Type="http://schemas.openxmlformats.org/officeDocument/2006/relationships/hyperlink" Target="https://www.bigbatbox.com/en-ca/blogs/habitat-of-bats/tagged/wildlife" TargetMode="External"/><Relationship Id="rId344" Type="http://schemas.openxmlformats.org/officeDocument/2006/relationships/hyperlink" Target="https://www.bigbatbox.com/fr/blogs/bee-species/tagged/pollinators" TargetMode="External"/><Relationship Id="rId345" Type="http://schemas.openxmlformats.org/officeDocument/2006/relationships/hyperlink" Target="https://www.bigbatbox.com/es/blogs/fun-facts-about-owls/tagged/bird-house" TargetMode="External"/><Relationship Id="rId346" Type="http://schemas.openxmlformats.org/officeDocument/2006/relationships/hyperlink" Target="https://www.bigbatbox.com/es/blogs/bee-species/tagged/bee-conservation" TargetMode="External"/><Relationship Id="rId347" Type="http://schemas.openxmlformats.org/officeDocument/2006/relationships/hyperlink" Target="https://www.bigbatbox.com/de/blogs/wildyard-learn/tagged/owl-houses" TargetMode="External"/><Relationship Id="rId348" Type="http://schemas.openxmlformats.org/officeDocument/2006/relationships/hyperlink" Target="https://www.bigbatbox.com/fr/blogs/wildyard-learn/tagged/owl-houses" TargetMode="External"/><Relationship Id="rId349" Type="http://schemas.openxmlformats.org/officeDocument/2006/relationships/hyperlink" Target="https://www.bigbatbox.com/en-ca/blogs/habitat-of-bats/tagged/conservation" TargetMode="External"/><Relationship Id="rId350" Type="http://schemas.openxmlformats.org/officeDocument/2006/relationships/hyperlink" Target="https://www.bigbatbox.com/en-ca/blogs/fun-facts-about-owls/tagged/wildlife-conservation" TargetMode="External"/><Relationship Id="rId351" Type="http://schemas.openxmlformats.org/officeDocument/2006/relationships/hyperlink" Target="https://www.bigbatbox.com/es/blogs/wildyard-learn/tagged/bat-houses" TargetMode="External"/><Relationship Id="rId352" Type="http://schemas.openxmlformats.org/officeDocument/2006/relationships/hyperlink" Target="https://www.bigbatbox.com/en-ca/blogs/habitat-of-bats/tagged/ecosystem" TargetMode="External"/><Relationship Id="rId353" Type="http://schemas.openxmlformats.org/officeDocument/2006/relationships/hyperlink" Target="https://www.bigbatbox.com/de/blogs/bee-species/tagged/bee-conservation" TargetMode="External"/><Relationship Id="rId354" Type="http://schemas.openxmlformats.org/officeDocument/2006/relationships/hyperlink" Target="https://www.bigbatbox.com/en-ca/collections/bee-houses" TargetMode="External"/><Relationship Id="rId355" Type="http://schemas.openxmlformats.org/officeDocument/2006/relationships/hyperlink" Target="https://www.bigbatbox.com/en-ca/blogs/wildyard-learn/tagged/wildlife-shelter" TargetMode="External"/><Relationship Id="rId356" Type="http://schemas.openxmlformats.org/officeDocument/2006/relationships/hyperlink" Target="https://www.bigbatbox.com/de/blogs/habitat-of-bats/tagged/conservation" TargetMode="External"/><Relationship Id="rId357" Type="http://schemas.openxmlformats.org/officeDocument/2006/relationships/hyperlink" Target="https://www.bigbatbox.com/es/blogs/wildyard-learn/tagged/owl-houses" TargetMode="External"/><Relationship Id="rId358" Type="http://schemas.openxmlformats.org/officeDocument/2006/relationships/hyperlink" Target="https://www.bigbatbox.com/en-ca/blogs/wildyard-learn/tagged/owl-houses" TargetMode="External"/><Relationship Id="rId359" Type="http://schemas.openxmlformats.org/officeDocument/2006/relationships/hyperlink" Target="https://www.bigbatbox.com/en-ca/blogs/bee-species/tagged/environmental-health" TargetMode="External"/><Relationship Id="rId360" Type="http://schemas.openxmlformats.org/officeDocument/2006/relationships/hyperlink" Target="https://www.bigbatbox.com/es/blogs/fun-facts-about-owls/tagged/screech-owl-box" TargetMode="External"/><Relationship Id="rId361" Type="http://schemas.openxmlformats.org/officeDocument/2006/relationships/hyperlink" Target="https://www.bigbatbox.com/en-ca/blogs/bee-species/tagged/biodiversity" TargetMode="External"/><Relationship Id="rId362" Type="http://schemas.openxmlformats.org/officeDocument/2006/relationships/hyperlink" Target="https://www.bigbatbox.com/de/blogs/habitat-of-bats/tagged/bat-removal" TargetMode="External"/><Relationship Id="rId363" Type="http://schemas.openxmlformats.org/officeDocument/2006/relationships/hyperlink" Target="https://www.bigbatbox.com/de/blogs/wildyard-learn/tagged/wildlife-care" TargetMode="External"/><Relationship Id="rId364" Type="http://schemas.openxmlformats.org/officeDocument/2006/relationships/hyperlink" Target="https://www.bigbatbox.com/fr/collections/big-bat-barn-three-chamber-premium" TargetMode="External"/><Relationship Id="rId365" Type="http://schemas.openxmlformats.org/officeDocument/2006/relationships/hyperlink" Target="https://www.bigbatbox.com/fr/collections/bee-houses" TargetMode="External"/><Relationship Id="rId366" Type="http://schemas.openxmlformats.org/officeDocument/2006/relationships/hyperlink" Target="https://www.bigbatbox.com/fr/blogs/wildyard-learn/tagged/habitat-conservation" TargetMode="External"/><Relationship Id="rId367" Type="http://schemas.openxmlformats.org/officeDocument/2006/relationships/hyperlink" Target="https://www.bigbatbox.com/de/blogs/habitat-of-bats/tagged/pest-control" TargetMode="External"/><Relationship Id="rId368" Type="http://schemas.openxmlformats.org/officeDocument/2006/relationships/hyperlink" Target="https://www.bigbatbox.com/en-ca/blogs/bee-species/tagged/ecosystem" TargetMode="External"/><Relationship Id="rId369" Type="http://schemas.openxmlformats.org/officeDocument/2006/relationships/hyperlink" Target="https://www.bigbatbox.com/fr/blogs/fun-facts-about-owls/tagged/owl-box" TargetMode="External"/><Relationship Id="rId370" Type="http://schemas.openxmlformats.org/officeDocument/2006/relationships/hyperlink" Target="https://www.bigbatbox.com/fr/blogs/habitat-of-bats/tagged/get-rid-of-bats" TargetMode="External"/><Relationship Id="rId371" Type="http://schemas.openxmlformats.org/officeDocument/2006/relationships/hyperlink" Target="https://www.bigbatbox.com/es/blogs/habitat-of-bats/tagged/pollination" TargetMode="External"/><Relationship Id="rId372" Type="http://schemas.openxmlformats.org/officeDocument/2006/relationships/hyperlink" Target="https://www.bigbatbox.com/en-ca/blogs/bee-species/tagged/bee-hotels" TargetMode="External"/><Relationship Id="rId373" Type="http://schemas.openxmlformats.org/officeDocument/2006/relationships/hyperlink" Target="https://www.bigbatbox.com/en-ca/blogs/bee-species/tagged/garden-biodiversity" TargetMode="External"/><Relationship Id="rId374" Type="http://schemas.openxmlformats.org/officeDocument/2006/relationships/hyperlink" Target="https://www.bigbatbox.com/fr/blogs/fun-facts-about-owls/tagged/barn-owl-box" TargetMode="External"/><Relationship Id="rId375" Type="http://schemas.openxmlformats.org/officeDocument/2006/relationships/hyperlink" Target="https://www.bigbatbox.com/de/blogs/habitat-of-bats/tagged/pollination" TargetMode="External"/><Relationship Id="rId376" Type="http://schemas.openxmlformats.org/officeDocument/2006/relationships/hyperlink" Target="https://www.bigbatbox.com/de/blogs/bee-species/tagged/biodiversity" TargetMode="External"/><Relationship Id="rId377" Type="http://schemas.openxmlformats.org/officeDocument/2006/relationships/hyperlink" Target="https://www.bigbatbox.com/fr/blogs/bee-species/tagged/bee-hotels" TargetMode="External"/><Relationship Id="rId378" Type="http://schemas.openxmlformats.org/officeDocument/2006/relationships/hyperlink" Target="https://www.bigbatbox.com/es/blogs/bee-species/tagged/bee-hotels" TargetMode="External"/><Relationship Id="rId379" Type="http://schemas.openxmlformats.org/officeDocument/2006/relationships/hyperlink" Target="https://www.bigbatbox.com/de/blogs/wildyard-learn/tagged/wildlife-shelter" TargetMode="External"/><Relationship Id="rId380" Type="http://schemas.openxmlformats.org/officeDocument/2006/relationships/hyperlink" Target="https://www.bigbatbox.com/es/blogs/fun-facts-about-owls/tagged/owl-box" TargetMode="External"/><Relationship Id="rId381" Type="http://schemas.openxmlformats.org/officeDocument/2006/relationships/hyperlink" Target="https://www.bigbatbox.com/en-ca/blogs/fun-facts-about-owls/tagged/screech-owl-box" TargetMode="External"/><Relationship Id="rId382" Type="http://schemas.openxmlformats.org/officeDocument/2006/relationships/hyperlink" Target="https://www.bigbatbox.com/en-ca/blogs/habitat-of-bats/tagged/pollination" TargetMode="External"/><Relationship Id="rId383" Type="http://schemas.openxmlformats.org/officeDocument/2006/relationships/hyperlink" Target="https://www.bigbatbox.com/en-ca/blogs/habitat-of-bats/tagged/bat-prevention" TargetMode="External"/><Relationship Id="rId384" Type="http://schemas.openxmlformats.org/officeDocument/2006/relationships/hyperlink" Target="https://www.bigbatbox.com/fr/blogs/bee-species/tagged/bees" TargetMode="External"/><Relationship Id="rId385" Type="http://schemas.openxmlformats.org/officeDocument/2006/relationships/hyperlink" Target="https://www.bigbatbox.com/fr/pages/data-sharing-opt-out" TargetMode="External"/><Relationship Id="rId386" Type="http://schemas.openxmlformats.org/officeDocument/2006/relationships/hyperlink" Target="https://www.bigbatbox.com/it/pages/data-sharing-opt-out" TargetMode="External"/><Relationship Id="rId387" Type="http://schemas.openxmlformats.org/officeDocument/2006/relationships/hyperlink" Target="https://www.bigbatbox.com/en-ca/pages/data-sharing-opt-out" TargetMode="External"/><Relationship Id="rId388" Type="http://schemas.openxmlformats.org/officeDocument/2006/relationships/hyperlink" Target="https://www.bigbatbox.com/it/products/squirrel-feeder" TargetMode="External"/><Relationship Id="rId389" Type="http://schemas.openxmlformats.org/officeDocument/2006/relationships/hyperlink" Target="https://www.bigbatbox.com/it/products/bird-suet-feeder" TargetMode="External"/><Relationship Id="rId390" Type="http://schemas.openxmlformats.org/officeDocument/2006/relationships/hyperlink" Target="https://www.bigbatbox.com/fr/products/bird-suet-feeder" TargetMode="External"/><Relationship Id="rId391" Type="http://schemas.openxmlformats.org/officeDocument/2006/relationships/hyperlink" Target="https://www.bigbatbox.com/en-ca/products/bird-suet-feeder" TargetMode="External"/><Relationship Id="rId392" Type="http://schemas.openxmlformats.org/officeDocument/2006/relationships/hyperlink" Target="https://www.bigbatbox.com/en-ca/blogs/habitat-of-bats/where-to-mount-a-bat-house-in-the-usa-simple-guide-for-best-results" TargetMode="External"/><Relationship Id="rId393" Type="http://schemas.openxmlformats.org/officeDocument/2006/relationships/hyperlink" Target="https://www.bigbatbox.com/products/bird-suet-feeder" TargetMode="External"/><Relationship Id="rId394" Type="http://schemas.openxmlformats.org/officeDocument/2006/relationships/hyperlink" Target="https://www.bigbatbox.com/it/blogs/habitat-of-bats/where-to-mount-a-bat-house-in-the-usa-simple-guide-for-best-results" TargetMode="External"/><Relationship Id="rId395" Type="http://schemas.openxmlformats.org/officeDocument/2006/relationships/hyperlink" Target="https://www.bigbatbox.com/fr/blogs/habitat-of-bats/where-to-mount-a-bat-house-in-the-usa-simple-guide-for-best-results" TargetMode="External"/><Relationship Id="rId396" Type="http://schemas.openxmlformats.org/officeDocument/2006/relationships/hyperlink" Target="https://www.bigbatbox.com/de/products/bird-suet-feeder" TargetMode="External"/><Relationship Id="rId397" Type="http://schemas.openxmlformats.org/officeDocument/2006/relationships/hyperlink" Target="https://www.bigbatbox.com/it/blogs/habitat-of-bats/difference-between-one-two-and-three-chamber-bat-boxes-simple-guide-for-homeowners" TargetMode="External"/><Relationship Id="rId398" Type="http://schemas.openxmlformats.org/officeDocument/2006/relationships/hyperlink" Target="https://www.bigbatbox.com/es/products/bird-suet-feeder" TargetMode="External"/><Relationship Id="rId399" Type="http://schemas.openxmlformats.org/officeDocument/2006/relationships/hyperlink" Target="https://www.bigbatbox.com/fr/blogs/habitat-of-bats/difference-between-one-two-and-three-chamber-bat-boxes-simple-guide-for-homeowners" TargetMode="External"/><Relationship Id="rId400" Type="http://schemas.openxmlformats.org/officeDocument/2006/relationships/hyperlink" Target="https://www.bigbatbox.com/en-ca/blogs/habitat-of-bats/difference-between-one-two-and-three-chamber-bat-boxes-simple-guide-for-homeowners" TargetMode="External"/><Relationship Id="rId401" Type="http://schemas.openxmlformats.org/officeDocument/2006/relationships/hyperlink" Target="https://www.bigbatbox.com/fr/blogs/types-of-squirrels/squirrel-feeder-guide" TargetMode="External"/><Relationship Id="rId402" Type="http://schemas.openxmlformats.org/officeDocument/2006/relationships/hyperlink" Target="https://www.bigbatbox.com/en-ca/blogs/fun-facts-about-owls/why-owl-boxes-are-the-best-natural-pest-control" TargetMode="External"/><Relationship Id="rId403" Type="http://schemas.openxmlformats.org/officeDocument/2006/relationships/hyperlink" Target="https://www.bigbatbox.com/it/products/double-chamber-bat-house-brown" TargetMode="External"/><Relationship Id="rId404" Type="http://schemas.openxmlformats.org/officeDocument/2006/relationships/hyperlink" Target="https://www.bigbatbox.com/fr/blogs/types-of-squirrels/squirrel-house-guide" TargetMode="External"/><Relationship Id="rId405" Type="http://schemas.openxmlformats.org/officeDocument/2006/relationships/hyperlink" Target="https://www.bigbatbox.com/en-ca/blogs/bee-species/how-do-bees-pollinate" TargetMode="External"/><Relationship Id="rId406" Type="http://schemas.openxmlformats.org/officeDocument/2006/relationships/hyperlink" Target="https://www.bigbatbox.com/fr/blogs/fun-facts-about-owls/how-to-attract-owls-a-comprehensive-guide" TargetMode="External"/><Relationship Id="rId407" Type="http://schemas.openxmlformats.org/officeDocument/2006/relationships/hyperlink" Target="https://www.bigbatbox.com/it/blogs/types-of-squirrels/what-to-feed-squirrels-year-round" TargetMode="External"/><Relationship Id="rId408" Type="http://schemas.openxmlformats.org/officeDocument/2006/relationships/hyperlink" Target="https://www.bigbatbox.com/fr/blogs/bee-species/how-do-bees-pollinate" TargetMode="External"/><Relationship Id="rId409" Type="http://schemas.openxmlformats.org/officeDocument/2006/relationships/hyperlink" Target="https://www.bigbatbox.com/it/blogs/types-of-squirrels/squirrel-feeder-guide" TargetMode="External"/><Relationship Id="rId410" Type="http://schemas.openxmlformats.org/officeDocument/2006/relationships/hyperlink" Target="https://www.bigbatbox.com/fr/blogs/types-of-squirrels/squirrel-house-vs-squirrel-feeder" TargetMode="External"/><Relationship Id="rId411" Type="http://schemas.openxmlformats.org/officeDocument/2006/relationships/hyperlink" Target="https://www.bigbatbox.com/fr/blogs/bee-species/what-do-bees-eat" TargetMode="External"/><Relationship Id="rId412" Type="http://schemas.openxmlformats.org/officeDocument/2006/relationships/hyperlink" Target="https://www.bigbatbox.com/fr/blogs/types-of-squirrels/tagged/nocturnal-animals" TargetMode="External"/><Relationship Id="rId413" Type="http://schemas.openxmlformats.org/officeDocument/2006/relationships/hyperlink" Target="https://www.bigbatbox.com/it/blogs/bee-species/how-to-maintain-your-bee-house-through-the-seasons" TargetMode="External"/><Relationship Id="rId414" Type="http://schemas.openxmlformats.org/officeDocument/2006/relationships/hyperlink" Target="https://www.bigbatbox.com/en-ca/blogs/bee-species/what-do-bees-eat" TargetMode="External"/><Relationship Id="rId415" Type="http://schemas.openxmlformats.org/officeDocument/2006/relationships/hyperlink" Target="https://www.bigbatbox.com/fr/blogs/habitat-of-bats/can-bats-live-near-people-safely" TargetMode="External"/><Relationship Id="rId416" Type="http://schemas.openxmlformats.org/officeDocument/2006/relationships/hyperlink" Target="https://www.bigbatbox.com/it/blogs/fun-facts-about-owls/5-things-you-didn-t-know-about-eastern-screech-owls" TargetMode="External"/><Relationship Id="rId417" Type="http://schemas.openxmlformats.org/officeDocument/2006/relationships/hyperlink" Target="https://www.bigbatbox.com/it/blogs/types-of-squirrels/squirrel-house-vs-squirrel-feeder" TargetMode="External"/><Relationship Id="rId418" Type="http://schemas.openxmlformats.org/officeDocument/2006/relationships/hyperlink" Target="https://www.bigbatbox.com/en-ca/blogs/types-of-squirrels/squirrel-feeder-guide" TargetMode="External"/><Relationship Id="rId419" Type="http://schemas.openxmlformats.org/officeDocument/2006/relationships/hyperlink" Target="https://www.bigbatbox.com/fr/blogs/types-of-squirrels/what-to-feed-squirrels-year-round" TargetMode="External"/><Relationship Id="rId420" Type="http://schemas.openxmlformats.org/officeDocument/2006/relationships/hyperlink" Target="https://www.bigbatbox.com/en-ca/blogs/habitat-of-bats/what-do-bats-eat-find-out-some-interesting-bat-food-choices" TargetMode="External"/><Relationship Id="rId421" Type="http://schemas.openxmlformats.org/officeDocument/2006/relationships/hyperlink" Target="https://www.bigbatbox.com/it/blogs/habitat-of-bats/what-do-bats-eat-find-out-some-interesting-bat-food-choices" TargetMode="External"/><Relationship Id="rId422" Type="http://schemas.openxmlformats.org/officeDocument/2006/relationships/hyperlink" Target="https://www.bigbatbox.com/en-ca/blogs/fun-facts-about-owls/5-things-you-didn-t-know-about-eastern-screech-owls" TargetMode="External"/><Relationship Id="rId423" Type="http://schemas.openxmlformats.org/officeDocument/2006/relationships/hyperlink" Target="https://www.bigbatbox.com/en-ca/blogs/fun-facts-about-owls/the-silent-hunters-why-owl-boxes-and-bat-boxes-shouldnt-mix" TargetMode="External"/><Relationship Id="rId424" Type="http://schemas.openxmlformats.org/officeDocument/2006/relationships/hyperlink" Target="https://www.bigbatbox.com/it/blogs/bee-species/why-are-bees-important" TargetMode="External"/><Relationship Id="rId425" Type="http://schemas.openxmlformats.org/officeDocument/2006/relationships/hyperlink" Target="https://www.bigbatbox.com/it/products/big-bat-barn" TargetMode="External"/><Relationship Id="rId426" Type="http://schemas.openxmlformats.org/officeDocument/2006/relationships/hyperlink" Target="https://www.bigbatbox.com/it/blogs/types-of-squirrels/squirrel-house-guide" TargetMode="External"/><Relationship Id="rId427" Type="http://schemas.openxmlformats.org/officeDocument/2006/relationships/hyperlink" Target="https://www.bigbatbox.com/fr/blogs/fun-facts-about-owls/the-silent-hunters-why-owl-boxes-and-bat-boxes-shouldnt-mix" TargetMode="External"/><Relationship Id="rId428" Type="http://schemas.openxmlformats.org/officeDocument/2006/relationships/hyperlink" Target="https://www.bigbatbox.com/it/blogs/bee-species/how-do-bees-pollinate" TargetMode="External"/><Relationship Id="rId429" Type="http://schemas.openxmlformats.org/officeDocument/2006/relationships/hyperlink" Target="https://www.bigbatbox.com/fr/blogs/fun-facts-about-owls/5-things-you-didn-t-know-about-eastern-screech-owls" TargetMode="External"/><Relationship Id="rId430" Type="http://schemas.openxmlformats.org/officeDocument/2006/relationships/hyperlink" Target="https://www.bigbatbox.com/it/products/double-chamber-bat-house-cedar" TargetMode="External"/><Relationship Id="rId431" Type="http://schemas.openxmlformats.org/officeDocument/2006/relationships/hyperlink" Target="https://www.bigbatbox.com/it/blogs/fun-facts-about-owls/the-silent-hunters-why-owl-boxes-and-bat-boxes-shouldnt-mix" TargetMode="External"/><Relationship Id="rId432" Type="http://schemas.openxmlformats.org/officeDocument/2006/relationships/hyperlink" Target="https://www.bigbatbox.com/en-ca/blogs/habitat-of-bats/can-bats-live-near-people-safely" TargetMode="External"/><Relationship Id="rId433" Type="http://schemas.openxmlformats.org/officeDocument/2006/relationships/hyperlink" Target="https://www.bigbatbox.com/fr/blogs/bee-species/how-to-maintain-your-bee-house-through-the-seasons" TargetMode="External"/><Relationship Id="rId434" Type="http://schemas.openxmlformats.org/officeDocument/2006/relationships/hyperlink" Target="https://www.bigbatbox.com/it/blogs/fun-facts-about-owls/how-to-attract-owls-a-comprehensive-guide" TargetMode="External"/><Relationship Id="rId435" Type="http://schemas.openxmlformats.org/officeDocument/2006/relationships/hyperlink" Target="https://www.bigbatbox.com/it/products/certified-triple-chamber-bat-house-unfinished" TargetMode="External"/><Relationship Id="rId436" Type="http://schemas.openxmlformats.org/officeDocument/2006/relationships/hyperlink" Target="https://www.bigbatbox.com/it/blogs/bee-species/what-do-bees-eat" TargetMode="External"/><Relationship Id="rId437" Type="http://schemas.openxmlformats.org/officeDocument/2006/relationships/hyperlink" Target="https://www.bigbatbox.com/fr/blogs/fun-facts-about-owls/why-owl-boxes-are-the-best-natural-pest-control" TargetMode="External"/><Relationship Id="rId438" Type="http://schemas.openxmlformats.org/officeDocument/2006/relationships/hyperlink" Target="https://www.bigbatbox.com/it/products/double-chamber-bat-house-black" TargetMode="External"/><Relationship Id="rId439" Type="http://schemas.openxmlformats.org/officeDocument/2006/relationships/hyperlink" Target="https://www.bigbatbox.com/it/products/big-bat-barn-three-chamber-premium-cedar-bat-barn-black" TargetMode="External"/><Relationship Id="rId440" Type="http://schemas.openxmlformats.org/officeDocument/2006/relationships/hyperlink" Target="https://www.bigbatbox.com/it/blogs/bee-species/bee-wise-how-bee-houses-and-hotels-can-help-save-bees-the-environment" TargetMode="External"/><Relationship Id="rId441" Type="http://schemas.openxmlformats.org/officeDocument/2006/relationships/hyperlink" Target="https://www.bigbatbox.com/it/blogs/habitat-of-bats/can-bats-live-near-people-safely" TargetMode="External"/><Relationship Id="rId442" Type="http://schemas.openxmlformats.org/officeDocument/2006/relationships/hyperlink" Target="https://www.bigbatbox.com/en-ca/blogs/fun-facts-about-owls/how-to-attract-owls-a-comprehensive-guide" TargetMode="External"/><Relationship Id="rId443" Type="http://schemas.openxmlformats.org/officeDocument/2006/relationships/hyperlink" Target="https://www.bigbatbox.com/it/products/certified-triple-chamber-bat-house-black" TargetMode="External"/><Relationship Id="rId444" Type="http://schemas.openxmlformats.org/officeDocument/2006/relationships/hyperlink" Target="https://www.bigbatbox.com/fr/blogs/habitat-of-bats/what-do-bats-eat-find-out-some-interesting-bat-food-choices" TargetMode="External"/><Relationship Id="rId445" Type="http://schemas.openxmlformats.org/officeDocument/2006/relationships/hyperlink" Target="https://www.bigbatbox.com/en-ca/blogs/types-of-squirrels/squirrel-house-guide" TargetMode="External"/><Relationship Id="rId446" Type="http://schemas.openxmlformats.org/officeDocument/2006/relationships/hyperlink" Target="https://www.bigbatbox.com/it/products/three-chamber-bat-house-certified-brown" TargetMode="External"/><Relationship Id="rId447" Type="http://schemas.openxmlformats.org/officeDocument/2006/relationships/hyperlink" Target="https://www.bigbatbox.com/es/blogs/types-of-squirrels/squirrel-house-guide" TargetMode="External"/><Relationship Id="rId448" Type="http://schemas.openxmlformats.org/officeDocument/2006/relationships/hyperlink" Target="https://www.bigbatbox.com/it/blogs/fun-facts-about-owls/why-owl-boxes-are-the-best-natural-pest-control" TargetMode="External"/><Relationship Id="rId449" Type="http://schemas.openxmlformats.org/officeDocument/2006/relationships/hyperlink" Target="https://www.bigbatbox.com/it/blogs/fun-facts-about-owls/owl-nesting-boxes-providing-safe-havens-for-nighttime-raptors" TargetMode="External"/><Relationship Id="rId450" Type="http://schemas.openxmlformats.org/officeDocument/2006/relationships/hyperlink" Target="https://www.bigbatbox.com/it/blogs/habitat-of-bats/big-bat-box-comparison" TargetMode="External"/><Relationship Id="rId451" Type="http://schemas.openxmlformats.org/officeDocument/2006/relationships/hyperlink" Target="https://www.bigbatbox.com/en-ca/blogs/types-of-squirrels/tagged/squirrel-care" TargetMode="External"/><Relationship Id="rId452" Type="http://schemas.openxmlformats.org/officeDocument/2006/relationships/hyperlink" Target="https://www.bigbatbox.com/en-ca/blogs/backyard-birds" TargetMode="External"/><Relationship Id="rId453" Type="http://schemas.openxmlformats.org/officeDocument/2006/relationships/hyperlink" Target="https://www.bigbatbox.com/en-ca/blogs/habitat-of-bats/bci-certificate-why-you-should-care-about-it" TargetMode="External"/><Relationship Id="rId454" Type="http://schemas.openxmlformats.org/officeDocument/2006/relationships/hyperlink" Target="https://www.bigbatbox.com/it/blogs/bee-species/tagged/pollinators" TargetMode="External"/><Relationship Id="rId455" Type="http://schemas.openxmlformats.org/officeDocument/2006/relationships/hyperlink" Target="https://www.bigbatbox.com/es/blogs/habitat-of-bats/tagged/mosquito-controlbackyard-wildlife" TargetMode="External"/><Relationship Id="rId456" Type="http://schemas.openxmlformats.org/officeDocument/2006/relationships/hyperlink" Target="https://www.bigbatbox.com/fr/blogs/habitat-of-bats/tagged/home-conservation-tips" TargetMode="External"/><Relationship Id="rId457" Type="http://schemas.openxmlformats.org/officeDocument/2006/relationships/hyperlink" Target="https://www.bigbatbox.com/en-ca/blogs/backyard-birds/tagged/suet-feeder" TargetMode="External"/><Relationship Id="rId458" Type="http://schemas.openxmlformats.org/officeDocument/2006/relationships/hyperlink" Target="https://www.bigbatbox.com/it/blogs/habitat-of-bats/tagged/bat-conservation" TargetMode="External"/><Relationship Id="rId459" Type="http://schemas.openxmlformats.org/officeDocument/2006/relationships/hyperlink" Target="https://www.bigbatbox.com/fr/blogs/habitat-of-bats/the-surprising-benefits-of-bat-boxes-and-why-you-should-have-one" TargetMode="External"/><Relationship Id="rId460" Type="http://schemas.openxmlformats.org/officeDocument/2006/relationships/hyperlink" Target="https://www.bigbatbox.com/it/blogs/habitat-of-bats/tagged/bat-house-wall-mount" TargetMode="External"/><Relationship Id="rId461" Type="http://schemas.openxmlformats.org/officeDocument/2006/relationships/hyperlink" Target="https://www.bigbatbox.com/fr/blogs/habitat-of-bats/tagged/one-chamber-bat-box" TargetMode="External"/><Relationship Id="rId462" Type="http://schemas.openxmlformats.org/officeDocument/2006/relationships/hyperlink" Target="https://www.bigbatbox.com/en-ca/blogs/backyard-birds/tagged/woodpeckers" TargetMode="External"/><Relationship Id="rId463" Type="http://schemas.openxmlformats.org/officeDocument/2006/relationships/hyperlink" Target="https://www.bigbatbox.com/de/blogs/types-of-squirrels/tagged/squirrel-behavior" TargetMode="External"/><Relationship Id="rId464" Type="http://schemas.openxmlformats.org/officeDocument/2006/relationships/hyperlink" Target="https://www.bigbatbox.com/it/blogs/habitat-of-bats/tagged/dark-bat-houses" TargetMode="External"/><Relationship Id="rId465" Type="http://schemas.openxmlformats.org/officeDocument/2006/relationships/hyperlink" Target="https://www.bigbatbox.com/fr/blogs/types-of-squirrels/tagged/cedar-habitat" TargetMode="External"/><Relationship Id="rId466" Type="http://schemas.openxmlformats.org/officeDocument/2006/relationships/hyperlink" Target="https://www.bigbatbox.com/it/collections/big-bat-barn-three-chamber-premium" TargetMode="External"/><Relationship Id="rId467" Type="http://schemas.openxmlformats.org/officeDocument/2006/relationships/hyperlink" Target="https://www.bigbatbox.com/de/blogs/habitat-of-bats/tagged/best-bat-houses-for-cold-states" TargetMode="External"/><Relationship Id="rId468" Type="http://schemas.openxmlformats.org/officeDocument/2006/relationships/hyperlink" Target="https://www.bigbatbox.com/de/blogs/habitat-of-bats/tagged/bat-house-chambers" TargetMode="External"/><Relationship Id="rId469" Type="http://schemas.openxmlformats.org/officeDocument/2006/relationships/hyperlink" Target="https://www.bigbatbox.com/it/blogs/habitat-of-bats/tagged/2026-trends" TargetMode="External"/><Relationship Id="rId470" Type="http://schemas.openxmlformats.org/officeDocument/2006/relationships/hyperlink" Target="https://www.bigbatbox.com/de/blogs/habitat-of-bats/tagged/bat-house-advice" TargetMode="External"/><Relationship Id="rId471" Type="http://schemas.openxmlformats.org/officeDocument/2006/relationships/hyperlink" Target="https://www.bigbatbox.com/en-ca/blogs/habitat-of-bats?page=2" TargetMode="External"/><Relationship Id="rId472" Type="http://schemas.openxmlformats.org/officeDocument/2006/relationships/hyperlink" Target="https://www.bigbatbox.com/fr/blogs/habitat-of-bats/tagged/three-chamber-bat-box" TargetMode="External"/><Relationship Id="rId473" Type="http://schemas.openxmlformats.org/officeDocument/2006/relationships/hyperlink" Target="https://www.bigbatbox.com/de/blogs/backyard-birds/tagged/summer-feeding" TargetMode="External"/><Relationship Id="rId474" Type="http://schemas.openxmlformats.org/officeDocument/2006/relationships/hyperlink" Target="https://www.bigbatbox.com/es/blogs/types-of-squirrels/tagged/squirrel-habitat" TargetMode="External"/><Relationship Id="rId475" Type="http://schemas.openxmlformats.org/officeDocument/2006/relationships/hyperlink" Target="https://www.bigbatbox.com/fr/blogs/fun-facts-about-owls/tagged/owl-diet" TargetMode="External"/><Relationship Id="rId476" Type="http://schemas.openxmlformats.org/officeDocument/2006/relationships/hyperlink" Target="https://www.bigbatbox.com/it/collections/bat-barn-junior" TargetMode="External"/><Relationship Id="rId477" Type="http://schemas.openxmlformats.org/officeDocument/2006/relationships/hyperlink" Target="https://www.bigbatbox.com/de/blogs/habitat-of-bats/tagged/bat-box-guide" TargetMode="External"/><Relationship Id="rId478" Type="http://schemas.openxmlformats.org/officeDocument/2006/relationships/hyperlink" Target="https://www.bigbatbox.com/it/blogs/habitat-of-bats/tagged/night-guardians" TargetMode="External"/><Relationship Id="rId479" Type="http://schemas.openxmlformats.org/officeDocument/2006/relationships/hyperlink" Target="https://www.bigbatbox.com/fr/blogs/bee-species/tagged/fun-facts-about-bees" TargetMode="External"/><Relationship Id="rId480" Type="http://schemas.openxmlformats.org/officeDocument/2006/relationships/hyperlink" Target="https://www.bigbatbox.com/en-ca/blogs/fun-facts-about-owls?page=2" TargetMode="External"/><Relationship Id="rId481" Type="http://schemas.openxmlformats.org/officeDocument/2006/relationships/hyperlink" Target="https://www.bigbatbox.com/it/blogs/wildyard-learn/tagged/eco-friendly-gardening" TargetMode="External"/><Relationship Id="rId482" Type="http://schemas.openxmlformats.org/officeDocument/2006/relationships/hyperlink" Target="https://www.bigbatbox.com/fr/blogs/backyard-birds/tagged/suet-for-birds" TargetMode="External"/><Relationship Id="rId483" Type="http://schemas.openxmlformats.org/officeDocument/2006/relationships/hyperlink" Target="https://www.bigbatbox.com/fr/blogs/habitat-of-bats/7-benefits-of-bat-houses" TargetMode="External"/><Relationship Id="rId484" Type="http://schemas.openxmlformats.org/officeDocument/2006/relationships/hyperlink" Target="https://www.bigbatbox.com/en-ca/blogs/habitat-of-bats/tagged/wildlife-friendly-home" TargetMode="External"/><Relationship Id="rId485" Type="http://schemas.openxmlformats.org/officeDocument/2006/relationships/hyperlink" Target="https://www.bigbatbox.com/blogs/habitat-of-bats/tagged/bat-in-the-house-in-winter" TargetMode="External"/><Relationship Id="rId486" Type="http://schemas.openxmlformats.org/officeDocument/2006/relationships/hyperlink" Target="https://www.bigbatbox.com/blogs/fun-facts-about-owls/tagged/ecological-balance" TargetMode="External"/><Relationship Id="rId487" Type="http://schemas.openxmlformats.org/officeDocument/2006/relationships/hyperlink" Target="https://www.bigbatbox.com/it/blogs/habitat-of-bats/tagged/backyard-pest-control" TargetMode="External"/><Relationship Id="rId488" Type="http://schemas.openxmlformats.org/officeDocument/2006/relationships/hyperlink" Target="https://www.bigbatbox.com/it/blogs/habitat-of-bats/tagged/pollination" TargetMode="External"/><Relationship Id="rId489" Type="http://schemas.openxmlformats.org/officeDocument/2006/relationships/hyperlink" Target="https://www.bigbatbox.com/de/blogs/backyard-birds/tagged/seasonal-feeding" TargetMode="External"/><Relationship Id="rId490" Type="http://schemas.openxmlformats.org/officeDocument/2006/relationships/hyperlink" Target="https://www.bigbatbox.com/es/blogs/habitat-of-bats/tagged/one-chamber-bat-box" TargetMode="External"/><Relationship Id="rId491" Type="http://schemas.openxmlformats.org/officeDocument/2006/relationships/hyperlink" Target="https://www.bigbatbox.com/it/blogs/habitat-of-bats/tagged/bat-house-pole" TargetMode="External"/><Relationship Id="rId492" Type="http://schemas.openxmlformats.org/officeDocument/2006/relationships/hyperlink" Target="https://www.bigbatbox.com/en-ca/blogs/habitat-of-bats/tagged/bat-hibernation" TargetMode="External"/><Relationship Id="rId493" Type="http://schemas.openxmlformats.org/officeDocument/2006/relationships/hyperlink" Target="https://www.bigbatbox.com/it/blogs/backyard-birds/tagged/starlings" TargetMode="External"/><Relationship Id="rId494" Type="http://schemas.openxmlformats.org/officeDocument/2006/relationships/hyperlink" Target="https://www.bigbatbox.com/de/blogs/fun-facts-about-owls/tagged/wildlife-lifespan" TargetMode="External"/><Relationship Id="rId495" Type="http://schemas.openxmlformats.org/officeDocument/2006/relationships/hyperlink" Target="https://www.bigbatbox.com/es/blogs/fun-facts-about-owls/tagged/owl-calls" TargetMode="External"/><Relationship Id="rId496" Type="http://schemas.openxmlformats.org/officeDocument/2006/relationships/hyperlink" Target="https://www.bigbatbox.com/blogs/habitat-of-bats/tagged/home-conservation-tips" TargetMode="External"/><Relationship Id="rId497" Type="http://schemas.openxmlformats.org/officeDocument/2006/relationships/hyperlink" Target="https://www.bigbatbox.com/fr/blogs/habitat-of-bats/tagged/bat-roost-guide" TargetMode="External"/><Relationship Id="rId498" Type="http://schemas.openxmlformats.org/officeDocument/2006/relationships/hyperlink" Target="https://www.bigbatbox.com/it/blogs/habitat-of-bats/tagged/bat-hibernation" TargetMode="External"/><Relationship Id="rId499" Type="http://schemas.openxmlformats.org/officeDocument/2006/relationships/hyperlink" Target="https://www.bigbatbox.com/en-ca/blogs/backyard-birds/tagged/hot-pepper-suet" TargetMode="External"/><Relationship Id="rId500" Type="http://schemas.openxmlformats.org/officeDocument/2006/relationships/hyperlink" Target="https://www.bigbatbox.com/fr/blogs/habitat-of-bats/tagged/bat-houses-for-cold-climates" TargetMode="External"/><Relationship Id="rId501" Type="http://schemas.openxmlformats.org/officeDocument/2006/relationships/hyperlink" Target="https://www.bigbatbox.com/it/blogs/habitat-of-bats/tagged/bat-house-chambers" TargetMode="External"/><Relationship Id="rId502" Type="http://schemas.openxmlformats.org/officeDocument/2006/relationships/hyperlink" Target="https://www.bigbatbox.com/it/blogs/fun-facts-about-owls/tagged/bird-habitats" TargetMode="External"/><Relationship Id="rId503" Type="http://schemas.openxmlformats.org/officeDocument/2006/relationships/hyperlink" Target="https://www.bigbatbox.com/blogs/types-of-squirrels/tagged/squirrel-nesting-box" TargetMode="External"/><Relationship Id="rId504" Type="http://schemas.openxmlformats.org/officeDocument/2006/relationships/hyperlink" Target="https://www.bigbatbox.com/fr/blogs/types-of-squirrels/tagged/squirrel-habitat" TargetMode="External"/><Relationship Id="rId505" Type="http://schemas.openxmlformats.org/officeDocument/2006/relationships/hyperlink" Target="https://www.bigbatbox.com/it/blogs/habitat-of-bats/tagged/bat-house-for-cold-climates" TargetMode="External"/><Relationship Id="rId506" Type="http://schemas.openxmlformats.org/officeDocument/2006/relationships/hyperlink" Target="https://www.bigbatbox.com/it/pages/wildyard-affiliate-program" TargetMode="External"/><Relationship Id="rId507" Type="http://schemas.openxmlformats.org/officeDocument/2006/relationships/hyperlink" Target="https://www.bigbatbox.com/de/blogs/habitat-of-bats/tagged/bat-roost-guide" TargetMode="External"/><Relationship Id="rId508" Type="http://schemas.openxmlformats.org/officeDocument/2006/relationships/hyperlink" Target="https://www.bigbatbox.com/fr/blogs/fun-facts-about-owls/owl-sounds-decoded" TargetMode="External"/><Relationship Id="rId509" Type="http://schemas.openxmlformats.org/officeDocument/2006/relationships/hyperlink" Target="https://www.bigbatbox.com/es/blogs/habitat-of-bats/tagged/endangered-bats" TargetMode="External"/><Relationship Id="rId510" Type="http://schemas.openxmlformats.org/officeDocument/2006/relationships/hyperlink" Target="https://www.bigbatbox.com/en-ca/blogs/habitat-of-bats/tagged/pollinator-friendly-yard" TargetMode="External"/><Relationship Id="rId511" Type="http://schemas.openxmlformats.org/officeDocument/2006/relationships/hyperlink" Target="https://www.bigbatbox.com/it/blogs/habitat-of-bats/the-night-guardians-the-importance-of-bats-to-our-world" TargetMode="External"/><Relationship Id="rId512" Type="http://schemas.openxmlformats.org/officeDocument/2006/relationships/hyperlink" Target="https://www.bigbatbox.com/en-ca/blogs/habitat-of-bats/tagged/bat-roost-guide" TargetMode="External"/><Relationship Id="rId513" Type="http://schemas.openxmlformats.org/officeDocument/2006/relationships/hyperlink" Target="https://www.bigbatbox.com/en-ca/blogs/wildyard-news" TargetMode="External"/><Relationship Id="rId514" Type="http://schemas.openxmlformats.org/officeDocument/2006/relationships/hyperlink" Target="https://www.bigbatbox.com/en-ca/blogs/bee-species/tagged/leafcutter-bees" TargetMode="External"/><Relationship Id="rId515" Type="http://schemas.openxmlformats.org/officeDocument/2006/relationships/hyperlink" Target="https://www.bigbatbox.com/fr/blogs/bee-species/tagged/pollinator-habitat" TargetMode="External"/><Relationship Id="rId516" Type="http://schemas.openxmlformats.org/officeDocument/2006/relationships/hyperlink" Target="https://www.bigbatbox.com/de/blogs/habitat-of-bats/tagged/bat-conservation" TargetMode="External"/><Relationship Id="rId517" Type="http://schemas.openxmlformats.org/officeDocument/2006/relationships/hyperlink" Target="https://www.bigbatbox.com/fr/blogs/habitat-of-bats/tagged/help-bats-at-home" TargetMode="External"/><Relationship Id="rId518" Type="http://schemas.openxmlformats.org/officeDocument/2006/relationships/hyperlink" Target="https://www.bigbatbox.com/de/blogs/backyard-birds/can-you-feed-suet-in-summer" TargetMode="External"/><Relationship Id="rId519" Type="http://schemas.openxmlformats.org/officeDocument/2006/relationships/hyperlink" Target="https://www.bigbatbox.com/it/blogs/types-of-squirrels/tagged/buying-guide" TargetMode="External"/><Relationship Id="rId520" Type="http://schemas.openxmlformats.org/officeDocument/2006/relationships/hyperlink" Target="https://www.bigbatbox.com/de/blogs/bee-species/tagged/bee-house" TargetMode="External"/><Relationship Id="rId521" Type="http://schemas.openxmlformats.org/officeDocument/2006/relationships/hyperlink" Target="https://www.bigbatbox.com/fr/pages/bat-house-guide" TargetMode="External"/><Relationship Id="rId522" Type="http://schemas.openxmlformats.org/officeDocument/2006/relationships/hyperlink" Target="https://www.bigbatbox.com/blogs/bee-species/tagged/bee-biology" TargetMode="External"/><Relationship Id="rId523" Type="http://schemas.openxmlformats.org/officeDocument/2006/relationships/hyperlink" Target="https://www.bigbatbox.com/es/blogs/wildyard-learn/tagged/eco-friendly-gardening" TargetMode="External"/><Relationship Id="rId524" Type="http://schemas.openxmlformats.org/officeDocument/2006/relationships/hyperlink" Target="https://www.bigbatbox.com/fr/pages/wildyard-x-angry-birds-flowerpot-birdhouse-instructions" TargetMode="External"/><Relationship Id="rId525" Type="http://schemas.openxmlformats.org/officeDocument/2006/relationships/hyperlink" Target="https://www.bigbatbox.com/de/blogs/habitat-of-bats/tagged/endangered-bats" TargetMode="External"/><Relationship Id="rId526" Type="http://schemas.openxmlformats.org/officeDocument/2006/relationships/hyperlink" Target="https://www.bigbatbox.com/de/blogs/types-of-squirrels/tagged/wildlife-feeding" TargetMode="External"/><Relationship Id="rId527" Type="http://schemas.openxmlformats.org/officeDocument/2006/relationships/hyperlink" Target="https://www.bigbatbox.com/es/blogs/bee-species/tagged/bee-food-sources" TargetMode="External"/><Relationship Id="rId528" Type="http://schemas.openxmlformats.org/officeDocument/2006/relationships/hyperlink" Target="https://www.bigbatbox.com/es/blogs/habitat-of-bats/tagged/two-chamber-bat-box" TargetMode="External"/><Relationship Id="rId529" Type="http://schemas.openxmlformats.org/officeDocument/2006/relationships/hyperlink" Target="https://www.bigbatbox.com/es/blogs/bee-species/tagged/honey-production" TargetMode="External"/><Relationship Id="rId530" Type="http://schemas.openxmlformats.org/officeDocument/2006/relationships/hyperlink" Target="https://www.bigbatbox.com/fr/blogs/conservation-partners/tagged/birds" TargetMode="External"/><Relationship Id="rId531" Type="http://schemas.openxmlformats.org/officeDocument/2006/relationships/hyperlink" Target="https://www.bigbatbox.com/en-ca/blogs/habitat-of-bats/tagged/wildlife-habitat" TargetMode="External"/><Relationship Id="rId532" Type="http://schemas.openxmlformats.org/officeDocument/2006/relationships/hyperlink" Target="https://www.bigbatbox.com/de/blogs/fun-facts-about-owls/tagged/great-horned-owl" TargetMode="External"/><Relationship Id="rId533" Type="http://schemas.openxmlformats.org/officeDocument/2006/relationships/hyperlink" Target="https://www.bigbatbox.com/fr/blogs/types-of-squirrels/tagged/squirrel-house" TargetMode="External"/><Relationship Id="rId534" Type="http://schemas.openxmlformats.org/officeDocument/2006/relationships/hyperlink" Target="https://www.bigbatbox.com/it/blogs/habitat-of-bats/how-to-get-rid-of-bats" TargetMode="External"/><Relationship Id="rId535" Type="http://schemas.openxmlformats.org/officeDocument/2006/relationships/hyperlink" Target="https://www.bigbatbox.com/it/blogs/habitat-of-bats/tagged/tall-bat-house-design" TargetMode="External"/><Relationship Id="rId536" Type="http://schemas.openxmlformats.org/officeDocument/2006/relationships/hyperlink" Target="https://www.bigbatbox.com/fr/blogs/bee-species/tagged/honey-bees" TargetMode="External"/><Relationship Id="rId537" Type="http://schemas.openxmlformats.org/officeDocument/2006/relationships/hyperlink" Target="https://www.bigbatbox.com/en-ca/blogs/fun-facts-about-owls/tagged/night-sounds" TargetMode="External"/><Relationship Id="rId538" Type="http://schemas.openxmlformats.org/officeDocument/2006/relationships/hyperlink" Target="https://www.bigbatbox.com/it/blogs/habitat-of-bats/11-interesting-things-to-know-about-bat-houses" TargetMode="External"/><Relationship Id="rId539" Type="http://schemas.openxmlformats.org/officeDocument/2006/relationships/hyperlink" Target="https://www.bigbatbox.com/es/blogs/fun-facts-about-owls/tagged/owl-diet" TargetMode="External"/><Relationship Id="rId540" Type="http://schemas.openxmlformats.org/officeDocument/2006/relationships/hyperlink" Target="https://www.bigbatbox.com/it/blogs/habitat-of-bats/tagged/backyard-conservation" TargetMode="External"/><Relationship Id="rId541" Type="http://schemas.openxmlformats.org/officeDocument/2006/relationships/hyperlink" Target="https://www.bigbatbox.com/it/blogs/habitat-of-bats/tagged/bat-house-tips" TargetMode="External"/><Relationship Id="rId542" Type="http://schemas.openxmlformats.org/officeDocument/2006/relationships/hyperlink" Target="https://www.bigbatbox.com/it/blogs/types-of-squirrels/tagged/squirrel-box" TargetMode="External"/><Relationship Id="rId543" Type="http://schemas.openxmlformats.org/officeDocument/2006/relationships/hyperlink" Target="https://www.bigbatbox.com/es/blogs/habitat-of-bats/tagged/bat-boxes" TargetMode="External"/><Relationship Id="rId544" Type="http://schemas.openxmlformats.org/officeDocument/2006/relationships/hyperlink" Target="https://www.bigbatbox.com/it/blogs/habitat-of-bats/tagged/bat-boxes" TargetMode="External"/><Relationship Id="rId545" Type="http://schemas.openxmlformats.org/officeDocument/2006/relationships/hyperlink" Target="https://www.bigbatbox.com/es/blogs/bee-species/tagged/solitary-bees" TargetMode="External"/><Relationship Id="rId546" Type="http://schemas.openxmlformats.org/officeDocument/2006/relationships/hyperlink" Target="https://www.bigbatbox.com/es/blogs/bee-species/tagged/honey-bees" TargetMode="External"/><Relationship Id="rId547" Type="http://schemas.openxmlformats.org/officeDocument/2006/relationships/hyperlink" Target="https://www.bigbatbox.com/fr/blogs/habitat-of-bats/tagged/insect-control-naturally" TargetMode="External"/><Relationship Id="rId548" Type="http://schemas.openxmlformats.org/officeDocument/2006/relationships/hyperlink" Target="https://www.bigbatbox.com/en-ca/blogs/habitat-of-bats/tagged/black-bat-house" TargetMode="External"/><Relationship Id="rId549" Type="http://schemas.openxmlformats.org/officeDocument/2006/relationships/hyperlink" Target="https://www.bigbatbox.com/en-ca/blogs/habitat-of-bats/a-brief-guide-to-building-and-installing-bat-boxes" TargetMode="External"/><Relationship Id="rId550" Type="http://schemas.openxmlformats.org/officeDocument/2006/relationships/hyperlink" Target="https://www.bigbatbox.com/en-ca/blogs/habitat-of-bats/tagged/usa-bat-house-guide" TargetMode="External"/><Relationship Id="rId551" Type="http://schemas.openxmlformats.org/officeDocument/2006/relationships/hyperlink" Target="https://www.bigbatbox.com/en-ca/blogs/types-of-squirrels/tagged/wildlife-lifespan" TargetMode="External"/><Relationship Id="rId552" Type="http://schemas.openxmlformats.org/officeDocument/2006/relationships/hyperlink" Target="https://www.bigbatbox.com/de/blogs/habitat-of-bats/tagged/bat-benefits" TargetMode="External"/><Relationship Id="rId553" Type="http://schemas.openxmlformats.org/officeDocument/2006/relationships/hyperlink" Target="https://www.bigbatbox.com/es/blogs/types-of-squirrels/tagged/wildyard" TargetMode="External"/><Relationship Id="rId554" Type="http://schemas.openxmlformats.org/officeDocument/2006/relationships/hyperlink" Target="https://www.bigbatbox.com/blogs/habitat-of-bats/tagged/mounting-bat-houses" TargetMode="External"/><Relationship Id="rId555" Type="http://schemas.openxmlformats.org/officeDocument/2006/relationships/hyperlink" Target="https://www.bigbatbox.com/fr/blogs/bee-species/tagged/backyard-wildlife" TargetMode="External"/><Relationship Id="rId556" Type="http://schemas.openxmlformats.org/officeDocument/2006/relationships/hyperlink" Target="https://www.bigbatbox.com/it/blogs/conservation-partners/tagged/birds" TargetMode="External"/><Relationship Id="rId557" Type="http://schemas.openxmlformats.org/officeDocument/2006/relationships/hyperlink" Target="https://www.bigbatbox.com/fr/blogs/habitat-of-bats/tagged/cedar-bat-house" TargetMode="External"/><Relationship Id="rId558" Type="http://schemas.openxmlformats.org/officeDocument/2006/relationships/hyperlink" Target="https://www.bigbatbox.com/it/blogs/fun-facts-about-owls/tagged/owl-diet" TargetMode="External"/><Relationship Id="rId559" Type="http://schemas.openxmlformats.org/officeDocument/2006/relationships/hyperlink" Target="https://www.bigbatbox.com/it/blogs/habitat-of-bats/tagged/wildlife-friendly-backyard" TargetMode="External"/><Relationship Id="rId560" Type="http://schemas.openxmlformats.org/officeDocument/2006/relationships/hyperlink" Target="https://www.bigbatbox.com/es/blogs/backyard-birds/tagged/backyard-birds" TargetMode="External"/><Relationship Id="rId561" Type="http://schemas.openxmlformats.org/officeDocument/2006/relationships/hyperlink" Target="https://www.bigbatbox.com/en-ca/blogs/habitat-of-bats/tagged/bat-box-installation" TargetMode="External"/><Relationship Id="rId562" Type="http://schemas.openxmlformats.org/officeDocument/2006/relationships/hyperlink" Target="https://www.bigbatbox.com/it/blogs/wildyard-learn/wildlife-care-expert-guide-to-maintaining-bat-owl-and-bee-houses" TargetMode="External"/><Relationship Id="rId563" Type="http://schemas.openxmlformats.org/officeDocument/2006/relationships/hyperlink" Target="https://www.bigbatbox.com/es/blogs/habitat-of-bats/tagged/night-wildlife-support" TargetMode="External"/><Relationship Id="rId564" Type="http://schemas.openxmlformats.org/officeDocument/2006/relationships/hyperlink" Target="https://www.bigbatbox.com/de/blogs/backyard-birds/keep-squirrels-starlings-off-suet-feeder" TargetMode="External"/><Relationship Id="rId565" Type="http://schemas.openxmlformats.org/officeDocument/2006/relationships/hyperlink" Target="https://www.bigbatbox.com/en-ca/blogs/habitat-of-bats/the-surprising-benefits-of-bat-boxes-and-why-you-should-have-one" TargetMode="External"/><Relationship Id="rId566" Type="http://schemas.openxmlformats.org/officeDocument/2006/relationships/hyperlink" Target="https://www.bigbatbox.com/it/blogs/bee-species/tagged/bees-diet" TargetMode="External"/><Relationship Id="rId567" Type="http://schemas.openxmlformats.org/officeDocument/2006/relationships/hyperlink" Target="https://www.bigbatbox.com/fr/blogs/habitat-of-bats/tagged/wildlife-bat-box-guide" TargetMode="External"/><Relationship Id="rId568" Type="http://schemas.openxmlformats.org/officeDocument/2006/relationships/hyperlink" Target="https://www.bigbatbox.com/de/blogs/habitat-of-bats/tagged/bat-safety" TargetMode="External"/><Relationship Id="rId569" Type="http://schemas.openxmlformats.org/officeDocument/2006/relationships/hyperlink" Target="https://www.bigbatbox.com/de/blogs/habitat-of-bats/tagged/bat-house-height" TargetMode="External"/><Relationship Id="rId570" Type="http://schemas.openxmlformats.org/officeDocument/2006/relationships/hyperlink" Target="https://www.bigbatbox.com/it/blogs/fun-facts-about-owls/tagged/conservation" TargetMode="External"/><Relationship Id="rId571" Type="http://schemas.openxmlformats.org/officeDocument/2006/relationships/hyperlink" Target="https://www.bigbatbox.com/en-ca/blogs/habitat-of-bats/tagged/safe-wildlife-practices" TargetMode="External"/><Relationship Id="rId572" Type="http://schemas.openxmlformats.org/officeDocument/2006/relationships/hyperlink" Target="https://www.bigbatbox.com/es/blogs/bee-species/do-solitary-bees-sting" TargetMode="External"/><Relationship Id="rId573" Type="http://schemas.openxmlformats.org/officeDocument/2006/relationships/hyperlink" Target="https://www.bigbatbox.com/it/blogs/fun-facts-about-owls/tagged/bird-watching" TargetMode="External"/><Relationship Id="rId574" Type="http://schemas.openxmlformats.org/officeDocument/2006/relationships/hyperlink" Target="https://www.bigbatbox.com/de/blogs/wildyard-learn/tagged/bees-and-bats" TargetMode="External"/><Relationship Id="rId575" Type="http://schemas.openxmlformats.org/officeDocument/2006/relationships/hyperlink" Target="https://www.bigbatbox.com/en-ca/blogs/habitat-of-bats/why-bats-are-the-best-mosquito-eaters" TargetMode="External"/><Relationship Id="rId576" Type="http://schemas.openxmlformats.org/officeDocument/2006/relationships/hyperlink" Target="https://www.bigbatbox.com/fr/blogs/habitat-of-bats/how-to-attract-bats-your-go-to-guide" TargetMode="External"/><Relationship Id="rId577" Type="http://schemas.openxmlformats.org/officeDocument/2006/relationships/hyperlink" Target="https://www.bigbatbox.com/blogs/types-of-squirrels/tagged/winter-wildlife" TargetMode="External"/><Relationship Id="rId578" Type="http://schemas.openxmlformats.org/officeDocument/2006/relationships/hyperlink" Target="https://www.bigbatbox.com/de/blogs/fun-facts-about-owls/tagged/owl-facts" TargetMode="External"/><Relationship Id="rId579" Type="http://schemas.openxmlformats.org/officeDocument/2006/relationships/hyperlink" Target="https://www.bigbatbox.com/es/blogs/wildyard-learn/tagged/wildlife-garden" TargetMode="External"/><Relationship Id="rId580" Type="http://schemas.openxmlformats.org/officeDocument/2006/relationships/hyperlink" Target="https://www.bigbatbox.com/es/blogs/backyard-birds/can-you-feed-suet-in-summer" TargetMode="External"/><Relationship Id="rId581" Type="http://schemas.openxmlformats.org/officeDocument/2006/relationships/hyperlink" Target="https://www.bigbatbox.com/de/blogs/fun-facts-about-owls/tagged/owl-box-faq" TargetMode="External"/><Relationship Id="rId582" Type="http://schemas.openxmlformats.org/officeDocument/2006/relationships/hyperlink" Target="https://www.bigbatbox.com/de/blogs/types-of-squirrels/tagged/squirrel-box" TargetMode="External"/><Relationship Id="rId583" Type="http://schemas.openxmlformats.org/officeDocument/2006/relationships/hyperlink" Target="https://www.bigbatbox.com/it/blogs/types-of-squirrels/tagged/squirrel-behavior" TargetMode="External"/><Relationship Id="rId584" Type="http://schemas.openxmlformats.org/officeDocument/2006/relationships/hyperlink" Target="https://www.bigbatbox.com/de/blogs/fun-facts-about-owls/tagged/screech-owl-box" TargetMode="External"/><Relationship Id="rId585" Type="http://schemas.openxmlformats.org/officeDocument/2006/relationships/hyperlink" Target="https://www.bigbatbox.com/it/blogs/habitat-of-bats/5-best-tips-for-bat-house-maintenance" TargetMode="External"/><Relationship Id="rId586" Type="http://schemas.openxmlformats.org/officeDocument/2006/relationships/hyperlink" Target="https://www.bigbatbox.com/de/blogs/backyard-birds/what-birds-eat-suet" TargetMode="External"/><Relationship Id="rId587" Type="http://schemas.openxmlformats.org/officeDocument/2006/relationships/hyperlink" Target="https://www.bigbatbox.com/blogs/types-of-squirrels/tagged/squirrels" TargetMode="External"/><Relationship Id="rId588" Type="http://schemas.openxmlformats.org/officeDocument/2006/relationships/hyperlink" Target="https://www.bigbatbox.com/en-ca/blogs/bee-species/tagged/bee-biology" TargetMode="External"/><Relationship Id="rId589" Type="http://schemas.openxmlformats.org/officeDocument/2006/relationships/hyperlink" Target="https://www.bigbatbox.com/de/blogs/bee-species/tagged/fun-facts-about-bees" TargetMode="External"/><Relationship Id="rId590" Type="http://schemas.openxmlformats.org/officeDocument/2006/relationships/hyperlink" Target="https://www.bigbatbox.com/it/blogs/conservation-partners/tagged/conservation" TargetMode="External"/><Relationship Id="rId591" Type="http://schemas.openxmlformats.org/officeDocument/2006/relationships/hyperlink" Target="https://www.bigbatbox.com/fr/blogs/backyard-birds/tagged/seasonal-feeding" TargetMode="External"/><Relationship Id="rId592" Type="http://schemas.openxmlformats.org/officeDocument/2006/relationships/hyperlink" Target="https://www.bigbatbox.com/en-ca/blogs/backyard-birds/can-you-feed-suet-in-summer" TargetMode="External"/><Relationship Id="rId593" Type="http://schemas.openxmlformats.org/officeDocument/2006/relationships/hyperlink" Target="https://www.bigbatbox.com/es/blogs/fun-facts-about-owls/tagged/owl-nesting-boxes" TargetMode="External"/><Relationship Id="rId594" Type="http://schemas.openxmlformats.org/officeDocument/2006/relationships/hyperlink" Target="https://www.bigbatbox.com/en-ca/blogs/wildyard-learn/bats-bees-as-your-garden-pollinators" TargetMode="External"/><Relationship Id="rId595" Type="http://schemas.openxmlformats.org/officeDocument/2006/relationships/hyperlink" Target="https://www.bigbatbox.com/it/blogs/habitat-of-bats/tagged/bat-house-colors" TargetMode="External"/><Relationship Id="rId596" Type="http://schemas.openxmlformats.org/officeDocument/2006/relationships/hyperlink" Target="https://www.bigbatbox.com/es/blogs/habitat-of-bats/tagged/megabats" TargetMode="External"/><Relationship Id="rId597" Type="http://schemas.openxmlformats.org/officeDocument/2006/relationships/hyperlink" Target="https://www.bigbatbox.com/fr/collections" TargetMode="External"/><Relationship Id="rId598" Type="http://schemas.openxmlformats.org/officeDocument/2006/relationships/hyperlink" Target="https://www.bigbatbox.com/en-ca/blogs/habitat-of-bats/tagged/bat-habitat" TargetMode="External"/><Relationship Id="rId599" Type="http://schemas.openxmlformats.org/officeDocument/2006/relationships/hyperlink" Target="https://www.bigbatbox.com/blogs/bee-species/tagged/honey-making" TargetMode="External"/><Relationship Id="rId600" Type="http://schemas.openxmlformats.org/officeDocument/2006/relationships/hyperlink" Target="https://www.bigbatbox.com/de/blogs/habitat-of-bats/tagged/mosquito-reduction-with-bats" TargetMode="External"/><Relationship Id="rId601" Type="http://schemas.openxmlformats.org/officeDocument/2006/relationships/hyperlink" Target="https://www.bigbatbox.com/es/blogs/types-of-squirrels/tagged/squirrel-care" TargetMode="External"/><Relationship Id="rId602" Type="http://schemas.openxmlformats.org/officeDocument/2006/relationships/hyperlink" Target="https://www.bigbatbox.com/it/blogs/types-of-squirrels/tagged/habitat" TargetMode="External"/><Relationship Id="rId603" Type="http://schemas.openxmlformats.org/officeDocument/2006/relationships/hyperlink" Target="https://www.bigbatbox.com/blogs/habitat-of-bats/tagged/echolocation" TargetMode="External"/><Relationship Id="rId604" Type="http://schemas.openxmlformats.org/officeDocument/2006/relationships/hyperlink" Target="https://www.bigbatbox.com/fr/blogs/habitat-of-bats/tagged/native-plants-for-bats" TargetMode="External"/><Relationship Id="rId605" Type="http://schemas.openxmlformats.org/officeDocument/2006/relationships/hyperlink" Target="https://www.bigbatbox.com/es/blogs/habitat-of-bats/tagged/where-to-mount-bat-house" TargetMode="External"/><Relationship Id="rId606" Type="http://schemas.openxmlformats.org/officeDocument/2006/relationships/hyperlink" Target="https://www.bigbatbox.com/blogs/habitat-of-bats/tagged/bat-house-mosquito-control" TargetMode="External"/><Relationship Id="rId607" Type="http://schemas.openxmlformats.org/officeDocument/2006/relationships/hyperlink" Target="https://www.bigbatbox.com/en-ca/blogs/habitat-of-bats/what-are-the-bat-house-kits" TargetMode="External"/><Relationship Id="rId608" Type="http://schemas.openxmlformats.org/officeDocument/2006/relationships/hyperlink" Target="https://www.bigbatbox.com/fr/blogs/backyard-birds/tagged/squirrels" TargetMode="External"/><Relationship Id="rId609" Type="http://schemas.openxmlformats.org/officeDocument/2006/relationships/hyperlink" Target="https://www.bigbatbox.com/fr/blogs/habitat-of-bats/tagged/best-bat-houses-for-cold-states" TargetMode="External"/><Relationship Id="rId610" Type="http://schemas.openxmlformats.org/officeDocument/2006/relationships/hyperlink" Target="https://www.bigbatbox.com/es/blogs/bee-species/tagged/backyard-wildlife" TargetMode="External"/><Relationship Id="rId611" Type="http://schemas.openxmlformats.org/officeDocument/2006/relationships/hyperlink" Target="https://www.bigbatbox.com/fr/blogs/habitat-of-bats/tagged/coexist-with-bats" TargetMode="External"/><Relationship Id="rId612" Type="http://schemas.openxmlformats.org/officeDocument/2006/relationships/hyperlink" Target="https://www.bigbatbox.com/en-ca/blogs/habitat-of-bats/tagged/eco-friendly-bat-house" TargetMode="External"/><Relationship Id="rId613" Type="http://schemas.openxmlformats.org/officeDocument/2006/relationships/hyperlink" Target="https://www.bigbatbox.com/es/blogs/habitat-of-bats/tagged/winter-bat-house-tips" TargetMode="External"/><Relationship Id="rId614" Type="http://schemas.openxmlformats.org/officeDocument/2006/relationships/hyperlink" Target="https://www.bigbatbox.com/it/pages/bat-house-guide" TargetMode="External"/><Relationship Id="rId615" Type="http://schemas.openxmlformats.org/officeDocument/2006/relationships/hyperlink" Target="https://www.bigbatbox.com/de/blogs/habitat-of-bats/tagged/winter-wildlife" TargetMode="External"/><Relationship Id="rId616" Type="http://schemas.openxmlformats.org/officeDocument/2006/relationships/hyperlink" Target="https://www.bigbatbox.com/blogs/habitat-of-bats/tagged/bat-habitat" TargetMode="External"/><Relationship Id="rId617" Type="http://schemas.openxmlformats.org/officeDocument/2006/relationships/hyperlink" Target="https://www.bigbatbox.com/it/blogs/habitat-of-bats/tagged/black-cedar-bat-house" TargetMode="External"/><Relationship Id="rId618" Type="http://schemas.openxmlformats.org/officeDocument/2006/relationships/hyperlink" Target="https://www.bigbatbox.com/it/blogs/fun-facts-about-owls/tagged/owl-safety" TargetMode="External"/><Relationship Id="rId619" Type="http://schemas.openxmlformats.org/officeDocument/2006/relationships/hyperlink" Target="https://www.bigbatbox.com/de/blogs/habitat-of-bats/tagged/help-bats-at-home" TargetMode="External"/><Relationship Id="rId620" Type="http://schemas.openxmlformats.org/officeDocument/2006/relationships/hyperlink" Target="https://www.bigbatbox.com/blogs/wildyard-learn/tagged/wildlife-garden" TargetMode="External"/><Relationship Id="rId621" Type="http://schemas.openxmlformats.org/officeDocument/2006/relationships/hyperlink" Target="https://www.bigbatbox.com/de/blogs/habitat-of-bats/tagged/wildyard-bat-houses" TargetMode="External"/><Relationship Id="rId622" Type="http://schemas.openxmlformats.org/officeDocument/2006/relationships/hyperlink" Target="https://www.bigbatbox.com/de/blogs/habitat-of-bats/tagged/native-plants-for-bats" TargetMode="External"/><Relationship Id="rId623" Type="http://schemas.openxmlformats.org/officeDocument/2006/relationships/hyperlink" Target="https://www.bigbatbox.com/en-ca/blogs/bee-species/mason-bees-vs-leafcutter-bees" TargetMode="External"/><Relationship Id="rId624" Type="http://schemas.openxmlformats.org/officeDocument/2006/relationships/hyperlink" Target="https://www.bigbatbox.com/en-ca/blogs/habitat-of-bats/tagged/bat-house-sun-exposure" TargetMode="External"/><Relationship Id="rId625" Type="http://schemas.openxmlformats.org/officeDocument/2006/relationships/hyperlink" Target="https://www.bigbatbox.com/fr/blogs/types-of-squirrels/tagged/nest-box-maintenance" TargetMode="External"/><Relationship Id="rId626" Type="http://schemas.openxmlformats.org/officeDocument/2006/relationships/hyperlink" Target="https://www.bigbatbox.com/fr/blogs/fun-facts-about-owls/tagged/owl-boxes" TargetMode="External"/><Relationship Id="rId627" Type="http://schemas.openxmlformats.org/officeDocument/2006/relationships/hyperlink" Target="https://www.bigbatbox.com/de/blogs/habitat-of-bats/tagged/painted-cedar-bat-house" TargetMode="External"/><Relationship Id="rId628" Type="http://schemas.openxmlformats.org/officeDocument/2006/relationships/hyperlink" Target="https://www.bigbatbox.com/blogs/fun-facts-about-owls/tagged/snowy-owl" TargetMode="External"/><Relationship Id="rId629" Type="http://schemas.openxmlformats.org/officeDocument/2006/relationships/hyperlink" Target="https://www.bigbatbox.com/es/blogs/habitat-of-bats/tagged/mosquito-control" TargetMode="External"/><Relationship Id="rId630" Type="http://schemas.openxmlformats.org/officeDocument/2006/relationships/hyperlink" Target="https://www.bigbatbox.com/fr/blogs/habitat-of-bats/tagged/best-bat-boxes-for-mosquito-control" TargetMode="External"/><Relationship Id="rId631" Type="http://schemas.openxmlformats.org/officeDocument/2006/relationships/hyperlink" Target="https://www.bigbatbox.com/de/blogs/habitat-of-bats/tagged/bci-certified-bat-house" TargetMode="External"/><Relationship Id="rId632" Type="http://schemas.openxmlformats.org/officeDocument/2006/relationships/hyperlink" Target="https://www.bigbatbox.com/es/blogs/bee-species/tagged/bee-identification" TargetMode="External"/><Relationship Id="rId633" Type="http://schemas.openxmlformats.org/officeDocument/2006/relationships/hyperlink" Target="https://www.bigbatbox.com/de/blogs/bee-species/tagged/pollination-process" TargetMode="External"/><Relationship Id="rId634" Type="http://schemas.openxmlformats.org/officeDocument/2006/relationships/hyperlink" Target="https://www.bigbatbox.com/es/blogs/bee-species/tagged/honey-making" TargetMode="External"/><Relationship Id="rId635" Type="http://schemas.openxmlformats.org/officeDocument/2006/relationships/hyperlink" Target="https://www.bigbatbox.com/en-ca/blogs/habitat-of-bats/tagged/multi-chamber-bat-house" TargetMode="External"/><Relationship Id="rId636" Type="http://schemas.openxmlformats.org/officeDocument/2006/relationships/hyperlink" Target="https://www.bigbatbox.com/it/blogs/habitat-of-bats/tagged/cedar-bat-box" TargetMode="External"/><Relationship Id="rId637" Type="http://schemas.openxmlformats.org/officeDocument/2006/relationships/hyperlink" Target="https://www.bigbatbox.com/de/blogs/habitat-of-bats/tagged/bat-house-pole" TargetMode="External"/><Relationship Id="rId638" Type="http://schemas.openxmlformats.org/officeDocument/2006/relationships/hyperlink" Target="https://www.bigbatbox.com/fr/blogs/types-of-squirrels/tagged/squirrel-behavior" TargetMode="External"/><Relationship Id="rId639" Type="http://schemas.openxmlformats.org/officeDocument/2006/relationships/hyperlink" Target="https://www.bigbatbox.com/it/blogs/types-of-squirrels/tagged/squirrel-house" TargetMode="External"/><Relationship Id="rId640" Type="http://schemas.openxmlformats.org/officeDocument/2006/relationships/hyperlink" Target="https://www.bigbatbox.com/it/blogs/habitat-of-bats/tagged/yard-wildlife-guide" TargetMode="External"/><Relationship Id="rId641" Type="http://schemas.openxmlformats.org/officeDocument/2006/relationships/hyperlink" Target="https://www.bigbatbox.com/es/blogs/habitat-of-bats/tagged/bat-house-chambers" TargetMode="External"/><Relationship Id="rId642" Type="http://schemas.openxmlformats.org/officeDocument/2006/relationships/hyperlink" Target="https://www.bigbatbox.com/de/blogs/fun-facts-about-owls/tagged/bat-and-owl" TargetMode="External"/><Relationship Id="rId643" Type="http://schemas.openxmlformats.org/officeDocument/2006/relationships/hyperlink" Target="https://www.bigbatbox.com/de/blogs/bee-species/tagged/nature-s-architects" TargetMode="External"/><Relationship Id="rId644" Type="http://schemas.openxmlformats.org/officeDocument/2006/relationships/hyperlink" Target="https://www.bigbatbox.com/it/blogs/habitat-of-bats/tagged/bat-conservation-guide" TargetMode="External"/><Relationship Id="rId645" Type="http://schemas.openxmlformats.org/officeDocument/2006/relationships/hyperlink" Target="https://www.bigbatbox.com/es/blogs/habitat-of-bats/tagged/bat-proofing-tips" TargetMode="External"/><Relationship Id="rId646" Type="http://schemas.openxmlformats.org/officeDocument/2006/relationships/hyperlink" Target="https://www.bigbatbox.com/blogs/fun-facts-about-owls/tagged/predators" TargetMode="External"/><Relationship Id="rId647" Type="http://schemas.openxmlformats.org/officeDocument/2006/relationships/hyperlink" Target="https://www.bigbatbox.com/fr/blogs/habitat-of-bats/tagged/tall-bat-house-design" TargetMode="External"/><Relationship Id="rId648" Type="http://schemas.openxmlformats.org/officeDocument/2006/relationships/hyperlink" Target="https://www.bigbatbox.com/de/blogs/bee-species?page=2" TargetMode="External"/><Relationship Id="rId649" Type="http://schemas.openxmlformats.org/officeDocument/2006/relationships/hyperlink" Target="https://www.bigbatbox.com/blogs/habitat-of-bats/tagged/natural-mosquito-control" TargetMode="External"/><Relationship Id="rId650" Type="http://schemas.openxmlformats.org/officeDocument/2006/relationships/hyperlink" Target="https://www.bigbatbox.com/it/blogs/types-of-squirrels/tagged/wildlife-habitat" TargetMode="External"/><Relationship Id="rId651" Type="http://schemas.openxmlformats.org/officeDocument/2006/relationships/hyperlink" Target="https://www.bigbatbox.com/it/blogs/habitat-of-bats/tagged/bat-proofing-tips" TargetMode="External"/><Relationship Id="rId652" Type="http://schemas.openxmlformats.org/officeDocument/2006/relationships/hyperlink" Target="https://www.bigbatbox.com/es/blogs/habitat-of-bats/tagged/help-bats-at-home" TargetMode="External"/><Relationship Id="rId653" Type="http://schemas.openxmlformats.org/officeDocument/2006/relationships/hyperlink" Target="https://www.bigbatbox.com/en-ca/blogs/habitat-of-bats/tagged/diy-bat-house" TargetMode="External"/><Relationship Id="rId654" Type="http://schemas.openxmlformats.org/officeDocument/2006/relationships/hyperlink" Target="https://www.bigbatbox.com/fr/blogs/bee-species/tagged/bee-lifecycle" TargetMode="External"/><Relationship Id="rId655" Type="http://schemas.openxmlformats.org/officeDocument/2006/relationships/hyperlink" Target="https://www.bigbatbox.com/es/blogs/habitat-of-bats/tagged/bat-box-guide" TargetMode="External"/><Relationship Id="rId656" Type="http://schemas.openxmlformats.org/officeDocument/2006/relationships/hyperlink" Target="https://www.bigbatbox.com/fr/blogs/types-of-squirrels/tagged/squirrel-feeder-ideas" TargetMode="External"/><Relationship Id="rId657" Type="http://schemas.openxmlformats.org/officeDocument/2006/relationships/hyperlink" Target="https://www.bigbatbox.com/en-ca/blogs/habitat-of-bats/tagged/mosquito-reduction-with-bats" TargetMode="External"/><Relationship Id="rId658" Type="http://schemas.openxmlformats.org/officeDocument/2006/relationships/hyperlink" Target="https://www.bigbatbox.com/de/blogs/fun-facts-about-owls/tagged/conservation" TargetMode="External"/><Relationship Id="rId659" Type="http://schemas.openxmlformats.org/officeDocument/2006/relationships/hyperlink" Target="https://www.bigbatbox.com/en-ca/blogs/types-of-squirrels/tagged/squirrel-feeder" TargetMode="External"/><Relationship Id="rId660" Type="http://schemas.openxmlformats.org/officeDocument/2006/relationships/hyperlink" Target="https://www.bigbatbox.com/it/blogs/habitat-of-bats/tagged/cold-climate-bat-box" TargetMode="External"/><Relationship Id="rId661" Type="http://schemas.openxmlformats.org/officeDocument/2006/relationships/hyperlink" Target="https://www.bigbatbox.com/es/blogs/habitat-of-bats/tagged/bat-house-height" TargetMode="External"/><Relationship Id="rId662" Type="http://schemas.openxmlformats.org/officeDocument/2006/relationships/hyperlink" Target="https://www.bigbatbox.com/en-ca/blogs/types-of-squirrels/tagged/squirrel-habitat" TargetMode="External"/><Relationship Id="rId663" Type="http://schemas.openxmlformats.org/officeDocument/2006/relationships/hyperlink" Target="https://www.bigbatbox.com/blogs/habitat-of-bats/tagged/black-bat-house" TargetMode="External"/><Relationship Id="rId664" Type="http://schemas.openxmlformats.org/officeDocument/2006/relationships/hyperlink" Target="https://www.bigbatbox.com/de/blogs/habitat-of-bats/tagged/megabats" TargetMode="External"/><Relationship Id="rId665" Type="http://schemas.openxmlformats.org/officeDocument/2006/relationships/hyperlink" Target="https://www.bigbatbox.com/es/blogs/types-of-squirrels/tagged/nocturnal-animals" TargetMode="External"/><Relationship Id="rId666" Type="http://schemas.openxmlformats.org/officeDocument/2006/relationships/hyperlink" Target="https://www.bigbatbox.com/de/blogs/habitat-of-bats/tagged/eco-friendly-bat-shelter" TargetMode="External"/><Relationship Id="rId667" Type="http://schemas.openxmlformats.org/officeDocument/2006/relationships/hyperlink" Target="https://www.bigbatbox.com/de/blogs/habitat-of-bats/tagged/protect-bats" TargetMode="External"/><Relationship Id="rId668" Type="http://schemas.openxmlformats.org/officeDocument/2006/relationships/hyperlink" Target="https://www.bigbatbox.com/de/blogs/habitat-of-bats/tagged/insect-control-naturally" TargetMode="External"/><Relationship Id="rId669" Type="http://schemas.openxmlformats.org/officeDocument/2006/relationships/hyperlink" Target="https://www.bigbatbox.com/es/blogs/habitat-of-bats/tagged/safe-wildlife-practices" TargetMode="External"/><Relationship Id="rId670" Type="http://schemas.openxmlformats.org/officeDocument/2006/relationships/hyperlink" Target="https://www.bigbatbox.com/de/blogs/habitat-of-bats/tagged/microbats" TargetMode="External"/><Relationship Id="rId671" Type="http://schemas.openxmlformats.org/officeDocument/2006/relationships/hyperlink" Target="https://www.bigbatbox.com/it/blogs/fun-facts-about-owls/tagged/owl-facts" TargetMode="External"/><Relationship Id="rId672" Type="http://schemas.openxmlformats.org/officeDocument/2006/relationships/hyperlink" Target="https://www.bigbatbox.com/it/blogs/habitat-of-bats/tagged/native-plants-for-bats" TargetMode="External"/><Relationship Id="rId673" Type="http://schemas.openxmlformats.org/officeDocument/2006/relationships/hyperlink" Target="https://www.bigbatbox.com/es/blogs/conservation-partners/tagged/partnership" TargetMode="External"/><Relationship Id="rId674" Type="http://schemas.openxmlformats.org/officeDocument/2006/relationships/hyperlink" Target="https://www.bigbatbox.com/it/blogs/habitat-of-bats?page=3" TargetMode="External"/><Relationship Id="rId675" Type="http://schemas.openxmlformats.org/officeDocument/2006/relationships/hyperlink" Target="https://www.bigbatbox.com/fr/blogs/habitat-of-bats/bci-certificate-why-you-should-care-about-it" TargetMode="External"/><Relationship Id="rId676" Type="http://schemas.openxmlformats.org/officeDocument/2006/relationships/hyperlink" Target="https://www.bigbatbox.com/fr/blogs/fun-facts-about-owls/tagged/wildlife-lifespan" TargetMode="External"/><Relationship Id="rId677" Type="http://schemas.openxmlformats.org/officeDocument/2006/relationships/hyperlink" Target="https://www.bigbatbox.com/en-ca/blogs/types-of-squirrels/tagged/backyard-wildlife" TargetMode="External"/><Relationship Id="rId678" Type="http://schemas.openxmlformats.org/officeDocument/2006/relationships/hyperlink" Target="https://www.bigbatbox.com/blogs/backyard-birds/tagged/bird-feeding" TargetMode="External"/><Relationship Id="rId679" Type="http://schemas.openxmlformats.org/officeDocument/2006/relationships/hyperlink" Target="https://www.bigbatbox.com/en-ca/blogs/bee-species/tagged/pollinator-habitat" TargetMode="External"/><Relationship Id="rId680" Type="http://schemas.openxmlformats.org/officeDocument/2006/relationships/hyperlink" Target="https://www.bigbatbox.com/de/blogs/fun-facts-about-owls/tagged/owl-boxes" TargetMode="External"/><Relationship Id="rId681" Type="http://schemas.openxmlformats.org/officeDocument/2006/relationships/hyperlink" Target="https://www.bigbatbox.com/es/blogs/habitat-of-bats/tagged/best-bat-house-setup" TargetMode="External"/><Relationship Id="rId682" Type="http://schemas.openxmlformats.org/officeDocument/2006/relationships/hyperlink" Target="https://www.bigbatbox.com/es/blogs/habitat-of-bats/tagged/avoid-pesticides" TargetMode="External"/><Relationship Id="rId683" Type="http://schemas.openxmlformats.org/officeDocument/2006/relationships/hyperlink" Target="https://www.bigbatbox.com/blogs/habitat-of-bats/tagged/eco-friendly-bat-shelter" TargetMode="External"/><Relationship Id="rId684" Type="http://schemas.openxmlformats.org/officeDocument/2006/relationships/hyperlink" Target="https://www.bigbatbox.com/it/blogs/habitat-of-bats/tagged/where-to-mount-bat-house" TargetMode="External"/><Relationship Id="rId685" Type="http://schemas.openxmlformats.org/officeDocument/2006/relationships/hyperlink" Target="https://www.bigbatbox.com/es/blogs/fun-facts-about-owls/tagged/bat-and-owl" TargetMode="External"/><Relationship Id="rId686" Type="http://schemas.openxmlformats.org/officeDocument/2006/relationships/hyperlink" Target="https://www.bigbatbox.com/fr/blogs/habitat-of-bats?page=3" TargetMode="External"/><Relationship Id="rId687" Type="http://schemas.openxmlformats.org/officeDocument/2006/relationships/hyperlink" Target="https://www.bigbatbox.com/es/blogs/bee-species/tagged/nature-s-architects" TargetMode="External"/><Relationship Id="rId688" Type="http://schemas.openxmlformats.org/officeDocument/2006/relationships/hyperlink" Target="https://www.bigbatbox.com/en-ca/blogs/habitat-of-bats/tagged/bci-certified-bat-house" TargetMode="External"/><Relationship Id="rId689" Type="http://schemas.openxmlformats.org/officeDocument/2006/relationships/hyperlink" Target="https://www.bigbatbox.com/es/blogs/habitat-of-bats/tagged/bci-certified-bat-house" TargetMode="External"/><Relationship Id="rId690" Type="http://schemas.openxmlformats.org/officeDocument/2006/relationships/hyperlink" Target="https://www.bigbatbox.com/en-ca/blogs/habitat-of-bats/tagged/endangered-bats" TargetMode="External"/><Relationship Id="rId691" Type="http://schemas.openxmlformats.org/officeDocument/2006/relationships/hyperlink" Target="https://www.bigbatbox.com/en-ca/blogs/bee-species/tagged/bee-lifecycle" TargetMode="External"/><Relationship Id="rId692" Type="http://schemas.openxmlformats.org/officeDocument/2006/relationships/hyperlink" Target="https://www.bigbatbox.com/en-ca/blogs/types-of-squirrels/tagged/habitat" TargetMode="External"/><Relationship Id="rId693" Type="http://schemas.openxmlformats.org/officeDocument/2006/relationships/hyperlink" Target="https://www.bigbatbox.com/es/blogs/habitat-of-bats/tagged/bat-house-warmth-retention" TargetMode="External"/><Relationship Id="rId694" Type="http://schemas.openxmlformats.org/officeDocument/2006/relationships/hyperlink" Target="https://www.bigbatbox.com/it/blogs/bee-species/tagged/pollinator-habitat" TargetMode="External"/><Relationship Id="rId695" Type="http://schemas.openxmlformats.org/officeDocument/2006/relationships/hyperlink" Target="https://www.bigbatbox.com/de/blogs/habitat-of-bats/tagged/bat-house-temperature" TargetMode="External"/><Relationship Id="rId696" Type="http://schemas.openxmlformats.org/officeDocument/2006/relationships/hyperlink" Target="https://www.bigbatbox.com/de/blogs/habitat-of-bats/tagged/tall-bat-house-design" TargetMode="External"/><Relationship Id="rId697" Type="http://schemas.openxmlformats.org/officeDocument/2006/relationships/hyperlink" Target="https://www.bigbatbox.com/de/blogs/habitat-of-bats/tagged/mammal-facts" TargetMode="External"/><Relationship Id="rId698" Type="http://schemas.openxmlformats.org/officeDocument/2006/relationships/hyperlink" Target="https://www.bigbatbox.com/de/blogs/fun-facts-about-owls/tagged/night-sounds" TargetMode="External"/><Relationship Id="rId699" Type="http://schemas.openxmlformats.org/officeDocument/2006/relationships/hyperlink" Target="https://www.bigbatbox.com/blogs/fun-facts-about-owls/tagged/nocturnal-animals" TargetMode="External"/><Relationship Id="rId700" Type="http://schemas.openxmlformats.org/officeDocument/2006/relationships/hyperlink" Target="https://www.bigbatbox.com/de/blogs/habitat-of-bats/tagged/bat-house-placement-guide" TargetMode="External"/><Relationship Id="rId701" Type="http://schemas.openxmlformats.org/officeDocument/2006/relationships/hyperlink" Target="https://www.bigbatbox.com/blogs/backyard-birds/tagged/squirrels" TargetMode="External"/><Relationship Id="rId702" Type="http://schemas.openxmlformats.org/officeDocument/2006/relationships/hyperlink" Target="https://www.bigbatbox.com/blogs/habitat-of-bats/tagged/diy-bat-box" TargetMode="External"/><Relationship Id="rId703" Type="http://schemas.openxmlformats.org/officeDocument/2006/relationships/hyperlink" Target="https://www.bigbatbox.com/es/blogs/fun-facts-about-owls/tagged/owl-box-faq" TargetMode="External"/><Relationship Id="rId704" Type="http://schemas.openxmlformats.org/officeDocument/2006/relationships/hyperlink" Target="https://www.bigbatbox.com/es/blogs/habitat-of-bats/tagged/ecosystem-guardians" TargetMode="External"/><Relationship Id="rId705" Type="http://schemas.openxmlformats.org/officeDocument/2006/relationships/hyperlink" Target="https://www.bigbatbox.com/fr/blogs/habitat-of-bats/tagged/wildlife-conservation" TargetMode="External"/><Relationship Id="rId706" Type="http://schemas.openxmlformats.org/officeDocument/2006/relationships/hyperlink" Target="https://www.bigbatbox.com/en-ca/blogs/habitat-of-bats/tagged/cold-climate-bat-box" TargetMode="External"/><Relationship Id="rId707" Type="http://schemas.openxmlformats.org/officeDocument/2006/relationships/hyperlink" Target="https://www.bigbatbox.com/fr/blogs/habitat-of-bats/tagged/bat-in-the-house-in-winter" TargetMode="External"/><Relationship Id="rId708" Type="http://schemas.openxmlformats.org/officeDocument/2006/relationships/hyperlink" Target="https://www.bigbatbox.com/de/blogs/fun-facts-about-owls/tagged/barn-owl-box" TargetMode="External"/><Relationship Id="rId709" Type="http://schemas.openxmlformats.org/officeDocument/2006/relationships/hyperlink" Target="https://www.bigbatbox.com/blogs/habitat-of-bats/tagged/humane-bat-removal" TargetMode="External"/><Relationship Id="rId710" Type="http://schemas.openxmlformats.org/officeDocument/2006/relationships/hyperlink" Target="https://www.bigbatbox.com/blogs/habitat-of-bats/tagged/safe-bat-habitat" TargetMode="External"/><Relationship Id="rId711" Type="http://schemas.openxmlformats.org/officeDocument/2006/relationships/hyperlink" Target="https://www.bigbatbox.com/it/blogs/habitat-of-bats/tagged/wildlife-management" TargetMode="External"/><Relationship Id="rId712" Type="http://schemas.openxmlformats.org/officeDocument/2006/relationships/hyperlink" Target="https://www.bigbatbox.com/fr/blogs/fun-facts-about-owls/tagged/owl-attraction" TargetMode="External"/><Relationship Id="rId713" Type="http://schemas.openxmlformats.org/officeDocument/2006/relationships/hyperlink" Target="https://www.bigbatbox.com/en-ca/blogs/fun-facts-about-owls/what-do-owls-eat" TargetMode="External"/><Relationship Id="rId714" Type="http://schemas.openxmlformats.org/officeDocument/2006/relationships/hyperlink" Target="https://www.bigbatbox.com/blogs/wildyard-learn/tagged/pollination" TargetMode="External"/><Relationship Id="rId715" Type="http://schemas.openxmlformats.org/officeDocument/2006/relationships/hyperlink" Target="https://www.bigbatbox.com/it/blogs/types-of-squirrels/when-do-squirrels-have-babies" TargetMode="External"/><Relationship Id="rId716" Type="http://schemas.openxmlformats.org/officeDocument/2006/relationships/hyperlink" Target="https://www.bigbatbox.com/fr/blogs/habitat-of-bats/tagged/megabats" TargetMode="External"/><Relationship Id="rId717" Type="http://schemas.openxmlformats.org/officeDocument/2006/relationships/hyperlink" Target="https://www.bigbatbox.com/blogs/habitat-of-bats/tagged/how-to-attract-bats" TargetMode="External"/><Relationship Id="rId718" Type="http://schemas.openxmlformats.org/officeDocument/2006/relationships/hyperlink" Target="https://www.bigbatbox.com/de/blogs/types-of-squirrels/tagged/diy-squirrel-feeder" TargetMode="External"/><Relationship Id="rId719" Type="http://schemas.openxmlformats.org/officeDocument/2006/relationships/hyperlink" Target="https://www.bigbatbox.com/fr/blogs/backyard-birds/tagged/suet-feeder" TargetMode="External"/><Relationship Id="rId720" Type="http://schemas.openxmlformats.org/officeDocument/2006/relationships/hyperlink" Target="https://www.bigbatbox.com/blogs/fun-facts-about-owls/tagged/owl-identification" TargetMode="External"/><Relationship Id="rId721" Type="http://schemas.openxmlformats.org/officeDocument/2006/relationships/hyperlink" Target="https://www.bigbatbox.com/it/blogs/fun-facts-about-owls/tagged/wildlife-gardening" TargetMode="External"/><Relationship Id="rId722" Type="http://schemas.openxmlformats.org/officeDocument/2006/relationships/hyperlink" Target="https://www.bigbatbox.com/it/blogs/habitat-of-bats/tagged/endangered-bats" TargetMode="External"/><Relationship Id="rId723" Type="http://schemas.openxmlformats.org/officeDocument/2006/relationships/hyperlink" Target="https://www.bigbatbox.com/de/blogs/bee-species/tagged/bee-communication" TargetMode="External"/><Relationship Id="rId724" Type="http://schemas.openxmlformats.org/officeDocument/2006/relationships/hyperlink" Target="https://www.bigbatbox.com/es/blogs/bee-species/tagged/fun-facts-about-bees" TargetMode="External"/><Relationship Id="rId725" Type="http://schemas.openxmlformats.org/officeDocument/2006/relationships/hyperlink" Target="https://www.bigbatbox.com/fr/blogs/habitat-of-bats/found-a-bat-in-the-house-in-winter-help-them-survive" TargetMode="External"/><Relationship Id="rId726" Type="http://schemas.openxmlformats.org/officeDocument/2006/relationships/hyperlink" Target="https://www.bigbatbox.com/en-ca/blogs/habitat-of-bats?page=4" TargetMode="External"/><Relationship Id="rId727" Type="http://schemas.openxmlformats.org/officeDocument/2006/relationships/hyperlink" Target="https://www.bigbatbox.com/fr/blogs/habitat-of-bats/tagged/bat-hibernation" TargetMode="External"/><Relationship Id="rId728" Type="http://schemas.openxmlformats.org/officeDocument/2006/relationships/hyperlink" Target="https://www.bigbatbox.com/it/blogs/wildyard-learn/tagged/wildlife-habitat-tips" TargetMode="External"/><Relationship Id="rId729" Type="http://schemas.openxmlformats.org/officeDocument/2006/relationships/hyperlink" Target="https://www.bigbatbox.com/en-ca/blogs/habitat-of-bats/tagged/bat-safety" TargetMode="External"/><Relationship Id="rId730" Type="http://schemas.openxmlformats.org/officeDocument/2006/relationships/hyperlink" Target="https://www.bigbatbox.com/de/blogs/bee-species/tagged/bee-lifecycle" TargetMode="External"/><Relationship Id="rId731" Type="http://schemas.openxmlformats.org/officeDocument/2006/relationships/hyperlink" Target="https://www.bigbatbox.com/it/blogs/habitat-of-bats/tagged/how-to-attract-bats" TargetMode="External"/><Relationship Id="rId732" Type="http://schemas.openxmlformats.org/officeDocument/2006/relationships/hyperlink" Target="https://www.bigbatbox.com/blogs/wildyard-learn/tagged/eco-friendly-gardening" TargetMode="External"/><Relationship Id="rId733" Type="http://schemas.openxmlformats.org/officeDocument/2006/relationships/hyperlink" Target="https://www.bigbatbox.com/es/blogs/habitat-of-bats/tagged/bat-box-sunlight-requirements" TargetMode="External"/><Relationship Id="rId734" Type="http://schemas.openxmlformats.org/officeDocument/2006/relationships/hyperlink" Target="https://www.bigbatbox.com/fr/blogs/fun-facts-about-owls/tagged/predators" TargetMode="External"/><Relationship Id="rId735" Type="http://schemas.openxmlformats.org/officeDocument/2006/relationships/hyperlink" Target="https://www.bigbatbox.com/fr/blogs/habitat-of-bats/everything-you-need-to-know-about-bat-boxes-installation-features-placement-and-more" TargetMode="External"/><Relationship Id="rId736" Type="http://schemas.openxmlformats.org/officeDocument/2006/relationships/hyperlink" Target="https://www.bigbatbox.com/en-ca/blogs/habitat-of-bats/tagged/bat-benefits" TargetMode="External"/><Relationship Id="rId737" Type="http://schemas.openxmlformats.org/officeDocument/2006/relationships/hyperlink" Target="https://www.bigbatbox.com/en-ca/blogs/fun-facts-about-owls/tagged/wildlife-habitats" TargetMode="External"/><Relationship Id="rId738" Type="http://schemas.openxmlformats.org/officeDocument/2006/relationships/hyperlink" Target="https://www.bigbatbox.com/de/blogs/habitat-of-bats/tagged/bat-facts" TargetMode="External"/><Relationship Id="rId739" Type="http://schemas.openxmlformats.org/officeDocument/2006/relationships/hyperlink" Target="https://www.bigbatbox.com/it/blogs/types-of-squirrels/tagged/squirrel-nesting-box" TargetMode="External"/><Relationship Id="rId740" Type="http://schemas.openxmlformats.org/officeDocument/2006/relationships/hyperlink" Target="https://www.bigbatbox.com/blogs/habitat-of-bats/tagged/bat-house-sun-exposure" TargetMode="External"/><Relationship Id="rId741" Type="http://schemas.openxmlformats.org/officeDocument/2006/relationships/hyperlink" Target="https://www.bigbatbox.com/it/blogs/habitat-of-bats/tagged/avoid-pesticides" TargetMode="External"/><Relationship Id="rId742" Type="http://schemas.openxmlformats.org/officeDocument/2006/relationships/hyperlink" Target="https://www.bigbatbox.com/de/blogs/bee-species/tagged/pollinator-habitat" TargetMode="External"/><Relationship Id="rId743" Type="http://schemas.openxmlformats.org/officeDocument/2006/relationships/hyperlink" Target="https://www.bigbatbox.com/en-ca/blogs/types-of-squirrels/tagged/squirrel-nesting-box" TargetMode="External"/><Relationship Id="rId744" Type="http://schemas.openxmlformats.org/officeDocument/2006/relationships/hyperlink" Target="https://www.bigbatbox.com/es/blogs/types-of-squirrels/tagged/wildlife-behavior" TargetMode="External"/><Relationship Id="rId745" Type="http://schemas.openxmlformats.org/officeDocument/2006/relationships/hyperlink" Target="https://www.bigbatbox.com/en-ca/blogs/types-of-squirrels/tagged/backyard-habitat" TargetMode="External"/><Relationship Id="rId746" Type="http://schemas.openxmlformats.org/officeDocument/2006/relationships/hyperlink" Target="https://www.bigbatbox.com/en-ca/blogs/habitat-of-bats/tagged/echolocation" TargetMode="External"/><Relationship Id="rId747" Type="http://schemas.openxmlformats.org/officeDocument/2006/relationships/hyperlink" Target="https://www.bigbatbox.com/it/blogs/habitat-of-bats/tagged/mammal-facts" TargetMode="External"/><Relationship Id="rId748" Type="http://schemas.openxmlformats.org/officeDocument/2006/relationships/hyperlink" Target="https://www.bigbatbox.com/es/blogs/habitat-of-bats?page=2" TargetMode="External"/><Relationship Id="rId749" Type="http://schemas.openxmlformats.org/officeDocument/2006/relationships/hyperlink" Target="https://www.bigbatbox.com/blogs/backyard-birds/tagged/clinging-birds" TargetMode="External"/><Relationship Id="rId750" Type="http://schemas.openxmlformats.org/officeDocument/2006/relationships/hyperlink" Target="https://www.bigbatbox.com/blogs/habitat-of-bats/tagged/endangered-bats" TargetMode="External"/><Relationship Id="rId751" Type="http://schemas.openxmlformats.org/officeDocument/2006/relationships/hyperlink" Target="https://www.bigbatbox.com/fr/blogs/types-of-squirrels/tagged/habitat" TargetMode="External"/><Relationship Id="rId752" Type="http://schemas.openxmlformats.org/officeDocument/2006/relationships/hyperlink" Target="https://www.bigbatbox.com/en-ca/blogs/habitat-of-bats/eco-friendly-bat-house-for-backyard-the-complete-guide" TargetMode="External"/><Relationship Id="rId753" Type="http://schemas.openxmlformats.org/officeDocument/2006/relationships/hyperlink" Target="https://www.bigbatbox.com/fr/pages/contact" TargetMode="External"/><Relationship Id="rId754" Type="http://schemas.openxmlformats.org/officeDocument/2006/relationships/hyperlink" Target="https://www.bigbatbox.com/es/blogs/types-of-squirrels/tagged/squirrel-box" TargetMode="External"/><Relationship Id="rId755" Type="http://schemas.openxmlformats.org/officeDocument/2006/relationships/hyperlink" Target="https://www.bigbatbox.com/en-ca/blogs/habitat-of-bats/tagged/bat-ecology-at-home" TargetMode="External"/><Relationship Id="rId756" Type="http://schemas.openxmlformats.org/officeDocument/2006/relationships/hyperlink" Target="https://www.bigbatbox.com/fr/blogs/bee-species/tagged/honey-making" TargetMode="External"/><Relationship Id="rId757" Type="http://schemas.openxmlformats.org/officeDocument/2006/relationships/hyperlink" Target="https://www.bigbatbox.com/en-ca/pages/contact" TargetMode="External"/><Relationship Id="rId758" Type="http://schemas.openxmlformats.org/officeDocument/2006/relationships/hyperlink" Target="https://www.bigbatbox.com/blogs/habitat-of-bats/tagged/wildyard-bat-house-guide" TargetMode="External"/><Relationship Id="rId759" Type="http://schemas.openxmlformats.org/officeDocument/2006/relationships/hyperlink" Target="https://www.bigbatbox.com/en-ca/blogs/types-of-squirrels/tagged/squirrel-house-feeder" TargetMode="External"/><Relationship Id="rId760" Type="http://schemas.openxmlformats.org/officeDocument/2006/relationships/hyperlink" Target="https://www.bigbatbox.com/en-ca/blogs/backyard-birds/tagged/starlings" TargetMode="External"/><Relationship Id="rId761" Type="http://schemas.openxmlformats.org/officeDocument/2006/relationships/hyperlink" Target="https://www.bigbatbox.com/de/blogs/habitat-of-bats/tagged/bat-house-placement" TargetMode="External"/><Relationship Id="rId762" Type="http://schemas.openxmlformats.org/officeDocument/2006/relationships/hyperlink" Target="https://www.bigbatbox.com/en-ca/blogs/types-of-squirrels/tagged/squirrel-food" TargetMode="External"/><Relationship Id="rId763" Type="http://schemas.openxmlformats.org/officeDocument/2006/relationships/hyperlink" Target="https://www.bigbatbox.com/de/blogs/fun-facts-about-owls/tagged/wildlife-gardening" TargetMode="External"/><Relationship Id="rId764" Type="http://schemas.openxmlformats.org/officeDocument/2006/relationships/hyperlink" Target="https://www.bigbatbox.com/blogs/habitat-of-bats/tagged/water-for-bats" TargetMode="External"/><Relationship Id="rId765" Type="http://schemas.openxmlformats.org/officeDocument/2006/relationships/hyperlink" Target="https://www.bigbatbox.com/en-ca/blogs/bee-species/do-solitary-bees-sting" TargetMode="External"/><Relationship Id="rId766" Type="http://schemas.openxmlformats.org/officeDocument/2006/relationships/hyperlink" Target="https://www.bigbatbox.com/fr/blogs/habitat-of-bats/best-bat-boxes-for-mosquito-control-simple-guide-real-example" TargetMode="External"/><Relationship Id="rId767" Type="http://schemas.openxmlformats.org/officeDocument/2006/relationships/hyperlink" Target="https://www.bigbatbox.com/es/blogs/habitat-of-bats/tagged/microbats" TargetMode="External"/><Relationship Id="rId768" Type="http://schemas.openxmlformats.org/officeDocument/2006/relationships/hyperlink" Target="https://www.bigbatbox.com/fr/blogs/habitat-of-bats/tagged/bat-box-installation" TargetMode="External"/><Relationship Id="rId769" Type="http://schemas.openxmlformats.org/officeDocument/2006/relationships/hyperlink" Target="https://www.bigbatbox.com/es/blogs/types-of-squirrels/tagged/seasonal-guide" TargetMode="External"/><Relationship Id="rId770" Type="http://schemas.openxmlformats.org/officeDocument/2006/relationships/hyperlink" Target="https://www.bigbatbox.com/de/blogs/habitat-of-bats/tagged/wildlife-conservation" TargetMode="External"/><Relationship Id="rId771" Type="http://schemas.openxmlformats.org/officeDocument/2006/relationships/hyperlink" Target="https://www.bigbatbox.com/de/blogs/habitat-of-bats/tagged/bat-roosting-guide" TargetMode="External"/><Relationship Id="rId772" Type="http://schemas.openxmlformats.org/officeDocument/2006/relationships/hyperlink" Target="https://www.bigbatbox.com/en-ca/blogs/habitat-of-bats/tagged/native-plants-for-bats" TargetMode="External"/><Relationship Id="rId773" Type="http://schemas.openxmlformats.org/officeDocument/2006/relationships/hyperlink" Target="https://www.bigbatbox.com/blogs/habitat-of-bats/tagged/what-do-bats-eat" TargetMode="External"/><Relationship Id="rId774" Type="http://schemas.openxmlformats.org/officeDocument/2006/relationships/hyperlink" Target="https://www.bigbatbox.com/en-ca/blogs/habitat-of-bats/14-fascinating-facts-about-bats" TargetMode="External"/><Relationship Id="rId775" Type="http://schemas.openxmlformats.org/officeDocument/2006/relationships/hyperlink" Target="https://www.bigbatbox.com/blogs/fun-facts-about-owls/tagged/owl-attraction" TargetMode="External"/><Relationship Id="rId776" Type="http://schemas.openxmlformats.org/officeDocument/2006/relationships/hyperlink" Target="https://www.bigbatbox.com/fr/blogs/habitat-of-bats/tagged/pollinator-friendly-yard" TargetMode="External"/><Relationship Id="rId777" Type="http://schemas.openxmlformats.org/officeDocument/2006/relationships/hyperlink" Target="https://www.bigbatbox.com/fr/blogs/fun-facts-about-owls/tagged/owl-sounds" TargetMode="External"/><Relationship Id="rId778" Type="http://schemas.openxmlformats.org/officeDocument/2006/relationships/hyperlink" Target="https://www.bigbatbox.com/en-ca/blogs/types-of-squirrels/tagged/squirrel-box" TargetMode="External"/><Relationship Id="rId779" Type="http://schemas.openxmlformats.org/officeDocument/2006/relationships/hyperlink" Target="https://www.bigbatbox.com/it/blogs/habitat-of-bats/tagged/bat-food" TargetMode="External"/><Relationship Id="rId780" Type="http://schemas.openxmlformats.org/officeDocument/2006/relationships/hyperlink" Target="https://www.bigbatbox.com/blogs/habitat-of-bats/tagged/bat-safety" TargetMode="External"/><Relationship Id="rId781" Type="http://schemas.openxmlformats.org/officeDocument/2006/relationships/hyperlink" Target="https://www.bigbatbox.com/es/blogs/habitat-of-bats/tagged/bat-box-installation" TargetMode="External"/><Relationship Id="rId782" Type="http://schemas.openxmlformats.org/officeDocument/2006/relationships/hyperlink" Target="https://www.bigbatbox.com/de/blogs/habitat-of-bats/tagged/cedar-bat-house" TargetMode="External"/><Relationship Id="rId783" Type="http://schemas.openxmlformats.org/officeDocument/2006/relationships/hyperlink" Target="https://www.bigbatbox.com/fr/blogs/habitat-of-bats/tagged/where-to-mount-bat-house" TargetMode="External"/><Relationship Id="rId784" Type="http://schemas.openxmlformats.org/officeDocument/2006/relationships/hyperlink" Target="https://www.bigbatbox.com/blogs/habitat-of-bats/tagged/safe-wildlife-practices" TargetMode="External"/><Relationship Id="rId785" Type="http://schemas.openxmlformats.org/officeDocument/2006/relationships/hyperlink" Target="https://www.bigbatbox.com/it/blogs/fun-facts-about-owls/tagged/nocturnal-animals" TargetMode="External"/><Relationship Id="rId786" Type="http://schemas.openxmlformats.org/officeDocument/2006/relationships/hyperlink" Target="https://www.bigbatbox.com/en-ca/blogs/habitat-of-bats/tagged/best-bat-houses-for-cold-states" TargetMode="External"/><Relationship Id="rId787" Type="http://schemas.openxmlformats.org/officeDocument/2006/relationships/hyperlink" Target="https://www.bigbatbox.com/it/blogs/habitat-of-bats/tagged/wildlife" TargetMode="External"/><Relationship Id="rId788" Type="http://schemas.openxmlformats.org/officeDocument/2006/relationships/hyperlink" Target="https://www.bigbatbox.com/en-ca/blogs/fun-facts-about-owls/tagged/snowy-owl" TargetMode="External"/><Relationship Id="rId789" Type="http://schemas.openxmlformats.org/officeDocument/2006/relationships/hyperlink" Target="https://www.bigbatbox.com/fr/blogs/habitat-of-bats/tagged/bat-house-placement" TargetMode="External"/><Relationship Id="rId790" Type="http://schemas.openxmlformats.org/officeDocument/2006/relationships/hyperlink" Target="https://www.bigbatbox.com/it/blogs/habitat-of-bats/tagged/wildlife-habitat" TargetMode="External"/><Relationship Id="rId791" Type="http://schemas.openxmlformats.org/officeDocument/2006/relationships/hyperlink" Target="https://www.bigbatbox.com/fr/blogs/bee-species/tagged/bees-diet" TargetMode="External"/><Relationship Id="rId792" Type="http://schemas.openxmlformats.org/officeDocument/2006/relationships/hyperlink" Target="https://www.bigbatbox.com/de/blogs/habitat-of-bats/tagged/cooler-climate-bat-habitat" TargetMode="External"/><Relationship Id="rId793" Type="http://schemas.openxmlformats.org/officeDocument/2006/relationships/hyperlink" Target="https://www.bigbatbox.com/it/blogs/habitat-of-bats/tagged/bat-prevention" TargetMode="External"/><Relationship Id="rId794" Type="http://schemas.openxmlformats.org/officeDocument/2006/relationships/hyperlink" Target="https://www.bigbatbox.com/it/blogs/habitat-of-bats/why-bats-are-the-best-mosquito-eaters" TargetMode="External"/><Relationship Id="rId795" Type="http://schemas.openxmlformats.org/officeDocument/2006/relationships/hyperlink" Target="https://www.bigbatbox.com/fr/blogs/habitat-of-bats/where-to-put-a-bat-house-in-your-yard" TargetMode="External"/><Relationship Id="rId796" Type="http://schemas.openxmlformats.org/officeDocument/2006/relationships/hyperlink" Target="https://www.bigbatbox.com/es/blogs/types-of-squirrels/do-squirrels-hibernate" TargetMode="External"/><Relationship Id="rId797" Type="http://schemas.openxmlformats.org/officeDocument/2006/relationships/hyperlink" Target="https://www.bigbatbox.com/blogs/habitat-of-bats/tagged/wildlife-friendly-backyard" TargetMode="External"/><Relationship Id="rId798" Type="http://schemas.openxmlformats.org/officeDocument/2006/relationships/hyperlink" Target="https://www.bigbatbox.com/fr/blogs/bee-species/tagged/bumblebees" TargetMode="External"/><Relationship Id="rId799" Type="http://schemas.openxmlformats.org/officeDocument/2006/relationships/hyperlink" Target="https://www.bigbatbox.com/it/pages/collab" TargetMode="External"/><Relationship Id="rId800" Type="http://schemas.openxmlformats.org/officeDocument/2006/relationships/hyperlink" Target="https://www.bigbatbox.com/en-ca/blogs/habitat-of-bats/tagged/safe-bat-habitat" TargetMode="External"/><Relationship Id="rId801" Type="http://schemas.openxmlformats.org/officeDocument/2006/relationships/hyperlink" Target="https://www.bigbatbox.com/de/blogs/bee-species/tagged/bee-identification" TargetMode="External"/><Relationship Id="rId802" Type="http://schemas.openxmlformats.org/officeDocument/2006/relationships/hyperlink" Target="https://www.bigbatbox.com/blogs/habitat-of-bats/tagged/multi-chamber-bat-house" TargetMode="External"/><Relationship Id="rId803" Type="http://schemas.openxmlformats.org/officeDocument/2006/relationships/hyperlink" Target="https://www.bigbatbox.com/it/products/wildyard-digital-gift-card" TargetMode="External"/><Relationship Id="rId804" Type="http://schemas.openxmlformats.org/officeDocument/2006/relationships/hyperlink" Target="https://www.bigbatbox.com/it/blogs/habitat-of-bats/tagged/bats-as-pollinators" TargetMode="External"/><Relationship Id="rId805" Type="http://schemas.openxmlformats.org/officeDocument/2006/relationships/hyperlink" Target="https://www.bigbatbox.com/blogs/habitat-of-bats/tagged/insect-control" TargetMode="External"/><Relationship Id="rId806" Type="http://schemas.openxmlformats.org/officeDocument/2006/relationships/hyperlink" Target="https://www.bigbatbox.com/en-ca/blogs/habitat-of-bats/big-bat-box-comparison" TargetMode="External"/><Relationship Id="rId807" Type="http://schemas.openxmlformats.org/officeDocument/2006/relationships/hyperlink" Target="https://www.bigbatbox.com/blogs/fun-facts-about-owls/tagged/squirrels" TargetMode="External"/><Relationship Id="rId808" Type="http://schemas.openxmlformats.org/officeDocument/2006/relationships/hyperlink" Target="https://www.bigbatbox.com/en-ca/blogs/fun-facts-about-owls/tagged/nocturnal-animals" TargetMode="External"/><Relationship Id="rId809" Type="http://schemas.openxmlformats.org/officeDocument/2006/relationships/hyperlink" Target="https://www.bigbatbox.com/fr/blogs/habitat-of-bats/tagged/mounting-bat-houses" TargetMode="External"/><Relationship Id="rId810" Type="http://schemas.openxmlformats.org/officeDocument/2006/relationships/hyperlink" Target="https://www.bigbatbox.com/en-ca/blogs/fun-facts-about-owls/tagged/bird-habitats" TargetMode="External"/><Relationship Id="rId811" Type="http://schemas.openxmlformats.org/officeDocument/2006/relationships/hyperlink" Target="https://www.bigbatbox.com/de/blogs/types-of-squirrels/tagged/habitat" TargetMode="External"/><Relationship Id="rId812" Type="http://schemas.openxmlformats.org/officeDocument/2006/relationships/hyperlink" Target="https://www.bigbatbox.com/es/blogs/backyard-birds/tagged/summer-feeding" TargetMode="External"/><Relationship Id="rId813" Type="http://schemas.openxmlformats.org/officeDocument/2006/relationships/hyperlink" Target="https://www.bigbatbox.com/fr/blogs/habitat-of-bats/tagged/guano" TargetMode="External"/><Relationship Id="rId814" Type="http://schemas.openxmlformats.org/officeDocument/2006/relationships/hyperlink" Target="https://www.bigbatbox.com/es/blogs/fun-facts-about-owls/tagged/wildlife-gardening" TargetMode="External"/><Relationship Id="rId815" Type="http://schemas.openxmlformats.org/officeDocument/2006/relationships/hyperlink" Target="https://www.bigbatbox.com/es/blogs/fun-facts-about-owls/tagged/bird-habitats" TargetMode="External"/><Relationship Id="rId816" Type="http://schemas.openxmlformats.org/officeDocument/2006/relationships/hyperlink" Target="https://www.bigbatbox.com/it/blogs/bee-species/tagged/bee-facts" TargetMode="External"/><Relationship Id="rId817" Type="http://schemas.openxmlformats.org/officeDocument/2006/relationships/hyperlink" Target="https://www.bigbatbox.com/fr/blogs/types-of-squirrels/tagged/wildlife-habitat" TargetMode="External"/><Relationship Id="rId818" Type="http://schemas.openxmlformats.org/officeDocument/2006/relationships/hyperlink" Target="https://www.bigbatbox.com/fr/blogs/backyard-birds/can-you-feed-suet-in-summer" TargetMode="External"/><Relationship Id="rId819" Type="http://schemas.openxmlformats.org/officeDocument/2006/relationships/hyperlink" Target="https://www.bigbatbox.com/it/blogs/fun-facts-about-owls?page=2" TargetMode="External"/><Relationship Id="rId820" Type="http://schemas.openxmlformats.org/officeDocument/2006/relationships/hyperlink" Target="https://www.bigbatbox.com/fr/blogs/habitat-of-bats/tagged/cold-climate-bat-box" TargetMode="External"/><Relationship Id="rId821" Type="http://schemas.openxmlformats.org/officeDocument/2006/relationships/hyperlink" Target="https://www.bigbatbox.com/it/blogs/bee-species/fun-facts-about-bees" TargetMode="External"/><Relationship Id="rId822" Type="http://schemas.openxmlformats.org/officeDocument/2006/relationships/hyperlink" Target="https://www.bigbatbox.com/it/blogs/types-of-squirrels/tagged/squirrel-feeder" TargetMode="External"/><Relationship Id="rId823" Type="http://schemas.openxmlformats.org/officeDocument/2006/relationships/hyperlink" Target="https://www.bigbatbox.com/fr/blogs/habitat-of-bats/tagged/bats-as-pollinators" TargetMode="External"/><Relationship Id="rId824" Type="http://schemas.openxmlformats.org/officeDocument/2006/relationships/hyperlink" Target="https://www.bigbatbox.com/es/blogs/habitat-of-bats/tagged/bigbatbox" TargetMode="External"/><Relationship Id="rId825" Type="http://schemas.openxmlformats.org/officeDocument/2006/relationships/hyperlink" Target="https://www.bigbatbox.com/en-ca/blogs/fun-facts-about-owls/tagged/barn-owl" TargetMode="External"/><Relationship Id="rId826" Type="http://schemas.openxmlformats.org/officeDocument/2006/relationships/hyperlink" Target="https://www.bigbatbox.com/fr/blogs/conservation-partners/tagged/partnership" TargetMode="External"/><Relationship Id="rId827" Type="http://schemas.openxmlformats.org/officeDocument/2006/relationships/hyperlink" Target="https://www.bigbatbox.com/fr/blogs/habitat-of-bats/tagged/dark-bat-houses" TargetMode="External"/><Relationship Id="rId828" Type="http://schemas.openxmlformats.org/officeDocument/2006/relationships/hyperlink" Target="https://www.bigbatbox.com/es/blogs/types-of-squirrels/tagged/backyard-wildlife" TargetMode="External"/><Relationship Id="rId829" Type="http://schemas.openxmlformats.org/officeDocument/2006/relationships/hyperlink" Target="https://www.bigbatbox.com/fr/blogs/backyard-birds/keep-squirrels-starlings-off-suet-feeder" TargetMode="External"/><Relationship Id="rId830" Type="http://schemas.openxmlformats.org/officeDocument/2006/relationships/hyperlink" Target="https://www.bigbatbox.com/fr/blogs/types-of-squirrels/tagged/squirrel-feeder" TargetMode="External"/><Relationship Id="rId831" Type="http://schemas.openxmlformats.org/officeDocument/2006/relationships/hyperlink" Target="https://www.bigbatbox.com/en-ca/blogs/types-of-squirrels/tagged/wildyard" TargetMode="External"/><Relationship Id="rId832" Type="http://schemas.openxmlformats.org/officeDocument/2006/relationships/hyperlink" Target="https://www.bigbatbox.com/de/blogs/habitat-of-bats/tagged/mounting-bat-houses" TargetMode="External"/><Relationship Id="rId833" Type="http://schemas.openxmlformats.org/officeDocument/2006/relationships/hyperlink" Target="https://www.bigbatbox.com/blogs/habitat-of-bats/tagged/wildlife-bat-box-guide" TargetMode="External"/><Relationship Id="rId834" Type="http://schemas.openxmlformats.org/officeDocument/2006/relationships/hyperlink" Target="https://www.bigbatbox.com/de/blogs/habitat-of-bats/tagged/avoid-pesticides" TargetMode="External"/><Relationship Id="rId835" Type="http://schemas.openxmlformats.org/officeDocument/2006/relationships/hyperlink" Target="https://www.bigbatbox.com/es/blogs/conservation-partners/tagged/birds" TargetMode="External"/><Relationship Id="rId836" Type="http://schemas.openxmlformats.org/officeDocument/2006/relationships/hyperlink" Target="https://www.bigbatbox.com/de/blogs/habitat-of-bats/tagged/bat-ecology-at-home" TargetMode="External"/><Relationship Id="rId837" Type="http://schemas.openxmlformats.org/officeDocument/2006/relationships/hyperlink" Target="https://www.bigbatbox.com/en-ca/blogs/habitat-of-bats/how-to-attract-bats-your-go-to-guide" TargetMode="External"/><Relationship Id="rId838" Type="http://schemas.openxmlformats.org/officeDocument/2006/relationships/hyperlink" Target="https://www.bigbatbox.com/en-ca/blogs/bee-species/tagged/bee-house" TargetMode="External"/><Relationship Id="rId839" Type="http://schemas.openxmlformats.org/officeDocument/2006/relationships/hyperlink" Target="https://www.bigbatbox.com/de/blogs/habitat-of-bats/tagged/what-do-bats-eat" TargetMode="External"/><Relationship Id="rId840" Type="http://schemas.openxmlformats.org/officeDocument/2006/relationships/hyperlink" Target="https://www.bigbatbox.com/blogs/habitat-of-bats/tagged/help-bats-at-home" TargetMode="External"/><Relationship Id="rId841" Type="http://schemas.openxmlformats.org/officeDocument/2006/relationships/hyperlink" Target="https://www.bigbatbox.com/de/blogs/habitat-of-bats?page=3" TargetMode="External"/><Relationship Id="rId842" Type="http://schemas.openxmlformats.org/officeDocument/2006/relationships/hyperlink" Target="https://www.bigbatbox.com/es/blogs/fun-facts-about-owls/tagged/predators" TargetMode="External"/><Relationship Id="rId843" Type="http://schemas.openxmlformats.org/officeDocument/2006/relationships/hyperlink" Target="https://www.bigbatbox.com/es/blogs/habitat-of-bats/tagged/tall-bat-house-design" TargetMode="External"/><Relationship Id="rId844" Type="http://schemas.openxmlformats.org/officeDocument/2006/relationships/hyperlink" Target="https://www.bigbatbox.com/es/blogs/habitat-of-bats/tagged/building-and-installing-bat-boxes" TargetMode="External"/><Relationship Id="rId845" Type="http://schemas.openxmlformats.org/officeDocument/2006/relationships/hyperlink" Target="https://www.bigbatbox.com/en-ca/blogs/habitat-of-bats/tagged/bat-house-warmth-retention" TargetMode="External"/><Relationship Id="rId846" Type="http://schemas.openxmlformats.org/officeDocument/2006/relationships/hyperlink" Target="https://www.bigbatbox.com/fr/blogs/wildyard-learn/tagged/wildlife-garden" TargetMode="External"/><Relationship Id="rId847" Type="http://schemas.openxmlformats.org/officeDocument/2006/relationships/hyperlink" Target="https://www.bigbatbox.com/de/blogs/fun-facts-about-owls/tagged/owl-nesting-box" TargetMode="External"/><Relationship Id="rId848" Type="http://schemas.openxmlformats.org/officeDocument/2006/relationships/hyperlink" Target="https://www.bigbatbox.com/es/blogs/habitat-of-bats/tagged/bat-in-the-house-in-winter" TargetMode="External"/><Relationship Id="rId849" Type="http://schemas.openxmlformats.org/officeDocument/2006/relationships/hyperlink" Target="https://www.bigbatbox.com/it/blogs/types-of-squirrels/tagged/squirrel-care" TargetMode="External"/><Relationship Id="rId850" Type="http://schemas.openxmlformats.org/officeDocument/2006/relationships/hyperlink" Target="https://www.bigbatbox.com/fr/blogs/backyard-birds/tagged/backyard-birds" TargetMode="External"/><Relationship Id="rId851" Type="http://schemas.openxmlformats.org/officeDocument/2006/relationships/hyperlink" Target="https://www.bigbatbox.com/de/blogs/types-of-squirrels/tagged/squirrel-nesting-box" TargetMode="External"/><Relationship Id="rId852" Type="http://schemas.openxmlformats.org/officeDocument/2006/relationships/hyperlink" Target="https://www.bigbatbox.com/it/blogs/habitat-of-bats/tagged/mounting-bat-houses" TargetMode="External"/><Relationship Id="rId853" Type="http://schemas.openxmlformats.org/officeDocument/2006/relationships/hyperlink" Target="https://www.bigbatbox.com/it/blogs/backyard-birds/tagged/clinging-birds" TargetMode="External"/><Relationship Id="rId854" Type="http://schemas.openxmlformats.org/officeDocument/2006/relationships/hyperlink" Target="https://www.bigbatbox.com/es/blogs/habitat-of-bats/tagged/bat-house" TargetMode="External"/><Relationship Id="rId855" Type="http://schemas.openxmlformats.org/officeDocument/2006/relationships/hyperlink" Target="https://www.bigbatbox.com/en-ca/blogs/habitat-of-bats/tagged/black-cedar-bat-house" TargetMode="External"/><Relationship Id="rId856" Type="http://schemas.openxmlformats.org/officeDocument/2006/relationships/hyperlink" Target="https://www.bigbatbox.com/es/blogs/backyard-birds/tagged/starlings" TargetMode="External"/><Relationship Id="rId857" Type="http://schemas.openxmlformats.org/officeDocument/2006/relationships/hyperlink" Target="https://www.bigbatbox.com/de/blogs/habitat-of-bats/tagged/bat-houses" TargetMode="External"/><Relationship Id="rId858" Type="http://schemas.openxmlformats.org/officeDocument/2006/relationships/hyperlink" Target="https://www.bigbatbox.com/es/blogs/habitat-of-bats/tagged/bat-house-tips" TargetMode="External"/><Relationship Id="rId859" Type="http://schemas.openxmlformats.org/officeDocument/2006/relationships/hyperlink" Target="https://www.bigbatbox.com/it/blogs/bee-species/tagged/bees" TargetMode="External"/><Relationship Id="rId860" Type="http://schemas.openxmlformats.org/officeDocument/2006/relationships/hyperlink" Target="https://www.bigbatbox.com/it/blogs/bee-species/mason-bees-vs-leafcutter-bees" TargetMode="External"/><Relationship Id="rId861" Type="http://schemas.openxmlformats.org/officeDocument/2006/relationships/hyperlink" Target="https://www.bigbatbox.com/de/blogs/fun-facts-about-owls/tagged/owl-behavior" TargetMode="External"/><Relationship Id="rId862" Type="http://schemas.openxmlformats.org/officeDocument/2006/relationships/hyperlink" Target="https://www.bigbatbox.com/de/blogs/habitat-of-bats/tagged/south-facing-bat-house" TargetMode="External"/><Relationship Id="rId863" Type="http://schemas.openxmlformats.org/officeDocument/2006/relationships/hyperlink" Target="https://www.bigbatbox.com/blogs/habitat-of-bats/tagged/bat-house-installation" TargetMode="External"/><Relationship Id="rId864" Type="http://schemas.openxmlformats.org/officeDocument/2006/relationships/hyperlink" Target="https://www.bigbatbox.com/blogs/fun-facts-about-owls/tagged/owl-boxes" TargetMode="External"/><Relationship Id="rId865" Type="http://schemas.openxmlformats.org/officeDocument/2006/relationships/hyperlink" Target="https://www.bigbatbox.com/fr/blogs/habitat-of-bats/tagged/dark-bat-house-benefits" TargetMode="External"/><Relationship Id="rId866" Type="http://schemas.openxmlformats.org/officeDocument/2006/relationships/hyperlink" Target="https://www.bigbatbox.com/fr/blogs/habitat-of-bats/tagged/safe-bat-habitat" TargetMode="External"/><Relationship Id="rId867" Type="http://schemas.openxmlformats.org/officeDocument/2006/relationships/hyperlink" Target="https://www.bigbatbox.com/fr/blogs/bee-species/tagged/pollinator-nutrition" TargetMode="External"/><Relationship Id="rId868" Type="http://schemas.openxmlformats.org/officeDocument/2006/relationships/hyperlink" Target="https://www.bigbatbox.com/en-ca/blogs/habitat-of-bats/tagged/wildyard-bat-house-guide" TargetMode="External"/><Relationship Id="rId869" Type="http://schemas.openxmlformats.org/officeDocument/2006/relationships/hyperlink" Target="https://www.bigbatbox.com/blogs/bee-species/tagged/nature-s-architects" TargetMode="External"/><Relationship Id="rId870" Type="http://schemas.openxmlformats.org/officeDocument/2006/relationships/hyperlink" Target="https://www.bigbatbox.com/de/blogs/habitat-of-bats/tagged/winter-bat-house-tips" TargetMode="External"/><Relationship Id="rId871" Type="http://schemas.openxmlformats.org/officeDocument/2006/relationships/hyperlink" Target="https://www.bigbatbox.com/es/blogs/habitat-of-bats/tagged/natural-pest-control" TargetMode="External"/><Relationship Id="rId872" Type="http://schemas.openxmlformats.org/officeDocument/2006/relationships/hyperlink" Target="https://www.bigbatbox.com/fr/blogs/habitat-of-bats/tagged/bat-house-wall-mount" TargetMode="External"/><Relationship Id="rId873" Type="http://schemas.openxmlformats.org/officeDocument/2006/relationships/hyperlink" Target="https://www.bigbatbox.com/fr/blogs/habitat-of-bats/tagged/black-cedar-bat-house" TargetMode="External"/><Relationship Id="rId874" Type="http://schemas.openxmlformats.org/officeDocument/2006/relationships/hyperlink" Target="https://www.bigbatbox.com/de/blogs/fun-facts-about-owls/tagged/owl-hooting" TargetMode="External"/><Relationship Id="rId875" Type="http://schemas.openxmlformats.org/officeDocument/2006/relationships/hyperlink" Target="https://www.bigbatbox.com/it/blogs/types-of-squirrels/tagged/squirrel-habitat" TargetMode="External"/><Relationship Id="rId876" Type="http://schemas.openxmlformats.org/officeDocument/2006/relationships/hyperlink" Target="https://www.bigbatbox.com/it/blogs/habitat-of-bats/bat-conservation-tips-for-homeowners-simple-ways-to-help-bats-at-home" TargetMode="External"/><Relationship Id="rId877" Type="http://schemas.openxmlformats.org/officeDocument/2006/relationships/hyperlink" Target="https://www.bigbatbox.com/fr/blogs/habitat-of-bats/tagged/bat-house-direction" TargetMode="External"/><Relationship Id="rId878" Type="http://schemas.openxmlformats.org/officeDocument/2006/relationships/hyperlink" Target="https://www.bigbatbox.com/de/blogs/habitat-of-bats/tagged/safe-wildlife-practices" TargetMode="External"/><Relationship Id="rId879" Type="http://schemas.openxmlformats.org/officeDocument/2006/relationships/hyperlink" Target="https://www.bigbatbox.com/fr/blogs/habitat-of-bats/tagged/winter-bat-house-tips" TargetMode="External"/><Relationship Id="rId880" Type="http://schemas.openxmlformats.org/officeDocument/2006/relationships/hyperlink" Target="https://www.bigbatbox.com/fr/blogs/habitat-of-bats/tagged/bat-house-for-cold-climates" TargetMode="External"/><Relationship Id="rId881" Type="http://schemas.openxmlformats.org/officeDocument/2006/relationships/hyperlink" Target="https://www.bigbatbox.com/it/products/bat-house-single-chamber-black" TargetMode="External"/><Relationship Id="rId882" Type="http://schemas.openxmlformats.org/officeDocument/2006/relationships/hyperlink" Target="https://www.bigbatbox.com/fr/blogs/habitat-of-bats/tagged/bat-house-sun-exposure" TargetMode="External"/><Relationship Id="rId883" Type="http://schemas.openxmlformats.org/officeDocument/2006/relationships/hyperlink" Target="https://www.bigbatbox.com/es/blogs/bee-species/tagged/pollinator-habitat" TargetMode="External"/><Relationship Id="rId884" Type="http://schemas.openxmlformats.org/officeDocument/2006/relationships/hyperlink" Target="https://www.bigbatbox.com/it/blogs/bee-species/tagged/leafcutter-bees" TargetMode="External"/><Relationship Id="rId885" Type="http://schemas.openxmlformats.org/officeDocument/2006/relationships/hyperlink" Target="https://www.bigbatbox.com/it/blogs/bee-species/tagged/wildlife" TargetMode="External"/><Relationship Id="rId886" Type="http://schemas.openxmlformats.org/officeDocument/2006/relationships/hyperlink" Target="https://www.bigbatbox.com/it/blogs/conservation-partners/tagged/1-for-the-planet" TargetMode="External"/><Relationship Id="rId887" Type="http://schemas.openxmlformats.org/officeDocument/2006/relationships/hyperlink" Target="https://www.bigbatbox.com/es/blogs/habitat-of-bats/tagged/dark-bat-houses" TargetMode="External"/><Relationship Id="rId888" Type="http://schemas.openxmlformats.org/officeDocument/2006/relationships/hyperlink" Target="https://www.bigbatbox.com/fr/blogs/habitat-of-bats?page=4" TargetMode="External"/><Relationship Id="rId889" Type="http://schemas.openxmlformats.org/officeDocument/2006/relationships/hyperlink" Target="https://www.bigbatbox.com/it/blogs/types-of-squirrels/tagged/squirrel-food" TargetMode="External"/><Relationship Id="rId890" Type="http://schemas.openxmlformats.org/officeDocument/2006/relationships/hyperlink" Target="https://www.bigbatbox.com/de/blogs/habitat-of-bats/tagged/humane-bat-removal" TargetMode="External"/><Relationship Id="rId891" Type="http://schemas.openxmlformats.org/officeDocument/2006/relationships/hyperlink" Target="https://www.bigbatbox.com/it/blogs/habitat-of-bats/everything-you-need-to-know-about-bat-boxes-installation-features-placement-and-more" TargetMode="External"/><Relationship Id="rId892" Type="http://schemas.openxmlformats.org/officeDocument/2006/relationships/hyperlink" Target="https://www.bigbatbox.com/es/blogs/habitat-of-bats/tagged/bat-friendly-backyard" TargetMode="External"/><Relationship Id="rId893" Type="http://schemas.openxmlformats.org/officeDocument/2006/relationships/hyperlink" Target="https://www.bigbatbox.com/it/blogs/habitat-of-bats/tagged/eco-friendly-bat-house" TargetMode="External"/><Relationship Id="rId894" Type="http://schemas.openxmlformats.org/officeDocument/2006/relationships/hyperlink" Target="https://www.bigbatbox.com/de/blogs/bee-species/tagged/wildlife" TargetMode="External"/><Relationship Id="rId895" Type="http://schemas.openxmlformats.org/officeDocument/2006/relationships/hyperlink" Target="https://www.bigbatbox.com/it/blogs/habitat-of-bats/why-a-black-bat-house-is-perfect-for-cooler-climates" TargetMode="External"/><Relationship Id="rId896" Type="http://schemas.openxmlformats.org/officeDocument/2006/relationships/hyperlink" Target="https://www.bigbatbox.com/de/blogs/habitat-of-bats/tagged/natural-mosquito-control" TargetMode="External"/><Relationship Id="rId897" Type="http://schemas.openxmlformats.org/officeDocument/2006/relationships/hyperlink" Target="https://www.bigbatbox.com/es/blogs/habitat-of-bats/tagged/eco-friendly-bat-house" TargetMode="External"/><Relationship Id="rId898" Type="http://schemas.openxmlformats.org/officeDocument/2006/relationships/hyperlink" Target="https://www.bigbatbox.com/it/blogs/habitat-of-bats/tagged/insect-control-naturally" TargetMode="External"/><Relationship Id="rId899" Type="http://schemas.openxmlformats.org/officeDocument/2006/relationships/hyperlink" Target="https://www.bigbatbox.com/en-ca/blogs/habitat-of-bats/tagged/northern-state-bat-box" TargetMode="External"/><Relationship Id="rId900" Type="http://schemas.openxmlformats.org/officeDocument/2006/relationships/hyperlink" Target="https://www.bigbatbox.com/it/blogs/habitat-of-bats/tagged/sustainable-gardens" TargetMode="External"/><Relationship Id="rId901" Type="http://schemas.openxmlformats.org/officeDocument/2006/relationships/hyperlink" Target="https://www.bigbatbox.com/de/blogs/habitat-of-bats/tagged/garden-insect-control" TargetMode="External"/><Relationship Id="rId902" Type="http://schemas.openxmlformats.org/officeDocument/2006/relationships/hyperlink" Target="https://www.bigbatbox.com/es/blogs/habitat-of-bats/tagged/what-do-bats-eat" TargetMode="External"/><Relationship Id="rId903" Type="http://schemas.openxmlformats.org/officeDocument/2006/relationships/hyperlink" Target="https://www.bigbatbox.com/de/blogs/habitat-of-bats/tagged/backyard-conservation" TargetMode="External"/><Relationship Id="rId904" Type="http://schemas.openxmlformats.org/officeDocument/2006/relationships/hyperlink" Target="https://www.bigbatbox.com/en-ca/blogs/habitat-of-bats/tagged/backyard-eco-tips" TargetMode="External"/><Relationship Id="rId905" Type="http://schemas.openxmlformats.org/officeDocument/2006/relationships/hyperlink" Target="https://www.bigbatbox.com/es/blogs/backyard-birds/tagged/bird-feeding" TargetMode="External"/><Relationship Id="rId906" Type="http://schemas.openxmlformats.org/officeDocument/2006/relationships/hyperlink" Target="https://www.bigbatbox.com/fr/blogs/types-of-squirrels/tagged/squirrel-box" TargetMode="External"/><Relationship Id="rId907" Type="http://schemas.openxmlformats.org/officeDocument/2006/relationships/hyperlink" Target="https://www.bigbatbox.com/es/blogs/bee-species/tagged/bee-facts" TargetMode="External"/><Relationship Id="rId908" Type="http://schemas.openxmlformats.org/officeDocument/2006/relationships/hyperlink" Target="https://www.bigbatbox.com/de/collections" TargetMode="External"/><Relationship Id="rId909" Type="http://schemas.openxmlformats.org/officeDocument/2006/relationships/hyperlink" Target="https://www.bigbatbox.com/en-ca/blogs/bee-species/tagged/bee-identification" TargetMode="External"/><Relationship Id="rId910" Type="http://schemas.openxmlformats.org/officeDocument/2006/relationships/hyperlink" Target="https://www.bigbatbox.com/en-ca/blogs/habitat-of-bats/bat-conservation-tips-for-homeowners-simple-ways-to-help-bats-at-home" TargetMode="External"/><Relationship Id="rId911" Type="http://schemas.openxmlformats.org/officeDocument/2006/relationships/hyperlink" Target="https://www.bigbatbox.com/it/blogs/habitat-of-bats/tagged/mosquito-controlbackyard-wildlife" TargetMode="External"/><Relationship Id="rId912" Type="http://schemas.openxmlformats.org/officeDocument/2006/relationships/hyperlink" Target="https://www.bigbatbox.com/it/blogs/habitat-of-bats/tagged/attract-bats-to-yard" TargetMode="External"/><Relationship Id="rId913" Type="http://schemas.openxmlformats.org/officeDocument/2006/relationships/hyperlink" Target="https://www.bigbatbox.com/es/blogs/habitat-of-bats/tagged/bat-house-distance-from-trees" TargetMode="External"/><Relationship Id="rId914" Type="http://schemas.openxmlformats.org/officeDocument/2006/relationships/hyperlink" Target="https://www.bigbatbox.com/blogs/habitat-of-bats/tagged/eco-friendly" TargetMode="External"/><Relationship Id="rId915" Type="http://schemas.openxmlformats.org/officeDocument/2006/relationships/hyperlink" Target="https://www.bigbatbox.com/blogs/habitat-of-bats/tagged/best-bat-house-placement" TargetMode="External"/><Relationship Id="rId916" Type="http://schemas.openxmlformats.org/officeDocument/2006/relationships/hyperlink" Target="https://www.bigbatbox.com/fr/pages/cedar-squirrel-house" TargetMode="External"/><Relationship Id="rId917" Type="http://schemas.openxmlformats.org/officeDocument/2006/relationships/hyperlink" Target="https://www.bigbatbox.com/de/blogs/types-of-squirrels/tagged/backyard-habitat" TargetMode="External"/><Relationship Id="rId918" Type="http://schemas.openxmlformats.org/officeDocument/2006/relationships/hyperlink" Target="https://www.bigbatbox.com/fr/blogs/fun-facts-about-owls/what-do-owls-eat" TargetMode="External"/><Relationship Id="rId919" Type="http://schemas.openxmlformats.org/officeDocument/2006/relationships/hyperlink" Target="https://www.bigbatbox.com/en-ca/blogs/habitat-of-bats/tagged/wildlife-bat-box-guide" TargetMode="External"/><Relationship Id="rId920" Type="http://schemas.openxmlformats.org/officeDocument/2006/relationships/hyperlink" Target="https://www.bigbatbox.com/blogs/habitat-of-bats/tagged/bat-house" TargetMode="External"/><Relationship Id="rId921" Type="http://schemas.openxmlformats.org/officeDocument/2006/relationships/hyperlink" Target="https://www.bigbatbox.com/blogs/bee-species/tagged/pollinator-habitat" TargetMode="External"/><Relationship Id="rId922" Type="http://schemas.openxmlformats.org/officeDocument/2006/relationships/hyperlink" Target="https://www.bigbatbox.com/de/blogs/habitat-of-bats/tagged/best-bat-boxes-for-mosquito-control" TargetMode="External"/><Relationship Id="rId923" Type="http://schemas.openxmlformats.org/officeDocument/2006/relationships/hyperlink" Target="https://www.bigbatbox.com/blogs/backyard-birds/tagged/starlings" TargetMode="External"/><Relationship Id="rId924" Type="http://schemas.openxmlformats.org/officeDocument/2006/relationships/hyperlink" Target="https://www.bigbatbox.com/de/blogs/habitat-of-bats/tagged/best-bat-house-placement" TargetMode="External"/><Relationship Id="rId925" Type="http://schemas.openxmlformats.org/officeDocument/2006/relationships/hyperlink" Target="https://www.bigbatbox.com/de/blogs/fun-facts-about-owls/tagged/owls" TargetMode="External"/><Relationship Id="rId926" Type="http://schemas.openxmlformats.org/officeDocument/2006/relationships/hyperlink" Target="https://www.bigbatbox.com/en-ca/blogs/bee-species/tagged/backyard-wildlife" TargetMode="External"/><Relationship Id="rId927" Type="http://schemas.openxmlformats.org/officeDocument/2006/relationships/hyperlink" Target="https://www.bigbatbox.com/en-ca/blogs/habitat-of-bats/tagged/bat-houses" TargetMode="External"/><Relationship Id="rId928" Type="http://schemas.openxmlformats.org/officeDocument/2006/relationships/hyperlink" Target="https://www.bigbatbox.com/it/blogs/habitat-of-bats/tagged/bats-near-home" TargetMode="External"/><Relationship Id="rId929" Type="http://schemas.openxmlformats.org/officeDocument/2006/relationships/hyperlink" Target="https://www.bigbatbox.com/fr/blogs/types-of-squirrels/tagged/winter-wildlife" TargetMode="External"/><Relationship Id="rId930" Type="http://schemas.openxmlformats.org/officeDocument/2006/relationships/hyperlink" Target="https://www.bigbatbox.com/it/blogs/types-of-squirrels/do-squirrels-hibernate" TargetMode="External"/><Relationship Id="rId931" Type="http://schemas.openxmlformats.org/officeDocument/2006/relationships/hyperlink" Target="https://www.bigbatbox.com/de/blogs/types-of-squirrels/tagged/nocturnal-animals" TargetMode="External"/><Relationship Id="rId932" Type="http://schemas.openxmlformats.org/officeDocument/2006/relationships/hyperlink" Target="https://www.bigbatbox.com/de/blogs/fun-facts-about-owls?page=2" TargetMode="External"/><Relationship Id="rId933" Type="http://schemas.openxmlformats.org/officeDocument/2006/relationships/hyperlink" Target="https://www.bigbatbox.com/it/blogs/habitat-of-bats/tagged/are-bats-dangerous" TargetMode="External"/><Relationship Id="rId934" Type="http://schemas.openxmlformats.org/officeDocument/2006/relationships/hyperlink" Target="https://www.bigbatbox.com/it/blogs/habitat-of-bats/tagged/ecosystem-guardians" TargetMode="External"/><Relationship Id="rId935" Type="http://schemas.openxmlformats.org/officeDocument/2006/relationships/hyperlink" Target="https://www.bigbatbox.com/en-ca/blogs/fun-facts-about-owls/how-long-do-owls-live" TargetMode="External"/><Relationship Id="rId936" Type="http://schemas.openxmlformats.org/officeDocument/2006/relationships/hyperlink" Target="https://www.bigbatbox.com/fr/blogs/habitat-of-bats/why-you-need-a-bat-house-your-go-to-guide" TargetMode="External"/><Relationship Id="rId937" Type="http://schemas.openxmlformats.org/officeDocument/2006/relationships/hyperlink" Target="https://www.bigbatbox.com/it/blogs/habitat-of-bats/tagged/what-do-bats-eat" TargetMode="External"/><Relationship Id="rId938" Type="http://schemas.openxmlformats.org/officeDocument/2006/relationships/hyperlink" Target="https://www.bigbatbox.com/fr/blogs/habitat-of-bats/tagged/water-for-bats" TargetMode="External"/><Relationship Id="rId939" Type="http://schemas.openxmlformats.org/officeDocument/2006/relationships/hyperlink" Target="https://www.bigbatbox.com/it/blogs/fun-facts-about-owls/tagged/owl-boxes" TargetMode="External"/><Relationship Id="rId940" Type="http://schemas.openxmlformats.org/officeDocument/2006/relationships/hyperlink" Target="https://www.bigbatbox.com/es/blogs/habitat-of-bats/tagged/bat-houses" TargetMode="External"/><Relationship Id="rId941" Type="http://schemas.openxmlformats.org/officeDocument/2006/relationships/hyperlink" Target="https://www.bigbatbox.com/fr/blogs/habitat-of-bats/tagged/multi-chamber-bat-house" TargetMode="External"/><Relationship Id="rId942" Type="http://schemas.openxmlformats.org/officeDocument/2006/relationships/hyperlink" Target="https://www.bigbatbox.com/de/blogs/habitat-of-bats/tagged/wildlife-friendly-backyard" TargetMode="External"/><Relationship Id="rId943" Type="http://schemas.openxmlformats.org/officeDocument/2006/relationships/hyperlink" Target="https://www.bigbatbox.com/en-ca/blogs/habitat-of-bats/tagged/bat-house-chambers" TargetMode="External"/><Relationship Id="rId944" Type="http://schemas.openxmlformats.org/officeDocument/2006/relationships/hyperlink" Target="https://www.bigbatbox.com/es/blogs/types-of-squirrels/tagged/wildlife-feeding" TargetMode="External"/><Relationship Id="rId945" Type="http://schemas.openxmlformats.org/officeDocument/2006/relationships/hyperlink" Target="https://www.bigbatbox.com/blogs/habitat-of-bats/tagged/bat-roost-guide" TargetMode="External"/><Relationship Id="rId946" Type="http://schemas.openxmlformats.org/officeDocument/2006/relationships/hyperlink" Target="https://www.bigbatbox.com/fr/blogs/bee-species/tagged/bee-identification" TargetMode="External"/><Relationship Id="rId947" Type="http://schemas.openxmlformats.org/officeDocument/2006/relationships/hyperlink" Target="https://www.bigbatbox.com/blogs/habitat-of-bats/tagged/bat-housebat-conservation" TargetMode="External"/><Relationship Id="rId948" Type="http://schemas.openxmlformats.org/officeDocument/2006/relationships/hyperlink" Target="https://www.bigbatbox.com/fr/blogs/habitat-of-bats/tagged/natural-mosquito-control" TargetMode="External"/><Relationship Id="rId949" Type="http://schemas.openxmlformats.org/officeDocument/2006/relationships/hyperlink" Target="https://www.bigbatbox.com/fr/blogs/fun-facts-about-owls/tagged/nocturnal-animals" TargetMode="External"/><Relationship Id="rId950" Type="http://schemas.openxmlformats.org/officeDocument/2006/relationships/hyperlink" Target="https://www.bigbatbox.com/fr/blogs/conservation-partners/wildyard-bird-conservancy-of-the-rockies-partnership" TargetMode="External"/><Relationship Id="rId951" Type="http://schemas.openxmlformats.org/officeDocument/2006/relationships/hyperlink" Target="https://www.bigbatbox.com/de/blogs/bee-species/tagged/honey-production" TargetMode="External"/><Relationship Id="rId952" Type="http://schemas.openxmlformats.org/officeDocument/2006/relationships/hyperlink" Target="https://www.bigbatbox.com/en-ca/blogs/habitat-of-bats/tagged/bat-house-placement-guide" TargetMode="External"/><Relationship Id="rId953" Type="http://schemas.openxmlformats.org/officeDocument/2006/relationships/hyperlink" Target="https://www.bigbatbox.com/it/blogs/fun-facts-about-owls/tagged/owl-behavior" TargetMode="External"/><Relationship Id="rId954" Type="http://schemas.openxmlformats.org/officeDocument/2006/relationships/hyperlink" Target="https://www.bigbatbox.com/it/blogs/types-of-squirrels/how-to-attract-squirrels-to-your-backyard" TargetMode="External"/><Relationship Id="rId955" Type="http://schemas.openxmlformats.org/officeDocument/2006/relationships/hyperlink" Target="https://www.bigbatbox.com/it/blogs/backyard-birds/tagged/summer-feeding" TargetMode="External"/><Relationship Id="rId956" Type="http://schemas.openxmlformats.org/officeDocument/2006/relationships/hyperlink" Target="https://www.bigbatbox.com/it/blogs/fun-facts-about-owls/why-do-owls-hoot-at-night" TargetMode="External"/><Relationship Id="rId957" Type="http://schemas.openxmlformats.org/officeDocument/2006/relationships/hyperlink" Target="https://www.bigbatbox.com/es/blogs/fun-facts-about-owls/tagged/owl-behavior" TargetMode="External"/><Relationship Id="rId958" Type="http://schemas.openxmlformats.org/officeDocument/2006/relationships/hyperlink" Target="https://www.bigbatbox.com/es/blogs/habitat-of-bats/tagged/bat-house-placement-guide" TargetMode="External"/><Relationship Id="rId959" Type="http://schemas.openxmlformats.org/officeDocument/2006/relationships/hyperlink" Target="https://www.bigbatbox.com/de/blogs/habitat-of-bats?page=4" TargetMode="External"/><Relationship Id="rId960" Type="http://schemas.openxmlformats.org/officeDocument/2006/relationships/hyperlink" Target="https://www.bigbatbox.com/es/blogs/fun-facts-about-owls/tagged/barn-owl" TargetMode="External"/><Relationship Id="rId961" Type="http://schemas.openxmlformats.org/officeDocument/2006/relationships/hyperlink" Target="https://www.bigbatbox.com/es/blogs/wildyard-learn/tagged/bees-and-bats" TargetMode="External"/><Relationship Id="rId962" Type="http://schemas.openxmlformats.org/officeDocument/2006/relationships/hyperlink" Target="https://www.bigbatbox.com/de/blogs/habitat-of-bats/tagged/yard-wildlife-guide" TargetMode="External"/><Relationship Id="rId963" Type="http://schemas.openxmlformats.org/officeDocument/2006/relationships/hyperlink" Target="https://www.bigbatbox.com/it/blogs/habitat-of-bats/tagged/cooler-climate-bat-habitat" TargetMode="External"/><Relationship Id="rId964" Type="http://schemas.openxmlformats.org/officeDocument/2006/relationships/hyperlink" Target="https://www.bigbatbox.com/es/blogs/habitat-of-bats/tagged/bat-food" TargetMode="External"/><Relationship Id="rId965" Type="http://schemas.openxmlformats.org/officeDocument/2006/relationships/hyperlink" Target="https://www.bigbatbox.com/blogs/bee-species/tagged/bumblebees" TargetMode="External"/><Relationship Id="rId966" Type="http://schemas.openxmlformats.org/officeDocument/2006/relationships/hyperlink" Target="https://www.bigbatbox.com/fr/blogs/types-of-squirrels/tagged/wildlife-feeding" TargetMode="External"/><Relationship Id="rId967" Type="http://schemas.openxmlformats.org/officeDocument/2006/relationships/hyperlink" Target="https://www.bigbatbox.com/es/blogs/habitat-of-bats/tagged/bats-as-pollinators" TargetMode="External"/><Relationship Id="rId968" Type="http://schemas.openxmlformats.org/officeDocument/2006/relationships/hyperlink" Target="https://www.bigbatbox.com/en-ca/blogs/habitat-of-bats/tagged/how-to-attract-bats" TargetMode="External"/><Relationship Id="rId969" Type="http://schemas.openxmlformats.org/officeDocument/2006/relationships/hyperlink" Target="https://www.bigbatbox.com/fr/blogs/fun-facts-about-owls?page=2" TargetMode="External"/><Relationship Id="rId970" Type="http://schemas.openxmlformats.org/officeDocument/2006/relationships/hyperlink" Target="https://www.bigbatbox.com/fr/blogs/habitat-of-bats/tagged/mosquito-control" TargetMode="External"/><Relationship Id="rId971" Type="http://schemas.openxmlformats.org/officeDocument/2006/relationships/hyperlink" Target="https://www.bigbatbox.com/fr/blogs/fun-facts-about-owls/tagged/squirrels" TargetMode="External"/><Relationship Id="rId972" Type="http://schemas.openxmlformats.org/officeDocument/2006/relationships/hyperlink" Target="https://www.bigbatbox.com/es/blogs/conservation-partners/wildyard-bird-conservancy-of-the-rockies-partnership" TargetMode="External"/><Relationship Id="rId973" Type="http://schemas.openxmlformats.org/officeDocument/2006/relationships/hyperlink" Target="https://www.bigbatbox.com/fr/blogs/backyard-birds/tagged/woodpeckers" TargetMode="External"/><Relationship Id="rId974" Type="http://schemas.openxmlformats.org/officeDocument/2006/relationships/hyperlink" Target="https://www.bigbatbox.com/es/blogs/fun-facts-about-owls/are-owls-dangerous" TargetMode="External"/><Relationship Id="rId975" Type="http://schemas.openxmlformats.org/officeDocument/2006/relationships/hyperlink" Target="https://www.bigbatbox.com/fr/blogs/fun-facts-about-owls/tagged/owl-hooting" TargetMode="External"/><Relationship Id="rId976" Type="http://schemas.openxmlformats.org/officeDocument/2006/relationships/hyperlink" Target="https://www.bigbatbox.com/de/blogs/fun-facts-about-owls/tagged/owl-attraction" TargetMode="External"/><Relationship Id="rId977" Type="http://schemas.openxmlformats.org/officeDocument/2006/relationships/hyperlink" Target="https://www.bigbatbox.com/it/blogs/wildyard-news/introducing-the-wildyard-x-angry-birds&#8482;-collection-turn-your-garden-into-a-wildlife-habitat" TargetMode="External"/><Relationship Id="rId978" Type="http://schemas.openxmlformats.org/officeDocument/2006/relationships/hyperlink" Target="https://www.bigbatbox.com/en-ca/blogs/fun-facts-about-owls/tagged/conservation" TargetMode="External"/><Relationship Id="rId979" Type="http://schemas.openxmlformats.org/officeDocument/2006/relationships/hyperlink" Target="https://www.bigbatbox.com/it/blogs/types-of-squirrels/tagged/species-facts" TargetMode="External"/><Relationship Id="rId980" Type="http://schemas.openxmlformats.org/officeDocument/2006/relationships/hyperlink" Target="https://www.bigbatbox.com/en-ca/blogs/habitat-of-bats/tagged/painted-cedar-bat-house" TargetMode="External"/><Relationship Id="rId981" Type="http://schemas.openxmlformats.org/officeDocument/2006/relationships/hyperlink" Target="https://www.bigbatbox.com/fr/blogs/fun-facts-about-owls/tagged/barn-owl" TargetMode="External"/><Relationship Id="rId982" Type="http://schemas.openxmlformats.org/officeDocument/2006/relationships/hyperlink" Target="https://www.bigbatbox.com/fr/blogs/habitat-of-bats/tagged/vampire-bats" TargetMode="External"/><Relationship Id="rId983" Type="http://schemas.openxmlformats.org/officeDocument/2006/relationships/hyperlink" Target="https://www.bigbatbox.com/de/blogs/fun-facts-about-owls/tagged/backyard-wildlife" TargetMode="External"/><Relationship Id="rId984" Type="http://schemas.openxmlformats.org/officeDocument/2006/relationships/hyperlink" Target="https://www.bigbatbox.com/fr/blogs/types-of-squirrels/tagged/wildlife-lifespan" TargetMode="External"/><Relationship Id="rId985" Type="http://schemas.openxmlformats.org/officeDocument/2006/relationships/hyperlink" Target="https://www.bigbatbox.com/blogs/types-of-squirrels/tagged/wildlife-lifespan" TargetMode="External"/><Relationship Id="rId986" Type="http://schemas.openxmlformats.org/officeDocument/2006/relationships/hyperlink" Target="https://www.bigbatbox.com/blogs/habitat-of-bats/tagged/mosquito-control" TargetMode="External"/><Relationship Id="rId987" Type="http://schemas.openxmlformats.org/officeDocument/2006/relationships/hyperlink" Target="https://www.bigbatbox.com/de/blogs/types-of-squirrels/tagged/squirrels" TargetMode="External"/><Relationship Id="rId988" Type="http://schemas.openxmlformats.org/officeDocument/2006/relationships/hyperlink" Target="https://www.bigbatbox.com/en-ca/blogs/bee-species/tagged/bee-food-sources" TargetMode="External"/><Relationship Id="rId989" Type="http://schemas.openxmlformats.org/officeDocument/2006/relationships/hyperlink" Target="https://www.bigbatbox.com/es/blogs/habitat-of-bats/tagged/natural-mosquito-control" TargetMode="External"/><Relationship Id="rId990" Type="http://schemas.openxmlformats.org/officeDocument/2006/relationships/hyperlink" Target="https://www.bigbatbox.com/de/blogs/habitat-of-bats/tagged/coexist-with-bats" TargetMode="External"/><Relationship Id="rId991" Type="http://schemas.openxmlformats.org/officeDocument/2006/relationships/hyperlink" Target="https://www.bigbatbox.com/it/blogs/bee-species/tagged/pollination" TargetMode="External"/><Relationship Id="rId992" Type="http://schemas.openxmlformats.org/officeDocument/2006/relationships/hyperlink" Target="https://www.bigbatbox.com/en-ca/blogs/habitat-of-bats/tagged/best-bat-house-setup" TargetMode="External"/><Relationship Id="rId993" Type="http://schemas.openxmlformats.org/officeDocument/2006/relationships/hyperlink" Target="https://www.bigbatbox.com/en-ca/blogs/fun-facts-about-owls/tagged/owl-sounds" TargetMode="External"/><Relationship Id="rId994" Type="http://schemas.openxmlformats.org/officeDocument/2006/relationships/hyperlink" Target="https://www.bigbatbox.com/en-ca/blogs/habitat-of-bats/tagged/bats-near-home" TargetMode="External"/><Relationship Id="rId995" Type="http://schemas.openxmlformats.org/officeDocument/2006/relationships/hyperlink" Target="https://www.bigbatbox.com/en-ca/blogs/habitat-of-bats/tagged/backyard-wildlife" TargetMode="External"/><Relationship Id="rId996" Type="http://schemas.openxmlformats.org/officeDocument/2006/relationships/hyperlink" Target="https://www.bigbatbox.com/es/blogs/habitat-of-bats/tagged/bat-facts" TargetMode="External"/><Relationship Id="rId997" Type="http://schemas.openxmlformats.org/officeDocument/2006/relationships/hyperlink" Target="https://www.bigbatbox.com/blogs/habitat-of-bats/tagged/vampire-bats" TargetMode="External"/><Relationship Id="rId998" Type="http://schemas.openxmlformats.org/officeDocument/2006/relationships/hyperlink" Target="https://www.bigbatbox.com/de/blogs/habitat-of-bats/tagged/bat-conservation-tips" TargetMode="External"/><Relationship Id="rId999" Type="http://schemas.openxmlformats.org/officeDocument/2006/relationships/hyperlink" Target="https://www.bigbatbox.com/de/blogs/wildyard-learn/tagged/pollination" TargetMode="External"/><Relationship Id="rId1000" Type="http://schemas.openxmlformats.org/officeDocument/2006/relationships/hyperlink" Target="https://www.bigbatbox.com/de/blogs/backyard-birds/tagged/backyard-birds" TargetMode="External"/><Relationship Id="rId1001" Type="http://schemas.openxmlformats.org/officeDocument/2006/relationships/hyperlink" Target="https://www.bigbatbox.com/blogs/backyard-birds/tagged/suet-feeder" TargetMode="External"/><Relationship Id="rId1002" Type="http://schemas.openxmlformats.org/officeDocument/2006/relationships/hyperlink" Target="https://www.bigbatbox.com/en-ca/blogs/bee-species/tagged/bumblebees" TargetMode="External"/><Relationship Id="rId1003" Type="http://schemas.openxmlformats.org/officeDocument/2006/relationships/hyperlink" Target="https://www.bigbatbox.com/fr/collections/bat-barn-junior" TargetMode="External"/><Relationship Id="rId1004" Type="http://schemas.openxmlformats.org/officeDocument/2006/relationships/hyperlink" Target="https://www.bigbatbox.com/it/blogs/habitat-of-bats/do-bats-eat-mosquitoes-everything-you-need-to-know" TargetMode="External"/><Relationship Id="rId1005" Type="http://schemas.openxmlformats.org/officeDocument/2006/relationships/hyperlink" Target="https://www.bigbatbox.com/es/blogs/backyard-birds/tagged/hot-pepper-suet" TargetMode="External"/><Relationship Id="rId1006" Type="http://schemas.openxmlformats.org/officeDocument/2006/relationships/hyperlink" Target="https://www.bigbatbox.com/de/blogs/types-of-squirrels/tagged/wildlife-behavior" TargetMode="External"/><Relationship Id="rId1007" Type="http://schemas.openxmlformats.org/officeDocument/2006/relationships/hyperlink" Target="https://www.bigbatbox.com/es/blogs/habitat-of-bats/tagged/mammal-facts" TargetMode="External"/><Relationship Id="rId1008" Type="http://schemas.openxmlformats.org/officeDocument/2006/relationships/hyperlink" Target="https://www.bigbatbox.com/es/blogs/habitat-of-bats/tagged/safe-bat-habitat" TargetMode="External"/><Relationship Id="rId1009" Type="http://schemas.openxmlformats.org/officeDocument/2006/relationships/hyperlink" Target="https://www.bigbatbox.com/en-ca/blogs/wildyard-news/introducing-the-wildyard-x-angry-birds&#8482;-collection-turn-your-garden-into-a-wildlife-habitat" TargetMode="External"/><Relationship Id="rId1010" Type="http://schemas.openxmlformats.org/officeDocument/2006/relationships/hyperlink" Target="https://www.bigbatbox.com/it/blogs/habitat-of-bats/tagged/bat-safety" TargetMode="External"/><Relationship Id="rId1011" Type="http://schemas.openxmlformats.org/officeDocument/2006/relationships/hyperlink" Target="https://www.bigbatbox.com/it/blogs/habitat-of-bats?page=2" TargetMode="External"/><Relationship Id="rId1012" Type="http://schemas.openxmlformats.org/officeDocument/2006/relationships/hyperlink" Target="https://www.bigbatbox.com/blogs/fun-facts-about-owls/tagged/wildlife-gardening" TargetMode="External"/><Relationship Id="rId1013" Type="http://schemas.openxmlformats.org/officeDocument/2006/relationships/hyperlink" Target="https://www.bigbatbox.com/en-ca/blogs/backyard-birds/tagged/seasonal-feeding" TargetMode="External"/><Relationship Id="rId1014" Type="http://schemas.openxmlformats.org/officeDocument/2006/relationships/hyperlink" Target="https://www.bigbatbox.com/it/blogs/wildyard-learn/tagged/wildlife-garden" TargetMode="External"/><Relationship Id="rId1015" Type="http://schemas.openxmlformats.org/officeDocument/2006/relationships/hyperlink" Target="https://www.bigbatbox.com/en-ca/blogs/habitat-of-bats/tagged/bat-house-advice" TargetMode="External"/><Relationship Id="rId1016" Type="http://schemas.openxmlformats.org/officeDocument/2006/relationships/hyperlink" Target="https://www.bigbatbox.com/it/blogs/habitat-of-bats/tagged/bat-in-the-house-in-winter" TargetMode="External"/><Relationship Id="rId1017" Type="http://schemas.openxmlformats.org/officeDocument/2006/relationships/hyperlink" Target="https://www.bigbatbox.com/fr/pages/about" TargetMode="External"/><Relationship Id="rId1018" Type="http://schemas.openxmlformats.org/officeDocument/2006/relationships/hyperlink" Target="https://www.bigbatbox.com/es/blogs/habitat-of-bats/tagged/2026-trends" TargetMode="External"/><Relationship Id="rId1019" Type="http://schemas.openxmlformats.org/officeDocument/2006/relationships/hyperlink" Target="https://www.bigbatbox.com/en-ca/blogs/types-of-squirrels/tagged/wildlife-guide" TargetMode="External"/><Relationship Id="rId1020" Type="http://schemas.openxmlformats.org/officeDocument/2006/relationships/hyperlink" Target="https://www.bigbatbox.com/fr/blogs/habitat-of-bats/tagged/best-bat-houses" TargetMode="External"/><Relationship Id="rId1021" Type="http://schemas.openxmlformats.org/officeDocument/2006/relationships/hyperlink" Target="https://www.bigbatbox.com/blogs/habitat-of-bats/tagged/best-bat-house-setup" TargetMode="External"/><Relationship Id="rId1022" Type="http://schemas.openxmlformats.org/officeDocument/2006/relationships/hyperlink" Target="https://www.bigbatbox.com/it/blogs/conservation-partners" TargetMode="External"/><Relationship Id="rId1023" Type="http://schemas.openxmlformats.org/officeDocument/2006/relationships/hyperlink" Target="https://www.bigbatbox.com/en-ca/blogs/backyard-birds/tagged/bird-feeding" TargetMode="External"/><Relationship Id="rId1024" Type="http://schemas.openxmlformats.org/officeDocument/2006/relationships/hyperlink" Target="https://www.bigbatbox.com/blogs/fun-facts-about-owls/tagged/wildlife-habitats" TargetMode="External"/><Relationship Id="rId1025" Type="http://schemas.openxmlformats.org/officeDocument/2006/relationships/hyperlink" Target="https://www.bigbatbox.com/blogs/habitat-of-bats/tagged/dark-bat-houses" TargetMode="External"/><Relationship Id="rId1026" Type="http://schemas.openxmlformats.org/officeDocument/2006/relationships/hyperlink" Target="https://www.bigbatbox.com/blogs/habitat-of-bats/tagged/bat-house-height" TargetMode="External"/><Relationship Id="rId1027" Type="http://schemas.openxmlformats.org/officeDocument/2006/relationships/hyperlink" Target="https://www.bigbatbox.com/de/blogs/habitat-of-bats/tagged/building-and-installing-bat-boxes" TargetMode="External"/><Relationship Id="rId1028" Type="http://schemas.openxmlformats.org/officeDocument/2006/relationships/hyperlink" Target="https://www.bigbatbox.com/blogs/bee-species/tagged/pollinator-nutrition" TargetMode="External"/><Relationship Id="rId1029" Type="http://schemas.openxmlformats.org/officeDocument/2006/relationships/hyperlink" Target="https://www.bigbatbox.com/it/blogs/habitat-of-bats/9-fantastic-bat-facts-you-need-to-know" TargetMode="External"/><Relationship Id="rId1030" Type="http://schemas.openxmlformats.org/officeDocument/2006/relationships/hyperlink" Target="https://www.bigbatbox.com/fr/blogs/backyard-birds/tagged/starlings" TargetMode="External"/><Relationship Id="rId1031" Type="http://schemas.openxmlformats.org/officeDocument/2006/relationships/hyperlink" Target="https://www.bigbatbox.com/en-ca/blogs/habitat-of-bats/tagged/attract-bats-to-yard" TargetMode="External"/><Relationship Id="rId1032" Type="http://schemas.openxmlformats.org/officeDocument/2006/relationships/hyperlink" Target="https://www.bigbatbox.com/it/blogs/fun-facts-about-owls/tagged/owl-nesting-box" TargetMode="External"/><Relationship Id="rId1033" Type="http://schemas.openxmlformats.org/officeDocument/2006/relationships/hyperlink" Target="https://www.bigbatbox.com/es/blogs/backyard-birds/tagged/clinging-birds" TargetMode="External"/><Relationship Id="rId1034" Type="http://schemas.openxmlformats.org/officeDocument/2006/relationships/hyperlink" Target="https://www.bigbatbox.com/blogs/habitat-of-bats/tagged/bat-houses-for-cold-climates" TargetMode="External"/><Relationship Id="rId1035" Type="http://schemas.openxmlformats.org/officeDocument/2006/relationships/hyperlink" Target="https://www.bigbatbox.com/es/blogs/habitat-of-bats/tagged/cold-climate-bat-box" TargetMode="External"/><Relationship Id="rId1036" Type="http://schemas.openxmlformats.org/officeDocument/2006/relationships/hyperlink" Target="https://www.bigbatbox.com/en-ca/blogs/bee-species/tagged/honey-making" TargetMode="External"/><Relationship Id="rId1037" Type="http://schemas.openxmlformats.org/officeDocument/2006/relationships/hyperlink" Target="https://www.bigbatbox.com/blogs/backyard-birds/keep-squirrels-starlings-off-suet-feeder" TargetMode="External"/><Relationship Id="rId1038" Type="http://schemas.openxmlformats.org/officeDocument/2006/relationships/hyperlink" Target="https://www.bigbatbox.com/de/blogs/bee-species/tagged/mason-bees" TargetMode="External"/><Relationship Id="rId1039" Type="http://schemas.openxmlformats.org/officeDocument/2006/relationships/hyperlink" Target="https://www.bigbatbox.com/blogs/habitat-of-bats/tagged/where-to-mount-bat-house" TargetMode="External"/><Relationship Id="rId1040" Type="http://schemas.openxmlformats.org/officeDocument/2006/relationships/hyperlink" Target="https://www.bigbatbox.com/blogs/backyard-birds" TargetMode="External"/><Relationship Id="rId1041" Type="http://schemas.openxmlformats.org/officeDocument/2006/relationships/hyperlink" Target="https://www.bigbatbox.com/en-ca/blogs/bee-species/tagged/bee-habitat-faq" TargetMode="External"/><Relationship Id="rId1042" Type="http://schemas.openxmlformats.org/officeDocument/2006/relationships/hyperlink" Target="https://www.bigbatbox.com/blogs/habitat-of-bats/tagged/microbats" TargetMode="External"/><Relationship Id="rId1043" Type="http://schemas.openxmlformats.org/officeDocument/2006/relationships/hyperlink" Target="https://www.bigbatbox.com/es/blogs/fun-facts-about-owls?page=2" TargetMode="External"/><Relationship Id="rId1044" Type="http://schemas.openxmlformats.org/officeDocument/2006/relationships/hyperlink" Target="https://www.bigbatbox.com/blogs/bee-species/tagged/honey-production" TargetMode="External"/><Relationship Id="rId1045" Type="http://schemas.openxmlformats.org/officeDocument/2006/relationships/hyperlink" Target="https://www.bigbatbox.com/en-ca/blogs/conservation-partners/tagged/birds" TargetMode="External"/><Relationship Id="rId1046" Type="http://schemas.openxmlformats.org/officeDocument/2006/relationships/hyperlink" Target="https://www.bigbatbox.com/de/blogs/habitat-of-bats/tagged/cedar-bat-box" TargetMode="External"/><Relationship Id="rId1047" Type="http://schemas.openxmlformats.org/officeDocument/2006/relationships/hyperlink" Target="https://www.bigbatbox.com/de/blogs/habitat-of-bats/tagged/bat-house-usa-climate" TargetMode="External"/><Relationship Id="rId1048" Type="http://schemas.openxmlformats.org/officeDocument/2006/relationships/hyperlink" Target="https://www.bigbatbox.com/fr/collections/1-chamber-bat-houses" TargetMode="External"/><Relationship Id="rId1049" Type="http://schemas.openxmlformats.org/officeDocument/2006/relationships/hyperlink" Target="https://www.bigbatbox.com/en-ca/blogs/backyard-birds/tagged/summer-feeding" TargetMode="External"/><Relationship Id="rId1050" Type="http://schemas.openxmlformats.org/officeDocument/2006/relationships/hyperlink" Target="https://www.bigbatbox.com/it/blogs/habitat-of-bats/tagged/night-wildlife-support" TargetMode="External"/><Relationship Id="rId1051" Type="http://schemas.openxmlformats.org/officeDocument/2006/relationships/hyperlink" Target="https://www.bigbatbox.com/it/blogs/habitat-of-bats/tagged/megabats" TargetMode="External"/><Relationship Id="rId1052" Type="http://schemas.openxmlformats.org/officeDocument/2006/relationships/hyperlink" Target="https://www.bigbatbox.com/es/blogs/habitat-of-bats/tagged/bat-house-wall-mount" TargetMode="External"/><Relationship Id="rId1053" Type="http://schemas.openxmlformats.org/officeDocument/2006/relationships/hyperlink" Target="https://www.bigbatbox.com/it/blogs/habitat-of-bats/how-to-get-bats-in-a-bat-house" TargetMode="External"/><Relationship Id="rId1054" Type="http://schemas.openxmlformats.org/officeDocument/2006/relationships/hyperlink" Target="https://www.bigbatbox.com/de/blogs/fun-facts-about-owls/tagged/owl-box" TargetMode="External"/><Relationship Id="rId1055" Type="http://schemas.openxmlformats.org/officeDocument/2006/relationships/hyperlink" Target="https://www.bigbatbox.com/it/blogs/bee-species/tagged/bee-habitat-faq" TargetMode="External"/><Relationship Id="rId1056" Type="http://schemas.openxmlformats.org/officeDocument/2006/relationships/hyperlink" Target="https://www.bigbatbox.com/en-ca/blogs/habitat-of-bats/tagged/bat-house-for-cold-climates" TargetMode="External"/><Relationship Id="rId1057" Type="http://schemas.openxmlformats.org/officeDocument/2006/relationships/hyperlink" Target="https://www.bigbatbox.com/de/blogs/types-of-squirrels/tagged/cedar-habitat" TargetMode="External"/><Relationship Id="rId1058" Type="http://schemas.openxmlformats.org/officeDocument/2006/relationships/hyperlink" Target="https://www.bigbatbox.com/it/products/single-chamber-bat-house" TargetMode="External"/><Relationship Id="rId1059" Type="http://schemas.openxmlformats.org/officeDocument/2006/relationships/hyperlink" Target="https://www.bigbatbox.com/fr/blogs/habitat-of-bats/tagged/bat-box-guide" TargetMode="External"/><Relationship Id="rId1060" Type="http://schemas.openxmlformats.org/officeDocument/2006/relationships/hyperlink" Target="https://www.bigbatbox.com/it/blogs/habitat-of-bats/tagged/bat-facts" TargetMode="External"/><Relationship Id="rId1061" Type="http://schemas.openxmlformats.org/officeDocument/2006/relationships/hyperlink" Target="https://www.bigbatbox.com/blogs/conservation-partners/tagged/conservation" TargetMode="External"/><Relationship Id="rId1062" Type="http://schemas.openxmlformats.org/officeDocument/2006/relationships/hyperlink" Target="https://www.bigbatbox.com/de/blogs/habitat-of-bats/tagged/bat-house-warmth-retention" TargetMode="External"/><Relationship Id="rId1063" Type="http://schemas.openxmlformats.org/officeDocument/2006/relationships/hyperlink" Target="https://www.bigbatbox.com/fr/blogs/habitat-of-bats/tagged/bat-house-warmth-retention" TargetMode="External"/><Relationship Id="rId1064" Type="http://schemas.openxmlformats.org/officeDocument/2006/relationships/hyperlink" Target="https://www.bigbatbox.com/en-ca/blogs/habitat-of-bats/how-to-get-bats-in-a-bat-house" TargetMode="External"/><Relationship Id="rId1065" Type="http://schemas.openxmlformats.org/officeDocument/2006/relationships/hyperlink" Target="https://www.bigbatbox.com/de/blogs/habitat-of-bats/tagged/best-bat-house-setup" TargetMode="External"/><Relationship Id="rId1066" Type="http://schemas.openxmlformats.org/officeDocument/2006/relationships/hyperlink" Target="https://www.bigbatbox.com/es/blogs/habitat-of-bats?page=3" TargetMode="External"/><Relationship Id="rId1067" Type="http://schemas.openxmlformats.org/officeDocument/2006/relationships/hyperlink" Target="https://www.bigbatbox.com/it/blogs/habitat-of-bats/bats-as-pollinators-guardians-of-ecosystems" TargetMode="External"/><Relationship Id="rId1068" Type="http://schemas.openxmlformats.org/officeDocument/2006/relationships/hyperlink" Target="https://www.bigbatbox.com/fr/blogs/bee-species?page=2" TargetMode="External"/><Relationship Id="rId1069" Type="http://schemas.openxmlformats.org/officeDocument/2006/relationships/hyperlink" Target="https://www.bigbatbox.com/fr/blogs/habitat-of-bats/eco-friendly-bat-house-for-backyard-the-complete-guide" TargetMode="External"/><Relationship Id="rId1070" Type="http://schemas.openxmlformats.org/officeDocument/2006/relationships/hyperlink" Target="https://www.bigbatbox.com/de/blogs/bee-species/tagged/bumblebees" TargetMode="External"/><Relationship Id="rId1071" Type="http://schemas.openxmlformats.org/officeDocument/2006/relationships/hyperlink" Target="https://www.bigbatbox.com/it/blogs/habitat-of-bats/casetta-per-pipistrelli-come-attirarli" TargetMode="External"/><Relationship Id="rId1072" Type="http://schemas.openxmlformats.org/officeDocument/2006/relationships/hyperlink" Target="https://www.bigbatbox.com/en-ca/blogs/habitat-of-bats/tagged/humane-bat-removal" TargetMode="External"/><Relationship Id="rId1073" Type="http://schemas.openxmlformats.org/officeDocument/2006/relationships/hyperlink" Target="https://www.bigbatbox.com/it/blogs/bee-species/tagged/honey-making" TargetMode="External"/><Relationship Id="rId1074" Type="http://schemas.openxmlformats.org/officeDocument/2006/relationships/hyperlink" Target="https://www.bigbatbox.com/es/blogs/types-of-squirrels/tagged/diy-squirrel-feeder" TargetMode="External"/><Relationship Id="rId1075" Type="http://schemas.openxmlformats.org/officeDocument/2006/relationships/hyperlink" Target="https://www.bigbatbox.com/blogs/habitat-of-bats/tagged/bat-houses" TargetMode="External"/><Relationship Id="rId1076" Type="http://schemas.openxmlformats.org/officeDocument/2006/relationships/hyperlink" Target="https://www.bigbatbox.com/es/blogs/fun-facts-about-owls/owl-sounds-decoded" TargetMode="External"/><Relationship Id="rId1077" Type="http://schemas.openxmlformats.org/officeDocument/2006/relationships/hyperlink" Target="https://www.bigbatbox.com/de/blogs/backyard-birds/tagged/suet-feeder" TargetMode="External"/><Relationship Id="rId1078" Type="http://schemas.openxmlformats.org/officeDocument/2006/relationships/hyperlink" Target="https://www.bigbatbox.com/it/blogs/fun-facts-about-owls/tagged/night-sounds" TargetMode="External"/><Relationship Id="rId1079" Type="http://schemas.openxmlformats.org/officeDocument/2006/relationships/hyperlink" Target="https://www.bigbatbox.com/it/blogs/habitat-of-bats/tagged/coexist-with-bats" TargetMode="External"/><Relationship Id="rId1080" Type="http://schemas.openxmlformats.org/officeDocument/2006/relationships/hyperlink" Target="https://www.bigbatbox.com/it/pages/about" TargetMode="External"/><Relationship Id="rId1081" Type="http://schemas.openxmlformats.org/officeDocument/2006/relationships/hyperlink" Target="https://www.bigbatbox.com/de/blogs/fun-facts-about-owls/tagged/owl-diet" TargetMode="External"/><Relationship Id="rId1082" Type="http://schemas.openxmlformats.org/officeDocument/2006/relationships/hyperlink" Target="https://www.bigbatbox.com/en-ca/blogs/types-of-squirrels/tagged/squirrels" TargetMode="External"/><Relationship Id="rId1083" Type="http://schemas.openxmlformats.org/officeDocument/2006/relationships/hyperlink" Target="https://www.bigbatbox.com/blogs/habitat-of-bats/tagged/two-chamber-bat-box" TargetMode="External"/><Relationship Id="rId1084" Type="http://schemas.openxmlformats.org/officeDocument/2006/relationships/hyperlink" Target="https://www.bigbatbox.com/blogs/habitat-of-bats/tagged/bat-house-placement" TargetMode="External"/><Relationship Id="rId1085" Type="http://schemas.openxmlformats.org/officeDocument/2006/relationships/hyperlink" Target="https://www.bigbatbox.com/en-ca/blogs/habitat-of-bats/tagged/building-and-installing-bat-boxes" TargetMode="External"/><Relationship Id="rId1086" Type="http://schemas.openxmlformats.org/officeDocument/2006/relationships/hyperlink" Target="https://www.bigbatbox.com/es/blogs/habitat-of-bats/tagged/bat-box-placement" TargetMode="External"/><Relationship Id="rId1087" Type="http://schemas.openxmlformats.org/officeDocument/2006/relationships/hyperlink" Target="https://www.bigbatbox.com/es/blogs/habitat-of-bats/tagged/dark-bat-house-benefits" TargetMode="External"/><Relationship Id="rId1088" Type="http://schemas.openxmlformats.org/officeDocument/2006/relationships/hyperlink" Target="https://www.bigbatbox.com/blogs/habitat-of-bats/tagged/bat-facts" TargetMode="External"/><Relationship Id="rId1089" Type="http://schemas.openxmlformats.org/officeDocument/2006/relationships/hyperlink" Target="https://www.bigbatbox.com/blogs/habitat-of-bats/tagged/best-bat-houses" TargetMode="External"/><Relationship Id="rId1090" Type="http://schemas.openxmlformats.org/officeDocument/2006/relationships/hyperlink" Target="https://www.bigbatbox.com/en-ca/blogs/wildyard-learn/tagged/bees-and-bats" TargetMode="External"/><Relationship Id="rId1091" Type="http://schemas.openxmlformats.org/officeDocument/2006/relationships/hyperlink" Target="https://www.bigbatbox.com/blogs/habitat-of-bats/tagged/bat-house-pole" TargetMode="External"/><Relationship Id="rId1092" Type="http://schemas.openxmlformats.org/officeDocument/2006/relationships/hyperlink" Target="https://www.bigbatbox.com/it/blogs/fun-facts-about-owls/tagged/owl-nest-box" TargetMode="External"/><Relationship Id="rId1093" Type="http://schemas.openxmlformats.org/officeDocument/2006/relationships/hyperlink" Target="https://www.bigbatbox.com/en-ca/blogs/fun-facts-about-owls/tagged/owl-box-faq" TargetMode="External"/><Relationship Id="rId1094" Type="http://schemas.openxmlformats.org/officeDocument/2006/relationships/hyperlink" Target="https://www.bigbatbox.com/de/blogs/fun-facts-about-owls/tagged/owl-identification" TargetMode="External"/><Relationship Id="rId1095" Type="http://schemas.openxmlformats.org/officeDocument/2006/relationships/hyperlink" Target="https://www.bigbatbox.com/blogs/types-of-squirrels/tagged/wildyard" TargetMode="External"/><Relationship Id="rId1096" Type="http://schemas.openxmlformats.org/officeDocument/2006/relationships/hyperlink" Target="https://www.bigbatbox.com/blogs/habitat-of-bats/tagged/guano" TargetMode="External"/><Relationship Id="rId1097" Type="http://schemas.openxmlformats.org/officeDocument/2006/relationships/hyperlink" Target="https://www.bigbatbox.com/en-ca/blogs/fun-facts-about-owls/tagged/owl-identification" TargetMode="External"/><Relationship Id="rId1098" Type="http://schemas.openxmlformats.org/officeDocument/2006/relationships/hyperlink" Target="https://www.bigbatbox.com/blogs/bee-species/tagged/pollination-process" TargetMode="External"/><Relationship Id="rId1099" Type="http://schemas.openxmlformats.org/officeDocument/2006/relationships/hyperlink" Target="https://www.bigbatbox.com/es/blogs/bee-species/tagged/pollination-process" TargetMode="External"/><Relationship Id="rId1100" Type="http://schemas.openxmlformats.org/officeDocument/2006/relationships/hyperlink" Target="https://www.bigbatbox.com/fr/blogs/fun-facts-about-owls/tagged/owls" TargetMode="External"/><Relationship Id="rId1101" Type="http://schemas.openxmlformats.org/officeDocument/2006/relationships/hyperlink" Target="https://www.bigbatbox.com/it/pages/bat-houses-for-sale" TargetMode="External"/><Relationship Id="rId1102" Type="http://schemas.openxmlformats.org/officeDocument/2006/relationships/hyperlink" Target="https://www.bigbatbox.com/blogs/backyard-birds/tagged/no-melt-suet" TargetMode="External"/><Relationship Id="rId1103" Type="http://schemas.openxmlformats.org/officeDocument/2006/relationships/hyperlink" Target="https://www.bigbatbox.com/it/blogs/habitat-of-bats/tagged/backyard-eco-tips" TargetMode="External"/><Relationship Id="rId1104" Type="http://schemas.openxmlformats.org/officeDocument/2006/relationships/hyperlink" Target="https://www.bigbatbox.com/it/blogs/bee-species/tagged/solitary-bees" TargetMode="External"/><Relationship Id="rId1105" Type="http://schemas.openxmlformats.org/officeDocument/2006/relationships/hyperlink" Target="https://www.bigbatbox.com/it/blogs/habitat-of-bats/tagged/best-bat-houses-for-cold-states" TargetMode="External"/><Relationship Id="rId1106" Type="http://schemas.openxmlformats.org/officeDocument/2006/relationships/hyperlink" Target="https://www.bigbatbox.com/it/blogs/wildyard-learn/tagged/habitat-conservation" TargetMode="External"/><Relationship Id="rId1107" Type="http://schemas.openxmlformats.org/officeDocument/2006/relationships/hyperlink" Target="https://www.bigbatbox.com/es/blogs/habitat-of-bats/tagged/bat-house-direction" TargetMode="External"/><Relationship Id="rId1108" Type="http://schemas.openxmlformats.org/officeDocument/2006/relationships/hyperlink" Target="https://www.bigbatbox.com/blogs/habitat-of-bats/tagged/ecosystem-guardians" TargetMode="External"/><Relationship Id="rId1109" Type="http://schemas.openxmlformats.org/officeDocument/2006/relationships/hyperlink" Target="https://www.bigbatbox.com/es/blogs/habitat-of-bats/tagged/eco-friendly" TargetMode="External"/><Relationship Id="rId1110" Type="http://schemas.openxmlformats.org/officeDocument/2006/relationships/hyperlink" Target="https://www.bigbatbox.com/de/blogs/backyard-birds/tagged/hot-pepper-suet" TargetMode="External"/><Relationship Id="rId1111" Type="http://schemas.openxmlformats.org/officeDocument/2006/relationships/hyperlink" Target="https://www.bigbatbox.com/es/blogs/habitat-of-bats/tagged/bat-house-sun-exposure" TargetMode="External"/><Relationship Id="rId1112" Type="http://schemas.openxmlformats.org/officeDocument/2006/relationships/hyperlink" Target="https://www.bigbatbox.com/it/blogs/habitat-of-bats/tagged/humane-bat-removal" TargetMode="External"/><Relationship Id="rId1113" Type="http://schemas.openxmlformats.org/officeDocument/2006/relationships/hyperlink" Target="https://www.bigbatbox.com/blogs/habitat-of-bats/tagged/megabats" TargetMode="External"/><Relationship Id="rId1114" Type="http://schemas.openxmlformats.org/officeDocument/2006/relationships/hyperlink" Target="https://www.bigbatbox.com/en-ca/blogs/habitat-of-bats/tagged/avoid-pesticides" TargetMode="External"/><Relationship Id="rId1115" Type="http://schemas.openxmlformats.org/officeDocument/2006/relationships/hyperlink" Target="https://www.bigbatbox.com/en-ca/blogs/habitat-of-bats/tagged/bat-conservation-tips" TargetMode="External"/><Relationship Id="rId1116" Type="http://schemas.openxmlformats.org/officeDocument/2006/relationships/hyperlink" Target="https://www.bigbatbox.com/es/blogs/bee-species/tagged/wildlife" TargetMode="External"/><Relationship Id="rId1117" Type="http://schemas.openxmlformats.org/officeDocument/2006/relationships/hyperlink" Target="https://www.bigbatbox.com/it/blogs/habitat-of-bats/tagged/bat-house-placement" TargetMode="External"/><Relationship Id="rId1118" Type="http://schemas.openxmlformats.org/officeDocument/2006/relationships/hyperlink" Target="https://www.bigbatbox.com/es/blogs/wildyard-learn/tagged/pollination" TargetMode="External"/><Relationship Id="rId1119" Type="http://schemas.openxmlformats.org/officeDocument/2006/relationships/hyperlink" Target="https://www.bigbatbox.com/de/blogs/habitat-of-bats/tagged/where-to-mount-bat-house" TargetMode="External"/><Relationship Id="rId1120" Type="http://schemas.openxmlformats.org/officeDocument/2006/relationships/hyperlink" Target="https://www.bigbatbox.com/it/blogs/bee-species/tagged/bee-biology" TargetMode="External"/><Relationship Id="rId1121" Type="http://schemas.openxmlformats.org/officeDocument/2006/relationships/hyperlink" Target="https://www.bigbatbox.com/it/blogs/habitat-of-bats/tagged/winter-wildlife" TargetMode="External"/><Relationship Id="rId1122" Type="http://schemas.openxmlformats.org/officeDocument/2006/relationships/hyperlink" Target="https://www.bigbatbox.com/en-ca/blogs/fun-facts-about-owls/tagged/owl-boxes" TargetMode="External"/><Relationship Id="rId1123" Type="http://schemas.openxmlformats.org/officeDocument/2006/relationships/hyperlink" Target="https://www.bigbatbox.com/es/blogs/types-of-squirrels/tagged/squirrel-feeder" TargetMode="External"/><Relationship Id="rId1124" Type="http://schemas.openxmlformats.org/officeDocument/2006/relationships/hyperlink" Target="https://www.bigbatbox.com/es/blogs/backyard-birds/tagged/no-melt-suet" TargetMode="External"/><Relationship Id="rId1125" Type="http://schemas.openxmlformats.org/officeDocument/2006/relationships/hyperlink" Target="https://www.bigbatbox.com/blogs/backyard-birds/tagged/suet-for-birds" TargetMode="External"/><Relationship Id="rId1126" Type="http://schemas.openxmlformats.org/officeDocument/2006/relationships/hyperlink" Target="https://www.bigbatbox.com/blogs/bee-species/tagged/bee-communication" TargetMode="External"/><Relationship Id="rId1127" Type="http://schemas.openxmlformats.org/officeDocument/2006/relationships/hyperlink" Target="https://www.bigbatbox.com/blogs/types-of-squirrels/tagged/squirrel-house" TargetMode="External"/><Relationship Id="rId1128" Type="http://schemas.openxmlformats.org/officeDocument/2006/relationships/hyperlink" Target="https://www.bigbatbox.com/fr/blogs/habitat-of-bats/tagged/natural-pest-control" TargetMode="External"/><Relationship Id="rId1129" Type="http://schemas.openxmlformats.org/officeDocument/2006/relationships/hyperlink" Target="https://www.bigbatbox.com/en-ca/blogs/bee-species/unveiling-the-world-of-bees-nature-s-tiny-architects" TargetMode="External"/><Relationship Id="rId1130" Type="http://schemas.openxmlformats.org/officeDocument/2006/relationships/hyperlink" Target="https://www.bigbatbox.com/en-ca/blogs/types-of-squirrels/are-squirrels-nocturnal" TargetMode="External"/><Relationship Id="rId1131" Type="http://schemas.openxmlformats.org/officeDocument/2006/relationships/hyperlink" Target="https://www.bigbatbox.com/blogs/bee-species/tagged/fun-facts-about-bees" TargetMode="External"/><Relationship Id="rId1132" Type="http://schemas.openxmlformats.org/officeDocument/2006/relationships/hyperlink" Target="https://www.bigbatbox.com/en-ca/blogs/habitat-of-bats/tagged/bat-house-usa-climate" TargetMode="External"/><Relationship Id="rId1133" Type="http://schemas.openxmlformats.org/officeDocument/2006/relationships/hyperlink" Target="https://www.bigbatbox.com/it/blogs/habitat-of-bats/tagged/three-chamber-bat-box" TargetMode="External"/><Relationship Id="rId1134" Type="http://schemas.openxmlformats.org/officeDocument/2006/relationships/hyperlink" Target="https://www.bigbatbox.com/fr/blogs/wildyard-learn/tagged/garden-pollinators" TargetMode="External"/><Relationship Id="rId1135" Type="http://schemas.openxmlformats.org/officeDocument/2006/relationships/hyperlink" Target="https://www.bigbatbox.com/de/blogs/conservation-partners/tagged/conservation" TargetMode="External"/><Relationship Id="rId1136" Type="http://schemas.openxmlformats.org/officeDocument/2006/relationships/hyperlink" Target="https://www.bigbatbox.com/blogs/habitat-of-bats/tagged/bat-house-distance-from-trees" TargetMode="External"/><Relationship Id="rId1137" Type="http://schemas.openxmlformats.org/officeDocument/2006/relationships/hyperlink" Target="https://www.bigbatbox.com/en-ca/blogs/habitat-of-bats/tagged/winter-bat-house-tips" TargetMode="External"/><Relationship Id="rId1138" Type="http://schemas.openxmlformats.org/officeDocument/2006/relationships/hyperlink" Target="https://www.bigbatbox.com/blogs/conservation-partners/tagged/partnership" TargetMode="External"/><Relationship Id="rId1139" Type="http://schemas.openxmlformats.org/officeDocument/2006/relationships/hyperlink" Target="https://www.bigbatbox.com/de/blogs/habitat-of-bats/tagged/one-chamber-bat-box" TargetMode="External"/><Relationship Id="rId1140" Type="http://schemas.openxmlformats.org/officeDocument/2006/relationships/hyperlink" Target="https://www.bigbatbox.com/it/blogs/backyard-birds/tagged/bird-feeding" TargetMode="External"/><Relationship Id="rId1141" Type="http://schemas.openxmlformats.org/officeDocument/2006/relationships/hyperlink" Target="https://www.bigbatbox.com/blogs/bee-species/tagged/mason-bees" TargetMode="External"/><Relationship Id="rId1142" Type="http://schemas.openxmlformats.org/officeDocument/2006/relationships/hyperlink" Target="https://www.bigbatbox.com/es/blogs/habitat-of-bats/tagged/wildlife-friendly-home" TargetMode="External"/><Relationship Id="rId1143" Type="http://schemas.openxmlformats.org/officeDocument/2006/relationships/hyperlink" Target="https://www.bigbatbox.com/blogs/fun-facts-about-owls/tagged/pet-safety" TargetMode="External"/><Relationship Id="rId1144" Type="http://schemas.openxmlformats.org/officeDocument/2006/relationships/hyperlink" Target="https://www.bigbatbox.com/de/blogs/fun-facts-about-owls/tagged/owl-sounds" TargetMode="External"/><Relationship Id="rId1145" Type="http://schemas.openxmlformats.org/officeDocument/2006/relationships/hyperlink" Target="https://www.bigbatbox.com/fr/blogs/habitat-of-bats/tagged/wildyard-bat-house-guide" TargetMode="External"/><Relationship Id="rId1146" Type="http://schemas.openxmlformats.org/officeDocument/2006/relationships/hyperlink" Target="https://www.bigbatbox.com/en-ca/blogs/habitat-of-bats/tagged/best-bat-house-placement" TargetMode="External"/><Relationship Id="rId1147" Type="http://schemas.openxmlformats.org/officeDocument/2006/relationships/hyperlink" Target="https://www.bigbatbox.com/fr/blogs/fun-facts-about-owls/tagged/owl-box-faq" TargetMode="External"/><Relationship Id="rId1148" Type="http://schemas.openxmlformats.org/officeDocument/2006/relationships/hyperlink" Target="https://www.bigbatbox.com/de/blogs/fun-facts-about-owls/tagged/nocturnal-animals" TargetMode="External"/><Relationship Id="rId1149" Type="http://schemas.openxmlformats.org/officeDocument/2006/relationships/hyperlink" Target="https://www.bigbatbox.com/en-ca/blogs/habitat-of-bats/tagged/bat-house-pole" TargetMode="External"/><Relationship Id="rId1150" Type="http://schemas.openxmlformats.org/officeDocument/2006/relationships/hyperlink" Target="https://www.bigbatbox.com/es/blogs/habitat-of-bats/tagged/northern-state-bat-box" TargetMode="External"/><Relationship Id="rId1151" Type="http://schemas.openxmlformats.org/officeDocument/2006/relationships/hyperlink" Target="https://www.bigbatbox.com/blogs/habitat-of-bats/tagged/mosquito-reduction-with-bats" TargetMode="External"/><Relationship Id="rId1152" Type="http://schemas.openxmlformats.org/officeDocument/2006/relationships/hyperlink" Target="https://www.bigbatbox.com/en-ca/blogs/fun-facts-about-owls/tagged/ecological-balance" TargetMode="External"/><Relationship Id="rId1153" Type="http://schemas.openxmlformats.org/officeDocument/2006/relationships/hyperlink" Target="https://www.bigbatbox.com/fr/blogs/habitat-of-bats/cedar-bat-box-for-cold-climates-what-you-need-to-know" TargetMode="External"/><Relationship Id="rId1154" Type="http://schemas.openxmlformats.org/officeDocument/2006/relationships/hyperlink" Target="https://www.bigbatbox.com/es/blogs/habitat-of-bats/tagged/cedar-bat-house" TargetMode="External"/><Relationship Id="rId1155" Type="http://schemas.openxmlformats.org/officeDocument/2006/relationships/hyperlink" Target="https://www.bigbatbox.com/en-ca/blogs/bee-species/tagged/mason-bees" TargetMode="External"/><Relationship Id="rId1156" Type="http://schemas.openxmlformats.org/officeDocument/2006/relationships/hyperlink" Target="https://www.bigbatbox.com/fr/blogs/habitat-of-bats/bats-as-pollinators-guardians-of-ecosystems" TargetMode="External"/><Relationship Id="rId1157" Type="http://schemas.openxmlformats.org/officeDocument/2006/relationships/hyperlink" Target="https://www.bigbatbox.com/blogs/wildyard-learn/tagged/bees-and-bats" TargetMode="External"/><Relationship Id="rId1158" Type="http://schemas.openxmlformats.org/officeDocument/2006/relationships/hyperlink" Target="https://www.bigbatbox.com/blogs/habitat-of-bats/tagged/protect-bats" TargetMode="External"/><Relationship Id="rId1159" Type="http://schemas.openxmlformats.org/officeDocument/2006/relationships/hyperlink" Target="https://www.bigbatbox.com/it/blogs/types-of-squirrels/tagged/nocturnal-animals" TargetMode="External"/><Relationship Id="rId1160" Type="http://schemas.openxmlformats.org/officeDocument/2006/relationships/hyperlink" Target="https://www.bigbatbox.com/es/blogs/habitat-of-bats/tagged/bat-houses-for-cold-climates" TargetMode="External"/><Relationship Id="rId1161" Type="http://schemas.openxmlformats.org/officeDocument/2006/relationships/hyperlink" Target="https://www.bigbatbox.com/de/blogs/bee-species/tagged/solitary-bees" TargetMode="External"/><Relationship Id="rId1162" Type="http://schemas.openxmlformats.org/officeDocument/2006/relationships/hyperlink" Target="https://www.bigbatbox.com/fr/blogs/backyard-birds/tagged/summer-feeding" TargetMode="External"/><Relationship Id="rId1163" Type="http://schemas.openxmlformats.org/officeDocument/2006/relationships/hyperlink" Target="https://www.bigbatbox.com/fr/blogs/habitat-of-bats/tagged/wildlife-habitat" TargetMode="External"/><Relationship Id="rId1164" Type="http://schemas.openxmlformats.org/officeDocument/2006/relationships/hyperlink" Target="https://www.bigbatbox.com/fr/blogs/habitat-of-bats/tagged/bat-house-tips" TargetMode="External"/><Relationship Id="rId1165" Type="http://schemas.openxmlformats.org/officeDocument/2006/relationships/hyperlink" Target="https://www.bigbatbox.com/blogs/habitat-of-bats/tagged/eco-friendly-pest-solutions" TargetMode="External"/><Relationship Id="rId1166" Type="http://schemas.openxmlformats.org/officeDocument/2006/relationships/hyperlink" Target="https://www.bigbatbox.com/it/blogs/habitat-of-bats/tagged/wildyard-bat-house-guide" TargetMode="External"/><Relationship Id="rId1167" Type="http://schemas.openxmlformats.org/officeDocument/2006/relationships/hyperlink" Target="https://www.bigbatbox.com/es/blogs/habitat-of-bats/tagged/black-cedar-bat-house" TargetMode="External"/><Relationship Id="rId1168" Type="http://schemas.openxmlformats.org/officeDocument/2006/relationships/hyperlink" Target="https://www.bigbatbox.com/fr/blogs/habitat-of-bats?page=2" TargetMode="External"/><Relationship Id="rId1169" Type="http://schemas.openxmlformats.org/officeDocument/2006/relationships/hyperlink" Target="https://www.bigbatbox.com/en-ca/blogs/wildyard-learn/tagged/pollination" TargetMode="External"/><Relationship Id="rId1170" Type="http://schemas.openxmlformats.org/officeDocument/2006/relationships/hyperlink" Target="https://www.bigbatbox.com/fr/blogs/habitat-of-bats/tagged/ecosystem-guardians" TargetMode="External"/><Relationship Id="rId1171" Type="http://schemas.openxmlformats.org/officeDocument/2006/relationships/hyperlink" Target="https://www.bigbatbox.com/fr/pages/wildyard-x-angry-birds-diy-birdhouse-instructions" TargetMode="External"/><Relationship Id="rId1172" Type="http://schemas.openxmlformats.org/officeDocument/2006/relationships/hyperlink" Target="https://www.bigbatbox.com/fr/pages/1-for-the-planet-merlin-tuttle-x-wild-yard" TargetMode="External"/><Relationship Id="rId1173" Type="http://schemas.openxmlformats.org/officeDocument/2006/relationships/hyperlink" Target="https://www.bigbatbox.com/en-ca/blogs/habitat-of-bats/best-bat-boxes-for-mosquito-control-simple-guide-real-example" TargetMode="External"/><Relationship Id="rId1174" Type="http://schemas.openxmlformats.org/officeDocument/2006/relationships/hyperlink" Target="https://www.bigbatbox.com/it/blogs/habitat-of-bats/tagged/best-bat-houses" TargetMode="External"/><Relationship Id="rId1175" Type="http://schemas.openxmlformats.org/officeDocument/2006/relationships/hyperlink" Target="https://www.bigbatbox.com/en-ca/blogs/habitat-of-bats/bats-as-pollinators-guardians-of-ecosystems" TargetMode="External"/><Relationship Id="rId1176" Type="http://schemas.openxmlformats.org/officeDocument/2006/relationships/hyperlink" Target="https://www.bigbatbox.com/en-ca/blogs/habitat-of-bats/tagged/bats-as-pollinators" TargetMode="External"/><Relationship Id="rId1177" Type="http://schemas.openxmlformats.org/officeDocument/2006/relationships/hyperlink" Target="https://www.bigbatbox.com/it/blogs/habitat-of-bats/tagged/black-bat-house" TargetMode="External"/><Relationship Id="rId1178" Type="http://schemas.openxmlformats.org/officeDocument/2006/relationships/hyperlink" Target="https://www.bigbatbox.com/blogs/habitat-of-bats/tagged/wildlife-conservation" TargetMode="External"/><Relationship Id="rId1179" Type="http://schemas.openxmlformats.org/officeDocument/2006/relationships/hyperlink" Target="https://www.bigbatbox.com/it/blogs/habitat-of-bats/tagged/two-chamber-bat-box" TargetMode="External"/><Relationship Id="rId1180" Type="http://schemas.openxmlformats.org/officeDocument/2006/relationships/hyperlink" Target="https://www.bigbatbox.com/it/blogs/habitat-of-bats/tagged/bat-species" TargetMode="External"/><Relationship Id="rId1181" Type="http://schemas.openxmlformats.org/officeDocument/2006/relationships/hyperlink" Target="https://www.bigbatbox.com/it/blogs/conservation-partners/wildyard-bird-conservancy-of-the-rockies-partnership" TargetMode="External"/><Relationship Id="rId1182" Type="http://schemas.openxmlformats.org/officeDocument/2006/relationships/hyperlink" Target="https://www.bigbatbox.com/blogs/habitat-of-bats/tagged/winter-bat-house-tips" TargetMode="External"/><Relationship Id="rId1183" Type="http://schemas.openxmlformats.org/officeDocument/2006/relationships/hyperlink" Target="https://www.bigbatbox.com/it/blogs/habitat-of-bats/tagged/bat-benefits" TargetMode="External"/><Relationship Id="rId1184" Type="http://schemas.openxmlformats.org/officeDocument/2006/relationships/hyperlink" Target="https://www.bigbatbox.com/de/blogs/habitat-of-bats/tagged/attract-bats-to-yard" TargetMode="External"/><Relationship Id="rId1185" Type="http://schemas.openxmlformats.org/officeDocument/2006/relationships/hyperlink" Target="https://www.bigbatbox.com/blogs/bee-species/tagged/bee-food-sources" TargetMode="External"/><Relationship Id="rId1186" Type="http://schemas.openxmlformats.org/officeDocument/2006/relationships/hyperlink" Target="https://www.bigbatbox.com/it/blogs/types-of-squirrels/are-squirrels-nocturnal" TargetMode="External"/><Relationship Id="rId1187" Type="http://schemas.openxmlformats.org/officeDocument/2006/relationships/hyperlink" Target="https://www.bigbatbox.com/blogs/habitat-of-bats/tagged/best-bat-houses-for-cold-states" TargetMode="External"/><Relationship Id="rId1188" Type="http://schemas.openxmlformats.org/officeDocument/2006/relationships/hyperlink" Target="https://www.bigbatbox.com/fr/blogs/fun-facts-about-owls/tagged/owl-facts" TargetMode="External"/><Relationship Id="rId1189" Type="http://schemas.openxmlformats.org/officeDocument/2006/relationships/hyperlink" Target="https://www.bigbatbox.com/blogs/habitat-of-bats/tagged/bat-diet" TargetMode="External"/><Relationship Id="rId1190" Type="http://schemas.openxmlformats.org/officeDocument/2006/relationships/hyperlink" Target="https://www.bigbatbox.com/es/blogs/habitat-of-bats/tagged/cooler-climate-bat-habitat" TargetMode="External"/><Relationship Id="rId1191" Type="http://schemas.openxmlformats.org/officeDocument/2006/relationships/hyperlink" Target="https://www.bigbatbox.com/blogs/habitat-of-bats/tagged/garden-insect-control" TargetMode="External"/><Relationship Id="rId1192" Type="http://schemas.openxmlformats.org/officeDocument/2006/relationships/hyperlink" Target="https://www.bigbatbox.com/es/blogs/fun-facts-about-owls/tagged/squirrels" TargetMode="External"/><Relationship Id="rId1193" Type="http://schemas.openxmlformats.org/officeDocument/2006/relationships/hyperlink" Target="https://www.bigbatbox.com/en-ca/blogs/habitat-of-bats/do-bats-eat-mosquitoes-everything-you-need-to-know" TargetMode="External"/><Relationship Id="rId1194" Type="http://schemas.openxmlformats.org/officeDocument/2006/relationships/hyperlink" Target="https://www.bigbatbox.com/en-ca/blogs/habitat-of-bats/bat-box-placement-guide-how-to-get-it-right" TargetMode="External"/><Relationship Id="rId1195" Type="http://schemas.openxmlformats.org/officeDocument/2006/relationships/hyperlink" Target="https://www.bigbatbox.com/en-ca/pages/about" TargetMode="External"/><Relationship Id="rId1196" Type="http://schemas.openxmlformats.org/officeDocument/2006/relationships/hyperlink" Target="https://www.bigbatbox.com/de/blogs/types-of-squirrels/tagged/winter-wildlife" TargetMode="External"/><Relationship Id="rId1197" Type="http://schemas.openxmlformats.org/officeDocument/2006/relationships/hyperlink" Target="https://www.bigbatbox.com/fr/blogs/bee-species/tagged/bee-biology" TargetMode="External"/><Relationship Id="rId1198" Type="http://schemas.openxmlformats.org/officeDocument/2006/relationships/hyperlink" Target="https://www.bigbatbox.com/fr/blogs/habitat-of-bats/tagged/protect-bats" TargetMode="External"/><Relationship Id="rId1199" Type="http://schemas.openxmlformats.org/officeDocument/2006/relationships/hyperlink" Target="https://www.bigbatbox.com/en-ca/blogs/bee-species/tagged/bee-facts" TargetMode="External"/><Relationship Id="rId1200" Type="http://schemas.openxmlformats.org/officeDocument/2006/relationships/hyperlink" Target="https://www.bigbatbox.com/blogs/fun-facts-about-owls/tagged/great-horned-owl" TargetMode="External"/><Relationship Id="rId1201" Type="http://schemas.openxmlformats.org/officeDocument/2006/relationships/hyperlink" Target="https://www.bigbatbox.com/blogs/types-of-squirrels/tagged/wildlife-guide" TargetMode="External"/><Relationship Id="rId1202" Type="http://schemas.openxmlformats.org/officeDocument/2006/relationships/hyperlink" Target="https://www.bigbatbox.com/blogs/habitat-of-bats/tagged/wildlife-management" TargetMode="External"/><Relationship Id="rId1203" Type="http://schemas.openxmlformats.org/officeDocument/2006/relationships/hyperlink" Target="https://www.bigbatbox.com/es/blogs/habitat-of-bats/tagged/echolocation" TargetMode="External"/><Relationship Id="rId1204" Type="http://schemas.openxmlformats.org/officeDocument/2006/relationships/hyperlink" Target="https://www.bigbatbox.com/fr/blogs/habitat-of-bats/tagged/endangered-bats" TargetMode="External"/><Relationship Id="rId1205" Type="http://schemas.openxmlformats.org/officeDocument/2006/relationships/hyperlink" Target="https://www.bigbatbox.com/it/pages/wildyard-x-angry-birds-flowerpot-birdhouse-instructions" TargetMode="External"/><Relationship Id="rId1206" Type="http://schemas.openxmlformats.org/officeDocument/2006/relationships/hyperlink" Target="https://www.bigbatbox.com/it/blogs/habitat-of-bats/eco-friendly-bat-house-for-backyard-the-complete-guide" TargetMode="External"/><Relationship Id="rId1207" Type="http://schemas.openxmlformats.org/officeDocument/2006/relationships/hyperlink" Target="https://www.bigbatbox.com/fr/pages/collab" TargetMode="External"/><Relationship Id="rId1208" Type="http://schemas.openxmlformats.org/officeDocument/2006/relationships/hyperlink" Target="https://www.bigbatbox.com/it/blogs/habitat-of-bats/tagged/echolocation" TargetMode="External"/><Relationship Id="rId1209" Type="http://schemas.openxmlformats.org/officeDocument/2006/relationships/hyperlink" Target="https://www.bigbatbox.com/en-ca/blogs/habitat-of-bats/found-a-bat-in-the-house-in-winter-help-them-survive" TargetMode="External"/><Relationship Id="rId1210" Type="http://schemas.openxmlformats.org/officeDocument/2006/relationships/hyperlink" Target="https://www.bigbatbox.com/de/blogs/habitat-of-bats/tagged/diy-bat-house" TargetMode="External"/><Relationship Id="rId1211" Type="http://schemas.openxmlformats.org/officeDocument/2006/relationships/hyperlink" Target="https://www.bigbatbox.com/en-ca/pages/bat-house-guide" TargetMode="External"/><Relationship Id="rId1212" Type="http://schemas.openxmlformats.org/officeDocument/2006/relationships/hyperlink" Target="https://www.bigbatbox.com/de/blogs/bee-species/tagged/bee-food-sources" TargetMode="External"/><Relationship Id="rId1213" Type="http://schemas.openxmlformats.org/officeDocument/2006/relationships/hyperlink" Target="https://www.bigbatbox.com/de/blogs/backyard-birds/tagged/bird-feeding" TargetMode="External"/><Relationship Id="rId1214" Type="http://schemas.openxmlformats.org/officeDocument/2006/relationships/hyperlink" Target="https://www.bigbatbox.com/de/blogs/habitat-of-bats/tagged/best-bat-houses" TargetMode="External"/><Relationship Id="rId1215" Type="http://schemas.openxmlformats.org/officeDocument/2006/relationships/hyperlink" Target="https://www.bigbatbox.com/fr/blogs/conservation-partners" TargetMode="External"/><Relationship Id="rId1216" Type="http://schemas.openxmlformats.org/officeDocument/2006/relationships/hyperlink" Target="https://www.bigbatbox.com/en-ca/blogs/habitat-of-bats/tagged/protect-bats" TargetMode="External"/><Relationship Id="rId1217" Type="http://schemas.openxmlformats.org/officeDocument/2006/relationships/hyperlink" Target="https://www.bigbatbox.com/de/blogs/habitat-of-bats/tagged/bat-box-installation" TargetMode="External"/><Relationship Id="rId1218" Type="http://schemas.openxmlformats.org/officeDocument/2006/relationships/hyperlink" Target="https://www.bigbatbox.com/blogs/bee-species/tagged/backyard-wildlife" TargetMode="External"/><Relationship Id="rId1219" Type="http://schemas.openxmlformats.org/officeDocument/2006/relationships/hyperlink" Target="https://www.bigbatbox.com/blogs/types-of-squirrels/tagged/wildlife-habitat" TargetMode="External"/><Relationship Id="rId1220" Type="http://schemas.openxmlformats.org/officeDocument/2006/relationships/hyperlink" Target="https://www.bigbatbox.com/fr/blogs/habitat-of-bats/tagged/cooler-climate-bat-habitat" TargetMode="External"/><Relationship Id="rId1221" Type="http://schemas.openxmlformats.org/officeDocument/2006/relationships/hyperlink" Target="https://www.bigbatbox.com/en-ca/blogs/habitat-of-bats/tagged/attract-bats" TargetMode="External"/><Relationship Id="rId1222" Type="http://schemas.openxmlformats.org/officeDocument/2006/relationships/hyperlink" Target="https://www.bigbatbox.com/en-ca/blogs/habitat-of-bats/tagged/bat-conservation-guide" TargetMode="External"/><Relationship Id="rId1223" Type="http://schemas.openxmlformats.org/officeDocument/2006/relationships/hyperlink" Target="https://www.bigbatbox.com/en-ca/blogs/habitat-of-bats/tagged/bat-house-installation" TargetMode="External"/><Relationship Id="rId1224" Type="http://schemas.openxmlformats.org/officeDocument/2006/relationships/hyperlink" Target="https://www.bigbatbox.com/en-ca/blogs/wildyard-learn/tagged/wildlife-garden" TargetMode="External"/><Relationship Id="rId1225" Type="http://schemas.openxmlformats.org/officeDocument/2006/relationships/hyperlink" Target="https://www.bigbatbox.com/en-ca/blogs/habitat-of-bats/tagged/cedar-bat-box" TargetMode="External"/><Relationship Id="rId1226" Type="http://schemas.openxmlformats.org/officeDocument/2006/relationships/hyperlink" Target="https://www.bigbatbox.com/blogs/habitat-of-bats/tagged/bat-house-direction" TargetMode="External"/><Relationship Id="rId1227" Type="http://schemas.openxmlformats.org/officeDocument/2006/relationships/hyperlink" Target="https://www.bigbatbox.com/it/blogs/habitat-of-bats/tagged/winter-bat-house-tips" TargetMode="External"/><Relationship Id="rId1228" Type="http://schemas.openxmlformats.org/officeDocument/2006/relationships/hyperlink" Target="https://www.bigbatbox.com/fr/blogs/habitat-of-bats/tagged/backyard-pest-control" TargetMode="External"/><Relationship Id="rId1229" Type="http://schemas.openxmlformats.org/officeDocument/2006/relationships/hyperlink" Target="https://www.bigbatbox.com/blogs/fun-facts-about-owls/tagged/owl-sounds" TargetMode="External"/><Relationship Id="rId1230" Type="http://schemas.openxmlformats.org/officeDocument/2006/relationships/hyperlink" Target="https://www.bigbatbox.com/it/blogs/habitat-of-bats/tagged/bat-ecology-at-home" TargetMode="External"/><Relationship Id="rId1231" Type="http://schemas.openxmlformats.org/officeDocument/2006/relationships/hyperlink" Target="https://www.bigbatbox.com/en-ca/blogs/habitat-of-bats/the-definitive-guide-to-backyard-mosquito-control" TargetMode="External"/><Relationship Id="rId1232" Type="http://schemas.openxmlformats.org/officeDocument/2006/relationships/hyperlink" Target="https://www.bigbatbox.com/en-ca/blogs/habitat-of-bats/tagged/bat-house-height" TargetMode="External"/><Relationship Id="rId1233" Type="http://schemas.openxmlformats.org/officeDocument/2006/relationships/hyperlink" Target="https://www.bigbatbox.com/de/blogs/habitat-of-bats/tagged/bat-food" TargetMode="External"/><Relationship Id="rId1234" Type="http://schemas.openxmlformats.org/officeDocument/2006/relationships/hyperlink" Target="https://www.bigbatbox.com/it/blogs/habitat-of-bats/tagged/conservation" TargetMode="External"/><Relationship Id="rId1235" Type="http://schemas.openxmlformats.org/officeDocument/2006/relationships/hyperlink" Target="https://www.bigbatbox.com/it/blogs/conservation-partners/tagged/partnership" TargetMode="External"/><Relationship Id="rId1236" Type="http://schemas.openxmlformats.org/officeDocument/2006/relationships/hyperlink" Target="https://www.bigbatbox.com/blogs/habitat-of-bats/tagged/sustainable-gardens" TargetMode="External"/><Relationship Id="rId1237" Type="http://schemas.openxmlformats.org/officeDocument/2006/relationships/hyperlink" Target="https://www.bigbatbox.com/en-ca/blogs/habitat-of-bats/tagged/guano" TargetMode="External"/><Relationship Id="rId1238" Type="http://schemas.openxmlformats.org/officeDocument/2006/relationships/hyperlink" Target="https://www.bigbatbox.com/es/blogs/habitat-of-bats/tagged/insect-control" TargetMode="External"/><Relationship Id="rId1239" Type="http://schemas.openxmlformats.org/officeDocument/2006/relationships/hyperlink" Target="https://www.bigbatbox.com/es/blogs/habitat-of-bats/tagged/usa-bat-house-guide" TargetMode="External"/><Relationship Id="rId1240" Type="http://schemas.openxmlformats.org/officeDocument/2006/relationships/hyperlink" Target="https://www.bigbatbox.com/de/blogs/habitat-of-bats/tagged/vampire-bats" TargetMode="External"/><Relationship Id="rId1241" Type="http://schemas.openxmlformats.org/officeDocument/2006/relationships/hyperlink" Target="https://www.bigbatbox.com/en-ca/blogs/habitat-of-bats/tagged/bat-in-the-house-in-winter" TargetMode="External"/><Relationship Id="rId1242" Type="http://schemas.openxmlformats.org/officeDocument/2006/relationships/hyperlink" Target="https://www.bigbatbox.com/it/blogs/bee-species/tagged/nature-s-architects" TargetMode="External"/><Relationship Id="rId1243" Type="http://schemas.openxmlformats.org/officeDocument/2006/relationships/hyperlink" Target="https://www.bigbatbox.com/de/blogs/habitat-of-bats/tagged/cold-climate-bat-box" TargetMode="External"/><Relationship Id="rId1244" Type="http://schemas.openxmlformats.org/officeDocument/2006/relationships/hyperlink" Target="https://www.bigbatbox.com/de/blogs/fun-facts-about-owls/tagged/snowy-owl" TargetMode="External"/><Relationship Id="rId1245" Type="http://schemas.openxmlformats.org/officeDocument/2006/relationships/hyperlink" Target="https://www.bigbatbox.com/es/blogs/habitat-of-bats/tagged/mosquito-reduction-with-bats" TargetMode="External"/><Relationship Id="rId1246" Type="http://schemas.openxmlformats.org/officeDocument/2006/relationships/hyperlink" Target="https://www.bigbatbox.com/en-ca/blogs/fun-facts-about-owls/tagged/owl-facts" TargetMode="External"/><Relationship Id="rId1247" Type="http://schemas.openxmlformats.org/officeDocument/2006/relationships/hyperlink" Target="https://www.bigbatbox.com/it/blogs/habitat-of-bats/some-interesting-busted-myths-and-facts-about-bats" TargetMode="External"/><Relationship Id="rId1248" Type="http://schemas.openxmlformats.org/officeDocument/2006/relationships/hyperlink" Target="https://www.bigbatbox.com/it/blogs/habitat-of-bats/tagged/pest-control" TargetMode="External"/><Relationship Id="rId1249" Type="http://schemas.openxmlformats.org/officeDocument/2006/relationships/hyperlink" Target="https://www.bigbatbox.com/de/blogs/wildyard-learn/tagged/wildlife-garden" TargetMode="External"/><Relationship Id="rId1250" Type="http://schemas.openxmlformats.org/officeDocument/2006/relationships/hyperlink" Target="https://www.bigbatbox.com/it/blogs/habitat-of-bats/tagged/bat-box-installation" TargetMode="External"/><Relationship Id="rId1251" Type="http://schemas.openxmlformats.org/officeDocument/2006/relationships/hyperlink" Target="https://www.bigbatbox.com/blogs/bee-species/tagged/hive-behavior" TargetMode="External"/><Relationship Id="rId1252" Type="http://schemas.openxmlformats.org/officeDocument/2006/relationships/hyperlink" Target="https://www.bigbatbox.com/it/blogs/fun-facts-about-owls/tagged/bird-house" TargetMode="External"/><Relationship Id="rId1253" Type="http://schemas.openxmlformats.org/officeDocument/2006/relationships/hyperlink" Target="https://www.bigbatbox.com/fr/blogs/habitat-of-bats/what-are-the-bat-house-kits" TargetMode="External"/><Relationship Id="rId1254" Type="http://schemas.openxmlformats.org/officeDocument/2006/relationships/hyperlink" Target="https://www.bigbatbox.com/es/blogs/types-of-squirrels/tagged/species-facts" TargetMode="External"/><Relationship Id="rId1255" Type="http://schemas.openxmlformats.org/officeDocument/2006/relationships/hyperlink" Target="https://www.bigbatbox.com/de/blogs/habitat-of-bats/tagged/bat-house-for-cold-climates" TargetMode="External"/><Relationship Id="rId1256" Type="http://schemas.openxmlformats.org/officeDocument/2006/relationships/hyperlink" Target="https://www.bigbatbox.com/it/blogs/bee-species/tagged/bee-lifecycle" TargetMode="External"/><Relationship Id="rId1257" Type="http://schemas.openxmlformats.org/officeDocument/2006/relationships/hyperlink" Target="https://www.bigbatbox.com/fr/blogs/types-of-squirrels/tagged/diy-squirrel-feeder" TargetMode="External"/><Relationship Id="rId1258" Type="http://schemas.openxmlformats.org/officeDocument/2006/relationships/hyperlink" Target="https://www.bigbatbox.com/en-ca/blogs/habitat-of-bats/tagged/bat-box-sunlight-requirements" TargetMode="External"/><Relationship Id="rId1259" Type="http://schemas.openxmlformats.org/officeDocument/2006/relationships/hyperlink" Target="https://www.bigbatbox.com/en-ca/blogs/backyard-birds/keep-squirrels-starlings-off-suet-feeder" TargetMode="External"/><Relationship Id="rId1260" Type="http://schemas.openxmlformats.org/officeDocument/2006/relationships/hyperlink" Target="https://www.bigbatbox.com/es/blogs/fun-facts-about-owls/tagged/owl-safety" TargetMode="External"/><Relationship Id="rId1261" Type="http://schemas.openxmlformats.org/officeDocument/2006/relationships/hyperlink" Target="https://www.bigbatbox.com/en-ca/blogs/habitat-of-bats/tagged/natural-mosquito-control" TargetMode="External"/><Relationship Id="rId1262" Type="http://schemas.openxmlformats.org/officeDocument/2006/relationships/hyperlink" Target="https://www.bigbatbox.com/it/blogs/habitat-of-bats/tagged/bat-box-sunlight-requirements" TargetMode="External"/><Relationship Id="rId1263" Type="http://schemas.openxmlformats.org/officeDocument/2006/relationships/hyperlink" Target="https://www.bigbatbox.com/de/blogs/habitat-of-bats/tagged/bat-box-placement" TargetMode="External"/><Relationship Id="rId1264" Type="http://schemas.openxmlformats.org/officeDocument/2006/relationships/hyperlink" Target="https://www.bigbatbox.com/it/blogs/wildyard-learn/tagged/bat-houses" TargetMode="External"/><Relationship Id="rId1265" Type="http://schemas.openxmlformats.org/officeDocument/2006/relationships/hyperlink" Target="https://www.bigbatbox.com/it/blogs/habitat-of-bats/tagged/guano" TargetMode="External"/><Relationship Id="rId1266" Type="http://schemas.openxmlformats.org/officeDocument/2006/relationships/hyperlink" Target="https://www.bigbatbox.com/de/blogs/backyard-birds/tagged/squirrels" TargetMode="External"/><Relationship Id="rId1267" Type="http://schemas.openxmlformats.org/officeDocument/2006/relationships/hyperlink" Target="https://www.bigbatbox.com/fr/blogs/types-of-squirrels/how-to-attract-squirrels-to-your-backyard" TargetMode="External"/><Relationship Id="rId1268" Type="http://schemas.openxmlformats.org/officeDocument/2006/relationships/hyperlink" Target="https://www.bigbatbox.com/fr/blogs/habitat-of-bats/tagged/bat-ecology-at-home" TargetMode="External"/><Relationship Id="rId1269" Type="http://schemas.openxmlformats.org/officeDocument/2006/relationships/hyperlink" Target="https://www.bigbatbox.com/es/blogs/fun-facts-about-owls/tagged/conservation" TargetMode="External"/><Relationship Id="rId1270" Type="http://schemas.openxmlformats.org/officeDocument/2006/relationships/hyperlink" Target="https://www.bigbatbox.com/de/blogs/bee-species/tagged/honey-bees" TargetMode="External"/><Relationship Id="rId1271" Type="http://schemas.openxmlformats.org/officeDocument/2006/relationships/hyperlink" Target="https://www.bigbatbox.com/it/blogs/habitat-of-bats/tagged/bat-house-sun-exposure" TargetMode="External"/><Relationship Id="rId1272" Type="http://schemas.openxmlformats.org/officeDocument/2006/relationships/hyperlink" Target="https://www.bigbatbox.com/de/blogs/habitat-of-bats/tagged/bat-boxes" TargetMode="External"/><Relationship Id="rId1273" Type="http://schemas.openxmlformats.org/officeDocument/2006/relationships/hyperlink" Target="https://www.bigbatbox.com/en-ca/blogs/types-of-squirrels/tagged/diy-squirrel-feeder" TargetMode="External"/><Relationship Id="rId1274" Type="http://schemas.openxmlformats.org/officeDocument/2006/relationships/hyperlink" Target="https://www.bigbatbox.com/it/blogs/habitat-of-bats/tagged/biodiversity" TargetMode="External"/><Relationship Id="rId1275" Type="http://schemas.openxmlformats.org/officeDocument/2006/relationships/hyperlink" Target="https://www.bigbatbox.com/de/blogs/habitat-of-bats/tagged/multi-chamber-bat-house" TargetMode="External"/><Relationship Id="rId1276" Type="http://schemas.openxmlformats.org/officeDocument/2006/relationships/hyperlink" Target="https://www.bigbatbox.com/en-ca/blogs/habitat-of-bats/tagged/mosquito-control" TargetMode="External"/><Relationship Id="rId1277" Type="http://schemas.openxmlformats.org/officeDocument/2006/relationships/hyperlink" Target="https://www.bigbatbox.com/en-ca/blogs/types-of-squirrels/tagged/nocturnal-animals" TargetMode="External"/><Relationship Id="rId1278" Type="http://schemas.openxmlformats.org/officeDocument/2006/relationships/hyperlink" Target="https://www.bigbatbox.com/en-ca/blogs/habitat-of-bats/tagged/insect-control" TargetMode="External"/><Relationship Id="rId1279" Type="http://schemas.openxmlformats.org/officeDocument/2006/relationships/hyperlink" Target="https://www.bigbatbox.com/blogs/backyard-birds/tagged/summer-feeding" TargetMode="External"/><Relationship Id="rId1280" Type="http://schemas.openxmlformats.org/officeDocument/2006/relationships/hyperlink" Target="https://www.bigbatbox.com/it/blogs/backyard-birds/keep-squirrels-starlings-off-suet-feeder" TargetMode="External"/><Relationship Id="rId1281" Type="http://schemas.openxmlformats.org/officeDocument/2006/relationships/hyperlink" Target="https://www.bigbatbox.com/de/blogs/habitat-of-bats/tagged/echolocation" TargetMode="External"/><Relationship Id="rId1282" Type="http://schemas.openxmlformats.org/officeDocument/2006/relationships/hyperlink" Target="https://www.bigbatbox.com/fr/blogs/fun-facts-about-owls/tagged/wildlife-habitats" TargetMode="External"/><Relationship Id="rId1283" Type="http://schemas.openxmlformats.org/officeDocument/2006/relationships/hyperlink" Target="https://www.bigbatbox.com/it/blogs/fun-facts-about-owls/tagged/squirrels" TargetMode="External"/><Relationship Id="rId1284" Type="http://schemas.openxmlformats.org/officeDocument/2006/relationships/hyperlink" Target="https://www.bigbatbox.com/fr/blogs/habitat-of-bats/tagged/avoid-pesticides" TargetMode="External"/><Relationship Id="rId1285" Type="http://schemas.openxmlformats.org/officeDocument/2006/relationships/hyperlink" Target="https://www.bigbatbox.com/blogs/habitat-of-bats/tagged/bat-house-placement-guide" TargetMode="External"/><Relationship Id="rId1286" Type="http://schemas.openxmlformats.org/officeDocument/2006/relationships/hyperlink" Target="https://www.bigbatbox.com/es/blogs/habitat-of-bats/tagged/bat-hibernation" TargetMode="External"/><Relationship Id="rId1287" Type="http://schemas.openxmlformats.org/officeDocument/2006/relationships/hyperlink" Target="https://www.bigbatbox.com/es/blogs/backyard-birds" TargetMode="External"/><Relationship Id="rId1288" Type="http://schemas.openxmlformats.org/officeDocument/2006/relationships/hyperlink" Target="https://www.bigbatbox.com/en-ca/blogs/habitat-of-bats/tagged/diy-bat-box" TargetMode="External"/><Relationship Id="rId1289" Type="http://schemas.openxmlformats.org/officeDocument/2006/relationships/hyperlink" Target="https://www.bigbatbox.com/es/blogs/types-of-squirrels/tagged/squirrel-house" TargetMode="External"/><Relationship Id="rId1290" Type="http://schemas.openxmlformats.org/officeDocument/2006/relationships/hyperlink" Target="https://www.bigbatbox.com/blogs/habitat-of-bats/tagged/mosquito-controlbackyard-wildlife" TargetMode="External"/><Relationship Id="rId1291" Type="http://schemas.openxmlformats.org/officeDocument/2006/relationships/hyperlink" Target="https://www.bigbatbox.com/en-ca/blogs/habitat-of-bats/cedar-bat-box-for-cold-climates-what-you-need-to-know" TargetMode="External"/><Relationship Id="rId1292" Type="http://schemas.openxmlformats.org/officeDocument/2006/relationships/hyperlink" Target="https://www.bigbatbox.com/fr/blogs/habitat-of-bats/tagged/bat-house-installation" TargetMode="External"/><Relationship Id="rId1293" Type="http://schemas.openxmlformats.org/officeDocument/2006/relationships/hyperlink" Target="https://www.bigbatbox.com/es/blogs/habitat-of-bats/tagged/coexist-with-bats" TargetMode="External"/><Relationship Id="rId1294" Type="http://schemas.openxmlformats.org/officeDocument/2006/relationships/hyperlink" Target="https://www.bigbatbox.com/it/blogs/habitat-of-bats/tagged/bat-habitat" TargetMode="External"/><Relationship Id="rId1295" Type="http://schemas.openxmlformats.org/officeDocument/2006/relationships/hyperlink" Target="https://www.bigbatbox.com/fr/collections/2-chamber-bat-houses" TargetMode="External"/><Relationship Id="rId1296" Type="http://schemas.openxmlformats.org/officeDocument/2006/relationships/hyperlink" Target="https://www.bigbatbox.com/en-ca/blogs/habitat-of-bats/tagged/wildlife-friendly-backyard" TargetMode="External"/><Relationship Id="rId1297" Type="http://schemas.openxmlformats.org/officeDocument/2006/relationships/hyperlink" Target="https://www.bigbatbox.com/en-ca/blogs/conservation-partners/tagged/partnership" TargetMode="External"/><Relationship Id="rId1298" Type="http://schemas.openxmlformats.org/officeDocument/2006/relationships/hyperlink" Target="https://www.bigbatbox.com/en-ca/blogs/habitat-of-bats/tagged/one-chamber-bat-box" TargetMode="External"/><Relationship Id="rId1299" Type="http://schemas.openxmlformats.org/officeDocument/2006/relationships/hyperlink" Target="https://www.bigbatbox.com/it/blogs/habitat-of-bats/tagged/safe-bat-habitat" TargetMode="External"/><Relationship Id="rId1300" Type="http://schemas.openxmlformats.org/officeDocument/2006/relationships/hyperlink" Target="https://www.bigbatbox.com/fr/blogs/types-of-squirrels/tagged/squirrels" TargetMode="External"/><Relationship Id="rId1301" Type="http://schemas.openxmlformats.org/officeDocument/2006/relationships/hyperlink" Target="https://www.bigbatbox.com/en-ca/blogs/habitat-of-bats/9-fantastic-bat-facts-you-need-to-know" TargetMode="External"/><Relationship Id="rId1302" Type="http://schemas.openxmlformats.org/officeDocument/2006/relationships/hyperlink" Target="https://www.bigbatbox.com/es/blogs/habitat-of-bats/tagged/bat-house-placement" TargetMode="External"/><Relationship Id="rId1303" Type="http://schemas.openxmlformats.org/officeDocument/2006/relationships/hyperlink" Target="https://www.bigbatbox.com/it/blogs/bee-species/tagged/garden-biodiversity" TargetMode="External"/><Relationship Id="rId1304" Type="http://schemas.openxmlformats.org/officeDocument/2006/relationships/hyperlink" Target="https://www.bigbatbox.com/it/blogs/habitat-of-bats/tagged/wildyard-bat-houses" TargetMode="External"/><Relationship Id="rId1305" Type="http://schemas.openxmlformats.org/officeDocument/2006/relationships/hyperlink" Target="https://www.bigbatbox.com/de/blogs/habitat-of-bats/tagged/wildlife-friendly-home" TargetMode="External"/><Relationship Id="rId1306" Type="http://schemas.openxmlformats.org/officeDocument/2006/relationships/hyperlink" Target="https://www.bigbatbox.com/en-ca/blogs/habitat-of-bats/tagged/insect-control-naturally" TargetMode="External"/><Relationship Id="rId1307" Type="http://schemas.openxmlformats.org/officeDocument/2006/relationships/hyperlink" Target="https://www.bigbatbox.com/it/blogs/bee-species/tagged/hive-behavior" TargetMode="External"/><Relationship Id="rId1308" Type="http://schemas.openxmlformats.org/officeDocument/2006/relationships/hyperlink" Target="https://www.bigbatbox.com/it/blogs/habitat-of-bats/tagged/garden-insect-control" TargetMode="External"/><Relationship Id="rId1309" Type="http://schemas.openxmlformats.org/officeDocument/2006/relationships/hyperlink" Target="https://www.bigbatbox.com/it/blogs/fun-facts-about-owls/tagged/owl-nesting-boxes" TargetMode="External"/><Relationship Id="rId1310" Type="http://schemas.openxmlformats.org/officeDocument/2006/relationships/hyperlink" Target="https://www.bigbatbox.com/it/blogs/bee-species/tagged/bee-communication" TargetMode="External"/><Relationship Id="rId1311" Type="http://schemas.openxmlformats.org/officeDocument/2006/relationships/hyperlink" Target="https://www.bigbatbox.com/blogs/bee-species/tagged/bee-lifecycle" TargetMode="External"/><Relationship Id="rId1312" Type="http://schemas.openxmlformats.org/officeDocument/2006/relationships/hyperlink" Target="https://www.bigbatbox.com/it/blogs/backyard-birds/tagged/suet-for-birds" TargetMode="External"/><Relationship Id="rId1313" Type="http://schemas.openxmlformats.org/officeDocument/2006/relationships/hyperlink" Target="https://www.bigbatbox.com/fr/blogs/habitat-of-bats/bat-house-certification-explained" TargetMode="External"/><Relationship Id="rId1314" Type="http://schemas.openxmlformats.org/officeDocument/2006/relationships/hyperlink" Target="https://www.bigbatbox.com/fr/blogs/conservation-partners/tagged/conservation" TargetMode="External"/><Relationship Id="rId1315" Type="http://schemas.openxmlformats.org/officeDocument/2006/relationships/hyperlink" Target="https://www.bigbatbox.com/fr/blogs/habitat-of-bats/tagged/bat-house-advice" TargetMode="External"/><Relationship Id="rId1316" Type="http://schemas.openxmlformats.org/officeDocument/2006/relationships/hyperlink" Target="https://www.bigbatbox.com/fr/blogs/types-of-squirrels/tagged/species-facts" TargetMode="External"/><Relationship Id="rId1317" Type="http://schemas.openxmlformats.org/officeDocument/2006/relationships/hyperlink" Target="https://www.bigbatbox.com/de/blogs/types-of-squirrels/tagged/squirrel-food" TargetMode="External"/><Relationship Id="rId1318" Type="http://schemas.openxmlformats.org/officeDocument/2006/relationships/hyperlink" Target="https://www.bigbatbox.com/en-ca/blogs/fun-facts-about-owls/owl-sounds-decoded" TargetMode="External"/><Relationship Id="rId1319" Type="http://schemas.openxmlformats.org/officeDocument/2006/relationships/hyperlink" Target="https://www.bigbatbox.com/de/blogs/types-of-squirrels/tagged/squirrel-care" TargetMode="External"/><Relationship Id="rId1320" Type="http://schemas.openxmlformats.org/officeDocument/2006/relationships/hyperlink" Target="https://www.bigbatbox.com/en-ca/collections" TargetMode="External"/><Relationship Id="rId1321" Type="http://schemas.openxmlformats.org/officeDocument/2006/relationships/hyperlink" Target="https://www.bigbatbox.com/blogs/habitat-of-bats/tagged/bat-conservation-guide" TargetMode="External"/><Relationship Id="rId1322" Type="http://schemas.openxmlformats.org/officeDocument/2006/relationships/hyperlink" Target="https://www.bigbatbox.com/it/blogs/habitat-of-bats/tagged/mosquito-control" TargetMode="External"/><Relationship Id="rId1323" Type="http://schemas.openxmlformats.org/officeDocument/2006/relationships/hyperlink" Target="https://www.bigbatbox.com/en-ca/blogs/habitat-of-bats/tagged/wildlife-conservation" TargetMode="External"/><Relationship Id="rId1324" Type="http://schemas.openxmlformats.org/officeDocument/2006/relationships/hyperlink" Target="https://www.bigbatbox.com/it/blogs/fun-facts-about-owls/tagged/barn-owl" TargetMode="External"/><Relationship Id="rId1325" Type="http://schemas.openxmlformats.org/officeDocument/2006/relationships/hyperlink" Target="https://www.bigbatbox.com/fr/pages/wildyard-affiliate-program" TargetMode="External"/><Relationship Id="rId1326" Type="http://schemas.openxmlformats.org/officeDocument/2006/relationships/hyperlink" Target="https://www.bigbatbox.com/blogs/fun-facts-about-owls/tagged/owl-diet" TargetMode="External"/><Relationship Id="rId1327" Type="http://schemas.openxmlformats.org/officeDocument/2006/relationships/hyperlink" Target="https://www.bigbatbox.com/it/blogs/backyard-birds/tagged/seasonal-feeding" TargetMode="External"/><Relationship Id="rId1328" Type="http://schemas.openxmlformats.org/officeDocument/2006/relationships/hyperlink" Target="https://www.bigbatbox.com/es/blogs/types-of-squirrels/tagged/wildlife-guide" TargetMode="External"/><Relationship Id="rId1329" Type="http://schemas.openxmlformats.org/officeDocument/2006/relationships/hyperlink" Target="https://www.bigbatbox.com/fr/blogs/backyard-birds/tagged/clinging-birds" TargetMode="External"/><Relationship Id="rId1330" Type="http://schemas.openxmlformats.org/officeDocument/2006/relationships/hyperlink" Target="https://www.bigbatbox.com/it/collections/2-chamber-bat-houses" TargetMode="External"/><Relationship Id="rId1331" Type="http://schemas.openxmlformats.org/officeDocument/2006/relationships/hyperlink" Target="https://www.bigbatbox.com/it/blogs/backyard-birds" TargetMode="External"/><Relationship Id="rId1332" Type="http://schemas.openxmlformats.org/officeDocument/2006/relationships/hyperlink" Target="https://www.bigbatbox.com/de/blogs/habitat-of-bats/tagged/backyard-eco-tips" TargetMode="External"/><Relationship Id="rId1333" Type="http://schemas.openxmlformats.org/officeDocument/2006/relationships/hyperlink" Target="https://www.bigbatbox.com/it/blogs/habitat-of-bats/tagged/bat-houses" TargetMode="External"/><Relationship Id="rId1334" Type="http://schemas.openxmlformats.org/officeDocument/2006/relationships/hyperlink" Target="https://www.bigbatbox.com/it/blogs/fun-facts-about-owls/how-long-do-owls-live" TargetMode="External"/><Relationship Id="rId1335" Type="http://schemas.openxmlformats.org/officeDocument/2006/relationships/hyperlink" Target="https://www.bigbatbox.com/it/blogs/types-of-squirrels/tagged/wildlife-behavior" TargetMode="External"/><Relationship Id="rId1336" Type="http://schemas.openxmlformats.org/officeDocument/2006/relationships/hyperlink" Target="https://www.bigbatbox.com/it/blogs/bee-species/tagged/bee-food-sources" TargetMode="External"/><Relationship Id="rId1337" Type="http://schemas.openxmlformats.org/officeDocument/2006/relationships/hyperlink" Target="https://www.bigbatbox.com/es/blogs/habitat-of-bats/tagged/home-conservation-tips" TargetMode="External"/><Relationship Id="rId1338" Type="http://schemas.openxmlformats.org/officeDocument/2006/relationships/hyperlink" Target="https://www.bigbatbox.com/de/blogs/backyard-birds/tagged/no-melt-suet" TargetMode="External"/><Relationship Id="rId1339" Type="http://schemas.openxmlformats.org/officeDocument/2006/relationships/hyperlink" Target="https://www.bigbatbox.com/en-ca/blogs/habitat-of-bats/tagged/three-chamber-bat-box" TargetMode="External"/><Relationship Id="rId1340" Type="http://schemas.openxmlformats.org/officeDocument/2006/relationships/hyperlink" Target="https://www.bigbatbox.com/fr/blogs/types-of-squirrels/tagged/buying-guide" TargetMode="External"/><Relationship Id="rId1341" Type="http://schemas.openxmlformats.org/officeDocument/2006/relationships/hyperlink" Target="https://www.bigbatbox.com/en-ca/blogs/types-of-squirrels/tagged/wildlife-habitat" TargetMode="External"/><Relationship Id="rId1342" Type="http://schemas.openxmlformats.org/officeDocument/2006/relationships/hyperlink" Target="https://www.bigbatbox.com/de/blogs/habitat-of-bats/tagged/bat-species" TargetMode="External"/><Relationship Id="rId1343" Type="http://schemas.openxmlformats.org/officeDocument/2006/relationships/hyperlink" Target="https://www.bigbatbox.com/it/blogs/habitat-of-bats/tagged/bat-house-direction" TargetMode="External"/><Relationship Id="rId1344" Type="http://schemas.openxmlformats.org/officeDocument/2006/relationships/hyperlink" Target="https://www.bigbatbox.com/blogs/fun-facts-about-owls/tagged/owl-behavior" TargetMode="External"/><Relationship Id="rId1345" Type="http://schemas.openxmlformats.org/officeDocument/2006/relationships/hyperlink" Target="https://www.bigbatbox.com/de/blogs/habitat-of-bats/tagged/two-chamber-bat-box" TargetMode="External"/><Relationship Id="rId1346" Type="http://schemas.openxmlformats.org/officeDocument/2006/relationships/hyperlink" Target="https://www.bigbatbox.com/de/blogs/habitat-of-bats/tagged/eco-friendly" TargetMode="External"/><Relationship Id="rId1347" Type="http://schemas.openxmlformats.org/officeDocument/2006/relationships/hyperlink" Target="https://www.bigbatbox.com/it/collections/all" TargetMode="External"/><Relationship Id="rId1348" Type="http://schemas.openxmlformats.org/officeDocument/2006/relationships/hyperlink" Target="https://www.bigbatbox.com/fr/blogs/wildyard-learn/tagged/bees-and-bats" TargetMode="External"/><Relationship Id="rId1349" Type="http://schemas.openxmlformats.org/officeDocument/2006/relationships/hyperlink" Target="https://www.bigbatbox.com/es/blogs/habitat-of-bats/tagged/bat-house-mosquito-control" TargetMode="External"/><Relationship Id="rId1350" Type="http://schemas.openxmlformats.org/officeDocument/2006/relationships/hyperlink" Target="https://www.bigbatbox.com/de/blogs/habitat-of-bats/tagged/2026-trends" TargetMode="External"/><Relationship Id="rId1351" Type="http://schemas.openxmlformats.org/officeDocument/2006/relationships/hyperlink" Target="https://www.bigbatbox.com/en-ca/blogs/bee-species/tagged/fun-facts-about-bees" TargetMode="External"/><Relationship Id="rId1352" Type="http://schemas.openxmlformats.org/officeDocument/2006/relationships/hyperlink" Target="https://www.bigbatbox.com/es/blogs/habitat-of-bats/tagged/bat-house-temperature" TargetMode="External"/><Relationship Id="rId1353" Type="http://schemas.openxmlformats.org/officeDocument/2006/relationships/hyperlink" Target="https://www.bigbatbox.com/es/blogs/habitat-of-bats/tagged/bats-near-home" TargetMode="External"/><Relationship Id="rId1354" Type="http://schemas.openxmlformats.org/officeDocument/2006/relationships/hyperlink" Target="https://www.bigbatbox.com/blogs/bee-species?page=2" TargetMode="External"/><Relationship Id="rId1355" Type="http://schemas.openxmlformats.org/officeDocument/2006/relationships/hyperlink" Target="https://www.bigbatbox.com/es/blogs/habitat-of-bats/tagged/native-plants-for-bats" TargetMode="External"/><Relationship Id="rId1356" Type="http://schemas.openxmlformats.org/officeDocument/2006/relationships/hyperlink" Target="https://www.bigbatbox.com/fr/blogs/habitat-of-bats/tagged/bat-house" TargetMode="External"/><Relationship Id="rId1357" Type="http://schemas.openxmlformats.org/officeDocument/2006/relationships/hyperlink" Target="https://www.bigbatbox.com/es/blogs/types-of-squirrels/are-squirrels-nocturnal" TargetMode="External"/><Relationship Id="rId1358" Type="http://schemas.openxmlformats.org/officeDocument/2006/relationships/hyperlink" Target="https://www.bigbatbox.com/blogs/habitat-of-bats/tagged/wildyard-bat-houses" TargetMode="External"/><Relationship Id="rId1359" Type="http://schemas.openxmlformats.org/officeDocument/2006/relationships/hyperlink" Target="https://www.bigbatbox.com/de/blogs/habitat-of-bats/tagged/black-bat-house" TargetMode="External"/><Relationship Id="rId1360" Type="http://schemas.openxmlformats.org/officeDocument/2006/relationships/hyperlink" Target="https://www.bigbatbox.com/it/blogs/fun-facts-about-owls/tagged/backyard-wildlife" TargetMode="External"/><Relationship Id="rId1361" Type="http://schemas.openxmlformats.org/officeDocument/2006/relationships/hyperlink" Target="https://www.bigbatbox.com/fr/blogs/habitat-of-bats/tagged/sustainable-gardens" TargetMode="External"/><Relationship Id="rId1362" Type="http://schemas.openxmlformats.org/officeDocument/2006/relationships/hyperlink" Target="https://www.bigbatbox.com/fr/blogs/habitat-of-bats/tagged/bat-species" TargetMode="External"/><Relationship Id="rId1363" Type="http://schemas.openxmlformats.org/officeDocument/2006/relationships/hyperlink" Target="https://www.bigbatbox.com/es/blogs/habitat-of-bats/tagged/eco-friendly-bat-shelter" TargetMode="External"/><Relationship Id="rId1364" Type="http://schemas.openxmlformats.org/officeDocument/2006/relationships/hyperlink" Target="https://www.bigbatbox.com/fr/blogs/habitat-of-bats/tagged/bat-housebat-conservation" TargetMode="External"/><Relationship Id="rId1365" Type="http://schemas.openxmlformats.org/officeDocument/2006/relationships/hyperlink" Target="https://www.bigbatbox.com/fr/blogs/fun-facts-about-owls/tagged/pet-safety" TargetMode="External"/><Relationship Id="rId1366" Type="http://schemas.openxmlformats.org/officeDocument/2006/relationships/hyperlink" Target="https://www.bigbatbox.com/fr/blogs/fun-facts-about-owls/tagged/wildlife-gardening" TargetMode="External"/><Relationship Id="rId1367" Type="http://schemas.openxmlformats.org/officeDocument/2006/relationships/hyperlink" Target="https://www.bigbatbox.com/fr/blogs/fun-facts-about-owls/tagged/night-sounds" TargetMode="External"/><Relationship Id="rId1368" Type="http://schemas.openxmlformats.org/officeDocument/2006/relationships/hyperlink" Target="https://www.bigbatbox.com/fr/blogs/fun-facts-about-owls/tagged/bat-and-owl" TargetMode="External"/><Relationship Id="rId1369" Type="http://schemas.openxmlformats.org/officeDocument/2006/relationships/hyperlink" Target="https://www.bigbatbox.com/de/blogs/types-of-squirrels/tagged/species-facts" TargetMode="External"/><Relationship Id="rId1370" Type="http://schemas.openxmlformats.org/officeDocument/2006/relationships/hyperlink" Target="https://www.bigbatbox.com/it/blogs/habitat-of-bats/tagged/dark-bat-house-benefits" TargetMode="External"/><Relationship Id="rId1371" Type="http://schemas.openxmlformats.org/officeDocument/2006/relationships/hyperlink" Target="https://www.bigbatbox.com/fr/blogs/habitat-of-bats/big-bat-box-comparison" TargetMode="External"/><Relationship Id="rId1372" Type="http://schemas.openxmlformats.org/officeDocument/2006/relationships/hyperlink" Target="https://www.bigbatbox.com/es/blogs/fun-facts-about-owls/tagged/backyard-wildlife" TargetMode="External"/><Relationship Id="rId1373" Type="http://schemas.openxmlformats.org/officeDocument/2006/relationships/hyperlink" Target="https://www.bigbatbox.com/de/blogs/fun-facts-about-owls/tagged/pet-safety" TargetMode="External"/><Relationship Id="rId1374" Type="http://schemas.openxmlformats.org/officeDocument/2006/relationships/hyperlink" Target="https://www.bigbatbox.com/en-ca/blogs/fun-facts-about-owls/are-owls-dangerous" TargetMode="External"/><Relationship Id="rId1375" Type="http://schemas.openxmlformats.org/officeDocument/2006/relationships/hyperlink" Target="https://www.bigbatbox.com/blogs/bee-species/tagged/leafcutter-bees" TargetMode="External"/><Relationship Id="rId1376" Type="http://schemas.openxmlformats.org/officeDocument/2006/relationships/hyperlink" Target="https://www.bigbatbox.com/blogs/fun-facts-about-owls/tagged/owl-box-faq" TargetMode="External"/><Relationship Id="rId1377" Type="http://schemas.openxmlformats.org/officeDocument/2006/relationships/hyperlink" Target="https://www.bigbatbox.com/blogs/habitat-of-bats/tagged/cedar-bat-house" TargetMode="External"/><Relationship Id="rId1378" Type="http://schemas.openxmlformats.org/officeDocument/2006/relationships/hyperlink" Target="https://www.bigbatbox.com/it/blogs/habitat-of-bats/tagged/bat-house-distance-from-trees" TargetMode="External"/><Relationship Id="rId1379" Type="http://schemas.openxmlformats.org/officeDocument/2006/relationships/hyperlink" Target="https://www.bigbatbox.com/blogs/habitat-of-bats/tagged/winter-wildlife" TargetMode="External"/><Relationship Id="rId1380" Type="http://schemas.openxmlformats.org/officeDocument/2006/relationships/hyperlink" Target="https://www.bigbatbox.com/es/blogs/habitat-of-bats/tagged/bat-roost-guide" TargetMode="External"/><Relationship Id="rId1381" Type="http://schemas.openxmlformats.org/officeDocument/2006/relationships/hyperlink" Target="https://www.bigbatbox.com/blogs/backyard-birds/tagged/hot-pepper-suet" TargetMode="External"/><Relationship Id="rId1382" Type="http://schemas.openxmlformats.org/officeDocument/2006/relationships/hyperlink" Target="https://www.bigbatbox.com/it/blogs/habitat-of-bats/tagged/home-conservation-tips" TargetMode="External"/><Relationship Id="rId1383" Type="http://schemas.openxmlformats.org/officeDocument/2006/relationships/hyperlink" Target="https://www.bigbatbox.com/en-ca/blogs/fun-facts-about-owls/tagged/owl-calls" TargetMode="External"/><Relationship Id="rId1384" Type="http://schemas.openxmlformats.org/officeDocument/2006/relationships/hyperlink" Target="https://www.bigbatbox.com/fr/blogs/habitat-of-bats/tagged/attract-bats" TargetMode="External"/><Relationship Id="rId1385" Type="http://schemas.openxmlformats.org/officeDocument/2006/relationships/hyperlink" Target="https://www.bigbatbox.com/blogs/habitat-of-bats/tagged/bat-house-for-cold-climates" TargetMode="External"/><Relationship Id="rId1386" Type="http://schemas.openxmlformats.org/officeDocument/2006/relationships/hyperlink" Target="https://www.bigbatbox.com/fr/blogs/fun-facts-about-owls/tagged/owl-identification" TargetMode="External"/><Relationship Id="rId1387" Type="http://schemas.openxmlformats.org/officeDocument/2006/relationships/hyperlink" Target="https://www.bigbatbox.com/de/blogs/backyard-birds/tagged/suet-for-birds" TargetMode="External"/><Relationship Id="rId1388" Type="http://schemas.openxmlformats.org/officeDocument/2006/relationships/hyperlink" Target="https://www.bigbatbox.com/fr/blogs/habitat-of-bats/tagged/eco-friendly-bat-shelter" TargetMode="External"/><Relationship Id="rId1389" Type="http://schemas.openxmlformats.org/officeDocument/2006/relationships/hyperlink" Target="https://www.bigbatbox.com/de/blogs/habitat-of-bats/tagged/northern-state-bat-box" TargetMode="External"/><Relationship Id="rId1390" Type="http://schemas.openxmlformats.org/officeDocument/2006/relationships/hyperlink" Target="https://www.bigbatbox.com/de/blogs/conservation-partners/tagged/1-for-the-planet" TargetMode="External"/><Relationship Id="rId1391" Type="http://schemas.openxmlformats.org/officeDocument/2006/relationships/hyperlink" Target="https://www.bigbatbox.com/fr/blogs/wildyard-learn/bats-bees-as-your-garden-pollinators" TargetMode="External"/><Relationship Id="rId1392" Type="http://schemas.openxmlformats.org/officeDocument/2006/relationships/hyperlink" Target="https://www.bigbatbox.com/de/blogs/habitat-of-bats/tagged/black-cedar-bat-house" TargetMode="External"/><Relationship Id="rId1393" Type="http://schemas.openxmlformats.org/officeDocument/2006/relationships/hyperlink" Target="https://www.bigbatbox.com/es/blogs/habitat-of-bats/tagged/painted-cedar-bat-house" TargetMode="External"/><Relationship Id="rId1394" Type="http://schemas.openxmlformats.org/officeDocument/2006/relationships/hyperlink" Target="https://www.bigbatbox.com/es/blogs/habitat-of-bats/tagged/bat-housebat-conservation" TargetMode="External"/><Relationship Id="rId1395" Type="http://schemas.openxmlformats.org/officeDocument/2006/relationships/hyperlink" Target="https://www.bigbatbox.com/it/blogs/wildyard-learn/tagged/bees-and-bats" TargetMode="External"/><Relationship Id="rId1396" Type="http://schemas.openxmlformats.org/officeDocument/2006/relationships/hyperlink" Target="https://www.bigbatbox.com/it/blogs/habitat-of-bats/how-to-attract-bats-your-go-to-guide" TargetMode="External"/><Relationship Id="rId1397" Type="http://schemas.openxmlformats.org/officeDocument/2006/relationships/hyperlink" Target="https://www.bigbatbox.com/en-ca/blogs/conservation-partners/wildyard-bird-conservancy-of-the-rockies-partnership" TargetMode="External"/><Relationship Id="rId1398" Type="http://schemas.openxmlformats.org/officeDocument/2006/relationships/hyperlink" Target="https://www.bigbatbox.com/blogs/habitat-of-bats/tagged/bat-proofing-tips" TargetMode="External"/><Relationship Id="rId1399" Type="http://schemas.openxmlformats.org/officeDocument/2006/relationships/hyperlink" Target="https://www.bigbatbox.com/fr/blogs/conservation-partners/tagged/1-for-the-planet" TargetMode="External"/><Relationship Id="rId1400" Type="http://schemas.openxmlformats.org/officeDocument/2006/relationships/hyperlink" Target="https://www.bigbatbox.com/de/blogs/fun-facts-about-owls/tagged/bird-habitats" TargetMode="External"/><Relationship Id="rId1401" Type="http://schemas.openxmlformats.org/officeDocument/2006/relationships/hyperlink" Target="https://www.bigbatbox.com/it/blogs/fun-facts-about-owls/tagged/wildlife-lifespan" TargetMode="External"/><Relationship Id="rId1402" Type="http://schemas.openxmlformats.org/officeDocument/2006/relationships/hyperlink" Target="https://www.bigbatbox.com/es/blogs/habitat-of-bats/tagged/yard-wildlife-guide" TargetMode="External"/><Relationship Id="rId1403" Type="http://schemas.openxmlformats.org/officeDocument/2006/relationships/hyperlink" Target="https://www.bigbatbox.com/fr/blogs/habitat-of-bats/do-bats-eat-mosquitoes-everything-you-need-to-know" TargetMode="External"/><Relationship Id="rId1404" Type="http://schemas.openxmlformats.org/officeDocument/2006/relationships/hyperlink" Target="https://www.bigbatbox.com/en-ca/blogs/habitat-of-bats/tagged/eco-friendly-bat-shelter" TargetMode="External"/><Relationship Id="rId1405" Type="http://schemas.openxmlformats.org/officeDocument/2006/relationships/hyperlink" Target="https://www.bigbatbox.com/fr/blogs/types-of-squirrels/tagged/wildlife-guide" TargetMode="External"/><Relationship Id="rId1406" Type="http://schemas.openxmlformats.org/officeDocument/2006/relationships/hyperlink" Target="https://www.bigbatbox.com/es/blogs/types-of-squirrels/tagged/nest-box-maintenance" TargetMode="External"/><Relationship Id="rId1407" Type="http://schemas.openxmlformats.org/officeDocument/2006/relationships/hyperlink" Target="https://www.bigbatbox.com/en-ca/blogs/habitat-of-bats/where-to-buy-bat-houses-your-go-to-guide" TargetMode="External"/><Relationship Id="rId1408" Type="http://schemas.openxmlformats.org/officeDocument/2006/relationships/hyperlink" Target="https://www.bigbatbox.com/de/blogs/habitat-of-bats/tagged/bat-house" TargetMode="External"/><Relationship Id="rId1409" Type="http://schemas.openxmlformats.org/officeDocument/2006/relationships/hyperlink" Target="https://www.bigbatbox.com/de/blogs/backyard-birds/tagged/starlings" TargetMode="External"/><Relationship Id="rId1410" Type="http://schemas.openxmlformats.org/officeDocument/2006/relationships/hyperlink" Target="https://www.bigbatbox.com/es/blogs/habitat-of-bats/tagged/mounting-bat-houses" TargetMode="External"/><Relationship Id="rId1411" Type="http://schemas.openxmlformats.org/officeDocument/2006/relationships/hyperlink" Target="https://www.bigbatbox.com/de/blogs/fun-facts-about-owls/tagged/squirrels" TargetMode="External"/><Relationship Id="rId1412" Type="http://schemas.openxmlformats.org/officeDocument/2006/relationships/hyperlink" Target="https://www.bigbatbox.com/it/blogs/habitat-of-bats/tagged/northern-state-bat-box" TargetMode="External"/><Relationship Id="rId1413" Type="http://schemas.openxmlformats.org/officeDocument/2006/relationships/hyperlink" Target="https://www.bigbatbox.com/it/blogs/habitat-of-bats/tagged/usa-bat-house-guide" TargetMode="External"/><Relationship Id="rId1414" Type="http://schemas.openxmlformats.org/officeDocument/2006/relationships/hyperlink" Target="https://www.bigbatbox.com/fr/blogs/habitat-of-bats/tagged/backyard-conservation" TargetMode="External"/><Relationship Id="rId1415" Type="http://schemas.openxmlformats.org/officeDocument/2006/relationships/hyperlink" Target="https://www.bigbatbox.com/it/blogs/fun-facts-about-owls/are-owls-dangerous" TargetMode="External"/><Relationship Id="rId1416" Type="http://schemas.openxmlformats.org/officeDocument/2006/relationships/hyperlink" Target="https://www.bigbatbox.com/es/blogs/fun-facts-about-owls/why-do-owls-hoot-at-night" TargetMode="External"/><Relationship Id="rId1417" Type="http://schemas.openxmlformats.org/officeDocument/2006/relationships/hyperlink" Target="https://www.bigbatbox.com/blogs/habitat-of-bats/tagged/northern-state-bat-box" TargetMode="External"/><Relationship Id="rId1418" Type="http://schemas.openxmlformats.org/officeDocument/2006/relationships/hyperlink" Target="https://www.bigbatbox.com/fr/blogs/habitat-of-bats/tagged/bat-house-chambers" TargetMode="External"/><Relationship Id="rId1419" Type="http://schemas.openxmlformats.org/officeDocument/2006/relationships/hyperlink" Target="https://www.bigbatbox.com/it/blogs/habitat-of-bats/best-backyard-bat-conservation-and-wildlife-habitat-trends-for-2026-so-far" TargetMode="External"/><Relationship Id="rId1420" Type="http://schemas.openxmlformats.org/officeDocument/2006/relationships/hyperlink" Target="https://www.bigbatbox.com/de/blogs/bee-species/tagged/backyard-wildlife" TargetMode="External"/><Relationship Id="rId1421" Type="http://schemas.openxmlformats.org/officeDocument/2006/relationships/hyperlink" Target="https://www.bigbatbox.com/it/blogs/habitat-of-bats/bci-certificate-why-you-should-care-about-it" TargetMode="External"/><Relationship Id="rId1422" Type="http://schemas.openxmlformats.org/officeDocument/2006/relationships/hyperlink" Target="https://www.bigbatbox.com/it/blogs/fun-facts-about-owls/tagged/owl-identification" TargetMode="External"/><Relationship Id="rId1423" Type="http://schemas.openxmlformats.org/officeDocument/2006/relationships/hyperlink" Target="https://www.bigbatbox.com/it/blogs/fun-facts-about-owls/tagged/wildlife-habitats" TargetMode="External"/><Relationship Id="rId1424" Type="http://schemas.openxmlformats.org/officeDocument/2006/relationships/hyperlink" Target="https://www.bigbatbox.com/it/blogs/habitat-of-bats/tagged/attract-bats" TargetMode="External"/><Relationship Id="rId1425" Type="http://schemas.openxmlformats.org/officeDocument/2006/relationships/hyperlink" Target="https://www.bigbatbox.com/es/blogs/types-of-squirrels/tagged/backyard-habitat" TargetMode="External"/><Relationship Id="rId1426" Type="http://schemas.openxmlformats.org/officeDocument/2006/relationships/hyperlink" Target="https://www.bigbatbox.com/fr/blogs/habitat-of-bats/tagged/attract-bats-to-yard" TargetMode="External"/><Relationship Id="rId1427" Type="http://schemas.openxmlformats.org/officeDocument/2006/relationships/hyperlink" Target="https://www.bigbatbox.com/blogs/fun-facts-about-owls/tagged/barn-owl" TargetMode="External"/><Relationship Id="rId1428" Type="http://schemas.openxmlformats.org/officeDocument/2006/relationships/hyperlink" Target="https://www.bigbatbox.com/en-ca/blogs/bee-species/tagged/pollinator-nutrition" TargetMode="External"/><Relationship Id="rId1429" Type="http://schemas.openxmlformats.org/officeDocument/2006/relationships/hyperlink" Target="https://www.bigbatbox.com/blogs/habitat-of-bats/tagged/bat-ecology-at-home" TargetMode="External"/><Relationship Id="rId1430" Type="http://schemas.openxmlformats.org/officeDocument/2006/relationships/hyperlink" Target="https://www.bigbatbox.com/fr/blogs/habitat-of-bats/tagged/bat-food" TargetMode="External"/><Relationship Id="rId1431" Type="http://schemas.openxmlformats.org/officeDocument/2006/relationships/hyperlink" Target="https://www.bigbatbox.com/en-ca/blogs/habitat-of-bats/tagged/winter-wildlife" TargetMode="External"/><Relationship Id="rId1432" Type="http://schemas.openxmlformats.org/officeDocument/2006/relationships/hyperlink" Target="https://www.bigbatbox.com/fr/blogs/habitat-of-bats/tagged/wildyard-bat-houses" TargetMode="External"/><Relationship Id="rId1433" Type="http://schemas.openxmlformats.org/officeDocument/2006/relationships/hyperlink" Target="https://www.bigbatbox.com/fr/blogs/types-of-squirrels/tagged/wildlife-behavior" TargetMode="External"/><Relationship Id="rId1434" Type="http://schemas.openxmlformats.org/officeDocument/2006/relationships/hyperlink" Target="https://www.bigbatbox.com/it/blogs/fun-facts-about-owls/tagged/snowy-owl" TargetMode="External"/><Relationship Id="rId1435" Type="http://schemas.openxmlformats.org/officeDocument/2006/relationships/hyperlink" Target="https://www.bigbatbox.com/it/blogs/bee-species/tagged/mason-bees" TargetMode="External"/><Relationship Id="rId1436" Type="http://schemas.openxmlformats.org/officeDocument/2006/relationships/hyperlink" Target="https://www.bigbatbox.com/de/blogs/types-of-squirrels/tagged/squirrel-feeder-ideas" TargetMode="External"/><Relationship Id="rId1437" Type="http://schemas.openxmlformats.org/officeDocument/2006/relationships/hyperlink" Target="https://www.bigbatbox.com/de/blogs/habitat-of-bats/tagged/wildlife-bat-box-guide" TargetMode="External"/><Relationship Id="rId1438" Type="http://schemas.openxmlformats.org/officeDocument/2006/relationships/hyperlink" Target="https://www.bigbatbox.com/fr/blogs/bee-species/tagged/leafcutter-bees" TargetMode="External"/><Relationship Id="rId1439" Type="http://schemas.openxmlformats.org/officeDocument/2006/relationships/hyperlink" Target="https://www.bigbatbox.com/it/blogs/habitat-of-bats/tagged/bat-house-warmth-retention" TargetMode="External"/><Relationship Id="rId1440" Type="http://schemas.openxmlformats.org/officeDocument/2006/relationships/hyperlink" Target="https://www.bigbatbox.com/fr/blogs/habitat-of-bats/9-fantastic-bat-facts-you-need-to-know" TargetMode="External"/><Relationship Id="rId1441" Type="http://schemas.openxmlformats.org/officeDocument/2006/relationships/hyperlink" Target="https://www.bigbatbox.com/de/blogs/habitat-of-bats/tagged/bat-housebat-conservation" TargetMode="External"/><Relationship Id="rId1442" Type="http://schemas.openxmlformats.org/officeDocument/2006/relationships/hyperlink" Target="https://www.bigbatbox.com/en-ca/blogs/habitat-of-bats/why-a-black-bat-house-is-perfect-for-cooler-climates" TargetMode="External"/><Relationship Id="rId1443" Type="http://schemas.openxmlformats.org/officeDocument/2006/relationships/hyperlink" Target="https://www.bigbatbox.com/en-ca/blogs/habitat-of-bats/tagged/south-facing-bat-house" TargetMode="External"/><Relationship Id="rId1444" Type="http://schemas.openxmlformats.org/officeDocument/2006/relationships/hyperlink" Target="https://www.bigbatbox.com/de/blogs/habitat-of-bats/tagged/bat-box-sunlight-requirements" TargetMode="External"/><Relationship Id="rId1445" Type="http://schemas.openxmlformats.org/officeDocument/2006/relationships/hyperlink" Target="https://www.bigbatbox.com/fr/blogs/habitat-of-bats/tagged/bat-house-height" TargetMode="External"/><Relationship Id="rId1446" Type="http://schemas.openxmlformats.org/officeDocument/2006/relationships/hyperlink" Target="https://www.bigbatbox.com/en-ca/blogs/fun-facts-about-owls/do-owls-eat-squirrels" TargetMode="External"/><Relationship Id="rId1447" Type="http://schemas.openxmlformats.org/officeDocument/2006/relationships/hyperlink" Target="https://www.bigbatbox.com/fr/blogs/fun-facts-about-owls/are-owls-dangerous" TargetMode="External"/><Relationship Id="rId1448" Type="http://schemas.openxmlformats.org/officeDocument/2006/relationships/hyperlink" Target="https://www.bigbatbox.com/fr/blogs/habitat-of-bats/tagged/eco-friendly-bat-house" TargetMode="External"/><Relationship Id="rId1449" Type="http://schemas.openxmlformats.org/officeDocument/2006/relationships/hyperlink" Target="https://www.bigbatbox.com/it/blogs/wildyard-learn/tagged/wildlife-care" TargetMode="External"/><Relationship Id="rId1450" Type="http://schemas.openxmlformats.org/officeDocument/2006/relationships/hyperlink" Target="https://www.bigbatbox.com/it/blogs/habitat-of-bats/the-definitive-guide-to-backyard-mosquito-control" TargetMode="External"/><Relationship Id="rId1451" Type="http://schemas.openxmlformats.org/officeDocument/2006/relationships/hyperlink" Target="https://www.bigbatbox.com/blogs/habitat-of-bats/tagged/bat-house-colors" TargetMode="External"/><Relationship Id="rId1452" Type="http://schemas.openxmlformats.org/officeDocument/2006/relationships/hyperlink" Target="https://www.bigbatbox.com/it/blogs/bee-species/tagged/bee-house" TargetMode="External"/><Relationship Id="rId1453" Type="http://schemas.openxmlformats.org/officeDocument/2006/relationships/hyperlink" Target="https://www.bigbatbox.com/en-ca/blogs/habitat-of-bats/tagged/eco-friendly" TargetMode="External"/><Relationship Id="rId1454" Type="http://schemas.openxmlformats.org/officeDocument/2006/relationships/hyperlink" Target="https://www.bigbatbox.com/es/blogs/fun-facts-about-owls/tagged/wildlife-habitats" TargetMode="External"/><Relationship Id="rId1455" Type="http://schemas.openxmlformats.org/officeDocument/2006/relationships/hyperlink" Target="https://www.bigbatbox.com/de/blogs/habitat-of-bats/tagged/diy-bat-box" TargetMode="External"/><Relationship Id="rId1456" Type="http://schemas.openxmlformats.org/officeDocument/2006/relationships/hyperlink" Target="https://www.bigbatbox.com/blogs/backyard-birds/can-you-feed-suet-in-summer" TargetMode="External"/><Relationship Id="rId1457" Type="http://schemas.openxmlformats.org/officeDocument/2006/relationships/hyperlink" Target="https://www.bigbatbox.com/fr/blogs/habitat-of-bats/tagged/northern-state-bat-box" TargetMode="External"/><Relationship Id="rId1458" Type="http://schemas.openxmlformats.org/officeDocument/2006/relationships/hyperlink" Target="https://www.bigbatbox.com/en-ca/blogs/habitat-of-bats/tagged/wildlife-management" TargetMode="External"/><Relationship Id="rId1459" Type="http://schemas.openxmlformats.org/officeDocument/2006/relationships/hyperlink" Target="https://www.bigbatbox.com/it/blogs/types-of-squirrels/tagged/squirrel-feeder-ideas" TargetMode="External"/><Relationship Id="rId1460" Type="http://schemas.openxmlformats.org/officeDocument/2006/relationships/hyperlink" Target="https://www.bigbatbox.com/it/blogs/wildyard-learn/tagged/pollination" TargetMode="External"/><Relationship Id="rId1461" Type="http://schemas.openxmlformats.org/officeDocument/2006/relationships/hyperlink" Target="https://www.bigbatbox.com/en-ca/blogs/habitat-of-bats/11-interesting-things-to-know-about-bat-houses" TargetMode="External"/><Relationship Id="rId1462" Type="http://schemas.openxmlformats.org/officeDocument/2006/relationships/hyperlink" Target="https://www.bigbatbox.com/es/blogs/bee-species/tagged/leafcutter-bees" TargetMode="External"/><Relationship Id="rId1463" Type="http://schemas.openxmlformats.org/officeDocument/2006/relationships/hyperlink" Target="https://www.bigbatbox.com/fr/blogs/habitat-of-bats/nichoir-chauve-souris-guide-installation" TargetMode="External"/><Relationship Id="rId1464" Type="http://schemas.openxmlformats.org/officeDocument/2006/relationships/hyperlink" Target="https://www.bigbatbox.com/it/blogs/fun-facts-about-owls/what-do-owls-eat" TargetMode="External"/><Relationship Id="rId1465" Type="http://schemas.openxmlformats.org/officeDocument/2006/relationships/hyperlink" Target="https://www.bigbatbox.com/blogs/habitat-of-bats/tagged/bat-house-warmth-retention" TargetMode="External"/><Relationship Id="rId1466" Type="http://schemas.openxmlformats.org/officeDocument/2006/relationships/hyperlink" Target="https://www.bigbatbox.com/it/blogs/fun-facts-about-owls/tagged/great-horned-owl" TargetMode="External"/><Relationship Id="rId1467" Type="http://schemas.openxmlformats.org/officeDocument/2006/relationships/hyperlink" Target="https://www.bigbatbox.com/es/blogs/habitat-of-bats/tagged/wildlife-management" TargetMode="External"/><Relationship Id="rId1468" Type="http://schemas.openxmlformats.org/officeDocument/2006/relationships/hyperlink" Target="https://www.bigbatbox.com/en-ca/blogs/habitat-of-bats/tagged/coexist-with-bats" TargetMode="External"/><Relationship Id="rId1469" Type="http://schemas.openxmlformats.org/officeDocument/2006/relationships/hyperlink" Target="https://www.bigbatbox.com/es/blogs/habitat-of-bats/tagged/backyard-wildlife" TargetMode="External"/><Relationship Id="rId1470" Type="http://schemas.openxmlformats.org/officeDocument/2006/relationships/hyperlink" Target="https://www.bigbatbox.com/it/blogs/habitat-of-bats/tagged/backyard-wildlife" TargetMode="External"/><Relationship Id="rId1471" Type="http://schemas.openxmlformats.org/officeDocument/2006/relationships/hyperlink" Target="https://www.bigbatbox.com/en-ca/pages/wildyard-x-angry-birds-flowerpot-birdhouse-instructions" TargetMode="External"/><Relationship Id="rId1472" Type="http://schemas.openxmlformats.org/officeDocument/2006/relationships/hyperlink" Target="https://www.bigbatbox.com/blogs/habitat-of-bats/tagged/cooler-climate-bat-habitat" TargetMode="External"/><Relationship Id="rId1473" Type="http://schemas.openxmlformats.org/officeDocument/2006/relationships/hyperlink" Target="https://www.bigbatbox.com/en-ca/blogs/habitat-of-bats/tagged/cooler-climate-bat-habitat" TargetMode="External"/><Relationship Id="rId1474" Type="http://schemas.openxmlformats.org/officeDocument/2006/relationships/hyperlink" Target="https://www.bigbatbox.com/es/blogs/habitat-of-bats/tagged/three-chamber-bat-box" TargetMode="External"/><Relationship Id="rId1475" Type="http://schemas.openxmlformats.org/officeDocument/2006/relationships/hyperlink" Target="https://www.bigbatbox.com/it/blogs/habitat-of-bats/why-you-need-a-bat-house-your-go-to-guide" TargetMode="External"/><Relationship Id="rId1476" Type="http://schemas.openxmlformats.org/officeDocument/2006/relationships/hyperlink" Target="https://www.bigbatbox.com/it/blogs/habitat-of-bats/tagged/bat-house-placement-guide" TargetMode="External"/><Relationship Id="rId1477" Type="http://schemas.openxmlformats.org/officeDocument/2006/relationships/hyperlink" Target="https://www.bigbatbox.com/es/blogs/types-of-squirrels/tagged/squirrel-food" TargetMode="External"/><Relationship Id="rId1478" Type="http://schemas.openxmlformats.org/officeDocument/2006/relationships/hyperlink" Target="https://www.bigbatbox.com/blogs/fun-facts-about-owls/tagged/night-sounds" TargetMode="External"/><Relationship Id="rId1479" Type="http://schemas.openxmlformats.org/officeDocument/2006/relationships/hyperlink" Target="https://www.bigbatbox.com/fr/blogs/habitat-of-bats/tagged/sustainable-bat-boxes" TargetMode="External"/><Relationship Id="rId1480" Type="http://schemas.openxmlformats.org/officeDocument/2006/relationships/hyperlink" Target="https://www.bigbatbox.com/es/blogs/habitat-of-bats/tagged/backyard-conservation" TargetMode="External"/><Relationship Id="rId1481" Type="http://schemas.openxmlformats.org/officeDocument/2006/relationships/hyperlink" Target="https://www.bigbatbox.com/it/blogs/habitat-of-bats/a-brief-guide-to-building-and-installing-bat-boxes" TargetMode="External"/><Relationship Id="rId1482" Type="http://schemas.openxmlformats.org/officeDocument/2006/relationships/hyperlink" Target="https://www.bigbatbox.com/it/blogs/wildyard-learn/tagged/garden-pollinators" TargetMode="External"/><Relationship Id="rId1483" Type="http://schemas.openxmlformats.org/officeDocument/2006/relationships/hyperlink" Target="https://www.bigbatbox.com/fr/blogs/habitat-of-bats/tagged/bat-friendly-backyard" TargetMode="External"/><Relationship Id="rId1484" Type="http://schemas.openxmlformats.org/officeDocument/2006/relationships/hyperlink" Target="https://www.bigbatbox.com/de/blogs/backyard-birds/tagged/woodpeckers" TargetMode="External"/><Relationship Id="rId1485" Type="http://schemas.openxmlformats.org/officeDocument/2006/relationships/hyperlink" Target="https://www.bigbatbox.com/blogs/habitat-of-bats/tagged/coexist-with-bats" TargetMode="External"/><Relationship Id="rId1486" Type="http://schemas.openxmlformats.org/officeDocument/2006/relationships/hyperlink" Target="https://www.bigbatbox.com/fr/blogs/habitat-of-bats/tagged/bat-house-colors" TargetMode="External"/><Relationship Id="rId1487" Type="http://schemas.openxmlformats.org/officeDocument/2006/relationships/hyperlink" Target="https://www.bigbatbox.com/es/blogs/types-of-squirrels/tagged/squirrel-nesting-box" TargetMode="External"/><Relationship Id="rId1488" Type="http://schemas.openxmlformats.org/officeDocument/2006/relationships/hyperlink" Target="https://www.bigbatbox.com/de/blogs/fun-facts-about-owls/tagged/owl-calls" TargetMode="External"/><Relationship Id="rId1489" Type="http://schemas.openxmlformats.org/officeDocument/2006/relationships/hyperlink" Target="https://www.bigbatbox.com/de/blogs/bee-species/tagged/bees-diet" TargetMode="External"/><Relationship Id="rId1490" Type="http://schemas.openxmlformats.org/officeDocument/2006/relationships/hyperlink" Target="https://www.bigbatbox.com/es/blogs/bee-species/tagged/bee-habitat-faq" TargetMode="External"/><Relationship Id="rId1491" Type="http://schemas.openxmlformats.org/officeDocument/2006/relationships/hyperlink" Target="https://www.bigbatbox.com/fr/blogs/habitat-of-bats/tagged/backyard-eco-tips" TargetMode="External"/><Relationship Id="rId1492" Type="http://schemas.openxmlformats.org/officeDocument/2006/relationships/hyperlink" Target="https://www.bigbatbox.com/blogs/bee-species/tagged/bees-diet" TargetMode="External"/><Relationship Id="rId1493" Type="http://schemas.openxmlformats.org/officeDocument/2006/relationships/hyperlink" Target="https://www.bigbatbox.com/en-ca/blogs/habitat-of-bats/tagged/backyard-pest-control" TargetMode="External"/><Relationship Id="rId1494" Type="http://schemas.openxmlformats.org/officeDocument/2006/relationships/hyperlink" Target="https://www.bigbatbox.com/fr/blogs/types-of-squirrels/when-do-squirrels-have-babies" TargetMode="External"/><Relationship Id="rId1495" Type="http://schemas.openxmlformats.org/officeDocument/2006/relationships/hyperlink" Target="https://www.bigbatbox.com/es/blogs/habitat-of-bats/tagged/wildyard-bat-house-guide" TargetMode="External"/><Relationship Id="rId1496" Type="http://schemas.openxmlformats.org/officeDocument/2006/relationships/hyperlink" Target="https://www.bigbatbox.com/es/blogs/bee-species?page=2" TargetMode="External"/><Relationship Id="rId1497" Type="http://schemas.openxmlformats.org/officeDocument/2006/relationships/hyperlink" Target="https://www.bigbatbox.com/en-ca/blogs/types-of-squirrels/tagged/nest-box-maintenance" TargetMode="External"/><Relationship Id="rId1498" Type="http://schemas.openxmlformats.org/officeDocument/2006/relationships/hyperlink" Target="https://www.bigbatbox.com/de/blogs/habitat-of-bats/tagged/bats-near-home" TargetMode="External"/><Relationship Id="rId1499" Type="http://schemas.openxmlformats.org/officeDocument/2006/relationships/hyperlink" Target="https://www.bigbatbox.com/fr/blogs/wildyard-news/introducing-the-wildyard-x-angry-birds&#8482;-collection-turn-your-garden-into-a-wildlife-habitat" TargetMode="External"/><Relationship Id="rId1500" Type="http://schemas.openxmlformats.org/officeDocument/2006/relationships/hyperlink" Target="https://www.bigbatbox.com/en-ca/pages/bat-houses-for-sale" TargetMode="External"/><Relationship Id="rId1501" Type="http://schemas.openxmlformats.org/officeDocument/2006/relationships/hyperlink" Target="https://www.bigbatbox.com/it/blogs/habitat-of-bats/tagged/bat-diet" TargetMode="External"/><Relationship Id="rId1502" Type="http://schemas.openxmlformats.org/officeDocument/2006/relationships/hyperlink" Target="https://www.bigbatbox.com/en-ca/blogs/habitat-of-bats/bat-house-certification-explained" TargetMode="External"/><Relationship Id="rId1503" Type="http://schemas.openxmlformats.org/officeDocument/2006/relationships/hyperlink" Target="https://www.bigbatbox.com/it/blogs/habitat-of-bats/tagged/help-bats-at-home" TargetMode="External"/><Relationship Id="rId1504" Type="http://schemas.openxmlformats.org/officeDocument/2006/relationships/hyperlink" Target="https://www.bigbatbox.com/fr/blogs/types-of-squirrels/do-squirrels-hibernate" TargetMode="External"/><Relationship Id="rId1505" Type="http://schemas.openxmlformats.org/officeDocument/2006/relationships/hyperlink" Target="https://www.bigbatbox.com/fr/blogs/bee-species/unveiling-the-world-of-bees-nature-s-tiny-architects" TargetMode="External"/><Relationship Id="rId1506" Type="http://schemas.openxmlformats.org/officeDocument/2006/relationships/hyperlink" Target="https://www.bigbatbox.com/en-ca/blogs/habitat-of-bats/tagged/two-chamber-bat-box" TargetMode="External"/><Relationship Id="rId1507" Type="http://schemas.openxmlformats.org/officeDocument/2006/relationships/hyperlink" Target="https://www.bigbatbox.com/blogs/fun-facts-about-owls/tagged/owl-safety" TargetMode="External"/><Relationship Id="rId1508" Type="http://schemas.openxmlformats.org/officeDocument/2006/relationships/hyperlink" Target="https://www.bigbatbox.com/it/blogs/habitat-of-bats/tagged/ecosystem" TargetMode="External"/><Relationship Id="rId1509" Type="http://schemas.openxmlformats.org/officeDocument/2006/relationships/hyperlink" Target="https://www.bigbatbox.com/blogs/backyard-birds/what-birds-eat-suet" TargetMode="External"/><Relationship Id="rId1510" Type="http://schemas.openxmlformats.org/officeDocument/2006/relationships/hyperlink" Target="https://www.bigbatbox.com/fr/blogs/wildyard-learn/tagged/pollination" TargetMode="External"/><Relationship Id="rId1511" Type="http://schemas.openxmlformats.org/officeDocument/2006/relationships/hyperlink" Target="https://www.bigbatbox.com/es/blogs/habitat-of-bats/tagged/wildlife-habitat" TargetMode="External"/><Relationship Id="rId1512" Type="http://schemas.openxmlformats.org/officeDocument/2006/relationships/hyperlink" Target="https://www.bigbatbox.com/en-ca/pages/cedar-squirrel-house" TargetMode="External"/><Relationship Id="rId1513" Type="http://schemas.openxmlformats.org/officeDocument/2006/relationships/hyperlink" Target="https://www.bigbatbox.com/es/blogs/fun-facts-about-owls/tagged/owls" TargetMode="External"/><Relationship Id="rId1514" Type="http://schemas.openxmlformats.org/officeDocument/2006/relationships/hyperlink" Target="https://www.bigbatbox.com/it/blogs/fun-facts-about-owls/tagged/owl-hooting" TargetMode="External"/><Relationship Id="rId1515" Type="http://schemas.openxmlformats.org/officeDocument/2006/relationships/hyperlink" Target="https://www.bigbatbox.com/es/blogs/habitat-of-bats/tagged/winter-wildlife" TargetMode="External"/><Relationship Id="rId1516" Type="http://schemas.openxmlformats.org/officeDocument/2006/relationships/hyperlink" Target="https://www.bigbatbox.com/fr/blogs/habitat-of-bats/tagged/bat-box-placement" TargetMode="External"/><Relationship Id="rId1517" Type="http://schemas.openxmlformats.org/officeDocument/2006/relationships/hyperlink" Target="https://www.bigbatbox.com/it/blogs/fun-facts-about-owls/tagged/owl-box-faq" TargetMode="External"/><Relationship Id="rId1518" Type="http://schemas.openxmlformats.org/officeDocument/2006/relationships/hyperlink" Target="https://www.bigbatbox.com/it/blogs/habitat-of-bats/tagged/diy-bat-house" TargetMode="External"/><Relationship Id="rId1519" Type="http://schemas.openxmlformats.org/officeDocument/2006/relationships/hyperlink" Target="https://www.bigbatbox.com/fr/blogs/types-of-squirrels/tagged/squirrel-house-feeder" TargetMode="External"/><Relationship Id="rId1520" Type="http://schemas.openxmlformats.org/officeDocument/2006/relationships/hyperlink" Target="https://www.bigbatbox.com/it/blogs/backyard-birds/tagged/suet-feeder" TargetMode="External"/><Relationship Id="rId1521" Type="http://schemas.openxmlformats.org/officeDocument/2006/relationships/hyperlink" Target="https://www.bigbatbox.com/it/blogs/habitat-of-bats/tagged/sustainable-bat-boxes" TargetMode="External"/><Relationship Id="rId1522" Type="http://schemas.openxmlformats.org/officeDocument/2006/relationships/hyperlink" Target="https://www.bigbatbox.com/blogs/types-of-squirrels/tagged/wildlife-behavior" TargetMode="External"/><Relationship Id="rId1523" Type="http://schemas.openxmlformats.org/officeDocument/2006/relationships/hyperlink" Target="https://www.bigbatbox.com/es/blogs/habitat-of-bats/tagged/attract-bats-to-yard" TargetMode="External"/><Relationship Id="rId1524" Type="http://schemas.openxmlformats.org/officeDocument/2006/relationships/hyperlink" Target="https://www.bigbatbox.com/it/blogs/habitat-of-bats/tagged/south-facing-bat-house" TargetMode="External"/><Relationship Id="rId1525" Type="http://schemas.openxmlformats.org/officeDocument/2006/relationships/hyperlink" Target="https://www.bigbatbox.com/de/blogs/habitat-of-bats/tagged/bat-house-direction" TargetMode="External"/><Relationship Id="rId1526" Type="http://schemas.openxmlformats.org/officeDocument/2006/relationships/hyperlink" Target="https://www.bigbatbox.com/blogs/habitat-of-bats/tagged/bat-house-chambers" TargetMode="External"/><Relationship Id="rId1527" Type="http://schemas.openxmlformats.org/officeDocument/2006/relationships/hyperlink" Target="https://www.bigbatbox.com/it/blogs/types-of-squirrels/tagged/nest-box-maintenance" TargetMode="External"/><Relationship Id="rId1528" Type="http://schemas.openxmlformats.org/officeDocument/2006/relationships/hyperlink" Target="https://www.bigbatbox.com/es/blogs/backyard-birds/what-birds-eat-suet" TargetMode="External"/><Relationship Id="rId1529" Type="http://schemas.openxmlformats.org/officeDocument/2006/relationships/hyperlink" Target="https://www.bigbatbox.com/it/blogs/habitat-of-bats/tagged/wildlife-bat-box-guide" TargetMode="External"/><Relationship Id="rId1530" Type="http://schemas.openxmlformats.org/officeDocument/2006/relationships/hyperlink" Target="https://www.bigbatbox.com/it/blogs/habitat-of-bats/tagged/safe-wildlife-practices" TargetMode="External"/><Relationship Id="rId1531" Type="http://schemas.openxmlformats.org/officeDocument/2006/relationships/hyperlink" Target="https://www.bigbatbox.com/fr/blogs/habitat-of-bats/tagged/bat-safety" TargetMode="External"/><Relationship Id="rId1532" Type="http://schemas.openxmlformats.org/officeDocument/2006/relationships/hyperlink" Target="https://www.bigbatbox.com/it/blogs/wildyard-news" TargetMode="External"/><Relationship Id="rId1533" Type="http://schemas.openxmlformats.org/officeDocument/2006/relationships/hyperlink" Target="https://www.bigbatbox.com/fr/blogs/habitat-of-bats/tagged/bat-benefits" TargetMode="External"/><Relationship Id="rId1534" Type="http://schemas.openxmlformats.org/officeDocument/2006/relationships/hyperlink" Target="https://www.bigbatbox.com/fr/blogs/backyard-birds/tagged/bird-feeding" TargetMode="External"/><Relationship Id="rId1535" Type="http://schemas.openxmlformats.org/officeDocument/2006/relationships/hyperlink" Target="https://www.bigbatbox.com/it/blogs/bee-species/tagged/bee-conservation" TargetMode="External"/><Relationship Id="rId1536" Type="http://schemas.openxmlformats.org/officeDocument/2006/relationships/hyperlink" Target="https://www.bigbatbox.com/fr/blogs/habitat-of-bats/tagged/painted-cedar-bat-house" TargetMode="External"/><Relationship Id="rId1537" Type="http://schemas.openxmlformats.org/officeDocument/2006/relationships/hyperlink" Target="https://www.bigbatbox.com/de/blogs/types-of-squirrels/tagged/squirrel-habitat" TargetMode="External"/><Relationship Id="rId1538" Type="http://schemas.openxmlformats.org/officeDocument/2006/relationships/hyperlink" Target="https://www.bigbatbox.com/fr/blogs/habitat-of-bats/tagged/yard-wildlife-guide" TargetMode="External"/><Relationship Id="rId1539" Type="http://schemas.openxmlformats.org/officeDocument/2006/relationships/hyperlink" Target="https://www.bigbatbox.com/es/blogs/habitat-of-bats/tagged/backyard-eco-tips" TargetMode="External"/><Relationship Id="rId1540" Type="http://schemas.openxmlformats.org/officeDocument/2006/relationships/hyperlink" Target="https://www.bigbatbox.com/en-ca/blogs/habitat-of-bats/tagged/dark-bat-houses" TargetMode="External"/><Relationship Id="rId1541" Type="http://schemas.openxmlformats.org/officeDocument/2006/relationships/hyperlink" Target="https://www.bigbatbox.com/es/blogs/types-of-squirrels/tagged/squirrels" TargetMode="External"/><Relationship Id="rId1542" Type="http://schemas.openxmlformats.org/officeDocument/2006/relationships/hyperlink" Target="https://www.bigbatbox.com/it/blogs/types-of-squirrels/tagged/squirrel-house-feeder" TargetMode="External"/><Relationship Id="rId1543" Type="http://schemas.openxmlformats.org/officeDocument/2006/relationships/hyperlink" Target="https://www.bigbatbox.com/es/blogs/habitat-of-bats/tagged/pollinator-friendly-yard" TargetMode="External"/><Relationship Id="rId1544" Type="http://schemas.openxmlformats.org/officeDocument/2006/relationships/hyperlink" Target="https://www.bigbatbox.com/it/blogs/habitat-of-bats/tagged/insect-control" TargetMode="External"/><Relationship Id="rId1545" Type="http://schemas.openxmlformats.org/officeDocument/2006/relationships/hyperlink" Target="https://www.bigbatbox.com/it/blogs/habitat-of-bats/bat-house-certification-explained" TargetMode="External"/><Relationship Id="rId1546" Type="http://schemas.openxmlformats.org/officeDocument/2006/relationships/hyperlink" Target="https://www.bigbatbox.com/de/blogs/habitat-of-bats/tagged/bat-house-colors" TargetMode="External"/><Relationship Id="rId1547" Type="http://schemas.openxmlformats.org/officeDocument/2006/relationships/hyperlink" Target="https://www.bigbatbox.com/fr/blogs/habitat-of-bats/tagged/bci-certified-bat-house" TargetMode="External"/><Relationship Id="rId1548" Type="http://schemas.openxmlformats.org/officeDocument/2006/relationships/hyperlink" Target="https://www.bigbatbox.com/en-ca/blogs/habitat-of-bats/tagged/sustainable-gardens" TargetMode="External"/><Relationship Id="rId1549" Type="http://schemas.openxmlformats.org/officeDocument/2006/relationships/hyperlink" Target="https://www.bigbatbox.com/blogs/habitat-of-bats/tagged/bat-house-usa-climate" TargetMode="External"/><Relationship Id="rId1550" Type="http://schemas.openxmlformats.org/officeDocument/2006/relationships/hyperlink" Target="https://www.bigbatbox.com/fr/blogs/habitat-of-bats/tagged/humane-bat-removal" TargetMode="External"/><Relationship Id="rId1551" Type="http://schemas.openxmlformats.org/officeDocument/2006/relationships/hyperlink" Target="https://www.bigbatbox.com/es/blogs/types-of-squirrels/when-do-squirrels-have-babies" TargetMode="External"/><Relationship Id="rId1552" Type="http://schemas.openxmlformats.org/officeDocument/2006/relationships/hyperlink" Target="https://www.bigbatbox.com/it/blogs/habitat-of-bats/tagged/cedar-bat-house" TargetMode="External"/><Relationship Id="rId1553" Type="http://schemas.openxmlformats.org/officeDocument/2006/relationships/hyperlink" Target="https://www.bigbatbox.com/en-ca/blogs/habitat-of-bats/tagged/dark-bat-house-benefits" TargetMode="External"/><Relationship Id="rId1554" Type="http://schemas.openxmlformats.org/officeDocument/2006/relationships/hyperlink" Target="https://www.bigbatbox.com/es/blogs/fun-facts-about-owls/tagged/owl-hooting" TargetMode="External"/><Relationship Id="rId1555" Type="http://schemas.openxmlformats.org/officeDocument/2006/relationships/hyperlink" Target="https://www.bigbatbox.com/en-ca/blogs/habitat-of-bats/tagged/eco-friendly-pest-solutions" TargetMode="External"/><Relationship Id="rId1556" Type="http://schemas.openxmlformats.org/officeDocument/2006/relationships/hyperlink" Target="https://www.bigbatbox.com/fr/blogs/bee-species/tagged/nature-s-architects" TargetMode="External"/><Relationship Id="rId1557" Type="http://schemas.openxmlformats.org/officeDocument/2006/relationships/hyperlink" Target="https://www.bigbatbox.com/es/blogs/bee-species/tagged/hive-behavior" TargetMode="External"/><Relationship Id="rId1558" Type="http://schemas.openxmlformats.org/officeDocument/2006/relationships/hyperlink" Target="https://www.bigbatbox.com/blogs/bee-species/tagged/bee-habitat-faq" TargetMode="External"/><Relationship Id="rId1559" Type="http://schemas.openxmlformats.org/officeDocument/2006/relationships/hyperlink" Target="https://www.bigbatbox.com/fr/blogs/habitat-of-bats/tagged/diy-bat-box" TargetMode="External"/><Relationship Id="rId1560" Type="http://schemas.openxmlformats.org/officeDocument/2006/relationships/hyperlink" Target="https://www.bigbatbox.com/blogs/types-of-squirrels/tagged/squirrel-house-feeder" TargetMode="External"/><Relationship Id="rId1561" Type="http://schemas.openxmlformats.org/officeDocument/2006/relationships/hyperlink" Target="https://www.bigbatbox.com/it/blogs/habitat-of-bats/tagged/home-pest-control" TargetMode="External"/><Relationship Id="rId1562" Type="http://schemas.openxmlformats.org/officeDocument/2006/relationships/hyperlink" Target="https://www.bigbatbox.com/es/blogs/habitat-of-bats/tagged/bat-house-usa-climate" TargetMode="External"/><Relationship Id="rId1563" Type="http://schemas.openxmlformats.org/officeDocument/2006/relationships/hyperlink" Target="https://www.bigbatbox.com/es/blogs/fun-facts-about-owls/how-long-do-owls-live" TargetMode="External"/><Relationship Id="rId1564" Type="http://schemas.openxmlformats.org/officeDocument/2006/relationships/hyperlink" Target="https://www.bigbatbox.com/de/blogs/habitat-of-bats/tagged/bat-habitat" TargetMode="External"/><Relationship Id="rId1565" Type="http://schemas.openxmlformats.org/officeDocument/2006/relationships/hyperlink" Target="https://www.bigbatbox.com/de/blogs/habitat-of-bats/tagged/bat-in-the-house-in-winter" TargetMode="External"/><Relationship Id="rId1566" Type="http://schemas.openxmlformats.org/officeDocument/2006/relationships/hyperlink" Target="https://www.bigbatbox.com/de/blogs/fun-facts-about-owls/tagged/barn-owl" TargetMode="External"/><Relationship Id="rId1567" Type="http://schemas.openxmlformats.org/officeDocument/2006/relationships/hyperlink" Target="https://www.bigbatbox.com/es/blogs/habitat-of-bats/tagged/bat-roosting-guide" TargetMode="External"/><Relationship Id="rId1568" Type="http://schemas.openxmlformats.org/officeDocument/2006/relationships/hyperlink" Target="https://www.bigbatbox.com/blogs/conservation-partners/tagged/birds" TargetMode="External"/><Relationship Id="rId1569" Type="http://schemas.openxmlformats.org/officeDocument/2006/relationships/hyperlink" Target="https://www.bigbatbox.com/de/blogs/habitat-of-bats/tagged/are-bats-dangerous" TargetMode="External"/><Relationship Id="rId1570" Type="http://schemas.openxmlformats.org/officeDocument/2006/relationships/hyperlink" Target="https://www.bigbatbox.com/blogs/habitat-of-bats/tagged/wildlife-habitat" TargetMode="External"/><Relationship Id="rId1571" Type="http://schemas.openxmlformats.org/officeDocument/2006/relationships/hyperlink" Target="https://www.bigbatbox.com/blogs/habitat-of-bats/tagged/tall-bat-house-design" TargetMode="External"/><Relationship Id="rId1572" Type="http://schemas.openxmlformats.org/officeDocument/2006/relationships/hyperlink" Target="https://www.bigbatbox.com/de/blogs/backyard-birds" TargetMode="External"/><Relationship Id="rId1573" Type="http://schemas.openxmlformats.org/officeDocument/2006/relationships/hyperlink" Target="https://www.bigbatbox.com/fr/blogs/fun-facts-about-owls/tagged/backyard-wildlife" TargetMode="External"/><Relationship Id="rId1574" Type="http://schemas.openxmlformats.org/officeDocument/2006/relationships/hyperlink" Target="https://www.bigbatbox.com/blogs/backyard-birds/tagged/backyard-birds" TargetMode="External"/><Relationship Id="rId1575" Type="http://schemas.openxmlformats.org/officeDocument/2006/relationships/hyperlink" Target="https://www.bigbatbox.com/fr/blogs/habitat-of-bats/tagged/backyard-wildlife" TargetMode="External"/><Relationship Id="rId1576" Type="http://schemas.openxmlformats.org/officeDocument/2006/relationships/hyperlink" Target="https://www.bigbatbox.com/fr/blogs/habitat-of-bats/tagged/safe-wildlife-practices" TargetMode="External"/><Relationship Id="rId1577" Type="http://schemas.openxmlformats.org/officeDocument/2006/relationships/hyperlink" Target="https://www.bigbatbox.com/fr/blogs/habitat-of-bats/tagged/2026-trends" TargetMode="External"/><Relationship Id="rId1578" Type="http://schemas.openxmlformats.org/officeDocument/2006/relationships/hyperlink" Target="https://www.bigbatbox.com/it/products/bat-barn-junior-black" TargetMode="External"/><Relationship Id="rId1579" Type="http://schemas.openxmlformats.org/officeDocument/2006/relationships/hyperlink" Target="https://www.bigbatbox.com/it/blogs/habitat-of-bats/tagged/bat-box-guide" TargetMode="External"/><Relationship Id="rId1580" Type="http://schemas.openxmlformats.org/officeDocument/2006/relationships/hyperlink" Target="https://www.bigbatbox.com/de/blogs/bee-species/tagged/honey-making" TargetMode="External"/><Relationship Id="rId1581" Type="http://schemas.openxmlformats.org/officeDocument/2006/relationships/hyperlink" Target="https://www.bigbatbox.com/fr/blogs/habitat-of-bats/tagged/are-bats-dangerous" TargetMode="External"/><Relationship Id="rId1582" Type="http://schemas.openxmlformats.org/officeDocument/2006/relationships/hyperlink" Target="https://www.bigbatbox.com/it/blogs/fun-facts-about-owls/tagged/owl-attraction" TargetMode="External"/><Relationship Id="rId1583" Type="http://schemas.openxmlformats.org/officeDocument/2006/relationships/hyperlink" Target="https://www.bigbatbox.com/es/blogs/habitat-of-bats/tagged/vampire-bats" TargetMode="External"/><Relationship Id="rId1584" Type="http://schemas.openxmlformats.org/officeDocument/2006/relationships/hyperlink" Target="https://www.bigbatbox.com/blogs/conservation-partners/tagged/1-for-the-planet" TargetMode="External"/><Relationship Id="rId1585" Type="http://schemas.openxmlformats.org/officeDocument/2006/relationships/hyperlink" Target="https://www.bigbatbox.com/it/blogs/habitat-of-bats/tagged/mosquito-reduction-with-bats" TargetMode="External"/><Relationship Id="rId1586" Type="http://schemas.openxmlformats.org/officeDocument/2006/relationships/hyperlink" Target="https://www.bigbatbox.com/blogs/habitat-of-bats/tagged/black-cedar-bat-house" TargetMode="External"/><Relationship Id="rId1587" Type="http://schemas.openxmlformats.org/officeDocument/2006/relationships/hyperlink" Target="https://www.bigbatbox.com/it/blogs/fun-facts-about-owls/tagged/wildlife-conservation" TargetMode="External"/><Relationship Id="rId1588" Type="http://schemas.openxmlformats.org/officeDocument/2006/relationships/hyperlink" Target="https://www.bigbatbox.com/fr/blogs/habitat-of-bats/bat-conservation-tips-for-homeowners-simple-ways-to-help-bats-at-home" TargetMode="External"/><Relationship Id="rId1589" Type="http://schemas.openxmlformats.org/officeDocument/2006/relationships/hyperlink" Target="https://www.bigbatbox.com/fr/blogs/fun-facts-about-owls/tagged/owl-behavior" TargetMode="External"/><Relationship Id="rId1590" Type="http://schemas.openxmlformats.org/officeDocument/2006/relationships/hyperlink" Target="https://www.bigbatbox.com/fr/blogs/habitat-of-bats/tagged/winter-wildlife" TargetMode="External"/><Relationship Id="rId1591" Type="http://schemas.openxmlformats.org/officeDocument/2006/relationships/hyperlink" Target="https://www.bigbatbox.com/it/blogs/types-of-squirrels/tagged/squirrels" TargetMode="External"/><Relationship Id="rId1592" Type="http://schemas.openxmlformats.org/officeDocument/2006/relationships/hyperlink" Target="https://www.bigbatbox.com/es/blogs/habitat-of-bats/tagged/wildlife-conservation" TargetMode="External"/><Relationship Id="rId1593" Type="http://schemas.openxmlformats.org/officeDocument/2006/relationships/hyperlink" Target="https://www.bigbatbox.com/fr/blogs/bee-species/fun-facts-about-bees" TargetMode="External"/><Relationship Id="rId1594" Type="http://schemas.openxmlformats.org/officeDocument/2006/relationships/hyperlink" Target="https://www.bigbatbox.com/fr/blogs/fun-facts-about-owls/do-owls-eat-squirrels" TargetMode="External"/><Relationship Id="rId1595" Type="http://schemas.openxmlformats.org/officeDocument/2006/relationships/hyperlink" Target="https://www.bigbatbox.com/it/blogs/bee-species/tagged/bumblebees" TargetMode="External"/><Relationship Id="rId1596" Type="http://schemas.openxmlformats.org/officeDocument/2006/relationships/hyperlink" Target="https://www.bigbatbox.com/de/blogs/habitat-of-bats/tagged/home-conservation-tips" TargetMode="External"/><Relationship Id="rId1597" Type="http://schemas.openxmlformats.org/officeDocument/2006/relationships/hyperlink" Target="https://www.bigbatbox.com/en-ca/blogs/fun-facts-about-owls/tagged/pet-safety" TargetMode="External"/><Relationship Id="rId1598" Type="http://schemas.openxmlformats.org/officeDocument/2006/relationships/hyperlink" Target="https://www.bigbatbox.com/en-ca/pages/wildyard-x-angry-birds-diy-birdhouse-instructions" TargetMode="External"/><Relationship Id="rId1599" Type="http://schemas.openxmlformats.org/officeDocument/2006/relationships/hyperlink" Target="https://www.bigbatbox.com/it/blogs/habitat-of-bats/tagged/bat-house-installation" TargetMode="External"/><Relationship Id="rId1600" Type="http://schemas.openxmlformats.org/officeDocument/2006/relationships/hyperlink" Target="https://www.bigbatbox.com/en-ca/blogs/fun-facts-about-owls/tagged/owls" TargetMode="External"/><Relationship Id="rId1601" Type="http://schemas.openxmlformats.org/officeDocument/2006/relationships/hyperlink" Target="https://www.bigbatbox.com/blogs/habitat-of-bats/tagged/bat-house-advice" TargetMode="External"/><Relationship Id="rId1602" Type="http://schemas.openxmlformats.org/officeDocument/2006/relationships/hyperlink" Target="https://www.bigbatbox.com/it/blogs/habitat-of-bats/tagged/eco-friendly-pest-solutions" TargetMode="External"/><Relationship Id="rId1603" Type="http://schemas.openxmlformats.org/officeDocument/2006/relationships/hyperlink" Target="https://www.bigbatbox.com/it/blogs/bee-species/tagged/bee-houses" TargetMode="External"/><Relationship Id="rId1604" Type="http://schemas.openxmlformats.org/officeDocument/2006/relationships/hyperlink" Target="https://www.bigbatbox.com/it/blogs/bee-species/unveiling-the-world-of-bees-nature-s-tiny-architects" TargetMode="External"/><Relationship Id="rId1605" Type="http://schemas.openxmlformats.org/officeDocument/2006/relationships/hyperlink" Target="https://www.bigbatbox.com/es/blogs/habitat-of-bats/tagged/bat-diet" TargetMode="External"/><Relationship Id="rId1606" Type="http://schemas.openxmlformats.org/officeDocument/2006/relationships/hyperlink" Target="https://www.bigbatbox.com/en-ca/blogs/habitat-of-bats/tagged/natural-pest-control" TargetMode="External"/><Relationship Id="rId1607" Type="http://schemas.openxmlformats.org/officeDocument/2006/relationships/hyperlink" Target="https://www.bigbatbox.com/en-ca/blogs/habitat-of-bats/7-benefits-of-bat-houses" TargetMode="External"/><Relationship Id="rId1608" Type="http://schemas.openxmlformats.org/officeDocument/2006/relationships/hyperlink" Target="https://www.bigbatbox.com/en-ca/blogs/fun-facts-about-owls/tagged/owl-diet" TargetMode="External"/><Relationship Id="rId1609" Type="http://schemas.openxmlformats.org/officeDocument/2006/relationships/hyperlink" Target="https://www.bigbatbox.com/it/blogs/fun-facts-about-owls/tagged/screech-owl-box" TargetMode="External"/><Relationship Id="rId1610" Type="http://schemas.openxmlformats.org/officeDocument/2006/relationships/hyperlink" Target="https://www.bigbatbox.com/it/blogs/types-of-squirrels/tagged/backyard-wildlife" TargetMode="External"/><Relationship Id="rId1611" Type="http://schemas.openxmlformats.org/officeDocument/2006/relationships/hyperlink" Target="https://www.bigbatbox.com/fr/blogs/habitat-of-bats/tagged/mammal-facts" TargetMode="External"/><Relationship Id="rId1612" Type="http://schemas.openxmlformats.org/officeDocument/2006/relationships/hyperlink" Target="https://www.bigbatbox.com/blogs/bee-species/tagged/bees-pollination" TargetMode="External"/><Relationship Id="rId1613" Type="http://schemas.openxmlformats.org/officeDocument/2006/relationships/hyperlink" Target="https://www.bigbatbox.com/it/collections/owl-boxes" TargetMode="External"/><Relationship Id="rId1614" Type="http://schemas.openxmlformats.org/officeDocument/2006/relationships/hyperlink" Target="https://www.bigbatbox.com/it/blogs/habitat-of-bats/tagged/bat-house-temperature" TargetMode="External"/><Relationship Id="rId1615" Type="http://schemas.openxmlformats.org/officeDocument/2006/relationships/hyperlink" Target="https://www.bigbatbox.com/fr/blogs/bee-species/tagged/solitary-bees" TargetMode="External"/><Relationship Id="rId1616" Type="http://schemas.openxmlformats.org/officeDocument/2006/relationships/hyperlink" Target="https://www.bigbatbox.com/en-ca/blogs/backyard-birds/tagged/no-melt-suet" TargetMode="External"/><Relationship Id="rId1617" Type="http://schemas.openxmlformats.org/officeDocument/2006/relationships/hyperlink" Target="https://www.bigbatbox.com/fr/blogs/habitat-of-bats/tagged/mosquito-reduction-with-bats" TargetMode="External"/><Relationship Id="rId1618" Type="http://schemas.openxmlformats.org/officeDocument/2006/relationships/hyperlink" Target="https://www.bigbatbox.com/it/blogs/habitat-of-bats/tagged/microbats" TargetMode="External"/><Relationship Id="rId1619" Type="http://schemas.openxmlformats.org/officeDocument/2006/relationships/hyperlink" Target="https://www.bigbatbox.com/blogs/habitat-of-bats/tagged/bats-as-pollinators" TargetMode="External"/><Relationship Id="rId1620" Type="http://schemas.openxmlformats.org/officeDocument/2006/relationships/hyperlink" Target="https://www.bigbatbox.com/es/blogs/types-of-squirrels/tagged/winter-wildlife" TargetMode="External"/><Relationship Id="rId1621" Type="http://schemas.openxmlformats.org/officeDocument/2006/relationships/hyperlink" Target="https://www.bigbatbox.com/en-ca/blogs/backyard-birds/tagged/squirrels" TargetMode="External"/><Relationship Id="rId1622" Type="http://schemas.openxmlformats.org/officeDocument/2006/relationships/hyperlink" Target="https://www.bigbatbox.com/it/blogs/habitat-of-bats/tagged/wildlife-friendly-home" TargetMode="External"/><Relationship Id="rId1623" Type="http://schemas.openxmlformats.org/officeDocument/2006/relationships/hyperlink" Target="https://www.bigbatbox.com/fr/blogs/fun-facts-about-owls/tagged/owl-safety" TargetMode="External"/><Relationship Id="rId1624" Type="http://schemas.openxmlformats.org/officeDocument/2006/relationships/hyperlink" Target="https://www.bigbatbox.com/es/blogs/backyard-birds/tagged/suet-for-birds" TargetMode="External"/><Relationship Id="rId1625" Type="http://schemas.openxmlformats.org/officeDocument/2006/relationships/hyperlink" Target="https://www.bigbatbox.com/it/collections/bee-houses" TargetMode="External"/><Relationship Id="rId1626" Type="http://schemas.openxmlformats.org/officeDocument/2006/relationships/hyperlink" Target="https://www.bigbatbox.com/en-ca/blogs/habitat-of-bats/tagged/bat-house-tips" TargetMode="External"/><Relationship Id="rId1627" Type="http://schemas.openxmlformats.org/officeDocument/2006/relationships/hyperlink" Target="https://www.bigbatbox.com/es/blogs/backyard-birds/tagged/woodpeckers" TargetMode="External"/><Relationship Id="rId1628" Type="http://schemas.openxmlformats.org/officeDocument/2006/relationships/hyperlink" Target="https://www.bigbatbox.com/fr/blogs/bee-species/tagged/bees-pollination" TargetMode="External"/><Relationship Id="rId1629" Type="http://schemas.openxmlformats.org/officeDocument/2006/relationships/hyperlink" Target="https://www.bigbatbox.com/en-ca/blogs/bee-species/tagged/honey-production" TargetMode="External"/><Relationship Id="rId1630" Type="http://schemas.openxmlformats.org/officeDocument/2006/relationships/hyperlink" Target="https://www.bigbatbox.com/blogs/habitat-of-bats/tagged/native-plants-for-bats" TargetMode="External"/><Relationship Id="rId1631" Type="http://schemas.openxmlformats.org/officeDocument/2006/relationships/hyperlink" Target="https://www.bigbatbox.com/fr/blogs/bee-species/tagged/bee-house" TargetMode="External"/><Relationship Id="rId1632" Type="http://schemas.openxmlformats.org/officeDocument/2006/relationships/hyperlink" Target="https://www.bigbatbox.com/en-ca/blogs/bee-species?page=2" TargetMode="External"/><Relationship Id="rId1633" Type="http://schemas.openxmlformats.org/officeDocument/2006/relationships/hyperlink" Target="https://www.bigbatbox.com/blogs/types-of-squirrels/tagged/squirrel-food" TargetMode="External"/><Relationship Id="rId1634" Type="http://schemas.openxmlformats.org/officeDocument/2006/relationships/hyperlink" Target="https://www.bigbatbox.com/es/blogs/habitat-of-bats/tagged/best-bat-house-placement" TargetMode="External"/><Relationship Id="rId1635" Type="http://schemas.openxmlformats.org/officeDocument/2006/relationships/hyperlink" Target="https://www.bigbatbox.com/en-ca/blogs/wildyard-learn/tagged/garden-pollinators" TargetMode="External"/><Relationship Id="rId1636" Type="http://schemas.openxmlformats.org/officeDocument/2006/relationships/hyperlink" Target="https://www.bigbatbox.com/es/blogs/fun-facts-about-owls/tagged/snowy-owl" TargetMode="External"/><Relationship Id="rId1637" Type="http://schemas.openxmlformats.org/officeDocument/2006/relationships/hyperlink" Target="https://www.bigbatbox.com/it/blogs/habitat-of-bats/tagged/water-for-bats" TargetMode="External"/><Relationship Id="rId1638" Type="http://schemas.openxmlformats.org/officeDocument/2006/relationships/hyperlink" Target="https://www.bigbatbox.com/it/blogs/habitat-of-bats/tagged/bat-house" TargetMode="External"/><Relationship Id="rId1639" Type="http://schemas.openxmlformats.org/officeDocument/2006/relationships/hyperlink" Target="https://www.bigbatbox.com/es/blogs/habitat-of-bats/tagged/diy-bat-box" TargetMode="External"/><Relationship Id="rId1640" Type="http://schemas.openxmlformats.org/officeDocument/2006/relationships/hyperlink" Target="https://www.bigbatbox.com/es/blogs/fun-facts-about-owls/what-do-owls-eat" TargetMode="External"/><Relationship Id="rId1641" Type="http://schemas.openxmlformats.org/officeDocument/2006/relationships/hyperlink" Target="https://www.bigbatbox.com/blogs/bee-species/tagged/honey-bees" TargetMode="External"/><Relationship Id="rId1642" Type="http://schemas.openxmlformats.org/officeDocument/2006/relationships/hyperlink" Target="https://www.bigbatbox.com/it/blogs/habitat-of-bats/7-benefits-of-bat-houses" TargetMode="External"/><Relationship Id="rId1643" Type="http://schemas.openxmlformats.org/officeDocument/2006/relationships/hyperlink" Target="https://www.bigbatbox.com/fr/blogs/types-of-squirrels/tagged/squirrel-nesting-box" TargetMode="External"/><Relationship Id="rId1644" Type="http://schemas.openxmlformats.org/officeDocument/2006/relationships/hyperlink" Target="https://www.bigbatbox.com/it/blogs/bee-species/tagged/backyard-wildlife" TargetMode="External"/><Relationship Id="rId1645" Type="http://schemas.openxmlformats.org/officeDocument/2006/relationships/hyperlink" Target="https://www.bigbatbox.com/en-ca/blogs/habitat-of-bats/tagged/bat-house" TargetMode="External"/><Relationship Id="rId1646" Type="http://schemas.openxmlformats.org/officeDocument/2006/relationships/hyperlink" Target="https://www.bigbatbox.com/es/blogs/bee-species/tagged/pollinator-nutrition" TargetMode="External"/><Relationship Id="rId1647" Type="http://schemas.openxmlformats.org/officeDocument/2006/relationships/hyperlink" Target="https://www.bigbatbox.com/fr/blogs/habitat-of-bats/nichoir-chauve-souris-attirer" TargetMode="External"/><Relationship Id="rId1648" Type="http://schemas.openxmlformats.org/officeDocument/2006/relationships/hyperlink" Target="https://www.bigbatbox.com/en-ca/blogs/types-of-squirrels/tagged/species-facts" TargetMode="External"/><Relationship Id="rId1649" Type="http://schemas.openxmlformats.org/officeDocument/2006/relationships/hyperlink" Target="https://www.bigbatbox.com/es/blogs/types-of-squirrels/tagged/cedar-habitat" TargetMode="External"/><Relationship Id="rId1650" Type="http://schemas.openxmlformats.org/officeDocument/2006/relationships/hyperlink" Target="https://www.bigbatbox.com/it/blogs/habitat-of-bats?page=4" TargetMode="External"/><Relationship Id="rId1651" Type="http://schemas.openxmlformats.org/officeDocument/2006/relationships/hyperlink" Target="https://www.bigbatbox.com/fr/blogs/habitat-of-bats/tagged/building-and-installing-bat-boxes" TargetMode="External"/><Relationship Id="rId1652" Type="http://schemas.openxmlformats.org/officeDocument/2006/relationships/hyperlink" Target="https://www.bigbatbox.com/blogs/fun-facts-about-owls/tagged/bat-and-owl" TargetMode="External"/><Relationship Id="rId1653" Type="http://schemas.openxmlformats.org/officeDocument/2006/relationships/hyperlink" Target="https://www.bigbatbox.com/de/blogs/habitat-of-bats/tagged/guano" TargetMode="External"/><Relationship Id="rId1654" Type="http://schemas.openxmlformats.org/officeDocument/2006/relationships/hyperlink" Target="https://www.bigbatbox.com/it/blogs/habitat-of-bats/tagged/best-bat-boxes-for-mosquito-control" TargetMode="External"/><Relationship Id="rId1655" Type="http://schemas.openxmlformats.org/officeDocument/2006/relationships/hyperlink" Target="https://www.bigbatbox.com/fr/blogs/habitat-of-bats/tagged/bat-conservation-tips" TargetMode="External"/><Relationship Id="rId1656" Type="http://schemas.openxmlformats.org/officeDocument/2006/relationships/hyperlink" Target="https://www.bigbatbox.com/blogs/bee-species/tagged/solitary-bees" TargetMode="External"/><Relationship Id="rId1657" Type="http://schemas.openxmlformats.org/officeDocument/2006/relationships/hyperlink" Target="https://www.bigbatbox.com/es/blogs/habitat-of-bats/tagged/bat-conservation-tips" TargetMode="External"/><Relationship Id="rId1658" Type="http://schemas.openxmlformats.org/officeDocument/2006/relationships/hyperlink" Target="https://www.bigbatbox.com/es/blogs/habitat-of-bats/tagged/bat-house-pole" TargetMode="External"/><Relationship Id="rId1659" Type="http://schemas.openxmlformats.org/officeDocument/2006/relationships/hyperlink" Target="https://www.bigbatbox.com/fr/blogs/habitat-of-bats/some-interesting-busted-myths-and-facts-about-bats" TargetMode="External"/><Relationship Id="rId1660" Type="http://schemas.openxmlformats.org/officeDocument/2006/relationships/hyperlink" Target="https://www.bigbatbox.com/it/blogs/bee-species?page=2" TargetMode="External"/><Relationship Id="rId1661" Type="http://schemas.openxmlformats.org/officeDocument/2006/relationships/hyperlink" Target="https://www.bigbatbox.com/en-ca/blogs/habitat-of-bats/tagged/bat-house-wall-mount" TargetMode="External"/><Relationship Id="rId1662" Type="http://schemas.openxmlformats.org/officeDocument/2006/relationships/hyperlink" Target="https://www.bigbatbox.com/en-ca/blogs/types-of-squirrels/tagged/wildlife-behavior" TargetMode="External"/><Relationship Id="rId1663" Type="http://schemas.openxmlformats.org/officeDocument/2006/relationships/hyperlink" Target="https://www.bigbatbox.com/de/blogs/habitat-of-bats/tagged/attract-bats" TargetMode="External"/><Relationship Id="rId1664" Type="http://schemas.openxmlformats.org/officeDocument/2006/relationships/hyperlink" Target="https://www.bigbatbox.com/fr/blogs/habitat-of-bats/11-interesting-things-to-know-about-bat-houses" TargetMode="External"/><Relationship Id="rId1665" Type="http://schemas.openxmlformats.org/officeDocument/2006/relationships/hyperlink" Target="https://www.bigbatbox.com/it/blogs/habitat-of-bats/tagged/multi-chamber-bat-house" TargetMode="External"/><Relationship Id="rId1666" Type="http://schemas.openxmlformats.org/officeDocument/2006/relationships/hyperlink" Target="https://www.bigbatbox.com/en-ca/blogs/habitat-of-bats/tagged/mammal-facts" TargetMode="External"/><Relationship Id="rId1667" Type="http://schemas.openxmlformats.org/officeDocument/2006/relationships/hyperlink" Target="https://www.bigbatbox.com/en-ca/blogs/habitat-of-bats/tagged/cedar-bat-house" TargetMode="External"/><Relationship Id="rId1668" Type="http://schemas.openxmlformats.org/officeDocument/2006/relationships/hyperlink" Target="https://www.bigbatbox.com/fr/blogs/bee-species/tagged/bee-habitat-faq" TargetMode="External"/><Relationship Id="rId1669" Type="http://schemas.openxmlformats.org/officeDocument/2006/relationships/hyperlink" Target="https://www.bigbatbox.com/en-ca/blogs/fun-facts-about-owls/tagged/predators" TargetMode="External"/><Relationship Id="rId1670" Type="http://schemas.openxmlformats.org/officeDocument/2006/relationships/hyperlink" Target="https://www.bigbatbox.com/en-ca/blogs/habitat-of-bats/tagged/bat-housebat-conservation" TargetMode="External"/><Relationship Id="rId1671" Type="http://schemas.openxmlformats.org/officeDocument/2006/relationships/hyperlink" Target="https://www.bigbatbox.com/it/blogs/types-of-squirrels/tagged/diy-squirrel-feeder" TargetMode="External"/><Relationship Id="rId1672" Type="http://schemas.openxmlformats.org/officeDocument/2006/relationships/hyperlink" Target="https://www.bigbatbox.com/en-ca/blogs/habitat-of-bats/tagged/bat-box-placement" TargetMode="External"/><Relationship Id="rId1673" Type="http://schemas.openxmlformats.org/officeDocument/2006/relationships/hyperlink" Target="https://www.bigbatbox.com/de/blogs/habitat-of-bats/tagged/natural-pest-control" TargetMode="External"/><Relationship Id="rId1674" Type="http://schemas.openxmlformats.org/officeDocument/2006/relationships/hyperlink" Target="https://www.bigbatbox.com/de/blogs/habitat-of-bats/tagged/bigbatbox" TargetMode="External"/><Relationship Id="rId1675" Type="http://schemas.openxmlformats.org/officeDocument/2006/relationships/hyperlink" Target="https://www.bigbatbox.com/en-ca/blogs/habitat-of-bats/everything-you-need-to-know-about-bat-boxes-installation-features-placement-and-more" TargetMode="External"/><Relationship Id="rId1676" Type="http://schemas.openxmlformats.org/officeDocument/2006/relationships/hyperlink" Target="https://www.bigbatbox.com/en-ca/blogs/habitat-of-bats/tagged/ecosystem-guardians" TargetMode="External"/><Relationship Id="rId1677" Type="http://schemas.openxmlformats.org/officeDocument/2006/relationships/hyperlink" Target="https://www.bigbatbox.com/it/blogs/habitat-of-bats/tagged/bat-house-usa-climate" TargetMode="External"/><Relationship Id="rId1678" Type="http://schemas.openxmlformats.org/officeDocument/2006/relationships/hyperlink" Target="https://www.bigbatbox.com/de/blogs/habitat-of-bats/tagged/bat-diet" TargetMode="External"/><Relationship Id="rId1679" Type="http://schemas.openxmlformats.org/officeDocument/2006/relationships/hyperlink" Target="https://www.bigbatbox.com/fr/blogs/habitat-of-bats/tagged/bat-house-pole" TargetMode="External"/><Relationship Id="rId1680" Type="http://schemas.openxmlformats.org/officeDocument/2006/relationships/hyperlink" Target="https://www.bigbatbox.com/en-ca/blogs/habitat-of-bats/where-to-put-a-bat-house-in-your-yard" TargetMode="External"/><Relationship Id="rId1681" Type="http://schemas.openxmlformats.org/officeDocument/2006/relationships/hyperlink" Target="https://www.bigbatbox.com/es/blogs/habitat-of-bats/tagged/bat-house-installation" TargetMode="External"/><Relationship Id="rId1682" Type="http://schemas.openxmlformats.org/officeDocument/2006/relationships/hyperlink" Target="https://www.bigbatbox.com/it/blogs/types-of-squirrels/tagged/winter-wildlife" TargetMode="External"/><Relationship Id="rId1683" Type="http://schemas.openxmlformats.org/officeDocument/2006/relationships/hyperlink" Target="https://www.bigbatbox.com/en-ca/blogs/bee-species/tagged/bees-pollination" TargetMode="External"/><Relationship Id="rId1684" Type="http://schemas.openxmlformats.org/officeDocument/2006/relationships/hyperlink" Target="https://www.bigbatbox.com/en-ca/blogs/bee-species/tagged/bees-diet" TargetMode="External"/><Relationship Id="rId1685" Type="http://schemas.openxmlformats.org/officeDocument/2006/relationships/hyperlink" Target="https://www.bigbatbox.com/de/blogs/fun-facts-about-owls/tagged/owl-safety" TargetMode="External"/><Relationship Id="rId1686" Type="http://schemas.openxmlformats.org/officeDocument/2006/relationships/hyperlink" Target="https://www.bigbatbox.com/fr/blogs/backyard-birds/what-birds-eat-suet" TargetMode="External"/><Relationship Id="rId1687" Type="http://schemas.openxmlformats.org/officeDocument/2006/relationships/hyperlink" Target="https://www.bigbatbox.com/blogs/habitat-of-bats/tagged/bat-house-temperature" TargetMode="External"/><Relationship Id="rId1688" Type="http://schemas.openxmlformats.org/officeDocument/2006/relationships/hyperlink" Target="https://www.bigbatbox.com/de/blogs/habitat-of-bats/tagged/bat-houses-for-cold-climates" TargetMode="External"/><Relationship Id="rId1689" Type="http://schemas.openxmlformats.org/officeDocument/2006/relationships/hyperlink" Target="https://www.bigbatbox.com/it/blogs/habitat-of-bats/tagged/painted-cedar-bat-house" TargetMode="External"/><Relationship Id="rId1690" Type="http://schemas.openxmlformats.org/officeDocument/2006/relationships/hyperlink" Target="https://www.bigbatbox.com/fr/blogs/wildyard-learn/tagged/eco-friendly-gardening" TargetMode="External"/><Relationship Id="rId1691" Type="http://schemas.openxmlformats.org/officeDocument/2006/relationships/hyperlink" Target="https://www.bigbatbox.com/de/blogs/types-of-squirrels/tagged/squirrel-house-feeder" TargetMode="External"/><Relationship Id="rId1692" Type="http://schemas.openxmlformats.org/officeDocument/2006/relationships/hyperlink" Target="https://www.bigbatbox.com/de/blogs/habitat-of-bats/tagged/bat-house-wall-mount" TargetMode="External"/><Relationship Id="rId1693" Type="http://schemas.openxmlformats.org/officeDocument/2006/relationships/hyperlink" Target="https://www.bigbatbox.com/it/blogs/fun-facts-about-owls/tagged/bat-and-owl" TargetMode="External"/><Relationship Id="rId1694" Type="http://schemas.openxmlformats.org/officeDocument/2006/relationships/hyperlink" Target="https://www.bigbatbox.com/it/blogs/backyard-birds/what-birds-eat-suet" TargetMode="External"/><Relationship Id="rId1695" Type="http://schemas.openxmlformats.org/officeDocument/2006/relationships/hyperlink" Target="https://www.bigbatbox.com/it/blogs/wildyard-learn/tagged/owl-houses" TargetMode="External"/><Relationship Id="rId1696" Type="http://schemas.openxmlformats.org/officeDocument/2006/relationships/hyperlink" Target="https://www.bigbatbox.com/it/blogs/backyard-birds/tagged/woodpeckers" TargetMode="External"/><Relationship Id="rId1697" Type="http://schemas.openxmlformats.org/officeDocument/2006/relationships/hyperlink" Target="https://www.bigbatbox.com/es/blogs/habitat-of-bats/tagged/bat-safety" TargetMode="External"/><Relationship Id="rId1698" Type="http://schemas.openxmlformats.org/officeDocument/2006/relationships/hyperlink" Target="https://www.bigbatbox.com/en-ca/blogs/types-of-squirrels/tagged/buying-guide" TargetMode="External"/><Relationship Id="rId1699" Type="http://schemas.openxmlformats.org/officeDocument/2006/relationships/hyperlink" Target="https://www.bigbatbox.com/es/blogs/types-of-squirrels/tagged/habitat" TargetMode="External"/><Relationship Id="rId1700" Type="http://schemas.openxmlformats.org/officeDocument/2006/relationships/hyperlink" Target="https://www.bigbatbox.com/it/blogs/habitat-of-bats/tagged/bat-roosting-guide" TargetMode="External"/><Relationship Id="rId1701" Type="http://schemas.openxmlformats.org/officeDocument/2006/relationships/hyperlink" Target="https://www.bigbatbox.com/de/blogs/habitat-of-bats/tagged/three-chamber-bat-box" TargetMode="External"/><Relationship Id="rId1702" Type="http://schemas.openxmlformats.org/officeDocument/2006/relationships/hyperlink" Target="https://www.bigbatbox.com/it/blogs/fun-facts-about-owls/tagged/owl-box" TargetMode="External"/><Relationship Id="rId1703" Type="http://schemas.openxmlformats.org/officeDocument/2006/relationships/hyperlink" Target="https://www.bigbatbox.com/en-ca/blogs/types-of-squirrels/tagged/squirrel-house" TargetMode="External"/><Relationship Id="rId1704" Type="http://schemas.openxmlformats.org/officeDocument/2006/relationships/hyperlink" Target="https://www.bigbatbox.com/es/blogs/habitat-of-bats/tagged/how-to-attract-bats" TargetMode="External"/><Relationship Id="rId1705" Type="http://schemas.openxmlformats.org/officeDocument/2006/relationships/hyperlink" Target="https://www.bigbatbox.com/fr/blogs/bee-species/tagged/bee-food-sources" TargetMode="External"/><Relationship Id="rId1706" Type="http://schemas.openxmlformats.org/officeDocument/2006/relationships/hyperlink" Target="https://www.bigbatbox.com/es/blogs/bee-species/tagged/bee-lifecycle" TargetMode="External"/><Relationship Id="rId1707" Type="http://schemas.openxmlformats.org/officeDocument/2006/relationships/hyperlink" Target="https://www.bigbatbox.com/blogs/habitat-of-bats/tagged/three-chamber-bat-box" TargetMode="External"/><Relationship Id="rId1708" Type="http://schemas.openxmlformats.org/officeDocument/2006/relationships/hyperlink" Target="https://www.bigbatbox.com/es/collections" TargetMode="External"/><Relationship Id="rId1709" Type="http://schemas.openxmlformats.org/officeDocument/2006/relationships/hyperlink" Target="https://www.bigbatbox.com/en-ca/blogs/fun-facts-about-owls/tagged/squirrels" TargetMode="External"/><Relationship Id="rId1710" Type="http://schemas.openxmlformats.org/officeDocument/2006/relationships/hyperlink" Target="https://www.bigbatbox.com/it/blogs/bee-species/tagged/environmental-health" TargetMode="External"/><Relationship Id="rId1711" Type="http://schemas.openxmlformats.org/officeDocument/2006/relationships/hyperlink" Target="https://www.bigbatbox.com/de/blogs/types-of-squirrels/tagged/squirrel-feeder" TargetMode="External"/><Relationship Id="rId1712" Type="http://schemas.openxmlformats.org/officeDocument/2006/relationships/hyperlink" Target="https://www.bigbatbox.com/en-ca/blogs/habitat-of-bats/tagged/backyard-conservation" TargetMode="External"/><Relationship Id="rId1713" Type="http://schemas.openxmlformats.org/officeDocument/2006/relationships/hyperlink" Target="https://www.bigbatbox.com/es/blogs/backyard-birds/tagged/suet-feeder" TargetMode="External"/><Relationship Id="rId1714" Type="http://schemas.openxmlformats.org/officeDocument/2006/relationships/hyperlink" Target="https://www.bigbatbox.com/it/blogs/habitat-of-bats/14-fascinating-facts-about-bats" TargetMode="External"/><Relationship Id="rId1715" Type="http://schemas.openxmlformats.org/officeDocument/2006/relationships/hyperlink" Target="https://www.bigbatbox.com/it/blogs/backyard-birds/can-you-feed-suet-in-summer" TargetMode="External"/><Relationship Id="rId1716" Type="http://schemas.openxmlformats.org/officeDocument/2006/relationships/hyperlink" Target="https://www.bigbatbox.com/blogs/habitat-of-bats/tagged/bigbatbox" TargetMode="External"/><Relationship Id="rId1717" Type="http://schemas.openxmlformats.org/officeDocument/2006/relationships/hyperlink" Target="https://www.bigbatbox.com/es/blogs/types-of-squirrels/tagged/wildlife-lifespan" TargetMode="External"/><Relationship Id="rId1718" Type="http://schemas.openxmlformats.org/officeDocument/2006/relationships/hyperlink" Target="https://www.bigbatbox.com/es/blogs/fun-facts-about-owls/tagged/nocturnal-animals" TargetMode="External"/><Relationship Id="rId1719" Type="http://schemas.openxmlformats.org/officeDocument/2006/relationships/hyperlink" Target="https://www.bigbatbox.com/blogs/habitat-of-bats/tagged/night-wildlife-support" TargetMode="External"/><Relationship Id="rId1720" Type="http://schemas.openxmlformats.org/officeDocument/2006/relationships/hyperlink" Target="https://www.bigbatbox.com/it/blogs/fun-facts-about-owls/owl-sounds-decoded" TargetMode="External"/><Relationship Id="rId1721" Type="http://schemas.openxmlformats.org/officeDocument/2006/relationships/hyperlink" Target="https://www.bigbatbox.com/de/blogs/bee-species/tagged/bee-biology" TargetMode="External"/><Relationship Id="rId1722" Type="http://schemas.openxmlformats.org/officeDocument/2006/relationships/hyperlink" Target="https://www.bigbatbox.com/it/blogs/backyard-birds/tagged/squirrels" TargetMode="External"/><Relationship Id="rId1723" Type="http://schemas.openxmlformats.org/officeDocument/2006/relationships/hyperlink" Target="https://www.bigbatbox.com/fr/blogs/fun-facts-about-owls/why-do-owls-hoot-at-night" TargetMode="External"/><Relationship Id="rId1724" Type="http://schemas.openxmlformats.org/officeDocument/2006/relationships/hyperlink" Target="https://www.bigbatbox.com/fr/blogs/habitat-of-bats/tagged/insect-control" TargetMode="External"/><Relationship Id="rId1725" Type="http://schemas.openxmlformats.org/officeDocument/2006/relationships/hyperlink" Target="https://www.bigbatbox.com/de/blogs/types-of-squirrels/tagged/wildlife-lifespan" TargetMode="External"/><Relationship Id="rId1726" Type="http://schemas.openxmlformats.org/officeDocument/2006/relationships/hyperlink" Target="https://www.bigbatbox.com/en-ca/blogs/habitat-of-bats/tagged/bat-house-mosquito-control" TargetMode="External"/><Relationship Id="rId1727" Type="http://schemas.openxmlformats.org/officeDocument/2006/relationships/hyperlink" Target="https://www.bigbatbox.com/it/blogs/habitat-of-bats/tagged/best-bat-house-setup" TargetMode="External"/><Relationship Id="rId1728" Type="http://schemas.openxmlformats.org/officeDocument/2006/relationships/hyperlink" Target="https://www.bigbatbox.com/en-ca/blogs/types-of-squirrels/tagged/cedar-habitat" TargetMode="External"/><Relationship Id="rId1729" Type="http://schemas.openxmlformats.org/officeDocument/2006/relationships/hyperlink" Target="https://www.bigbatbox.com/de/blogs/types-of-squirrels/tagged/wildlife-guide" TargetMode="External"/><Relationship Id="rId1730" Type="http://schemas.openxmlformats.org/officeDocument/2006/relationships/hyperlink" Target="https://www.bigbatbox.com/es/blogs/habitat-of-bats/tagged/insect-control-naturally" TargetMode="External"/><Relationship Id="rId1731" Type="http://schemas.openxmlformats.org/officeDocument/2006/relationships/hyperlink" Target="https://www.bigbatbox.com/blogs/habitat-of-bats/tagged/mammal-facts" TargetMode="External"/><Relationship Id="rId1732" Type="http://schemas.openxmlformats.org/officeDocument/2006/relationships/hyperlink" Target="https://www.bigbatbox.com/en-ca/blogs/bee-species/tagged/wildlife" TargetMode="External"/><Relationship Id="rId1733" Type="http://schemas.openxmlformats.org/officeDocument/2006/relationships/hyperlink" Target="https://www.bigbatbox.com/es/blogs/habitat-of-bats/tagged/attract-bats" TargetMode="External"/><Relationship Id="rId1734" Type="http://schemas.openxmlformats.org/officeDocument/2006/relationships/hyperlink" Target="https://www.bigbatbox.com/es/blogs/fun-facts-about-owls/tagged/night-sounds" TargetMode="External"/><Relationship Id="rId1735" Type="http://schemas.openxmlformats.org/officeDocument/2006/relationships/hyperlink" Target="https://www.bigbatbox.com/de/blogs/habitat-of-bats/tagged/night-wildlife-support" TargetMode="External"/><Relationship Id="rId1736" Type="http://schemas.openxmlformats.org/officeDocument/2006/relationships/hyperlink" Target="https://www.bigbatbox.com/es/blogs/habitat-of-bats/tagged/humane-bat-removal" TargetMode="External"/><Relationship Id="rId1737" Type="http://schemas.openxmlformats.org/officeDocument/2006/relationships/hyperlink" Target="https://www.bigbatbox.com/fr/blogs/habitat-of-bats/tagged/bat-proofing-tips" TargetMode="External"/><Relationship Id="rId1738" Type="http://schemas.openxmlformats.org/officeDocument/2006/relationships/hyperlink" Target="https://www.bigbatbox.com/blogs/habitat-of-bats/tagged/bat-friendly-backyard" TargetMode="External"/><Relationship Id="rId1739" Type="http://schemas.openxmlformats.org/officeDocument/2006/relationships/hyperlink" Target="https://www.bigbatbox.com/blogs/habitat-of-bats/tagged/cold-climate-bat-box" TargetMode="External"/><Relationship Id="rId1740" Type="http://schemas.openxmlformats.org/officeDocument/2006/relationships/hyperlink" Target="https://www.bigbatbox.com/es/blogs/types-of-squirrels/tagged/squirrel-behavior" TargetMode="External"/><Relationship Id="rId1741" Type="http://schemas.openxmlformats.org/officeDocument/2006/relationships/hyperlink" Target="https://www.bigbatbox.com/it/blogs/habitat-of-bats/tagged/bat-house-mosquito-control" TargetMode="External"/><Relationship Id="rId1742" Type="http://schemas.openxmlformats.org/officeDocument/2006/relationships/hyperlink" Target="https://www.bigbatbox.com/fr/blogs/backyard-birds" TargetMode="External"/><Relationship Id="rId1743" Type="http://schemas.openxmlformats.org/officeDocument/2006/relationships/hyperlink" Target="https://www.bigbatbox.com/blogs/fun-facts-about-owls/tagged/owl-calls" TargetMode="External"/><Relationship Id="rId1744" Type="http://schemas.openxmlformats.org/officeDocument/2006/relationships/hyperlink" Target="https://www.bigbatbox.com/es/blogs/fun-facts-about-owls/tagged/owl-boxes" TargetMode="External"/><Relationship Id="rId1745" Type="http://schemas.openxmlformats.org/officeDocument/2006/relationships/hyperlink" Target="https://www.bigbatbox.com/it/blogs/habitat-of-bats/best-bat-boxes-for-mosquito-control-simple-guide-real-example" TargetMode="External"/><Relationship Id="rId1746" Type="http://schemas.openxmlformats.org/officeDocument/2006/relationships/hyperlink" Target="https://www.bigbatbox.com/es/blogs/fun-facts-about-owls/tagged/ecological-balance" TargetMode="External"/><Relationship Id="rId1747" Type="http://schemas.openxmlformats.org/officeDocument/2006/relationships/hyperlink" Target="https://www.bigbatbox.com/blogs/wildyard-learn/tagged/garden-pollinators" TargetMode="External"/><Relationship Id="rId1748" Type="http://schemas.openxmlformats.org/officeDocument/2006/relationships/hyperlink" Target="https://www.bigbatbox.com/it/blogs/habitat-of-bats/tagged/bat-control" TargetMode="External"/><Relationship Id="rId1749" Type="http://schemas.openxmlformats.org/officeDocument/2006/relationships/hyperlink" Target="https://www.bigbatbox.com/it/pages/cedar-squirrel-house" TargetMode="External"/><Relationship Id="rId1750" Type="http://schemas.openxmlformats.org/officeDocument/2006/relationships/hyperlink" Target="https://www.bigbatbox.com/it/blogs/backyard-birds/tagged/no-melt-suet" TargetMode="External"/><Relationship Id="rId1751" Type="http://schemas.openxmlformats.org/officeDocument/2006/relationships/hyperlink" Target="https://www.bigbatbox.com/en-ca/blogs/fun-facts-about-owls/tagged/owl-attraction" TargetMode="External"/><Relationship Id="rId1752" Type="http://schemas.openxmlformats.org/officeDocument/2006/relationships/hyperlink" Target="https://www.bigbatbox.com/de/blogs/habitat-of-bats/tagged/bat-house-mosquito-control" TargetMode="External"/><Relationship Id="rId1753" Type="http://schemas.openxmlformats.org/officeDocument/2006/relationships/hyperlink" Target="https://www.bigbatbox.com/fr/blogs/habitat-of-bats/tagged/cedar-bat-box" TargetMode="External"/><Relationship Id="rId1754" Type="http://schemas.openxmlformats.org/officeDocument/2006/relationships/hyperlink" Target="https://www.bigbatbox.com/es/blogs/backyard-birds/tagged/seasonal-feeding" TargetMode="External"/><Relationship Id="rId1755" Type="http://schemas.openxmlformats.org/officeDocument/2006/relationships/hyperlink" Target="https://www.bigbatbox.com/fr/blogs/habitat-of-bats/tagged/two-chamber-bat-box" TargetMode="External"/><Relationship Id="rId1756" Type="http://schemas.openxmlformats.org/officeDocument/2006/relationships/hyperlink" Target="https://www.bigbatbox.com/en-ca/blogs/habitat-of-bats/tagged/bat-houses-for-cold-climates" TargetMode="External"/><Relationship Id="rId1757" Type="http://schemas.openxmlformats.org/officeDocument/2006/relationships/hyperlink" Target="https://www.bigbatbox.com/fr/blogs/habitat-of-bats/tagged/diy-bat-house" TargetMode="External"/><Relationship Id="rId1758" Type="http://schemas.openxmlformats.org/officeDocument/2006/relationships/hyperlink" Target="https://www.bigbatbox.com/it/blogs/habitat-of-bats/where-to-put-a-bat-house-in-your-yard" TargetMode="External"/><Relationship Id="rId1759" Type="http://schemas.openxmlformats.org/officeDocument/2006/relationships/hyperlink" Target="https://www.bigbatbox.com/it/blogs/types-of-squirrels/how-long-do-squirrels-live" TargetMode="External"/><Relationship Id="rId1760" Type="http://schemas.openxmlformats.org/officeDocument/2006/relationships/hyperlink" Target="https://www.bigbatbox.com/blogs/habitat-of-bats/tagged/insect-control-naturally" TargetMode="External"/><Relationship Id="rId1761" Type="http://schemas.openxmlformats.org/officeDocument/2006/relationships/hyperlink" Target="https://www.bigbatbox.com/de/blogs/habitat-of-bats/tagged/wildlife-management" TargetMode="External"/><Relationship Id="rId1762" Type="http://schemas.openxmlformats.org/officeDocument/2006/relationships/hyperlink" Target="https://www.bigbatbox.com/en-ca/blogs/fun-facts-about-owls/tagged/owl-behavior" TargetMode="External"/><Relationship Id="rId1763" Type="http://schemas.openxmlformats.org/officeDocument/2006/relationships/hyperlink" Target="https://www.bigbatbox.com/en-ca/blogs/habitat-of-bats/tagged/garden-insect-control" TargetMode="External"/><Relationship Id="rId1764" Type="http://schemas.openxmlformats.org/officeDocument/2006/relationships/hyperlink" Target="https://www.bigbatbox.com/de/blogs/types-of-squirrels/tagged/seasonal-guide" TargetMode="External"/><Relationship Id="rId1765" Type="http://schemas.openxmlformats.org/officeDocument/2006/relationships/hyperlink" Target="https://www.bigbatbox.com/es/blogs/habitat-of-bats/tagged/sustainable-bat-boxes" TargetMode="External"/><Relationship Id="rId1766" Type="http://schemas.openxmlformats.org/officeDocument/2006/relationships/hyperlink" Target="https://www.bigbatbox.com/it/blogs/habitat-of-bats/tagged/bat-roost-guide" TargetMode="External"/><Relationship Id="rId1767" Type="http://schemas.openxmlformats.org/officeDocument/2006/relationships/hyperlink" Target="https://www.bigbatbox.com/fr/blogs/habitat-of-bats/tagged/what-do-bats-eat" TargetMode="External"/><Relationship Id="rId1768" Type="http://schemas.openxmlformats.org/officeDocument/2006/relationships/hyperlink" Target="https://www.bigbatbox.com/it/blogs/habitat-of-bats/tagged/bat-box-placement" TargetMode="External"/><Relationship Id="rId1769" Type="http://schemas.openxmlformats.org/officeDocument/2006/relationships/hyperlink" Target="https://www.bigbatbox.com/blogs/habitat-of-bats/tagged/one-chamber-bat-box" TargetMode="External"/><Relationship Id="rId1770" Type="http://schemas.openxmlformats.org/officeDocument/2006/relationships/hyperlink" Target="https://www.bigbatbox.com/it/blogs/fun-facts-about-owls/tagged/owls" TargetMode="External"/><Relationship Id="rId1771" Type="http://schemas.openxmlformats.org/officeDocument/2006/relationships/hyperlink" Target="https://www.bigbatbox.com/en-ca/blogs/habitat-of-bats/tagged/bat-house-direction" TargetMode="External"/><Relationship Id="rId1772" Type="http://schemas.openxmlformats.org/officeDocument/2006/relationships/hyperlink" Target="https://www.bigbatbox.com/es/blogs/habitat-of-bats/tagged/bat-house-for-cold-climates" TargetMode="External"/><Relationship Id="rId1773" Type="http://schemas.openxmlformats.org/officeDocument/2006/relationships/hyperlink" Target="https://www.bigbatbox.com/de/blogs/habitat-of-bats/tagged/bat-house-distance-from-trees" TargetMode="External"/><Relationship Id="rId1774" Type="http://schemas.openxmlformats.org/officeDocument/2006/relationships/hyperlink" Target="https://www.bigbatbox.com/fr/blogs/types-of-squirrels/tagged/seasonal-guide" TargetMode="External"/><Relationship Id="rId1775" Type="http://schemas.openxmlformats.org/officeDocument/2006/relationships/hyperlink" Target="https://www.bigbatbox.com/en-ca/blogs/fun-facts-about-owls/why-do-owls-hoot-at-night" TargetMode="External"/><Relationship Id="rId1776" Type="http://schemas.openxmlformats.org/officeDocument/2006/relationships/hyperlink" Target="https://www.bigbatbox.com/de/blogs/types-of-squirrels/tagged/squirrel-house" TargetMode="External"/><Relationship Id="rId1777" Type="http://schemas.openxmlformats.org/officeDocument/2006/relationships/hyperlink" Target="https://www.bigbatbox.com/it/collections" TargetMode="External"/><Relationship Id="rId1778" Type="http://schemas.openxmlformats.org/officeDocument/2006/relationships/hyperlink" Target="https://www.bigbatbox.com/it/blogs/bee-species/tagged/bee-identification" TargetMode="External"/><Relationship Id="rId1779" Type="http://schemas.openxmlformats.org/officeDocument/2006/relationships/hyperlink" Target="https://www.bigbatbox.com/it/blogs/fun-facts-about-owls/tagged/predators" TargetMode="External"/><Relationship Id="rId1780" Type="http://schemas.openxmlformats.org/officeDocument/2006/relationships/hyperlink" Target="https://www.bigbatbox.com/en-ca/blogs/habitat-of-bats/tagged/2026-trends" TargetMode="External"/><Relationship Id="rId1781" Type="http://schemas.openxmlformats.org/officeDocument/2006/relationships/hyperlink" Target="https://www.bigbatbox.com/blogs/habitat-of-bats/tagged/bat-conservation" TargetMode="External"/><Relationship Id="rId1782" Type="http://schemas.openxmlformats.org/officeDocument/2006/relationships/hyperlink" Target="https://www.bigbatbox.com/es/blogs/bee-species/tagged/mason-bees" TargetMode="External"/><Relationship Id="rId1783" Type="http://schemas.openxmlformats.org/officeDocument/2006/relationships/hyperlink" Target="https://www.bigbatbox.com/it/blogs/bee-species/tagged/ecosystem" TargetMode="External"/><Relationship Id="rId1784" Type="http://schemas.openxmlformats.org/officeDocument/2006/relationships/hyperlink" Target="https://www.bigbatbox.com/fr/blogs/habitat-of-bats/tagged/best-bat-house-placement" TargetMode="External"/><Relationship Id="rId1785" Type="http://schemas.openxmlformats.org/officeDocument/2006/relationships/hyperlink" Target="https://www.bigbatbox.com/es/blogs/fun-facts-about-owls/tagged/owl-attraction" TargetMode="External"/><Relationship Id="rId1786" Type="http://schemas.openxmlformats.org/officeDocument/2006/relationships/hyperlink" Target="https://www.bigbatbox.com/fr/blogs/habitat-of-bats/tagged/bat-house-usa-climate" TargetMode="External"/><Relationship Id="rId1787" Type="http://schemas.openxmlformats.org/officeDocument/2006/relationships/hyperlink" Target="https://www.bigbatbox.com/fr/blogs/types-of-squirrels/are-squirrels-nocturnal" TargetMode="External"/><Relationship Id="rId1788" Type="http://schemas.openxmlformats.org/officeDocument/2006/relationships/hyperlink" Target="https://www.bigbatbox.com/en-ca/blogs/fun-facts-about-owls/tagged/great-horned-owl" TargetMode="External"/><Relationship Id="rId1789" Type="http://schemas.openxmlformats.org/officeDocument/2006/relationships/hyperlink" Target="https://www.bigbatbox.com/en-ca/blogs/bee-species/tagged/bee-communication" TargetMode="External"/><Relationship Id="rId1790" Type="http://schemas.openxmlformats.org/officeDocument/2006/relationships/hyperlink" Target="https://www.bigbatbox.com/it/blogs/backyard-birds/tagged/backyard-birds" TargetMode="External"/><Relationship Id="rId1791" Type="http://schemas.openxmlformats.org/officeDocument/2006/relationships/hyperlink" Target="https://www.bigbatbox.com/fr/pages/bat-houses-for-sale" TargetMode="External"/><Relationship Id="rId1792" Type="http://schemas.openxmlformats.org/officeDocument/2006/relationships/hyperlink" Target="https://www.bigbatbox.com/en-ca/blogs/habitat-of-bats/tagged/sustainable-bat-boxes" TargetMode="External"/><Relationship Id="rId1793" Type="http://schemas.openxmlformats.org/officeDocument/2006/relationships/hyperlink" Target="https://www.bigbatbox.com/it/blogs/habitat-of-bats/tagged/bat-house-height" TargetMode="External"/><Relationship Id="rId1794" Type="http://schemas.openxmlformats.org/officeDocument/2006/relationships/hyperlink" Target="https://www.bigbatbox.com/it/blogs/types-of-squirrels/tagged/seasonal-guide" TargetMode="External"/><Relationship Id="rId1795" Type="http://schemas.openxmlformats.org/officeDocument/2006/relationships/hyperlink" Target="https://www.bigbatbox.com/fr/blogs/types-of-squirrels/tagged/squirrel-care" TargetMode="External"/><Relationship Id="rId1796" Type="http://schemas.openxmlformats.org/officeDocument/2006/relationships/hyperlink" Target="https://www.bigbatbox.com/es/blogs/wildyard-learn/tagged/garden-pollinators" TargetMode="External"/><Relationship Id="rId1797" Type="http://schemas.openxmlformats.org/officeDocument/2006/relationships/hyperlink" Target="https://www.bigbatbox.com/blogs/habitat-of-bats/tagged/sustainable-bat-boxes" TargetMode="External"/><Relationship Id="rId1798" Type="http://schemas.openxmlformats.org/officeDocument/2006/relationships/hyperlink" Target="https://www.bigbatbox.com/es/blogs/bee-species/where-to-hang-a-bee-house" TargetMode="External"/><Relationship Id="rId1799" Type="http://schemas.openxmlformats.org/officeDocument/2006/relationships/hyperlink" Target="https://www.bigbatbox.com/en-ca/blogs/wildyard-learn/tagged/eco-friendly-gardening" TargetMode="External"/><Relationship Id="rId1800" Type="http://schemas.openxmlformats.org/officeDocument/2006/relationships/hyperlink" Target="https://www.bigbatbox.com/fr/blogs/habitat-of-bats/tagged/bat-roosting-guide" TargetMode="External"/><Relationship Id="rId1801" Type="http://schemas.openxmlformats.org/officeDocument/2006/relationships/hyperlink" Target="https://www.bigbatbox.com/it/blogs/types-of-squirrels/tagged/wildyard" TargetMode="External"/><Relationship Id="rId1802" Type="http://schemas.openxmlformats.org/officeDocument/2006/relationships/hyperlink" Target="https://www.bigbatbox.com/fr/blogs/habitat-of-bats/tagged/wildlife-management" TargetMode="External"/><Relationship Id="rId1803" Type="http://schemas.openxmlformats.org/officeDocument/2006/relationships/hyperlink" Target="https://www.bigbatbox.com/en-ca/blogs/habitat-of-bats/tagged/water-for-bats" TargetMode="External"/><Relationship Id="rId1804" Type="http://schemas.openxmlformats.org/officeDocument/2006/relationships/hyperlink" Target="https://www.bigbatbox.com/fr/blogs/wildyard-news" TargetMode="External"/><Relationship Id="rId1805" Type="http://schemas.openxmlformats.org/officeDocument/2006/relationships/hyperlink" Target="https://www.bigbatbox.com/it/blogs/bee-species/tagged/pollinator-nutrition" TargetMode="External"/><Relationship Id="rId1806" Type="http://schemas.openxmlformats.org/officeDocument/2006/relationships/hyperlink" Target="https://www.bigbatbox.com/it/blogs/wildyard-learn/tagged/wildlife-maintenance" TargetMode="External"/><Relationship Id="rId1807" Type="http://schemas.openxmlformats.org/officeDocument/2006/relationships/hyperlink" Target="https://www.bigbatbox.com/es/blogs/habitat-of-bats/tagged/are-bats-dangerous" TargetMode="External"/><Relationship Id="rId1808" Type="http://schemas.openxmlformats.org/officeDocument/2006/relationships/hyperlink" Target="https://www.bigbatbox.com/it/blogs/habitat-of-bats/tagged/natural-pest-control" TargetMode="External"/><Relationship Id="rId1809" Type="http://schemas.openxmlformats.org/officeDocument/2006/relationships/hyperlink" Target="https://www.bigbatbox.com/it/blogs/habitat-of-bats/tagged/wildlife-conservation" TargetMode="External"/><Relationship Id="rId1810" Type="http://schemas.openxmlformats.org/officeDocument/2006/relationships/hyperlink" Target="https://www.bigbatbox.com/fr/blogs/types-of-squirrels/tagged/backyard-wildlife" TargetMode="External"/><Relationship Id="rId1811" Type="http://schemas.openxmlformats.org/officeDocument/2006/relationships/hyperlink" Target="https://www.bigbatbox.com/es/blogs/habitat-of-bats/tagged/multi-chamber-bat-house" TargetMode="External"/><Relationship Id="rId1812" Type="http://schemas.openxmlformats.org/officeDocument/2006/relationships/hyperlink" Target="https://www.bigbatbox.com/en-ca/blogs/backyard-birds/tagged/clinging-birds" TargetMode="External"/><Relationship Id="rId1813" Type="http://schemas.openxmlformats.org/officeDocument/2006/relationships/hyperlink" Target="https://www.bigbatbox.com/it/blogs/fun-facts-about-owls/tagged/barn-owl-box" TargetMode="External"/><Relationship Id="rId1814" Type="http://schemas.openxmlformats.org/officeDocument/2006/relationships/hyperlink" Target="https://www.bigbatbox.com/it/blogs/habitat-of-bats/tagged/bat-houses-for-cold-climates" TargetMode="External"/><Relationship Id="rId1815" Type="http://schemas.openxmlformats.org/officeDocument/2006/relationships/hyperlink" Target="https://www.bigbatbox.com/de/blogs/habitat-of-bats/tagged/water-for-bats" TargetMode="External"/><Relationship Id="rId1816" Type="http://schemas.openxmlformats.org/officeDocument/2006/relationships/hyperlink" Target="https://www.bigbatbox.com/en-ca/blogs/habitat-of-bats/tagged/bat-boxes" TargetMode="External"/><Relationship Id="rId1817" Type="http://schemas.openxmlformats.org/officeDocument/2006/relationships/hyperlink" Target="https://www.bigbatbox.com/es/blogs/habitat-of-bats/tagged/cedar-bat-box" TargetMode="External"/><Relationship Id="rId1818" Type="http://schemas.openxmlformats.org/officeDocument/2006/relationships/hyperlink" Target="https://www.bigbatbox.com/fr/blogs/habitat-of-bats/tagged/bat-habitat" TargetMode="External"/><Relationship Id="rId1819" Type="http://schemas.openxmlformats.org/officeDocument/2006/relationships/hyperlink" Target="https://www.bigbatbox.com/it/blogs/bee-species/tagged/fun-facts-about-bees" TargetMode="External"/><Relationship Id="rId1820" Type="http://schemas.openxmlformats.org/officeDocument/2006/relationships/hyperlink" Target="https://www.bigbatbox.com/fr/blogs/types-of-squirrels/how-long-do-squirrels-live" TargetMode="External"/><Relationship Id="rId1821" Type="http://schemas.openxmlformats.org/officeDocument/2006/relationships/hyperlink" Target="https://www.bigbatbox.com/blogs/backyard-birds/tagged/seasonal-feeding" TargetMode="External"/><Relationship Id="rId1822" Type="http://schemas.openxmlformats.org/officeDocument/2006/relationships/hyperlink" Target="https://www.bigbatbox.com/de/blogs/types-of-squirrels/tagged/backyard-wildlife" TargetMode="External"/><Relationship Id="rId1823" Type="http://schemas.openxmlformats.org/officeDocument/2006/relationships/hyperlink" Target="https://www.bigbatbox.com/es/blogs/fun-facts-about-owls/tagged/wildlife-lifespan" TargetMode="External"/><Relationship Id="rId1824" Type="http://schemas.openxmlformats.org/officeDocument/2006/relationships/hyperlink" Target="https://www.bigbatbox.com/es/blogs/habitat-of-bats/tagged/sustainable-gardens" TargetMode="External"/><Relationship Id="rId1825" Type="http://schemas.openxmlformats.org/officeDocument/2006/relationships/hyperlink" Target="https://www.bigbatbox.com/en-ca/blogs/types-of-squirrels/tagged/seasonal-guide" TargetMode="External"/><Relationship Id="rId1826" Type="http://schemas.openxmlformats.org/officeDocument/2006/relationships/hyperlink" Target="https://www.bigbatbox.com/de/blogs/habitat-of-bats/tagged/bat-proofing-tips" TargetMode="External"/><Relationship Id="rId1827" Type="http://schemas.openxmlformats.org/officeDocument/2006/relationships/hyperlink" Target="https://www.bigbatbox.com/fr/blogs/fun-facts-about-owls/tagged/snowy-owl" TargetMode="External"/><Relationship Id="rId1828" Type="http://schemas.openxmlformats.org/officeDocument/2006/relationships/hyperlink" Target="https://www.bigbatbox.com/it/blogs/habitat-of-bats/what-are-the-bat-house-kits" TargetMode="External"/><Relationship Id="rId1829" Type="http://schemas.openxmlformats.org/officeDocument/2006/relationships/hyperlink" Target="https://www.bigbatbox.com/es/blogs/fun-facts-about-owls/tagged/pet-safety" TargetMode="External"/><Relationship Id="rId1830" Type="http://schemas.openxmlformats.org/officeDocument/2006/relationships/hyperlink" Target="https://www.bigbatbox.com/en-ca/blogs/bee-species/tagged/solitary-bees" TargetMode="External"/><Relationship Id="rId1831" Type="http://schemas.openxmlformats.org/officeDocument/2006/relationships/hyperlink" Target="https://www.bigbatbox.com/es/blogs/habitat-of-bats/tagged/bat-house-advice" TargetMode="External"/><Relationship Id="rId1832" Type="http://schemas.openxmlformats.org/officeDocument/2006/relationships/hyperlink" Target="https://www.bigbatbox.com/es/blogs/backyard-birds/tagged/squirrels" TargetMode="External"/><Relationship Id="rId1833" Type="http://schemas.openxmlformats.org/officeDocument/2006/relationships/hyperlink" Target="https://www.bigbatbox.com/en-ca/blogs/types-of-squirrels/tagged/winter-wildlife" TargetMode="External"/><Relationship Id="rId1834" Type="http://schemas.openxmlformats.org/officeDocument/2006/relationships/hyperlink" Target="https://www.bigbatbox.com/fr/blogs/habitat-of-bats/tagged/bat-facts" TargetMode="External"/><Relationship Id="rId1835" Type="http://schemas.openxmlformats.org/officeDocument/2006/relationships/hyperlink" Target="https://www.bigbatbox.com/it/blogs/fun-facts-about-owls/tagged/ecological-balance" TargetMode="External"/><Relationship Id="rId1836" Type="http://schemas.openxmlformats.org/officeDocument/2006/relationships/hyperlink" Target="https://www.bigbatbox.com/fr/blogs/backyard-birds/tagged/hot-pepper-suet" TargetMode="External"/><Relationship Id="rId1837" Type="http://schemas.openxmlformats.org/officeDocument/2006/relationships/hyperlink" Target="https://www.bigbatbox.com/it/blogs/bee-species/tagged/pollination-process" TargetMode="External"/><Relationship Id="rId1838" Type="http://schemas.openxmlformats.org/officeDocument/2006/relationships/hyperlink" Target="https://www.bigbatbox.com/it/blogs/wildyard-learn/tagged/bee-houses" TargetMode="External"/><Relationship Id="rId1839" Type="http://schemas.openxmlformats.org/officeDocument/2006/relationships/hyperlink" Target="https://www.bigbatbox.com/fr/blogs/habitat-of-bats/tagged/bats-near-home" TargetMode="External"/><Relationship Id="rId1840" Type="http://schemas.openxmlformats.org/officeDocument/2006/relationships/hyperlink" Target="https://www.bigbatbox.com/en-ca/blogs/habitat-of-bats/tagged/where-to-mount-bat-house" TargetMode="External"/><Relationship Id="rId1841" Type="http://schemas.openxmlformats.org/officeDocument/2006/relationships/hyperlink" Target="https://www.bigbatbox.com/it/blogs/habitat-of-bats/found-a-bat-in-the-house-in-winter-help-them-survive" TargetMode="External"/><Relationship Id="rId1842" Type="http://schemas.openxmlformats.org/officeDocument/2006/relationships/hyperlink" Target="https://www.bigbatbox.com/blogs/bee-species/tagged/wildlife" TargetMode="External"/><Relationship Id="rId1843" Type="http://schemas.openxmlformats.org/officeDocument/2006/relationships/hyperlink" Target="https://www.bigbatbox.com/de/blogs/backyard-birds/tagged/clinging-birds" TargetMode="External"/><Relationship Id="rId1844" Type="http://schemas.openxmlformats.org/officeDocument/2006/relationships/hyperlink" Target="https://www.bigbatbox.com/de/blogs/habitat-of-bats/tagged/sustainable-gardens" TargetMode="External"/><Relationship Id="rId1845" Type="http://schemas.openxmlformats.org/officeDocument/2006/relationships/hyperlink" Target="https://www.bigbatbox.com/it/blogs/fun-facts-about-owls/tagged/owl-sounds" TargetMode="External"/><Relationship Id="rId1846" Type="http://schemas.openxmlformats.org/officeDocument/2006/relationships/hyperlink" Target="https://www.bigbatbox.com/de/blogs/fun-facts-about-owls/tagged/wildlife-habitats" TargetMode="External"/><Relationship Id="rId1847" Type="http://schemas.openxmlformats.org/officeDocument/2006/relationships/hyperlink" Target="https://www.bigbatbox.com/es/blogs/habitat-of-bats/tagged/bat-ecology-at-home" TargetMode="External"/><Relationship Id="rId1848" Type="http://schemas.openxmlformats.org/officeDocument/2006/relationships/hyperlink" Target="https://www.bigbatbox.com/blogs/habitat-of-bats/tagged/bat-species" TargetMode="External"/><Relationship Id="rId1849" Type="http://schemas.openxmlformats.org/officeDocument/2006/relationships/hyperlink" Target="https://www.bigbatbox.com/de/blogs/conservation-partners/tagged/birds" TargetMode="External"/><Relationship Id="rId1850" Type="http://schemas.openxmlformats.org/officeDocument/2006/relationships/hyperlink" Target="https://www.bigbatbox.com/fr/blogs/habitat-of-bats/tagged/bat-house-mosquito-control" TargetMode="External"/><Relationship Id="rId1851" Type="http://schemas.openxmlformats.org/officeDocument/2006/relationships/hyperlink" Target="https://www.bigbatbox.com/en-ca/blogs/habitat-of-bats/why-you-need-a-bat-house-your-go-to-guide" TargetMode="External"/><Relationship Id="rId1852" Type="http://schemas.openxmlformats.org/officeDocument/2006/relationships/hyperlink" Target="https://www.bigbatbox.com/it/blogs/bee-species/where-to-hang-a-bee-house" TargetMode="External"/><Relationship Id="rId1853" Type="http://schemas.openxmlformats.org/officeDocument/2006/relationships/hyperlink" Target="https://www.bigbatbox.com/es/blogs/types-of-squirrels/tagged/squirrel-feeder-ideas" TargetMode="External"/><Relationship Id="rId1854" Type="http://schemas.openxmlformats.org/officeDocument/2006/relationships/hyperlink" Target="https://www.bigbatbox.com/es/blogs/habitat-of-bats/tagged/water-for-bats" TargetMode="External"/><Relationship Id="rId1855" Type="http://schemas.openxmlformats.org/officeDocument/2006/relationships/hyperlink" Target="https://www.bigbatbox.com/en-ca/blogs/bee-species/tagged/pollination-process" TargetMode="External"/><Relationship Id="rId1856" Type="http://schemas.openxmlformats.org/officeDocument/2006/relationships/hyperlink" Target="https://www.bigbatbox.com/de/blogs/fun-facts-about-owls/tagged/predators" TargetMode="External"/><Relationship Id="rId1857" Type="http://schemas.openxmlformats.org/officeDocument/2006/relationships/hyperlink" Target="https://www.bigbatbox.com/blogs/habitat-of-bats/tagged/south-facing-bat-house" TargetMode="External"/><Relationship Id="rId1858" Type="http://schemas.openxmlformats.org/officeDocument/2006/relationships/hyperlink" Target="https://www.bigbatbox.com/blogs/types-of-squirrels/tagged/wildlife-feeding" TargetMode="External"/><Relationship Id="rId1859" Type="http://schemas.openxmlformats.org/officeDocument/2006/relationships/hyperlink" Target="https://www.bigbatbox.com/fr/blogs/fun-facts-about-owls/tagged/bird-habitats" TargetMode="External"/><Relationship Id="rId1860" Type="http://schemas.openxmlformats.org/officeDocument/2006/relationships/hyperlink" Target="https://www.bigbatbox.com/de/blogs/habitat-of-bats/tagged/wildlife-habitat" TargetMode="External"/><Relationship Id="rId1861" Type="http://schemas.openxmlformats.org/officeDocument/2006/relationships/hyperlink" Target="https://www.bigbatbox.com/it/blogs/habitat-of-bats/bat-box-placement-guide-how-to-get-it-right" TargetMode="External"/><Relationship Id="rId1862" Type="http://schemas.openxmlformats.org/officeDocument/2006/relationships/hyperlink" Target="https://www.bigbatbox.com/fr/products/wildyard-digital-gift-card" TargetMode="External"/><Relationship Id="rId1863" Type="http://schemas.openxmlformats.org/officeDocument/2006/relationships/hyperlink" Target="https://www.bigbatbox.com/de/blogs/habitat-of-bats/tagged/bat-hibernation" TargetMode="External"/><Relationship Id="rId1864" Type="http://schemas.openxmlformats.org/officeDocument/2006/relationships/hyperlink" Target="https://www.bigbatbox.com/it/blogs/habitat-of-bats/tagged/bat-housebat-conservation" TargetMode="External"/><Relationship Id="rId1865" Type="http://schemas.openxmlformats.org/officeDocument/2006/relationships/hyperlink" Target="https://www.bigbatbox.com/en-ca/blogs/habitat-of-bats/tagged/help-bats-at-home" TargetMode="External"/><Relationship Id="rId1866" Type="http://schemas.openxmlformats.org/officeDocument/2006/relationships/hyperlink" Target="https://www.bigbatbox.com/en-ca/blogs/habitat-of-bats/tagged/bat-house-colors" TargetMode="External"/><Relationship Id="rId1867" Type="http://schemas.openxmlformats.org/officeDocument/2006/relationships/hyperlink" Target="https://www.bigbatbox.com/blogs/habitat-of-bats/tagged/bat-conservation-tips" TargetMode="External"/><Relationship Id="rId1868" Type="http://schemas.openxmlformats.org/officeDocument/2006/relationships/hyperlink" Target="https://www.bigbatbox.com/es/blogs/habitat-of-bats/tagged/bat-habitat" TargetMode="External"/><Relationship Id="rId1869" Type="http://schemas.openxmlformats.org/officeDocument/2006/relationships/hyperlink" Target="https://www.bigbatbox.com/it/blogs/bee-species/tagged/biodiversity" TargetMode="External"/><Relationship Id="rId1870" Type="http://schemas.openxmlformats.org/officeDocument/2006/relationships/hyperlink" Target="https://www.bigbatbox.com/es/blogs/habitat-of-bats/tagged/wildyard-bat-houses" TargetMode="External"/><Relationship Id="rId1871" Type="http://schemas.openxmlformats.org/officeDocument/2006/relationships/hyperlink" Target="https://www.bigbatbox.com/de/blogs/habitat-of-bats/tagged/bats-as-pollinators" TargetMode="External"/><Relationship Id="rId1872" Type="http://schemas.openxmlformats.org/officeDocument/2006/relationships/hyperlink" Target="https://www.bigbatbox.com/blogs/fun-facts-about-owls/tagged/owl-hooting" TargetMode="External"/><Relationship Id="rId1873" Type="http://schemas.openxmlformats.org/officeDocument/2006/relationships/hyperlink" Target="https://www.bigbatbox.com/de/blogs/bee-species/tagged/leafcutter-bees" TargetMode="External"/><Relationship Id="rId1874" Type="http://schemas.openxmlformats.org/officeDocument/2006/relationships/hyperlink" Target="https://www.bigbatbox.com/it/blogs/fun-facts-about-owls/tagged/owl-calls" TargetMode="External"/><Relationship Id="rId1875" Type="http://schemas.openxmlformats.org/officeDocument/2006/relationships/hyperlink" Target="https://www.bigbatbox.com/blogs/habitat-of-bats/tagged/dark-bat-house-benefits" TargetMode="External"/><Relationship Id="rId1876" Type="http://schemas.openxmlformats.org/officeDocument/2006/relationships/hyperlink" Target="https://www.bigbatbox.com/es/blogs/conservation-partners/tagged/1-for-the-planet" TargetMode="External"/><Relationship Id="rId1877" Type="http://schemas.openxmlformats.org/officeDocument/2006/relationships/hyperlink" Target="https://www.bigbatbox.com/fr/blogs/habitat-of-bats/tagged/bat-conservation-guide" TargetMode="External"/><Relationship Id="rId1878" Type="http://schemas.openxmlformats.org/officeDocument/2006/relationships/hyperlink" Target="https://www.bigbatbox.com/en-ca/blogs/conservation-partners/tagged/conservation" TargetMode="External"/><Relationship Id="rId1879" Type="http://schemas.openxmlformats.org/officeDocument/2006/relationships/hyperlink" Target="https://www.bigbatbox.com/fr/blogs/fun-facts-about-owls/tagged/great-horned-owl" TargetMode="External"/><Relationship Id="rId1880" Type="http://schemas.openxmlformats.org/officeDocument/2006/relationships/hyperlink" Target="https://www.bigbatbox.com/en-ca/blogs/fun-facts-about-owls/tagged/owl-hooting" TargetMode="External"/><Relationship Id="rId1881" Type="http://schemas.openxmlformats.org/officeDocument/2006/relationships/hyperlink" Target="https://www.bigbatbox.com/en-ca/blogs/habitat-of-bats/tagged/bat-roosting-guide" TargetMode="External"/><Relationship Id="rId1882" Type="http://schemas.openxmlformats.org/officeDocument/2006/relationships/hyperlink" Target="https://www.bigbatbox.com/it/blogs/types-of-squirrels/tagged/wildlife-guide" TargetMode="External"/><Relationship Id="rId1883" Type="http://schemas.openxmlformats.org/officeDocument/2006/relationships/hyperlink" Target="https://www.bigbatbox.com/es/blogs/habitat-of-bats/tagged/best-bat-houses-for-cold-states" TargetMode="External"/><Relationship Id="rId1884" Type="http://schemas.openxmlformats.org/officeDocument/2006/relationships/hyperlink" Target="https://www.bigbatbox.com/de/blogs/bee-species/tagged/bee-habitat-faq" TargetMode="External"/><Relationship Id="rId1885" Type="http://schemas.openxmlformats.org/officeDocument/2006/relationships/hyperlink" Target="https://www.bigbatbox.com/en-ca/blogs/fun-facts-about-owls/tagged/backyard-wildlife" TargetMode="External"/><Relationship Id="rId1886" Type="http://schemas.openxmlformats.org/officeDocument/2006/relationships/hyperlink" Target="https://www.bigbatbox.com/it/blogs/bee-species/do-solitary-bees-sting" TargetMode="External"/><Relationship Id="rId1887" Type="http://schemas.openxmlformats.org/officeDocument/2006/relationships/hyperlink" Target="https://www.bigbatbox.com/en-ca/blogs/types-of-squirrels/tagged/squirrel-feeder-ideas" TargetMode="External"/><Relationship Id="rId1888" Type="http://schemas.openxmlformats.org/officeDocument/2006/relationships/hyperlink" Target="https://www.bigbatbox.com/de/blogs/bee-species/tagged/pollinator-nutrition" TargetMode="External"/><Relationship Id="rId1889" Type="http://schemas.openxmlformats.org/officeDocument/2006/relationships/hyperlink" Target="https://www.bigbatbox.com/de/blogs/habitat-of-bats?page=2" TargetMode="External"/><Relationship Id="rId1890" Type="http://schemas.openxmlformats.org/officeDocument/2006/relationships/hyperlink" Target="https://www.bigbatbox.com/fr/blogs/habitat-of-bats/tagged/bat-diet" TargetMode="External"/><Relationship Id="rId1891" Type="http://schemas.openxmlformats.org/officeDocument/2006/relationships/hyperlink" Target="https://www.bigbatbox.com/en-ca/blogs/habitat-of-bats/tagged/best-bat-boxes-for-mosquito-control" TargetMode="External"/><Relationship Id="rId1892" Type="http://schemas.openxmlformats.org/officeDocument/2006/relationships/hyperlink" Target="https://www.bigbatbox.com/blogs/types-of-squirrels/tagged/squirrel-habitat" TargetMode="External"/><Relationship Id="rId1893" Type="http://schemas.openxmlformats.org/officeDocument/2006/relationships/hyperlink" Target="https://www.bigbatbox.com/en-ca/blogs/habitat-of-bats/tagged/bat-house-distance-from-trees" TargetMode="External"/><Relationship Id="rId1894" Type="http://schemas.openxmlformats.org/officeDocument/2006/relationships/hyperlink" Target="https://www.bigbatbox.com/blogs/habitat-of-bats/tagged/bats-near-home" TargetMode="External"/><Relationship Id="rId1895" Type="http://schemas.openxmlformats.org/officeDocument/2006/relationships/hyperlink" Target="https://www.bigbatbox.com/es/blogs/bee-species/tagged/bumblebees" TargetMode="External"/><Relationship Id="rId1896" Type="http://schemas.openxmlformats.org/officeDocument/2006/relationships/hyperlink" Target="https://www.bigbatbox.com/es/blogs/fun-facts-about-owls/tagged/great-horned-owl" TargetMode="External"/><Relationship Id="rId1897" Type="http://schemas.openxmlformats.org/officeDocument/2006/relationships/hyperlink" Target="https://www.bigbatbox.com/en-ca/blogs/bee-species/tagged/honey-bees" TargetMode="External"/><Relationship Id="rId1898" Type="http://schemas.openxmlformats.org/officeDocument/2006/relationships/hyperlink" Target="https://www.bigbatbox.com/de/blogs/habitat-of-bats/tagged/insect-control" TargetMode="External"/><Relationship Id="rId1899" Type="http://schemas.openxmlformats.org/officeDocument/2006/relationships/hyperlink" Target="https://www.bigbatbox.com/it/pages/faq" TargetMode="External"/><Relationship Id="rId1900" Type="http://schemas.openxmlformats.org/officeDocument/2006/relationships/hyperlink" Target="https://www.bigbatbox.com/fr/blogs/habitat-of-bats/bat-box-placement-guide-how-to-get-it-right" TargetMode="External"/><Relationship Id="rId1901" Type="http://schemas.openxmlformats.org/officeDocument/2006/relationships/hyperlink" Target="https://www.bigbatbox.com/fr/blogs/habitat-of-bats/tagged/wildlife-friendly-home" TargetMode="External"/><Relationship Id="rId1902" Type="http://schemas.openxmlformats.org/officeDocument/2006/relationships/hyperlink" Target="https://www.bigbatbox.com/en-ca/blogs/habitat-of-bats/tagged/mounting-bat-houses" TargetMode="External"/><Relationship Id="rId1903" Type="http://schemas.openxmlformats.org/officeDocument/2006/relationships/hyperlink" Target="https://www.bigbatbox.com/it/blogs/habitat-of-bats/tagged/get-rid-of-bats" TargetMode="External"/><Relationship Id="rId1904" Type="http://schemas.openxmlformats.org/officeDocument/2006/relationships/hyperlink" Target="https://www.bigbatbox.com/fr/blogs/habitat-of-bats/the-definitive-guide-to-backyard-mosquito-control" TargetMode="External"/><Relationship Id="rId1905" Type="http://schemas.openxmlformats.org/officeDocument/2006/relationships/hyperlink" Target="https://www.bigbatbox.com/it/blogs/habitat-of-bats/the-surprising-benefits-of-bat-boxes-and-why-you-should-have-one" TargetMode="External"/><Relationship Id="rId1906" Type="http://schemas.openxmlformats.org/officeDocument/2006/relationships/hyperlink" Target="https://www.bigbatbox.com/de/blogs/habitat-of-bats/tagged/eco-friendly-bat-house" TargetMode="External"/><Relationship Id="rId1907" Type="http://schemas.openxmlformats.org/officeDocument/2006/relationships/hyperlink" Target="https://www.bigbatbox.com/fr/blogs/habitat-of-bats/tagged/bat-house-temperature" TargetMode="External"/><Relationship Id="rId1908" Type="http://schemas.openxmlformats.org/officeDocument/2006/relationships/hyperlink" Target="https://www.bigbatbox.com/es/blogs/bee-species/tagged/bees-diet" TargetMode="External"/><Relationship Id="rId1909" Type="http://schemas.openxmlformats.org/officeDocument/2006/relationships/hyperlink" Target="https://www.bigbatbox.com/es/blogs/fun-facts-about-owls/tagged/owl-sounds" TargetMode="External"/><Relationship Id="rId1910" Type="http://schemas.openxmlformats.org/officeDocument/2006/relationships/hyperlink" Target="https://www.bigbatbox.com/de/blogs/bee-species/tagged/hive-behavior" TargetMode="External"/><Relationship Id="rId1911" Type="http://schemas.openxmlformats.org/officeDocument/2006/relationships/hyperlink" Target="https://www.bigbatbox.com/es/blogs/habitat-of-bats/tagged/black-bat-house" TargetMode="External"/><Relationship Id="rId1912" Type="http://schemas.openxmlformats.org/officeDocument/2006/relationships/hyperlink" Target="https://www.bigbatbox.com/en-ca/blogs/fun-facts-about-owls/tagged/wildlife-lifespan" TargetMode="External"/><Relationship Id="rId1913" Type="http://schemas.openxmlformats.org/officeDocument/2006/relationships/hyperlink" Target="https://www.bigbatbox.com/it/blogs/types-of-squirrels/tagged/wildlife-lifespan" TargetMode="External"/><Relationship Id="rId1914" Type="http://schemas.openxmlformats.org/officeDocument/2006/relationships/hyperlink" Target="https://www.bigbatbox.com/en-ca/blogs/backyard-birds/tagged/backyard-birds" TargetMode="External"/><Relationship Id="rId1915" Type="http://schemas.openxmlformats.org/officeDocument/2006/relationships/hyperlink" Target="https://www.bigbatbox.com/blogs/habitat-of-bats/tagged/natural-pest-control" TargetMode="External"/><Relationship Id="rId1916" Type="http://schemas.openxmlformats.org/officeDocument/2006/relationships/hyperlink" Target="https://www.bigbatbox.com/en-ca/blogs/backyard-birds/tagged/suet-for-birds" TargetMode="External"/><Relationship Id="rId1917" Type="http://schemas.openxmlformats.org/officeDocument/2006/relationships/hyperlink" Target="https://www.bigbatbox.com/en-ca/blogs/fun-facts-about-owls/tagged/bat-and-owl" TargetMode="External"/><Relationship Id="rId1918" Type="http://schemas.openxmlformats.org/officeDocument/2006/relationships/hyperlink" Target="https://www.bigbatbox.com/de/blogs/habitat-of-bats/tagged/bat-house-sun-exposure" TargetMode="External"/><Relationship Id="rId1919" Type="http://schemas.openxmlformats.org/officeDocument/2006/relationships/hyperlink" Target="https://www.bigbatbox.com/en-ca/blogs/habitat-of-bats/tagged/mosquito-controlbackyard-wildlife" TargetMode="External"/><Relationship Id="rId1920" Type="http://schemas.openxmlformats.org/officeDocument/2006/relationships/hyperlink" Target="https://www.bigbatbox.com/fr/blogs/habitat-of-bats/tagged/bat-house-placement-guide" TargetMode="External"/><Relationship Id="rId1921" Type="http://schemas.openxmlformats.org/officeDocument/2006/relationships/hyperlink" Target="https://www.bigbatbox.com/es/blogs/habitat-of-bats/tagged/best-bat-houses" TargetMode="External"/><Relationship Id="rId1922" Type="http://schemas.openxmlformats.org/officeDocument/2006/relationships/hyperlink" Target="https://www.bigbatbox.com/es/blogs/types-of-squirrels/tagged/buying-guide" TargetMode="External"/><Relationship Id="rId1923" Type="http://schemas.openxmlformats.org/officeDocument/2006/relationships/hyperlink" Target="https://www.bigbatbox.com/it/blogs/backyard-birds/tagged/hot-pepper-suet" TargetMode="External"/><Relationship Id="rId1924" Type="http://schemas.openxmlformats.org/officeDocument/2006/relationships/hyperlink" Target="https://www.bigbatbox.com/fr/blogs/habitat-of-bats/why-bats-are-the-best-mosquito-eaters" TargetMode="External"/><Relationship Id="rId1925" Type="http://schemas.openxmlformats.org/officeDocument/2006/relationships/hyperlink" Target="https://www.bigbatbox.com/es/blogs/habitat-of-bats/tagged/backyard-pest-control" TargetMode="External"/><Relationship Id="rId1926" Type="http://schemas.openxmlformats.org/officeDocument/2006/relationships/hyperlink" Target="https://www.bigbatbox.com/de/blogs/habitat-of-bats/tagged/how-to-attract-bats" TargetMode="External"/><Relationship Id="rId1927" Type="http://schemas.openxmlformats.org/officeDocument/2006/relationships/hyperlink" Target="https://www.bigbatbox.com/es/blogs/bee-species/tagged/bee-biology" TargetMode="External"/><Relationship Id="rId1928" Type="http://schemas.openxmlformats.org/officeDocument/2006/relationships/hyperlink" Target="https://www.bigbatbox.com/it/pages/1-for-the-planet-merlin-tuttle-x-wild-yard" TargetMode="External"/><Relationship Id="rId1929" Type="http://schemas.openxmlformats.org/officeDocument/2006/relationships/hyperlink" Target="https://www.bigbatbox.com/fr/blogs/backyard-birds/tagged/no-melt-suet" TargetMode="External"/><Relationship Id="rId1930" Type="http://schemas.openxmlformats.org/officeDocument/2006/relationships/hyperlink" Target="https://www.bigbatbox.com/en-ca/blogs/bee-species/tagged/hive-behavior" TargetMode="External"/><Relationship Id="rId1931" Type="http://schemas.openxmlformats.org/officeDocument/2006/relationships/hyperlink" Target="https://www.bigbatbox.com/it/collections/certified-bat-houses" TargetMode="External"/><Relationship Id="rId1932" Type="http://schemas.openxmlformats.org/officeDocument/2006/relationships/hyperlink" Target="https://www.bigbatbox.com/it/blogs/types-of-squirrels/tagged/backyard-habitat" TargetMode="External"/><Relationship Id="rId1933" Type="http://schemas.openxmlformats.org/officeDocument/2006/relationships/hyperlink" Target="https://www.bigbatbox.com/en-ca/blogs/habitat-of-bats/tagged/night-wildlife-support" TargetMode="External"/><Relationship Id="rId1934" Type="http://schemas.openxmlformats.org/officeDocument/2006/relationships/hyperlink" Target="https://www.bigbatbox.com/blogs/fun-facts-about-owls?page=2" TargetMode="External"/><Relationship Id="rId1935" Type="http://schemas.openxmlformats.org/officeDocument/2006/relationships/hyperlink" Target="https://www.bigbatbox.com/fr/blogs/fun-facts-about-owls/how-long-do-owls-live" TargetMode="External"/><Relationship Id="rId1936" Type="http://schemas.openxmlformats.org/officeDocument/2006/relationships/hyperlink" Target="https://www.bigbatbox.com/fr/blogs/habitat-of-bats/tagged/bat-conservation" TargetMode="External"/><Relationship Id="rId1937" Type="http://schemas.openxmlformats.org/officeDocument/2006/relationships/hyperlink" Target="https://www.bigbatbox.com/it/pages/contact" TargetMode="External"/><Relationship Id="rId1938" Type="http://schemas.openxmlformats.org/officeDocument/2006/relationships/hyperlink" Target="https://www.bigbatbox.com/fr/blogs/habitat-of-bats/tagged/mosquito-controlbackyard-wildlife" TargetMode="External"/><Relationship Id="rId1939" Type="http://schemas.openxmlformats.org/officeDocument/2006/relationships/hyperlink" Target="https://www.bigbatbox.com/es/blogs/habitat-of-bats/tagged/garden-insect-control" TargetMode="External"/><Relationship Id="rId1940" Type="http://schemas.openxmlformats.org/officeDocument/2006/relationships/hyperlink" Target="https://www.bigbatbox.com/it/blogs/habitat-of-bats/tagged/bat-conservation-tips" TargetMode="External"/><Relationship Id="rId1941" Type="http://schemas.openxmlformats.org/officeDocument/2006/relationships/hyperlink" Target="https://www.bigbatbox.com/es/blogs/types-of-squirrels/how-long-do-squirrels-live" TargetMode="External"/><Relationship Id="rId1942" Type="http://schemas.openxmlformats.org/officeDocument/2006/relationships/hyperlink" Target="https://www.bigbatbox.com/de/blogs/habitat-of-bats/tagged/ecosystem-guardians" TargetMode="External"/><Relationship Id="rId1943" Type="http://schemas.openxmlformats.org/officeDocument/2006/relationships/hyperlink" Target="https://www.bigbatbox.com/es/blogs/bee-species/tagged/bee-communication" TargetMode="External"/><Relationship Id="rId1944" Type="http://schemas.openxmlformats.org/officeDocument/2006/relationships/hyperlink" Target="https://www.bigbatbox.com/de/blogs/types-of-squirrels/tagged/nest-box-maintenance" TargetMode="External"/><Relationship Id="rId1945" Type="http://schemas.openxmlformats.org/officeDocument/2006/relationships/hyperlink" Target="https://www.bigbatbox.com/en-ca/blogs/bee-species/tagged/nature-s-architects" TargetMode="External"/><Relationship Id="rId1946" Type="http://schemas.openxmlformats.org/officeDocument/2006/relationships/hyperlink" Target="https://www.bigbatbox.com/blogs/fun-facts-about-owls/tagged/bird-habitats" TargetMode="External"/><Relationship Id="rId1947" Type="http://schemas.openxmlformats.org/officeDocument/2006/relationships/hyperlink" Target="https://www.bigbatbox.com/blogs/habitat-of-bats/tagged/usa-bat-house-guide" TargetMode="External"/><Relationship Id="rId1948" Type="http://schemas.openxmlformats.org/officeDocument/2006/relationships/hyperlink" Target="https://www.bigbatbox.com/de/blogs/habitat-of-bats/tagged/eco-friendly-pest-solutions" TargetMode="External"/><Relationship Id="rId1949" Type="http://schemas.openxmlformats.org/officeDocument/2006/relationships/hyperlink" Target="https://www.bigbatbox.com/fr/blogs/bee-species/tagged/mason-bees" TargetMode="External"/><Relationship Id="rId1950" Type="http://schemas.openxmlformats.org/officeDocument/2006/relationships/hyperlink" Target="https://www.bigbatbox.com/en-ca/blogs/types-of-squirrels/tagged/wildlife-feeding" TargetMode="External"/><Relationship Id="rId1951" Type="http://schemas.openxmlformats.org/officeDocument/2006/relationships/hyperlink" Target="https://www.bigbatbox.com/en-ca/blogs/habitat-of-bats/tagged/wildyard-bat-houses" TargetMode="External"/><Relationship Id="rId1952" Type="http://schemas.openxmlformats.org/officeDocument/2006/relationships/hyperlink" Target="https://www.bigbatbox.com/de/blogs/habitat-of-bats/tagged/bat-conservation-guide" TargetMode="External"/><Relationship Id="rId1953" Type="http://schemas.openxmlformats.org/officeDocument/2006/relationships/hyperlink" Target="https://www.bigbatbox.com/blogs/backyard-birds/tagged/woodpeckers" TargetMode="External"/><Relationship Id="rId1954" Type="http://schemas.openxmlformats.org/officeDocument/2006/relationships/hyperlink" Target="https://www.bigbatbox.com/it/blogs/habitat-of-bats/tagged/one-chamber-bat-box" TargetMode="External"/><Relationship Id="rId1955" Type="http://schemas.openxmlformats.org/officeDocument/2006/relationships/hyperlink" Target="https://www.bigbatbox.com/en-ca/blogs/habitat-of-bats?page=3" TargetMode="External"/><Relationship Id="rId1956" Type="http://schemas.openxmlformats.org/officeDocument/2006/relationships/hyperlink" Target="https://www.bigbatbox.com/fr/blogs/habitat-of-bats/tagged/eco-friendly-pest-solutions" TargetMode="External"/><Relationship Id="rId1957" Type="http://schemas.openxmlformats.org/officeDocument/2006/relationships/hyperlink" Target="https://www.bigbatbox.com/fr/blogs/bee-species/tagged/wildlife" TargetMode="External"/><Relationship Id="rId1958" Type="http://schemas.openxmlformats.org/officeDocument/2006/relationships/hyperlink" Target="https://www.bigbatbox.com/de/blogs/habitat-of-bats/tagged/mosquito-controlbackyard-wildlife" TargetMode="External"/><Relationship Id="rId1959" Type="http://schemas.openxmlformats.org/officeDocument/2006/relationships/hyperlink" Target="https://www.bigbatbox.com/it/blogs/bee-species/tagged/bees-pollination" TargetMode="External"/><Relationship Id="rId1960" Type="http://schemas.openxmlformats.org/officeDocument/2006/relationships/hyperlink" Target="https://www.bigbatbox.com/fr/collections/certified-bat-houses" TargetMode="External"/><Relationship Id="rId1961" Type="http://schemas.openxmlformats.org/officeDocument/2006/relationships/hyperlink" Target="https://www.bigbatbox.com/it/blogs/habitat-of-bats/tagged/protect-bats" TargetMode="External"/><Relationship Id="rId1962" Type="http://schemas.openxmlformats.org/officeDocument/2006/relationships/hyperlink" Target="https://www.bigbatbox.com/it/blogs/wildyard-learn/bats-bees-as-your-garden-pollinators" TargetMode="External"/><Relationship Id="rId1963" Type="http://schemas.openxmlformats.org/officeDocument/2006/relationships/hyperlink" Target="https://www.bigbatbox.com/en-ca/blogs/habitat-of-bats/tagged/bat-conservation" TargetMode="External"/><Relationship Id="rId1964" Type="http://schemas.openxmlformats.org/officeDocument/2006/relationships/hyperlink" Target="https://www.bigbatbox.com/it/blogs/types-of-squirrels/tagged/wildlife-feeding" TargetMode="External"/><Relationship Id="rId1965" Type="http://schemas.openxmlformats.org/officeDocument/2006/relationships/hyperlink" Target="https://www.bigbatbox.com/es/blogs/habitat-of-bats?page=4" TargetMode="External"/><Relationship Id="rId1966" Type="http://schemas.openxmlformats.org/officeDocument/2006/relationships/hyperlink" Target="https://www.bigbatbox.com/es/blogs/habitat-of-bats/tagged/protect-bats" TargetMode="External"/><Relationship Id="rId1967" Type="http://schemas.openxmlformats.org/officeDocument/2006/relationships/hyperlink" Target="https://www.bigbatbox.com/it/blogs/bee-species/tagged/environmental-sustainability" TargetMode="External"/><Relationship Id="rId1968" Type="http://schemas.openxmlformats.org/officeDocument/2006/relationships/hyperlink" Target="https://www.bigbatbox.com/de/blogs/fun-facts-about-owls/tagged/ecological-balance" TargetMode="External"/><Relationship Id="rId1969" Type="http://schemas.openxmlformats.org/officeDocument/2006/relationships/hyperlink" Target="https://www.bigbatbox.com/blogs/habitat-of-bats/tagged/bat-house-tips" TargetMode="External"/><Relationship Id="rId1970" Type="http://schemas.openxmlformats.org/officeDocument/2006/relationships/hyperlink" Target="https://www.bigbatbox.com/fr/blogs/habitat-of-bats/why-a-black-bat-house-is-perfect-for-cooler-climates" TargetMode="External"/><Relationship Id="rId1971" Type="http://schemas.openxmlformats.org/officeDocument/2006/relationships/hyperlink" Target="https://www.bigbatbox.com/de/blogs/habitat-of-bats/tagged/pollinator-friendly-yard" TargetMode="External"/><Relationship Id="rId1972" Type="http://schemas.openxmlformats.org/officeDocument/2006/relationships/hyperlink" Target="https://www.bigbatbox.com/en-ca/blogs/habitat-of-bats/tagged/bat-box-guide" TargetMode="External"/><Relationship Id="rId1973" Type="http://schemas.openxmlformats.org/officeDocument/2006/relationships/hyperlink" Target="https://www.bigbatbox.com/en-ca/blogs/habitat-of-bats/tagged/bat-facts" TargetMode="External"/><Relationship Id="rId1974" Type="http://schemas.openxmlformats.org/officeDocument/2006/relationships/hyperlink" Target="https://www.bigbatbox.com/es/blogs/habitat-of-bats/tagged/wildlife-friendly-backyard" TargetMode="External"/><Relationship Id="rId1975" Type="http://schemas.openxmlformats.org/officeDocument/2006/relationships/hyperlink" Target="https://www.bigbatbox.com/fr/blogs/types-of-squirrels/tagged/wildyard" TargetMode="External"/><Relationship Id="rId1976" Type="http://schemas.openxmlformats.org/officeDocument/2006/relationships/hyperlink" Target="https://www.bigbatbox.com/blogs/habitat-of-bats/tagged/pollinator-friendly-yard" TargetMode="External"/><Relationship Id="rId1977" Type="http://schemas.openxmlformats.org/officeDocument/2006/relationships/hyperlink" Target="https://www.bigbatbox.com/it/blogs/bee-species/tagged/bee-hotels" TargetMode="External"/><Relationship Id="rId1978" Type="http://schemas.openxmlformats.org/officeDocument/2006/relationships/hyperlink" Target="https://www.bigbatbox.com/es/blogs/habitat-of-bats/tagged/bat-conservation-guide" TargetMode="External"/><Relationship Id="rId1979" Type="http://schemas.openxmlformats.org/officeDocument/2006/relationships/hyperlink" Target="https://www.bigbatbox.com/fr/blogs/habitat-of-bats/tagged/best-bat-house-setup" TargetMode="External"/><Relationship Id="rId1980" Type="http://schemas.openxmlformats.org/officeDocument/2006/relationships/hyperlink" Target="https://www.bigbatbox.com/de/blogs/habitat-of-bats/tagged/sustainable-bat-boxes" TargetMode="External"/><Relationship Id="rId1981" Type="http://schemas.openxmlformats.org/officeDocument/2006/relationships/hyperlink" Target="https://www.bigbatbox.com/it/blogs/habitat-of-bats/tagged/eco-friendly-bat-shelter" TargetMode="External"/><Relationship Id="rId1982" Type="http://schemas.openxmlformats.org/officeDocument/2006/relationships/hyperlink" Target="https://www.bigbatbox.com/en-ca/blogs/habitat-of-bats/tagged/bat-friendly-backyard" TargetMode="External"/><Relationship Id="rId1983" Type="http://schemas.openxmlformats.org/officeDocument/2006/relationships/hyperlink" Target="https://www.bigbatbox.com/de/blogs/habitat-of-bats/tagged/backyard-pest-control" TargetMode="External"/><Relationship Id="rId1984" Type="http://schemas.openxmlformats.org/officeDocument/2006/relationships/hyperlink" Target="https://www.bigbatbox.com/it/blogs/bee-species/tagged/honey-bees" TargetMode="External"/><Relationship Id="rId1985" Type="http://schemas.openxmlformats.org/officeDocument/2006/relationships/hyperlink" Target="https://www.bigbatbox.com/fr/blogs/habitat-of-bats/tagged/bat-box-sunlight-requirements" TargetMode="External"/><Relationship Id="rId1986" Type="http://schemas.openxmlformats.org/officeDocument/2006/relationships/hyperlink" Target="https://www.bigbatbox.com/de/blogs/habitat-of-bats/tagged/backyard-wildlife" TargetMode="External"/><Relationship Id="rId1987" Type="http://schemas.openxmlformats.org/officeDocument/2006/relationships/hyperlink" Target="https://www.bigbatbox.com/fr/blogs/habitat-of-bats/tagged/south-facing-bat-house" TargetMode="External"/><Relationship Id="rId1988" Type="http://schemas.openxmlformats.org/officeDocument/2006/relationships/hyperlink" Target="https://www.bigbatbox.com/it/blogs/wildyard-learn/tagged/wildlife-shelter" TargetMode="External"/><Relationship Id="rId1989" Type="http://schemas.openxmlformats.org/officeDocument/2006/relationships/hyperlink" Target="https://www.bigbatbox.com/es/blogs/conservation-partners/tagged/conservation" TargetMode="External"/><Relationship Id="rId1990" Type="http://schemas.openxmlformats.org/officeDocument/2006/relationships/hyperlink" Target="https://www.bigbatbox.com/it/blogs/habitat-of-bats/tagged/pollinator-friendly-yard" TargetMode="External"/><Relationship Id="rId1991" Type="http://schemas.openxmlformats.org/officeDocument/2006/relationships/hyperlink" Target="https://www.bigbatbox.com/de/blogs/wildyard-learn/tagged/eco-friendly-gardening" TargetMode="External"/><Relationship Id="rId1992" Type="http://schemas.openxmlformats.org/officeDocument/2006/relationships/hyperlink" Target="https://www.bigbatbox.com/de/blogs/habitat-of-bats/tagged/dark-bat-house-benefits" TargetMode="External"/><Relationship Id="rId1993" Type="http://schemas.openxmlformats.org/officeDocument/2006/relationships/hyperlink" Target="https://www.bigbatbox.com/es/blogs/fun-facts-about-owls/do-owls-eat-squirrels" TargetMode="External"/><Relationship Id="rId1994" Type="http://schemas.openxmlformats.org/officeDocument/2006/relationships/hyperlink" Target="https://www.bigbatbox.com/fr/blogs/habitat-of-bats/tagged/garden-insect-control" TargetMode="External"/><Relationship Id="rId1995" Type="http://schemas.openxmlformats.org/officeDocument/2006/relationships/hyperlink" Target="https://www.bigbatbox.com/es/blogs/types-of-squirrels/tagged/wildlife-habitat" TargetMode="External"/><Relationship Id="rId1996" Type="http://schemas.openxmlformats.org/officeDocument/2006/relationships/hyperlink" Target="https://www.bigbatbox.com/fr/blogs/fun-facts-about-owls/tagged/owl-calls" TargetMode="External"/><Relationship Id="rId1997" Type="http://schemas.openxmlformats.org/officeDocument/2006/relationships/hyperlink" Target="https://www.bigbatbox.com/fr/blogs/habitat-of-bats/tagged/black-bat-house" TargetMode="External"/><Relationship Id="rId1998" Type="http://schemas.openxmlformats.org/officeDocument/2006/relationships/hyperlink" Target="https://www.bigbatbox.com/de/blogs/habitat-of-bats/tagged/mosquito-control" TargetMode="External"/><Relationship Id="rId1999" Type="http://schemas.openxmlformats.org/officeDocument/2006/relationships/hyperlink" Target="https://www.bigbatbox.com/it/blogs/habitat-of-bats/tagged/bat-house-advice" TargetMode="External"/><Relationship Id="rId2000" Type="http://schemas.openxmlformats.org/officeDocument/2006/relationships/hyperlink" Target="https://www.bigbatbox.com/de/blogs/habitat-of-bats/tagged/bat-friendly-backyard" TargetMode="External"/><Relationship Id="rId2001" Type="http://schemas.openxmlformats.org/officeDocument/2006/relationships/hyperlink" Target="https://www.bigbatbox.com/en-ca/blogs/conservation-partners" TargetMode="External"/><Relationship Id="rId2002" Type="http://schemas.openxmlformats.org/officeDocument/2006/relationships/hyperlink" Target="https://www.bigbatbox.com/it/blogs/habitat-of-bats/tagged/bigbatbox" TargetMode="External"/><Relationship Id="rId2003" Type="http://schemas.openxmlformats.org/officeDocument/2006/relationships/hyperlink" Target="https://www.bigbatbox.com/es/blogs/habitat-of-bats/tagged/wildlife-bat-box-guide" TargetMode="External"/><Relationship Id="rId2004" Type="http://schemas.openxmlformats.org/officeDocument/2006/relationships/hyperlink" Target="https://www.bigbatbox.com/it/blogs/habitat-of-bats/bat-box-casetta-pipistrelli-guida" TargetMode="External"/><Relationship Id="rId2005" Type="http://schemas.openxmlformats.org/officeDocument/2006/relationships/hyperlink" Target="https://www.bigbatbox.com/blogs/habitat-of-bats/tagged/bat-hibernation" TargetMode="External"/><Relationship Id="rId2006" Type="http://schemas.openxmlformats.org/officeDocument/2006/relationships/hyperlink" Target="https://www.bigbatbox.com/de/blogs/fun-facts-about-owls/tagged/owl-nest-box" TargetMode="External"/><Relationship Id="rId2007" Type="http://schemas.openxmlformats.org/officeDocument/2006/relationships/hyperlink" Target="https://www.bigbatbox.com/it/blogs/habitat-of-bats/tagged/diy-bat-box" TargetMode="External"/><Relationship Id="rId2008" Type="http://schemas.openxmlformats.org/officeDocument/2006/relationships/hyperlink" Target="https://www.bigbatbox.com/it/blogs/habitat-of-bats/tagged/vampire-bats" TargetMode="External"/><Relationship Id="rId2009" Type="http://schemas.openxmlformats.org/officeDocument/2006/relationships/hyperlink" Target="https://www.bigbatbox.com/de/blogs/types-of-squirrels/tagged/wildyard" TargetMode="External"/><Relationship Id="rId2010" Type="http://schemas.openxmlformats.org/officeDocument/2006/relationships/hyperlink" Target="https://www.bigbatbox.com/it/blogs/habitat-of-bats/tagged/eco-friendly" TargetMode="External"/><Relationship Id="rId2011" Type="http://schemas.openxmlformats.org/officeDocument/2006/relationships/hyperlink" Target="https://www.bigbatbox.com/es/blogs/habitat-of-bats/tagged/bat-species" TargetMode="External"/><Relationship Id="rId2012" Type="http://schemas.openxmlformats.org/officeDocument/2006/relationships/hyperlink" Target="https://www.bigbatbox.com/en-ca/blogs/habitat-of-bats/tagged/bigbatbox" TargetMode="External"/><Relationship Id="rId2013" Type="http://schemas.openxmlformats.org/officeDocument/2006/relationships/hyperlink" Target="https://www.bigbatbox.com/es/blogs/habitat-of-bats/tagged/best-bat-boxes-for-mosquito-control" TargetMode="External"/><Relationship Id="rId2014" Type="http://schemas.openxmlformats.org/officeDocument/2006/relationships/hyperlink" Target="https://www.bigbatbox.com/es/blogs/habitat-of-bats/tagged/bat-benefits" TargetMode="External"/><Relationship Id="rId2015" Type="http://schemas.openxmlformats.org/officeDocument/2006/relationships/hyperlink" Target="https://www.bigbatbox.com/it/blogs/types-of-squirrels/tagged/cedar-habitat" TargetMode="External"/><Relationship Id="rId2016" Type="http://schemas.openxmlformats.org/officeDocument/2006/relationships/hyperlink" Target="https://www.bigbatbox.com/it/blogs/bee-species/tagged/honey-production" TargetMode="External"/><Relationship Id="rId2017" Type="http://schemas.openxmlformats.org/officeDocument/2006/relationships/hyperlink" Target="https://www.bigbatbox.com/es/blogs/habitat-of-bats/tagged/bat-house-colors" TargetMode="External"/><Relationship Id="rId2018" Type="http://schemas.openxmlformats.org/officeDocument/2006/relationships/hyperlink" Target="https://www.bigbatbox.com/fr/blogs/habitat-of-bats/14-fascinating-facts-about-bats" TargetMode="External"/><Relationship Id="rId2019" Type="http://schemas.openxmlformats.org/officeDocument/2006/relationships/hyperlink" Target="https://www.bigbatbox.com/blogs/habitat-of-bats/tagged/wildlife-friendly-home" TargetMode="External"/><Relationship Id="rId2020" Type="http://schemas.openxmlformats.org/officeDocument/2006/relationships/hyperlink" Target="https://www.bigbatbox.com/es/blogs/habitat-of-bats/tagged/bat-conservation" TargetMode="External"/><Relationship Id="rId2021" Type="http://schemas.openxmlformats.org/officeDocument/2006/relationships/hyperlink" Target="https://www.bigbatbox.com/en-ca/blogs/habitat-of-bats/tagged/best-bat-houses" TargetMode="External"/><Relationship Id="rId2022" Type="http://schemas.openxmlformats.org/officeDocument/2006/relationships/hyperlink" Target="https://www.bigbatbox.com/fr/blogs/habitat-of-bats/5-best-tips-for-bat-house-maintenance" TargetMode="External"/><Relationship Id="rId2023" Type="http://schemas.openxmlformats.org/officeDocument/2006/relationships/hyperlink" Target="https://www.bigbatbox.com/fr/blogs/habitat-of-bats/a-brief-guide-to-building-and-installing-bat-boxes" TargetMode="External"/><Relationship Id="rId2024" Type="http://schemas.openxmlformats.org/officeDocument/2006/relationships/hyperlink" Target="https://www.bigbatbox.com/en-ca/blogs/fun-facts-about-owls/tagged/owl-safety" TargetMode="External"/><Relationship Id="rId2025" Type="http://schemas.openxmlformats.org/officeDocument/2006/relationships/hyperlink" Target="https://www.bigbatbox.com/de/blogs/wildyard-learn/tagged/garden-pollinators" TargetMode="External"/><Relationship Id="rId2026" Type="http://schemas.openxmlformats.org/officeDocument/2006/relationships/hyperlink" Target="https://www.bigbatbox.com/blogs/habitat-of-bats/tagged/bci-certified-bat-house" TargetMode="External"/><Relationship Id="rId2027" Type="http://schemas.openxmlformats.org/officeDocument/2006/relationships/hyperlink" Target="https://www.bigbatbox.com/fr/blogs/bee-species/tagged/hive-behavior" TargetMode="External"/><Relationship Id="rId2028" Type="http://schemas.openxmlformats.org/officeDocument/2006/relationships/hyperlink" Target="https://www.bigbatbox.com/en-ca/blogs/habitat-of-bats/tagged/are-bats-dangerous" TargetMode="External"/><Relationship Id="rId2029" Type="http://schemas.openxmlformats.org/officeDocument/2006/relationships/hyperlink" Target="https://www.bigbatbox.com/blogs/habitat-of-bats/tagged/yard-wildlife-guide" TargetMode="External"/><Relationship Id="rId2030" Type="http://schemas.openxmlformats.org/officeDocument/2006/relationships/hyperlink" Target="https://www.bigbatbox.com/es/blogs/habitat-of-bats/tagged/eco-friendly-pest-solutions" TargetMode="External"/><Relationship Id="rId2031" Type="http://schemas.openxmlformats.org/officeDocument/2006/relationships/hyperlink" Target="https://www.bigbatbox.com/it/blogs/habitat-of-bats/tagged/bat-removal" TargetMode="External"/><Relationship Id="rId2032" Type="http://schemas.openxmlformats.org/officeDocument/2006/relationships/hyperlink" Target="https://www.bigbatbox.com/de/blogs/habitat-of-bats/tagged/bat-house-installation" TargetMode="External"/><Relationship Id="rId2033" Type="http://schemas.openxmlformats.org/officeDocument/2006/relationships/hyperlink" Target="https://www.bigbatbox.com/fr/blogs/habitat-of-bats/tagged/bat-boxes" TargetMode="External"/><Relationship Id="rId2034" Type="http://schemas.openxmlformats.org/officeDocument/2006/relationships/hyperlink" Target="https://www.bigbatbox.com/es/blogs/habitat-of-bats/tagged/south-facing-bat-house" TargetMode="External"/><Relationship Id="rId2035" Type="http://schemas.openxmlformats.org/officeDocument/2006/relationships/hyperlink" Target="https://www.bigbatbox.com/it/blogs/habitat-of-bats/tagged/best-bat-house-placement" TargetMode="External"/><Relationship Id="rId2036" Type="http://schemas.openxmlformats.org/officeDocument/2006/relationships/hyperlink" Target="https://www.bigbatbox.com/blogs/habitat-of-bats/tagged/building-and-installing-bat-boxes" TargetMode="External"/><Relationship Id="rId2037" Type="http://schemas.openxmlformats.org/officeDocument/2006/relationships/hyperlink" Target="https://www.bigbatbox.com/de/blogs/habitat-of-bats/tagged/wildyard-bat-house-guide" TargetMode="External"/><Relationship Id="rId2038" Type="http://schemas.openxmlformats.org/officeDocument/2006/relationships/hyperlink" Target="https://www.bigbatbox.com/it/blogs/habitat-of-bats/tagged/natural-mosquito-control" TargetMode="External"/><Relationship Id="rId2039" Type="http://schemas.openxmlformats.org/officeDocument/2006/relationships/hyperlink" Target="https://www.bigbatbox.com/en-ca/blogs/types-of-squirrels/tagged/squirrel-behavior" TargetMode="External"/><Relationship Id="rId2040" Type="http://schemas.openxmlformats.org/officeDocument/2006/relationships/hyperlink" Target="https://www.bigbatbox.com/fr/blogs/habitat-of-bats/tagged/how-to-attract-bats" TargetMode="External"/><Relationship Id="rId2041" Type="http://schemas.openxmlformats.org/officeDocument/2006/relationships/hyperlink" Target="https://www.bigbatbox.com/es/blogs/habitat-of-bats/tagged/diy-bat-house" TargetMode="External"/><Relationship Id="rId2042" Type="http://schemas.openxmlformats.org/officeDocument/2006/relationships/hyperlink" Target="https://www.bigbatbox.com/it/blogs/habitat-of-bats/cedar-bat-box-for-cold-climates-what-you-need-to-know" TargetMode="External"/><Relationship Id="rId2043" Type="http://schemas.openxmlformats.org/officeDocument/2006/relationships/hyperlink" Target="https://www.bigbatbox.com/blogs/bee-species/tagged/bee-identification" TargetMode="External"/><Relationship Id="rId2044" Type="http://schemas.openxmlformats.org/officeDocument/2006/relationships/hyperlink" Target="https://www.bigbatbox.com/blogs/habitat-of-bats/tagged/cedar-bat-box" TargetMode="External"/><Relationship Id="rId2045" Type="http://schemas.openxmlformats.org/officeDocument/2006/relationships/hyperlink" Target="https://www.bigbatbox.com/fr/blogs/habitat-of-bats/best-backyard-bat-conservation-and-wildlife-habitat-trends-for-2026-so-far" TargetMode="External"/><Relationship Id="rId2046" Type="http://schemas.openxmlformats.org/officeDocument/2006/relationships/hyperlink" Target="https://www.bigbatbox.com/de/blogs/habitat-of-bats/tagged/dark-bat-houses" TargetMode="External"/><Relationship Id="rId2047" Type="http://schemas.openxmlformats.org/officeDocument/2006/relationships/hyperlink" Target="https://www.bigbatbox.com/es/blogs/backyard-birds/keep-squirrels-starlings-off-suet-feeder" TargetMode="External"/><Relationship Id="rId2048" Type="http://schemas.openxmlformats.org/officeDocument/2006/relationships/hyperlink" Target="https://www.bigbatbox.com/en-ca/blogs/habitat-of-bats/tagged/home-conservation-tips" TargetMode="External"/><Relationship Id="rId2049" Type="http://schemas.openxmlformats.org/officeDocument/2006/relationships/hyperlink" Target="https://www.bigbatbox.com/it/blogs/habitat-of-bats/tagged/bats" TargetMode="External"/><Relationship Id="rId2050" Type="http://schemas.openxmlformats.org/officeDocument/2006/relationships/hyperlink" Target="https://www.bigbatbox.com/fr/blogs/habitat-of-bats/tagged/usa-bat-house-guide" TargetMode="External"/><Relationship Id="rId2051" Type="http://schemas.openxmlformats.org/officeDocument/2006/relationships/hyperlink" Target="https://www.bigbatbox.com/blogs/bee-species/tagged/bee-house" TargetMode="External"/><Relationship Id="rId2052" Type="http://schemas.openxmlformats.org/officeDocument/2006/relationships/hyperlink" Target="https://www.bigbatbox.com/it/blogs/habitat-of-bats/tagged/bat-friendly-backyard" TargetMode="External"/><Relationship Id="rId2053" Type="http://schemas.openxmlformats.org/officeDocument/2006/relationships/hyperlink" Target="https://www.bigbatbox.com/it/blogs/habitat-of-bats/tagged/bci-certified-bat-house" TargetMode="External"/><Relationship Id="rId2054" Type="http://schemas.openxmlformats.org/officeDocument/2006/relationships/hyperlink" Target="https://www.bigbatbox.com/fr/blogs/habitat-of-bats/tagged/bat-house-distance-from-trees" TargetMode="External"/><Relationship Id="rId2055" Type="http://schemas.openxmlformats.org/officeDocument/2006/relationships/hyperlink" Target="https://www.bigbatbox.com/blogs/habitat-of-bats/tagged/bat-roosting-guide" TargetMode="External"/><Relationship Id="rId2056" Type="http://schemas.openxmlformats.org/officeDocument/2006/relationships/hyperlink" Target="https://www.bigbatbox.com/es/blogs/bee-species/tagged/bee-house" TargetMode="External"/><Relationship Id="rId2057" Type="http://schemas.openxmlformats.org/officeDocument/2006/relationships/hyperlink" Target="https://www.bigbatbox.com/fr/blogs/bee-species/tagged/honey-production" TargetMode="External"/><Relationship Id="rId2058" Type="http://schemas.openxmlformats.org/officeDocument/2006/relationships/hyperlink" Target="https://www.bigbatbox.com/es/blogs/bee-species/tagged/bees-pollination" TargetMode="External"/><Relationship Id="rId2059" Type="http://schemas.openxmlformats.org/officeDocument/2006/relationships/hyperlink" Target="https://www.bigbatbox.com/it/blogs/fun-facts-about-owls/do-owls-eat-squirrels" TargetMode="External"/><Relationship Id="rId2060" Type="http://schemas.openxmlformats.org/officeDocument/2006/relationships/hyperlink" Target="https://www.bigbatbox.com/es/blogs/types-of-squirrels/tagged/squirrel-house-feeder" TargetMode="External"/><Relationship Id="rId2061" Type="http://schemas.openxmlformats.org/officeDocument/2006/relationships/hyperlink" Target="https://www.bigbatbox.com/fr/blogs/types-of-squirrels/tagged/squirrel-food" TargetMode="External"/><Relationship Id="rId2062" Type="http://schemas.openxmlformats.org/officeDocument/2006/relationships/hyperlink" Target="https://www.bigbatbox.com/fr/blogs/fun-facts-about-owls/tagged/conservation" TargetMode="External"/><Relationship Id="rId2063" Type="http://schemas.openxmlformats.org/officeDocument/2006/relationships/hyperlink" Target="https://www.bigbatbox.com/blogs/habitat-of-bats/tagged/bat-house-wall-mount" TargetMode="External"/><Relationship Id="rId2064" Type="http://schemas.openxmlformats.org/officeDocument/2006/relationships/hyperlink" Target="https://www.bigbatbox.com/de/blogs/types-of-squirrels/tagged/buying-guide" TargetMode="External"/><Relationship Id="rId2065" Type="http://schemas.openxmlformats.org/officeDocument/2006/relationships/hyperlink" Target="https://www.bigbatbox.com/es/blogs/fun-facts-about-owls/tagged/owl-facts" TargetMode="External"/><Relationship Id="rId2066" Type="http://schemas.openxmlformats.org/officeDocument/2006/relationships/hyperlink" Target="https://www.bigbatbox.com/en-ca/blogs/fun-facts-about-owls/tagged/wildlife-gardening" TargetMode="External"/><Relationship Id="rId2067" Type="http://schemas.openxmlformats.org/officeDocument/2006/relationships/hyperlink" Target="https://www.bigbatbox.com/fr/blogs/bee-species/tagged/bee-facts" TargetMode="External"/><Relationship Id="rId2068" Type="http://schemas.openxmlformats.org/officeDocument/2006/relationships/hyperlink" Target="https://www.bigbatbox.com/en-ca/blogs/bee-species/where-to-hang-a-bee-house" TargetMode="External"/><Relationship Id="rId2069" Type="http://schemas.openxmlformats.org/officeDocument/2006/relationships/hyperlink" Target="https://www.bigbatbox.com/en-ca/blogs/habitat-of-bats/tagged/yard-wildlife-guide" TargetMode="External"/><Relationship Id="rId2070" Type="http://schemas.openxmlformats.org/officeDocument/2006/relationships/hyperlink" Target="https://www.bigbatbox.com/it/pages/wildyard-x-angry-birds-diy-birdhouse-instructions" TargetMode="External"/><Relationship Id="rId2071" Type="http://schemas.openxmlformats.org/officeDocument/2006/relationships/hyperlink" Target="https://www.bigbatbox.com/it/blogs/fun-facts-about-owls/tagged/pet-safety" TargetMode="External"/><Relationship Id="rId2072" Type="http://schemas.openxmlformats.org/officeDocument/2006/relationships/hyperlink" Target="https://www.bigbatbox.com/it/blogs/habitat-of-bats/where-to-buy-bat-houses-your-go-to-guide" TargetMode="External"/><Relationship Id="rId2073" Type="http://schemas.openxmlformats.org/officeDocument/2006/relationships/hyperlink" Target="https://www.bigbatbox.com/fr/blogs/bee-species/tagged/bee-communication" TargetMode="External"/><Relationship Id="rId2074" Type="http://schemas.openxmlformats.org/officeDocument/2006/relationships/hyperlink" Target="https://www.bigbatbox.com/fr/blogs/habitat-of-bats/tagged/microbats" TargetMode="External"/><Relationship Id="rId2075" Type="http://schemas.openxmlformats.org/officeDocument/2006/relationships/hyperlink" Target="https://www.bigbatbox.com/it/blogs/habitat-of-bats/tagged/building-and-installing-bat-boxes" TargetMode="External"/><Relationship Id="rId2076" Type="http://schemas.openxmlformats.org/officeDocument/2006/relationships/hyperlink" Target="https://www.bigbatbox.com/en-ca/blogs/backyard-birds/what-birds-eat-suet" TargetMode="External"/><Relationship Id="rId2077" Type="http://schemas.openxmlformats.org/officeDocument/2006/relationships/hyperlink" Target="https://www.bigbatbox.com/fr/blogs/habitat-of-bats/how-to-get-bats-in-a-bat-house" TargetMode="External"/><Relationship Id="rId2078" Type="http://schemas.openxmlformats.org/officeDocument/2006/relationships/hyperlink" Target="https://www.bigbatbox.com/fr/blogs/habitat-of-bats/tagged/bat-houses" TargetMode="External"/><Relationship Id="rId2079" Type="http://schemas.openxmlformats.org/officeDocument/2006/relationships/hyperlink" Target="https://www.bigbatbox.com/de/blogs/habitat-of-bats/tagged/bat-house-tips" TargetMode="External"/><Relationship Id="rId2080" Type="http://schemas.openxmlformats.org/officeDocument/2006/relationships/hyperlink" Target="https://www.bigbatbox.com/blogs/habitat-of-bats/tagged/bat-food" TargetMode="External"/><Relationship Id="rId2081" Type="http://schemas.openxmlformats.org/officeDocument/2006/relationships/hyperlink" Target="https://www.bigbatbox.com/en-ca/blogs/habitat-of-bats/tagged/tall-bat-house-design" TargetMode="External"/><Relationship Id="rId2082" Type="http://schemas.openxmlformats.org/officeDocument/2006/relationships/hyperlink" Target="https://www.bigbatbox.com/fr/blogs/habitat-of-bats/tagged/eco-friendly" TargetMode="External"/><Relationship Id="rId2083" Type="http://schemas.openxmlformats.org/officeDocument/2006/relationships/hyperlink" Target="https://www.bigbatbox.com/de/blogs/bee-species/tagged/bee-facts" TargetMode="External"/><Relationship Id="rId2084" Type="http://schemas.openxmlformats.org/officeDocument/2006/relationships/hyperlink" Target="https://www.bigbatbox.com/de/blogs/habitat-of-bats/tagged/safe-bat-habitat" TargetMode="External"/><Relationship Id="rId2085" Type="http://schemas.openxmlformats.org/officeDocument/2006/relationships/hyperlink" Target="https://www.bigbatbox.com/fr/blogs/habitat-of-bats/tagged/wildlife-friendly-backyard" TargetMode="External"/><Relationship Id="rId2086" Type="http://schemas.openxmlformats.org/officeDocument/2006/relationships/hyperlink" Target="https://www.bigbatbox.com/blogs/habitat-of-bats/tagged/diy-bat-house" TargetMode="External"/><Relationship Id="rId2087" Type="http://schemas.openxmlformats.org/officeDocument/2006/relationships/hyperlink" Target="https://www.bigbatbox.com/fr/blogs/habitat-of-bats/where-to-buy-bat-houses-your-go-to-guide" TargetMode="External"/><Relationship Id="rId2088" Type="http://schemas.openxmlformats.org/officeDocument/2006/relationships/hyperlink" Target="https://www.bigbatbox.com/fr/blogs/types-of-squirrels/tagged/backyard-habitat" TargetMode="External"/><Relationship Id="rId2089" Type="http://schemas.openxmlformats.org/officeDocument/2006/relationships/hyperlink" Target="https://www.bigbatbox.com/en-ca/blogs/habitat-of-bats/tagged/bat-house-temperature" TargetMode="External"/><Relationship Id="rId2090" Type="http://schemas.openxmlformats.org/officeDocument/2006/relationships/hyperlink" Target="https://www.bigbatbox.com/blogs/habitat-of-bats/tagged/eco-friendly-bat-house" TargetMode="External"/><Relationship Id="rId2091" Type="http://schemas.openxmlformats.org/officeDocument/2006/relationships/hyperlink" Target="https://www.bigbatbox.com/blogs/bee-species/tagged/bee-facts" TargetMode="External"/><Relationship Id="rId2092" Type="http://schemas.openxmlformats.org/officeDocument/2006/relationships/hyperlink" Target="https://www.bigbatbox.com/en-ca/blogs/habitat-of-bats/tagged/bat-proofing-tips" TargetMode="External"/><Relationship Id="rId2093" Type="http://schemas.openxmlformats.org/officeDocument/2006/relationships/hyperlink" Target="https://www.bigbatbox.com/es/blogs/habitat-of-bats/tagged/guano" TargetMode="External"/><Relationship Id="rId2094" Type="http://schemas.openxmlformats.org/officeDocument/2006/relationships/hyperlink" Target="https://www.bigbatbox.com/blogs/habitat-of-bats/tagged/best-bat-boxes-for-mosquito-control" TargetMode="External"/><Relationship Id="rId2095" Type="http://schemas.openxmlformats.org/officeDocument/2006/relationships/hyperlink" Target="https://www.bigbatbox.com/de/blogs/conservation-partners/tagged/partnership" TargetMode="External"/><Relationship Id="rId2096" Type="http://schemas.openxmlformats.org/officeDocument/2006/relationships/hyperlink" Target="https://www.bigbatbox.com/de/blogs/types-of-squirrels/tagged/wildlife-habitat" TargetMode="External"/><Relationship Id="rId2097" Type="http://schemas.openxmlformats.org/officeDocument/2006/relationships/hyperlink" Target="https://www.bigbatbox.com/it/collections/1-chamber-bat-houses" TargetMode="External"/><Relationship Id="rId2098" Type="http://schemas.openxmlformats.org/officeDocument/2006/relationships/hyperlink" Target="https://www.bigbatbox.com/es/blogs/fun-facts-about-owls/tagged/owl-identification" TargetMode="External"/><Relationship Id="rId2099" Type="http://schemas.openxmlformats.org/officeDocument/2006/relationships/hyperlink" Target="https://www.bigbatbox.com/de/blogs/bee-species/tagged/bees-pollination" TargetMode="External"/><Relationship Id="rId2100" Type="http://schemas.openxmlformats.org/officeDocument/2006/relationships/hyperlink" Target="https://www.bigbatbox.com/fr/blogs/bee-species/tagged/pollination-process" TargetMode="External"/><Relationship Id="rId2101" Type="http://schemas.openxmlformats.org/officeDocument/2006/relationships/hyperlink" Target="https://www.bigbatbox.com/blogs/habitat-of-bats/tagged/painted-cedar-bat-house" TargetMode="External"/><Relationship Id="rId2102" Type="http://schemas.openxmlformats.org/officeDocument/2006/relationships/hyperlink" Target="https://www.bigbatbox.com/es/blogs/bee-species/mason-bees-vs-leafcutter-bees" TargetMode="External"/><Relationship Id="rId2103" Type="http://schemas.openxmlformats.org/officeDocument/2006/relationships/hyperlink" Target="https://www.bigbatbox.com/de/blogs/habitat-of-bats/tagged/usa-bat-house-guide" TargetMode="External"/><Relationship Id="rId2104" Type="http://schemas.openxmlformats.org/officeDocument/2006/relationships/hyperlink" Target="https://www.bigbatbox.com/fr/blogs/habitat-of-bats/tagged/bigbatbox" TargetMode="External"/><Relationship Id="rId2105" Type="http://schemas.openxmlformats.org/officeDocument/2006/relationships/hyperlink" Target="https://www.bigbatbox.com/fr/blogs/habitat-of-bats/tagged/night-wildlife-support" TargetMode="External"/><Relationship Id="rId2106" Type="http://schemas.openxmlformats.org/officeDocument/2006/relationships/hyperlink" Target="https://www.bigbatbox.com/it/products/bat-barn-junior-brown" TargetMode="External"/><Relationship Id="rId2107" Type="http://schemas.openxmlformats.org/officeDocument/2006/relationships/hyperlink" Target="https://www.bigbatbox.com/fr/blogs/habitat-of-bats/tagged/echolocation" TargetMode="External"/><Relationship Id="rId2108" Type="http://schemas.openxmlformats.org/officeDocument/2006/relationships/hyperlink" Target="https://www.bigbatbox.com/en-ca/blogs/conservation-partners/tagged/1-for-the-planet" TargetMode="External"/><Relationship Id="rId2109" Type="http://schemas.openxmlformats.org/officeDocument/2006/relationships/hyperlink" Target="https://www.bigbatbox.com/en-ca/blogs/habitat-of-bats/tagged/bat-house-placement" TargetMode="External"/><Relationship Id="rId2110" Type="http://schemas.openxmlformats.org/officeDocument/2006/relationships/hyperlink" Target="https://www.bigbatbox.com/fr/blogs/fun-facts-about-owls/tagged/ecological-balance" TargetMode="External"/>
</Relationships>
</file>

<file path=xl/worksheets/_rels/sheet28.xml.rels><?xml version="1.0" encoding="UTF-8"?>
<Relationships xmlns="http://schemas.openxmlformats.org/package/2006/relationships"><Relationship Id="rId1" Type="http://schemas.openxmlformats.org/officeDocument/2006/relationships/hyperlink" Target="https://striking-viking.com/products/striking-viking-hybrid-beard-growth-bundle-with-sandalwood-unscented-beard-oils-and-derma-roller" TargetMode="External"/><Relationship Id="rId2" Type="http://schemas.openxmlformats.org/officeDocument/2006/relationships/hyperlink" Target="https://account.striking-viking.com/?locale=en&amp;buyer_flags=eyJhbGciOiJIUzI1NiJ9.eyJpc3MiOiJzdHJpa2luZy12aWtpbmcubXlzaG9waWZ5LmNvbSIsImZsYWdzIjpbXSwiZXhwIjoxNzkxMjkzMDA1LCJuYmYiOjE3OTA2ODgyMDV9.ekRgv3Rn4dJGKJKXV0HPH6qN8mfdRQsvmnxv_GsNPOQ" TargetMode="External"/><Relationship Id="rId3" Type="http://schemas.openxmlformats.org/officeDocument/2006/relationships/hyperlink" Target="https://striking-viking.com/products/charlemagne-carbon-wide-tooth-comb-for-men-heat-resistant-carbon-fiber-hair-comb" TargetMode="External"/><Relationship Id="rId4" Type="http://schemas.openxmlformats.org/officeDocument/2006/relationships/hyperlink" Target="https://account.striking-viking.com/?locale=en&amp;buyer_flags=eyJhbGciOiJIUzI1NiJ9.eyJpc3MiOiJzdHJpa2luZy12aWtpbmcubXlzaG9waWZ5LmNvbSIsImZsYWdzIjpbXSwiZXhwIjoxNzkxMjkyNTU3LCJuYmYiOjE3OTA2ODc3NTd9.AuzQ5WktWnMKf0rqSUIlmpQ8aNTqxQgV3bP3dg8iYrU" TargetMode="External"/><Relationship Id="rId5" Type="http://schemas.openxmlformats.org/officeDocument/2006/relationships/hyperlink" Target="https://striking-viking.com/products/shipping-protection" TargetMode="External"/><Relationship Id="rId6" Type="http://schemas.openxmlformats.org/officeDocument/2006/relationships/hyperlink" Target="https://account.striking-viking.com/?locale=en&amp;buyer_flags=eyJhbGciOiJIUzI1NiJ9.eyJpc3MiOiJzdHJpa2luZy12aWtpbmcubXlzaG9waWZ5LmNvbSIsImZsYWdzIjpbXSwiZXhwIjoxNzkxMjkyNzY3LCJuYmYiOjE3OTA2ODc5Njd9.QZ1__YzzSDI4MgTpeCVO_jRprB2AFk0lWxdG3VFBKRk" TargetMode="External"/><Relationship Id="rId7" Type="http://schemas.openxmlformats.org/officeDocument/2006/relationships/hyperlink" Target="https://striking-viking.com/products/gift-wrapping" TargetMode="External"/><Relationship Id="rId8" Type="http://schemas.openxmlformats.org/officeDocument/2006/relationships/hyperlink" Target="https://account.striking-viking.com/?locale=en&amp;buyer_flags=eyJhbGciOiJIUzI1NiJ9.eyJpc3MiOiJzdHJpa2luZy12aWtpbmcubXlzaG9waWZ5LmNvbSIsImZsYWdzIjpbXSwiZXhwIjoxNzkxMjkyNzM1LCJuYmYiOjE3OTA2ODc5MzV9.uHZaFad2ROSZt8QKOQgsV1moHcoUmAgLhu2E28GNXBI" TargetMode="External"/><Relationship Id="rId9" Type="http://schemas.openxmlformats.org/officeDocument/2006/relationships/hyperlink" Target="https://striking-viking.com/products/ontaki-hair-thinning-shears-kit-7-inch-professional-hair-cutting-texturizing-set" TargetMode="External"/><Relationship Id="rId10" Type="http://schemas.openxmlformats.org/officeDocument/2006/relationships/hyperlink" Target="https://account.striking-viking.com/?locale=en&amp;buyer_flags=eyJhbGciOiJIUzI1NiJ9.eyJpc3MiOiJzdHJpa2luZy12aWtpbmcubXlzaG9waWZ5LmNvbSIsImZsYWdzIjpbXSwiZXhwIjoxNzkxMjkyMTY1LCJuYmYiOjE3OTA2ODczNjV9.gXiAFPzHSDRucSMV_UA_hPSdDlnTCiSPXfvkcsgzLeM" TargetMode="External"/><Relationship Id="rId11" Type="http://schemas.openxmlformats.org/officeDocument/2006/relationships/hyperlink" Target="https://striking-viking.com/products/striking-viking-blue-ocean-beard-oil-for-men-natural-beard-growth-oil-with-argan-jojoba" TargetMode="External"/><Relationship Id="rId12" Type="http://schemas.openxmlformats.org/officeDocument/2006/relationships/hyperlink" Target="https://account.striking-viking.com/?locale=en&amp;buyer_flags=eyJhbGciOiJIUzI1NiJ9.eyJpc3MiOiJzdHJpa2luZy12aWtpbmcubXlzaG9waWZ5LmNvbSIsImZsYWdzIjpbXSwiZXhwIjoxNzkxMjkyMzc1LCJuYmYiOjE3OTA2ODc1NzV9.GTAuVtfBTUYi0xI_OohkoUPCIhbtZt9vJJOHK2tIWls" TargetMode="External"/><Relationship Id="rId13" Type="http://schemas.openxmlformats.org/officeDocument/2006/relationships/hyperlink" Target="https://striking-viking.com/products/striking-viking-beard-oil-variety-4-pack-citrus-vanilla-cedarwood-sandalwood" TargetMode="External"/><Relationship Id="rId14" Type="http://schemas.openxmlformats.org/officeDocument/2006/relationships/hyperlink" Target="https://account.striking-viking.com/?locale=en&amp;buyer_flags=eyJhbGciOiJIUzI1NiJ9.eyJpc3MiOiJzdHJpa2luZy12aWtpbmcubXlzaG9waWZ5LmNvbSIsImZsYWdzIjpbXSwiZXhwIjoxNzkxMjkxMzg1LCJuYmYiOjE3OTA2ODY1ODV9.DY84dwmJuY18KPeqicT0qbvqeZ422HDfMbFvUxKf2LM" TargetMode="External"/><Relationship Id="rId15" Type="http://schemas.openxmlformats.org/officeDocument/2006/relationships/hyperlink" Target="https://striking-viking.com/products/striking-viking-vanilla-beard-growth-kit-with-biotin-oil-0-25mm-derma-roller" TargetMode="External"/><Relationship Id="rId16" Type="http://schemas.openxmlformats.org/officeDocument/2006/relationships/hyperlink" Target="https://account.striking-viking.com/?locale=en&amp;buyer_flags=eyJhbGciOiJIUzI1NiJ9.eyJpc3MiOiJzdHJpa2luZy12aWtpbmcubXlzaG9waWZ5LmNvbSIsImZsYWdzIjpbXSwiZXhwIjoxNzkxMjkzMjQ1LCJuYmYiOjE3OTA2ODg0NDV9.-lSCQZQFHe_PyDYdQYofF7-jjwR8zLNNTPf9Zzz80jg" TargetMode="External"/><Relationship Id="rId17" Type="http://schemas.openxmlformats.org/officeDocument/2006/relationships/hyperlink" Target="https://striking-viking.com/products/striking-viking-sandalwood-beard-shampoo-for-clean-healthy-soft-beard-care-for-men" TargetMode="External"/><Relationship Id="rId18" Type="http://schemas.openxmlformats.org/officeDocument/2006/relationships/hyperlink" Target="https://account.striking-viking.com/?locale=en&amp;buyer_flags=eyJhbGciOiJIUzI1NiJ9.eyJpc3MiOiJzdHJpa2luZy12aWtpbmcubXlzaG9waWZ5LmNvbSIsImZsYWdzIjpbXSwiZXhwIjoxNzkxMjkzNDg2LCJuYmYiOjE3OTA2ODg2ODZ9.mpPvaj-Xi1DKC4TqFU-hxsHNGg_b0bpQuSVMKwhahwE" TargetMode="External"/><Relationship Id="rId19" Type="http://schemas.openxmlformats.org/officeDocument/2006/relationships/hyperlink" Target="https://striking-viking.com/products/striking-viking-vanilla-beard-balm-2-pack-with-natural-organic-ingredients-for-beard-styling" TargetMode="External"/><Relationship Id="rId20" Type="http://schemas.openxmlformats.org/officeDocument/2006/relationships/hyperlink" Target="https://account.striking-viking.com/?locale=en&amp;buyer_flags=eyJhbGciOiJIUzI1NiJ9.eyJpc3MiOiJzdHJpa2luZy12aWtpbmcubXlzaG9waWZ5LmNvbSIsImZsYWdzIjpbXSwiZXhwIjoxNzkxMjkzMTU1LCJuYmYiOjE3OTA2ODgzNTV9.GYvHjVcAIZWYN9ZNrzhtH5L9MlK825xpTNADCnuQfgI" TargetMode="External"/><Relationship Id="rId21" Type="http://schemas.openxmlformats.org/officeDocument/2006/relationships/hyperlink" Target="https://striking-viking.com/products/striking-viking-bergamot-thunder-beard-balm-for-men-natural-beard-balm-with-shea-butter" TargetMode="External"/><Relationship Id="rId22" Type="http://schemas.openxmlformats.org/officeDocument/2006/relationships/hyperlink" Target="https://account.striking-viking.com/?locale=en&amp;buyer_flags=eyJhbGciOiJIUzI1NiJ9.eyJpc3MiOiJzdHJpa2luZy12aWtpbmcubXlzaG9waWZ5LmNvbSIsImZsYWdzIjpbXSwiZXhwIjoxNzkxMjkyNDA2LCJuYmYiOjE3OTA2ODc2MDZ9.5w8Kx2GzJtt38gy4iEkREyH8Id9rTzOh4so_-Li6s_8" TargetMode="External"/><Relationship Id="rId23" Type="http://schemas.openxmlformats.org/officeDocument/2006/relationships/hyperlink" Target="https://striking-viking.com/products/ontaki-professional-thinning-texturizing-scissors-set-6-5-inch-japanese-alloy-steel" TargetMode="External"/><Relationship Id="rId24" Type="http://schemas.openxmlformats.org/officeDocument/2006/relationships/hyperlink" Target="https://account.striking-viking.com/?locale=en&amp;buyer_flags=eyJhbGciOiJIUzI1NiJ9.eyJpc3MiOiJzdHJpa2luZy12aWtpbmcubXlzaG9waWZ5LmNvbSIsImZsYWdzIjpbXSwiZXhwIjoxNzkxMjkxODk1LCJuYmYiOjE3OTA2ODcwOTV9.1qoG6NVao39HmrSQk9gfHXdGZhuXwhYUypkxeUmBhkc" TargetMode="External"/><Relationship Id="rId25" Type="http://schemas.openxmlformats.org/officeDocument/2006/relationships/hyperlink" Target="https://striking-viking.com/products/striking-viking-unscented-beard-oil-and-balm-kit-natural-beard-grooming-set-for-men" TargetMode="External"/><Relationship Id="rId26" Type="http://schemas.openxmlformats.org/officeDocument/2006/relationships/hyperlink" Target="https://account.striking-viking.com/?locale=en&amp;buyer_flags=eyJhbGciOiJIUzI1NiJ9.eyJpc3MiOiJzdHJpa2luZy12aWtpbmcubXlzaG9waWZ5LmNvbSIsImZsYWdzIjpbXSwiZXhwIjoxNzkxMjkxODM1LCJuYmYiOjE3OTA2ODcwMzV9.3BaaYejcHhF0FJVQnxFLjZ8FqUyi2fvaZVmSmXNLXpc" TargetMode="External"/><Relationship Id="rId27" Type="http://schemas.openxmlformats.org/officeDocument/2006/relationships/hyperlink" Target="https://striking-viking.com/products/striking-viking-bergamot-thunder-beard-oil-for-men-natural-beard-growth-oil-with-argan-jojoba" TargetMode="External"/><Relationship Id="rId28" Type="http://schemas.openxmlformats.org/officeDocument/2006/relationships/hyperlink" Target="https://account.striking-viking.com/?locale=en&amp;buyer_flags=eyJhbGciOiJIUzI1NiJ9.eyJpc3MiOiJzdHJpa2luZy12aWtpbmcubXlzaG9waWZ5LmNvbSIsImZsYWdzIjpbXSwiZXhwIjoxNzkxMjkyMzE2LCJuYmYiOjE3OTA2ODc1MTZ9.gmehvdLxxIoYfoPGgBUobI_pQAF5DgTKjFGweW3IKq4" TargetMode="External"/><Relationship Id="rId29" Type="http://schemas.openxmlformats.org/officeDocument/2006/relationships/hyperlink" Target="https://striking-viking.com/products/ontaki-curved-fabric-scissors-6-5-inch-german-stainless-steel-embroidery-scissors" TargetMode="External"/><Relationship Id="rId30" Type="http://schemas.openxmlformats.org/officeDocument/2006/relationships/hyperlink" Target="https://account.striking-viking.com/?locale=en&amp;buyer_flags=eyJhbGciOiJIUzI1NiJ9.eyJpc3MiOiJzdHJpa2luZy12aWtpbmcubXlzaG9waWZ5LmNvbSIsImZsYWdzIjpbXSwiZXhwIjoxNzkxMjkyMTk2LCJuYmYiOjE3OTA2ODczOTZ9.p6yzuvXVlsg0u5NPlIl-lCuileLgmXAJ7igQnv7L6DY" TargetMode="External"/><Relationship Id="rId31" Type="http://schemas.openxmlformats.org/officeDocument/2006/relationships/hyperlink" Target="https://striking-viking.com/products/charlemagne-carbon-hair-comb-for-men-professional-heat-resistant-styling-detangling-comb" TargetMode="External"/><Relationship Id="rId32" Type="http://schemas.openxmlformats.org/officeDocument/2006/relationships/hyperlink" Target="https://account.striking-viking.com/?locale=en&amp;buyer_flags=eyJhbGciOiJIUzI1NiJ9.eyJpc3MiOiJzdHJpa2luZy12aWtpbmcubXlzaG9waWZ5LmNvbSIsImZsYWdzIjpbXSwiZXhwIjoxNzkxMjkyNTI2LCJuYmYiOjE3OTA2ODc3MjZ9.cuxTZ6UFvSEfg5nXfhPpQOLNFnmEysl96v26Fiw7Nw0" TargetMode="External"/><Relationship Id="rId33" Type="http://schemas.openxmlformats.org/officeDocument/2006/relationships/hyperlink" Target="https://striking-viking.com/products/striking-viking-beard-filler-pen-2-pack-dual-tip-waterproof-beard-pen-for-natural-beard-filling" TargetMode="External"/><Relationship Id="rId34" Type="http://schemas.openxmlformats.org/officeDocument/2006/relationships/hyperlink" Target="https://account.striking-viking.com/?locale=en&amp;buyer_flags=eyJhbGciOiJIUzI1NiJ9.eyJpc3MiOiJzdHJpa2luZy12aWtpbmcubXlzaG9waWZ5LmNvbSIsImZsYWdzIjpbXSwiZXhwIjoxNzkxMjkyODg2LCJuYmYiOjE3OTA2ODgwODZ9.X4GigN0yiyX6uZACoOqZP7OjSUR_b9N_p5vZH1Q4W7c" TargetMode="External"/><Relationship Id="rId35" Type="http://schemas.openxmlformats.org/officeDocument/2006/relationships/hyperlink" Target="https://striking-viking.com/products/striking-viking-blue-ocean-beard-balm-for-men-natural-beard-balm-with-shea-butter-jojoba" TargetMode="External"/><Relationship Id="rId36" Type="http://schemas.openxmlformats.org/officeDocument/2006/relationships/hyperlink" Target="https://account.striking-viking.com/?locale=en&amp;buyer_flags=eyJhbGciOiJIUzI1NiJ9.eyJpc3MiOiJzdHJpa2luZy12aWtpbmcubXlzaG9waWZ5LmNvbSIsImZsYWdzIjpbXSwiZXhwIjoxNzkxMjkyNDY2LCJuYmYiOjE3OTA2ODc2NjZ9.YkBJoiWDyOmxie9KNOk2FBjTXec7trzgeMTG2HvNl9E" TargetMode="External"/><Relationship Id="rId37" Type="http://schemas.openxmlformats.org/officeDocument/2006/relationships/hyperlink" Target="https://striking-viking.com/products/striking-viking-boar-bristle-beard-brush-for-men-natural-beech-wood-grooming-brush" TargetMode="External"/><Relationship Id="rId38" Type="http://schemas.openxmlformats.org/officeDocument/2006/relationships/hyperlink" Target="https://account.striking-viking.com/?locale=en&amp;buyer_flags=eyJhbGciOiJIUzI1NiJ9.eyJpc3MiOiJzdHJpa2luZy12aWtpbmcubXlzaG9waWZ5LmNvbSIsImZsYWdzIjpbXSwiZXhwIjoxNzkxMjkxODY1LCJuYmYiOjE3OTA2ODcwNjV9.WBu0I1lAAAXw8rjzUrMvKQsNI2leaK-wHuPPFoBkzTY" TargetMode="External"/><Relationship Id="rId39" Type="http://schemas.openxmlformats.org/officeDocument/2006/relationships/hyperlink" Target="https://striking-viking.com/products/striking-viking-beard-kit-caddy-complete-beard-grooming-kit" TargetMode="External"/><Relationship Id="rId40" Type="http://schemas.openxmlformats.org/officeDocument/2006/relationships/hyperlink" Target="https://account.striking-viking.com/?locale=en&amp;buyer_flags=eyJhbGciOiJIUzI1NiJ9.eyJpc3MiOiJzdHJpa2luZy12aWtpbmcubXlzaG9waWZ5LmNvbSIsImZsYWdzIjpbXSwiZXhwIjoxNzkxMjkxNjg1LCJuYmYiOjE3OTA2ODY4ODV9.85vNsWNGS_vDqaD0lJxHf9LoEF4PJ6vkvgO9eiMB968" TargetMode="External"/><Relationship Id="rId41" Type="http://schemas.openxmlformats.org/officeDocument/2006/relationships/hyperlink" Target="https://striking-viking.com/products/striking-viking-beard-filler-pen-2-pack-waterproof-beard-pen-for-filling-gaps-covering-patches" TargetMode="External"/><Relationship Id="rId42" Type="http://schemas.openxmlformats.org/officeDocument/2006/relationships/hyperlink" Target="https://account.striking-viking.com/?locale=en&amp;buyer_flags=eyJhbGciOiJIUzI1NiJ9.eyJpc3MiOiJzdHJpa2luZy12aWtpbmcubXlzaG9waWZ5LmNvbSIsImZsYWdzIjpbXSwiZXhwIjoxNzkxMjkxNzE2LCJuYmYiOjE3OTA2ODY5MTZ9.wIg36f7sz89qTVVuy6nPhn4mJsNsPLlk_1btL_BLLGw" TargetMode="External"/><Relationship Id="rId43" Type="http://schemas.openxmlformats.org/officeDocument/2006/relationships/hyperlink" Target="https://striking-viking.com/products/striking-viking-vanilla-beard-balm" TargetMode="External"/><Relationship Id="rId44" Type="http://schemas.openxmlformats.org/officeDocument/2006/relationships/hyperlink" Target="https://account.striking-viking.com/?locale=en&amp;buyer_flags=eyJhbGciOiJIUzI1NiJ9.eyJpc3MiOiJzdHJpa2luZy12aWtpbmcubXlzaG9waWZ5LmNvbSIsImZsYWdzIjpbXSwiZXhwIjoxNzkxMjkxNjU1LCJuYmYiOjE3OTA2ODY4NTV9.JY20aj28j3N0cX607j0n3BcyeviDzpOKnp96GW7q4tQ" TargetMode="External"/><Relationship Id="rId45" Type="http://schemas.openxmlformats.org/officeDocument/2006/relationships/hyperlink" Target="https://striking-viking.com/products/striking-viking-vanilla-beard-oil-balm-kit-for-soft-healthy-beard-care-for-men" TargetMode="External"/><Relationship Id="rId46" Type="http://schemas.openxmlformats.org/officeDocument/2006/relationships/hyperlink" Target="https://account.striking-viking.com/?locale=en&amp;buyer_flags=eyJhbGciOiJIUzI1NiJ9.eyJpc3MiOiJzdHJpa2luZy12aWtpbmcubXlzaG9waWZ5LmNvbSIsImZsYWdzIjpbXSwiZXhwIjoxNzkxMjkzMzA1LCJuYmYiOjE3OTA2ODg1MDV9.m9_hSIBLjIJ-snETAff5RxOdTePUSj8xMx-_MyRGMoc" TargetMode="External"/><Relationship Id="rId47" Type="http://schemas.openxmlformats.org/officeDocument/2006/relationships/hyperlink" Target="https://striking-viking.com/products/striking-viking-sandalwood-beard-butter-for-soft-hydrated-healthy-beard-care-for-men" TargetMode="External"/><Relationship Id="rId48" Type="http://schemas.openxmlformats.org/officeDocument/2006/relationships/hyperlink" Target="https://account.striking-viking.com/?locale=en&amp;buyer_flags=eyJhbGciOiJIUzI1NiJ9.eyJpc3MiOiJzdHJpa2luZy12aWtpbmcubXlzaG9waWZ5LmNvbSIsImZsYWdzIjpbXSwiZXhwIjoxNzkxMjkzMzk1LCJuYmYiOjE3OTA2ODg1OTV9.Owx4oKJBb3ejKj9gKy3IXlSSYBg237ogk4zUNBGYq3M" TargetMode="External"/><Relationship Id="rId49" Type="http://schemas.openxmlformats.org/officeDocument/2006/relationships/hyperlink" Target="https://striking-viking.com/products/striking-viking-unscented-beard-balm-natural-beard-styling-conditioning" TargetMode="External"/><Relationship Id="rId50" Type="http://schemas.openxmlformats.org/officeDocument/2006/relationships/hyperlink" Target="https://account.striking-viking.com/?locale=en&amp;buyer_flags=eyJhbGciOiJIUzI1NiJ9.eyJpc3MiOiJzdHJpa2luZy12aWtpbmcubXlzaG9waWZ5LmNvbSIsImZsYWdzIjpbXSwiZXhwIjoxNzkxMjkxMjk1LCJuYmYiOjE3OTA2ODY0OTV9.6mdrSF8inolIo33DUL7L7OO7TqKeKSAlnojt7HaVs_4" TargetMode="External"/><Relationship Id="rId51" Type="http://schemas.openxmlformats.org/officeDocument/2006/relationships/hyperlink" Target="https://striking-viking.com/products/striking-viking-tea-tree-biotin-beard-wash-cologne-for-clean-fresh-healthy-beard-care" TargetMode="External"/><Relationship Id="rId52" Type="http://schemas.openxmlformats.org/officeDocument/2006/relationships/hyperlink" Target="https://account.striking-viking.com/?locale=en&amp;buyer_flags=eyJhbGciOiJIUzI1NiJ9.eyJpc3MiOiJzdHJpa2luZy12aWtpbmcubXlzaG9waWZ5LmNvbSIsImZsYWdzIjpbXSwiZXhwIjoxNzkxMjkzNDI1LCJuYmYiOjE3OTA2ODg2MjV9.DYXMYF_SA6uKAvJsI0mmSIcEZLoMex2qaQ5qUyPJv_Y" TargetMode="External"/><Relationship Id="rId53" Type="http://schemas.openxmlformats.org/officeDocument/2006/relationships/hyperlink" Target="https://striking-viking.com/products/striking-viking-folding-wooden-comb-sandalwood-beard-hair-comb" TargetMode="External"/><Relationship Id="rId54" Type="http://schemas.openxmlformats.org/officeDocument/2006/relationships/hyperlink" Target="https://account.striking-viking.com/?locale=en&amp;buyer_flags=eyJhbGciOiJIUzI1NiJ9.eyJpc3MiOiJzdHJpa2luZy12aWtpbmcubXlzaG9waWZ5LmNvbSIsImZsYWdzIjpbXSwiZXhwIjoxNzkxMjkxMzI1LCJuYmYiOjE3OTA2ODY1MjV9.1iXlXgZMkrpBrdfU3KYwaX5ahJc_1_VVGhH9Rok_ZRs" TargetMode="External"/><Relationship Id="rId55" Type="http://schemas.openxmlformats.org/officeDocument/2006/relationships/hyperlink" Target="https://striking-viking.com/products/striking-viking-beard-balm-variety-4-pack-citrus-vanilla-cedarwood-sandalwood" TargetMode="External"/><Relationship Id="rId56" Type="http://schemas.openxmlformats.org/officeDocument/2006/relationships/hyperlink" Target="https://account.striking-viking.com/?locale=en&amp;buyer_flags=eyJhbGciOiJIUzI1NiJ9.eyJpc3MiOiJzdHJpa2luZy12aWtpbmcubXlzaG9waWZ5LmNvbSIsImZsYWdzIjpbXSwiZXhwIjoxNzkxMjkxMDg1LCJuYmYiOjE3OTA2ODYyODV9.LxXHjJlYpymFzNrCECnmxd2Xoojlo6zDlz6Tg9BpgKI" TargetMode="External"/><Relationship Id="rId57" Type="http://schemas.openxmlformats.org/officeDocument/2006/relationships/hyperlink" Target="https://striking-viking.com/products/carbon-wide-tooth-comb" TargetMode="External"/><Relationship Id="rId58" Type="http://schemas.openxmlformats.org/officeDocument/2006/relationships/hyperlink" Target="https://account.striking-viking.com/?locale=en&amp;buyer_flags=eyJhbGciOiJIUzI1NiJ9.eyJpc3MiOiJzdHJpa2luZy12aWtpbmcubXlzaG9waWZ5LmNvbSIsImZsYWdzIjpbXSwiZXhwIjoxNzkxMjkyMDE1LCJuYmYiOjE3OTA2ODcyMTV9.sAIYACpLTHT2y2NmCTdT-_yL5KMc0pDkQvaQyDr0nQQ" TargetMode="External"/><Relationship Id="rId59" Type="http://schemas.openxmlformats.org/officeDocument/2006/relationships/hyperlink" Target="https://striking-viking.com/products/gift-card-striking-viking" TargetMode="External"/><Relationship Id="rId60" Type="http://schemas.openxmlformats.org/officeDocument/2006/relationships/hyperlink" Target="https://account.striking-viking.com/?locale=en&amp;buyer_flags=eyJhbGciOiJIUzI1NiJ9.eyJpc3MiOiJzdHJpa2luZy12aWtpbmcubXlzaG9waWZ5LmNvbSIsImZsYWdzIjpbXSwiZXhwIjoxNzkxMjkyODI2LCJuYmYiOjE3OTA2ODgwMjZ9.9rQwj6A8S7A93k9s8y_UqwiBg4gXbzxnF4aE6nK3cVU" TargetMode="External"/><Relationship Id="rId61" Type="http://schemas.openxmlformats.org/officeDocument/2006/relationships/hyperlink" Target="https://striking-viking.com/products/ontaki-facial-hair-grooming-scissors-2-pack-precision-beard-nose-mustache-trimming" TargetMode="External"/><Relationship Id="rId62" Type="http://schemas.openxmlformats.org/officeDocument/2006/relationships/hyperlink" Target="https://account.striking-viking.com/?locale=en&amp;buyer_flags=eyJhbGciOiJIUzI1NiJ9.eyJpc3MiOiJzdHJpa2luZy12aWtpbmcubXlzaG9waWZ5LmNvbSIsImZsYWdzIjpbXSwiZXhwIjoxNzkxMjkyMjI1LCJuYmYiOjE3OTA2ODc0MjV9.E1PdKXry1tBwtE6AaOAH3buglJHgVEvwidsI_Ur5EpM" TargetMode="External"/><Relationship Id="rId63" Type="http://schemas.openxmlformats.org/officeDocument/2006/relationships/hyperlink" Target="https://striking-viking.com/products/striking-viking-matte-hair-pomade-for-men-linen-scent-water-based-medium-strong-hold" TargetMode="External"/><Relationship Id="rId64" Type="http://schemas.openxmlformats.org/officeDocument/2006/relationships/hyperlink" Target="https://account.striking-viking.com/?locale=en&amp;buyer_flags=eyJhbGciOiJIUzI1NiJ9.eyJpc3MiOiJzdHJpa2luZy12aWtpbmcubXlzaG9waWZ5LmNvbSIsImZsYWdzIjpbXSwiZXhwIjoxNzkxMjkyNDk1LCJuYmYiOjE3OTA2ODc2OTV9.r6kPqrvrRXtL35bQ7ekXtknPww7bgIZQGejSVAsz7Jg" TargetMode="External"/><Relationship Id="rId65" Type="http://schemas.openxmlformats.org/officeDocument/2006/relationships/hyperlink" Target="https://striking-viking.com/products/striking-viking-mustache-wax-and-comb-kit" TargetMode="External"/><Relationship Id="rId66" Type="http://schemas.openxmlformats.org/officeDocument/2006/relationships/hyperlink" Target="https://account.striking-viking.com/?locale=en&amp;buyer_flags=eyJhbGciOiJIUzI1NiJ9.eyJpc3MiOiJzdHJpa2luZy12aWtpbmcubXlzaG9waWZ5LmNvbSIsImZsYWdzIjpbXSwiZXhwIjoxNzkxMjkzMDY1LCJuYmYiOjE3OTA2ODgyNjV9.YwWnnGrRziiuIPFVufW_IuUlS9qp9k-8a2-8U7_Rr9w" TargetMode="External"/><Relationship Id="rId67" Type="http://schemas.openxmlformats.org/officeDocument/2006/relationships/hyperlink" Target="https://striking-viking.com/products/striking-viking-tea-tree-biotin-beard-shampoo-for-clean-healthy-soft-beard-care-for-men" TargetMode="External"/><Relationship Id="rId68" Type="http://schemas.openxmlformats.org/officeDocument/2006/relationships/hyperlink" Target="https://account.striking-viking.com/?locale=en&amp;buyer_flags=eyJhbGciOiJIUzI1NiJ9.eyJpc3MiOiJzdHJpa2luZy12aWtpbmcubXlzaG9waWZ5LmNvbSIsImZsYWdzIjpbXSwiZXhwIjoxNzkxMjkzNTE2LCJuYmYiOjE3OTA2ODg3MTZ9.hhCqGu9S64QukTe_A3QZCAFA954dyM820Awokd5kp0s" TargetMode="External"/><Relationship Id="rId69" Type="http://schemas.openxmlformats.org/officeDocument/2006/relationships/hyperlink" Target="https://striking-viking.com/products/striking-viking-folding-wooden-beard-comb-for-men-anti-static-sandalwood-grooming-comb" TargetMode="External"/><Relationship Id="rId70" Type="http://schemas.openxmlformats.org/officeDocument/2006/relationships/hyperlink" Target="https://account.striking-viking.com/?locale=en&amp;buyer_flags=eyJhbGciOiJIUzI1NiJ9.eyJpc3MiOiJzdHJpa2luZy12aWtpbmcubXlzaG9waWZ5LmNvbSIsImZsYWdzIjpbXSwiZXhwIjoxNzkxMjkzMTI1LCJuYmYiOjE3OTA2ODgzMjV9.uMksl10ovzh3Xb9NE2szeOoHCFGdiG4OagfLnXXFb48" TargetMode="External"/><Relationship Id="rId71" Type="http://schemas.openxmlformats.org/officeDocument/2006/relationships/hyperlink" Target="https://striking-viking.com/products/striking-viking-tea-tree-biotin-beard-shampoo-conditioner-set-for-healthy-beard-care" TargetMode="External"/><Relationship Id="rId72" Type="http://schemas.openxmlformats.org/officeDocument/2006/relationships/hyperlink" Target="https://account.striking-viking.com/?locale=en&amp;buyer_flags=eyJhbGciOiJIUzI1NiJ9.eyJpc3MiOiJzdHJpa2luZy12aWtpbmcubXlzaG9waWZ5LmNvbSIsImZsYWdzIjpbXSwiZXhwIjoxNzkxMjkzNTQ1LCJuYmYiOjE3OTA2ODg3NDV9.jMkbmymvHO1FqzjflUFCmasY5wrxDPvxbL6BnCitudg" TargetMode="External"/><Relationship Id="rId73" Type="http://schemas.openxmlformats.org/officeDocument/2006/relationships/hyperlink" Target="https://striking-viking.com/products/striking-viking-sandalwood-beard-growth-bundle-with-titanium-derma-roller-beard-growth-serum" TargetMode="External"/><Relationship Id="rId74" Type="http://schemas.openxmlformats.org/officeDocument/2006/relationships/hyperlink" Target="https://account.striking-viking.com/?locale=en&amp;buyer_flags=eyJhbGciOiJIUzI1NiJ9.eyJpc3MiOiJzdHJpa2luZy12aWtpbmcubXlzaG9waWZ5LmNvbSIsImZsYWdzIjpbXSwiZXhwIjoxNzkxMjkyOTc1LCJuYmYiOjE3OTA2ODgxNzV9.be9EauS_n_Y6njhIjkpuuMDHH8Ve7W7j9JvZBMBg9yM" TargetMode="External"/><Relationship Id="rId75" Type="http://schemas.openxmlformats.org/officeDocument/2006/relationships/hyperlink" Target="https://striking-viking.com/products/ontaki-german-steel-beard-mustache-scissors-professional-grooming-kit" TargetMode="External"/><Relationship Id="rId76" Type="http://schemas.openxmlformats.org/officeDocument/2006/relationships/hyperlink" Target="https://account.striking-viking.com/?locale=en&amp;buyer_flags=eyJhbGciOiJIUzI1NiJ9.eyJpc3MiOiJzdHJpa2luZy12aWtpbmcubXlzaG9waWZ5LmNvbSIsImZsYWdzIjpbXSwiZXhwIjoxNzkxMjkyMjU1LCJuYmYiOjE3OTA2ODc0NTV9.a9KZLebuhvyLIGEwhgulvYXkvaA3Qb8Pdy_xiPMT0GE" TargetMode="External"/><Relationship Id="rId77" Type="http://schemas.openxmlformats.org/officeDocument/2006/relationships/hyperlink" Target="https://striking-viking.com/products/striking-viking-sandalwood-beard-balm" TargetMode="External"/><Relationship Id="rId78" Type="http://schemas.openxmlformats.org/officeDocument/2006/relationships/hyperlink" Target="https://account.striking-viking.com/?locale=en&amp;buyer_flags=eyJhbGciOiJIUzI1NiJ9.eyJpc3MiOiJzdHJpa2luZy12aWtpbmcubXlzaG9waWZ5LmNvbSIsImZsYWdzIjpbXSwiZXhwIjoxNzkxMjkxNDc1LCJuYmYiOjE3OTA2ODY2NzV9.qU2_YIi_GSQpVn_1sZNiSADngoQXtDx_ejyK7rGud0s" TargetMode="External"/><Relationship Id="rId79" Type="http://schemas.openxmlformats.org/officeDocument/2006/relationships/hyperlink" Target="https://striking-viking.com/products/charlemagne-round-hair-brush-for-men-professional-styling-brush-for-volume-blow-drying" TargetMode="External"/><Relationship Id="rId80" Type="http://schemas.openxmlformats.org/officeDocument/2006/relationships/hyperlink" Target="https://account.striking-viking.com/?locale=en&amp;buyer_flags=eyJhbGciOiJIUzI1NiJ9.eyJpc3MiOiJzdHJpa2luZy12aWtpbmcubXlzaG9waWZ5LmNvbSIsImZsYWdzIjpbXSwiZXhwIjoxNzkxMjkyNTg2LCJuYmYiOjE3OTA2ODc3ODZ9.5pdqRTg3EijJXvSOofnt-cOd7upoA8a4Yz91sUjYM-s" TargetMode="External"/><Relationship Id="rId81" Type="http://schemas.openxmlformats.org/officeDocument/2006/relationships/hyperlink" Target="https://striking-viking.com/products/striking-viking-cedarwood-beard-balm" TargetMode="External"/><Relationship Id="rId82" Type="http://schemas.openxmlformats.org/officeDocument/2006/relationships/hyperlink" Target="https://account.striking-viking.com/?locale=en&amp;buyer_flags=eyJhbGciOiJIUzI1NiJ9.eyJpc3MiOiJzdHJpa2luZy12aWtpbmcubXlzaG9waWZ5LmNvbSIsImZsYWdzIjpbXSwiZXhwIjoxNzkxMjkxNjI2LCJuYmYiOjE3OTA2ODY4MjZ9.VYUdJDwMvZgJsmbGLtjtngQ54tK_Nr4x-gzrgVvSOSo" TargetMode="External"/><Relationship Id="rId83" Type="http://schemas.openxmlformats.org/officeDocument/2006/relationships/hyperlink" Target="https://striking-viking.com/products/striking-viking-unscented-beard-shampoo-conditioner-set-natural-beard-care-for-men" TargetMode="External"/><Relationship Id="rId84" Type="http://schemas.openxmlformats.org/officeDocument/2006/relationships/hyperlink" Target="https://account.striking-viking.com/?locale=en&amp;buyer_flags=eyJhbGciOiJIUzI1NiJ9.eyJpc3MiOiJzdHJpa2luZy12aWtpbmcubXlzaG9waWZ5LmNvbSIsImZsYWdzIjpbXSwiZXhwIjoxNzkxMjkxNzc1LCJuYmYiOjE3OTA2ODY5NzV9.23sbkTLxGvsbmuR_j2xGxJb19bc5iZUeuwAYRhXXRIA" TargetMode="External"/><Relationship Id="rId85" Type="http://schemas.openxmlformats.org/officeDocument/2006/relationships/hyperlink" Target="https://striking-viking.com/products/ontaki-japanese-steel-rounded-tip-beard-mustache-scissors-4-2-inch-grooming-kit" TargetMode="External"/><Relationship Id="rId86" Type="http://schemas.openxmlformats.org/officeDocument/2006/relationships/hyperlink" Target="https://account.striking-viking.com/?locale=en&amp;buyer_flags=eyJhbGciOiJIUzI1NiJ9.eyJpc3MiOiJzdHJpa2luZy12aWtpbmcubXlzaG9waWZ5LmNvbSIsImZsYWdzIjpbXSwiZXhwIjoxNzkxMjkyMTM2LCJuYmYiOjE3OTA2ODczMzZ9.oTHKzfDlSAeGhcAXyOg4fGbPFEoB94jsa4JrJg1O0IY" TargetMode="External"/><Relationship Id="rId87" Type="http://schemas.openxmlformats.org/officeDocument/2006/relationships/hyperlink" Target="https://striking-viking.com/products/striking-viking-beard-shampoo-with-natural-peppermint-eucalyptus-for-refreshing-beard-care" TargetMode="External"/><Relationship Id="rId88" Type="http://schemas.openxmlformats.org/officeDocument/2006/relationships/hyperlink" Target="https://account.striking-viking.com/?locale=en&amp;buyer_flags=eyJhbGciOiJIUzI1NiJ9.eyJpc3MiOiJzdHJpa2luZy12aWtpbmcubXlzaG9waWZ5LmNvbSIsImZsYWdzIjpbXSwiZXhwIjoxNzkxMjkzNDU1LCJuYmYiOjE3OTA2ODg2NTV9.ltyAF6jdx2HIUYFtRSDh8GtgKsfL00b6tB4ZZMBY-c8" TargetMode="External"/><Relationship Id="rId89" Type="http://schemas.openxmlformats.org/officeDocument/2006/relationships/hyperlink" Target="https://striking-viking.com/products/striking-viking-beard-growth-mastery-bundle-with-sandalwood-vanilla-biotin-oils-and-derma-roller" TargetMode="External"/><Relationship Id="rId90" Type="http://schemas.openxmlformats.org/officeDocument/2006/relationships/hyperlink" Target="https://account.striking-viking.com/?locale=en&amp;buyer_flags=eyJhbGciOiJIUzI1NiJ9.eyJpc3MiOiJzdHJpa2luZy12aWtpbmcubXlzaG9waWZ5LmNvbSIsImZsYWdzIjpbXSwiZXhwIjoxNzkxMjkyOTE1LCJuYmYiOjE3OTA2ODgxMTV9.aTuqvRwDXjjdCxxtVLlxzZ_Sd2Pd8ZIKbmFQI4gI6SY" TargetMode="External"/><Relationship Id="rId91" Type="http://schemas.openxmlformats.org/officeDocument/2006/relationships/hyperlink" Target="https://striking-viking.com/products/striking-viking-beard-grooming-kit-with-toiletry-bag-8-piece-mens-grooming-set" TargetMode="External"/><Relationship Id="rId92" Type="http://schemas.openxmlformats.org/officeDocument/2006/relationships/hyperlink" Target="https://account.striking-viking.com/?locale=en&amp;buyer_flags=eyJhbGciOiJIUzI1NiJ9.eyJpc3MiOiJzdHJpa2luZy12aWtpbmcubXlzaG9waWZ5LmNvbSIsImZsYWdzIjpbXSwiZXhwIjoxNzkxMjkxMjY1LCJuYmYiOjE3OTA2ODY0NjV9.kpotCW2bip-P1zFYVcrcMrGR9747sJbzRka_azH_TjY" TargetMode="External"/><Relationship Id="rId93" Type="http://schemas.openxmlformats.org/officeDocument/2006/relationships/hyperlink" Target="https://striking-viking.com/products/striking-viking-beard-rehab-growth-kit-with-sandalwood-beard-care-derma-roller" TargetMode="External"/><Relationship Id="rId94" Type="http://schemas.openxmlformats.org/officeDocument/2006/relationships/hyperlink" Target="https://account.striking-viking.com/?locale=en&amp;buyer_flags=eyJhbGciOiJIUzI1NiJ9.eyJpc3MiOiJzdHJpa2luZy12aWtpbmcubXlzaG9waWZ5LmNvbSIsImZsYWdzIjpbXSwiZXhwIjoxNzkxMjkyNjE1LCJuYmYiOjE3OTA2ODc4MTV9.2KVX91kE9dkkYaHBwvBPcEcrhBhtj_FLIx6ynIlB1_Q" TargetMode="External"/><Relationship Id="rId95" Type="http://schemas.openxmlformats.org/officeDocument/2006/relationships/hyperlink" Target="https://striking-viking.com/products/striking-viking-sea-salt-spray-for-men-blue-ocean-natural-texture-volume-hair-spray" TargetMode="External"/><Relationship Id="rId96" Type="http://schemas.openxmlformats.org/officeDocument/2006/relationships/hyperlink" Target="https://account.striking-viking.com/?locale=en&amp;buyer_flags=eyJhbGciOiJIUzI1NiJ9.eyJpc3MiOiJzdHJpa2luZy12aWtpbmcubXlzaG9waWZ5LmNvbSIsImZsYWdzIjpbXSwiZXhwIjoxNzkxMjkyMDc1LCJuYmYiOjE3OTA2ODcyNzV9.k3kpEmuXf6o-pkaF4ow7rIZw-z3hH7X6qnLV9jIkzyM" TargetMode="External"/><Relationship Id="rId97" Type="http://schemas.openxmlformats.org/officeDocument/2006/relationships/hyperlink" Target="https://striking-viking.com/products/striking-viking-vanilla-beard-growth-oil-with-biotin-castor-oil-for-fuller-beard-growth" TargetMode="External"/><Relationship Id="rId98" Type="http://schemas.openxmlformats.org/officeDocument/2006/relationships/hyperlink" Target="https://account.striking-viking.com/?locale=en&amp;buyer_flags=eyJhbGciOiJIUzI1NiJ9.eyJpc3MiOiJzdHJpa2luZy12aWtpbmcubXlzaG9waWZ5LmNvbSIsImZsYWdzIjpbXSwiZXhwIjoxNzkxMjkzMjE1LCJuYmYiOjE3OTA2ODg0MTV9.h1L33sW4j6fhqbg6DvXN20gtr1RG7H6CSN_OrZzscy0" TargetMode="External"/><Relationship Id="rId99" Type="http://schemas.openxmlformats.org/officeDocument/2006/relationships/hyperlink" Target="https://striking-viking.com/products/striking-viking-sandalwood-beard-oil-balm-kit-for-soft-healthy-beard-care-for-men" TargetMode="External"/><Relationship Id="rId100" Type="http://schemas.openxmlformats.org/officeDocument/2006/relationships/hyperlink" Target="https://account.striking-viking.com/?locale=en&amp;buyer_flags=eyJhbGciOiJIUzI1NiJ9.eyJpc3MiOiJzdHJpa2luZy12aWtpbmcubXlzaG9waWZ5LmNvbSIsImZsYWdzIjpbXSwiZXhwIjoxNzkxMjkzMzM1LCJuYmYiOjE3OTA2ODg1MzV9.QuoGefUSI4eR4RrRPTBtXScc9czRUk_3KZDoJQ9hIK0" TargetMode="External"/><Relationship Id="rId101" Type="http://schemas.openxmlformats.org/officeDocument/2006/relationships/hyperlink" Target="https://striking-viking.com/products/striking-viking-beard-shampoo-conditioner-cologne-argan-jojoba-oil" TargetMode="External"/><Relationship Id="rId102" Type="http://schemas.openxmlformats.org/officeDocument/2006/relationships/hyperlink" Target="https://account.striking-viking.com/?locale=en&amp;buyer_flags=eyJhbGciOiJIUzI1NiJ9.eyJpc3MiOiJzdHJpa2luZy12aWtpbmcubXlzaG9waWZ5LmNvbSIsImZsYWdzIjpbXSwiZXhwIjoxNzkxMjkxMTQ1LCJuYmYiOjE3OTA2ODYzNDV9.JyvMkZgHzNalggS4TUiZoKNUw1Eb3hYTL2Q3ZVsNF58" TargetMode="External"/><Relationship Id="rId103" Type="http://schemas.openxmlformats.org/officeDocument/2006/relationships/hyperlink" Target="https://striking-viking.com/products/striking-viking-citrus-beard-balm" TargetMode="External"/><Relationship Id="rId104" Type="http://schemas.openxmlformats.org/officeDocument/2006/relationships/hyperlink" Target="https://account.striking-viking.com/?locale=en&amp;buyer_flags=eyJhbGciOiJIUzI1NiJ9.eyJpc3MiOiJzdHJpa2luZy12aWtpbmcubXlzaG9waWZ5LmNvbSIsImZsYWdzIjpbXSwiZXhwIjoxNzkxMjkxNDQ1LCJuYmYiOjE3OTA2ODY2NDV9.Eh5erg5r2epAhSE8JREdz72BKnaSrpxDl5GNvB-RMbc" TargetMode="External"/><Relationship Id="rId105" Type="http://schemas.openxmlformats.org/officeDocument/2006/relationships/hyperlink" Target="https://striking-viking.com/products/sandalwood-wooden-beard-comb-black-striking-viking" TargetMode="External"/><Relationship Id="rId106" Type="http://schemas.openxmlformats.org/officeDocument/2006/relationships/hyperlink" Target="https://account.striking-viking.com/?locale=en&amp;buyer_flags=eyJhbGciOiJIUzI1NiJ9.eyJpc3MiOiJzdHJpa2luZy12aWtpbmcubXlzaG9waWZ5LmNvbSIsImZsYWdzIjpbXSwiZXhwIjoxNzkxMjkxNTY1LCJuYmYiOjE3OTA2ODY3NjV9.Bb1_s7MXZ1Y9ADzsGnoxiadmFXt6v6zgRNEMewxYw2U" TargetMode="External"/><Relationship Id="rId107" Type="http://schemas.openxmlformats.org/officeDocument/2006/relationships/hyperlink" Target="https://striking-viking.com/products/striking-viking-cedarwood-beard-oil" TargetMode="External"/><Relationship Id="rId108" Type="http://schemas.openxmlformats.org/officeDocument/2006/relationships/hyperlink" Target="https://account.striking-viking.com/?locale=en&amp;buyer_flags=eyJhbGciOiJIUzI1NiJ9.eyJpc3MiOiJzdHJpa2luZy12aWtpbmcubXlzaG9waWZ5LmNvbSIsImZsYWdzIjpbXSwiZXhwIjoxNzkxMjkxMjA1LCJuYmYiOjE3OTA2ODY0MDV9.bzijYUCYqajhdkrskJinpwf1zOV-Dr_xrXw6IlPnAmU" TargetMode="External"/><Relationship Id="rId109" Type="http://schemas.openxmlformats.org/officeDocument/2006/relationships/hyperlink" Target="https://striking-viking.com/products/striking-viking-vanilla-beard-growth-bundle-with-biotin-beard-serum-titanium-derma-roller" TargetMode="External"/><Relationship Id="rId110" Type="http://schemas.openxmlformats.org/officeDocument/2006/relationships/hyperlink" Target="https://account.striking-viking.com/?locale=en&amp;buyer_flags=eyJhbGciOiJIUzI1NiJ9.eyJpc3MiOiJzdHJpa2luZy12aWtpbmcubXlzaG9waWZ5LmNvbSIsImZsYWdzIjpbXSwiZXhwIjoxNzkxMjkyOTQ1LCJuYmYiOjE3OTA2ODgxNDV9.Z_owMO3mFEE9gWn2PGXrbGcTLlXOEyx7TFXmNeFlu2g" TargetMode="External"/><Relationship Id="rId111" Type="http://schemas.openxmlformats.org/officeDocument/2006/relationships/hyperlink" Target="https://striking-viking.com/products/striking-viking-sandalwood-beard-growth-kit-with-biotin-oil-0-25mm-derma-roller" TargetMode="External"/><Relationship Id="rId112" Type="http://schemas.openxmlformats.org/officeDocument/2006/relationships/hyperlink" Target="https://account.striking-viking.com/?locale=en&amp;buyer_flags=eyJhbGciOiJIUzI1NiJ9.eyJpc3MiOiJzdHJpa2luZy12aWtpbmcubXlzaG9waWZ5LmNvbSIsImZsYWdzIjpbXSwiZXhwIjoxNzkxMjkzMjc1LCJuYmYiOjE3OTA2ODg0NzV9.XTlJxsv-s22UTtuX61H81VGL2gAYwLZ0BTk1k7XSCcc" TargetMode="External"/><Relationship Id="rId113" Type="http://schemas.openxmlformats.org/officeDocument/2006/relationships/hyperlink" Target="https://striking-viking.com/products/striking-viking-wooden-beard-care-caddy-board-only" TargetMode="External"/><Relationship Id="rId114" Type="http://schemas.openxmlformats.org/officeDocument/2006/relationships/hyperlink" Target="https://account.striking-viking.com/?locale=en&amp;buyer_flags=eyJhbGciOiJIUzI1NiJ9.eyJpc3MiOiJzdHJpa2luZy12aWtpbmcubXlzaG9waWZ5LmNvbSIsImZsYWdzIjpbXSwiZXhwIjoxNzkxMjkxNDE1LCJuYmYiOjE3OTA2ODY2MTV9.ruT6yZ3tbrMoYlyud4m6NsAY-2ZMOQySuTVhtm_3E1I" TargetMode="External"/><Relationship Id="rId115" Type="http://schemas.openxmlformats.org/officeDocument/2006/relationships/hyperlink" Target="https://striking-viking.com/products/striking-viking-unscented-beard-oil-natural-organic-beard-care" TargetMode="External"/><Relationship Id="rId116" Type="http://schemas.openxmlformats.org/officeDocument/2006/relationships/hyperlink" Target="https://account.striking-viking.com/?locale=en&amp;buyer_flags=eyJhbGciOiJIUzI1NiJ9.eyJpc3MiOiJzdHJpa2luZy12aWtpbmcubXlzaG9waWZ5LmNvbSIsImZsYWdzIjpbXSwiZXhwIjoxNzkxMjkxNTM1LCJuYmYiOjE3OTA2ODY3MzV9.wP2k8eJq69-X03bq90VXJ2zL2MFG8sNn_5KlSaewgAY" TargetMode="External"/><Relationship Id="rId117" Type="http://schemas.openxmlformats.org/officeDocument/2006/relationships/hyperlink" Target="https://striking-viking.com/products/striking-viking-beard-growth-kit-with-beard-roller-vanilla-unscented-biotin-oils-for-men" TargetMode="External"/><Relationship Id="rId118" Type="http://schemas.openxmlformats.org/officeDocument/2006/relationships/hyperlink" Target="https://account.striking-viking.com/?locale=en&amp;buyer_flags=eyJhbGciOiJIUzI1NiJ9.eyJpc3MiOiJzdHJpa2luZy12aWtpbmcubXlzaG9waWZ5LmNvbSIsImZsYWdzIjpbXSwiZXhwIjoxNzkxMjkzMDM1LCJuYmYiOjE3OTA2ODgyMzV9.2UljiSmC4FQXpPQcf6csnxtlaCnD8lym4S6_u6d1yoY" TargetMode="External"/><Relationship Id="rId119" Type="http://schemas.openxmlformats.org/officeDocument/2006/relationships/hyperlink" Target="https://striking-viking.com/products/round-hair-brush" TargetMode="External"/><Relationship Id="rId120" Type="http://schemas.openxmlformats.org/officeDocument/2006/relationships/hyperlink" Target="https://account.striking-viking.com/?locale=en&amp;buyer_flags=eyJhbGciOiJIUzI1NiJ9.eyJpc3MiOiJzdHJpa2luZy12aWtpbmcubXlzaG9waWZ5LmNvbSIsImZsYWdzIjpbXSwiZXhwIjoxNzkxMjkyMDQ2LCJuYmYiOjE3OTA2ODcyNDZ9.vS3qHhjFws5G2Aock6ooEdrvkbljzc7RRfROIUzfmI0" TargetMode="External"/><Relationship Id="rId121" Type="http://schemas.openxmlformats.org/officeDocument/2006/relationships/hyperlink" Target="https://striking-viking.com/products/ontaki-duckbill-applique-scissors-4-5-inch-carbon-steel-fabric-thread-cutting-scissors" TargetMode="External"/><Relationship Id="rId122" Type="http://schemas.openxmlformats.org/officeDocument/2006/relationships/hyperlink" Target="https://account.striking-viking.com/?locale=en&amp;buyer_flags=eyJhbGciOiJIUzI1NiJ9.eyJpc3MiOiJzdHJpa2luZy12aWtpbmcubXlzaG9waWZ5LmNvbSIsImZsYWdzIjpbXSwiZXhwIjoxNzkxMjkyMjg2LCJuYmYiOjE3OTA2ODc0ODZ9.bWCuDI7uxHdjUyiHZoU_Yy_BVlMXPTvqKH2sLIpOhfo" TargetMode="External"/><Relationship Id="rId123" Type="http://schemas.openxmlformats.org/officeDocument/2006/relationships/hyperlink" Target="https://striking-viking.com/products/striking-viking-vanilla-beard-butter-for-soft-hydrated-healthy-beard-care-for-men" TargetMode="External"/><Relationship Id="rId124" Type="http://schemas.openxmlformats.org/officeDocument/2006/relationships/hyperlink" Target="https://account.striking-viking.com/?locale=en&amp;buyer_flags=eyJhbGciOiJIUzI1NiJ9.eyJpc3MiOiJzdHJpa2luZy12aWtpbmcubXlzaG9waWZ5LmNvbSIsImZsYWdzIjpbXSwiZXhwIjoxNzkxMjkzMzY1LCJuYmYiOjE3OTA2ODg1NjV9.QdMgodQukXQ7PPyVUlrfeHPisaf2c_K40Qmk0OiIIIg" TargetMode="External"/><Relationship Id="rId125" Type="http://schemas.openxmlformats.org/officeDocument/2006/relationships/hyperlink" Target="https://striking-viking.com/products/ontaki-beard-mustache-scissors-with-finger-rest-5-inch-german-steel-grooming-kit" TargetMode="External"/><Relationship Id="rId126" Type="http://schemas.openxmlformats.org/officeDocument/2006/relationships/hyperlink" Target="https://account.striking-viking.com/?locale=en&amp;buyer_flags=eyJhbGciOiJIUzI1NiJ9.eyJpc3MiOiJzdHJpa2luZy12aWtpbmcubXlzaG9waWZ5LmNvbSIsImZsYWdzIjpbXSwiZXhwIjoxNzkxMjkxOTU1LCJuYmYiOjE3OTA2ODcxNTV9.w5zTm-MVzqUz5gbodMZYF9BP9VMh5Q5aD4VTLsMlWiI" TargetMode="External"/><Relationship Id="rId127" Type="http://schemas.openxmlformats.org/officeDocument/2006/relationships/hyperlink" Target="https://striking-viking.com/products/striking-viking-beard-growth-power-kit-with-biotin-beard-oil-shampoo-derma-roller" TargetMode="External"/><Relationship Id="rId128" Type="http://schemas.openxmlformats.org/officeDocument/2006/relationships/hyperlink" Target="https://account.striking-viking.com/?locale=en&amp;buyer_flags=eyJhbGciOiJIUzI1NiJ9.eyJpc3MiOiJzdHJpa2luZy12aWtpbmcubXlzaG9waWZ5LmNvbSIsImZsYWdzIjpbXSwiZXhwIjoxNzkxMjkyNjQ1LCJuYmYiOjE3OTA2ODc4NDV9.AVXC7AOU5f1d_pyJz4ai1cf3Hu0TbrVzo-T_Z3Fu_Wc" TargetMode="External"/><Relationship Id="rId129" Type="http://schemas.openxmlformats.org/officeDocument/2006/relationships/hyperlink" Target="https://striking-viking.com/products/ontaki-japanese-steel-beard-mustache-scissors-5-5-inch-professional-grooming-kit" TargetMode="External"/><Relationship Id="rId130" Type="http://schemas.openxmlformats.org/officeDocument/2006/relationships/hyperlink" Target="https://account.striking-viking.com/?locale=en&amp;buyer_flags=eyJhbGciOiJIUzI1NiJ9.eyJpc3MiOiJzdHJpa2luZy12aWtpbmcubXlzaG9waWZ5LmNvbSIsImZsYWdzIjpbXSwiZXhwIjoxNzkxMjkyMTA1LCJuYmYiOjE3OTA2ODczMDV9.7YmCb_6ZPfD_HTIMk2f1ZRO2_3IPTNARUSnXDwR5zo0" TargetMode="External"/><Relationship Id="rId131" Type="http://schemas.openxmlformats.org/officeDocument/2006/relationships/hyperlink" Target="https://striking-viking.com/products/striking-viking-beard-filler-pencil-with-dual-tip-pen-brush-for-natural-beard-styling" TargetMode="External"/><Relationship Id="rId132" Type="http://schemas.openxmlformats.org/officeDocument/2006/relationships/hyperlink" Target="https://account.striking-viking.com/?locale=en&amp;buyer_flags=eyJhbGciOiJIUzI1NiJ9.eyJpc3MiOiJzdHJpa2luZy12aWtpbmcubXlzaG9waWZ5LmNvbSIsImZsYWdzIjpbXSwiZXhwIjoxNzkxMjkyODU1LCJuYmYiOjE3OTA2ODgwNTV9.nPD6MAhGIbHx0u33OxmsnaWFCwXVDwzoWTpNkVlG6Tk" TargetMode="External"/><Relationship Id="rId133" Type="http://schemas.openxmlformats.org/officeDocument/2006/relationships/hyperlink" Target="https://striking-viking.com/products/charlemagne-original-hair-pomade-for-men-strong-hold-water-based-styling-pomade-100ml" TargetMode="External"/><Relationship Id="rId134" Type="http://schemas.openxmlformats.org/officeDocument/2006/relationships/hyperlink" Target="https://account.striking-viking.com/?locale=en&amp;buyer_flags=eyJhbGciOiJIUzI1NiJ9.eyJpc3MiOiJzdHJpa2luZy12aWtpbmcubXlzaG9waWZ5LmNvbSIsImZsYWdzIjpbXSwiZXhwIjoxNzkxMjkyNzA2LCJuYmYiOjE3OTA2ODc5MDZ9.U9FvUTq8s2OUtkvZKxfmfCCXp0UZyIPXZAL0SZ2xVEQ" TargetMode="External"/><Relationship Id="rId135" Type="http://schemas.openxmlformats.org/officeDocument/2006/relationships/hyperlink" Target="https://striking-viking.com/products/striking-viking-vanilla-beard-oil-with-natural-organic-oils-for-soft-healthy-beard-care" TargetMode="External"/><Relationship Id="rId136" Type="http://schemas.openxmlformats.org/officeDocument/2006/relationships/hyperlink" Target="https://account.striking-viking.com/?locale=en&amp;buyer_flags=eyJhbGciOiJIUzI1NiJ9.eyJpc3MiOiJzdHJpa2luZy12aWtpbmcubXlzaG9waWZ5LmNvbSIsImZsYWdzIjpbXSwiZXhwIjoxNzkxMjkzMTg1LCJuYmYiOjE3OTA2ODgzODV9.LB2Lqa5OZdNeUOPGTjpRpN1P7twIV9KhVOzqapQtkq8" TargetMode="External"/><Relationship Id="rId137" Type="http://schemas.openxmlformats.org/officeDocument/2006/relationships/hyperlink" Target="https://striking-viking.com/products/striking-viking-terra-sol-beard-balm-for-men-natural-beard-balm-with-shea-butter-jojoba" TargetMode="External"/><Relationship Id="rId138" Type="http://schemas.openxmlformats.org/officeDocument/2006/relationships/hyperlink" Target="https://account.striking-viking.com/?locale=en&amp;buyer_flags=eyJhbGciOiJIUzI1NiJ9.eyJpc3MiOiJzdHJpa2luZy12aWtpbmcubXlzaG9waWZ5LmNvbSIsImZsYWdzIjpbXSwiZXhwIjoxNzkxMjkyNDM1LCJuYmYiOjE3OTA2ODc2MzV9.DStYdXUau1586yAaikfQQVYtkIqGcNGZV188z7_hzIQ" TargetMode="External"/><Relationship Id="rId139" Type="http://schemas.openxmlformats.org/officeDocument/2006/relationships/hyperlink" Target="https://striking-viking.com/" TargetMode="External"/><Relationship Id="rId140" Type="http://schemas.openxmlformats.org/officeDocument/2006/relationships/hyperlink" Target="https://account.striking-viking.com/?locale=en&amp;buyer_flags=eyJhbGciOiJIUzI1NiJ9.eyJpc3MiOiJzdHJpa2luZy12aWtpbmcubXlzaG9waWZ5LmNvbSIsImZsYWdzIjpbXSwiZXhwIjoxNzkxMjkxMTc1LCJuYmYiOjE3OTA2ODYzNzV9.8pYgduCCwI3cc0SOArgewr4WGZl4QT6CZrEaSNZLb2Y" TargetMode="External"/><Relationship Id="rId141" Type="http://schemas.openxmlformats.org/officeDocument/2006/relationships/hyperlink" Target="https://striking-viking.com/products/striking-viking-beard-and-mustache-scissors-kit-for-men" TargetMode="External"/><Relationship Id="rId142" Type="http://schemas.openxmlformats.org/officeDocument/2006/relationships/hyperlink" Target="https://account.striking-viking.com/?locale=en&amp;buyer_flags=eyJhbGciOiJIUzI1NiJ9.eyJpc3MiOiJzdHJpa2luZy12aWtpbmcubXlzaG9waWZ5LmNvbSIsImZsYWdzIjpbXSwiZXhwIjoxNzkxMjkzMDk1LCJuYmYiOjE3OTA2ODgyOTV9.vCh69ORmyvaT8n_iLyTzrC7Ha4zGASUKayZGiR8eS0w" TargetMode="External"/><Relationship Id="rId143" Type="http://schemas.openxmlformats.org/officeDocument/2006/relationships/hyperlink" Target="https://striking-viking.com/products/striking-viking-beard-growth-oil-with-biotin-sandalwood" TargetMode="External"/><Relationship Id="rId144" Type="http://schemas.openxmlformats.org/officeDocument/2006/relationships/hyperlink" Target="https://account.striking-viking.com/?locale=en&amp;buyer_flags=eyJhbGciOiJIUzI1NiJ9.eyJpc3MiOiJzdHJpa2luZy12aWtpbmcubXlzaG9waWZ5LmNvbSIsImZsYWdzIjpbXSwiZXhwIjoxNzkxMjkxNzQ1LCJuYmYiOjE3OTA2ODY5NDV9.iTi3DiouQOwTJnouj35IU5tINvOEvDfo5_gnLF0UIm8" TargetMode="External"/><Relationship Id="rId145" Type="http://schemas.openxmlformats.org/officeDocument/2006/relationships/hyperlink" Target="https://striking-viking.com/products/striking-viking-sandalwood-beard-oil" TargetMode="External"/><Relationship Id="rId146" Type="http://schemas.openxmlformats.org/officeDocument/2006/relationships/hyperlink" Target="https://account.striking-viking.com/?locale=en&amp;buyer_flags=eyJhbGciOiJIUzI1NiJ9.eyJpc3MiOiJzdHJpa2luZy12aWtpbmcubXlzaG9waWZ5LmNvbSIsImZsYWdzIjpbXSwiZXhwIjoxNzkxMjkxMjM1LCJuYmYiOjE3OTA2ODY0MzV9.GVmj6aOUFoY1XCp6kgsu85mJBh2ZjCTlZXxVSkqY88o" TargetMode="External"/><Relationship Id="rId147" Type="http://schemas.openxmlformats.org/officeDocument/2006/relationships/hyperlink" Target="https://striking-viking.com/products/striking-viking-biotin-beard-growth-oil-for-men-unscented-beard-growth-serum" TargetMode="External"/><Relationship Id="rId148" Type="http://schemas.openxmlformats.org/officeDocument/2006/relationships/hyperlink" Target="https://account.striking-viking.com/?locale=en&amp;buyer_flags=eyJhbGciOiJIUzI1NiJ9.eyJpc3MiOiJzdHJpa2luZy12aWtpbmcubXlzaG9waWZ5LmNvbSIsImZsYWdzIjpbXSwiZXhwIjoxNzkxMjkxODA3LCJuYmYiOjE3OTA2ODcwMDd9.h4at2eo6l-IlIgJD8lyy0hkcBeQjeGL0awQu_7rUvhk" TargetMode="External"/><Relationship Id="rId149" Type="http://schemas.openxmlformats.org/officeDocument/2006/relationships/hyperlink" Target="https://striking-viking.com/products/striking-viking-sandalwood-wooden-beard-comb-brown" TargetMode="External"/><Relationship Id="rId150" Type="http://schemas.openxmlformats.org/officeDocument/2006/relationships/hyperlink" Target="https://account.striking-viking.com/?locale=en&amp;buyer_flags=eyJhbGciOiJIUzI1NiJ9.eyJpc3MiOiJzdHJpa2luZy12aWtpbmcubXlzaG9waWZ5LmNvbSIsImZsYWdzIjpbXSwiZXhwIjoxNzkxMjkxNTA1LCJuYmYiOjE3OTA2ODY3MDV9.daRO7ldUPMzAhaKQYC2AqRDzkswTVwv4_sRFW0kD5jc" TargetMode="External"/><Relationship Id="rId151" Type="http://schemas.openxmlformats.org/officeDocument/2006/relationships/hyperlink" Target="https://striking-viking.com/products/striking-viking-terra-sol-beard-oil-for-men-natural-beard-growth-oil-with-argan-jojoba" TargetMode="External"/><Relationship Id="rId152" Type="http://schemas.openxmlformats.org/officeDocument/2006/relationships/hyperlink" Target="https://account.striking-viking.com/?locale=en&amp;buyer_flags=eyJhbGciOiJIUzI1NiJ9.eyJpc3MiOiJzdHJpa2luZy12aWtpbmcubXlzaG9waWZ5LmNvbSIsImZsYWdzIjpbXSwiZXhwIjoxNzkxMjkyMzQ1LCJuYmYiOjE3OTA2ODc1NDV9.OJ4YECdIu9do10m_9Q_ubjocrpjfcJlaihkslS0i8rM" TargetMode="External"/><Relationship Id="rId153" Type="http://schemas.openxmlformats.org/officeDocument/2006/relationships/hyperlink" Target="https://striking-viking.com/products/striking-viking-citrus-beard-oil" TargetMode="External"/><Relationship Id="rId154" Type="http://schemas.openxmlformats.org/officeDocument/2006/relationships/hyperlink" Target="https://account.striking-viking.com/?locale=en&amp;buyer_flags=eyJhbGciOiJIUzI1NiJ9.eyJpc3MiOiJzdHJpa2luZy12aWtpbmcubXlzaG9waWZ5LmNvbSIsImZsYWdzIjpbXSwiZXhwIjoxNzkxMjkxMTE1LCJuYmYiOjE3OTA2ODYzMTV9.uayDTvcoKd-9uTbXM-qhUow2URheNqFrsSMFAmpP-iU" TargetMode="External"/><Relationship Id="rId155" Type="http://schemas.openxmlformats.org/officeDocument/2006/relationships/hyperlink" Target="https://striking-viking.com/products/striking-viking-unscented-beard-butter-for-moisturizing-softening-daily-beard-care" TargetMode="External"/><Relationship Id="rId156" Type="http://schemas.openxmlformats.org/officeDocument/2006/relationships/hyperlink" Target="https://account.striking-viking.com/?locale=en&amp;buyer_flags=eyJhbGciOiJIUzI1NiJ9.eyJpc3MiOiJzdHJpa2luZy12aWtpbmcubXlzaG9waWZ5LmNvbSIsImZsYWdzIjpbXSwiZXhwIjoxNzkxMjkyNzk1LCJuYmYiOjE3OTA2ODc5OTV9.66VUJ6zgtNmzay5GYwJMjajCUNYea68xuBu0btu4uAw" TargetMode="External"/><Relationship Id="rId157" Type="http://schemas.openxmlformats.org/officeDocument/2006/relationships/hyperlink" Target="https://striking-viking.com/products/striking-viking-battle-ready-beard-care-kit-with-beard-oils-balms-beard-filler-pen" TargetMode="External"/><Relationship Id="rId158" Type="http://schemas.openxmlformats.org/officeDocument/2006/relationships/hyperlink" Target="https://account.striking-viking.com/?locale=en&amp;buyer_flags=eyJhbGciOiJIUzI1NiJ9.eyJpc3MiOiJzdHJpa2luZy12aWtpbmcubXlzaG9waWZ5LmNvbSIsImZsYWdzIjpbXSwiZXhwIjoxNzkxMjkyNjc1LCJuYmYiOjE3OTA2ODc4NzV9.5Q78qo07fWIa-M3SBML5L09MYLlQ2AeFnk5MjKGmRMc" TargetMode="External"/><Relationship Id="rId159" Type="http://schemas.openxmlformats.org/officeDocument/2006/relationships/hyperlink" Target="https://striking-viking.com/products/carbon-hair-comb" TargetMode="External"/><Relationship Id="rId160" Type="http://schemas.openxmlformats.org/officeDocument/2006/relationships/hyperlink" Target="https://account.striking-viking.com/?locale=en&amp;buyer_flags=eyJhbGciOiJIUzI1NiJ9.eyJpc3MiOiJzdHJpa2luZy12aWtpbmcubXlzaG9waWZ5LmNvbSIsImZsYWdzIjpbXSwiZXhwIjoxNzkxMjkxOTg1LCJuYmYiOjE3OTA2ODcxODV9.Eb_oVm_KpvmeVan-15ejdTeKuyvwS6TaZMqpck7ZZoI" TargetMode="External"/><Relationship Id="rId161" Type="http://schemas.openxmlformats.org/officeDocument/2006/relationships/hyperlink" Target="https://striking-viking.com/products/ontaki-japanese-steel-beard-hair-scissors-5-5-inch-professional-grooming-shears" TargetMode="External"/><Relationship Id="rId162" Type="http://schemas.openxmlformats.org/officeDocument/2006/relationships/hyperlink" Target="https://account.striking-viking.com/?locale=en&amp;buyer_flags=eyJhbGciOiJIUzI1NiJ9.eyJpc3MiOiJzdHJpa2luZy12aWtpbmcubXlzaG9waWZ5LmNvbSIsImZsYWdzIjpbXSwiZXhwIjoxNzkxMjkxOTI1LCJuYmYiOjE3OTA2ODcxMjV9.dgUtVhkwWoUbGmNeE0FNtKnVpxh0RCKkGH3Ui2NNwBE" TargetMode="External"/>
</Relationships>
</file>

<file path=xl/worksheets/_rels/sheet29.xml.rels><?xml version="1.0" encoding="UTF-8"?>
<Relationships xmlns="http://schemas.openxmlformats.org/package/2006/relationships"><Relationship Id="rId1" Type="http://schemas.openxmlformats.org/officeDocument/2006/relationships/hyperlink" Target="https://striking-viking.com/products/striking-viking-beard-filler-pen-2-pack-waterproof-beard-pen-for-filling-gaps-covering-patches" TargetMode="External"/><Relationship Id="rId2" Type="http://schemas.openxmlformats.org/officeDocument/2006/relationships/hyperlink" Target="https://striking-viking.com/customer_authentication/redirect?locale=en&amp;region_country=US" TargetMode="External"/><Relationship Id="rId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 Type="http://schemas.openxmlformats.org/officeDocument/2006/relationships/hyperlink" Target="https://striking-viking.com/blogs/learn/combs-vs-brushes-the-beard-war-and-why-you-might-want-both" TargetMode="External"/><Relationship Id="rId5" Type="http://schemas.openxmlformats.org/officeDocument/2006/relationships/hyperlink" Target="https://striking-viking.com/customer_authentication/redirect?locale=en&amp;region_country=US" TargetMode="External"/><Relationship Id="rId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7" Type="http://schemas.openxmlformats.org/officeDocument/2006/relationships/hyperlink" Target="https://striking-viking.com/products/beard-growth-balm-with-biotin-2-oz-blue-ocean" TargetMode="External"/><Relationship Id="rId8" Type="http://schemas.openxmlformats.org/officeDocument/2006/relationships/hyperlink" Target="https://striking-viking.com/customer_authentication/redirect?locale=en&amp;region_country=US" TargetMode="External"/><Relationship Id="rId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0" Type="http://schemas.openxmlformats.org/officeDocument/2006/relationships/hyperlink" Target="https://striking-viking.com/products/striking-viking-bergamot-thunder-beard-oil-for-men-natural-beard-growth-oil-with-argan-jojoba" TargetMode="External"/><Relationship Id="rId11" Type="http://schemas.openxmlformats.org/officeDocument/2006/relationships/hyperlink" Target="https://striking-viking.com/customer_authentication/redirect?locale=en&amp;region_country=US" TargetMode="External"/><Relationship Id="rId1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3" Type="http://schemas.openxmlformats.org/officeDocument/2006/relationships/hyperlink" Target="https://striking-viking.com/collections/bundles" TargetMode="External"/><Relationship Id="rId14" Type="http://schemas.openxmlformats.org/officeDocument/2006/relationships/hyperlink" Target="https://striking-viking.com/customer_authentication/redirect?locale=en&amp;region_country=US" TargetMode="External"/><Relationship Id="rId1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6" Type="http://schemas.openxmlformats.org/officeDocument/2006/relationships/hyperlink" Target="https://striking-viking.com/products/striking-viking-beard-filler-pen-2-pack-dual-tip-waterproof-beard-pen-for-natural-beard-filling" TargetMode="External"/><Relationship Id="rId17" Type="http://schemas.openxmlformats.org/officeDocument/2006/relationships/hyperlink" Target="https://striking-viking.com/customer_authentication/redirect?locale=en&amp;region_country=US" TargetMode="External"/><Relationship Id="rId1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9" Type="http://schemas.openxmlformats.org/officeDocument/2006/relationships/hyperlink" Target="https://striking-viking.com/blogs/learn/46928577-tips-to-protect-your-beard-from-the-cold" TargetMode="External"/><Relationship Id="rId20" Type="http://schemas.openxmlformats.org/officeDocument/2006/relationships/hyperlink" Target="https://striking-viking.com/customer_authentication/redirect?locale=en&amp;region_country=US" TargetMode="External"/><Relationship Id="rId2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2" Type="http://schemas.openxmlformats.org/officeDocument/2006/relationships/hyperlink" Target="https://striking-viking.com/products/beard-butter-bergamot-thunder" TargetMode="External"/><Relationship Id="rId23" Type="http://schemas.openxmlformats.org/officeDocument/2006/relationships/hyperlink" Target="https://striking-viking.com/customer_authentication/redirect?locale=en&amp;region_country=US" TargetMode="External"/><Relationship Id="rId2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5" Type="http://schemas.openxmlformats.org/officeDocument/2006/relationships/hyperlink" Target="https://striking-viking.com/products/striking-viking-matte-hair-pomade-for-men-linen-scent-water-based-medium-strong-hold" TargetMode="External"/><Relationship Id="rId26" Type="http://schemas.openxmlformats.org/officeDocument/2006/relationships/hyperlink" Target="https://striking-viking.com/customer_authentication/redirect?locale=en&amp;region_country=US" TargetMode="External"/><Relationship Id="rId2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8" Type="http://schemas.openxmlformats.org/officeDocument/2006/relationships/hyperlink" Target="https://striking-viking.com/pages/spurit-invoices-cancelled" TargetMode="External"/><Relationship Id="rId29" Type="http://schemas.openxmlformats.org/officeDocument/2006/relationships/hyperlink" Target="https://striking-viking.com/customer_authentication/redirect?locale=en&amp;region_country=US" TargetMode="External"/><Relationship Id="rId3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1" Type="http://schemas.openxmlformats.org/officeDocument/2006/relationships/hyperlink" Target="https://striking-viking.com/collections/face-body" TargetMode="External"/><Relationship Id="rId32" Type="http://schemas.openxmlformats.org/officeDocument/2006/relationships/hyperlink" Target="https://striking-viking.com/customer_authentication/redirect?locale=en&amp;region_country=US" TargetMode="External"/><Relationship Id="rId3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4" Type="http://schemas.openxmlformats.org/officeDocument/2006/relationships/hyperlink" Target="https://striking-viking.com/products/striking-viking-folding-wooden-beard-comb-for-men-anti-static-sandalwood-grooming-comb" TargetMode="External"/><Relationship Id="rId35" Type="http://schemas.openxmlformats.org/officeDocument/2006/relationships/hyperlink" Target="https://striking-viking.com/customer_authentication/redirect?locale=en&amp;region_country=US" TargetMode="External"/><Relationship Id="rId3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7" Type="http://schemas.openxmlformats.org/officeDocument/2006/relationships/hyperlink" Target="https://striking-viking.com/pages/free-moustache-beard-scissors" TargetMode="External"/><Relationship Id="rId38" Type="http://schemas.openxmlformats.org/officeDocument/2006/relationships/hyperlink" Target="https://striking-viking.com/customer_authentication/redirect?locale=en&amp;region_country=US" TargetMode="External"/><Relationship Id="rId3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0" Type="http://schemas.openxmlformats.org/officeDocument/2006/relationships/hyperlink" Target="https://striking-viking.com/products/ontaki-curved-fabric-scissors-6-5-inch-german-stainless-steel-embroidery-scissors" TargetMode="External"/><Relationship Id="rId41" Type="http://schemas.openxmlformats.org/officeDocument/2006/relationships/hyperlink" Target="https://striking-viking.com/customer_authentication/redirect?locale=en&amp;region_country=US" TargetMode="External"/><Relationship Id="rId4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3" Type="http://schemas.openxmlformats.org/officeDocument/2006/relationships/hyperlink" Target="https://striking-viking.com/products/striking-viking-unscented-shaving-cream-for-men-rich-lather-for-a-smooth-comfortable-shave" TargetMode="External"/><Relationship Id="rId44" Type="http://schemas.openxmlformats.org/officeDocument/2006/relationships/hyperlink" Target="https://striking-viking.com/customer_authentication/redirect?locale=en&amp;region_country=US" TargetMode="External"/><Relationship Id="rId4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6" Type="http://schemas.openxmlformats.org/officeDocument/2006/relationships/hyperlink" Target="https://striking-viking.com/products/ontaki-professional-thinning-texturizing-scissors-set-6-5-inch-japanese-alloy-steel" TargetMode="External"/><Relationship Id="rId47" Type="http://schemas.openxmlformats.org/officeDocument/2006/relationships/hyperlink" Target="https://striking-viking.com/customer_authentication/redirect?locale=en&amp;region_country=US" TargetMode="External"/><Relationship Id="rId4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9" Type="http://schemas.openxmlformats.org/officeDocument/2006/relationships/hyperlink" Target="https://striking-viking.com/pages/data-sharing-opt-out" TargetMode="External"/><Relationship Id="rId50" Type="http://schemas.openxmlformats.org/officeDocument/2006/relationships/hyperlink" Target="https://striking-viking.com/customer_authentication/redirect?locale=en&amp;region_country=US" TargetMode="External"/><Relationship Id="rId5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2" Type="http://schemas.openxmlformats.org/officeDocument/2006/relationships/hyperlink" Target="https://striking-viking.com/products/striking-viking-beard-filler-pencil-with-dual-tip-pen-brush-for-natural-beard-styling?variant=52771898851670" TargetMode="External"/><Relationship Id="rId53" Type="http://schemas.openxmlformats.org/officeDocument/2006/relationships/hyperlink" Target="https://striking-viking.com/customer_authentication/redirect?locale=en&amp;region_country=US" TargetMode="External"/><Relationship Id="rId5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5" Type="http://schemas.openxmlformats.org/officeDocument/2006/relationships/hyperlink" Target="https://striking-viking.com/products/beard-growth-balm-with-biotin-2-oz-sandalwood" TargetMode="External"/><Relationship Id="rId56" Type="http://schemas.openxmlformats.org/officeDocument/2006/relationships/hyperlink" Target="https://striking-viking.com/customer_authentication/redirect?locale=en&amp;region_country=US" TargetMode="External"/><Relationship Id="rId5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8" Type="http://schemas.openxmlformats.org/officeDocument/2006/relationships/hyperlink" Target="https://striking-viking.com/products/striking-viking-hybrid-beard-growth-bundle-with-sandalwood-unscented-beard-oils-and-derma-roller" TargetMode="External"/><Relationship Id="rId59" Type="http://schemas.openxmlformats.org/officeDocument/2006/relationships/hyperlink" Target="https://striking-viking.com/customer_authentication/redirect?locale=en&amp;region_country=US" TargetMode="External"/><Relationship Id="rId6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1" Type="http://schemas.openxmlformats.org/officeDocument/2006/relationships/hyperlink" Target="https://striking-viking.com/products/striking-viking-sandalwood-beard-oil-balm-kit-for-soft-healthy-beard-care-for-men" TargetMode="External"/><Relationship Id="rId62" Type="http://schemas.openxmlformats.org/officeDocument/2006/relationships/hyperlink" Target="https://striking-viking.com/customer_authentication/redirect?locale=en&amp;region_country=US" TargetMode="External"/><Relationship Id="rId6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4" Type="http://schemas.openxmlformats.org/officeDocument/2006/relationships/hyperlink" Target="https://striking-viking.com/products/striking-viking-beard-growth-oil-with-biotin-sandalwood" TargetMode="External"/><Relationship Id="rId65" Type="http://schemas.openxmlformats.org/officeDocument/2006/relationships/hyperlink" Target="https://striking-viking.com/customer_authentication/redirect?locale=en&amp;region_country=US" TargetMode="External"/><Relationship Id="rId6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7" Type="http://schemas.openxmlformats.org/officeDocument/2006/relationships/hyperlink" Target="https://striking-viking.com/products/striking-viking-unscented-beard-oil-and-balm-kit-natural-beard-grooming-set-for-men" TargetMode="External"/><Relationship Id="rId68" Type="http://schemas.openxmlformats.org/officeDocument/2006/relationships/hyperlink" Target="https://striking-viking.com/customer_authentication/redirect?locale=en&amp;region_country=US" TargetMode="External"/><Relationship Id="rId6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70" Type="http://schemas.openxmlformats.org/officeDocument/2006/relationships/hyperlink" Target="https://striking-viking.com/products/striking-viking-unscented-beard-oil-natural-organic-beard-care" TargetMode="External"/><Relationship Id="rId71" Type="http://schemas.openxmlformats.org/officeDocument/2006/relationships/hyperlink" Target="https://striking-viking.com/customer_authentication/redirect?locale=en&amp;region_country=US" TargetMode="External"/><Relationship Id="rId7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73" Type="http://schemas.openxmlformats.org/officeDocument/2006/relationships/hyperlink" Target="https://striking-viking.com/blogs/learn/how-to-use-beard-balm-properly-a-complete-guide" TargetMode="External"/><Relationship Id="rId74" Type="http://schemas.openxmlformats.org/officeDocument/2006/relationships/hyperlink" Target="https://striking-viking.com/customer_authentication/redirect?locale=en&amp;region_country=US" TargetMode="External"/><Relationship Id="rId7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76" Type="http://schemas.openxmlformats.org/officeDocument/2006/relationships/hyperlink" Target="https://striking-viking.com/products/sandalwood-wooden-beard-comb-black-striking-viking" TargetMode="External"/><Relationship Id="rId77" Type="http://schemas.openxmlformats.org/officeDocument/2006/relationships/hyperlink" Target="https://striking-viking.com/customer_authentication/redirect?locale=en&amp;region_country=US" TargetMode="External"/><Relationship Id="rId7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79" Type="http://schemas.openxmlformats.org/officeDocument/2006/relationships/hyperlink" Target="https://striking-viking.com/collections/combs" TargetMode="External"/><Relationship Id="rId80" Type="http://schemas.openxmlformats.org/officeDocument/2006/relationships/hyperlink" Target="https://striking-viking.com/customer_authentication/redirect?locale=en&amp;region_country=US" TargetMode="External"/><Relationship Id="rId8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82" Type="http://schemas.openxmlformats.org/officeDocument/2006/relationships/hyperlink" Target="https://striking-viking.com/blogs/learn/spring-style-refresh-how-to-update-your-beard-and-hair-for-warmer-weather" TargetMode="External"/><Relationship Id="rId83" Type="http://schemas.openxmlformats.org/officeDocument/2006/relationships/hyperlink" Target="https://striking-viking.com/customer_authentication/redirect?locale=en&amp;region_country=US" TargetMode="External"/><Relationship Id="rId8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85" Type="http://schemas.openxmlformats.org/officeDocument/2006/relationships/hyperlink" Target="https://striking-viking.com/products/striking-viking-unscented-beard-shampoo-conditioner-set-natural-beard-care-for-men" TargetMode="External"/><Relationship Id="rId86" Type="http://schemas.openxmlformats.org/officeDocument/2006/relationships/hyperlink" Target="https://striking-viking.com/customer_authentication/redirect?locale=en&amp;region_country=US" TargetMode="External"/><Relationship Id="rId8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88" Type="http://schemas.openxmlformats.org/officeDocument/2006/relationships/hyperlink" Target="https://striking-viking.com/collections/beard-butter" TargetMode="External"/><Relationship Id="rId89" Type="http://schemas.openxmlformats.org/officeDocument/2006/relationships/hyperlink" Target="https://striking-viking.com/customer_authentication/redirect?locale=en&amp;region_country=US" TargetMode="External"/><Relationship Id="rId9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91" Type="http://schemas.openxmlformats.org/officeDocument/2006/relationships/hyperlink" Target="https://striking-viking.com/products/striking-viking-beard-filler-pen-2-pack-dual-tip-waterproof-beard-pen-for-natural-beard-filling?variant=52771991257430" TargetMode="External"/><Relationship Id="rId92" Type="http://schemas.openxmlformats.org/officeDocument/2006/relationships/hyperlink" Target="https://striking-viking.com/customer_authentication/redirect?locale=en&amp;region_country=US" TargetMode="External"/><Relationship Id="rId9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94" Type="http://schemas.openxmlformats.org/officeDocument/2006/relationships/hyperlink" Target="https://striking-viking.com/products/striking-viking-hair-styling-powder-for-men-strong-hold-vanilla-volume-texture" TargetMode="External"/><Relationship Id="rId95" Type="http://schemas.openxmlformats.org/officeDocument/2006/relationships/hyperlink" Target="https://striking-viking.com/customer_authentication/redirect?locale=en&amp;region_country=US" TargetMode="External"/><Relationship Id="rId9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97" Type="http://schemas.openxmlformats.org/officeDocument/2006/relationships/hyperlink" Target="https://striking-viking.com/products/striking-viking-beard-filler-pen-2-pack-dual-tip-waterproof-beard-pen-for-natural-beard-filling?variant=52771991191894" TargetMode="External"/><Relationship Id="rId98" Type="http://schemas.openxmlformats.org/officeDocument/2006/relationships/hyperlink" Target="https://striking-viking.com/customer_authentication/redirect?locale=en&amp;region_country=US" TargetMode="External"/><Relationship Id="rId9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00" Type="http://schemas.openxmlformats.org/officeDocument/2006/relationships/hyperlink" Target="https://striking-viking.com/products/striking-viking-vanilla-beard-butter-for-soft-hydrated-healthy-beard-care-for-men" TargetMode="External"/><Relationship Id="rId101" Type="http://schemas.openxmlformats.org/officeDocument/2006/relationships/hyperlink" Target="https://striking-viking.com/customer_authentication/redirect?locale=en&amp;region_country=US" TargetMode="External"/><Relationship Id="rId10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03" Type="http://schemas.openxmlformats.org/officeDocument/2006/relationships/hyperlink" Target="https://striking-viking.com/blogs/learn/pocket-blade-grooming-striking-viking-s-folding-beard-comb" TargetMode="External"/><Relationship Id="rId104" Type="http://schemas.openxmlformats.org/officeDocument/2006/relationships/hyperlink" Target="https://striking-viking.com/customer_authentication/redirect?locale=en&amp;region_country=US" TargetMode="External"/><Relationship Id="rId10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06" Type="http://schemas.openxmlformats.org/officeDocument/2006/relationships/hyperlink" Target="https://striking-viking.com/products/striking-viking-cedarwood-beard-oil" TargetMode="External"/><Relationship Id="rId107" Type="http://schemas.openxmlformats.org/officeDocument/2006/relationships/hyperlink" Target="https://striking-viking.com/customer_authentication/redirect?locale=en&amp;region_country=US" TargetMode="External"/><Relationship Id="rId10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09" Type="http://schemas.openxmlformats.org/officeDocument/2006/relationships/hyperlink" Target="https://striking-viking.com/products/striking-viking-tea-tree-biotin-beard-shampoo-for-clean-healthy-soft-beard-care-for-men" TargetMode="External"/><Relationship Id="rId110" Type="http://schemas.openxmlformats.org/officeDocument/2006/relationships/hyperlink" Target="https://striking-viking.com/customer_authentication/redirect?locale=en&amp;region_country=US" TargetMode="External"/><Relationship Id="rId11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12" Type="http://schemas.openxmlformats.org/officeDocument/2006/relationships/hyperlink" Target="https://striking-viking.com/blogs/learn/unlock-your-beard-s-full-potential-beard-growth-kits-oils" TargetMode="External"/><Relationship Id="rId113" Type="http://schemas.openxmlformats.org/officeDocument/2006/relationships/hyperlink" Target="https://striking-viking.com/customer_authentication/redirect?locale=en&amp;region_country=US" TargetMode="External"/><Relationship Id="rId11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15" Type="http://schemas.openxmlformats.org/officeDocument/2006/relationships/hyperlink" Target="https://striking-viking.com/blogs/learn/how-to-keep-your-tattoos-looking-bold-for-years-the-role-of-tattoo-balms" TargetMode="External"/><Relationship Id="rId116" Type="http://schemas.openxmlformats.org/officeDocument/2006/relationships/hyperlink" Target="https://striking-viking.com/customer_authentication/redirect?locale=en&amp;region_country=US" TargetMode="External"/><Relationship Id="rId11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18" Type="http://schemas.openxmlformats.org/officeDocument/2006/relationships/hyperlink" Target="https://striking-viking.com/products/striking-viking-terra-sol-beard-oil-for-men-natural-beard-growth-oil-with-argan-jojoba" TargetMode="External"/><Relationship Id="rId119" Type="http://schemas.openxmlformats.org/officeDocument/2006/relationships/hyperlink" Target="https://striking-viking.com/customer_authentication/redirect?locale=en&amp;region_country=US" TargetMode="External"/><Relationship Id="rId12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21" Type="http://schemas.openxmlformats.org/officeDocument/2006/relationships/hyperlink" Target="https://striking-viking.com/collections/beard-essentials" TargetMode="External"/><Relationship Id="rId122" Type="http://schemas.openxmlformats.org/officeDocument/2006/relationships/hyperlink" Target="https://striking-viking.com/customer_authentication/redirect?locale=en&amp;region_country=US" TargetMode="External"/><Relationship Id="rId12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24" Type="http://schemas.openxmlformats.org/officeDocument/2006/relationships/hyperlink" Target="https://striking-viking.com/products/hair-fiber-men" TargetMode="External"/><Relationship Id="rId125" Type="http://schemas.openxmlformats.org/officeDocument/2006/relationships/hyperlink" Target="https://striking-viking.com/customer_authentication/redirect?locale=en&amp;region_country=US" TargetMode="External"/><Relationship Id="rId12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27" Type="http://schemas.openxmlformats.org/officeDocument/2006/relationships/hyperlink" Target="https://striking-viking.com/collections/featured-products" TargetMode="External"/><Relationship Id="rId128" Type="http://schemas.openxmlformats.org/officeDocument/2006/relationships/hyperlink" Target="https://striking-viking.com/customer_authentication/redirect?locale=en&amp;region_country=US" TargetMode="External"/><Relationship Id="rId12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30" Type="http://schemas.openxmlformats.org/officeDocument/2006/relationships/hyperlink" Target="https://striking-viking.com/products/charlemagne-original-hair-pomade-for-men-strong-hold-water-based-styling-pomade-100ml" TargetMode="External"/><Relationship Id="rId131" Type="http://schemas.openxmlformats.org/officeDocument/2006/relationships/hyperlink" Target="https://striking-viking.com/customer_authentication/redirect?locale=en&amp;region_country=US" TargetMode="External"/><Relationship Id="rId13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33" Type="http://schemas.openxmlformats.org/officeDocument/2006/relationships/hyperlink" Target="https://striking-viking.com/collections/all" TargetMode="External"/><Relationship Id="rId134" Type="http://schemas.openxmlformats.org/officeDocument/2006/relationships/hyperlink" Target="https://striking-viking.com/customer_authentication/redirect?locale=en&amp;region_country=US" TargetMode="External"/><Relationship Id="rId13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36" Type="http://schemas.openxmlformats.org/officeDocument/2006/relationships/hyperlink" Target="https://striking-viking.com/products/striking-viking-beard-filler-pen-2-pack-waterproof-beard-pen-for-filling-gaps-covering-patches?variant=50685239787862" TargetMode="External"/><Relationship Id="rId137" Type="http://schemas.openxmlformats.org/officeDocument/2006/relationships/hyperlink" Target="https://striking-viking.com/customer_authentication/redirect?locale=en&amp;region_country=US" TargetMode="External"/><Relationship Id="rId13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39" Type="http://schemas.openxmlformats.org/officeDocument/2006/relationships/hyperlink" Target="https://striking-viking.com/collections/beard-filler-pens" TargetMode="External"/><Relationship Id="rId140" Type="http://schemas.openxmlformats.org/officeDocument/2006/relationships/hyperlink" Target="https://striking-viking.com/customer_authentication/redirect?locale=en&amp;region_country=US" TargetMode="External"/><Relationship Id="rId14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42" Type="http://schemas.openxmlformats.org/officeDocument/2006/relationships/hyperlink" Target="https://striking-viking.com/products/striking-viking-biotin-beard-growth-oil-for-men-unscented-beard-growth-serum" TargetMode="External"/><Relationship Id="rId143" Type="http://schemas.openxmlformats.org/officeDocument/2006/relationships/hyperlink" Target="https://striking-viking.com/customer_authentication/redirect?locale=en&amp;region_country=US" TargetMode="External"/><Relationship Id="rId14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45" Type="http://schemas.openxmlformats.org/officeDocument/2006/relationships/hyperlink" Target="https://striking-viking.com/products/gift-wrapping" TargetMode="External"/><Relationship Id="rId146" Type="http://schemas.openxmlformats.org/officeDocument/2006/relationships/hyperlink" Target="https://striking-viking.com/customer_authentication/redirect?locale=en&amp;region_country=US" TargetMode="External"/><Relationship Id="rId14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48" Type="http://schemas.openxmlformats.org/officeDocument/2006/relationships/hyperlink" Target="https://striking-viking.com/pages/ilm2025" TargetMode="External"/><Relationship Id="rId149" Type="http://schemas.openxmlformats.org/officeDocument/2006/relationships/hyperlink" Target="https://striking-viking.com/customer_authentication/redirect?locale=en&amp;region_country=US" TargetMode="External"/><Relationship Id="rId15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51" Type="http://schemas.openxmlformats.org/officeDocument/2006/relationships/hyperlink" Target="https://striking-viking.com/products/striking-viking-beard-rehab-growth-kit-with-sandalwood-beard-care-derma-roller" TargetMode="External"/><Relationship Id="rId152" Type="http://schemas.openxmlformats.org/officeDocument/2006/relationships/hyperlink" Target="https://striking-viking.com/customer_authentication/redirect?locale=en&amp;region_country=US" TargetMode="External"/><Relationship Id="rId15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54" Type="http://schemas.openxmlformats.org/officeDocument/2006/relationships/hyperlink" Target="https://striking-viking.com/products/striking-viking-beard-and-mustache-scissors-kit-for-men" TargetMode="External"/><Relationship Id="rId155" Type="http://schemas.openxmlformats.org/officeDocument/2006/relationships/hyperlink" Target="https://striking-viking.com/customer_authentication/redirect?locale=en&amp;region_country=US" TargetMode="External"/><Relationship Id="rId15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57" Type="http://schemas.openxmlformats.org/officeDocument/2006/relationships/hyperlink" Target="https://striking-viking.com/pages/ilm-2025-sign-up" TargetMode="External"/><Relationship Id="rId158" Type="http://schemas.openxmlformats.org/officeDocument/2006/relationships/hyperlink" Target="https://striking-viking.com/customer_authentication/redirect?locale=en&amp;region_country=US" TargetMode="External"/><Relationship Id="rId15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60" Type="http://schemas.openxmlformats.org/officeDocument/2006/relationships/hyperlink" Target="https://striking-viking.com/products/striking-viking-sandalwood-pre-shave-oil-for-men-smooth-razor-glide-skin-protection" TargetMode="External"/><Relationship Id="rId161" Type="http://schemas.openxmlformats.org/officeDocument/2006/relationships/hyperlink" Target="https://striking-viking.com/customer_authentication/redirect?locale=en&amp;region_country=US" TargetMode="External"/><Relationship Id="rId16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63" Type="http://schemas.openxmlformats.org/officeDocument/2006/relationships/hyperlink" Target="https://striking-viking.com/products/striking-viking-beard-kit-caddy-complete-beard-grooming-kit" TargetMode="External"/><Relationship Id="rId164" Type="http://schemas.openxmlformats.org/officeDocument/2006/relationships/hyperlink" Target="https://striking-viking.com/customer_authentication/redirect?locale=en&amp;region_country=US" TargetMode="External"/><Relationship Id="rId16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66" Type="http://schemas.openxmlformats.org/officeDocument/2006/relationships/hyperlink" Target="https://striking-viking.com/pages/faqs" TargetMode="External"/><Relationship Id="rId167" Type="http://schemas.openxmlformats.org/officeDocument/2006/relationships/hyperlink" Target="https://striking-viking.com/customer_authentication/redirect?locale=en&amp;region_country=US" TargetMode="External"/><Relationship Id="rId16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69" Type="http://schemas.openxmlformats.org/officeDocument/2006/relationships/hyperlink" Target="https://striking-viking.com/collections/trending-now" TargetMode="External"/><Relationship Id="rId170" Type="http://schemas.openxmlformats.org/officeDocument/2006/relationships/hyperlink" Target="https://striking-viking.com/customer_authentication/redirect?locale=en&amp;region_country=US" TargetMode="External"/><Relationship Id="rId17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72" Type="http://schemas.openxmlformats.org/officeDocument/2006/relationships/hyperlink" Target="https://striking-viking.com/blogs/learn/16918829-the-ingredients-and-why-they-matter" TargetMode="External"/><Relationship Id="rId173" Type="http://schemas.openxmlformats.org/officeDocument/2006/relationships/hyperlink" Target="https://striking-viking.com/customer_authentication/redirect?locale=en&amp;region_country=US" TargetMode="External"/><Relationship Id="rId17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75" Type="http://schemas.openxmlformats.org/officeDocument/2006/relationships/hyperlink" Target="https://striking-viking.com/products/striking-viking-beard-shampoo-conditioner-cologne-argan-jojoba-oil" TargetMode="External"/><Relationship Id="rId176" Type="http://schemas.openxmlformats.org/officeDocument/2006/relationships/hyperlink" Target="https://striking-viking.com/customer_authentication/redirect?locale=en&amp;region_country=US" TargetMode="External"/><Relationship Id="rId17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78" Type="http://schemas.openxmlformats.org/officeDocument/2006/relationships/hyperlink" Target="https://striking-viking.com/products/beard-growth-butter-with-biotin-4-oz-vanilla" TargetMode="External"/><Relationship Id="rId179" Type="http://schemas.openxmlformats.org/officeDocument/2006/relationships/hyperlink" Target="https://striking-viking.com/customer_authentication/redirect?locale=en&amp;region_country=US" TargetMode="External"/><Relationship Id="rId18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81" Type="http://schemas.openxmlformats.org/officeDocument/2006/relationships/hyperlink" Target="https://striking-viking.com/pages/striking-viking-affiliate-program" TargetMode="External"/><Relationship Id="rId182" Type="http://schemas.openxmlformats.org/officeDocument/2006/relationships/hyperlink" Target="https://striking-viking.com/customer_authentication/redirect?locale=en&amp;region_country=US" TargetMode="External"/><Relationship Id="rId18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84" Type="http://schemas.openxmlformats.org/officeDocument/2006/relationships/hyperlink" Target="https://striking-viking.com/products/striking-viking-wooden-beard-care-caddy-board-only" TargetMode="External"/><Relationship Id="rId185" Type="http://schemas.openxmlformats.org/officeDocument/2006/relationships/hyperlink" Target="https://striking-viking.com/customer_authentication/redirect?locale=en&amp;region_country=US" TargetMode="External"/><Relationship Id="rId18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87" Type="http://schemas.openxmlformats.org/officeDocument/2006/relationships/hyperlink" Target="https://striking-viking.com/collections/beard-oil" TargetMode="External"/><Relationship Id="rId188" Type="http://schemas.openxmlformats.org/officeDocument/2006/relationships/hyperlink" Target="https://striking-viking.com/customer_authentication/redirect?locale=en&amp;region_country=US" TargetMode="External"/><Relationship Id="rId18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90" Type="http://schemas.openxmlformats.org/officeDocument/2006/relationships/hyperlink" Target="https://striking-viking.com/products/striking-viking-vanilla-beard-growth-oil-with-biotin-castor-oil-for-fuller-beard-growth" TargetMode="External"/><Relationship Id="rId191" Type="http://schemas.openxmlformats.org/officeDocument/2006/relationships/hyperlink" Target="https://striking-viking.com/customer_authentication/redirect?locale=en&amp;region_country=US" TargetMode="External"/><Relationship Id="rId19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93" Type="http://schemas.openxmlformats.org/officeDocument/2006/relationships/hyperlink" Target="https://striking-viking.com/products/striking-viking-peppermint-eucalyptus-beard-shampoo-conditioner-set-for-healthy-beard-care" TargetMode="External"/><Relationship Id="rId194" Type="http://schemas.openxmlformats.org/officeDocument/2006/relationships/hyperlink" Target="https://striking-viking.com/customer_authentication/redirect?locale=en&amp;region_country=US" TargetMode="External"/><Relationship Id="rId19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96" Type="http://schemas.openxmlformats.org/officeDocument/2006/relationships/hyperlink" Target="https://striking-viking.com/products/striking-viking-boar-bristle-beard-brush-for-men-natural-beech-wood-grooming-brush" TargetMode="External"/><Relationship Id="rId197" Type="http://schemas.openxmlformats.org/officeDocument/2006/relationships/hyperlink" Target="https://striking-viking.com/customer_authentication/redirect?locale=en&amp;region_country=US" TargetMode="External"/><Relationship Id="rId19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199" Type="http://schemas.openxmlformats.org/officeDocument/2006/relationships/hyperlink" Target="https://striking-viking.com/blogs/learn/why-your-beard-needs-more-than-just-a-comb" TargetMode="External"/><Relationship Id="rId200" Type="http://schemas.openxmlformats.org/officeDocument/2006/relationships/hyperlink" Target="https://striking-viking.com/customer_authentication/redirect?locale=en&amp;region_country=US" TargetMode="External"/><Relationship Id="rId20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02" Type="http://schemas.openxmlformats.org/officeDocument/2006/relationships/hyperlink" Target="https://striking-viking.com/collections/best-sellers-grooming-kit" TargetMode="External"/><Relationship Id="rId203" Type="http://schemas.openxmlformats.org/officeDocument/2006/relationships/hyperlink" Target="https://striking-viking.com/customer_authentication/redirect?locale=en&amp;region_country=US" TargetMode="External"/><Relationship Id="rId20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05" Type="http://schemas.openxmlformats.org/officeDocument/2006/relationships/hyperlink" Target="https://striking-viking.com/products/ontaki-beard-mustache-scissors-with-finger-rest-5-inch-german-steel-grooming-kit" TargetMode="External"/><Relationship Id="rId206" Type="http://schemas.openxmlformats.org/officeDocument/2006/relationships/hyperlink" Target="https://striking-viking.com/customer_authentication/redirect?locale=en&amp;region_country=US" TargetMode="External"/><Relationship Id="rId20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08" Type="http://schemas.openxmlformats.org/officeDocument/2006/relationships/hyperlink" Target="https://striking-viking.com/products/striking-viking-unscented-beard-butter-for-moisturizing-softening-daily-beard-care" TargetMode="External"/><Relationship Id="rId209" Type="http://schemas.openxmlformats.org/officeDocument/2006/relationships/hyperlink" Target="https://striking-viking.com/customer_authentication/redirect?locale=en&amp;region_country=US" TargetMode="External"/><Relationship Id="rId21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11" Type="http://schemas.openxmlformats.org/officeDocument/2006/relationships/hyperlink" Target="https://striking-viking.com/products/striking-viking-beard-grooming-kit-with-toiletry-bag-8-piece-mens-grooming-set" TargetMode="External"/><Relationship Id="rId212" Type="http://schemas.openxmlformats.org/officeDocument/2006/relationships/hyperlink" Target="https://striking-viking.com/customer_authentication/redirect?locale=en&amp;region_country=US" TargetMode="External"/><Relationship Id="rId21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14" Type="http://schemas.openxmlformats.org/officeDocument/2006/relationships/hyperlink" Target="https://striking-viking.com/blogs/learn/level-up-your-beard-game-the-striking-viking-beard-filler-pen" TargetMode="External"/><Relationship Id="rId215" Type="http://schemas.openxmlformats.org/officeDocument/2006/relationships/hyperlink" Target="https://striking-viking.com/customer_authentication/redirect?locale=en&amp;region_country=US" TargetMode="External"/><Relationship Id="rId21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17" Type="http://schemas.openxmlformats.org/officeDocument/2006/relationships/hyperlink" Target="https://striking-viking.com/blogs/learn/beard-oil-vs-beard-balm-solving-the-modern-problem-for-gentlemen-with-beards" TargetMode="External"/><Relationship Id="rId218" Type="http://schemas.openxmlformats.org/officeDocument/2006/relationships/hyperlink" Target="https://striking-viking.com/customer_authentication/redirect?locale=en&amp;region_country=US" TargetMode="External"/><Relationship Id="rId21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20" Type="http://schemas.openxmlformats.org/officeDocument/2006/relationships/hyperlink" Target="https://striking-viking.com/products/striking-viking-beard-filler-pen-2-pack-waterproof-beard-pen-for-filling-gaps-covering-patches?variant=50685239755094" TargetMode="External"/><Relationship Id="rId221" Type="http://schemas.openxmlformats.org/officeDocument/2006/relationships/hyperlink" Target="https://striking-viking.com/customer_authentication/redirect?locale=en&amp;region_country=US" TargetMode="External"/><Relationship Id="rId22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23" Type="http://schemas.openxmlformats.org/officeDocument/2006/relationships/hyperlink" Target="https://striking-viking.com/products/beard-butter-blue-ocean" TargetMode="External"/><Relationship Id="rId224" Type="http://schemas.openxmlformats.org/officeDocument/2006/relationships/hyperlink" Target="https://striking-viking.com/customer_authentication/redirect?locale=en&amp;region_country=US" TargetMode="External"/><Relationship Id="rId22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26" Type="http://schemas.openxmlformats.org/officeDocument/2006/relationships/hyperlink" Target="https://striking-viking.com/products/striking-viking-beard-filler-pen-2-pack-waterproof-beard-pen-for-filling-gaps-covering-patches?variant=51787893113174" TargetMode="External"/><Relationship Id="rId227" Type="http://schemas.openxmlformats.org/officeDocument/2006/relationships/hyperlink" Target="https://striking-viking.com/customer_authentication/redirect?locale=en&amp;region_country=US" TargetMode="External"/><Relationship Id="rId22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29" Type="http://schemas.openxmlformats.org/officeDocument/2006/relationships/hyperlink" Target="https://striking-viking.com/products/charlemagne-carbon-hair-comb-for-men-professional-heat-resistant-styling-detangling-comb" TargetMode="External"/><Relationship Id="rId230" Type="http://schemas.openxmlformats.org/officeDocument/2006/relationships/hyperlink" Target="https://striking-viking.com/customer_authentication/redirect?locale=en&amp;region_country=US" TargetMode="External"/><Relationship Id="rId23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32" Type="http://schemas.openxmlformats.org/officeDocument/2006/relationships/hyperlink" Target="https://striking-viking.com/products/striking-viking-vanilla-beard-growth-bundle-with-biotin-beard-serum-titanium-derma-roller" TargetMode="External"/><Relationship Id="rId233" Type="http://schemas.openxmlformats.org/officeDocument/2006/relationships/hyperlink" Target="https://striking-viking.com/customer_authentication/redirect?locale=en&amp;region_country=US" TargetMode="External"/><Relationship Id="rId23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35" Type="http://schemas.openxmlformats.org/officeDocument/2006/relationships/hyperlink" Target="https://striking-viking.com/products/striking-viking-beard-filler-pencil-with-dual-tip-pen-brush-for-natural-beard-styling?variant=52771898818902" TargetMode="External"/><Relationship Id="rId236" Type="http://schemas.openxmlformats.org/officeDocument/2006/relationships/hyperlink" Target="https://striking-viking.com/customer_authentication/redirect?locale=en&amp;region_country=US" TargetMode="External"/><Relationship Id="rId23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38" Type="http://schemas.openxmlformats.org/officeDocument/2006/relationships/hyperlink" Target="https://striking-viking.com/collections/after-shave-balm" TargetMode="External"/><Relationship Id="rId239" Type="http://schemas.openxmlformats.org/officeDocument/2006/relationships/hyperlink" Target="https://striking-viking.com/customer_authentication/redirect?locale=en&amp;region_country=US" TargetMode="External"/><Relationship Id="rId24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41" Type="http://schemas.openxmlformats.org/officeDocument/2006/relationships/hyperlink" Target="https://striking-viking.com/blogs/learn/top-10-beard-costumes-for-halloween" TargetMode="External"/><Relationship Id="rId242" Type="http://schemas.openxmlformats.org/officeDocument/2006/relationships/hyperlink" Target="https://striking-viking.com/customer_authentication/redirect?locale=en&amp;region_country=US" TargetMode="External"/><Relationship Id="rId24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44" Type="http://schemas.openxmlformats.org/officeDocument/2006/relationships/hyperlink" Target="https://striking-viking.com/collections/powders" TargetMode="External"/><Relationship Id="rId245" Type="http://schemas.openxmlformats.org/officeDocument/2006/relationships/hyperlink" Target="https://striking-viking.com/customer_authentication/redirect?locale=en&amp;region_country=US" TargetMode="External"/><Relationship Id="rId24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47" Type="http://schemas.openxmlformats.org/officeDocument/2006/relationships/hyperlink" Target="https://striking-viking.com/pages/sign-up" TargetMode="External"/><Relationship Id="rId248" Type="http://schemas.openxmlformats.org/officeDocument/2006/relationships/hyperlink" Target="https://striking-viking.com/customer_authentication/redirect?locale=en&amp;region_country=US" TargetMode="External"/><Relationship Id="rId24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50" Type="http://schemas.openxmlformats.org/officeDocument/2006/relationships/hyperlink" Target="https://striking-viking.com/blogs/learn/ride-the-wave-striking-viking-sea-salt-spray-for-effortless-men-s-style" TargetMode="External"/><Relationship Id="rId251" Type="http://schemas.openxmlformats.org/officeDocument/2006/relationships/hyperlink" Target="https://striking-viking.com/customer_authentication/redirect?locale=en&amp;region_country=US" TargetMode="External"/><Relationship Id="rId25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53" Type="http://schemas.openxmlformats.org/officeDocument/2006/relationships/hyperlink" Target="https://striking-viking.com/products/striking-viking-blue-ocean-beard-balm-for-men-natural-beard-balm-with-shea-butter-jojoba" TargetMode="External"/><Relationship Id="rId254" Type="http://schemas.openxmlformats.org/officeDocument/2006/relationships/hyperlink" Target="https://striking-viking.com/customer_authentication/redirect?locale=en&amp;region_country=US" TargetMode="External"/><Relationship Id="rId25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56" Type="http://schemas.openxmlformats.org/officeDocument/2006/relationships/hyperlink" Target="https://striking-viking.com/blogs/learn/the-ultimate-guide-to-grooming-with-ontaki-scissors" TargetMode="External"/><Relationship Id="rId257" Type="http://schemas.openxmlformats.org/officeDocument/2006/relationships/hyperlink" Target="https://striking-viking.com/customer_authentication/redirect?locale=en&amp;region_country=US" TargetMode="External"/><Relationship Id="rId25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59" Type="http://schemas.openxmlformats.org/officeDocument/2006/relationships/hyperlink" Target="https://striking-viking.com/products/striking-viking-cedarwood-beard-balm" TargetMode="External"/><Relationship Id="rId260" Type="http://schemas.openxmlformats.org/officeDocument/2006/relationships/hyperlink" Target="https://striking-viking.com/customer_authentication/redirect?locale=en&amp;region_country=US" TargetMode="External"/><Relationship Id="rId26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62" Type="http://schemas.openxmlformats.org/officeDocument/2006/relationships/hyperlink" Target="https://striking-viking.com/products/beard-growth-butter-with-biotin-4-oz-blue-ocean" TargetMode="External"/><Relationship Id="rId263" Type="http://schemas.openxmlformats.org/officeDocument/2006/relationships/hyperlink" Target="https://striking-viking.com/customer_authentication/redirect?locale=en&amp;region_country=US" TargetMode="External"/><Relationship Id="rId26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65" Type="http://schemas.openxmlformats.org/officeDocument/2006/relationships/hyperlink" Target="https://striking-viking.com/products/charlemagne-carbon-wide-tooth-comb-for-men-heat-resistant-carbon-fiber-hair-comb" TargetMode="External"/><Relationship Id="rId266" Type="http://schemas.openxmlformats.org/officeDocument/2006/relationships/hyperlink" Target="https://striking-viking.com/customer_authentication/redirect?locale=en&amp;region_country=US" TargetMode="External"/><Relationship Id="rId26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68" Type="http://schemas.openxmlformats.org/officeDocument/2006/relationships/hyperlink" Target="https://striking-viking.com/collections/hair-care" TargetMode="External"/><Relationship Id="rId269" Type="http://schemas.openxmlformats.org/officeDocument/2006/relationships/hyperlink" Target="https://striking-viking.com/customer_authentication/redirect?locale=en&amp;region_country=US" TargetMode="External"/><Relationship Id="rId27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71" Type="http://schemas.openxmlformats.org/officeDocument/2006/relationships/hyperlink" Target="https://striking-viking.com/blogs/learn/heads-shoulders-knees-and-toes-but-why-forget-the-beard" TargetMode="External"/><Relationship Id="rId272" Type="http://schemas.openxmlformats.org/officeDocument/2006/relationships/hyperlink" Target="https://striking-viking.com/customer_authentication/redirect?locale=en&amp;region_country=US" TargetMode="External"/><Relationship Id="rId27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74" Type="http://schemas.openxmlformats.org/officeDocument/2006/relationships/hyperlink" Target="https://striking-viking.com/collections/shaving" TargetMode="External"/><Relationship Id="rId275" Type="http://schemas.openxmlformats.org/officeDocument/2006/relationships/hyperlink" Target="https://striking-viking.com/customer_authentication/redirect?locale=en&amp;region_country=US" TargetMode="External"/><Relationship Id="rId27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77" Type="http://schemas.openxmlformats.org/officeDocument/2006/relationships/hyperlink" Target="https://striking-viking.com/products/striking-viking-sandalwood-beard-growth-bundle-with-titanium-derma-roller-beard-growth-serum" TargetMode="External"/><Relationship Id="rId278" Type="http://schemas.openxmlformats.org/officeDocument/2006/relationships/hyperlink" Target="https://striking-viking.com/customer_authentication/redirect?locale=en&amp;region_country=US" TargetMode="External"/><Relationship Id="rId27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80" Type="http://schemas.openxmlformats.org/officeDocument/2006/relationships/hyperlink" Target="https://striking-viking.com/products/striking-viking-sandalwood-beard-butter-for-soft-hydrated-healthy-beard-care-for-men" TargetMode="External"/><Relationship Id="rId281" Type="http://schemas.openxmlformats.org/officeDocument/2006/relationships/hyperlink" Target="https://striking-viking.com/customer_authentication/redirect?locale=en&amp;region_country=US" TargetMode="External"/><Relationship Id="rId28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83" Type="http://schemas.openxmlformats.org/officeDocument/2006/relationships/hyperlink" Target="https://striking-viking.com/products/round-hair-brush" TargetMode="External"/><Relationship Id="rId284" Type="http://schemas.openxmlformats.org/officeDocument/2006/relationships/hyperlink" Target="https://striking-viking.com/customer_authentication/redirect?locale=en&amp;region_country=US" TargetMode="External"/><Relationship Id="rId28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86" Type="http://schemas.openxmlformats.org/officeDocument/2006/relationships/hyperlink" Target="https://striking-viking.com/products/striking-viking-beard-filler-pencil-with-dual-tip-pen-brush-for-natural-beard-styling?variant=52771898982742" TargetMode="External"/><Relationship Id="rId287" Type="http://schemas.openxmlformats.org/officeDocument/2006/relationships/hyperlink" Target="https://striking-viking.com/customer_authentication/redirect?locale=en&amp;region_country=US" TargetMode="External"/><Relationship Id="rId28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89" Type="http://schemas.openxmlformats.org/officeDocument/2006/relationships/hyperlink" Target="https://striking-viking.com/products/striking-viking-hair-styling-powder-for-men-light-hold-vanilla-natural-volume-texture" TargetMode="External"/><Relationship Id="rId290" Type="http://schemas.openxmlformats.org/officeDocument/2006/relationships/hyperlink" Target="https://striking-viking.com/customer_authentication/redirect?locale=en&amp;region_country=US" TargetMode="External"/><Relationship Id="rId29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92" Type="http://schemas.openxmlformats.org/officeDocument/2006/relationships/hyperlink" Target="https://striking-viking.com/products/striking-viking-beard-filler-pen-2-pack-waterproof-beard-pen-for-filling-gaps-covering-patches?variant=50685199712598" TargetMode="External"/><Relationship Id="rId293" Type="http://schemas.openxmlformats.org/officeDocument/2006/relationships/hyperlink" Target="https://striking-viking.com/customer_authentication/redirect?locale=en&amp;region_country=US" TargetMode="External"/><Relationship Id="rId29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95" Type="http://schemas.openxmlformats.org/officeDocument/2006/relationships/hyperlink" Target="https://striking-viking.com/pages/special-discount" TargetMode="External"/><Relationship Id="rId296" Type="http://schemas.openxmlformats.org/officeDocument/2006/relationships/hyperlink" Target="https://striking-viking.com/customer_authentication/redirect?locale=en&amp;region_country=US" TargetMode="External"/><Relationship Id="rId29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298" Type="http://schemas.openxmlformats.org/officeDocument/2006/relationships/hyperlink" Target="https://striking-viking.com/products/striking-viking-beard-filler-pencil-with-dual-tip-pen-brush-for-natural-beard-styling?variant=52771898884438" TargetMode="External"/><Relationship Id="rId299" Type="http://schemas.openxmlformats.org/officeDocument/2006/relationships/hyperlink" Target="https://striking-viking.com/customer_authentication/redirect?locale=en&amp;region_country=US" TargetMode="External"/><Relationship Id="rId30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01" Type="http://schemas.openxmlformats.org/officeDocument/2006/relationships/hyperlink" Target="https://striking-viking.com/collections/beard-balm" TargetMode="External"/><Relationship Id="rId302" Type="http://schemas.openxmlformats.org/officeDocument/2006/relationships/hyperlink" Target="https://striking-viking.com/customer_authentication/redirect?locale=en&amp;region_country=US" TargetMode="External"/><Relationship Id="rId30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04" Type="http://schemas.openxmlformats.org/officeDocument/2006/relationships/hyperlink" Target="https://striking-viking.com/collections/biotin-beard-growth" TargetMode="External"/><Relationship Id="rId305" Type="http://schemas.openxmlformats.org/officeDocument/2006/relationships/hyperlink" Target="https://striking-viking.com/customer_authentication/redirect?locale=en&amp;region_country=US" TargetMode="External"/><Relationship Id="rId30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07" Type="http://schemas.openxmlformats.org/officeDocument/2006/relationships/hyperlink" Target="https://striking-viking.com/collections/brushes" TargetMode="External"/><Relationship Id="rId308" Type="http://schemas.openxmlformats.org/officeDocument/2006/relationships/hyperlink" Target="https://striking-viking.com/customer_authentication/redirect?locale=en&amp;region_country=US" TargetMode="External"/><Relationship Id="rId30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10" Type="http://schemas.openxmlformats.org/officeDocument/2006/relationships/hyperlink" Target="https://striking-viking.com/blogs/learn/what-is-movember-unveiling-the-significance-behind-the-month-of-facial-fuzz" TargetMode="External"/><Relationship Id="rId311" Type="http://schemas.openxmlformats.org/officeDocument/2006/relationships/hyperlink" Target="https://striking-viking.com/customer_authentication/redirect?locale=en&amp;region_country=US" TargetMode="External"/><Relationship Id="rId31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13" Type="http://schemas.openxmlformats.org/officeDocument/2006/relationships/hyperlink" Target="https://striking-viking.com/products/striking-viking-vanilla-shaving-cream-for-men-rich-lather-for-a-smooth-comfortable-shave" TargetMode="External"/><Relationship Id="rId314" Type="http://schemas.openxmlformats.org/officeDocument/2006/relationships/hyperlink" Target="https://striking-viking.com/customer_authentication/redirect?locale=en&amp;region_country=US" TargetMode="External"/><Relationship Id="rId31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16" Type="http://schemas.openxmlformats.org/officeDocument/2006/relationships/hyperlink" Target="https://striking-viking.com/products/striking-viking-unscented-after-shave-balm-for-men-soothing-hydration-skin-care" TargetMode="External"/><Relationship Id="rId317" Type="http://schemas.openxmlformats.org/officeDocument/2006/relationships/hyperlink" Target="https://striking-viking.com/customer_authentication/redirect?locale=en&amp;region_country=US" TargetMode="External"/><Relationship Id="rId31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19" Type="http://schemas.openxmlformats.org/officeDocument/2006/relationships/hyperlink" Target="https://striking-viking.com/products/striking-viking-beard-shampoo-with-natural-peppermint-eucalyptus-for-refreshing-beard-care" TargetMode="External"/><Relationship Id="rId320" Type="http://schemas.openxmlformats.org/officeDocument/2006/relationships/hyperlink" Target="https://striking-viking.com/customer_authentication/redirect?locale=en&amp;region_country=US" TargetMode="External"/><Relationship Id="rId32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22" Type="http://schemas.openxmlformats.org/officeDocument/2006/relationships/hyperlink" Target="https://striking-viking.com/blogs/learn/41241281-the-dude" TargetMode="External"/><Relationship Id="rId323" Type="http://schemas.openxmlformats.org/officeDocument/2006/relationships/hyperlink" Target="https://striking-viking.com/customer_authentication/redirect?locale=en&amp;region_country=US" TargetMode="External"/><Relationship Id="rId32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25" Type="http://schemas.openxmlformats.org/officeDocument/2006/relationships/hyperlink" Target="https://striking-viking.com/products/striking-viking-bergamot-thunder-beard-balm-for-men-natural-beard-balm-with-shea-butter" TargetMode="External"/><Relationship Id="rId326" Type="http://schemas.openxmlformats.org/officeDocument/2006/relationships/hyperlink" Target="https://striking-viking.com/customer_authentication/redirect?locale=en&amp;region_country=US" TargetMode="External"/><Relationship Id="rId32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28" Type="http://schemas.openxmlformats.org/officeDocument/2006/relationships/hyperlink" Target="https://striking-viking.com/products/gift-card-striking-viking" TargetMode="External"/><Relationship Id="rId329" Type="http://schemas.openxmlformats.org/officeDocument/2006/relationships/hyperlink" Target="https://striking-viking.com/customer_authentication/redirect?locale=en&amp;region_country=US" TargetMode="External"/><Relationship Id="rId33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31" Type="http://schemas.openxmlformats.org/officeDocument/2006/relationships/hyperlink" Target="https://striking-viking.com/products/beard-growth-butter-with-biotin-4-oz-sandalwood" TargetMode="External"/><Relationship Id="rId332" Type="http://schemas.openxmlformats.org/officeDocument/2006/relationships/hyperlink" Target="https://striking-viking.com/customer_authentication/redirect?locale=en&amp;region_country=US" TargetMode="External"/><Relationship Id="rId33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34" Type="http://schemas.openxmlformats.org/officeDocument/2006/relationships/hyperlink" Target="https://striking-viking.com/products/striking-viking-unscented-pre-shave-oil-for-men-smooth-razor-glide-skin-protection" TargetMode="External"/><Relationship Id="rId335" Type="http://schemas.openxmlformats.org/officeDocument/2006/relationships/hyperlink" Target="https://striking-viking.com/customer_authentication/redirect?locale=en&amp;region_country=US" TargetMode="External"/><Relationship Id="rId33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37" Type="http://schemas.openxmlformats.org/officeDocument/2006/relationships/hyperlink" Target="https://striking-viking.com/blogs/learn/how-to-fill-in-a-patchy-beard" TargetMode="External"/><Relationship Id="rId338" Type="http://schemas.openxmlformats.org/officeDocument/2006/relationships/hyperlink" Target="https://striking-viking.com/customer_authentication/redirect?locale=en&amp;region_country=US" TargetMode="External"/><Relationship Id="rId33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40" Type="http://schemas.openxmlformats.org/officeDocument/2006/relationships/hyperlink" Target="https://striking-viking.com/collections/beard-wash" TargetMode="External"/><Relationship Id="rId341" Type="http://schemas.openxmlformats.org/officeDocument/2006/relationships/hyperlink" Target="https://striking-viking.com/customer_authentication/redirect?locale=en&amp;region_country=US" TargetMode="External"/><Relationship Id="rId34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43" Type="http://schemas.openxmlformats.org/officeDocument/2006/relationships/hyperlink" Target="https://striking-viking.com/products/striking-viking-beard-growth-power-kit-with-biotin-beard-oil-shampoo-derma-roller" TargetMode="External"/><Relationship Id="rId344" Type="http://schemas.openxmlformats.org/officeDocument/2006/relationships/hyperlink" Target="https://striking-viking.com/customer_authentication/redirect?locale=en&amp;region_country=US" TargetMode="External"/><Relationship Id="rId34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46" Type="http://schemas.openxmlformats.org/officeDocument/2006/relationships/hyperlink" Target="https://striking-viking.com/products/striking-viking-sandalwood-beard-oil" TargetMode="External"/><Relationship Id="rId347" Type="http://schemas.openxmlformats.org/officeDocument/2006/relationships/hyperlink" Target="https://striking-viking.com/customer_authentication/redirect?locale=en&amp;region_country=US" TargetMode="External"/><Relationship Id="rId34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49" Type="http://schemas.openxmlformats.org/officeDocument/2006/relationships/hyperlink" Target="https://striking-viking.com/products/striking-viking-blue-ocean-beard-oil-for-men-natural-beard-growth-oil-with-argan-jojoba" TargetMode="External"/><Relationship Id="rId350" Type="http://schemas.openxmlformats.org/officeDocument/2006/relationships/hyperlink" Target="https://striking-viking.com/customer_authentication/redirect?locale=en&amp;region_country=US" TargetMode="External"/><Relationship Id="rId35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52" Type="http://schemas.openxmlformats.org/officeDocument/2006/relationships/hyperlink" Target="https://striking-viking.com/pages/beard-filler-pens" TargetMode="External"/><Relationship Id="rId353" Type="http://schemas.openxmlformats.org/officeDocument/2006/relationships/hyperlink" Target="https://striking-viking.com/customer_authentication/redirect?locale=en&amp;region_country=US" TargetMode="External"/><Relationship Id="rId35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55" Type="http://schemas.openxmlformats.org/officeDocument/2006/relationships/hyperlink" Target="https://striking-viking.com/pages/write-a-review" TargetMode="External"/><Relationship Id="rId356" Type="http://schemas.openxmlformats.org/officeDocument/2006/relationships/hyperlink" Target="https://striking-viking.com/customer_authentication/redirect?locale=en&amp;region_country=US" TargetMode="External"/><Relationship Id="rId35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58" Type="http://schemas.openxmlformats.org/officeDocument/2006/relationships/hyperlink" Target="https://striking-viking.com/blogs/learn/grooming-products-to-pamper-your-beard-flyaway" TargetMode="External"/><Relationship Id="rId359" Type="http://schemas.openxmlformats.org/officeDocument/2006/relationships/hyperlink" Target="https://striking-viking.com/customer_authentication/redirect?locale=en&amp;region_country=US" TargetMode="External"/><Relationship Id="rId36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61" Type="http://schemas.openxmlformats.org/officeDocument/2006/relationships/hyperlink" Target="https://striking-viking.com/products/striking-viking-beard-filler-pencil-with-dual-tip-pen-brush-for-natural-beard-styling?variant=52771898917206" TargetMode="External"/><Relationship Id="rId362" Type="http://schemas.openxmlformats.org/officeDocument/2006/relationships/hyperlink" Target="https://striking-viking.com/customer_authentication/redirect?locale=en&amp;region_country=US" TargetMode="External"/><Relationship Id="rId36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64" Type="http://schemas.openxmlformats.org/officeDocument/2006/relationships/hyperlink" Target="https://striking-viking.com/products/striking-viking-beard-filler-pen-2-pack-waterproof-beard-pen-for-filling-gaps-covering-patches?variant=40283199242294" TargetMode="External"/><Relationship Id="rId365" Type="http://schemas.openxmlformats.org/officeDocument/2006/relationships/hyperlink" Target="https://striking-viking.com/customer_authentication/redirect?locale=en&amp;region_country=US" TargetMode="External"/><Relationship Id="rId36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67" Type="http://schemas.openxmlformats.org/officeDocument/2006/relationships/hyperlink" Target="https://striking-viking.com/pages/become-a-reseller" TargetMode="External"/><Relationship Id="rId368" Type="http://schemas.openxmlformats.org/officeDocument/2006/relationships/hyperlink" Target="https://striking-viking.com/customer_authentication/redirect?locale=en&amp;region_country=US" TargetMode="External"/><Relationship Id="rId36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70" Type="http://schemas.openxmlformats.org/officeDocument/2006/relationships/hyperlink" Target="https://striking-viking.com/products/striking-viking-beard-filler-pen-2-pack-waterproof-beard-pen-for-filling-gaps-covering-patches?variant=40283191017526" TargetMode="External"/><Relationship Id="rId371" Type="http://schemas.openxmlformats.org/officeDocument/2006/relationships/hyperlink" Target="https://striking-viking.com/customer_authentication/redirect?locale=en&amp;region_country=US" TargetMode="External"/><Relationship Id="rId37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73" Type="http://schemas.openxmlformats.org/officeDocument/2006/relationships/hyperlink" Target="https://striking-viking.com/blogs/learn/the-ultimate-beard-growth-routine-for-a-thicker-healthier-beard-2026-guide" TargetMode="External"/><Relationship Id="rId374" Type="http://schemas.openxmlformats.org/officeDocument/2006/relationships/hyperlink" Target="https://striking-viking.com/customer_authentication/redirect?locale=en&amp;region_country=US" TargetMode="External"/><Relationship Id="rId37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76" Type="http://schemas.openxmlformats.org/officeDocument/2006/relationships/hyperlink" Target="https://striking-viking.com/products/ontaki-german-steel-beard-mustache-scissors-professional-grooming-kit" TargetMode="External"/><Relationship Id="rId377" Type="http://schemas.openxmlformats.org/officeDocument/2006/relationships/hyperlink" Target="https://striking-viking.com/customer_authentication/redirect?locale=en&amp;region_country=US" TargetMode="External"/><Relationship Id="rId37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79" Type="http://schemas.openxmlformats.org/officeDocument/2006/relationships/hyperlink" Target="https://striking-viking.com/products/striking-viking-sandalwood-beard-growth-kit-with-biotin-oil-0-25mm-derma-roller" TargetMode="External"/><Relationship Id="rId380" Type="http://schemas.openxmlformats.org/officeDocument/2006/relationships/hyperlink" Target="https://striking-viking.com/customer_authentication/redirect?locale=en&amp;region_country=US" TargetMode="External"/><Relationship Id="rId38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82" Type="http://schemas.openxmlformats.org/officeDocument/2006/relationships/hyperlink" Target="https://striking-viking.com/blogs/learn/tame-the-wild-meet-the-striking-viking-sandalwood-beard-comb" TargetMode="External"/><Relationship Id="rId383" Type="http://schemas.openxmlformats.org/officeDocument/2006/relationships/hyperlink" Target="https://striking-viking.com/customer_authentication/redirect?locale=en&amp;region_country=US" TargetMode="External"/><Relationship Id="rId38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85" Type="http://schemas.openxmlformats.org/officeDocument/2006/relationships/hyperlink" Target="https://striking-viking.com/blogs/learn/get-rid-of-beard-dandruff" TargetMode="External"/><Relationship Id="rId386" Type="http://schemas.openxmlformats.org/officeDocument/2006/relationships/hyperlink" Target="https://striking-viking.com/customer_authentication/redirect?locale=en&amp;region_country=US" TargetMode="External"/><Relationship Id="rId38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88" Type="http://schemas.openxmlformats.org/officeDocument/2006/relationships/hyperlink" Target="https://striking-viking.com/products/2x-mustache-wax-comb-set-sandalwood" TargetMode="External"/><Relationship Id="rId389" Type="http://schemas.openxmlformats.org/officeDocument/2006/relationships/hyperlink" Target="https://striking-viking.com/customer_authentication/redirect?locale=en&amp;region_country=US" TargetMode="External"/><Relationship Id="rId39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91" Type="http://schemas.openxmlformats.org/officeDocument/2006/relationships/hyperlink" Target="https://striking-viking.com/products/striking-viking-beard-oil-variety-4-pack-citrus-vanilla-cedarwood-sandalwood" TargetMode="External"/><Relationship Id="rId392" Type="http://schemas.openxmlformats.org/officeDocument/2006/relationships/hyperlink" Target="https://striking-viking.com/customer_authentication/redirect?locale=en&amp;region_country=US" TargetMode="External"/><Relationship Id="rId39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94" Type="http://schemas.openxmlformats.org/officeDocument/2006/relationships/hyperlink" Target="https://striking-viking.com/products/striking-viking-vanilla-pre-shave-oil-for-men-smooth-razor-glide-skin-protection" TargetMode="External"/><Relationship Id="rId395" Type="http://schemas.openxmlformats.org/officeDocument/2006/relationships/hyperlink" Target="https://striking-viking.com/customer_authentication/redirect?locale=en&amp;region_country=US" TargetMode="External"/><Relationship Id="rId39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397" Type="http://schemas.openxmlformats.org/officeDocument/2006/relationships/hyperlink" Target="https://striking-viking.com/products/striking-viking-vanilla-beard-oil-balm-kit-for-soft-healthy-beard-care-for-men" TargetMode="External"/><Relationship Id="rId398" Type="http://schemas.openxmlformats.org/officeDocument/2006/relationships/hyperlink" Target="https://striking-viking.com/customer_authentication/redirect?locale=en&amp;region_country=US" TargetMode="External"/><Relationship Id="rId39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00" Type="http://schemas.openxmlformats.org/officeDocument/2006/relationships/hyperlink" Target="https://striking-viking.com/blogs/learn/how-to-choose-the-right-hair-cutting-scissors-for-home-or-salon-use" TargetMode="External"/><Relationship Id="rId401" Type="http://schemas.openxmlformats.org/officeDocument/2006/relationships/hyperlink" Target="https://striking-viking.com/customer_authentication/redirect?locale=en&amp;region_country=US" TargetMode="External"/><Relationship Id="rId40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03" Type="http://schemas.openxmlformats.org/officeDocument/2006/relationships/hyperlink" Target="https://striking-viking.com/products/striking-viking-tea-tree-biotin-beard-shampoo-conditioner-set-for-healthy-beard-care" TargetMode="External"/><Relationship Id="rId404" Type="http://schemas.openxmlformats.org/officeDocument/2006/relationships/hyperlink" Target="https://striking-viking.com/customer_authentication/redirect?locale=en&amp;region_country=US" TargetMode="External"/><Relationship Id="rId40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06" Type="http://schemas.openxmlformats.org/officeDocument/2006/relationships/hyperlink" Target="https://striking-viking.com/" TargetMode="External"/><Relationship Id="rId407" Type="http://schemas.openxmlformats.org/officeDocument/2006/relationships/hyperlink" Target="https://striking-viking.com/customer_authentication/redirect?locale=en&amp;region_country=US" TargetMode="External"/><Relationship Id="rId40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09" Type="http://schemas.openxmlformats.org/officeDocument/2006/relationships/hyperlink" Target="https://striking-viking.com/products/striking-viking-terra-sol-beard-balm-for-men-natural-beard-balm-with-shea-butter-jojoba" TargetMode="External"/><Relationship Id="rId410" Type="http://schemas.openxmlformats.org/officeDocument/2006/relationships/hyperlink" Target="https://striking-viking.com/customer_authentication/redirect?locale=en&amp;region_country=US" TargetMode="External"/><Relationship Id="rId41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12" Type="http://schemas.openxmlformats.org/officeDocument/2006/relationships/hyperlink" Target="https://striking-viking.com/products/striking-viking-beard-filler-pencil-with-dual-tip-pen-brush-for-natural-beard-styling" TargetMode="External"/><Relationship Id="rId413" Type="http://schemas.openxmlformats.org/officeDocument/2006/relationships/hyperlink" Target="https://striking-viking.com/customer_authentication/redirect?locale=en&amp;region_country=US" TargetMode="External"/><Relationship Id="rId41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15" Type="http://schemas.openxmlformats.org/officeDocument/2006/relationships/hyperlink" Target="https://striking-viking.com/products/ontaki-hair-thinning-shears-kit-7-inch-professional-hair-cutting-texturizing-set" TargetMode="External"/><Relationship Id="rId416" Type="http://schemas.openxmlformats.org/officeDocument/2006/relationships/hyperlink" Target="https://striking-viking.com/customer_authentication/redirect?locale=en&amp;region_country=US" TargetMode="External"/><Relationship Id="rId41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18" Type="http://schemas.openxmlformats.org/officeDocument/2006/relationships/hyperlink" Target="https://striking-viking.com/pages/about-us" TargetMode="External"/><Relationship Id="rId419" Type="http://schemas.openxmlformats.org/officeDocument/2006/relationships/hyperlink" Target="https://striking-viking.com/customer_authentication/redirect?locale=en&amp;region_country=US" TargetMode="External"/><Relationship Id="rId42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21" Type="http://schemas.openxmlformats.org/officeDocument/2006/relationships/hyperlink" Target="https://striking-viking.com/products/striking-viking-sandalwood-wooden-beard-comb-brown" TargetMode="External"/><Relationship Id="rId422" Type="http://schemas.openxmlformats.org/officeDocument/2006/relationships/hyperlink" Target="https://striking-viking.com/customer_authentication/redirect?locale=en&amp;region_country=US" TargetMode="External"/><Relationship Id="rId42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24" Type="http://schemas.openxmlformats.org/officeDocument/2006/relationships/hyperlink" Target="https://striking-viking.com/blogs/learn/all-you-need-to-know-about-beard-filler-pens" TargetMode="External"/><Relationship Id="rId425" Type="http://schemas.openxmlformats.org/officeDocument/2006/relationships/hyperlink" Target="https://striking-viking.com/customer_authentication/redirect?locale=en&amp;region_country=US" TargetMode="External"/><Relationship Id="rId42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27" Type="http://schemas.openxmlformats.org/officeDocument/2006/relationships/hyperlink" Target="https://striking-viking.com/blogs/learn/beard-grooming-quintessential-regime-for-the-modern-man" TargetMode="External"/><Relationship Id="rId428" Type="http://schemas.openxmlformats.org/officeDocument/2006/relationships/hyperlink" Target="https://striking-viking.com/customer_authentication/redirect?locale=en&amp;region_country=US" TargetMode="External"/><Relationship Id="rId42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30" Type="http://schemas.openxmlformats.org/officeDocument/2006/relationships/hyperlink" Target="https://striking-viking.com/collections/viking-beard-kits" TargetMode="External"/><Relationship Id="rId431" Type="http://schemas.openxmlformats.org/officeDocument/2006/relationships/hyperlink" Target="https://striking-viking.com/customer_authentication/redirect?locale=en&amp;region_country=US" TargetMode="External"/><Relationship Id="rId43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33" Type="http://schemas.openxmlformats.org/officeDocument/2006/relationships/hyperlink" Target="https://striking-viking.com/collections/last-chance-bogo-free" TargetMode="External"/><Relationship Id="rId434" Type="http://schemas.openxmlformats.org/officeDocument/2006/relationships/hyperlink" Target="https://striking-viking.com/customer_authentication/redirect?locale=en&amp;region_country=US" TargetMode="External"/><Relationship Id="rId43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36" Type="http://schemas.openxmlformats.org/officeDocument/2006/relationships/hyperlink" Target="https://striking-viking.com/collections/tattoo-aftercare" TargetMode="External"/><Relationship Id="rId437" Type="http://schemas.openxmlformats.org/officeDocument/2006/relationships/hyperlink" Target="https://striking-viking.com/customer_authentication/redirect?locale=en&amp;region_country=US" TargetMode="External"/><Relationship Id="rId43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39" Type="http://schemas.openxmlformats.org/officeDocument/2006/relationships/hyperlink" Target="https://striking-viking.com/blogs/learn/elevate-your-look-pomade" TargetMode="External"/><Relationship Id="rId440" Type="http://schemas.openxmlformats.org/officeDocument/2006/relationships/hyperlink" Target="https://striking-viking.com/customer_authentication/redirect?locale=en&amp;region_country=US" TargetMode="External"/><Relationship Id="rId44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42" Type="http://schemas.openxmlformats.org/officeDocument/2006/relationships/hyperlink" Target="https://striking-viking.com/blogs/learn/41234689-brian-wilson" TargetMode="External"/><Relationship Id="rId443" Type="http://schemas.openxmlformats.org/officeDocument/2006/relationships/hyperlink" Target="https://striking-viking.com/customer_authentication/redirect?locale=en&amp;region_country=US" TargetMode="External"/><Relationship Id="rId44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45" Type="http://schemas.openxmlformats.org/officeDocument/2006/relationships/hyperlink" Target="https://striking-viking.com/blogs/learn/essential-grooming-supplies-for-the-bearded-man" TargetMode="External"/><Relationship Id="rId446" Type="http://schemas.openxmlformats.org/officeDocument/2006/relationships/hyperlink" Target="https://striking-viking.com/customer_authentication/redirect?locale=en&amp;region_country=US" TargetMode="External"/><Relationship Id="rId44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48" Type="http://schemas.openxmlformats.org/officeDocument/2006/relationships/hyperlink" Target="https://striking-viking.com/collections/scissors-ontaki" TargetMode="External"/><Relationship Id="rId449" Type="http://schemas.openxmlformats.org/officeDocument/2006/relationships/hyperlink" Target="https://striking-viking.com/customer_authentication/redirect?locale=en&amp;region_country=US" TargetMode="External"/><Relationship Id="rId45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51" Type="http://schemas.openxmlformats.org/officeDocument/2006/relationships/hyperlink" Target="https://striking-viking.com/products/striking-viking-beard-filler-pen-2-pack-dual-tip-waterproof-beard-pen-for-natural-beard-filling?variant=52771991224662" TargetMode="External"/><Relationship Id="rId452" Type="http://schemas.openxmlformats.org/officeDocument/2006/relationships/hyperlink" Target="https://striking-viking.com/customer_authentication/redirect?locale=en&amp;region_country=US" TargetMode="External"/><Relationship Id="rId45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54" Type="http://schemas.openxmlformats.org/officeDocument/2006/relationships/hyperlink" Target="https://striking-viking.com/blogs/learn/beard-grooming-comparison" TargetMode="External"/><Relationship Id="rId455" Type="http://schemas.openxmlformats.org/officeDocument/2006/relationships/hyperlink" Target="https://striking-viking.com/customer_authentication/redirect?locale=en&amp;region_country=US" TargetMode="External"/><Relationship Id="rId45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57" Type="http://schemas.openxmlformats.org/officeDocument/2006/relationships/hyperlink" Target="https://striking-viking.com/products/striking-viking-sandalwood-beard-shampoo-conditioner-set-hydrating-beard-care-for-men" TargetMode="External"/><Relationship Id="rId458" Type="http://schemas.openxmlformats.org/officeDocument/2006/relationships/hyperlink" Target="https://striking-viking.com/customer_authentication/redirect?locale=en&amp;region_country=US" TargetMode="External"/><Relationship Id="rId45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60" Type="http://schemas.openxmlformats.org/officeDocument/2006/relationships/hyperlink" Target="https://striking-viking.com/products/striking-viking-sandalwood-beard-balm" TargetMode="External"/><Relationship Id="rId461" Type="http://schemas.openxmlformats.org/officeDocument/2006/relationships/hyperlink" Target="https://striking-viking.com/customer_authentication/redirect?locale=en&amp;region_country=US" TargetMode="External"/><Relationship Id="rId46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63" Type="http://schemas.openxmlformats.org/officeDocument/2006/relationships/hyperlink" Target="https://striking-viking.com/products/striking-viking-beard-filler-pen-2-pack-dual-tip-waterproof-beard-pen-for-natural-beard-filling?variant=52771991159126" TargetMode="External"/><Relationship Id="rId464" Type="http://schemas.openxmlformats.org/officeDocument/2006/relationships/hyperlink" Target="https://striking-viking.com/customer_authentication/redirect?locale=en&amp;region_country=US" TargetMode="External"/><Relationship Id="rId46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66" Type="http://schemas.openxmlformats.org/officeDocument/2006/relationships/hyperlink" Target="https://striking-viking.com/collections/beard-care" TargetMode="External"/><Relationship Id="rId467" Type="http://schemas.openxmlformats.org/officeDocument/2006/relationships/hyperlink" Target="https://striking-viking.com/customer_authentication/redirect?locale=en&amp;region_country=US" TargetMode="External"/><Relationship Id="rId46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69" Type="http://schemas.openxmlformats.org/officeDocument/2006/relationships/hyperlink" Target="https://striking-viking.com/products/charlemagne-round-hair-brush-for-men-professional-styling-brush-for-volume-blow-drying" TargetMode="External"/><Relationship Id="rId470" Type="http://schemas.openxmlformats.org/officeDocument/2006/relationships/hyperlink" Target="https://striking-viking.com/customer_authentication/redirect?locale=en&amp;region_country=US" TargetMode="External"/><Relationship Id="rId47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72" Type="http://schemas.openxmlformats.org/officeDocument/2006/relationships/hyperlink" Target="https://striking-viking.com/products/ontaki-japanese-steel-rounded-tip-beard-mustache-scissors-4-2-inch-grooming-kit" TargetMode="External"/><Relationship Id="rId473" Type="http://schemas.openxmlformats.org/officeDocument/2006/relationships/hyperlink" Target="https://striking-viking.com/customer_authentication/redirect?locale=en&amp;region_country=US" TargetMode="External"/><Relationship Id="rId47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75" Type="http://schemas.openxmlformats.org/officeDocument/2006/relationships/hyperlink" Target="https://striking-viking.com/blogs/learn" TargetMode="External"/><Relationship Id="rId476" Type="http://schemas.openxmlformats.org/officeDocument/2006/relationships/hyperlink" Target="https://striking-viking.com/customer_authentication/redirect?locale=en&amp;region_country=US" TargetMode="External"/><Relationship Id="rId47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78" Type="http://schemas.openxmlformats.org/officeDocument/2006/relationships/hyperlink" Target="https://striking-viking.com/products/ontaki-japanese-steel-beard-mustache-scissors-5-5-inch-professional-grooming-kit" TargetMode="External"/><Relationship Id="rId479" Type="http://schemas.openxmlformats.org/officeDocument/2006/relationships/hyperlink" Target="https://striking-viking.com/customer_authentication/redirect?locale=en&amp;region_country=US" TargetMode="External"/><Relationship Id="rId48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81" Type="http://schemas.openxmlformats.org/officeDocument/2006/relationships/hyperlink" Target="https://striking-viking.com/collections/2026-deals" TargetMode="External"/><Relationship Id="rId482" Type="http://schemas.openxmlformats.org/officeDocument/2006/relationships/hyperlink" Target="https://striking-viking.com/customer_authentication/redirect?locale=en&amp;region_country=US" TargetMode="External"/><Relationship Id="rId48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84" Type="http://schemas.openxmlformats.org/officeDocument/2006/relationships/hyperlink" Target="https://striking-viking.com/products/striking-viking-sea-salt-spray-for-men-blue-ocean-natural-texture-volume-hair-spray" TargetMode="External"/><Relationship Id="rId485" Type="http://schemas.openxmlformats.org/officeDocument/2006/relationships/hyperlink" Target="https://striking-viking.com/customer_authentication/redirect?locale=en&amp;region_country=US" TargetMode="External"/><Relationship Id="rId48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87" Type="http://schemas.openxmlformats.org/officeDocument/2006/relationships/hyperlink" Target="https://striking-viking.com/blogs/learn/scented-beard-oil-by-striking-viking" TargetMode="External"/><Relationship Id="rId488" Type="http://schemas.openxmlformats.org/officeDocument/2006/relationships/hyperlink" Target="https://striking-viking.com/customer_authentication/redirect?locale=en&amp;region_country=US" TargetMode="External"/><Relationship Id="rId48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90" Type="http://schemas.openxmlformats.org/officeDocument/2006/relationships/hyperlink" Target="https://striking-viking.com/products/striking-viking-sandalwood-beard-shampoo-for-clean-healthy-soft-beard-care-for-men" TargetMode="External"/><Relationship Id="rId491" Type="http://schemas.openxmlformats.org/officeDocument/2006/relationships/hyperlink" Target="https://striking-viking.com/customer_authentication/redirect?locale=en&amp;region_country=US" TargetMode="External"/><Relationship Id="rId49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93" Type="http://schemas.openxmlformats.org/officeDocument/2006/relationships/hyperlink" Target="https://striking-viking.com/products/striking-viking-folding-wooden-comb-sandalwood-beard-hair-comb" TargetMode="External"/><Relationship Id="rId494" Type="http://schemas.openxmlformats.org/officeDocument/2006/relationships/hyperlink" Target="https://striking-viking.com/customer_authentication/redirect?locale=en&amp;region_country=US" TargetMode="External"/><Relationship Id="rId49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96" Type="http://schemas.openxmlformats.org/officeDocument/2006/relationships/hyperlink" Target="https://striking-viking.com/pages/spurit-notifications-cancelled" TargetMode="External"/><Relationship Id="rId497" Type="http://schemas.openxmlformats.org/officeDocument/2006/relationships/hyperlink" Target="https://striking-viking.com/customer_authentication/redirect?locale=en&amp;region_country=US" TargetMode="External"/><Relationship Id="rId49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499" Type="http://schemas.openxmlformats.org/officeDocument/2006/relationships/hyperlink" Target="https://striking-viking.com/products/striking-viking-battle-ready-beard-care-kit-with-beard-oils-balms-beard-filler-pen" TargetMode="External"/><Relationship Id="rId500" Type="http://schemas.openxmlformats.org/officeDocument/2006/relationships/hyperlink" Target="https://striking-viking.com/customer_authentication/redirect?locale=en&amp;region_country=US" TargetMode="External"/><Relationship Id="rId50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02" Type="http://schemas.openxmlformats.org/officeDocument/2006/relationships/hyperlink" Target="https://striking-viking.com/products/striking-viking-vanilla-beard-balm" TargetMode="External"/><Relationship Id="rId503" Type="http://schemas.openxmlformats.org/officeDocument/2006/relationships/hyperlink" Target="https://striking-viking.com/customer_authentication/redirect?locale=en&amp;region_country=US" TargetMode="External"/><Relationship Id="rId50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05" Type="http://schemas.openxmlformats.org/officeDocument/2006/relationships/hyperlink" Target="https://striking-viking.com/products/striking-viking-citrus-beard-oil" TargetMode="External"/><Relationship Id="rId506" Type="http://schemas.openxmlformats.org/officeDocument/2006/relationships/hyperlink" Target="https://striking-viking.com/customer_authentication/redirect?locale=en&amp;region_country=US" TargetMode="External"/><Relationship Id="rId50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08" Type="http://schemas.openxmlformats.org/officeDocument/2006/relationships/hyperlink" Target="https://striking-viking.com/pages/cookie-policy" TargetMode="External"/><Relationship Id="rId509" Type="http://schemas.openxmlformats.org/officeDocument/2006/relationships/hyperlink" Target="https://striking-viking.com/customer_authentication/redirect?locale=en&amp;region_country=US" TargetMode="External"/><Relationship Id="rId51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11" Type="http://schemas.openxmlformats.org/officeDocument/2006/relationships/hyperlink" Target="https://striking-viking.com/pages/spurit-subscriptions" TargetMode="External"/><Relationship Id="rId512" Type="http://schemas.openxmlformats.org/officeDocument/2006/relationships/hyperlink" Target="https://striking-viking.com/customer_authentication/redirect?locale=en&amp;region_country=US" TargetMode="External"/><Relationship Id="rId51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14" Type="http://schemas.openxmlformats.org/officeDocument/2006/relationships/hyperlink" Target="https://striking-viking.com/collections/striking-deals" TargetMode="External"/><Relationship Id="rId515" Type="http://schemas.openxmlformats.org/officeDocument/2006/relationships/hyperlink" Target="https://striking-viking.com/customer_authentication/redirect?locale=en&amp;region_country=US" TargetMode="External"/><Relationship Id="rId51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17" Type="http://schemas.openxmlformats.org/officeDocument/2006/relationships/hyperlink" Target="https://striking-viking.com/collections/new-in-oils-balms" TargetMode="External"/><Relationship Id="rId518" Type="http://schemas.openxmlformats.org/officeDocument/2006/relationships/hyperlink" Target="https://striking-viking.com/customer_authentication/redirect?locale=en&amp;region_country=US" TargetMode="External"/><Relationship Id="rId51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20" Type="http://schemas.openxmlformats.org/officeDocument/2006/relationships/hyperlink" Target="https://striking-viking.com/products/striking-viking-vanilla-beard-growth-kit-with-biotin-oil-0-25mm-derma-roller" TargetMode="External"/><Relationship Id="rId521" Type="http://schemas.openxmlformats.org/officeDocument/2006/relationships/hyperlink" Target="https://striking-viking.com/customer_authentication/redirect?locale=en&amp;region_country=US" TargetMode="External"/><Relationship Id="rId52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23" Type="http://schemas.openxmlformats.org/officeDocument/2006/relationships/hyperlink" Target="https://striking-viking.com/products/beard-growth-balm-with-biotin-2-oz-vanilla" TargetMode="External"/><Relationship Id="rId524" Type="http://schemas.openxmlformats.org/officeDocument/2006/relationships/hyperlink" Target="https://striking-viking.com/customer_authentication/redirect?locale=en&amp;region_country=US" TargetMode="External"/><Relationship Id="rId52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26" Type="http://schemas.openxmlformats.org/officeDocument/2006/relationships/hyperlink" Target="https://striking-viking.com/pages/contact-us" TargetMode="External"/><Relationship Id="rId527" Type="http://schemas.openxmlformats.org/officeDocument/2006/relationships/hyperlink" Target="https://striking-viking.com/customer_authentication/redirect?locale=en&amp;region_country=US" TargetMode="External"/><Relationship Id="rId52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29" Type="http://schemas.openxmlformats.org/officeDocument/2006/relationships/hyperlink" Target="https://striking-viking.com/products/striking-viking-mustache-wax-and-comb-kit" TargetMode="External"/><Relationship Id="rId530" Type="http://schemas.openxmlformats.org/officeDocument/2006/relationships/hyperlink" Target="https://striking-viking.com/customer_authentication/redirect?locale=en&amp;region_country=US" TargetMode="External"/><Relationship Id="rId53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32" Type="http://schemas.openxmlformats.org/officeDocument/2006/relationships/hyperlink" Target="https://striking-viking.com/products/striking-viking-sandalwood-shaving-cream-for-men-rich-lather-for-a-smooth-comfortable-shave" TargetMode="External"/><Relationship Id="rId533" Type="http://schemas.openxmlformats.org/officeDocument/2006/relationships/hyperlink" Target="https://striking-viking.com/customer_authentication/redirect?locale=en&amp;region_country=US" TargetMode="External"/><Relationship Id="rId53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35" Type="http://schemas.openxmlformats.org/officeDocument/2006/relationships/hyperlink" Target="https://striking-viking.com/pages/spurit-reminders-cancelled" TargetMode="External"/><Relationship Id="rId536" Type="http://schemas.openxmlformats.org/officeDocument/2006/relationships/hyperlink" Target="https://striking-viking.com/customer_authentication/redirect?locale=en&amp;region_country=US" TargetMode="External"/><Relationship Id="rId53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38" Type="http://schemas.openxmlformats.org/officeDocument/2006/relationships/hyperlink" Target="https://striking-viking.com/products/ontaki-facial-hair-grooming-scissors-2-pack-precision-beard-nose-mustache-trimming" TargetMode="External"/><Relationship Id="rId539" Type="http://schemas.openxmlformats.org/officeDocument/2006/relationships/hyperlink" Target="https://striking-viking.com/customer_authentication/redirect?locale=en&amp;region_country=US" TargetMode="External"/><Relationship Id="rId54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41" Type="http://schemas.openxmlformats.org/officeDocument/2006/relationships/hyperlink" Target="https://striking-viking.com/blogs/learn/grooming-kit-a-perfect-gift-for-the-modern-man" TargetMode="External"/><Relationship Id="rId542" Type="http://schemas.openxmlformats.org/officeDocument/2006/relationships/hyperlink" Target="https://striking-viking.com/customer_authentication/redirect?locale=en&amp;region_country=US" TargetMode="External"/><Relationship Id="rId54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44" Type="http://schemas.openxmlformats.org/officeDocument/2006/relationships/hyperlink" Target="https://striking-viking.com/products/striking-viking-vanilla-after-shave-balm-for-men-soothing-hydration-skin-care" TargetMode="External"/><Relationship Id="rId545" Type="http://schemas.openxmlformats.org/officeDocument/2006/relationships/hyperlink" Target="https://striking-viking.com/customer_authentication/redirect?locale=en&amp;region_country=US" TargetMode="External"/><Relationship Id="rId54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47" Type="http://schemas.openxmlformats.org/officeDocument/2006/relationships/hyperlink" Target="https://striking-viking.com/blogs/learn/beard-grooming-tools-for-professional-styling-at-home" TargetMode="External"/><Relationship Id="rId548" Type="http://schemas.openxmlformats.org/officeDocument/2006/relationships/hyperlink" Target="https://striking-viking.com/customer_authentication/redirect?locale=en&amp;region_country=US" TargetMode="External"/><Relationship Id="rId54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50" Type="http://schemas.openxmlformats.org/officeDocument/2006/relationships/hyperlink" Target="https://striking-viking.com/products/striking-viking-citrus-beard-balm" TargetMode="External"/><Relationship Id="rId551" Type="http://schemas.openxmlformats.org/officeDocument/2006/relationships/hyperlink" Target="https://striking-viking.com/customer_authentication/redirect?locale=en&amp;region_country=US" TargetMode="External"/><Relationship Id="rId55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53" Type="http://schemas.openxmlformats.org/officeDocument/2006/relationships/hyperlink" Target="https://striking-viking.com/products/striking-viking-unscented-beard-balm-natural-beard-styling-conditioning" TargetMode="External"/><Relationship Id="rId554" Type="http://schemas.openxmlformats.org/officeDocument/2006/relationships/hyperlink" Target="https://striking-viking.com/customer_authentication/redirect?locale=en&amp;region_country=US" TargetMode="External"/><Relationship Id="rId55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56" Type="http://schemas.openxmlformats.org/officeDocument/2006/relationships/hyperlink" Target="https://striking-viking.com/collections/sprays" TargetMode="External"/><Relationship Id="rId557" Type="http://schemas.openxmlformats.org/officeDocument/2006/relationships/hyperlink" Target="https://striking-viking.com/customer_authentication/redirect?locale=en&amp;region_country=US" TargetMode="External"/><Relationship Id="rId55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59" Type="http://schemas.openxmlformats.org/officeDocument/2006/relationships/hyperlink" Target="https://striking-viking.com/products/striking-viking-sandalwood-after-shave-balm-for-men-soothing-hydration-skin-care" TargetMode="External"/><Relationship Id="rId560" Type="http://schemas.openxmlformats.org/officeDocument/2006/relationships/hyperlink" Target="https://striking-viking.com/customer_authentication/redirect?locale=en&amp;region_country=US" TargetMode="External"/><Relationship Id="rId56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62" Type="http://schemas.openxmlformats.org/officeDocument/2006/relationships/hyperlink" Target="https://striking-viking.com/collections/beard-growth-kits" TargetMode="External"/><Relationship Id="rId563" Type="http://schemas.openxmlformats.org/officeDocument/2006/relationships/hyperlink" Target="https://striking-viking.com/customer_authentication/redirect?locale=en&amp;region_country=US" TargetMode="External"/><Relationship Id="rId56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65" Type="http://schemas.openxmlformats.org/officeDocument/2006/relationships/hyperlink" Target="https://striking-viking.com/products/carbon-hair-comb" TargetMode="External"/><Relationship Id="rId566" Type="http://schemas.openxmlformats.org/officeDocument/2006/relationships/hyperlink" Target="https://striking-viking.com/customer_authentication/redirect?locale=en&amp;region_country=US" TargetMode="External"/><Relationship Id="rId56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68" Type="http://schemas.openxmlformats.org/officeDocument/2006/relationships/hyperlink" Target="https://striking-viking.com/products/shipping-protection" TargetMode="External"/><Relationship Id="rId569" Type="http://schemas.openxmlformats.org/officeDocument/2006/relationships/hyperlink" Target="https://striking-viking.com/customer_authentication/redirect?locale=en&amp;region_country=US" TargetMode="External"/><Relationship Id="rId57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71" Type="http://schemas.openxmlformats.org/officeDocument/2006/relationships/hyperlink" Target="https://striking-viking.com/products/ontaki-japanese-steel-beard-hair-scissors-5-5-inch-professional-grooming-shears" TargetMode="External"/><Relationship Id="rId572" Type="http://schemas.openxmlformats.org/officeDocument/2006/relationships/hyperlink" Target="https://striking-viking.com/customer_authentication/redirect?locale=en&amp;region_country=US" TargetMode="External"/><Relationship Id="rId57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74" Type="http://schemas.openxmlformats.org/officeDocument/2006/relationships/hyperlink" Target="https://striking-viking.com/pages/collab" TargetMode="External"/><Relationship Id="rId575" Type="http://schemas.openxmlformats.org/officeDocument/2006/relationships/hyperlink" Target="https://striking-viking.com/customer_authentication/redirect?locale=en&amp;region_country=US" TargetMode="External"/><Relationship Id="rId57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77" Type="http://schemas.openxmlformats.org/officeDocument/2006/relationships/hyperlink" Target="https://striking-viking.com/collections/combs-and-brushes" TargetMode="External"/><Relationship Id="rId578" Type="http://schemas.openxmlformats.org/officeDocument/2006/relationships/hyperlink" Target="https://striking-viking.com/customer_authentication/redirect?locale=en&amp;region_country=US" TargetMode="External"/><Relationship Id="rId57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80" Type="http://schemas.openxmlformats.org/officeDocument/2006/relationships/hyperlink" Target="https://striking-viking.com/blogs/learn/what-are-the-best-beard-scissors-for-precision-grooming" TargetMode="External"/><Relationship Id="rId581" Type="http://schemas.openxmlformats.org/officeDocument/2006/relationships/hyperlink" Target="https://striking-viking.com/customer_authentication/redirect?locale=en&amp;region_country=US" TargetMode="External"/><Relationship Id="rId58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83" Type="http://schemas.openxmlformats.org/officeDocument/2006/relationships/hyperlink" Target="https://striking-viking.com/blogs/learn/striking-viking-beard-comb-for-routine-beard-management" TargetMode="External"/><Relationship Id="rId584" Type="http://schemas.openxmlformats.org/officeDocument/2006/relationships/hyperlink" Target="https://striking-viking.com/customer_authentication/redirect?locale=en&amp;region_country=US" TargetMode="External"/><Relationship Id="rId58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86" Type="http://schemas.openxmlformats.org/officeDocument/2006/relationships/hyperlink" Target="https://striking-viking.com/products/striking-viking-vanilla-beard-balm-2-pack-with-natural-organic-ingredients-for-beard-styling" TargetMode="External"/><Relationship Id="rId587" Type="http://schemas.openxmlformats.org/officeDocument/2006/relationships/hyperlink" Target="https://striking-viking.com/customer_authentication/redirect?locale=en&amp;region_country=US" TargetMode="External"/><Relationship Id="rId58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89" Type="http://schemas.openxmlformats.org/officeDocument/2006/relationships/hyperlink" Target="https://striking-viking.com/products/striking-viking-vanilla-beard-oil-with-natural-organic-oils-for-soft-healthy-beard-care" TargetMode="External"/><Relationship Id="rId590" Type="http://schemas.openxmlformats.org/officeDocument/2006/relationships/hyperlink" Target="https://striking-viking.com/customer_authentication/redirect?locale=en&amp;region_country=US" TargetMode="External"/><Relationship Id="rId59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92" Type="http://schemas.openxmlformats.org/officeDocument/2006/relationships/hyperlink" Target="https://striking-viking.com/pages/spurit-merchant-notifications-cancelled" TargetMode="External"/><Relationship Id="rId593" Type="http://schemas.openxmlformats.org/officeDocument/2006/relationships/hyperlink" Target="https://striking-viking.com/customer_authentication/redirect?locale=en&amp;region_country=US" TargetMode="External"/><Relationship Id="rId59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95" Type="http://schemas.openxmlformats.org/officeDocument/2006/relationships/hyperlink" Target="https://striking-viking.com/products/striking-viking-beard-balm-variety-4-pack-citrus-vanilla-cedarwood-sandalwood" TargetMode="External"/><Relationship Id="rId596" Type="http://schemas.openxmlformats.org/officeDocument/2006/relationships/hyperlink" Target="https://striking-viking.com/customer_authentication/redirect?locale=en&amp;region_country=US" TargetMode="External"/><Relationship Id="rId59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598" Type="http://schemas.openxmlformats.org/officeDocument/2006/relationships/hyperlink" Target="https://striking-viking.com/products/carbon-wide-tooth-comb" TargetMode="External"/><Relationship Id="rId599" Type="http://schemas.openxmlformats.org/officeDocument/2006/relationships/hyperlink" Target="https://striking-viking.com/customer_authentication/redirect?locale=en&amp;region_country=US" TargetMode="External"/><Relationship Id="rId60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01" Type="http://schemas.openxmlformats.org/officeDocument/2006/relationships/hyperlink" Target="https://striking-viking.com/products/striking-viking-beard-growth-mastery-bundle-with-sandalwood-vanilla-biotin-oils-and-derma-roller" TargetMode="External"/><Relationship Id="rId602" Type="http://schemas.openxmlformats.org/officeDocument/2006/relationships/hyperlink" Target="https://striking-viking.com/customer_authentication/redirect?locale=en&amp;region_country=US" TargetMode="External"/><Relationship Id="rId603"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04" Type="http://schemas.openxmlformats.org/officeDocument/2006/relationships/hyperlink" Target="https://striking-viking.com/pages/ilm-form-not-visible" TargetMode="External"/><Relationship Id="rId605" Type="http://schemas.openxmlformats.org/officeDocument/2006/relationships/hyperlink" Target="https://striking-viking.com/customer_authentication/redirect?locale=en&amp;region_country=US" TargetMode="External"/><Relationship Id="rId606"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07" Type="http://schemas.openxmlformats.org/officeDocument/2006/relationships/hyperlink" Target="https://striking-viking.com/products/striking-viking-sea-salt-hair-spray-strong-hold-citrus-texture-volume-beach-waves" TargetMode="External"/><Relationship Id="rId608" Type="http://schemas.openxmlformats.org/officeDocument/2006/relationships/hyperlink" Target="https://striking-viking.com/customer_authentication/redirect?locale=en&amp;region_country=US" TargetMode="External"/><Relationship Id="rId609"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10" Type="http://schemas.openxmlformats.org/officeDocument/2006/relationships/hyperlink" Target="https://striking-viking.com/products/ontaki-duckbill-applique-scissors-4-5-inch-carbon-steel-fabric-thread-cutting-scissors" TargetMode="External"/><Relationship Id="rId611" Type="http://schemas.openxmlformats.org/officeDocument/2006/relationships/hyperlink" Target="https://striking-viking.com/customer_authentication/redirect?locale=en&amp;region_country=US" TargetMode="External"/><Relationship Id="rId612"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13" Type="http://schemas.openxmlformats.org/officeDocument/2006/relationships/hyperlink" Target="https://striking-viking.com/products/striking-viking-beard-growth-kit-with-beard-roller-vanilla-unscented-biotin-oils-for-men" TargetMode="External"/><Relationship Id="rId614" Type="http://schemas.openxmlformats.org/officeDocument/2006/relationships/hyperlink" Target="https://striking-viking.com/customer_authentication/redirect?locale=en&amp;region_country=US" TargetMode="External"/><Relationship Id="rId615"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16" Type="http://schemas.openxmlformats.org/officeDocument/2006/relationships/hyperlink" Target="https://striking-viking.com/products/striking-viking-tea-tree-biotin-beard-wash-cologne-for-clean-fresh-healthy-beard-care" TargetMode="External"/><Relationship Id="rId617" Type="http://schemas.openxmlformats.org/officeDocument/2006/relationships/hyperlink" Target="https://striking-viking.com/customer_authentication/redirect?locale=en&amp;region_country=US" TargetMode="External"/><Relationship Id="rId618"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19" Type="http://schemas.openxmlformats.org/officeDocument/2006/relationships/hyperlink" Target="https://striking-viking.com/collections/subscribe-save" TargetMode="External"/><Relationship Id="rId620" Type="http://schemas.openxmlformats.org/officeDocument/2006/relationships/hyperlink" Target="https://striking-viking.com/customer_authentication/redirect?locale=en&amp;region_country=US" TargetMode="External"/><Relationship Id="rId621"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22" Type="http://schemas.openxmlformats.org/officeDocument/2006/relationships/hyperlink" Target="https://striking-viking.com/collections/charlemagne" TargetMode="External"/><Relationship Id="rId623" Type="http://schemas.openxmlformats.org/officeDocument/2006/relationships/hyperlink" Target="https://striking-viking.com/customer_authentication/redirect?locale=en&amp;region_country=US" TargetMode="External"/><Relationship Id="rId624"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25" Type="http://schemas.openxmlformats.org/officeDocument/2006/relationships/hyperlink" Target="https://striking-viking.com/blogs/learn/the-ultimate-guide-to-tattoo-aftercare-with-striking-viking" TargetMode="External"/><Relationship Id="rId626" Type="http://schemas.openxmlformats.org/officeDocument/2006/relationships/hyperlink" Target="https://striking-viking.com/customer_authentication/redirect?locale=en&amp;region_country=US" TargetMode="External"/><Relationship Id="rId627"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Relationship Id="rId628" Type="http://schemas.openxmlformats.org/officeDocument/2006/relationships/hyperlink" Target="https://striking-viking.com/products/striking-viking-beard-filler-pen-2-pack-dual-tip-waterproof-beard-pen-for-natural-beard-filling?variant=52771991126358" TargetMode="External"/><Relationship Id="rId629" Type="http://schemas.openxmlformats.org/officeDocument/2006/relationships/hyperlink" Target="https://striking-viking.com/customer_authentication/redirect?locale=en&amp;region_country=US" TargetMode="External"/><Relationship Id="rId630" Type="http://schemas.openxmlformats.org/officeDocument/2006/relationships/hyperlink" Target="https://account.striking-viking.com/?buyer_flags=eyJhbGciOiJIUzI1NiJ9.eyJpc3MiOiJzdHJpa2luZy12aWtpbmcubXlzaG9waWZ5LmNvbSIsImZsYWdzIjpbXSwiZXhwIjoxNzkxMzU0NjI4LCJuYmYiOjE3OTA3NDk4Mjh9.W_JgIDP8DFSrhQ1ojmPBXziPlPpbfbt33v3WuNh9GNc&amp;locale=en&amp;region_country=US" TargetMode="External"/>
</Relationships>
</file>

<file path=xl/worksheets/_rels/sheet30.xml.rels><?xml version="1.0" encoding="UTF-8"?>
<Relationships xmlns="http://schemas.openxmlformats.org/package/2006/relationships"><Relationship Id="rId1" Type="http://schemas.openxmlformats.org/officeDocument/2006/relationships/hyperlink" Target="https://striking-viking.com/de/blogs/learn/beard-grooming-quintessential-regime-for-the-modern-man" TargetMode="External"/><Relationship Id="rId2" Type="http://schemas.openxmlformats.org/officeDocument/2006/relationships/hyperlink" Target="https://vikingbeardgear.com/collections/all/products/striking-viking-wooden-beard-comb" TargetMode="External"/><Relationship Id="rId3" Type="http://schemas.openxmlformats.org/officeDocument/2006/relationships/hyperlink" Target="https://striking-viking.com/fr/blogs/learn/heads-shoulders-knees-and-toes-but-why-forget-the-beard" TargetMode="External"/><Relationship Id="rId4" Type="http://schemas.openxmlformats.org/officeDocument/2006/relationships/hyperlink" Target="https://vikingbeardgear.com/collections/all/products/striking-viking-beard-grooming-kit-for-men" TargetMode="External"/><Relationship Id="rId5" Type="http://schemas.openxmlformats.org/officeDocument/2006/relationships/hyperlink" Target="https://vikingbeardgear.com/collections/viking-beard-kits/products/striking-viking-ultimate-beard-grooming-kit" TargetMode="External"/><Relationship Id="rId6" Type="http://schemas.openxmlformats.org/officeDocument/2006/relationships/hyperlink" Target="https://striking-viking.com/de/blogs/learn/why-your-beard-needs-more-than-just-a-comb" TargetMode="External"/><Relationship Id="rId7" Type="http://schemas.openxmlformats.org/officeDocument/2006/relationships/hyperlink" Target="https://vikingbeardgear.com/collections/beard-and-hair-care/products/beard-wash-shampoo-beard-conditioner-set?variant=31075723673654" TargetMode="External"/><Relationship Id="rId8" Type="http://schemas.openxmlformats.org/officeDocument/2006/relationships/hyperlink" Target="https://striking-viking.com/de/blogs/learn/heads-shoulders-knees-and-toes-but-why-forget-the-beard" TargetMode="External"/><Relationship Id="rId9" Type="http://schemas.openxmlformats.org/officeDocument/2006/relationships/hyperlink" Target="https://vikingbeardgear.com/collections/all/products/striking-viking-beard-grooming-kit-for-men" TargetMode="External"/><Relationship Id="rId10" Type="http://schemas.openxmlformats.org/officeDocument/2006/relationships/hyperlink" Target="https://vikingbeardgear.com/collections/viking-beard-kits/products/striking-viking-ultimate-beard-grooming-kit" TargetMode="External"/><Relationship Id="rId11" Type="http://schemas.openxmlformats.org/officeDocument/2006/relationships/hyperlink" Target="https://striking-viking.com/en-gb/blogs/learn/beard-grooming-quintessential-regime-for-the-modern-man" TargetMode="External"/><Relationship Id="rId12" Type="http://schemas.openxmlformats.org/officeDocument/2006/relationships/hyperlink" Target="https://vikingbeardgear.com/collections/all/products/striking-viking-wooden-beard-comb" TargetMode="External"/><Relationship Id="rId13" Type="http://schemas.openxmlformats.org/officeDocument/2006/relationships/hyperlink" Target="https://striking-viking.com/sv/blogs/learn/why-your-beard-needs-more-than-just-a-comb" TargetMode="External"/><Relationship Id="rId14" Type="http://schemas.openxmlformats.org/officeDocument/2006/relationships/hyperlink" Target="https://vikingbeardgear.com/collections/beard-and-hair-care/products/beard-wash-shampoo-beard-conditioner-set?variant=31075723673654" TargetMode="External"/><Relationship Id="rId15" Type="http://schemas.openxmlformats.org/officeDocument/2006/relationships/hyperlink" Target="https://striking-viking.com/fi/blogs/learn/grooming-products-to-pamper-your-beard-flyaway" TargetMode="External"/><Relationship Id="rId16" Type="http://schemas.openxmlformats.org/officeDocument/2006/relationships/hyperlink" Target="https://vikingbeardgear.com/collections/beard-and-hair-care/products/beard-wash-shampoo-beard-conditioner-set?variant=31075723673654" TargetMode="External"/><Relationship Id="rId17" Type="http://schemas.openxmlformats.org/officeDocument/2006/relationships/hyperlink" Target="https://striking-viking.com/sv/blogs/learn/beard-grooming-quintessential-regime-for-the-modern-man" TargetMode="External"/><Relationship Id="rId18" Type="http://schemas.openxmlformats.org/officeDocument/2006/relationships/hyperlink" Target="https://vikingbeardgear.com/collections/all/products/striking-viking-wooden-beard-comb" TargetMode="External"/><Relationship Id="rId19" Type="http://schemas.openxmlformats.org/officeDocument/2006/relationships/hyperlink" Target="https://striking-viking.com/it/blogs/learn/beard-grooming-quintessential-regime-for-the-modern-man" TargetMode="External"/><Relationship Id="rId20" Type="http://schemas.openxmlformats.org/officeDocument/2006/relationships/hyperlink" Target="https://vikingbeardgear.com/collections/all/products/striking-viking-wooden-beard-comb" TargetMode="External"/><Relationship Id="rId21" Type="http://schemas.openxmlformats.org/officeDocument/2006/relationships/hyperlink" Target="https://striking-viking.com/en-ca/blogs/learn/grooming-kit-a-perfect-gift-for-the-modern-man" TargetMode="External"/><Relationship Id="rId22" Type="http://schemas.openxmlformats.org/officeDocument/2006/relationships/hyperlink" Target="https://vikingbeardgear.com/collections/viking-beard-kits/products/striking-viking-ultimate-beard-grooming-kit" TargetMode="External"/><Relationship Id="rId23" Type="http://schemas.openxmlformats.org/officeDocument/2006/relationships/hyperlink" Target="https://striking-viking.com/fi/blogs/learn/grooming-kit-a-perfect-gift-for-the-modern-man" TargetMode="External"/><Relationship Id="rId24" Type="http://schemas.openxmlformats.org/officeDocument/2006/relationships/hyperlink" Target="https://vikingbeardgear.com/collections/viking-beard-kits/products/striking-viking-ultimate-beard-grooming-kit" TargetMode="External"/><Relationship Id="rId25" Type="http://schemas.openxmlformats.org/officeDocument/2006/relationships/hyperlink" Target="https://striking-viking.com/fr-ca/blogs/learn/grooming-kit-a-perfect-gift-for-the-modern-man" TargetMode="External"/><Relationship Id="rId26" Type="http://schemas.openxmlformats.org/officeDocument/2006/relationships/hyperlink" Target="https://vikingbeardgear.com/collections/viking-beard-kits/products/striking-viking-ultimate-beard-grooming-kit" TargetMode="External"/><Relationship Id="rId27" Type="http://schemas.openxmlformats.org/officeDocument/2006/relationships/hyperlink" Target="https://striking-viking.com/blogs/learn/heads-shoulders-knees-and-toes-but-why-forget-the-beard" TargetMode="External"/><Relationship Id="rId28" Type="http://schemas.openxmlformats.org/officeDocument/2006/relationships/hyperlink" Target="https://vikingbeardgear.com/collections/all/products/striking-viking-beard-grooming-kit-for-men" TargetMode="External"/><Relationship Id="rId29" Type="http://schemas.openxmlformats.org/officeDocument/2006/relationships/hyperlink" Target="https://vikingbeardgear.com/collections/viking-beard-kits/products/striking-viking-ultimate-beard-grooming-kit" TargetMode="External"/><Relationship Id="rId30" Type="http://schemas.openxmlformats.org/officeDocument/2006/relationships/hyperlink" Target="https://striking-viking.com/fr-ca/blogs/learn/heads-shoulders-knees-and-toes-but-why-forget-the-beard" TargetMode="External"/><Relationship Id="rId31" Type="http://schemas.openxmlformats.org/officeDocument/2006/relationships/hyperlink" Target="https://vikingbeardgear.com/collections/all/products/striking-viking-beard-grooming-kit-for-men" TargetMode="External"/><Relationship Id="rId32" Type="http://schemas.openxmlformats.org/officeDocument/2006/relationships/hyperlink" Target="https://vikingbeardgear.com/collections/viking-beard-kits/products/striking-viking-ultimate-beard-grooming-kit" TargetMode="External"/><Relationship Id="rId33" Type="http://schemas.openxmlformats.org/officeDocument/2006/relationships/hyperlink" Target="https://striking-viking.com/fr/blogs/learn/grooming-kit-a-perfect-gift-for-the-modern-man" TargetMode="External"/><Relationship Id="rId34" Type="http://schemas.openxmlformats.org/officeDocument/2006/relationships/hyperlink" Target="https://vikingbeardgear.com/collections/viking-beard-kits/products/striking-viking-ultimate-beard-grooming-kit" TargetMode="External"/><Relationship Id="rId35" Type="http://schemas.openxmlformats.org/officeDocument/2006/relationships/hyperlink" Target="https://striking-viking.com/no/blogs/learn/beard-grooming-quintessential-regime-for-the-modern-man" TargetMode="External"/><Relationship Id="rId36" Type="http://schemas.openxmlformats.org/officeDocument/2006/relationships/hyperlink" Target="https://vikingbeardgear.com/collections/all/products/striking-viking-wooden-beard-comb" TargetMode="External"/><Relationship Id="rId37" Type="http://schemas.openxmlformats.org/officeDocument/2006/relationships/hyperlink" Target="https://striking-viking.com/blogs/learn/grooming-products-to-pamper-your-beard-flyaway" TargetMode="External"/><Relationship Id="rId38" Type="http://schemas.openxmlformats.org/officeDocument/2006/relationships/hyperlink" Target="https://vikingbeardgear.com/collections/beard-and-hair-care/products/beard-wash-shampoo-beard-conditioner-set?variant=31075723673654" TargetMode="External"/><Relationship Id="rId39" Type="http://schemas.openxmlformats.org/officeDocument/2006/relationships/hyperlink" Target="https://striking-viking.com/es/blogs/learn/why-your-beard-needs-more-than-just-a-comb" TargetMode="External"/><Relationship Id="rId40" Type="http://schemas.openxmlformats.org/officeDocument/2006/relationships/hyperlink" Target="https://vikingbeardgear.com/collections/beard-and-hair-care/products/beard-wash-shampoo-beard-conditioner-set?variant=31075723673654" TargetMode="External"/><Relationship Id="rId41" Type="http://schemas.openxmlformats.org/officeDocument/2006/relationships/hyperlink" Target="https://striking-viking.com/sv/blogs/learn/heads-shoulders-knees-and-toes-but-why-forget-the-beard" TargetMode="External"/><Relationship Id="rId42" Type="http://schemas.openxmlformats.org/officeDocument/2006/relationships/hyperlink" Target="https://vikingbeardgear.com/collections/all/products/striking-viking-ultimate-beard-grooming-kit" TargetMode="External"/><Relationship Id="rId43" Type="http://schemas.openxmlformats.org/officeDocument/2006/relationships/hyperlink" Target="https://striking-viking.com/en-ca/blogs/learn/heads-shoulders-knees-and-toes-but-why-forget-the-beard" TargetMode="External"/><Relationship Id="rId44" Type="http://schemas.openxmlformats.org/officeDocument/2006/relationships/hyperlink" Target="https://vikingbeardgear.com/collections/all/products/striking-viking-beard-grooming-kit-for-men" TargetMode="External"/><Relationship Id="rId45" Type="http://schemas.openxmlformats.org/officeDocument/2006/relationships/hyperlink" Target="https://vikingbeardgear.com/collections/viking-beard-kits/products/striking-viking-ultimate-beard-grooming-kit" TargetMode="External"/><Relationship Id="rId46" Type="http://schemas.openxmlformats.org/officeDocument/2006/relationships/hyperlink" Target="https://striking-viking.com/es/blogs/learn/grooming-kit-a-perfect-gift-for-the-modern-man" TargetMode="External"/><Relationship Id="rId47" Type="http://schemas.openxmlformats.org/officeDocument/2006/relationships/hyperlink" Target="https://vikingbeardgear.com/collections/viking-beard-kits/products/striking-viking-ultimate-beard-grooming-kit" TargetMode="External"/><Relationship Id="rId48" Type="http://schemas.openxmlformats.org/officeDocument/2006/relationships/hyperlink" Target="https://striking-viking.com/fr/blogs/learn/beard-grooming-quintessential-regime-for-the-modern-man" TargetMode="External"/><Relationship Id="rId49" Type="http://schemas.openxmlformats.org/officeDocument/2006/relationships/hyperlink" Target="https://vikingbeardgear.com/collections/all/products/striking-viking-wooden-beard-comb" TargetMode="External"/><Relationship Id="rId50" Type="http://schemas.openxmlformats.org/officeDocument/2006/relationships/hyperlink" Target="https://striking-viking.com/en-gb/blogs/learn/grooming-products-to-pamper-your-beard-flyaway" TargetMode="External"/><Relationship Id="rId51" Type="http://schemas.openxmlformats.org/officeDocument/2006/relationships/hyperlink" Target="https://vikingbeardgear.com/collections/beard-and-hair-care/products/beard-wash-shampoo-beard-conditioner-set?variant=31075723673654" TargetMode="External"/><Relationship Id="rId52" Type="http://schemas.openxmlformats.org/officeDocument/2006/relationships/hyperlink" Target="https://striking-viking.com/blogs/learn/why-your-beard-needs-more-than-just-a-comb" TargetMode="External"/><Relationship Id="rId53" Type="http://schemas.openxmlformats.org/officeDocument/2006/relationships/hyperlink" Target="https://vikingbeardgear.com/collections/beard-and-hair-care/products/beard-wash-shampoo-beard-conditioner-set?variant=31075723673654" TargetMode="External"/><Relationship Id="rId54" Type="http://schemas.openxmlformats.org/officeDocument/2006/relationships/hyperlink" Target="https://striking-viking.com/fr-ca/blogs/learn/heads-shoulders-knees-and-toes-but-why-forget-the-beard" TargetMode="External"/><Relationship Id="rId55" Type="http://schemas.openxmlformats.org/officeDocument/2006/relationships/hyperlink" Target="https://vikingbeardgear.com/collections/all/products/striking-viking-ultimate-beard-grooming-kit" TargetMode="External"/><Relationship Id="rId56" Type="http://schemas.openxmlformats.org/officeDocument/2006/relationships/hyperlink" Target="https://striking-viking.com/en-gb/blogs/learn/grooming-kit-a-perfect-gift-for-the-modern-man" TargetMode="External"/><Relationship Id="rId57" Type="http://schemas.openxmlformats.org/officeDocument/2006/relationships/hyperlink" Target="https://vikingbeardgear.com/collections/viking-beard-kits/products/striking-viking-ultimate-beard-grooming-kit" TargetMode="External"/><Relationship Id="rId58" Type="http://schemas.openxmlformats.org/officeDocument/2006/relationships/hyperlink" Target="https://striking-viking.com/fi/blogs/learn/heads-shoulders-knees-and-toes-but-why-forget-the-beard" TargetMode="External"/><Relationship Id="rId59" Type="http://schemas.openxmlformats.org/officeDocument/2006/relationships/hyperlink" Target="https://vikingbeardgear.com/collections/all/products/striking-viking-ultimate-beard-grooming-kit" TargetMode="External"/><Relationship Id="rId60" Type="http://schemas.openxmlformats.org/officeDocument/2006/relationships/hyperlink" Target="https://striking-viking.com/es/blogs/learn/beard-grooming-quintessential-regime-for-the-modern-man" TargetMode="External"/><Relationship Id="rId61" Type="http://schemas.openxmlformats.org/officeDocument/2006/relationships/hyperlink" Target="https://vikingbeardgear.com/collections/all/products/striking-viking-wooden-beard-comb" TargetMode="External"/><Relationship Id="rId62" Type="http://schemas.openxmlformats.org/officeDocument/2006/relationships/hyperlink" Target="https://striking-viking.com/en-ca/blogs/learn/grooming-products-to-pamper-your-beard-flyaway" TargetMode="External"/><Relationship Id="rId63" Type="http://schemas.openxmlformats.org/officeDocument/2006/relationships/hyperlink" Target="https://vikingbeardgear.com/collections/beard-and-hair-care/products/beard-wash-shampoo-beard-conditioner-set?variant=31075723673654" TargetMode="External"/><Relationship Id="rId64" Type="http://schemas.openxmlformats.org/officeDocument/2006/relationships/hyperlink" Target="https://striking-viking.com/en-ca/blogs/learn/heads-shoulders-knees-and-toes-but-why-forget-the-beard" TargetMode="External"/><Relationship Id="rId65" Type="http://schemas.openxmlformats.org/officeDocument/2006/relationships/hyperlink" Target="https://vikingbeardgear.com/collections/all/products/striking-viking-ultimate-beard-grooming-kit" TargetMode="External"/><Relationship Id="rId66" Type="http://schemas.openxmlformats.org/officeDocument/2006/relationships/hyperlink" Target="https://striking-viking.com/it/blogs/learn/grooming-kit-a-perfect-gift-for-the-modern-man" TargetMode="External"/><Relationship Id="rId67" Type="http://schemas.openxmlformats.org/officeDocument/2006/relationships/hyperlink" Target="https://vikingbeardgear.com/collections/viking-beard-kits/products/striking-viking-ultimate-beard-grooming-kit" TargetMode="External"/><Relationship Id="rId68" Type="http://schemas.openxmlformats.org/officeDocument/2006/relationships/hyperlink" Target="https://striking-viking.com/de/blogs/learn/grooming-kit-a-perfect-gift-for-the-modern-man" TargetMode="External"/><Relationship Id="rId69" Type="http://schemas.openxmlformats.org/officeDocument/2006/relationships/hyperlink" Target="https://vikingbeardgear.com/collections/viking-beard-kits/products/striking-viking-ultimate-beard-grooming-kit" TargetMode="External"/><Relationship Id="rId70" Type="http://schemas.openxmlformats.org/officeDocument/2006/relationships/hyperlink" Target="https://striking-viking.com/blogs/learn/heads-shoulders-knees-and-toes-but-why-forget-the-beard" TargetMode="External"/><Relationship Id="rId71" Type="http://schemas.openxmlformats.org/officeDocument/2006/relationships/hyperlink" Target="https://vikingbeardgear.com/collections/all/products/striking-viking-ultimate-beard-grooming-kit" TargetMode="External"/><Relationship Id="rId72" Type="http://schemas.openxmlformats.org/officeDocument/2006/relationships/hyperlink" Target="https://striking-viking.com/blogs/learn/beard-grooming-quintessential-regime-for-the-modern-man" TargetMode="External"/><Relationship Id="rId73" Type="http://schemas.openxmlformats.org/officeDocument/2006/relationships/hyperlink" Target="https://vikingbeardgear.com/collections/all/products/striking-viking-wooden-beard-comb" TargetMode="External"/><Relationship Id="rId74" Type="http://schemas.openxmlformats.org/officeDocument/2006/relationships/hyperlink" Target="https://striking-viking.com/es/blogs/learn/heads-shoulders-knees-and-toes-but-why-forget-the-beard" TargetMode="External"/><Relationship Id="rId75" Type="http://schemas.openxmlformats.org/officeDocument/2006/relationships/hyperlink" Target="https://vikingbeardgear.com/collections/all/products/striking-viking-ultimate-beard-grooming-kit" TargetMode="External"/><Relationship Id="rId76" Type="http://schemas.openxmlformats.org/officeDocument/2006/relationships/hyperlink" Target="https://striking-viking.com/it/blogs/learn/heads-shoulders-knees-and-toes-but-why-forget-the-beard" TargetMode="External"/><Relationship Id="rId77" Type="http://schemas.openxmlformats.org/officeDocument/2006/relationships/hyperlink" Target="https://vikingbeardgear.com/collections/all/products/striking-viking-beard-grooming-kit-for-men" TargetMode="External"/><Relationship Id="rId78" Type="http://schemas.openxmlformats.org/officeDocument/2006/relationships/hyperlink" Target="https://vikingbeardgear.com/collections/viking-beard-kits/products/striking-viking-ultimate-beard-grooming-kit" TargetMode="External"/><Relationship Id="rId79" Type="http://schemas.openxmlformats.org/officeDocument/2006/relationships/hyperlink" Target="https://striking-viking.com/fi/blogs/learn/heads-shoulders-knees-and-toes-but-why-forget-the-beard" TargetMode="External"/><Relationship Id="rId80" Type="http://schemas.openxmlformats.org/officeDocument/2006/relationships/hyperlink" Target="https://vikingbeardgear.com/collections/all/products/striking-viking-beard-grooming-kit-for-men" TargetMode="External"/><Relationship Id="rId81" Type="http://schemas.openxmlformats.org/officeDocument/2006/relationships/hyperlink" Target="https://vikingbeardgear.com/collections/viking-beard-kits/products/striking-viking-ultimate-beard-grooming-kit" TargetMode="External"/><Relationship Id="rId82" Type="http://schemas.openxmlformats.org/officeDocument/2006/relationships/hyperlink" Target="https://striking-viking.com/fr/blogs/learn/why-your-beard-needs-more-than-just-a-comb" TargetMode="External"/><Relationship Id="rId83" Type="http://schemas.openxmlformats.org/officeDocument/2006/relationships/hyperlink" Target="https://vikingbeardgear.com/collections/beard-and-hair-care/products/beard-wash-shampoo-beard-conditioner-set?variant=31075723673654" TargetMode="External"/><Relationship Id="rId84" Type="http://schemas.openxmlformats.org/officeDocument/2006/relationships/hyperlink" Target="https://striking-viking.com/en-gb/blogs/learn/heads-shoulders-knees-and-toes-but-why-forget-the-beard" TargetMode="External"/><Relationship Id="rId85" Type="http://schemas.openxmlformats.org/officeDocument/2006/relationships/hyperlink" Target="https://vikingbeardgear.com/collections/all/products/striking-viking-ultimate-beard-grooming-kit" TargetMode="External"/><Relationship Id="rId86" Type="http://schemas.openxmlformats.org/officeDocument/2006/relationships/hyperlink" Target="https://striking-viking.com/no/blogs/learn/why-your-beard-needs-more-than-just-a-comb" TargetMode="External"/><Relationship Id="rId87" Type="http://schemas.openxmlformats.org/officeDocument/2006/relationships/hyperlink" Target="https://vikingbeardgear.com/collections/beard-and-hair-care/products/beard-wash-shampoo-beard-conditioner-set?variant=31075723673654" TargetMode="External"/><Relationship Id="rId88" Type="http://schemas.openxmlformats.org/officeDocument/2006/relationships/hyperlink" Target="https://striking-viking.com/no/blogs/learn/grooming-kit-a-perfect-gift-for-the-modern-man" TargetMode="External"/><Relationship Id="rId89" Type="http://schemas.openxmlformats.org/officeDocument/2006/relationships/hyperlink" Target="https://vikingbeardgear.com/collections/viking-beard-kits/products/striking-viking-ultimate-beard-grooming-kit" TargetMode="External"/><Relationship Id="rId90" Type="http://schemas.openxmlformats.org/officeDocument/2006/relationships/hyperlink" Target="https://striking-viking.com/no/blogs/learn/grooming-products-to-pamper-your-beard-flyaway" TargetMode="External"/><Relationship Id="rId91" Type="http://schemas.openxmlformats.org/officeDocument/2006/relationships/hyperlink" Target="https://vikingbeardgear.com/collections/beard-and-hair-care/products/beard-wash-shampoo-beard-conditioner-set?variant=31075723673654" TargetMode="External"/><Relationship Id="rId92" Type="http://schemas.openxmlformats.org/officeDocument/2006/relationships/hyperlink" Target="https://striking-viking.com/es/blogs/learn/heads-shoulders-knees-and-toes-but-why-forget-the-beard" TargetMode="External"/><Relationship Id="rId93" Type="http://schemas.openxmlformats.org/officeDocument/2006/relationships/hyperlink" Target="https://vikingbeardgear.com/collections/all/products/striking-viking-beard-grooming-kit-for-men" TargetMode="External"/><Relationship Id="rId94" Type="http://schemas.openxmlformats.org/officeDocument/2006/relationships/hyperlink" Target="https://vikingbeardgear.com/collections/viking-beard-kits/products/striking-viking-ultimate-beard-grooming-kit" TargetMode="External"/><Relationship Id="rId95" Type="http://schemas.openxmlformats.org/officeDocument/2006/relationships/hyperlink" Target="https://striking-viking.com/en-ca/blogs/learn/why-your-beard-needs-more-than-just-a-comb" TargetMode="External"/><Relationship Id="rId96" Type="http://schemas.openxmlformats.org/officeDocument/2006/relationships/hyperlink" Target="https://vikingbeardgear.com/collections/beard-and-hair-care/products/beard-wash-shampoo-beard-conditioner-set?variant=31075723673654" TargetMode="External"/><Relationship Id="rId97" Type="http://schemas.openxmlformats.org/officeDocument/2006/relationships/hyperlink" Target="https://striking-viking.com/it/blogs/learn/heads-shoulders-knees-and-toes-but-why-forget-the-beard" TargetMode="External"/><Relationship Id="rId98" Type="http://schemas.openxmlformats.org/officeDocument/2006/relationships/hyperlink" Target="https://vikingbeardgear.com/collections/all/products/striking-viking-ultimate-beard-grooming-kit" TargetMode="External"/><Relationship Id="rId99" Type="http://schemas.openxmlformats.org/officeDocument/2006/relationships/hyperlink" Target="https://striking-viking.com/fi/blogs/learn/beard-grooming-quintessential-regime-for-the-modern-man" TargetMode="External"/><Relationship Id="rId100" Type="http://schemas.openxmlformats.org/officeDocument/2006/relationships/hyperlink" Target="https://vikingbeardgear.com/collections/all/products/striking-viking-wooden-beard-comb" TargetMode="External"/><Relationship Id="rId101" Type="http://schemas.openxmlformats.org/officeDocument/2006/relationships/hyperlink" Target="https://striking-viking.com/it/blogs/learn/why-your-beard-needs-more-than-just-a-comb" TargetMode="External"/><Relationship Id="rId102" Type="http://schemas.openxmlformats.org/officeDocument/2006/relationships/hyperlink" Target="https://vikingbeardgear.com/collections/beard-and-hair-care/products/beard-wash-shampoo-beard-conditioner-set?variant=31075723673654" TargetMode="External"/><Relationship Id="rId103" Type="http://schemas.openxmlformats.org/officeDocument/2006/relationships/hyperlink" Target="https://striking-viking.com/en-gb/blogs/learn/heads-shoulders-knees-and-toes-but-why-forget-the-beard" TargetMode="External"/><Relationship Id="rId104" Type="http://schemas.openxmlformats.org/officeDocument/2006/relationships/hyperlink" Target="https://vikingbeardgear.com/collections/all/products/striking-viking-beard-grooming-kit-for-men" TargetMode="External"/><Relationship Id="rId105" Type="http://schemas.openxmlformats.org/officeDocument/2006/relationships/hyperlink" Target="https://vikingbeardgear.com/collections/viking-beard-kits/products/striking-viking-ultimate-beard-grooming-kit" TargetMode="External"/><Relationship Id="rId106" Type="http://schemas.openxmlformats.org/officeDocument/2006/relationships/hyperlink" Target="https://striking-viking.com/sv/blogs/learn/heads-shoulders-knees-and-toes-but-why-forget-the-beard" TargetMode="External"/><Relationship Id="rId107" Type="http://schemas.openxmlformats.org/officeDocument/2006/relationships/hyperlink" Target="https://vikingbeardgear.com/collections/all/products/striking-viking-beard-grooming-kit-for-men" TargetMode="External"/><Relationship Id="rId108" Type="http://schemas.openxmlformats.org/officeDocument/2006/relationships/hyperlink" Target="https://vikingbeardgear.com/collections/viking-beard-kits/products/striking-viking-ultimate-beard-grooming-kit" TargetMode="External"/><Relationship Id="rId109" Type="http://schemas.openxmlformats.org/officeDocument/2006/relationships/hyperlink" Target="https://striking-viking.com/fr-ca/blogs/learn/beard-grooming-quintessential-regime-for-the-modern-man" TargetMode="External"/><Relationship Id="rId110" Type="http://schemas.openxmlformats.org/officeDocument/2006/relationships/hyperlink" Target="https://vikingbeardgear.com/collections/all/products/striking-viking-wooden-beard-comb" TargetMode="External"/><Relationship Id="rId111" Type="http://schemas.openxmlformats.org/officeDocument/2006/relationships/hyperlink" Target="https://striking-viking.com/de/blogs/learn/grooming-products-to-pamper-your-beard-flyaway" TargetMode="External"/><Relationship Id="rId112" Type="http://schemas.openxmlformats.org/officeDocument/2006/relationships/hyperlink" Target="https://vikingbeardgear.com/collections/beard-and-hair-care/products/beard-wash-shampoo-beard-conditioner-set?variant=31075723673654" TargetMode="External"/><Relationship Id="rId113" Type="http://schemas.openxmlformats.org/officeDocument/2006/relationships/hyperlink" Target="https://striking-viking.com/fr/blogs/learn/heads-shoulders-knees-and-toes-but-why-forget-the-beard" TargetMode="External"/><Relationship Id="rId114" Type="http://schemas.openxmlformats.org/officeDocument/2006/relationships/hyperlink" Target="https://vikingbeardgear.com/collections/all/products/striking-viking-ultimate-beard-grooming-kit" TargetMode="External"/><Relationship Id="rId115" Type="http://schemas.openxmlformats.org/officeDocument/2006/relationships/hyperlink" Target="https://striking-viking.com/blogs/learn/grooming-kit-a-perfect-gift-for-the-modern-man" TargetMode="External"/><Relationship Id="rId116" Type="http://schemas.openxmlformats.org/officeDocument/2006/relationships/hyperlink" Target="https://vikingbeardgear.com/collections/viking-beard-kits/products/striking-viking-ultimate-beard-grooming-kit" TargetMode="External"/><Relationship Id="rId117" Type="http://schemas.openxmlformats.org/officeDocument/2006/relationships/hyperlink" Target="https://striking-viking.com/it/blogs/learn/grooming-products-to-pamper-your-beard-flyaway" TargetMode="External"/><Relationship Id="rId118" Type="http://schemas.openxmlformats.org/officeDocument/2006/relationships/hyperlink" Target="https://vikingbeardgear.com/collections/beard-and-hair-care/products/beard-wash-shampoo-beard-conditioner-set?variant=31075723673654" TargetMode="External"/><Relationship Id="rId119" Type="http://schemas.openxmlformats.org/officeDocument/2006/relationships/hyperlink" Target="https://striking-viking.com/fr/blogs/learn/grooming-products-to-pamper-your-beard-flyaway" TargetMode="External"/><Relationship Id="rId120" Type="http://schemas.openxmlformats.org/officeDocument/2006/relationships/hyperlink" Target="https://vikingbeardgear.com/collections/beard-and-hair-care/products/beard-wash-shampoo-beard-conditioner-set?variant=31075723673654" TargetMode="External"/><Relationship Id="rId121" Type="http://schemas.openxmlformats.org/officeDocument/2006/relationships/hyperlink" Target="https://striking-viking.com/de/blogs/learn/heads-shoulders-knees-and-toes-but-why-forget-the-beard" TargetMode="External"/><Relationship Id="rId122" Type="http://schemas.openxmlformats.org/officeDocument/2006/relationships/hyperlink" Target="https://vikingbeardgear.com/collections/all/products/striking-viking-ultimate-beard-grooming-kit" TargetMode="External"/><Relationship Id="rId123" Type="http://schemas.openxmlformats.org/officeDocument/2006/relationships/hyperlink" Target="https://striking-viking.com/fr-ca/blogs/learn/why-your-beard-needs-more-than-just-a-comb" TargetMode="External"/><Relationship Id="rId124" Type="http://schemas.openxmlformats.org/officeDocument/2006/relationships/hyperlink" Target="https://vikingbeardgear.com/collections/beard-and-hair-care/products/beard-wash-shampoo-beard-conditioner-set?variant=31075723673654" TargetMode="External"/><Relationship Id="rId125" Type="http://schemas.openxmlformats.org/officeDocument/2006/relationships/hyperlink" Target="https://striking-viking.com/en-gb/blogs/learn/why-your-beard-needs-more-than-just-a-comb" TargetMode="External"/><Relationship Id="rId126" Type="http://schemas.openxmlformats.org/officeDocument/2006/relationships/hyperlink" Target="https://vikingbeardgear.com/collections/beard-and-hair-care/products/beard-wash-shampoo-beard-conditioner-set?variant=31075723673654" TargetMode="External"/><Relationship Id="rId127" Type="http://schemas.openxmlformats.org/officeDocument/2006/relationships/hyperlink" Target="https://striking-viking.com/sv/blogs/learn/grooming-kit-a-perfect-gift-for-the-modern-man" TargetMode="External"/><Relationship Id="rId128" Type="http://schemas.openxmlformats.org/officeDocument/2006/relationships/hyperlink" Target="https://vikingbeardgear.com/collections/viking-beard-kits/products/striking-viking-ultimate-beard-grooming-kit" TargetMode="External"/><Relationship Id="rId129" Type="http://schemas.openxmlformats.org/officeDocument/2006/relationships/hyperlink" Target="https://striking-viking.com/fi/blogs/learn/why-your-beard-needs-more-than-just-a-comb" TargetMode="External"/><Relationship Id="rId130" Type="http://schemas.openxmlformats.org/officeDocument/2006/relationships/hyperlink" Target="https://vikingbeardgear.com/collections/beard-and-hair-care/products/beard-wash-shampoo-beard-conditioner-set?variant=31075723673654" TargetMode="External"/><Relationship Id="rId131" Type="http://schemas.openxmlformats.org/officeDocument/2006/relationships/hyperlink" Target="https://striking-viking.com/sv/blogs/learn/grooming-products-to-pamper-your-beard-flyaway" TargetMode="External"/><Relationship Id="rId132" Type="http://schemas.openxmlformats.org/officeDocument/2006/relationships/hyperlink" Target="https://vikingbeardgear.com/collections/beard-and-hair-care/products/beard-wash-shampoo-beard-conditioner-set?variant=31075723673654" TargetMode="External"/><Relationship Id="rId133" Type="http://schemas.openxmlformats.org/officeDocument/2006/relationships/hyperlink" Target="https://striking-viking.com/no/blogs/learn/heads-shoulders-knees-and-toes-but-why-forget-the-beard" TargetMode="External"/><Relationship Id="rId134" Type="http://schemas.openxmlformats.org/officeDocument/2006/relationships/hyperlink" Target="https://vikingbeardgear.com/collections/all/products/striking-viking-ultimate-beard-grooming-kit" TargetMode="External"/><Relationship Id="rId135" Type="http://schemas.openxmlformats.org/officeDocument/2006/relationships/hyperlink" Target="https://striking-viking.com/no/blogs/learn/heads-shoulders-knees-and-toes-but-why-forget-the-beard" TargetMode="External"/><Relationship Id="rId136" Type="http://schemas.openxmlformats.org/officeDocument/2006/relationships/hyperlink" Target="https://vikingbeardgear.com/collections/all/products/striking-viking-beard-grooming-kit-for-men" TargetMode="External"/><Relationship Id="rId137" Type="http://schemas.openxmlformats.org/officeDocument/2006/relationships/hyperlink" Target="https://vikingbeardgear.com/collections/viking-beard-kits/products/striking-viking-ultimate-beard-grooming-kit" TargetMode="External"/><Relationship Id="rId138" Type="http://schemas.openxmlformats.org/officeDocument/2006/relationships/hyperlink" Target="https://striking-viking.com/fr-ca/blogs/learn/grooming-products-to-pamper-your-beard-flyaway" TargetMode="External"/><Relationship Id="rId139" Type="http://schemas.openxmlformats.org/officeDocument/2006/relationships/hyperlink" Target="https://vikingbeardgear.com/collections/beard-and-hair-care/products/beard-wash-shampoo-beard-conditioner-set?variant=31075723673654" TargetMode="External"/><Relationship Id="rId140" Type="http://schemas.openxmlformats.org/officeDocument/2006/relationships/hyperlink" Target="https://striking-viking.com/en-ca/blogs/learn/beard-grooming-quintessential-regime-for-the-modern-man" TargetMode="External"/><Relationship Id="rId141" Type="http://schemas.openxmlformats.org/officeDocument/2006/relationships/hyperlink" Target="https://vikingbeardgear.com/collections/all/products/striking-viking-wooden-beard-comb" TargetMode="External"/><Relationship Id="rId142" Type="http://schemas.openxmlformats.org/officeDocument/2006/relationships/hyperlink" Target="https://striking-viking.com/es/blogs/learn/grooming-products-to-pamper-your-beard-flyaway" TargetMode="External"/><Relationship Id="rId143" Type="http://schemas.openxmlformats.org/officeDocument/2006/relationships/hyperlink" Target="https://vikingbeardgear.com/collections/beard-and-hair-care/products/beard-wash-shampoo-beard-conditioner-set?variant=31075723673654" TargetMode="External"/>
</Relationships>
</file>

<file path=xl/worksheets/_rels/sheet31.xml.rels><?xml version="1.0" encoding="UTF-8"?>
<Relationships xmlns="http://schemas.openxmlformats.org/package/2006/relationships"><Relationship Id="rId1" Type="http://schemas.openxmlformats.org/officeDocument/2006/relationships/hyperlink" Target="https://striking-viking.com/pages/contact-us" TargetMode="External"/><Relationship Id="rId2" Type="http://schemas.openxmlformats.org/officeDocument/2006/relationships/hyperlink" Target="https://striking-viking.com/pages/become-a-reseller" TargetMode="External"/><Relationship Id="rId3" Type="http://schemas.openxmlformats.org/officeDocument/2006/relationships/hyperlink" Target="https://striking-viking.com/collections/sprays" TargetMode="External"/><Relationship Id="rId4" Type="http://schemas.openxmlformats.org/officeDocument/2006/relationships/hyperlink" Target="https://striking-viking.com/collections/after-shave-balm" TargetMode="External"/><Relationship Id="rId5" Type="http://schemas.openxmlformats.org/officeDocument/2006/relationships/hyperlink" Target="https://striking-viking.com/collections/scissors-ontaki" TargetMode="External"/><Relationship Id="rId6" Type="http://schemas.openxmlformats.org/officeDocument/2006/relationships/hyperlink" Target="https://striking-viking.com/pages/about-us" TargetMode="External"/><Relationship Id="rId7" Type="http://schemas.openxmlformats.org/officeDocument/2006/relationships/hyperlink" Target="https://striking-viking.com/collections/combs" TargetMode="External"/><Relationship Id="rId8" Type="http://schemas.openxmlformats.org/officeDocument/2006/relationships/hyperlink" Target="https://striking-viking.com/products/beard-growth-butter-with-biotin-4-oz-blue-ocean" TargetMode="External"/><Relationship Id="rId9" Type="http://schemas.openxmlformats.org/officeDocument/2006/relationships/hyperlink" Target="https://striking-viking.com/products/striking-viking-boar-bristle-beard-brush-for-men-natural-beech-wood-grooming-brush" TargetMode="External"/><Relationship Id="rId10" Type="http://schemas.openxmlformats.org/officeDocument/2006/relationships/hyperlink" Target="https://striking-viking.com/products/striking-viking-beard-filler-pencil-with-dual-tip-pen-brush-for-natural-beard-styling" TargetMode="External"/><Relationship Id="rId11" Type="http://schemas.openxmlformats.org/officeDocument/2006/relationships/hyperlink" Target="https://striking-viking.com/es/collections/beard-care" TargetMode="External"/><Relationship Id="rId12" Type="http://schemas.openxmlformats.org/officeDocument/2006/relationships/hyperlink" Target="https://striking-viking.com/de/collections/2026-deals" TargetMode="External"/><Relationship Id="rId13" Type="http://schemas.openxmlformats.org/officeDocument/2006/relationships/hyperlink" Target="https://striking-viking.com/en-ca/pages/contact-us" TargetMode="External"/><Relationship Id="rId14" Type="http://schemas.openxmlformats.org/officeDocument/2006/relationships/hyperlink" Target="https://striking-viking.com/es/products/striking-viking-beard-filler-pen-2-pack-waterproof-beard-pen-for-filling-gaps-covering-patches" TargetMode="External"/><Relationship Id="rId15" Type="http://schemas.openxmlformats.org/officeDocument/2006/relationships/hyperlink" Target="https://striking-viking.com/fr/pages/become-a-reseller" TargetMode="External"/><Relationship Id="rId16" Type="http://schemas.openxmlformats.org/officeDocument/2006/relationships/hyperlink" Target="https://striking-viking.com/fr/collections/beard-balm" TargetMode="External"/><Relationship Id="rId17" Type="http://schemas.openxmlformats.org/officeDocument/2006/relationships/hyperlink" Target="https://striking-viking.com/no/collections/shaving" TargetMode="External"/><Relationship Id="rId18" Type="http://schemas.openxmlformats.org/officeDocument/2006/relationships/hyperlink" Target="https://striking-viking.com/it/collections/tattoo-aftercare" TargetMode="External"/><Relationship Id="rId19" Type="http://schemas.openxmlformats.org/officeDocument/2006/relationships/hyperlink" Target="https://striking-viking.com/de/collections/scissors-ontaki" TargetMode="External"/><Relationship Id="rId20" Type="http://schemas.openxmlformats.org/officeDocument/2006/relationships/hyperlink" Target="https://striking-viking.com/es/products/striking-viking-sea-salt-hair-spray-strong-hold-citrus-texture-volume-beach-waves" TargetMode="External"/><Relationship Id="rId21" Type="http://schemas.openxmlformats.org/officeDocument/2006/relationships/hyperlink" Target="https://striking-viking.com/es/collections/combs-and-brushes" TargetMode="External"/><Relationship Id="rId22" Type="http://schemas.openxmlformats.org/officeDocument/2006/relationships/hyperlink" Target="https://striking-viking.com/sv/blogs/learn/beard-grooming-quintessential-regime-for-the-modern-man" TargetMode="External"/><Relationship Id="rId23" Type="http://schemas.openxmlformats.org/officeDocument/2006/relationships/hyperlink" Target="https://striking-viking.com/en-ca/pages/about-us" TargetMode="External"/><Relationship Id="rId24" Type="http://schemas.openxmlformats.org/officeDocument/2006/relationships/hyperlink" Target="https://striking-viking.com/fi/products/striking-viking-beard-filler-pen-2-pack-waterproof-beard-pen-for-filling-gaps-covering-patches" TargetMode="External"/><Relationship Id="rId25" Type="http://schemas.openxmlformats.org/officeDocument/2006/relationships/hyperlink" Target="https://striking-viking.com/de/pages/become-a-reseller" TargetMode="External"/><Relationship Id="rId26" Type="http://schemas.openxmlformats.org/officeDocument/2006/relationships/hyperlink" Target="https://striking-viking.com/fr/collections/combs-and-brushes" TargetMode="External"/><Relationship Id="rId27" Type="http://schemas.openxmlformats.org/officeDocument/2006/relationships/hyperlink" Target="https://striking-viking.com/en-ca/collections/combs" TargetMode="External"/><Relationship Id="rId28" Type="http://schemas.openxmlformats.org/officeDocument/2006/relationships/hyperlink" Target="https://striking-viking.com/it/collections/combs" TargetMode="External"/><Relationship Id="rId29" Type="http://schemas.openxmlformats.org/officeDocument/2006/relationships/hyperlink" Target="https://striking-viking.com/it/collections/best-sellers-grooming-kit" TargetMode="External"/><Relationship Id="rId30" Type="http://schemas.openxmlformats.org/officeDocument/2006/relationships/hyperlink" Target="https://striking-viking.com/de/pages/about-us" TargetMode="External"/><Relationship Id="rId31" Type="http://schemas.openxmlformats.org/officeDocument/2006/relationships/hyperlink" Target="https://striking-viking.com/it/pages/contact-us" TargetMode="External"/><Relationship Id="rId32" Type="http://schemas.openxmlformats.org/officeDocument/2006/relationships/hyperlink" Target="https://striking-viking.com/de" TargetMode="External"/><Relationship Id="rId33" Type="http://schemas.openxmlformats.org/officeDocument/2006/relationships/hyperlink" Target="https://striking-viking.com/fi/collections/partavesi" TargetMode="External"/><Relationship Id="rId34" Type="http://schemas.openxmlformats.org/officeDocument/2006/relationships/hyperlink" Target="https://striking-viking.com/es/collections/best-sellers-grooming-kit" TargetMode="External"/><Relationship Id="rId35" Type="http://schemas.openxmlformats.org/officeDocument/2006/relationships/hyperlink" Target="https://striking-viking.com/it/products/striking-viking-beard-filler-pen-2-pack-waterproof-beard-pen-for-filling-gaps-covering-patches" TargetMode="External"/><Relationship Id="rId36" Type="http://schemas.openxmlformats.org/officeDocument/2006/relationships/hyperlink" Target="https://striking-viking.com/fi/collections/partavoide" TargetMode="External"/><Relationship Id="rId37" Type="http://schemas.openxmlformats.org/officeDocument/2006/relationships/hyperlink" Target="https://striking-viking.com/it/pages/about-us" TargetMode="External"/><Relationship Id="rId38" Type="http://schemas.openxmlformats.org/officeDocument/2006/relationships/hyperlink" Target="https://striking-viking.com/es" TargetMode="External"/><Relationship Id="rId39" Type="http://schemas.openxmlformats.org/officeDocument/2006/relationships/hyperlink" Target="https://striking-viking.com/fr/collections/2026-deals" TargetMode="External"/><Relationship Id="rId40" Type="http://schemas.openxmlformats.org/officeDocument/2006/relationships/hyperlink" Target="https://striking-viking.com/de/collections/face-body" TargetMode="External"/><Relationship Id="rId41" Type="http://schemas.openxmlformats.org/officeDocument/2006/relationships/hyperlink" Target="https://striking-viking.com/fi/collections/kammat" TargetMode="External"/><Relationship Id="rId42" Type="http://schemas.openxmlformats.org/officeDocument/2006/relationships/hyperlink" Target="https://striking-viking.com/de/products/bartol-vanille-2" TargetMode="External"/><Relationship Id="rId43" Type="http://schemas.openxmlformats.org/officeDocument/2006/relationships/hyperlink" Target="https://striking-viking.com/it" TargetMode="External"/><Relationship Id="rId44" Type="http://schemas.openxmlformats.org/officeDocument/2006/relationships/hyperlink" Target="https://striking-viking.com/de/blogs/learn/beard-grooming-quintessential-regime-for-the-modern-man" TargetMode="External"/><Relationship Id="rId45" Type="http://schemas.openxmlformats.org/officeDocument/2006/relationships/hyperlink" Target="https://striking-viking.com/sv/collections/beard-balm" TargetMode="External"/><Relationship Id="rId46" Type="http://schemas.openxmlformats.org/officeDocument/2006/relationships/hyperlink" Target="https://striking-viking.com/fi/collections/parta-voide" TargetMode="External"/><Relationship Id="rId47" Type="http://schemas.openxmlformats.org/officeDocument/2006/relationships/hyperlink" Target="https://striking-viking.com/it/products/striking-viking-beard-kit-caddy-complete-beard-grooming-kit" TargetMode="External"/><Relationship Id="rId48" Type="http://schemas.openxmlformats.org/officeDocument/2006/relationships/hyperlink" Target="https://striking-viking.com/sv/pages/about-us" TargetMode="External"/><Relationship Id="rId49" Type="http://schemas.openxmlformats.org/officeDocument/2006/relationships/hyperlink" Target="https://striking-viking.com/no/collections/beard-oil" TargetMode="External"/><Relationship Id="rId50" Type="http://schemas.openxmlformats.org/officeDocument/2006/relationships/hyperlink" Target="https://striking-viking.com/es/blogs/learn/beard-grooming-quintessential-regime-for-the-modern-man" TargetMode="External"/><Relationship Id="rId51" Type="http://schemas.openxmlformats.org/officeDocument/2006/relationships/hyperlink" Target="https://striking-viking.com/fi/collections/kasvot-keho" TargetMode="External"/><Relationship Id="rId52" Type="http://schemas.openxmlformats.org/officeDocument/2006/relationships/hyperlink" Target="https://striking-viking.com/de/blogs/learn/grooming-kit-a-perfect-gift-for-the-modern-man" TargetMode="External"/><Relationship Id="rId53" Type="http://schemas.openxmlformats.org/officeDocument/2006/relationships/hyperlink" Target="https://striking-viking.com/fi/collections/biotin-beard-growth" TargetMode="External"/><Relationship Id="rId54" Type="http://schemas.openxmlformats.org/officeDocument/2006/relationships/hyperlink" Target="https://striking-viking.com/fi/collections/harjat" TargetMode="External"/><Relationship Id="rId55" Type="http://schemas.openxmlformats.org/officeDocument/2006/relationships/hyperlink" Target="https://striking-viking.com/it/collections/beard-balm" TargetMode="External"/><Relationship Id="rId56" Type="http://schemas.openxmlformats.org/officeDocument/2006/relationships/hyperlink" Target="https://striking-viking.com/fr/products/striking-viking-beard-kit-caddy-complete-beard-grooming-kit" TargetMode="External"/><Relationship Id="rId57" Type="http://schemas.openxmlformats.org/officeDocument/2006/relationships/hyperlink" Target="https://striking-viking.com/no/pages/contact-us" TargetMode="External"/><Relationship Id="rId58" Type="http://schemas.openxmlformats.org/officeDocument/2006/relationships/hyperlink" Target="https://striking-viking.com/it/collections/beard-growth-kits" TargetMode="External"/><Relationship Id="rId59" Type="http://schemas.openxmlformats.org/officeDocument/2006/relationships/hyperlink" Target="https://striking-viking.com/it/collections/brushes" TargetMode="External"/><Relationship Id="rId60" Type="http://schemas.openxmlformats.org/officeDocument/2006/relationships/hyperlink" Target="https://striking-viking.com/fi" TargetMode="External"/><Relationship Id="rId61" Type="http://schemas.openxmlformats.org/officeDocument/2006/relationships/hyperlink" Target="https://striking-viking.com/de/collections/beard-wash" TargetMode="External"/><Relationship Id="rId62" Type="http://schemas.openxmlformats.org/officeDocument/2006/relationships/hyperlink" Target="https://striking-viking.com/en-ca/products/striking-viking-blue-ocean-beard-oil-for-men-natural-beard-growth-oil-with-argan-jojoba" TargetMode="External"/><Relationship Id="rId63" Type="http://schemas.openxmlformats.org/officeDocument/2006/relationships/hyperlink" Target="https://striking-viking.com/fi/collections/shaving" TargetMode="External"/><Relationship Id="rId64" Type="http://schemas.openxmlformats.org/officeDocument/2006/relationships/hyperlink" Target="https://striking-viking.com/de/collections/beard-growth-kits" TargetMode="External"/><Relationship Id="rId65" Type="http://schemas.openxmlformats.org/officeDocument/2006/relationships/hyperlink" Target="https://striking-viking.com/sv/collections/beard-wash" TargetMode="External"/><Relationship Id="rId66" Type="http://schemas.openxmlformats.org/officeDocument/2006/relationships/hyperlink" Target="https://striking-viking.com/en-ca/pages/become-a-reseller" TargetMode="External"/><Relationship Id="rId67" Type="http://schemas.openxmlformats.org/officeDocument/2006/relationships/hyperlink" Target="https://striking-viking.com/it/pages/cookie-policy" TargetMode="External"/><Relationship Id="rId68" Type="http://schemas.openxmlformats.org/officeDocument/2006/relationships/hyperlink" Target="https://striking-viking.com/fr/products/striking-viking-terra-sol-beard-oil-for-men-natural-beard-growth-oil-with-argan-jojoba" TargetMode="External"/><Relationship Id="rId69" Type="http://schemas.openxmlformats.org/officeDocument/2006/relationships/hyperlink" Target="https://striking-viking.com/es/products/striking-viking-blue-ocean-beard-oil-for-men-natural-beard-growth-oil-with-argan-jojoba" TargetMode="External"/><Relationship Id="rId70" Type="http://schemas.openxmlformats.org/officeDocument/2006/relationships/hyperlink" Target="https://striking-viking.com/fi/products/striking-viking-mustache-wax-and-comb-kit" TargetMode="External"/><Relationship Id="rId71" Type="http://schemas.openxmlformats.org/officeDocument/2006/relationships/hyperlink" Target="https://striking-viking.com/no/collections/combs" TargetMode="External"/><Relationship Id="rId72" Type="http://schemas.openxmlformats.org/officeDocument/2006/relationships/hyperlink" Target="https://striking-viking.com/es/collections/brushes" TargetMode="External"/><Relationship Id="rId73" Type="http://schemas.openxmlformats.org/officeDocument/2006/relationships/hyperlink" Target="https://striking-viking.com/fr/products/striking-viking-beard-filler-pen-2-pack-waterproof-beard-pen-for-filling-gaps-covering-patches" TargetMode="External"/><Relationship Id="rId74" Type="http://schemas.openxmlformats.org/officeDocument/2006/relationships/hyperlink" Target="https://striking-viking.com/fi/blogs/learn/beard-grooming-quintessential-regime-for-the-modern-man" TargetMode="External"/><Relationship Id="rId75" Type="http://schemas.openxmlformats.org/officeDocument/2006/relationships/hyperlink" Target="https://striking-viking.com/fi/collections/sprays" TargetMode="External"/><Relationship Id="rId76" Type="http://schemas.openxmlformats.org/officeDocument/2006/relationships/hyperlink" Target="https://striking-viking.com/es/pages/data-sharing-opt-out" TargetMode="External"/><Relationship Id="rId77" Type="http://schemas.openxmlformats.org/officeDocument/2006/relationships/hyperlink" Target="https://striking-viking.com/fi/collections/parta-oljy" TargetMode="External"/><Relationship Id="rId78" Type="http://schemas.openxmlformats.org/officeDocument/2006/relationships/hyperlink" Target="https://striking-viking.com/es/products/striking-viking-terra-sol-beard-oil-for-men-natural-beard-growth-oil-with-argan-jojoba" TargetMode="External"/><Relationship Id="rId79" Type="http://schemas.openxmlformats.org/officeDocument/2006/relationships/hyperlink" Target="https://striking-viking.com/no/pages/about-us" TargetMode="External"/><Relationship Id="rId80" Type="http://schemas.openxmlformats.org/officeDocument/2006/relationships/hyperlink" Target="https://striking-viking.com/fr/collections/combs" TargetMode="External"/><Relationship Id="rId81" Type="http://schemas.openxmlformats.org/officeDocument/2006/relationships/hyperlink" Target="https://striking-viking.com/es/collections/beard-growth-kits" TargetMode="External"/><Relationship Id="rId82" Type="http://schemas.openxmlformats.org/officeDocument/2006/relationships/hyperlink" Target="https://striking-viking.com/sv/collections/biotin-beard-growth" TargetMode="External"/><Relationship Id="rId83" Type="http://schemas.openxmlformats.org/officeDocument/2006/relationships/hyperlink" Target="https://striking-viking.com/fr/pages/contact-us" TargetMode="External"/><Relationship Id="rId84" Type="http://schemas.openxmlformats.org/officeDocument/2006/relationships/hyperlink" Target="https://striking-viking.com/no/products/striking-viking-beard-filler-pen-2-pack-waterproof-beard-pen-for-filling-gaps-covering-patches" TargetMode="External"/><Relationship Id="rId85" Type="http://schemas.openxmlformats.org/officeDocument/2006/relationships/hyperlink" Target="https://striking-viking.com/fi/collections/sakset-ontaki" TargetMode="External"/><Relationship Id="rId86" Type="http://schemas.openxmlformats.org/officeDocument/2006/relationships/hyperlink" Target="https://striking-viking.com/de/collections/shaving" TargetMode="External"/><Relationship Id="rId87" Type="http://schemas.openxmlformats.org/officeDocument/2006/relationships/hyperlink" Target="https://striking-viking.com/es/collections/face-body" TargetMode="External"/><Relationship Id="rId88" Type="http://schemas.openxmlformats.org/officeDocument/2006/relationships/hyperlink" Target="https://striking-viking.com/es/collections/2026-deals" TargetMode="External"/><Relationship Id="rId89" Type="http://schemas.openxmlformats.org/officeDocument/2006/relationships/hyperlink" Target="https://striking-viking.com/sv/collections/beard-oil" TargetMode="External"/><Relationship Id="rId90" Type="http://schemas.openxmlformats.org/officeDocument/2006/relationships/hyperlink" Target="https://striking-viking.com/es/collections/hair-care" TargetMode="External"/><Relationship Id="rId91" Type="http://schemas.openxmlformats.org/officeDocument/2006/relationships/hyperlink" Target="https://striking-viking.com/it/collections/beard-butter" TargetMode="External"/><Relationship Id="rId92" Type="http://schemas.openxmlformats.org/officeDocument/2006/relationships/hyperlink" Target="https://striking-viking.com/en-ca/products/striking-viking-sea-salt-hair-spray-strong-hold-citrus-texture-volume-beach-waves" TargetMode="External"/><Relationship Id="rId93" Type="http://schemas.openxmlformats.org/officeDocument/2006/relationships/hyperlink" Target="https://striking-viking.com/fr/collections/bundles" TargetMode="External"/><Relationship Id="rId94" Type="http://schemas.openxmlformats.org/officeDocument/2006/relationships/hyperlink" Target="https://striking-viking.com/en-gb/pages/contact-us" TargetMode="External"/><Relationship Id="rId95" Type="http://schemas.openxmlformats.org/officeDocument/2006/relationships/hyperlink" Target="https://striking-viking.com/de/products/schnurrbartwachs-und-kamm" TargetMode="External"/><Relationship Id="rId96" Type="http://schemas.openxmlformats.org/officeDocument/2006/relationships/hyperlink" Target="https://striking-viking.com/products/striking-viking-terra-sol-beard-oil-for-men-natural-beard-growth-oil-with-argan-jojoba" TargetMode="External"/><Relationship Id="rId97" Type="http://schemas.openxmlformats.org/officeDocument/2006/relationships/hyperlink" Target="https://striking-viking.com/en-ca/collections/after-shave-balm" TargetMode="External"/><Relationship Id="rId98" Type="http://schemas.openxmlformats.org/officeDocument/2006/relationships/hyperlink" Target="https://striking-viking.com/fr" TargetMode="External"/><Relationship Id="rId99" Type="http://schemas.openxmlformats.org/officeDocument/2006/relationships/hyperlink" Target="https://striking-viking.com/de/collections/beard-balm" TargetMode="External"/><Relationship Id="rId100" Type="http://schemas.openxmlformats.org/officeDocument/2006/relationships/hyperlink" Target="https://striking-viking.com/fi/collections/hiusten-hoito" TargetMode="External"/><Relationship Id="rId101" Type="http://schemas.openxmlformats.org/officeDocument/2006/relationships/hyperlink" Target="https://striking-viking.com/it/products/striking-viking-sea-salt-hair-spray-strong-hold-citrus-texture-volume-beach-waves" TargetMode="External"/><Relationship Id="rId102" Type="http://schemas.openxmlformats.org/officeDocument/2006/relationships/hyperlink" Target="https://striking-viking.com/de/products/bartfullstift" TargetMode="External"/><Relationship Id="rId103" Type="http://schemas.openxmlformats.org/officeDocument/2006/relationships/hyperlink" Target="https://striking-viking.com/sv/collections/sprays" TargetMode="External"/><Relationship Id="rId104" Type="http://schemas.openxmlformats.org/officeDocument/2006/relationships/hyperlink" Target="https://striking-viking.com/sv/collections/hair-care" TargetMode="External"/><Relationship Id="rId105" Type="http://schemas.openxmlformats.org/officeDocument/2006/relationships/hyperlink" Target="https://striking-viking.com/fr/collections/sprays" TargetMode="External"/><Relationship Id="rId106" Type="http://schemas.openxmlformats.org/officeDocument/2006/relationships/hyperlink" Target="https://striking-viking.com/fr/collections/beard-filler-pens" TargetMode="External"/><Relationship Id="rId107" Type="http://schemas.openxmlformats.org/officeDocument/2006/relationships/hyperlink" Target="https://striking-viking.com/sv/collections/scissors-ontaki" TargetMode="External"/><Relationship Id="rId108" Type="http://schemas.openxmlformats.org/officeDocument/2006/relationships/hyperlink" Target="https://striking-viking.com/de/products/bartbalsam-manner-1" TargetMode="External"/><Relationship Id="rId109" Type="http://schemas.openxmlformats.org/officeDocument/2006/relationships/hyperlink" Target="https://striking-viking.com/en-gb/pages/about-us" TargetMode="External"/><Relationship Id="rId110" Type="http://schemas.openxmlformats.org/officeDocument/2006/relationships/hyperlink" Target="https://striking-viking.com/it/pages/become-a-reseller" TargetMode="External"/><Relationship Id="rId111" Type="http://schemas.openxmlformats.org/officeDocument/2006/relationships/hyperlink" Target="https://striking-viking.com/en-ca/collections/scissors-ontaki" TargetMode="External"/><Relationship Id="rId112" Type="http://schemas.openxmlformats.org/officeDocument/2006/relationships/hyperlink" Target="https://striking-viking.com/it/collections/bundles" TargetMode="External"/><Relationship Id="rId113" Type="http://schemas.openxmlformats.org/officeDocument/2006/relationships/hyperlink" Target="https://striking-viking.com/de/collections/after-shave-balm" TargetMode="External"/><Relationship Id="rId114" Type="http://schemas.openxmlformats.org/officeDocument/2006/relationships/hyperlink" Target="https://striking-viking.com/en-ca/collections/sprays" TargetMode="External"/><Relationship Id="rId115" Type="http://schemas.openxmlformats.org/officeDocument/2006/relationships/hyperlink" Target="https://striking-viking.com/it/collections/hair-care" TargetMode="External"/><Relationship Id="rId116" Type="http://schemas.openxmlformats.org/officeDocument/2006/relationships/hyperlink" Target="https://striking-viking.com/fi/collections/pakkaukset" TargetMode="External"/><Relationship Id="rId117" Type="http://schemas.openxmlformats.org/officeDocument/2006/relationships/hyperlink" Target="https://striking-viking.com/no/collections/after-shave-balm" TargetMode="External"/><Relationship Id="rId118" Type="http://schemas.openxmlformats.org/officeDocument/2006/relationships/hyperlink" Target="https://striking-viking.com/fr/collections/hair-care" TargetMode="External"/><Relationship Id="rId119" Type="http://schemas.openxmlformats.org/officeDocument/2006/relationships/hyperlink" Target="https://striking-viking.com/it/pages/data-sharing-opt-out" TargetMode="External"/><Relationship Id="rId120" Type="http://schemas.openxmlformats.org/officeDocument/2006/relationships/hyperlink" Target="https://striking-viking.com/en-gb/collections/scissors-ontaki" TargetMode="External"/><Relationship Id="rId121" Type="http://schemas.openxmlformats.org/officeDocument/2006/relationships/hyperlink" Target="https://striking-viking.com/sv/collections/beard-care" TargetMode="External"/><Relationship Id="rId122" Type="http://schemas.openxmlformats.org/officeDocument/2006/relationships/hyperlink" Target="https://striking-viking.com/es/collections/bundles" TargetMode="External"/><Relationship Id="rId123" Type="http://schemas.openxmlformats.org/officeDocument/2006/relationships/hyperlink" Target="https://striking-viking.com/fr/collections/beard-butter" TargetMode="External"/><Relationship Id="rId124" Type="http://schemas.openxmlformats.org/officeDocument/2006/relationships/hyperlink" Target="https://striking-viking.com/de/collections/bundles" TargetMode="External"/><Relationship Id="rId125" Type="http://schemas.openxmlformats.org/officeDocument/2006/relationships/hyperlink" Target="https://striking-viking.com/de/pages/data-sharing-opt-out" TargetMode="External"/><Relationship Id="rId126" Type="http://schemas.openxmlformats.org/officeDocument/2006/relationships/hyperlink" Target="https://striking-viking.com/fr/products/striking-viking-sea-salt-hair-spray-strong-hold-citrus-texture-volume-beach-waves" TargetMode="External"/><Relationship Id="rId127" Type="http://schemas.openxmlformats.org/officeDocument/2006/relationships/hyperlink" Target="https://striking-viking.com/es/blogs/learn" TargetMode="External"/><Relationship Id="rId128" Type="http://schemas.openxmlformats.org/officeDocument/2006/relationships/hyperlink" Target="https://striking-viking.com/de/products/striking-viking-sea-salt-spray-for-men-blue-ocean-natural-texture-volume-hair-spray" TargetMode="External"/><Relationship Id="rId129" Type="http://schemas.openxmlformats.org/officeDocument/2006/relationships/hyperlink" Target="https://striking-viking.com/de/collections/beard-butter" TargetMode="External"/><Relationship Id="rId130" Type="http://schemas.openxmlformats.org/officeDocument/2006/relationships/hyperlink" Target="https://striking-viking.com/fr/collections/beard-care" TargetMode="External"/><Relationship Id="rId131" Type="http://schemas.openxmlformats.org/officeDocument/2006/relationships/hyperlink" Target="https://striking-viking.com/no/collections/bundles" TargetMode="External"/><Relationship Id="rId132" Type="http://schemas.openxmlformats.org/officeDocument/2006/relationships/hyperlink" Target="https://striking-viking.com/no/collections/combs-and-brushes" TargetMode="External"/><Relationship Id="rId133" Type="http://schemas.openxmlformats.org/officeDocument/2006/relationships/hyperlink" Target="https://striking-viking.com/es/collections/tattoo-aftercare" TargetMode="External"/><Relationship Id="rId134" Type="http://schemas.openxmlformats.org/officeDocument/2006/relationships/hyperlink" Target="https://striking-viking.com/it/collections/powders" TargetMode="External"/><Relationship Id="rId135" Type="http://schemas.openxmlformats.org/officeDocument/2006/relationships/hyperlink" Target="https://striking-viking.com/de/collections/combs-and-brushes" TargetMode="External"/><Relationship Id="rId136" Type="http://schemas.openxmlformats.org/officeDocument/2006/relationships/hyperlink" Target="https://striking-viking.com/no/blogs/learn/beard-grooming-quintessential-regime-for-the-modern-man" TargetMode="External"/><Relationship Id="rId137" Type="http://schemas.openxmlformats.org/officeDocument/2006/relationships/hyperlink" Target="https://striking-viking.com/es/collections/powders" TargetMode="External"/><Relationship Id="rId138" Type="http://schemas.openxmlformats.org/officeDocument/2006/relationships/hyperlink" Target="https://striking-viking.com/sv" TargetMode="External"/><Relationship Id="rId139" Type="http://schemas.openxmlformats.org/officeDocument/2006/relationships/hyperlink" Target="https://striking-viking.com/it/products/striking-viking-mustache-wax-and-comb-kit" TargetMode="External"/><Relationship Id="rId140" Type="http://schemas.openxmlformats.org/officeDocument/2006/relationships/hyperlink" Target="https://striking-viking.com/es/collections/shaving" TargetMode="External"/><Relationship Id="rId141" Type="http://schemas.openxmlformats.org/officeDocument/2006/relationships/hyperlink" Target="https://striking-viking.com/it/collections/biotin-beard-growth" TargetMode="External"/><Relationship Id="rId142" Type="http://schemas.openxmlformats.org/officeDocument/2006/relationships/hyperlink" Target="https://striking-viking.com/de/blogs/learn" TargetMode="External"/><Relationship Id="rId143" Type="http://schemas.openxmlformats.org/officeDocument/2006/relationships/hyperlink" Target="https://striking-viking.com/it/collections/shaving" TargetMode="External"/><Relationship Id="rId144" Type="http://schemas.openxmlformats.org/officeDocument/2006/relationships/hyperlink" Target="https://striking-viking.com/fr/collections/scissors-ontaki" TargetMode="External"/><Relationship Id="rId145" Type="http://schemas.openxmlformats.org/officeDocument/2006/relationships/hyperlink" Target="https://striking-viking.com/it/collections/beard-wash" TargetMode="External"/><Relationship Id="rId146" Type="http://schemas.openxmlformats.org/officeDocument/2006/relationships/hyperlink" Target="https://striking-viking.com/fr/blogs/learn/grooming-kit-a-perfect-gift-for-the-modern-man" TargetMode="External"/><Relationship Id="rId147" Type="http://schemas.openxmlformats.org/officeDocument/2006/relationships/hyperlink" Target="https://striking-viking.com/es/products/striking-viking-bergamot-thunder-beard-balm-for-men-natural-beard-balm-with-shea-butter" TargetMode="External"/><Relationship Id="rId148" Type="http://schemas.openxmlformats.org/officeDocument/2006/relationships/hyperlink" Target="https://striking-viking.com/fr/pages/about-us" TargetMode="External"/><Relationship Id="rId149" Type="http://schemas.openxmlformats.org/officeDocument/2006/relationships/hyperlink" Target="https://striking-viking.com/fr/collections/brushes" TargetMode="External"/><Relationship Id="rId150" Type="http://schemas.openxmlformats.org/officeDocument/2006/relationships/hyperlink" Target="https://striking-viking.com/fi/collections/partakarvakasvupaketit" TargetMode="External"/><Relationship Id="rId151" Type="http://schemas.openxmlformats.org/officeDocument/2006/relationships/hyperlink" Target="https://striking-viking.com/fr/pages/data-sharing-opt-out" TargetMode="External"/><Relationship Id="rId152" Type="http://schemas.openxmlformats.org/officeDocument/2006/relationships/hyperlink" Target="https://striking-viking.com/en-gb/pages/become-a-reseller" TargetMode="External"/><Relationship Id="rId153" Type="http://schemas.openxmlformats.org/officeDocument/2006/relationships/hyperlink" Target="https://striking-viking.com/es/collections/combs" TargetMode="External"/><Relationship Id="rId154" Type="http://schemas.openxmlformats.org/officeDocument/2006/relationships/hyperlink" Target="https://striking-viking.com/de/collections/powders" TargetMode="External"/><Relationship Id="rId155" Type="http://schemas.openxmlformats.org/officeDocument/2006/relationships/hyperlink" Target="https://striking-viking.com/no/collections/beard-balm" TargetMode="External"/><Relationship Id="rId156" Type="http://schemas.openxmlformats.org/officeDocument/2006/relationships/hyperlink" Target="https://striking-viking.com/es/collections/beard-balm" TargetMode="External"/><Relationship Id="rId157" Type="http://schemas.openxmlformats.org/officeDocument/2006/relationships/hyperlink" Target="https://striking-viking.com/de/collections/biotin-beard-growth" TargetMode="External"/><Relationship Id="rId158" Type="http://schemas.openxmlformats.org/officeDocument/2006/relationships/hyperlink" Target="https://striking-viking.com/fr/collections/beard-growth-kits" TargetMode="External"/><Relationship Id="rId159" Type="http://schemas.openxmlformats.org/officeDocument/2006/relationships/hyperlink" Target="https://striking-viking.com/es/products/striking-viking-beard-grooming-kit-with-toiletry-bag-8-piece-mens-grooming-set" TargetMode="External"/><Relationship Id="rId160" Type="http://schemas.openxmlformats.org/officeDocument/2006/relationships/hyperlink" Target="https://striking-viking.com/fr/blogs/learn/level-up-your-beard-game-the-striking-viking-beard-filler-pen" TargetMode="External"/><Relationship Id="rId161" Type="http://schemas.openxmlformats.org/officeDocument/2006/relationships/hyperlink" Target="https://striking-viking.com/fr/products/striking-viking-blue-ocean-beard-oil-for-men-natural-beard-growth-oil-with-argan-jojoba" TargetMode="External"/><Relationship Id="rId162" Type="http://schemas.openxmlformats.org/officeDocument/2006/relationships/hyperlink" Target="https://striking-viking.com/it/collections/beard-filler-pens" TargetMode="External"/><Relationship Id="rId163" Type="http://schemas.openxmlformats.org/officeDocument/2006/relationships/hyperlink" Target="https://striking-viking.com/no/collections/scissors-ontaki" TargetMode="External"/><Relationship Id="rId164" Type="http://schemas.openxmlformats.org/officeDocument/2006/relationships/hyperlink" Target="https://striking-viking.com/es/pages/become-a-reseller" TargetMode="External"/><Relationship Id="rId165" Type="http://schemas.openxmlformats.org/officeDocument/2006/relationships/hyperlink" Target="https://striking-viking.com/fr/collections/beard-oil" TargetMode="External"/><Relationship Id="rId166" Type="http://schemas.openxmlformats.org/officeDocument/2006/relationships/hyperlink" Target="https://striking-viking.com/fi/pages/become-a-reseller" TargetMode="External"/><Relationship Id="rId167" Type="http://schemas.openxmlformats.org/officeDocument/2006/relationships/hyperlink" Target="https://striking-viking.com/sv/pages/become-a-reseller" TargetMode="External"/><Relationship Id="rId168" Type="http://schemas.openxmlformats.org/officeDocument/2006/relationships/hyperlink" Target="https://striking-viking.com/fi/products/striking-viking-beard-kit-caddy-complete-beard-grooming-kit" TargetMode="External"/><Relationship Id="rId169" Type="http://schemas.openxmlformats.org/officeDocument/2006/relationships/hyperlink" Target="https://striking-viking.com/fi/collections/after-shave-balm" TargetMode="External"/><Relationship Id="rId170" Type="http://schemas.openxmlformats.org/officeDocument/2006/relationships/hyperlink" Target="https://striking-viking.com/fr/collections/beard-wash" TargetMode="External"/><Relationship Id="rId171" Type="http://schemas.openxmlformats.org/officeDocument/2006/relationships/hyperlink" Target="https://striking-viking.com/fr/products/striking-viking-bergamot-thunder-beard-balm-for-men-natural-beard-balm-with-shea-butter" TargetMode="External"/><Relationship Id="rId172" Type="http://schemas.openxmlformats.org/officeDocument/2006/relationships/hyperlink" Target="https://striking-viking.com/fi/products/striking-viking-bergamot-thunder-beard-balm-for-men-natural-beard-balm-with-shea-butter" TargetMode="External"/><Relationship Id="rId173" Type="http://schemas.openxmlformats.org/officeDocument/2006/relationships/hyperlink" Target="https://striking-viking.com/fr/collections/after-shave-balm" TargetMode="External"/><Relationship Id="rId174" Type="http://schemas.openxmlformats.org/officeDocument/2006/relationships/hyperlink" Target="https://striking-viking.com/sv/collections/bundles" TargetMode="External"/><Relationship Id="rId175" Type="http://schemas.openxmlformats.org/officeDocument/2006/relationships/hyperlink" Target="https://striking-viking.com/no/collections/sprays" TargetMode="External"/><Relationship Id="rId176" Type="http://schemas.openxmlformats.org/officeDocument/2006/relationships/hyperlink" Target="https://striking-viking.com/de/pages/cookie-policy" TargetMode="External"/><Relationship Id="rId177" Type="http://schemas.openxmlformats.org/officeDocument/2006/relationships/hyperlink" Target="https://striking-viking.com/es/collections/beard-oil" TargetMode="External"/><Relationship Id="rId178" Type="http://schemas.openxmlformats.org/officeDocument/2006/relationships/hyperlink" Target="https://striking-viking.com/no/pages/cookie-policy" TargetMode="External"/><Relationship Id="rId179" Type="http://schemas.openxmlformats.org/officeDocument/2006/relationships/hyperlink" Target="https://striking-viking.com/es/collections/scissors-ontaki" TargetMode="External"/><Relationship Id="rId180" Type="http://schemas.openxmlformats.org/officeDocument/2006/relationships/hyperlink" Target="https://striking-viking.com/fi/products/striking-viking-beard-grooming-kit-with-toiletry-bag-8-piece-mens-grooming-set" TargetMode="External"/><Relationship Id="rId181" Type="http://schemas.openxmlformats.org/officeDocument/2006/relationships/hyperlink" Target="https://striking-viking.com/it/collections/beard-oil" TargetMode="External"/><Relationship Id="rId182" Type="http://schemas.openxmlformats.org/officeDocument/2006/relationships/hyperlink" Target="https://striking-viking.com/de/pages/contact-us" TargetMode="External"/><Relationship Id="rId183" Type="http://schemas.openxmlformats.org/officeDocument/2006/relationships/hyperlink" Target="https://striking-viking.com/de/products/bartol-vanille-3" TargetMode="External"/><Relationship Id="rId184" Type="http://schemas.openxmlformats.org/officeDocument/2006/relationships/hyperlink" Target="https://striking-viking.com/fr/collections/powders" TargetMode="External"/><Relationship Id="rId185" Type="http://schemas.openxmlformats.org/officeDocument/2006/relationships/hyperlink" Target="https://striking-viking.com/es/collections/biotin-beard-growth" TargetMode="External"/><Relationship Id="rId186" Type="http://schemas.openxmlformats.org/officeDocument/2006/relationships/hyperlink" Target="https://striking-viking.com/it/collections/2026-deals" TargetMode="External"/><Relationship Id="rId187" Type="http://schemas.openxmlformats.org/officeDocument/2006/relationships/hyperlink" Target="https://striking-viking.com/es/products/striking-viking-beard-kit-caddy-complete-beard-grooming-kit" TargetMode="External"/><Relationship Id="rId188" Type="http://schemas.openxmlformats.org/officeDocument/2006/relationships/hyperlink" Target="https://striking-viking.com/sv/pages/contact-us" TargetMode="External"/><Relationship Id="rId189" Type="http://schemas.openxmlformats.org/officeDocument/2006/relationships/hyperlink" Target="https://striking-viking.com/de/collections/combs" TargetMode="External"/><Relationship Id="rId190" Type="http://schemas.openxmlformats.org/officeDocument/2006/relationships/hyperlink" Target="https://striking-viking.com/es/pages/about-us" TargetMode="External"/><Relationship Id="rId191" Type="http://schemas.openxmlformats.org/officeDocument/2006/relationships/hyperlink" Target="https://striking-viking.com/fi/collections/jauheet" TargetMode="External"/><Relationship Id="rId192" Type="http://schemas.openxmlformats.org/officeDocument/2006/relationships/hyperlink" Target="https://striking-viking.com/it/products/striking-viking-terra-sol-beard-oil-for-men-natural-beard-growth-oil-with-argan-jojoba" TargetMode="External"/><Relationship Id="rId193" Type="http://schemas.openxmlformats.org/officeDocument/2006/relationships/hyperlink" Target="https://striking-viking.com/fr/products/striking-viking-sea-salt-spray-for-men-blue-ocean-natural-texture-volume-hair-spray" TargetMode="External"/><Relationship Id="rId194" Type="http://schemas.openxmlformats.org/officeDocument/2006/relationships/hyperlink" Target="https://striking-viking.com/it/products/striking-viking-blue-ocean-beard-oil-for-men-natural-beard-growth-oil-with-argan-jojoba" TargetMode="External"/><Relationship Id="rId195" Type="http://schemas.openxmlformats.org/officeDocument/2006/relationships/hyperlink" Target="https://striking-viking.com/fi/pages/about-us" TargetMode="External"/><Relationship Id="rId196" Type="http://schemas.openxmlformats.org/officeDocument/2006/relationships/hyperlink" Target="https://striking-viking.com/it/products/striking-viking-beard-grooming-kit-with-toiletry-bag-8-piece-mens-grooming-set" TargetMode="External"/><Relationship Id="rId197" Type="http://schemas.openxmlformats.org/officeDocument/2006/relationships/hyperlink" Target="https://striking-viking.com/no/collections/beard-growth-kits" TargetMode="External"/><Relationship Id="rId198" Type="http://schemas.openxmlformats.org/officeDocument/2006/relationships/hyperlink" Target="https://striking-viking.com/en-ca/products/striking-viking-terra-sol-beard-oil-for-men-natural-beard-growth-oil-with-argan-jojoba" TargetMode="External"/><Relationship Id="rId199" Type="http://schemas.openxmlformats.org/officeDocument/2006/relationships/hyperlink" Target="https://striking-viking.com/de/collections/sprays" TargetMode="External"/><Relationship Id="rId200" Type="http://schemas.openxmlformats.org/officeDocument/2006/relationships/hyperlink" Target="https://striking-viking.com/es/blogs/learn/grooming-kit-a-perfect-gift-for-the-modern-man" TargetMode="External"/><Relationship Id="rId201" Type="http://schemas.openxmlformats.org/officeDocument/2006/relationships/hyperlink" Target="https://striking-viking.com/es/products/striking-viking-mustache-wax-and-comb-kit" TargetMode="External"/><Relationship Id="rId202" Type="http://schemas.openxmlformats.org/officeDocument/2006/relationships/hyperlink" Target="https://striking-viking.com/fr/blogs/learn" TargetMode="External"/><Relationship Id="rId203" Type="http://schemas.openxmlformats.org/officeDocument/2006/relationships/hyperlink" Target="https://striking-viking.com/fi/blogs/learn" TargetMode="External"/><Relationship Id="rId204" Type="http://schemas.openxmlformats.org/officeDocument/2006/relationships/hyperlink" Target="https://striking-viking.com/fr/collections/best-sellers-grooming-kit" TargetMode="External"/><Relationship Id="rId205" Type="http://schemas.openxmlformats.org/officeDocument/2006/relationships/hyperlink" Target="https://striking-viking.com/fr/blogs/learn/beard-grooming-quintessential-regime-for-the-modern-man" TargetMode="External"/><Relationship Id="rId206" Type="http://schemas.openxmlformats.org/officeDocument/2006/relationships/hyperlink" Target="https://striking-viking.com/it/collections/face-body" TargetMode="External"/><Relationship Id="rId207" Type="http://schemas.openxmlformats.org/officeDocument/2006/relationships/hyperlink" Target="https://striking-viking.com/sv/pages/data-sharing-opt-out" TargetMode="External"/><Relationship Id="rId208" Type="http://schemas.openxmlformats.org/officeDocument/2006/relationships/hyperlink" Target="https://striking-viking.com/es/pages/cookie-policy" TargetMode="External"/><Relationship Id="rId209" Type="http://schemas.openxmlformats.org/officeDocument/2006/relationships/hyperlink" Target="https://striking-viking.com/es/collections/after-shave-balm" TargetMode="External"/><Relationship Id="rId210" Type="http://schemas.openxmlformats.org/officeDocument/2006/relationships/hyperlink" Target="https://striking-viking.com/fr/collections/biotin-beard-growth" TargetMode="External"/><Relationship Id="rId211" Type="http://schemas.openxmlformats.org/officeDocument/2006/relationships/hyperlink" Target="https://striking-viking.com/it/collections/after-shave-balm" TargetMode="External"/><Relationship Id="rId212" Type="http://schemas.openxmlformats.org/officeDocument/2006/relationships/hyperlink" Target="https://striking-viking.com/fi/products/striking-viking-terra-sol-beard-oil-for-men-natural-beard-growth-oil-with-argan-jojoba" TargetMode="External"/><Relationship Id="rId213" Type="http://schemas.openxmlformats.org/officeDocument/2006/relationships/hyperlink" Target="https://striking-viking.com/sv/collections/beard-growth-kits" TargetMode="External"/><Relationship Id="rId214" Type="http://schemas.openxmlformats.org/officeDocument/2006/relationships/hyperlink" Target="https://striking-viking.com/products/striking-viking-blue-ocean-beard-oil-for-men-natural-beard-growth-oil-with-argan-jojoba" TargetMode="External"/><Relationship Id="rId215" Type="http://schemas.openxmlformats.org/officeDocument/2006/relationships/hyperlink" Target="https://striking-viking.com/fr/collections/shaving" TargetMode="External"/><Relationship Id="rId216" Type="http://schemas.openxmlformats.org/officeDocument/2006/relationships/hyperlink" Target="https://striking-viking.com/fi/collections/kammat-ja-harjat" TargetMode="External"/><Relationship Id="rId217" Type="http://schemas.openxmlformats.org/officeDocument/2006/relationships/hyperlink" Target="https://striking-viking.com/fi/collections/parta-ja-hiusten-hoito" TargetMode="External"/><Relationship Id="rId218" Type="http://schemas.openxmlformats.org/officeDocument/2006/relationships/hyperlink" Target="https://striking-viking.com/no/collections/beard-care" TargetMode="External"/><Relationship Id="rId219" Type="http://schemas.openxmlformats.org/officeDocument/2006/relationships/hyperlink" Target="https://striking-viking.com/fi/products/striking-viking-blue-ocean-beard-oil-for-men-natural-beard-growth-oil-with-argan-jojoba" TargetMode="External"/><Relationship Id="rId220" Type="http://schemas.openxmlformats.org/officeDocument/2006/relationships/hyperlink" Target="https://striking-viking.com/de/collections/beard-oil" TargetMode="External"/><Relationship Id="rId221" Type="http://schemas.openxmlformats.org/officeDocument/2006/relationships/hyperlink" Target="https://striking-viking.com/en-gb/collections/after-shave-balm" TargetMode="External"/><Relationship Id="rId222" Type="http://schemas.openxmlformats.org/officeDocument/2006/relationships/hyperlink" Target="https://striking-viking.com/it/collections/scissors-ontaki" TargetMode="External"/><Relationship Id="rId223" Type="http://schemas.openxmlformats.org/officeDocument/2006/relationships/hyperlink" Target="https://striking-viking.com/en-gb/collections/combs" TargetMode="External"/><Relationship Id="rId224" Type="http://schemas.openxmlformats.org/officeDocument/2006/relationships/hyperlink" Target="https://striking-viking.com/fr/collections/face-body" TargetMode="External"/><Relationship Id="rId225" Type="http://schemas.openxmlformats.org/officeDocument/2006/relationships/hyperlink" Target="https://striking-viking.com/fr/pages/cookie-policy" TargetMode="External"/><Relationship Id="rId226" Type="http://schemas.openxmlformats.org/officeDocument/2006/relationships/hyperlink" Target="https://striking-viking.com/es/collections/beard-butter" TargetMode="External"/><Relationship Id="rId227" Type="http://schemas.openxmlformats.org/officeDocument/2006/relationships/hyperlink" Target="https://striking-viking.com/de/collections/beard-care" TargetMode="External"/><Relationship Id="rId228" Type="http://schemas.openxmlformats.org/officeDocument/2006/relationships/hyperlink" Target="https://striking-viking.com/it/blogs/learn" TargetMode="External"/><Relationship Id="rId229" Type="http://schemas.openxmlformats.org/officeDocument/2006/relationships/hyperlink" Target="https://striking-viking.com/es/collections/sprays" TargetMode="External"/><Relationship Id="rId230" Type="http://schemas.openxmlformats.org/officeDocument/2006/relationships/hyperlink" Target="https://striking-viking.com/it/products/striking-viking-bergamot-thunder-beard-balm-for-men-natural-beard-balm-with-shea-butter" TargetMode="External"/><Relationship Id="rId231" Type="http://schemas.openxmlformats.org/officeDocument/2006/relationships/hyperlink" Target="https://striking-viking.com/sv/collections/after-shave-balm" TargetMode="External"/><Relationship Id="rId232" Type="http://schemas.openxmlformats.org/officeDocument/2006/relationships/hyperlink" Target="https://striking-viking.com/fr/products/striking-viking-mustache-wax-and-comb-kit" TargetMode="External"/><Relationship Id="rId233" Type="http://schemas.openxmlformats.org/officeDocument/2006/relationships/hyperlink" Target="https://striking-viking.com/fi/collections/2026-deals" TargetMode="External"/><Relationship Id="rId234" Type="http://schemas.openxmlformats.org/officeDocument/2006/relationships/hyperlink" Target="https://striking-viking.com/fi/pages/contact-us" TargetMode="External"/><Relationship Id="rId235" Type="http://schemas.openxmlformats.org/officeDocument/2006/relationships/hyperlink" Target="https://striking-viking.com/it/collections/beard-care" TargetMode="External"/><Relationship Id="rId236" Type="http://schemas.openxmlformats.org/officeDocument/2006/relationships/hyperlink" Target="https://striking-viking.com/it/collections/combs-and-brushes" TargetMode="External"/><Relationship Id="rId237" Type="http://schemas.openxmlformats.org/officeDocument/2006/relationships/hyperlink" Target="https://striking-viking.com/products/striking-viking-sea-salt-hair-spray-strong-hold-citrus-texture-volume-beach-waves" TargetMode="External"/><Relationship Id="rId238" Type="http://schemas.openxmlformats.org/officeDocument/2006/relationships/hyperlink" Target="https://striking-viking.com/es/pages/contact-us" TargetMode="External"/><Relationship Id="rId239" Type="http://schemas.openxmlformats.org/officeDocument/2006/relationships/hyperlink" Target="https://striking-viking.com/it/collections/sprays" TargetMode="External"/><Relationship Id="rId240" Type="http://schemas.openxmlformats.org/officeDocument/2006/relationships/hyperlink" Target="https://striking-viking.com/en-gb/collections/sprays" TargetMode="External"/><Relationship Id="rId241" Type="http://schemas.openxmlformats.org/officeDocument/2006/relationships/hyperlink" Target="https://striking-viking.com/sv/collections/combs" TargetMode="External"/><Relationship Id="rId242" Type="http://schemas.openxmlformats.org/officeDocument/2006/relationships/hyperlink" Target="https://striking-viking.com/products/striking-viking-beard-growth-mastery-bundle-with-sandalwood-vanilla-biotin-oils-and-derma-roller" TargetMode="External"/><Relationship Id="rId243" Type="http://schemas.openxmlformats.org/officeDocument/2006/relationships/hyperlink" Target="https://striking-viking.com/en-gb/products/striking-viking-vanilla-beard-growth-oil-with-biotin-castor-oil-for-fuller-beard-growth" TargetMode="External"/><Relationship Id="rId244" Type="http://schemas.openxmlformats.org/officeDocument/2006/relationships/hyperlink" Target="https://striking-viking.com/products/striking-viking-vanilla-beard-growth-oil-with-biotin-castor-oil-for-fuller-beard-growth" TargetMode="External"/><Relationship Id="rId245" Type="http://schemas.openxmlformats.org/officeDocument/2006/relationships/hyperlink" Target="https://striking-viking.com/products/striking-viking-vanilla-pre-shave-oil-for-men-smooth-razor-glide-skin-protection" TargetMode="External"/><Relationship Id="rId246" Type="http://schemas.openxmlformats.org/officeDocument/2006/relationships/hyperlink" Target="https://striking-viking.com/en-gb/products/striking-viking-blue-ocean-beard-balm-for-men-natural-beard-balm-with-shea-butter-jojoba" TargetMode="External"/><Relationship Id="rId247" Type="http://schemas.openxmlformats.org/officeDocument/2006/relationships/hyperlink" Target="https://striking-viking.com/de/pages/collab" TargetMode="External"/><Relationship Id="rId248" Type="http://schemas.openxmlformats.org/officeDocument/2006/relationships/hyperlink" Target="https://striking-viking.com/it/products/striking-viking-vanilla-beard-balm" TargetMode="External"/><Relationship Id="rId249" Type="http://schemas.openxmlformats.org/officeDocument/2006/relationships/hyperlink" Target="https://striking-viking.com/en-ca/products/striking-viking-boar-bristle-beard-brush-for-men-natural-beech-wood-grooming-brush" TargetMode="External"/><Relationship Id="rId250" Type="http://schemas.openxmlformats.org/officeDocument/2006/relationships/hyperlink" Target="https://striking-viking.com/sv/blogs/learn/the-ultimate-beard-growth-routine-for-a-thicker-healthier-beard-2026-guide" TargetMode="External"/><Relationship Id="rId251" Type="http://schemas.openxmlformats.org/officeDocument/2006/relationships/hyperlink" Target="https://striking-viking.com/de/products/bartbutter-vanille" TargetMode="External"/><Relationship Id="rId252" Type="http://schemas.openxmlformats.org/officeDocument/2006/relationships/hyperlink" Target="https://striking-viking.com/fr/products/striking-viking-tea-tree-biotin-beard-shampoo-conditioner-set-for-healthy-beard-care" TargetMode="External"/><Relationship Id="rId253" Type="http://schemas.openxmlformats.org/officeDocument/2006/relationships/hyperlink" Target="https://striking-viking.com/it/products/striking-viking-boar-bristle-beard-brush-for-men-natural-beech-wood-grooming-brush" TargetMode="External"/><Relationship Id="rId254" Type="http://schemas.openxmlformats.org/officeDocument/2006/relationships/hyperlink" Target="https://striking-viking.com/en-gb/products/striking-viking-vanilla-pre-shave-oil-for-men-smooth-razor-glide-skin-protection" TargetMode="External"/><Relationship Id="rId255" Type="http://schemas.openxmlformats.org/officeDocument/2006/relationships/hyperlink" Target="https://striking-viking.com/sv/pages/sign-up" TargetMode="External"/><Relationship Id="rId256" Type="http://schemas.openxmlformats.org/officeDocument/2006/relationships/hyperlink" Target="https://striking-viking.com/en-ca/products/striking-viking-tea-tree-biotin-beard-shampoo-conditioner-set-for-healthy-beard-care" TargetMode="External"/><Relationship Id="rId257" Type="http://schemas.openxmlformats.org/officeDocument/2006/relationships/hyperlink" Target="https://striking-viking.com/en-gb/products/striking-viking-beard-filler-pencil-with-dual-tip-pen-brush-for-natural-beard-styling" TargetMode="External"/><Relationship Id="rId258" Type="http://schemas.openxmlformats.org/officeDocument/2006/relationships/hyperlink" Target="https://striking-viking.com/en-gb/products/striking-viking-sandalwood-beard-growth-bundle-with-titanium-derma-roller-beard-growth-serum" TargetMode="External"/><Relationship Id="rId259" Type="http://schemas.openxmlformats.org/officeDocument/2006/relationships/hyperlink" Target="https://striking-viking.com/fi/blogs/learn/spring-style-refresh-how-to-update-your-beard-and-hair-for-warmer-weather" TargetMode="External"/><Relationship Id="rId260" Type="http://schemas.openxmlformats.org/officeDocument/2006/relationships/hyperlink" Target="https://striking-viking.com/products/striking-viking-vanilla-beard-growth-bundle-with-biotin-beard-serum-titanium-derma-roller" TargetMode="External"/><Relationship Id="rId261" Type="http://schemas.openxmlformats.org/officeDocument/2006/relationships/hyperlink" Target="https://striking-viking.com/en-gb/products/striking-viking-bergamot-thunder-beard-oil-for-men-natural-beard-growth-oil-with-argan-jojoba" TargetMode="External"/><Relationship Id="rId262" Type="http://schemas.openxmlformats.org/officeDocument/2006/relationships/hyperlink" Target="https://striking-viking.com/en-gb/products/ontaki-german-steel-beard-mustache-scissors-professional-grooming-kit" TargetMode="External"/><Relationship Id="rId263" Type="http://schemas.openxmlformats.org/officeDocument/2006/relationships/hyperlink" Target="https://striking-viking.com/products/gift-card-striking-viking" TargetMode="External"/><Relationship Id="rId264" Type="http://schemas.openxmlformats.org/officeDocument/2006/relationships/hyperlink" Target="https://striking-viking.com/it/blogs/learn/spring-style-refresh-how-to-update-your-beard-and-hair-for-warmer-weather" TargetMode="External"/><Relationship Id="rId265" Type="http://schemas.openxmlformats.org/officeDocument/2006/relationships/hyperlink" Target="https://striking-viking.com/it/products/striking-viking-vanilla-beard-growth-kit-with-biotin-oil-0-25mm-derma-roller" TargetMode="External"/><Relationship Id="rId266" Type="http://schemas.openxmlformats.org/officeDocument/2006/relationships/hyperlink" Target="https://striking-viking.com/fi/collections/striking-deals" TargetMode="External"/><Relationship Id="rId267" Type="http://schemas.openxmlformats.org/officeDocument/2006/relationships/hyperlink" Target="https://striking-viking.com/products/striking-viking-bergamot-thunder-beard-oil-for-men-natural-beard-growth-oil-with-argan-jojoba" TargetMode="External"/><Relationship Id="rId268" Type="http://schemas.openxmlformats.org/officeDocument/2006/relationships/hyperlink" Target="https://striking-viking.com/en-gb/products/striking-viking-beard-growth-power-kit-with-biotin-beard-oil-shampoo-derma-roller" TargetMode="External"/><Relationship Id="rId269" Type="http://schemas.openxmlformats.org/officeDocument/2006/relationships/hyperlink" Target="https://striking-viking.com/fi/products/striking-viking-wooden-beard-care-caddy-board-only" TargetMode="External"/><Relationship Id="rId270" Type="http://schemas.openxmlformats.org/officeDocument/2006/relationships/hyperlink" Target="https://striking-viking.com/es/pages/sign-up" TargetMode="External"/><Relationship Id="rId271" Type="http://schemas.openxmlformats.org/officeDocument/2006/relationships/hyperlink" Target="https://striking-viking.com/fr/products/striking-viking-wooden-beard-care-caddy-board-only" TargetMode="External"/><Relationship Id="rId272" Type="http://schemas.openxmlformats.org/officeDocument/2006/relationships/hyperlink" Target="https://striking-viking.com/blogs/learn/16918829-the-ingredients-and-why-they-matter" TargetMode="External"/><Relationship Id="rId273" Type="http://schemas.openxmlformats.org/officeDocument/2006/relationships/hyperlink" Target="https://striking-viking.com/de/products/bartbutter" TargetMode="External"/><Relationship Id="rId274" Type="http://schemas.openxmlformats.org/officeDocument/2006/relationships/hyperlink" Target="https://striking-viking.com/products/beard-growth-butter-with-biotin-4-oz-sandalwood" TargetMode="External"/><Relationship Id="rId275" Type="http://schemas.openxmlformats.org/officeDocument/2006/relationships/hyperlink" Target="https://striking-viking.com/it/blogs/learn/all-you-need-to-know-about-beard-filler-pens" TargetMode="External"/><Relationship Id="rId276" Type="http://schemas.openxmlformats.org/officeDocument/2006/relationships/hyperlink" Target="https://striking-viking.com/en-ca/products/striking-viking-beard-shampoo-with-natural-peppermint-eucalyptus-for-refreshing-beard-care" TargetMode="External"/><Relationship Id="rId277" Type="http://schemas.openxmlformats.org/officeDocument/2006/relationships/hyperlink" Target="https://striking-viking.com/en-ca/products/striking-viking-sandalwood-beard-shampoo-conditioner-set-hydrating-beard-care-for-men" TargetMode="External"/><Relationship Id="rId278" Type="http://schemas.openxmlformats.org/officeDocument/2006/relationships/hyperlink" Target="https://striking-viking.com/en-gb/products/striking-viking-beard-rehab-growth-kit-with-sandalwood-beard-care-derma-roller" TargetMode="External"/><Relationship Id="rId279" Type="http://schemas.openxmlformats.org/officeDocument/2006/relationships/hyperlink" Target="https://striking-viking.com/sv/blogs/learn/how-to-keep-your-tattoos-looking-bold-for-years-the-role-of-tattoo-balms" TargetMode="External"/><Relationship Id="rId280" Type="http://schemas.openxmlformats.org/officeDocument/2006/relationships/hyperlink" Target="https://striking-viking.com/de/collections/striking-deals" TargetMode="External"/><Relationship Id="rId281" Type="http://schemas.openxmlformats.org/officeDocument/2006/relationships/hyperlink" Target="https://striking-viking.com/en-gb/products/charlemagne-original-hair-pomade-for-men-strong-hold-water-based-styling-pomade-100ml" TargetMode="External"/><Relationship Id="rId282" Type="http://schemas.openxmlformats.org/officeDocument/2006/relationships/hyperlink" Target="https://striking-viking.com/de/pages/free-moustache-beard-scissors" TargetMode="External"/><Relationship Id="rId283" Type="http://schemas.openxmlformats.org/officeDocument/2006/relationships/hyperlink" Target="https://striking-viking.com/products/striking-viking-vanilla-beard-balm-2-pack-with-natural-organic-ingredients-for-beard-styling" TargetMode="External"/><Relationship Id="rId284" Type="http://schemas.openxmlformats.org/officeDocument/2006/relationships/hyperlink" Target="https://striking-viking.com/products/striking-viking-beard-shampoo-with-natural-peppermint-eucalyptus-for-refreshing-beard-care" TargetMode="External"/><Relationship Id="rId285" Type="http://schemas.openxmlformats.org/officeDocument/2006/relationships/hyperlink" Target="https://striking-viking.com/en-gb/products/striking-viking-sea-salt-hair-spray-strong-hold-citrus-texture-volume-beach-waves" TargetMode="External"/><Relationship Id="rId286" Type="http://schemas.openxmlformats.org/officeDocument/2006/relationships/hyperlink" Target="https://striking-viking.com/blogs/learn/beard-grooming-tools-for-professional-styling-at-home" TargetMode="External"/><Relationship Id="rId287" Type="http://schemas.openxmlformats.org/officeDocument/2006/relationships/hyperlink" Target="https://striking-viking.com/en-gb/products/striking-viking-tea-tree-biotin-beard-shampoo-for-clean-healthy-soft-beard-care-for-men" TargetMode="External"/><Relationship Id="rId288" Type="http://schemas.openxmlformats.org/officeDocument/2006/relationships/hyperlink" Target="https://striking-viking.com/blogs/learn/striking-viking-beard-comb-for-routine-beard-management" TargetMode="External"/><Relationship Id="rId289" Type="http://schemas.openxmlformats.org/officeDocument/2006/relationships/hyperlink" Target="https://striking-viking.com/products/striking-viking-sandalwood-beard-shampoo-conditioner-set-hydrating-beard-care-for-men" TargetMode="External"/><Relationship Id="rId290" Type="http://schemas.openxmlformats.org/officeDocument/2006/relationships/hyperlink" Target="https://striking-viking.com/it/products/striking-viking-beard-oil-variety-4-pack-citrus-vanilla-cedarwood-sandalwood" TargetMode="External"/><Relationship Id="rId291" Type="http://schemas.openxmlformats.org/officeDocument/2006/relationships/hyperlink" Target="https://striking-viking.com/it/products/striking-viking-sandalwood-beard-growth-kit-with-biotin-oil-0-25mm-derma-roller" TargetMode="External"/><Relationship Id="rId292" Type="http://schemas.openxmlformats.org/officeDocument/2006/relationships/hyperlink" Target="https://striking-viking.com/es/pages/collab" TargetMode="External"/><Relationship Id="rId293" Type="http://schemas.openxmlformats.org/officeDocument/2006/relationships/hyperlink" Target="https://striking-viking.com/en-gb/products/charlemagne-carbon-wide-tooth-comb-for-men-heat-resistant-carbon-fiber-hair-comb" TargetMode="External"/><Relationship Id="rId294" Type="http://schemas.openxmlformats.org/officeDocument/2006/relationships/hyperlink" Target="https://striking-viking.com/sv/pages/collab" TargetMode="External"/><Relationship Id="rId295" Type="http://schemas.openxmlformats.org/officeDocument/2006/relationships/hyperlink" Target="https://striking-viking.com/products/striking-viking-battle-ready-beard-care-kit-with-beard-oils-balms-beard-filler-pen" TargetMode="External"/><Relationship Id="rId296" Type="http://schemas.openxmlformats.org/officeDocument/2006/relationships/hyperlink" Target="https://striking-viking.com/sv/collections/viking-beard-kits" TargetMode="External"/><Relationship Id="rId297" Type="http://schemas.openxmlformats.org/officeDocument/2006/relationships/hyperlink" Target="https://striking-viking.com/de/products/bartbutter-vanille-1" TargetMode="External"/><Relationship Id="rId298" Type="http://schemas.openxmlformats.org/officeDocument/2006/relationships/hyperlink" Target="https://striking-viking.com/blogs/learn/scented-beard-oil-by-striking-viking" TargetMode="External"/><Relationship Id="rId299" Type="http://schemas.openxmlformats.org/officeDocument/2006/relationships/hyperlink" Target="https://striking-viking.com/fi/pages/collab" TargetMode="External"/><Relationship Id="rId300" Type="http://schemas.openxmlformats.org/officeDocument/2006/relationships/hyperlink" Target="https://striking-viking.com/en-ca/products/striking-viking-sandalwood-beard-growth-bundle-with-titanium-derma-roller-beard-growth-serum" TargetMode="External"/><Relationship Id="rId301" Type="http://schemas.openxmlformats.org/officeDocument/2006/relationships/hyperlink" Target="https://striking-viking.com/fi/blogs/learn/the-ultimate-beard-growth-routine-for-a-thicker-healthier-beard-2026-guide" TargetMode="External"/><Relationship Id="rId302" Type="http://schemas.openxmlformats.org/officeDocument/2006/relationships/hyperlink" Target="https://striking-viking.com/it/products/striking-viking-beard-balm-variety-4-pack-citrus-vanilla-cedarwood-sandalwood" TargetMode="External"/><Relationship Id="rId303" Type="http://schemas.openxmlformats.org/officeDocument/2006/relationships/hyperlink" Target="https://striking-viking.com/en-gb/blogs/learn/beard-grooming-tools-for-professional-styling-at-home" TargetMode="External"/><Relationship Id="rId304" Type="http://schemas.openxmlformats.org/officeDocument/2006/relationships/hyperlink" Target="https://striking-viking.com/en-ca/products/beard-growth-balm-with-biotin-2-oz-vanilla" TargetMode="External"/><Relationship Id="rId305" Type="http://schemas.openxmlformats.org/officeDocument/2006/relationships/hyperlink" Target="https://striking-viking.com/it/blogs/learn/beard-oil-vs-beard-balm-solving-the-modern-problem-for-gentlemen-with-beards" TargetMode="External"/><Relationship Id="rId306" Type="http://schemas.openxmlformats.org/officeDocument/2006/relationships/hyperlink" Target="https://striking-viking.com/es/blogs/learn/the-ultimate-beard-growth-routine-for-a-thicker-healthier-beard-2026-guide" TargetMode="External"/><Relationship Id="rId307" Type="http://schemas.openxmlformats.org/officeDocument/2006/relationships/hyperlink" Target="https://striking-viking.com/de/blogs/learn/the-ultimate-beard-growth-routine-for-a-thicker-healthier-beard-2026-guide" TargetMode="External"/><Relationship Id="rId308" Type="http://schemas.openxmlformats.org/officeDocument/2006/relationships/hyperlink" Target="https://striking-viking.com/sv/collections/featured-products" TargetMode="External"/><Relationship Id="rId309" Type="http://schemas.openxmlformats.org/officeDocument/2006/relationships/hyperlink" Target="https://striking-viking.com/en-ca/products/beard-growth-balm-with-biotin-2-oz-blue-ocean" TargetMode="External"/><Relationship Id="rId310" Type="http://schemas.openxmlformats.org/officeDocument/2006/relationships/hyperlink" Target="https://striking-viking.com/en-gb/products/striking-viking-vanilla-beard-growth-bundle-with-biotin-beard-serum-titanium-derma-roller" TargetMode="External"/><Relationship Id="rId311" Type="http://schemas.openxmlformats.org/officeDocument/2006/relationships/hyperlink" Target="https://striking-viking.com/es/products/striking-viking-wooden-beard-care-caddy-board-only" TargetMode="External"/><Relationship Id="rId312" Type="http://schemas.openxmlformats.org/officeDocument/2006/relationships/hyperlink" Target="https://striking-viking.com/en-ca/products/striking-viking-beard-growth-mastery-bundle-with-sandalwood-vanilla-biotin-oils-and-derma-roller" TargetMode="External"/><Relationship Id="rId313" Type="http://schemas.openxmlformats.org/officeDocument/2006/relationships/hyperlink" Target="https://striking-viking.com/en-ca/blogs/learn/beard-grooming-tools-for-professional-styling-at-home" TargetMode="External"/><Relationship Id="rId314" Type="http://schemas.openxmlformats.org/officeDocument/2006/relationships/hyperlink" Target="https://striking-viking.com/en-gb/products/striking-viking-blue-ocean-beard-oil-for-men-natural-beard-growth-oil-with-argan-jojoba" TargetMode="External"/><Relationship Id="rId315" Type="http://schemas.openxmlformats.org/officeDocument/2006/relationships/hyperlink" Target="https://striking-viking.com/products/beard-growth-balm-with-biotin-2-oz-blue-ocean" TargetMode="External"/><Relationship Id="rId316" Type="http://schemas.openxmlformats.org/officeDocument/2006/relationships/hyperlink" Target="https://striking-viking.com/en-gb/products/striking-viking-beard-shampoo-with-natural-peppermint-eucalyptus-for-refreshing-beard-care" TargetMode="External"/><Relationship Id="rId317" Type="http://schemas.openxmlformats.org/officeDocument/2006/relationships/hyperlink" Target="https://striking-viking.com/en-ca/products/striking-viking-terra-sol-beard-balm-for-men-natural-beard-balm-with-shea-butter-jojoba" TargetMode="External"/><Relationship Id="rId318" Type="http://schemas.openxmlformats.org/officeDocument/2006/relationships/hyperlink" Target="https://striking-viking.com/fi/pages/sign-up" TargetMode="External"/><Relationship Id="rId319" Type="http://schemas.openxmlformats.org/officeDocument/2006/relationships/hyperlink" Target="https://striking-viking.com/products/striking-viking-vanilla-beard-oil-with-natural-organic-oils-for-soft-healthy-beard-care" TargetMode="External"/><Relationship Id="rId320" Type="http://schemas.openxmlformats.org/officeDocument/2006/relationships/hyperlink" Target="https://striking-viking.com/de/collections/subscribe-save" TargetMode="External"/><Relationship Id="rId321" Type="http://schemas.openxmlformats.org/officeDocument/2006/relationships/hyperlink" Target="https://striking-viking.com/en-gb/products/striking-viking-sandalwood-pre-shave-oil-for-men-smooth-razor-glide-skin-protection" TargetMode="External"/><Relationship Id="rId322" Type="http://schemas.openxmlformats.org/officeDocument/2006/relationships/hyperlink" Target="https://striking-viking.com/products/striking-viking-biotin-beard-growth-oil-for-men-unscented-beard-growth-serum" TargetMode="External"/><Relationship Id="rId323" Type="http://schemas.openxmlformats.org/officeDocument/2006/relationships/hyperlink" Target="https://striking-viking.com/products/striking-viking-tea-tree-biotin-beard-shampoo-conditioner-set-for-healthy-beard-care" TargetMode="External"/><Relationship Id="rId324" Type="http://schemas.openxmlformats.org/officeDocument/2006/relationships/hyperlink" Target="https://striking-viking.com/en-ca/products/striking-viking-vanilla-beard-oil-with-natural-organic-oils-for-soft-healthy-beard-care" TargetMode="External"/><Relationship Id="rId325" Type="http://schemas.openxmlformats.org/officeDocument/2006/relationships/hyperlink" Target="https://striking-viking.com/en-gb/products/striking-viking-terra-sol-beard-oil-for-men-natural-beard-growth-oil-with-argan-jojoba" TargetMode="External"/><Relationship Id="rId326" Type="http://schemas.openxmlformats.org/officeDocument/2006/relationships/hyperlink" Target="https://striking-viking.com/no/products/beard-growth-balm-with-biotin-2-oz-blue-ocean" TargetMode="External"/><Relationship Id="rId327" Type="http://schemas.openxmlformats.org/officeDocument/2006/relationships/hyperlink" Target="https://striking-viking.com/en-gb/products/striking-viking-beard-growth-mastery-bundle-with-sandalwood-vanilla-biotin-oils-and-derma-roller" TargetMode="External"/><Relationship Id="rId328" Type="http://schemas.openxmlformats.org/officeDocument/2006/relationships/hyperlink" Target="https://striking-viking.com/it/products/striking-viking-folding-wooden-comb-sandalwood-beard-hair-comb" TargetMode="External"/><Relationship Id="rId329" Type="http://schemas.openxmlformats.org/officeDocument/2006/relationships/hyperlink" Target="https://striking-viking.com/de/pages/sign-up" TargetMode="External"/><Relationship Id="rId330" Type="http://schemas.openxmlformats.org/officeDocument/2006/relationships/hyperlink" Target="https://striking-viking.com/no/products/beard-growth-balm-with-biotin-2-oz-vanilla" TargetMode="External"/><Relationship Id="rId331" Type="http://schemas.openxmlformats.org/officeDocument/2006/relationships/hyperlink" Target="https://striking-viking.com/en-gb/products/striking-viking-battle-ready-beard-care-kit-with-beard-oils-balms-beard-filler-pen" TargetMode="External"/><Relationship Id="rId332" Type="http://schemas.openxmlformats.org/officeDocument/2006/relationships/hyperlink" Target="https://striking-viking.com/it/blogs/learn/heads-shoulders-knees-and-toes-but-why-forget-the-beard" TargetMode="External"/><Relationship Id="rId333" Type="http://schemas.openxmlformats.org/officeDocument/2006/relationships/hyperlink" Target="https://striking-viking.com/fr/products/striking-viking-peppermint-eucalyptus-beard-shampoo-conditioner-set-for-healthy-beard-care" TargetMode="External"/><Relationship Id="rId334" Type="http://schemas.openxmlformats.org/officeDocument/2006/relationships/hyperlink" Target="https://striking-viking.com/no/blogs/learn/how-to-keep-your-tattoos-looking-bold-for-years-the-role-of-tattoo-balms" TargetMode="External"/><Relationship Id="rId335" Type="http://schemas.openxmlformats.org/officeDocument/2006/relationships/hyperlink" Target="https://striking-viking.com/products/beard-growth-balm-with-biotin-2-oz-sandalwood" TargetMode="External"/><Relationship Id="rId336" Type="http://schemas.openxmlformats.org/officeDocument/2006/relationships/hyperlink" Target="https://striking-viking.com/de/blogs/learn/spring-style-refresh-how-to-update-your-beard-and-hair-for-warmer-weather" TargetMode="External"/><Relationship Id="rId337" Type="http://schemas.openxmlformats.org/officeDocument/2006/relationships/hyperlink" Target="https://striking-viking.com/it/products/striking-viking-cedarwood-beard-oil" TargetMode="External"/><Relationship Id="rId338" Type="http://schemas.openxmlformats.org/officeDocument/2006/relationships/hyperlink" Target="https://striking-viking.com/es/blogs/learn/spring-style-refresh-how-to-update-your-beard-and-hair-for-warmer-weather" TargetMode="External"/><Relationship Id="rId339" Type="http://schemas.openxmlformats.org/officeDocument/2006/relationships/hyperlink" Target="https://striking-viking.com/en-ca/products/striking-viking-tea-tree-biotin-beard-shampoo-for-clean-healthy-soft-beard-care-for-men" TargetMode="External"/><Relationship Id="rId340" Type="http://schemas.openxmlformats.org/officeDocument/2006/relationships/hyperlink" Target="https://striking-viking.com/no/products/beard-growth-balm-with-biotin-2-oz-sandalwood" TargetMode="External"/><Relationship Id="rId341" Type="http://schemas.openxmlformats.org/officeDocument/2006/relationships/hyperlink" Target="https://striking-viking.com/it/collections/subscribe-save" TargetMode="External"/><Relationship Id="rId342" Type="http://schemas.openxmlformats.org/officeDocument/2006/relationships/hyperlink" Target="https://striking-viking.com/sv/products/striking-viking-terra-sol-beard-oil-for-men-natural-beard-growth-oil-with-argan-jojoba" TargetMode="External"/><Relationship Id="rId343" Type="http://schemas.openxmlformats.org/officeDocument/2006/relationships/hyperlink" Target="https://striking-viking.com/it/blogs/learn/grooming-kit-a-perfect-gift-for-the-modern-man" TargetMode="External"/><Relationship Id="rId344" Type="http://schemas.openxmlformats.org/officeDocument/2006/relationships/hyperlink" Target="https://striking-viking.com/it/blogs/learn/beard-grooming-quintessential-regime-for-the-modern-man" TargetMode="External"/><Relationship Id="rId345" Type="http://schemas.openxmlformats.org/officeDocument/2006/relationships/hyperlink" Target="https://striking-viking.com/it/products/striking-viking-wooden-beard-care-caddy-board-only" TargetMode="External"/><Relationship Id="rId346" Type="http://schemas.openxmlformats.org/officeDocument/2006/relationships/hyperlink" Target="https://striking-viking.com/sv/products/striking-viking-blue-ocean-beard-oil-for-men-natural-beard-growth-oil-with-argan-jojoba" TargetMode="External"/><Relationship Id="rId347" Type="http://schemas.openxmlformats.org/officeDocument/2006/relationships/hyperlink" Target="https://striking-viking.com/fi/collections/viikinki-partasetit" TargetMode="External"/><Relationship Id="rId348" Type="http://schemas.openxmlformats.org/officeDocument/2006/relationships/hyperlink" Target="https://striking-viking.com/en-gb/products/striking-viking-biotin-beard-growth-oil-for-men-unscented-beard-growth-serum" TargetMode="External"/><Relationship Id="rId349" Type="http://schemas.openxmlformats.org/officeDocument/2006/relationships/hyperlink" Target="https://striking-viking.com/it/products/striking-viking-blue-ocean-beard-balm-for-men-natural-beard-balm-with-shea-butter-jojoba" TargetMode="External"/><Relationship Id="rId350" Type="http://schemas.openxmlformats.org/officeDocument/2006/relationships/hyperlink" Target="https://striking-viking.com/de/products/bartol-vanille-1" TargetMode="External"/><Relationship Id="rId351" Type="http://schemas.openxmlformats.org/officeDocument/2006/relationships/hyperlink" Target="https://striking-viking.com/en-ca/products/beard-growth-balm-with-biotin-2-oz-sandalwood" TargetMode="External"/><Relationship Id="rId352" Type="http://schemas.openxmlformats.org/officeDocument/2006/relationships/hyperlink" Target="https://striking-viking.com/de/products/bartbalsam-manner-2" TargetMode="External"/><Relationship Id="rId353" Type="http://schemas.openxmlformats.org/officeDocument/2006/relationships/hyperlink" Target="https://striking-viking.com/fr/products/beard-growth-balm-with-biotin-2-oz-blue-ocean" TargetMode="External"/><Relationship Id="rId354" Type="http://schemas.openxmlformats.org/officeDocument/2006/relationships/hyperlink" Target="https://striking-viking.com/it/products/striking-viking-folding-wooden-beard-comb-for-men-anti-static-sandalwood-grooming-comb" TargetMode="External"/><Relationship Id="rId355" Type="http://schemas.openxmlformats.org/officeDocument/2006/relationships/hyperlink" Target="https://striking-viking.com/en-ca/products/striking-viking-unscented-beard-oil-and-balm-kit-natural-beard-grooming-set-for-men" TargetMode="External"/><Relationship Id="rId356" Type="http://schemas.openxmlformats.org/officeDocument/2006/relationships/hyperlink" Target="https://striking-viking.com/fi/collections/trending-now" TargetMode="External"/><Relationship Id="rId357" Type="http://schemas.openxmlformats.org/officeDocument/2006/relationships/hyperlink" Target="https://striking-viking.com/fr/products/striking-viking-biotin-beard-growth-oil-for-men-unscented-beard-growth-serum" TargetMode="External"/><Relationship Id="rId358" Type="http://schemas.openxmlformats.org/officeDocument/2006/relationships/hyperlink" Target="https://striking-viking.com/it/products/beard-growth-balm-with-biotin-2-oz-sandalwood" TargetMode="External"/><Relationship Id="rId359" Type="http://schemas.openxmlformats.org/officeDocument/2006/relationships/hyperlink" Target="https://striking-viking.com/it/products/striking-viking-beard-filler-pen-2-pack-dual-tip-waterproof-beard-pen-for-natural-beard-filling" TargetMode="External"/><Relationship Id="rId360" Type="http://schemas.openxmlformats.org/officeDocument/2006/relationships/hyperlink" Target="https://striking-viking.com/products/striking-viking-sandalwood-beard-growth-bundle-with-titanium-derma-roller-beard-growth-serum" TargetMode="External"/><Relationship Id="rId361" Type="http://schemas.openxmlformats.org/officeDocument/2006/relationships/hyperlink" Target="https://striking-viking.com/it/products/striking-viking-beard-growth-oil-with-biotin-sandalwood" TargetMode="External"/><Relationship Id="rId362" Type="http://schemas.openxmlformats.org/officeDocument/2006/relationships/hyperlink" Target="https://striking-viking.com/products/ontaki-facial-hair-grooming-scissors-2-pack-precision-beard-nose-mustache-trimming" TargetMode="External"/><Relationship Id="rId363" Type="http://schemas.openxmlformats.org/officeDocument/2006/relationships/hyperlink" Target="https://striking-viking.com/fi/blogs/learn/heads-shoulders-knees-and-toes-but-why-forget-the-beard" TargetMode="External"/><Relationship Id="rId364" Type="http://schemas.openxmlformats.org/officeDocument/2006/relationships/hyperlink" Target="https://striking-viking.com/products/beard-growth-butter-with-biotin-4-oz-vanilla" TargetMode="External"/><Relationship Id="rId365" Type="http://schemas.openxmlformats.org/officeDocument/2006/relationships/hyperlink" Target="https://striking-viking.com/de/products/beard-growth-balm-with-biotin-2-oz-blue-ocean" TargetMode="External"/><Relationship Id="rId366" Type="http://schemas.openxmlformats.org/officeDocument/2006/relationships/hyperlink" Target="https://striking-viking.com/fr/products/striking-viking-vanilla-beard-balm" TargetMode="External"/><Relationship Id="rId367" Type="http://schemas.openxmlformats.org/officeDocument/2006/relationships/hyperlink" Target="https://striking-viking.com/fr/products/striking-viking-blue-ocean-beard-balm-for-men-natural-beard-balm-with-shea-butter-jojoba" TargetMode="External"/><Relationship Id="rId368" Type="http://schemas.openxmlformats.org/officeDocument/2006/relationships/hyperlink" Target="https://striking-viking.com/products/striking-viking-matte-hair-pomade-for-men-linen-scent-water-based-medium-strong-hold" TargetMode="External"/><Relationship Id="rId369" Type="http://schemas.openxmlformats.org/officeDocument/2006/relationships/hyperlink" Target="https://striking-viking.com/it/collections/viking-beard-kits" TargetMode="External"/><Relationship Id="rId370" Type="http://schemas.openxmlformats.org/officeDocument/2006/relationships/hyperlink" Target="https://striking-viking.com/fr/products/striking-viking-beard-shampoo-conditioner-cologne-argan-jojoba-oil" TargetMode="External"/><Relationship Id="rId371" Type="http://schemas.openxmlformats.org/officeDocument/2006/relationships/hyperlink" Target="https://striking-viking.com/products/striking-viking-terra-sol-beard-balm-for-men-natural-beard-balm-with-shea-butter-jojoba" TargetMode="External"/><Relationship Id="rId372" Type="http://schemas.openxmlformats.org/officeDocument/2006/relationships/hyperlink" Target="https://striking-viking.com/fr/collections/trending-now" TargetMode="External"/><Relationship Id="rId373" Type="http://schemas.openxmlformats.org/officeDocument/2006/relationships/hyperlink" Target="https://striking-viking.com/products/striking-viking-unscented-beard-butter-for-moisturizing-softening-daily-beard-care" TargetMode="External"/><Relationship Id="rId374" Type="http://schemas.openxmlformats.org/officeDocument/2006/relationships/hyperlink" Target="https://striking-viking.com/de/products/bartkamm" TargetMode="External"/><Relationship Id="rId375" Type="http://schemas.openxmlformats.org/officeDocument/2006/relationships/hyperlink" Target="https://striking-viking.com/es/collections/viking-beard-kits" TargetMode="External"/><Relationship Id="rId376" Type="http://schemas.openxmlformats.org/officeDocument/2006/relationships/hyperlink" Target="https://striking-viking.com/sv/products/striking-viking-beard-rehab-growth-kit-with-sandalwood-beard-care-derma-roller" TargetMode="External"/><Relationship Id="rId377" Type="http://schemas.openxmlformats.org/officeDocument/2006/relationships/hyperlink" Target="https://striking-viking.com/de/products/bartol-zedernholz" TargetMode="External"/><Relationship Id="rId378" Type="http://schemas.openxmlformats.org/officeDocument/2006/relationships/hyperlink" Target="https://striking-viking.com/fi/products/striking-viking-sandalwood-beard-growth-kit-with-biotin-oil-0-25mm-derma-roller" TargetMode="External"/><Relationship Id="rId379" Type="http://schemas.openxmlformats.org/officeDocument/2006/relationships/hyperlink" Target="https://striking-viking.com/en-gb/products/striking-viking-boar-bristle-beard-brush-for-men-natural-beech-wood-grooming-brush" TargetMode="External"/><Relationship Id="rId380" Type="http://schemas.openxmlformats.org/officeDocument/2006/relationships/hyperlink" Target="https://striking-viking.com/it/products/striking-viking-sandalwood-beard-shampoo-conditioner-set-hydrating-beard-care-for-men" TargetMode="External"/><Relationship Id="rId381" Type="http://schemas.openxmlformats.org/officeDocument/2006/relationships/hyperlink" Target="https://striking-viking.com/de/collections/viking-beard-kits" TargetMode="External"/><Relationship Id="rId382" Type="http://schemas.openxmlformats.org/officeDocument/2006/relationships/hyperlink" Target="https://striking-viking.com/sv/products/gift-card-striking-viking" TargetMode="External"/><Relationship Id="rId383" Type="http://schemas.openxmlformats.org/officeDocument/2006/relationships/hyperlink" Target="https://striking-viking.com/sv/blogs/learn/heads-shoulders-knees-and-toes-but-why-forget-the-beard" TargetMode="External"/><Relationship Id="rId384" Type="http://schemas.openxmlformats.org/officeDocument/2006/relationships/hyperlink" Target="https://striking-viking.com/products/beard-butter-blue-ocean" TargetMode="External"/><Relationship Id="rId385" Type="http://schemas.openxmlformats.org/officeDocument/2006/relationships/hyperlink" Target="https://striking-viking.com/fr/products/striking-viking-cedarwood-beard-oil" TargetMode="External"/><Relationship Id="rId386" Type="http://schemas.openxmlformats.org/officeDocument/2006/relationships/hyperlink" Target="https://striking-viking.com/de/products/bartshampoo-und-spulung" TargetMode="External"/><Relationship Id="rId387" Type="http://schemas.openxmlformats.org/officeDocument/2006/relationships/hyperlink" Target="https://striking-viking.com/products/striking-viking-blue-ocean-beard-balm-for-men-natural-beard-balm-with-shea-butter-jojoba" TargetMode="External"/><Relationship Id="rId388" Type="http://schemas.openxmlformats.org/officeDocument/2006/relationships/hyperlink" Target="https://striking-viking.com/fr/products/beard-growth-balm-with-biotin-2-oz-sandalwood" TargetMode="External"/><Relationship Id="rId389" Type="http://schemas.openxmlformats.org/officeDocument/2006/relationships/hyperlink" Target="https://striking-viking.com/fr/blogs/learn/how-to-keep-your-tattoos-looking-bold-for-years-the-role-of-tattoo-balms" TargetMode="External"/><Relationship Id="rId390" Type="http://schemas.openxmlformats.org/officeDocument/2006/relationships/hyperlink" Target="https://striking-viking.com/fr/products/striking-viking-beard-filler-pen-2-pack-dual-tip-waterproof-beard-pen-for-natural-beard-filling" TargetMode="External"/><Relationship Id="rId391" Type="http://schemas.openxmlformats.org/officeDocument/2006/relationships/hyperlink" Target="https://striking-viking.com/fr/products/striking-viking-boar-bristle-beard-brush-for-men-natural-beech-wood-grooming-brush" TargetMode="External"/><Relationship Id="rId392" Type="http://schemas.openxmlformats.org/officeDocument/2006/relationships/hyperlink" Target="https://striking-viking.com/de/collections/trending-now" TargetMode="External"/><Relationship Id="rId393" Type="http://schemas.openxmlformats.org/officeDocument/2006/relationships/hyperlink" Target="https://striking-viking.com/es/blogs/learn/why-your-beard-needs-more-than-just-a-comb" TargetMode="External"/><Relationship Id="rId394" Type="http://schemas.openxmlformats.org/officeDocument/2006/relationships/hyperlink" Target="https://striking-viking.com/en-ca/products/striking-viking-unscented-beard-butter-for-moisturizing-softening-daily-beard-care" TargetMode="External"/><Relationship Id="rId395" Type="http://schemas.openxmlformats.org/officeDocument/2006/relationships/hyperlink" Target="https://striking-viking.com/en-gb/products/striking-viking-folding-wooden-beard-comb-for-men-anti-static-sandalwood-grooming-comb" TargetMode="External"/><Relationship Id="rId396" Type="http://schemas.openxmlformats.org/officeDocument/2006/relationships/hyperlink" Target="https://striking-viking.com/en-ca/products/striking-viking-biotin-beard-growth-oil-for-men-unscented-beard-growth-serum" TargetMode="External"/><Relationship Id="rId397" Type="http://schemas.openxmlformats.org/officeDocument/2006/relationships/hyperlink" Target="https://striking-viking.com/products/2x-mustache-wax-comb-set-sandalwood" TargetMode="External"/><Relationship Id="rId398" Type="http://schemas.openxmlformats.org/officeDocument/2006/relationships/hyperlink" Target="https://striking-viking.com/es/collections/new-in-oils-balms" TargetMode="External"/><Relationship Id="rId399" Type="http://schemas.openxmlformats.org/officeDocument/2006/relationships/hyperlink" Target="https://striking-viking.com/products/ontaki-hair-thinning-shears-kit-7-inch-professional-hair-cutting-texturizing-set" TargetMode="External"/><Relationship Id="rId400" Type="http://schemas.openxmlformats.org/officeDocument/2006/relationships/hyperlink" Target="https://striking-viking.com/fr/products/striking-viking-vanilla-beard-growth-kit-with-biotin-oil-0-25mm-derma-roller" TargetMode="External"/><Relationship Id="rId401" Type="http://schemas.openxmlformats.org/officeDocument/2006/relationships/hyperlink" Target="https://striking-viking.com/fr/products/striking-viking-bergamot-thunder-beard-oil-for-men-natural-beard-growth-oil-with-argan-jojoba" TargetMode="External"/><Relationship Id="rId402" Type="http://schemas.openxmlformats.org/officeDocument/2006/relationships/hyperlink" Target="https://striking-viking.com/de/products/bartbalsam-vielfalt-set" TargetMode="External"/><Relationship Id="rId403" Type="http://schemas.openxmlformats.org/officeDocument/2006/relationships/hyperlink" Target="https://striking-viking.com/en-ca/products/striking-viking-battle-ready-beard-care-kit-with-beard-oils-balms-beard-filler-pen" TargetMode="External"/><Relationship Id="rId404" Type="http://schemas.openxmlformats.org/officeDocument/2006/relationships/hyperlink" Target="https://striking-viking.com/de/products/beard-growth-balm-with-biotin-2-oz-sandalwood" TargetMode="External"/><Relationship Id="rId405" Type="http://schemas.openxmlformats.org/officeDocument/2006/relationships/hyperlink" Target="https://striking-viking.com/en-ca/products/beard-growth-butter-with-biotin-4-oz-sandalwood" TargetMode="External"/><Relationship Id="rId406" Type="http://schemas.openxmlformats.org/officeDocument/2006/relationships/hyperlink" Target="https://striking-viking.com/fr/products/striking-viking-terra-sol-beard-balm-for-men-natural-beard-balm-with-shea-butter-jojoba" TargetMode="External"/><Relationship Id="rId407" Type="http://schemas.openxmlformats.org/officeDocument/2006/relationships/hyperlink" Target="https://striking-viking.com/fi/products/striking-viking-sandalwood-beard-growth-bundle-with-titanium-derma-roller-beard-growth-serum" TargetMode="External"/><Relationship Id="rId408" Type="http://schemas.openxmlformats.org/officeDocument/2006/relationships/hyperlink" Target="https://striking-viking.com/fi/products/striking-viking-tea-tree-biotin-beard-shampoo-conditioner-set-for-healthy-beard-care" TargetMode="External"/><Relationship Id="rId409" Type="http://schemas.openxmlformats.org/officeDocument/2006/relationships/hyperlink" Target="https://striking-viking.com/en-gb/products/beard-growth-balm-with-biotin-2-oz-blue-ocean" TargetMode="External"/><Relationship Id="rId410" Type="http://schemas.openxmlformats.org/officeDocument/2006/relationships/hyperlink" Target="https://striking-viking.com/de/products/bartol-vielfalt-set" TargetMode="External"/><Relationship Id="rId411" Type="http://schemas.openxmlformats.org/officeDocument/2006/relationships/hyperlink" Target="https://striking-viking.com/it/products/striking-viking-sandalwood-wooden-beard-comb-brown" TargetMode="External"/><Relationship Id="rId412" Type="http://schemas.openxmlformats.org/officeDocument/2006/relationships/hyperlink" Target="https://striking-viking.com/products/ontaki-german-steel-beard-mustache-scissors-professional-grooming-kit" TargetMode="External"/><Relationship Id="rId413" Type="http://schemas.openxmlformats.org/officeDocument/2006/relationships/hyperlink" Target="https://striking-viking.com/en-ca/products/striking-viking-vanilla-beard-growth-oil-with-biotin-castor-oil-for-fuller-beard-growth" TargetMode="External"/><Relationship Id="rId414" Type="http://schemas.openxmlformats.org/officeDocument/2006/relationships/hyperlink" Target="https://striking-viking.com/fr/products/striking-viking-beard-filler-pencil-with-dual-tip-pen-brush-for-natural-beard-styling" TargetMode="External"/><Relationship Id="rId415" Type="http://schemas.openxmlformats.org/officeDocument/2006/relationships/hyperlink" Target="https://striking-viking.com/en-ca/products/beard-growth-butter-with-biotin-4-oz-blue-ocean" TargetMode="External"/><Relationship Id="rId416" Type="http://schemas.openxmlformats.org/officeDocument/2006/relationships/hyperlink" Target="https://striking-viking.com/en-gb/products/beard-growth-balm-with-biotin-2-oz-sandalwood" TargetMode="External"/><Relationship Id="rId417" Type="http://schemas.openxmlformats.org/officeDocument/2006/relationships/hyperlink" Target="https://striking-viking.com/fr/products/striking-viking-matte-hair-pomade-for-men-linen-scent-water-based-medium-strong-hold" TargetMode="External"/><Relationship Id="rId418" Type="http://schemas.openxmlformats.org/officeDocument/2006/relationships/hyperlink" Target="https://striking-viking.com/it/products/striking-viking-terra-sol-beard-balm-for-men-natural-beard-balm-with-shea-butter-jojoba" TargetMode="External"/><Relationship Id="rId419" Type="http://schemas.openxmlformats.org/officeDocument/2006/relationships/hyperlink" Target="https://striking-viking.com/de/products/bartwuchs-kit" TargetMode="External"/><Relationship Id="rId420" Type="http://schemas.openxmlformats.org/officeDocument/2006/relationships/hyperlink" Target="https://striking-viking.com/es/blogs/learn/pocket-blade-grooming-striking-viking-s-folding-beard-comb" TargetMode="External"/><Relationship Id="rId421" Type="http://schemas.openxmlformats.org/officeDocument/2006/relationships/hyperlink" Target="https://striking-viking.com/es/blogs/learn/heads-shoulders-knees-and-toes-but-why-forget-the-beard" TargetMode="External"/><Relationship Id="rId422" Type="http://schemas.openxmlformats.org/officeDocument/2006/relationships/hyperlink" Target="https://striking-viking.com/de/products/bartwuchs-set" TargetMode="External"/><Relationship Id="rId423" Type="http://schemas.openxmlformats.org/officeDocument/2006/relationships/hyperlink" Target="https://striking-viking.com/it/products/beard-growth-balm-with-biotin-2-oz-vanilla" TargetMode="External"/><Relationship Id="rId424" Type="http://schemas.openxmlformats.org/officeDocument/2006/relationships/hyperlink" Target="https://striking-viking.com/fr/products/striking-viking-sandalwood-beard-growth-kit-with-biotin-oil-0-25mm-derma-roller" TargetMode="External"/><Relationship Id="rId425" Type="http://schemas.openxmlformats.org/officeDocument/2006/relationships/hyperlink" Target="https://striking-viking.com/en-gb/products/striking-viking-terra-sol-beard-balm-for-men-natural-beard-balm-with-shea-butter-jojoba" TargetMode="External"/><Relationship Id="rId426" Type="http://schemas.openxmlformats.org/officeDocument/2006/relationships/hyperlink" Target="https://striking-viking.com/fr/products/striking-viking-vanilla-beard-growth-oil-with-biotin-castor-oil-for-fuller-beard-growth" TargetMode="External"/><Relationship Id="rId427" Type="http://schemas.openxmlformats.org/officeDocument/2006/relationships/hyperlink" Target="https://striking-viking.com/fr/products/striking-viking-vanilla-beard-oil-balm-kit-for-soft-healthy-beard-care-for-men" TargetMode="External"/><Relationship Id="rId428" Type="http://schemas.openxmlformats.org/officeDocument/2006/relationships/hyperlink" Target="https://striking-viking.com/de/collections/new-in-oils-balms" TargetMode="External"/><Relationship Id="rId429" Type="http://schemas.openxmlformats.org/officeDocument/2006/relationships/hyperlink" Target="https://striking-viking.com/en-gb/products/striking-viking-vanilla-beard-balm-2-pack-with-natural-organic-ingredients-for-beard-styling" TargetMode="External"/><Relationship Id="rId430" Type="http://schemas.openxmlformats.org/officeDocument/2006/relationships/hyperlink" Target="https://striking-viking.com/products/striking-viking-tea-tree-biotin-beard-shampoo-for-clean-healthy-soft-beard-care-for-men" TargetMode="External"/><Relationship Id="rId431" Type="http://schemas.openxmlformats.org/officeDocument/2006/relationships/hyperlink" Target="https://striking-viking.com/en-ca/products/striking-viking-matte-hair-pomade-for-men-linen-scent-water-based-medium-strong-hold" TargetMode="External"/><Relationship Id="rId432" Type="http://schemas.openxmlformats.org/officeDocument/2006/relationships/hyperlink" Target="https://striking-viking.com/products/beard-butter-bergamot-thunder" TargetMode="External"/><Relationship Id="rId433" Type="http://schemas.openxmlformats.org/officeDocument/2006/relationships/hyperlink" Target="https://striking-viking.com/de/products/striking-viking-matte-hair-pomade-for-men-linen-scent-water-based-medium-strong-hold" TargetMode="External"/><Relationship Id="rId434" Type="http://schemas.openxmlformats.org/officeDocument/2006/relationships/hyperlink" Target="https://striking-viking.com/de/products/beard-growth-balm-with-biotin-2-oz-vanilla" TargetMode="External"/><Relationship Id="rId435" Type="http://schemas.openxmlformats.org/officeDocument/2006/relationships/hyperlink" Target="https://striking-viking.com/it/products/striking-viking-beard-filler-pencil-with-dual-tip-pen-brush-for-natural-beard-styling" TargetMode="External"/><Relationship Id="rId436" Type="http://schemas.openxmlformats.org/officeDocument/2006/relationships/hyperlink" Target="https://striking-viking.com/it/products/striking-viking-biotin-beard-growth-oil-for-men-unscented-beard-growth-serum" TargetMode="External"/><Relationship Id="rId437" Type="http://schemas.openxmlformats.org/officeDocument/2006/relationships/hyperlink" Target="https://striking-viking.com/de/products/klappbarer-holzkamm" TargetMode="External"/><Relationship Id="rId438" Type="http://schemas.openxmlformats.org/officeDocument/2006/relationships/hyperlink" Target="https://striking-viking.com/es/blogs/learn/how-to-keep-your-tattoos-looking-bold-for-years-the-role-of-tattoo-balms" TargetMode="External"/><Relationship Id="rId439" Type="http://schemas.openxmlformats.org/officeDocument/2006/relationships/hyperlink" Target="https://striking-viking.com/en-ca/products/striking-viking-folding-wooden-beard-comb-for-men-anti-static-sandalwood-grooming-comb" TargetMode="External"/><Relationship Id="rId440" Type="http://schemas.openxmlformats.org/officeDocument/2006/relationships/hyperlink" Target="https://striking-viking.com/products/charlemagne-original-hair-pomade-for-men-strong-hold-water-based-styling-pomade-100ml" TargetMode="External"/><Relationship Id="rId441" Type="http://schemas.openxmlformats.org/officeDocument/2006/relationships/hyperlink" Target="https://striking-viking.com/it/blogs/learn/how-to-keep-your-tattoos-looking-bold-for-years-the-role-of-tattoo-balms" TargetMode="External"/><Relationship Id="rId442" Type="http://schemas.openxmlformats.org/officeDocument/2006/relationships/hyperlink" Target="https://striking-viking.com/it/products/striking-viking-vanilla-beard-oil-balm-kit-for-soft-healthy-beard-care-for-men" TargetMode="External"/><Relationship Id="rId443" Type="http://schemas.openxmlformats.org/officeDocument/2006/relationships/hyperlink" Target="https://striking-viking.com/de/products/bartwasch-und-pflegeset-sandelholz" TargetMode="External"/><Relationship Id="rId444" Type="http://schemas.openxmlformats.org/officeDocument/2006/relationships/hyperlink" Target="https://striking-viking.com/en-ca/products/striking-viking-blue-ocean-beard-balm-for-men-natural-beard-balm-with-shea-butter-jojoba" TargetMode="External"/><Relationship Id="rId445" Type="http://schemas.openxmlformats.org/officeDocument/2006/relationships/hyperlink" Target="https://striking-viking.com/fr/products/striking-viking-sandalwood-beard-shampoo-conditioner-set-hydrating-beard-care-for-men" TargetMode="External"/><Relationship Id="rId446" Type="http://schemas.openxmlformats.org/officeDocument/2006/relationships/hyperlink" Target="https://striking-viking.com/de/products/bartwuchsol-fur-manner-vanille" TargetMode="External"/><Relationship Id="rId447" Type="http://schemas.openxmlformats.org/officeDocument/2006/relationships/hyperlink" Target="https://striking-viking.com/de/products/striking-viking-boar-bristle-beard-brush-for-men-natural-beech-wood-grooming-brush" TargetMode="External"/><Relationship Id="rId448" Type="http://schemas.openxmlformats.org/officeDocument/2006/relationships/hyperlink" Target="https://striking-viking.com/en-ca/products/beard-growth-butter-with-biotin-4-oz-vanilla" TargetMode="External"/><Relationship Id="rId449" Type="http://schemas.openxmlformats.org/officeDocument/2006/relationships/hyperlink" Target="https://striking-viking.com/de/products/striking-viking-biotin-beard-growth-oil-for-men-unscented-beard-growth-serum" TargetMode="External"/><Relationship Id="rId450" Type="http://schemas.openxmlformats.org/officeDocument/2006/relationships/hyperlink" Target="https://striking-viking.com/products/beard-growth-balm-with-biotin-2-oz-vanilla" TargetMode="External"/><Relationship Id="rId451" Type="http://schemas.openxmlformats.org/officeDocument/2006/relationships/hyperlink" Target="https://striking-viking.com/en-ca/products/charlemagne-carbon-wide-tooth-comb-for-men-heat-resistant-carbon-fiber-hair-comb" TargetMode="External"/><Relationship Id="rId452" Type="http://schemas.openxmlformats.org/officeDocument/2006/relationships/hyperlink" Target="https://striking-viking.com/products/striking-viking-beard-rehab-growth-kit-with-sandalwood-beard-care-derma-roller" TargetMode="External"/><Relationship Id="rId453" Type="http://schemas.openxmlformats.org/officeDocument/2006/relationships/hyperlink" Target="https://striking-viking.com/es/blogs/learn/unlock-your-beard-s-full-potential-beard-growth-kits-oils" TargetMode="External"/><Relationship Id="rId454" Type="http://schemas.openxmlformats.org/officeDocument/2006/relationships/hyperlink" Target="https://striking-viking.com/fr/products/striking-viking-folding-wooden-beard-comb-for-men-anti-static-sandalwood-grooming-comb" TargetMode="External"/><Relationship Id="rId455" Type="http://schemas.openxmlformats.org/officeDocument/2006/relationships/hyperlink" Target="https://striking-viking.com/products/striking-viking-folding-wooden-beard-comb-for-men-anti-static-sandalwood-grooming-comb" TargetMode="External"/><Relationship Id="rId456" Type="http://schemas.openxmlformats.org/officeDocument/2006/relationships/hyperlink" Target="https://striking-viking.com/fi/blogs/learn/pocket-blade-grooming-striking-viking-s-folding-beard-comb" TargetMode="External"/><Relationship Id="rId457" Type="http://schemas.openxmlformats.org/officeDocument/2006/relationships/hyperlink" Target="https://striking-viking.com/fi/products/striking-viking-hybrid-beard-growth-bundle-with-sandalwood-unscented-beard-oils-and-derma-roller" TargetMode="External"/><Relationship Id="rId458" Type="http://schemas.openxmlformats.org/officeDocument/2006/relationships/hyperlink" Target="https://striking-viking.com/it/products/striking-viking-bergamot-thunder-beard-oil-for-men-natural-beard-growth-oil-with-argan-jojoba" TargetMode="External"/><Relationship Id="rId459" Type="http://schemas.openxmlformats.org/officeDocument/2006/relationships/hyperlink" Target="https://striking-viking.com/fr/collections/viking-beard-kits" TargetMode="External"/><Relationship Id="rId460" Type="http://schemas.openxmlformats.org/officeDocument/2006/relationships/hyperlink" Target="https://striking-viking.com/it/products/beard-growth-balm-with-biotin-2-oz-blue-ocean" TargetMode="External"/><Relationship Id="rId461" Type="http://schemas.openxmlformats.org/officeDocument/2006/relationships/hyperlink" Target="https://striking-viking.com/en-ca/products/beard-butter-bergamot-thunder" TargetMode="External"/><Relationship Id="rId462" Type="http://schemas.openxmlformats.org/officeDocument/2006/relationships/hyperlink" Target="https://striking-viking.com/fr/products/striking-viking-beard-oil-variety-4-pack-citrus-vanilla-cedarwood-sandalwood" TargetMode="External"/><Relationship Id="rId463" Type="http://schemas.openxmlformats.org/officeDocument/2006/relationships/hyperlink" Target="https://striking-viking.com/de/products/striking-viking-beard-filler-pen-2-pack-dual-tip-waterproof-beard-pen-for-natural-beard-filling" TargetMode="External"/><Relationship Id="rId464" Type="http://schemas.openxmlformats.org/officeDocument/2006/relationships/hyperlink" Target="https://striking-viking.com/en-ca/products/striking-viking-beard-filler-pencil-with-dual-tip-pen-brush-for-natural-beard-styling" TargetMode="External"/><Relationship Id="rId465" Type="http://schemas.openxmlformats.org/officeDocument/2006/relationships/hyperlink" Target="https://striking-viking.com/en-ca/products/striking-viking-bergamot-thunder-beard-oil-for-men-natural-beard-growth-oil-with-argan-jojoba" TargetMode="External"/><Relationship Id="rId466" Type="http://schemas.openxmlformats.org/officeDocument/2006/relationships/hyperlink" Target="https://striking-viking.com/de/blogs/learn/how-to-keep-your-tattoos-looking-bold-for-years-the-role-of-tattoo-balms" TargetMode="External"/><Relationship Id="rId467" Type="http://schemas.openxmlformats.org/officeDocument/2006/relationships/hyperlink" Target="https://striking-viking.com/fi/collections/new-in-oils-balms" TargetMode="External"/><Relationship Id="rId468" Type="http://schemas.openxmlformats.org/officeDocument/2006/relationships/hyperlink" Target="https://striking-viking.com/it/collections/trending-now" TargetMode="External"/><Relationship Id="rId469" Type="http://schemas.openxmlformats.org/officeDocument/2006/relationships/hyperlink" Target="https://striking-viking.com/it/products/striking-viking-matte-hair-pomade-for-men-linen-scent-water-based-medium-strong-hold" TargetMode="External"/><Relationship Id="rId470" Type="http://schemas.openxmlformats.org/officeDocument/2006/relationships/hyperlink" Target="https://striking-viking.com/de/products/bartwasch-und-pflegeset" TargetMode="External"/><Relationship Id="rId471" Type="http://schemas.openxmlformats.org/officeDocument/2006/relationships/hyperlink" Target="https://striking-viking.com/en-gb/products/beard-growth-balm-with-biotin-2-oz-vanilla" TargetMode="External"/><Relationship Id="rId472" Type="http://schemas.openxmlformats.org/officeDocument/2006/relationships/hyperlink" Target="https://striking-viking.com/es/blogs/learn/beard-oil-vs-beard-balm-solving-the-modern-problem-for-gentlemen-with-beards" TargetMode="External"/><Relationship Id="rId473" Type="http://schemas.openxmlformats.org/officeDocument/2006/relationships/hyperlink" Target="https://striking-viking.com/es/collections/trending-now" TargetMode="External"/><Relationship Id="rId474" Type="http://schemas.openxmlformats.org/officeDocument/2006/relationships/hyperlink" Target="https://striking-viking.com/fr/products/striking-viking-beard-balm-variety-4-pack-citrus-vanilla-cedarwood-sandalwood" TargetMode="External"/><Relationship Id="rId475" Type="http://schemas.openxmlformats.org/officeDocument/2006/relationships/hyperlink" Target="https://striking-viking.com/it/products/striking-viking-vanilla-beard-growth-oil-with-biotin-castor-oil-for-fuller-beard-growth" TargetMode="External"/><Relationship Id="rId476" Type="http://schemas.openxmlformats.org/officeDocument/2006/relationships/hyperlink" Target="https://striking-viking.com/de/products/bartol-und-balsam-vanille" TargetMode="External"/><Relationship Id="rId477" Type="http://schemas.openxmlformats.org/officeDocument/2006/relationships/hyperlink" Target="https://striking-viking.com/de/products/bartbalsam-manner" TargetMode="External"/><Relationship Id="rId478" Type="http://schemas.openxmlformats.org/officeDocument/2006/relationships/hyperlink" Target="https://striking-viking.com/products/ontaki-curved-fabric-scissors-6-5-inch-german-stainless-steel-embroidery-scissors" TargetMode="External"/><Relationship Id="rId479" Type="http://schemas.openxmlformats.org/officeDocument/2006/relationships/hyperlink" Target="https://striking-viking.com/en-gb/products/striking-viking-matte-hair-pomade-for-men-linen-scent-water-based-medium-strong-hold" TargetMode="External"/><Relationship Id="rId480" Type="http://schemas.openxmlformats.org/officeDocument/2006/relationships/hyperlink" Target="https://striking-viking.com/de/products/bartbalsam-manner-3" TargetMode="External"/><Relationship Id="rId481" Type="http://schemas.openxmlformats.org/officeDocument/2006/relationships/hyperlink" Target="https://striking-viking.com/it/products/sandalwood-wooden-beard-comb-black-striking-viking" TargetMode="External"/><Relationship Id="rId482" Type="http://schemas.openxmlformats.org/officeDocument/2006/relationships/hyperlink" Target="https://striking-viking.com/products/ontaki-japanese-steel-rounded-tip-beard-mustache-scissors-4-2-inch-grooming-kit" TargetMode="External"/><Relationship Id="rId483" Type="http://schemas.openxmlformats.org/officeDocument/2006/relationships/hyperlink" Target="https://striking-viking.com/fr/products/beard-growth-balm-with-biotin-2-oz-vanilla" TargetMode="External"/><Relationship Id="rId484" Type="http://schemas.openxmlformats.org/officeDocument/2006/relationships/hyperlink" Target="https://striking-viking.com/fr-ca/collections/hair-care" TargetMode="External"/><Relationship Id="rId485" Type="http://schemas.openxmlformats.org/officeDocument/2006/relationships/hyperlink" Target="https://striking-viking.com/fr-ca/collections/sprays" TargetMode="External"/><Relationship Id="rId486" Type="http://schemas.openxmlformats.org/officeDocument/2006/relationships/hyperlink" Target="https://striking-viking.com/fr-ca/collections/beard-butter" TargetMode="External"/><Relationship Id="rId487" Type="http://schemas.openxmlformats.org/officeDocument/2006/relationships/hyperlink" Target="https://striking-viking.com/fr-ca/pages/contact-us" TargetMode="External"/><Relationship Id="rId488" Type="http://schemas.openxmlformats.org/officeDocument/2006/relationships/hyperlink" Target="https://striking-viking.com/fr-ca/products/striking-viking-mustache-wax-and-comb-kit" TargetMode="External"/><Relationship Id="rId489" Type="http://schemas.openxmlformats.org/officeDocument/2006/relationships/hyperlink" Target="https://striking-viking.com/fr-ca/pages/about-us" TargetMode="External"/><Relationship Id="rId490" Type="http://schemas.openxmlformats.org/officeDocument/2006/relationships/hyperlink" Target="https://striking-viking.com/fr-ca/pages/cookie-policy" TargetMode="External"/><Relationship Id="rId491" Type="http://schemas.openxmlformats.org/officeDocument/2006/relationships/hyperlink" Target="https://striking-viking.com/fr-ca/collections/bundles" TargetMode="External"/><Relationship Id="rId492" Type="http://schemas.openxmlformats.org/officeDocument/2006/relationships/hyperlink" Target="https://striking-viking.com/fr-ca/collections/shaving" TargetMode="External"/><Relationship Id="rId493" Type="http://schemas.openxmlformats.org/officeDocument/2006/relationships/hyperlink" Target="https://striking-viking.com/fr-ca/collections/biotin-beard-growth" TargetMode="External"/><Relationship Id="rId494" Type="http://schemas.openxmlformats.org/officeDocument/2006/relationships/hyperlink" Target="https://striking-viking.com/fr-ca/pages/data-sharing-opt-out" TargetMode="External"/><Relationship Id="rId495" Type="http://schemas.openxmlformats.org/officeDocument/2006/relationships/hyperlink" Target="https://striking-viking.com/fr-ca/collections/combs" TargetMode="External"/><Relationship Id="rId496" Type="http://schemas.openxmlformats.org/officeDocument/2006/relationships/hyperlink" Target="https://striking-viking.com/fr-ca/collections/best-sellers-grooming-kit" TargetMode="External"/><Relationship Id="rId497" Type="http://schemas.openxmlformats.org/officeDocument/2006/relationships/hyperlink" Target="https://striking-viking.com/fr-ca/collections/beard-filler-pens" TargetMode="External"/><Relationship Id="rId498" Type="http://schemas.openxmlformats.org/officeDocument/2006/relationships/hyperlink" Target="https://striking-viking.com/fr-ca/collections/scissors-ontaki" TargetMode="External"/><Relationship Id="rId499" Type="http://schemas.openxmlformats.org/officeDocument/2006/relationships/hyperlink" Target="https://striking-viking.com/fr-ca/collections/beard-wash" TargetMode="External"/><Relationship Id="rId500" Type="http://schemas.openxmlformats.org/officeDocument/2006/relationships/hyperlink" Target="https://striking-viking.com/fr-ca/collections/after-shave-balm" TargetMode="External"/><Relationship Id="rId501" Type="http://schemas.openxmlformats.org/officeDocument/2006/relationships/hyperlink" Target="https://striking-viking.com/fr-ca/collections/face-body" TargetMode="External"/><Relationship Id="rId502" Type="http://schemas.openxmlformats.org/officeDocument/2006/relationships/hyperlink" Target="https://striking-viking.com/fr-ca/blogs/learn" TargetMode="External"/><Relationship Id="rId503" Type="http://schemas.openxmlformats.org/officeDocument/2006/relationships/hyperlink" Target="https://striking-viking.com/fr-ca/collections/combs-and-brushes" TargetMode="External"/><Relationship Id="rId504" Type="http://schemas.openxmlformats.org/officeDocument/2006/relationships/hyperlink" Target="https://striking-viking.com/fr-ca/collections/powders" TargetMode="External"/><Relationship Id="rId505" Type="http://schemas.openxmlformats.org/officeDocument/2006/relationships/hyperlink" Target="https://striking-viking.com/fr-ca/collections/2026-deals" TargetMode="External"/><Relationship Id="rId506" Type="http://schemas.openxmlformats.org/officeDocument/2006/relationships/hyperlink" Target="https://striking-viking.com/fr-ca/collections/brushes" TargetMode="External"/><Relationship Id="rId507" Type="http://schemas.openxmlformats.org/officeDocument/2006/relationships/hyperlink" Target="https://striking-viking.com/fr-ca/collections/beard-growth-kits" TargetMode="External"/><Relationship Id="rId508" Type="http://schemas.openxmlformats.org/officeDocument/2006/relationships/hyperlink" Target="https://striking-viking.com/fr-ca" TargetMode="External"/><Relationship Id="rId509" Type="http://schemas.openxmlformats.org/officeDocument/2006/relationships/hyperlink" Target="https://striking-viking.com/fr-ca/pages/become-a-reseller" TargetMode="External"/><Relationship Id="rId510" Type="http://schemas.openxmlformats.org/officeDocument/2006/relationships/hyperlink" Target="https://striking-viking.com/fr-ca/collections/beard-care" TargetMode="External"/><Relationship Id="rId511" Type="http://schemas.openxmlformats.org/officeDocument/2006/relationships/hyperlink" Target="https://striking-viking.com/fr-ca/collections/beard-oil" TargetMode="External"/><Relationship Id="rId512" Type="http://schemas.openxmlformats.org/officeDocument/2006/relationships/hyperlink" Target="https://striking-viking.com/fr-ca/collections/beard-balm" TargetMode="External"/><Relationship Id="rId513" Type="http://schemas.openxmlformats.org/officeDocument/2006/relationships/hyperlink" Target="https://striking-viking.com/fr-ca/products/striking-viking-wooden-beard-care-caddy-board-only" TargetMode="External"/><Relationship Id="rId514" Type="http://schemas.openxmlformats.org/officeDocument/2006/relationships/hyperlink" Target="https://striking-viking.com/fr-ca/products/striking-viking-sea-salt-hair-spray-strong-hold-citrus-texture-volume-beach-waves" TargetMode="External"/><Relationship Id="rId515" Type="http://schemas.openxmlformats.org/officeDocument/2006/relationships/hyperlink" Target="https://striking-viking.com/fr-ca/products/striking-viking-blue-ocean-beard-oil-for-men-natural-beard-growth-oil-with-argan-jojoba" TargetMode="External"/><Relationship Id="rId516" Type="http://schemas.openxmlformats.org/officeDocument/2006/relationships/hyperlink" Target="https://striking-viking.com/fr-ca/products/striking-viking-terra-sol-beard-oil-for-men-natural-beard-growth-oil-with-argan-jojoba" TargetMode="External"/><Relationship Id="rId517" Type="http://schemas.openxmlformats.org/officeDocument/2006/relationships/hyperlink" Target="https://striking-viking.com/fr-ca/blogs/learn/level-up-your-beard-game-the-striking-viking-beard-filler-pen" TargetMode="External"/><Relationship Id="rId518" Type="http://schemas.openxmlformats.org/officeDocument/2006/relationships/hyperlink" Target="https://striking-viking.com/fr-ca/products/striking-viking-bergamot-thunder-beard-balm-for-men-natural-beard-balm-with-shea-butter" TargetMode="External"/><Relationship Id="rId519" Type="http://schemas.openxmlformats.org/officeDocument/2006/relationships/hyperlink" Target="https://striking-viking.com/fr-ca/products/striking-viking-beard-filler-pen-2-pack-waterproof-beard-pen-for-filling-gaps-covering-patches" TargetMode="External"/><Relationship Id="rId520" Type="http://schemas.openxmlformats.org/officeDocument/2006/relationships/hyperlink" Target="https://striking-viking.com/fr-ca/products/striking-viking-beard-kit-caddy-complete-beard-grooming-kit" TargetMode="External"/><Relationship Id="rId521" Type="http://schemas.openxmlformats.org/officeDocument/2006/relationships/hyperlink" Target="https://striking-viking.com/fr-ca/blogs/learn/grooming-kit-a-perfect-gift-for-the-modern-man" TargetMode="External"/><Relationship Id="rId522" Type="http://schemas.openxmlformats.org/officeDocument/2006/relationships/hyperlink" Target="https://striking-viking.com/fr-ca/blogs/learn/beard-grooming-quintessential-regime-for-the-modern-man" TargetMode="External"/><Relationship Id="rId523" Type="http://schemas.openxmlformats.org/officeDocument/2006/relationships/hyperlink" Target="https://striking-viking.com/fr-ca/products/striking-viking-sea-salt-spray-for-men-blue-ocean-natural-texture-volume-hair-spray" TargetMode="External"/><Relationship Id="rId524" Type="http://schemas.openxmlformats.org/officeDocument/2006/relationships/hyperlink" Target="https://striking-viking.com/sv/pages/ilm-form-not-visible" TargetMode="External"/><Relationship Id="rId525" Type="http://schemas.openxmlformats.org/officeDocument/2006/relationships/hyperlink" Target="https://striking-viking.com/de/products/ontaki-japanese-steel-rounded-tip-beard-mustache-scissors-4-2-inch-grooming-kit" TargetMode="External"/><Relationship Id="rId526" Type="http://schemas.openxmlformats.org/officeDocument/2006/relationships/hyperlink" Target="https://striking-viking.com/de/pages/ilm2025" TargetMode="External"/><Relationship Id="rId527" Type="http://schemas.openxmlformats.org/officeDocument/2006/relationships/hyperlink" Target="https://striking-viking.com/fr/blogs/learn/16918829-the-ingredients-and-why-they-matter" TargetMode="External"/><Relationship Id="rId528" Type="http://schemas.openxmlformats.org/officeDocument/2006/relationships/hyperlink" Target="https://striking-viking.com/fi/products/striking-viking-cedarwood-beard-balm" TargetMode="External"/><Relationship Id="rId529" Type="http://schemas.openxmlformats.org/officeDocument/2006/relationships/hyperlink" Target="https://striking-viking.com/fr/pages/collab" TargetMode="External"/><Relationship Id="rId530" Type="http://schemas.openxmlformats.org/officeDocument/2006/relationships/hyperlink" Target="https://striking-viking.com/es/products/striking-viking-matte-hair-pomade-for-men-linen-scent-water-based-medium-strong-hold" TargetMode="External"/><Relationship Id="rId531" Type="http://schemas.openxmlformats.org/officeDocument/2006/relationships/hyperlink" Target="https://striking-viking.com/fi/products/striking-viking-biotin-beard-growth-oil-for-men-unscented-beard-growth-serum" TargetMode="External"/><Relationship Id="rId532" Type="http://schemas.openxmlformats.org/officeDocument/2006/relationships/hyperlink" Target="https://striking-viking.com/de/products/vanille-bartbalsam" TargetMode="External"/><Relationship Id="rId533" Type="http://schemas.openxmlformats.org/officeDocument/2006/relationships/hyperlink" Target="https://striking-viking.com/it/products/striking-viking-beard-growth-kit-with-beard-roller-vanilla-unscented-biotin-oils-for-men" TargetMode="External"/><Relationship Id="rId534" Type="http://schemas.openxmlformats.org/officeDocument/2006/relationships/hyperlink" Target="https://striking-viking.com/es/products/beard-growth-butter-with-biotin-4-oz-blue-ocean" TargetMode="External"/><Relationship Id="rId535" Type="http://schemas.openxmlformats.org/officeDocument/2006/relationships/hyperlink" Target="https://striking-viking.com/en-ca/products/2x-mustache-wax-comb-set-sandalwood" TargetMode="External"/><Relationship Id="rId536" Type="http://schemas.openxmlformats.org/officeDocument/2006/relationships/hyperlink" Target="https://striking-viking.com/fr-ca/pages/ilm-form-not-visible" TargetMode="External"/><Relationship Id="rId537" Type="http://schemas.openxmlformats.org/officeDocument/2006/relationships/hyperlink" Target="https://striking-viking.com/no/products/striking-viking-sandalwood-beard-balm" TargetMode="External"/><Relationship Id="rId538" Type="http://schemas.openxmlformats.org/officeDocument/2006/relationships/hyperlink" Target="https://striking-viking.com/no/products/striking-viking-sandalwood-beard-oil" TargetMode="External"/><Relationship Id="rId539" Type="http://schemas.openxmlformats.org/officeDocument/2006/relationships/hyperlink" Target="https://striking-viking.com/fr-ca/products/striking-viking-sandalwood-shaving-cream-for-men-rich-lather-for-a-smooth-comfortable-shave" TargetMode="External"/><Relationship Id="rId540" Type="http://schemas.openxmlformats.org/officeDocument/2006/relationships/hyperlink" Target="https://striking-viking.com/de/products/ontaki-curved-fabric-scissors-6-5-inch-german-stainless-steel-embroidery-scissors" TargetMode="External"/><Relationship Id="rId541" Type="http://schemas.openxmlformats.org/officeDocument/2006/relationships/hyperlink" Target="https://striking-viking.com/fr-ca/products/striking-viking-peppermint-eucalyptus-beard-shampoo-conditioner-set-for-healthy-beard-care" TargetMode="External"/><Relationship Id="rId542" Type="http://schemas.openxmlformats.org/officeDocument/2006/relationships/hyperlink" Target="https://striking-viking.com/de/blogs/learn/41241281-the-dude" TargetMode="External"/><Relationship Id="rId543" Type="http://schemas.openxmlformats.org/officeDocument/2006/relationships/hyperlink" Target="https://striking-viking.com/fi/products/striking-viking-beard-shampoo-conditioner-cologne-argan-jojoba-oil" TargetMode="External"/><Relationship Id="rId544" Type="http://schemas.openxmlformats.org/officeDocument/2006/relationships/hyperlink" Target="https://striking-viking.com/fi/collections/last-chance-bogo-free" TargetMode="External"/><Relationship Id="rId545" Type="http://schemas.openxmlformats.org/officeDocument/2006/relationships/hyperlink" Target="https://striking-viking.com/fi/products/charlemagne-carbon-hair-comb-for-men-professional-heat-resistant-styling-detangling-comb" TargetMode="External"/><Relationship Id="rId546" Type="http://schemas.openxmlformats.org/officeDocument/2006/relationships/hyperlink" Target="https://striking-viking.com/en-gb/blogs/learn/41234689-brian-wilson" TargetMode="External"/><Relationship Id="rId547" Type="http://schemas.openxmlformats.org/officeDocument/2006/relationships/hyperlink" Target="https://striking-viking.com/es/products/ontaki-professional-thinning-texturizing-scissors-set-6-5-inch-japanese-alloy-steel" TargetMode="External"/><Relationship Id="rId548" Type="http://schemas.openxmlformats.org/officeDocument/2006/relationships/hyperlink" Target="https://striking-viking.com/fi/products/ontaki-curved-fabric-scissors-6-5-inch-german-stainless-steel-embroidery-scissors" TargetMode="External"/><Relationship Id="rId549" Type="http://schemas.openxmlformats.org/officeDocument/2006/relationships/hyperlink" Target="https://striking-viking.com/es/products/striking-viking-tea-tree-biotin-beard-wash-cologne-for-clean-fresh-healthy-beard-care" TargetMode="External"/><Relationship Id="rId550" Type="http://schemas.openxmlformats.org/officeDocument/2006/relationships/hyperlink" Target="https://striking-viking.com/de/products/beard-growth-butter-with-biotin-4-oz-vanilla" TargetMode="External"/><Relationship Id="rId551" Type="http://schemas.openxmlformats.org/officeDocument/2006/relationships/hyperlink" Target="https://striking-viking.com/es/products/ontaki-duckbill-applique-scissors-4-5-inch-carbon-steel-fabric-thread-cutting-scissors" TargetMode="External"/><Relationship Id="rId552" Type="http://schemas.openxmlformats.org/officeDocument/2006/relationships/hyperlink" Target="https://striking-viking.com/es/pages/beard-filler-pens" TargetMode="External"/><Relationship Id="rId553" Type="http://schemas.openxmlformats.org/officeDocument/2006/relationships/hyperlink" Target="https://striking-viking.com/fr-ca/products/striking-viking-vanilla-after-shave-balm-for-men-soothing-hydration-skin-care" TargetMode="External"/><Relationship Id="rId554" Type="http://schemas.openxmlformats.org/officeDocument/2006/relationships/hyperlink" Target="https://striking-viking.com/fr/products/ontaki-japanese-steel-rounded-tip-beard-mustache-scissors-4-2-inch-grooming-kit" TargetMode="External"/><Relationship Id="rId555" Type="http://schemas.openxmlformats.org/officeDocument/2006/relationships/hyperlink" Target="https://striking-viking.com/es/products/charlemagne-carbon-hair-comb-for-men-professional-heat-resistant-styling-detangling-comb" TargetMode="External"/><Relationship Id="rId556" Type="http://schemas.openxmlformats.org/officeDocument/2006/relationships/hyperlink" Target="https://striking-viking.com/fr/products/striking-viking-beard-growth-mastery-bundle-with-sandalwood-vanilla-biotin-oils-and-derma-roller" TargetMode="External"/><Relationship Id="rId557" Type="http://schemas.openxmlformats.org/officeDocument/2006/relationships/hyperlink" Target="https://striking-viking.com/es/products/striking-viking-unscented-after-shave-balm-for-men-soothing-hydration-skin-care" TargetMode="External"/><Relationship Id="rId558" Type="http://schemas.openxmlformats.org/officeDocument/2006/relationships/hyperlink" Target="https://striking-viking.com/fi/products/beard-growth-balm-with-biotin-2-oz-vanilla" TargetMode="External"/><Relationship Id="rId559" Type="http://schemas.openxmlformats.org/officeDocument/2006/relationships/hyperlink" Target="https://striking-viking.com/es/products/charlemagne-round-hair-brush-for-men-professional-styling-brush-for-volume-blow-drying" TargetMode="External"/><Relationship Id="rId560" Type="http://schemas.openxmlformats.org/officeDocument/2006/relationships/hyperlink" Target="https://striking-viking.com/fi/pages/ilm-2025-sign-up" TargetMode="External"/><Relationship Id="rId561" Type="http://schemas.openxmlformats.org/officeDocument/2006/relationships/hyperlink" Target="https://striking-viking.com/sv/products/charlemagne-original-hair-pomade-for-men-strong-hold-water-based-styling-pomade-100ml" TargetMode="External"/><Relationship Id="rId562" Type="http://schemas.openxmlformats.org/officeDocument/2006/relationships/hyperlink" Target="https://striking-viking.com/en-ca/products/striking-viking-beard-rehab-growth-kit-with-sandalwood-beard-care-derma-roller" TargetMode="External"/><Relationship Id="rId563" Type="http://schemas.openxmlformats.org/officeDocument/2006/relationships/hyperlink" Target="https://striking-viking.com/no/products/ontaki-curved-fabric-scissors-6-5-inch-german-stainless-steel-embroidery-scissors" TargetMode="External"/><Relationship Id="rId564" Type="http://schemas.openxmlformats.org/officeDocument/2006/relationships/hyperlink" Target="https://striking-viking.com/it/products/striking-viking-hybrid-beard-growth-bundle-with-sandalwood-unscented-beard-oils-and-derma-roller" TargetMode="External"/><Relationship Id="rId565" Type="http://schemas.openxmlformats.org/officeDocument/2006/relationships/hyperlink" Target="https://striking-viking.com/fr-ca/blogs/learn/striking-viking-beard-comb-for-routine-beard-management" TargetMode="External"/><Relationship Id="rId566" Type="http://schemas.openxmlformats.org/officeDocument/2006/relationships/hyperlink" Target="https://striking-viking.com/it/products/beard-butter-bergamot-thunder" TargetMode="External"/><Relationship Id="rId567" Type="http://schemas.openxmlformats.org/officeDocument/2006/relationships/hyperlink" Target="https://striking-viking.com/fr-ca/products/striking-viking-vanilla-beard-balm-2-pack-with-natural-organic-ingredients-for-beard-styling" TargetMode="External"/><Relationship Id="rId568" Type="http://schemas.openxmlformats.org/officeDocument/2006/relationships/hyperlink" Target="https://striking-viking.com/fi/products/charlemagne-round-hair-brush-for-men-professional-styling-brush-for-volume-blow-drying" TargetMode="External"/><Relationship Id="rId569" Type="http://schemas.openxmlformats.org/officeDocument/2006/relationships/hyperlink" Target="https://striking-viking.com/sv/pages/write-a-review" TargetMode="External"/><Relationship Id="rId570" Type="http://schemas.openxmlformats.org/officeDocument/2006/relationships/hyperlink" Target="https://striking-viking.com/es/pages/free-moustache-beard-scissors" TargetMode="External"/><Relationship Id="rId571" Type="http://schemas.openxmlformats.org/officeDocument/2006/relationships/hyperlink" Target="https://striking-viking.com/fr/products/beard-butter-blue-ocean" TargetMode="External"/><Relationship Id="rId572" Type="http://schemas.openxmlformats.org/officeDocument/2006/relationships/hyperlink" Target="https://striking-viking.com/fi/products/striking-viking-beard-balm-variety-4-pack-citrus-vanilla-cedarwood-sandalwood" TargetMode="External"/><Relationship Id="rId573" Type="http://schemas.openxmlformats.org/officeDocument/2006/relationships/hyperlink" Target="https://striking-viking.com/de/collections/charlemagne" TargetMode="External"/><Relationship Id="rId574" Type="http://schemas.openxmlformats.org/officeDocument/2006/relationships/hyperlink" Target="https://striking-viking.com/fr-ca/products/striking-viking-beard-rehab-growth-kit-with-sandalwood-beard-care-derma-roller" TargetMode="External"/><Relationship Id="rId575" Type="http://schemas.openxmlformats.org/officeDocument/2006/relationships/hyperlink" Target="https://striking-viking.com/fr-ca/products/striking-viking-vanilla-beard-oil-with-natural-organic-oils-for-soft-healthy-beard-care" TargetMode="External"/><Relationship Id="rId576" Type="http://schemas.openxmlformats.org/officeDocument/2006/relationships/hyperlink" Target="https://striking-viking.com/fi/products/striking-viking-tea-tree-biotin-beard-wash-cologne-for-clean-fresh-healthy-beard-care" TargetMode="External"/><Relationship Id="rId577" Type="http://schemas.openxmlformats.org/officeDocument/2006/relationships/hyperlink" Target="https://striking-viking.com/blogs/learn/essential-grooming-supplies-for-the-bearded-man" TargetMode="External"/><Relationship Id="rId578" Type="http://schemas.openxmlformats.org/officeDocument/2006/relationships/hyperlink" Target="https://striking-viking.com/fi/products/charlemagne-original-hair-pomade-for-men-strong-hold-water-based-styling-pomade-100ml" TargetMode="External"/><Relationship Id="rId579" Type="http://schemas.openxmlformats.org/officeDocument/2006/relationships/hyperlink" Target="https://striking-viking.com/fr-ca/blogs/learn/why-your-beard-needs-more-than-just-a-comb" TargetMode="External"/><Relationship Id="rId580" Type="http://schemas.openxmlformats.org/officeDocument/2006/relationships/hyperlink" Target="https://striking-viking.com/fi/pages/spurit-subscriptions" TargetMode="External"/><Relationship Id="rId581" Type="http://schemas.openxmlformats.org/officeDocument/2006/relationships/hyperlink" Target="https://striking-viking.com/sv/products/beard-growth-butter-with-biotin-4-oz-blue-ocean" TargetMode="External"/><Relationship Id="rId582" Type="http://schemas.openxmlformats.org/officeDocument/2006/relationships/hyperlink" Target="https://striking-viking.com/fi/products/beard-growth-balm-with-biotin-2-oz-sandalwood" TargetMode="External"/><Relationship Id="rId583" Type="http://schemas.openxmlformats.org/officeDocument/2006/relationships/hyperlink" Target="https://striking-viking.com/it/blogs/learn/top-10-beard-costumes-for-halloween" TargetMode="External"/><Relationship Id="rId584" Type="http://schemas.openxmlformats.org/officeDocument/2006/relationships/hyperlink" Target="https://striking-viking.com/fr-ca/products/striking-viking-biotin-beard-growth-oil-for-men-unscented-beard-growth-serum" TargetMode="External"/><Relationship Id="rId585" Type="http://schemas.openxmlformats.org/officeDocument/2006/relationships/hyperlink" Target="https://striking-viking.com/fr-ca/products/striking-viking-blue-ocean-beard-balm-for-men-natural-beard-balm-with-shea-butter-jojoba" TargetMode="External"/><Relationship Id="rId586" Type="http://schemas.openxmlformats.org/officeDocument/2006/relationships/hyperlink" Target="https://striking-viking.com/fi/blogs/learn/16918829-the-ingredients-and-why-they-matter" TargetMode="External"/><Relationship Id="rId587" Type="http://schemas.openxmlformats.org/officeDocument/2006/relationships/hyperlink" Target="https://striking-viking.com/es/pages/write-a-review" TargetMode="External"/><Relationship Id="rId588" Type="http://schemas.openxmlformats.org/officeDocument/2006/relationships/hyperlink" Target="https://striking-viking.com/it/products/beard-growth-butter-with-biotin-4-oz-vanilla" TargetMode="External"/><Relationship Id="rId589" Type="http://schemas.openxmlformats.org/officeDocument/2006/relationships/hyperlink" Target="https://striking-viking.com/en-ca/blogs/learn/striking-viking-beard-comb-for-routine-beard-management" TargetMode="External"/><Relationship Id="rId590" Type="http://schemas.openxmlformats.org/officeDocument/2006/relationships/hyperlink" Target="https://striking-viking.com/es/products/round-hair-brush" TargetMode="External"/><Relationship Id="rId591" Type="http://schemas.openxmlformats.org/officeDocument/2006/relationships/hyperlink" Target="https://striking-viking.com/es/products/striking-viking-beard-growth-kit-with-beard-roller-vanilla-unscented-biotin-oils-for-men" TargetMode="External"/><Relationship Id="rId592" Type="http://schemas.openxmlformats.org/officeDocument/2006/relationships/hyperlink" Target="https://striking-viking.com/fi/products/ontaki-japanese-steel-beard-hair-scissors-5-5-inch-professional-grooming-shears" TargetMode="External"/><Relationship Id="rId593" Type="http://schemas.openxmlformats.org/officeDocument/2006/relationships/hyperlink" Target="https://striking-viking.com/es/products/striking-viking-hair-styling-powder-for-men-light-hold-vanilla-natural-volume-texture" TargetMode="External"/><Relationship Id="rId594" Type="http://schemas.openxmlformats.org/officeDocument/2006/relationships/hyperlink" Target="https://striking-viking.com/no/products/gift-card-striking-viking" TargetMode="External"/><Relationship Id="rId595" Type="http://schemas.openxmlformats.org/officeDocument/2006/relationships/hyperlink" Target="https://striking-viking.com/de/pages/ilm-form-not-visible" TargetMode="External"/><Relationship Id="rId596" Type="http://schemas.openxmlformats.org/officeDocument/2006/relationships/hyperlink" Target="https://striking-viking.com/fr-ca/products/ontaki-german-steel-beard-mustache-scissors-professional-grooming-kit" TargetMode="External"/><Relationship Id="rId597" Type="http://schemas.openxmlformats.org/officeDocument/2006/relationships/hyperlink" Target="https://striking-viking.com/it/products/striking-viking-unscented-beard-butter-for-moisturizing-softening-daily-beard-care" TargetMode="External"/><Relationship Id="rId598" Type="http://schemas.openxmlformats.org/officeDocument/2006/relationships/hyperlink" Target="https://striking-viking.com/products/charlemagne-carbon-hair-comb-for-men-professional-heat-resistant-styling-detangling-comb" TargetMode="External"/><Relationship Id="rId599" Type="http://schemas.openxmlformats.org/officeDocument/2006/relationships/hyperlink" Target="https://striking-viking.com/fr-ca/products/striking-viking-unscented-beard-shampoo-conditioner-set-natural-beard-care-for-men" TargetMode="External"/><Relationship Id="rId600" Type="http://schemas.openxmlformats.org/officeDocument/2006/relationships/hyperlink" Target="https://striking-viking.com/sv/products/charlemagne-carbon-wide-tooth-comb-for-men-heat-resistant-carbon-fiber-hair-comb" TargetMode="External"/><Relationship Id="rId601" Type="http://schemas.openxmlformats.org/officeDocument/2006/relationships/hyperlink" Target="https://striking-viking.com/fr-ca/pages/collab" TargetMode="External"/><Relationship Id="rId602" Type="http://schemas.openxmlformats.org/officeDocument/2006/relationships/hyperlink" Target="https://striking-viking.com/it/products/striking-viking-vanilla-beard-butter-for-soft-hydrated-healthy-beard-care-for-men" TargetMode="External"/><Relationship Id="rId603" Type="http://schemas.openxmlformats.org/officeDocument/2006/relationships/hyperlink" Target="https://striking-viking.com/en-gb/products/ontaki-duckbill-applique-scissors-4-5-inch-carbon-steel-fabric-thread-cutting-scissors" TargetMode="External"/><Relationship Id="rId604" Type="http://schemas.openxmlformats.org/officeDocument/2006/relationships/hyperlink" Target="https://striking-viking.com/fr-ca/products/carbon-hair-comb" TargetMode="External"/><Relationship Id="rId605" Type="http://schemas.openxmlformats.org/officeDocument/2006/relationships/hyperlink" Target="https://striking-viking.com/de/products/bartbalsam" TargetMode="External"/><Relationship Id="rId606" Type="http://schemas.openxmlformats.org/officeDocument/2006/relationships/hyperlink" Target="https://striking-viking.com/en-ca/blogs/learn/41234689-brian-wilson" TargetMode="External"/><Relationship Id="rId607" Type="http://schemas.openxmlformats.org/officeDocument/2006/relationships/hyperlink" Target="https://striking-viking.com/fr/products/striking-viking-unscented-after-shave-balm-for-men-soothing-hydration-skin-care" TargetMode="External"/><Relationship Id="rId608" Type="http://schemas.openxmlformats.org/officeDocument/2006/relationships/hyperlink" Target="https://striking-viking.com/es/products/ontaki-beard-mustache-scissors-with-finger-rest-5-inch-german-steel-grooming-kit" TargetMode="External"/><Relationship Id="rId609" Type="http://schemas.openxmlformats.org/officeDocument/2006/relationships/hyperlink" Target="https://striking-viking.com/de/products/beard-growth-butter-with-biotin-4-oz-blue-ocean" TargetMode="External"/><Relationship Id="rId610" Type="http://schemas.openxmlformats.org/officeDocument/2006/relationships/hyperlink" Target="https://striking-viking.com/fi/blogs/learn/essential-grooming-supplies-for-the-bearded-man" TargetMode="External"/><Relationship Id="rId611" Type="http://schemas.openxmlformats.org/officeDocument/2006/relationships/hyperlink" Target="https://striking-viking.com/en-ca/products/charlemagne-round-hair-brush-for-men-professional-styling-brush-for-volume-blow-drying" TargetMode="External"/><Relationship Id="rId612" Type="http://schemas.openxmlformats.org/officeDocument/2006/relationships/hyperlink" Target="https://striking-viking.com/no/blogs/learn/beard-grooming-tools-for-professional-styling-at-home" TargetMode="External"/><Relationship Id="rId613" Type="http://schemas.openxmlformats.org/officeDocument/2006/relationships/hyperlink" Target="https://striking-viking.com/fi/products/gift-card-striking-viking" TargetMode="External"/><Relationship Id="rId614" Type="http://schemas.openxmlformats.org/officeDocument/2006/relationships/hyperlink" Target="https://striking-viking.com/de/products/bartol-sandelholz" TargetMode="External"/><Relationship Id="rId615" Type="http://schemas.openxmlformats.org/officeDocument/2006/relationships/hyperlink" Target="https://striking-viking.com/es/products/ontaki-japanese-steel-beard-mustache-scissors-5-5-inch-professional-grooming-kit" TargetMode="External"/><Relationship Id="rId616" Type="http://schemas.openxmlformats.org/officeDocument/2006/relationships/hyperlink" Target="https://striking-viking.com/fr-ca/products/striking-viking-beard-growth-oil-with-biotin-sandalwood" TargetMode="External"/><Relationship Id="rId617" Type="http://schemas.openxmlformats.org/officeDocument/2006/relationships/hyperlink" Target="https://striking-viking.com/sv/pages/ilm-2025-sign-up" TargetMode="External"/><Relationship Id="rId618" Type="http://schemas.openxmlformats.org/officeDocument/2006/relationships/hyperlink" Target="https://striking-viking.com/it/products/striking-viking-vanilla-beard-balm-2-pack-with-natural-organic-ingredients-for-beard-styling" TargetMode="External"/><Relationship Id="rId619" Type="http://schemas.openxmlformats.org/officeDocument/2006/relationships/hyperlink" Target="https://striking-viking.com/fi/pages/free-moustache-beard-scissors" TargetMode="External"/><Relationship Id="rId620" Type="http://schemas.openxmlformats.org/officeDocument/2006/relationships/hyperlink" Target="https://striking-viking.com/no/products/carbon-hair-comb" TargetMode="External"/><Relationship Id="rId621" Type="http://schemas.openxmlformats.org/officeDocument/2006/relationships/hyperlink" Target="https://striking-viking.com/it/products/striking-viking-unscented-shaving-cream-for-men-rich-lather-for-a-smooth-comfortable-shave" TargetMode="External"/><Relationship Id="rId622" Type="http://schemas.openxmlformats.org/officeDocument/2006/relationships/hyperlink" Target="https://striking-viking.com/de/products/bartwasche-pfefferminze" TargetMode="External"/><Relationship Id="rId623" Type="http://schemas.openxmlformats.org/officeDocument/2006/relationships/hyperlink" Target="https://striking-viking.com/fr/products/striking-viking-unscented-shaving-cream-for-men-rich-lather-for-a-smooth-comfortable-shave" TargetMode="External"/><Relationship Id="rId624" Type="http://schemas.openxmlformats.org/officeDocument/2006/relationships/hyperlink" Target="https://striking-viking.com/de/products/bartwaschmittel" TargetMode="External"/><Relationship Id="rId625" Type="http://schemas.openxmlformats.org/officeDocument/2006/relationships/hyperlink" Target="https://striking-viking.com/fi/products/beard-growth-butter-with-biotin-4-oz-sandalwood" TargetMode="External"/><Relationship Id="rId626" Type="http://schemas.openxmlformats.org/officeDocument/2006/relationships/hyperlink" Target="https://striking-viking.com/es/products/striking-viking-beard-growth-oil-with-biotin-sandalwood" TargetMode="External"/><Relationship Id="rId627" Type="http://schemas.openxmlformats.org/officeDocument/2006/relationships/hyperlink" Target="https://striking-viking.com/es/products/ontaki-curved-fabric-scissors-6-5-inch-german-stainless-steel-embroidery-scissors" TargetMode="External"/><Relationship Id="rId628" Type="http://schemas.openxmlformats.org/officeDocument/2006/relationships/hyperlink" Target="https://striking-viking.com/fr-ca/products/ontaki-japanese-steel-beard-hair-scissors-5-5-inch-professional-grooming-shears" TargetMode="External"/><Relationship Id="rId629" Type="http://schemas.openxmlformats.org/officeDocument/2006/relationships/hyperlink" Target="https://striking-viking.com/fi/blogs/learn/what-is-movember-unveiling-the-significance-behind-the-month-of-facial-fuzz" TargetMode="External"/><Relationship Id="rId630" Type="http://schemas.openxmlformats.org/officeDocument/2006/relationships/hyperlink" Target="https://striking-viking.com/en-ca/blogs/learn/scented-beard-oil-by-striking-viking" TargetMode="External"/><Relationship Id="rId631" Type="http://schemas.openxmlformats.org/officeDocument/2006/relationships/hyperlink" Target="https://striking-viking.com/en-ca/products/charlemagne-original-hair-pomade-for-men-strong-hold-water-based-styling-pomade-100ml" TargetMode="External"/><Relationship Id="rId632" Type="http://schemas.openxmlformats.org/officeDocument/2006/relationships/hyperlink" Target="https://striking-viking.com/it/products/charlemagne-carbon-hair-comb-for-men-professional-heat-resistant-styling-detangling-comb" TargetMode="External"/><Relationship Id="rId633" Type="http://schemas.openxmlformats.org/officeDocument/2006/relationships/hyperlink" Target="https://striking-viking.com/es/products/striking-viking-folding-wooden-beard-comb-for-men-anti-static-sandalwood-grooming-comb" TargetMode="External"/><Relationship Id="rId634" Type="http://schemas.openxmlformats.org/officeDocument/2006/relationships/hyperlink" Target="https://striking-viking.com/it/collections/featured-products" TargetMode="External"/><Relationship Id="rId635" Type="http://schemas.openxmlformats.org/officeDocument/2006/relationships/hyperlink" Target="https://striking-viking.com/no/products/beard-growth-butter-with-biotin-4-oz-sandalwood" TargetMode="External"/><Relationship Id="rId636" Type="http://schemas.openxmlformats.org/officeDocument/2006/relationships/hyperlink" Target="https://striking-viking.com/no/products/beard-butter-bergamot-thunder" TargetMode="External"/><Relationship Id="rId637" Type="http://schemas.openxmlformats.org/officeDocument/2006/relationships/hyperlink" Target="https://striking-viking.com/fr/collections/new-in-oils-balms" TargetMode="External"/><Relationship Id="rId638" Type="http://schemas.openxmlformats.org/officeDocument/2006/relationships/hyperlink" Target="https://striking-viking.com/it/products/striking-viking-citrus-beard-oil" TargetMode="External"/><Relationship Id="rId639" Type="http://schemas.openxmlformats.org/officeDocument/2006/relationships/hyperlink" Target="https://striking-viking.com/it/products/striking-viking-sandalwood-beard-growth-bundle-with-titanium-derma-roller-beard-growth-serum" TargetMode="External"/><Relationship Id="rId640" Type="http://schemas.openxmlformats.org/officeDocument/2006/relationships/hyperlink" Target="https://striking-viking.com/fr-ca/collections/new-in-oils-balms" TargetMode="External"/><Relationship Id="rId641" Type="http://schemas.openxmlformats.org/officeDocument/2006/relationships/hyperlink" Target="https://striking-viking.com/es/products/striking-viking-cedarwood-beard-balm" TargetMode="External"/><Relationship Id="rId642" Type="http://schemas.openxmlformats.org/officeDocument/2006/relationships/hyperlink" Target="https://striking-viking.com/it/products/striking-viking-cedarwood-beard-balm" TargetMode="External"/><Relationship Id="rId643" Type="http://schemas.openxmlformats.org/officeDocument/2006/relationships/hyperlink" Target="https://striking-viking.com/fr/products/striking-viking-hybrid-beard-growth-bundle-with-sandalwood-unscented-beard-oils-and-derma-roller" TargetMode="External"/><Relationship Id="rId644" Type="http://schemas.openxmlformats.org/officeDocument/2006/relationships/hyperlink" Target="https://striking-viking.com/es/products/striking-viking-beard-filler-pencil-with-dual-tip-pen-brush-for-natural-beard-styling" TargetMode="External"/><Relationship Id="rId645" Type="http://schemas.openxmlformats.org/officeDocument/2006/relationships/hyperlink" Target="https://striking-viking.com/en-ca/products/ontaki-japanese-steel-rounded-tip-beard-mustache-scissors-4-2-inch-grooming-kit" TargetMode="External"/><Relationship Id="rId646" Type="http://schemas.openxmlformats.org/officeDocument/2006/relationships/hyperlink" Target="https://striking-viking.com/fi/products/striking-viking-citrus-beard-balm" TargetMode="External"/><Relationship Id="rId647" Type="http://schemas.openxmlformats.org/officeDocument/2006/relationships/hyperlink" Target="https://striking-viking.com/fi/products/striking-viking-unscented-beard-oil-natural-organic-beard-care" TargetMode="External"/><Relationship Id="rId648" Type="http://schemas.openxmlformats.org/officeDocument/2006/relationships/hyperlink" Target="https://striking-viking.com/it/products/striking-viking-unscented-beard-oil-and-balm-kit-natural-beard-grooming-set-for-men" TargetMode="External"/><Relationship Id="rId649" Type="http://schemas.openxmlformats.org/officeDocument/2006/relationships/hyperlink" Target="https://striking-viking.com/fi/products/striking-viking-vanilla-beard-butter-for-soft-hydrated-healthy-beard-care-for-men" TargetMode="External"/><Relationship Id="rId650" Type="http://schemas.openxmlformats.org/officeDocument/2006/relationships/hyperlink" Target="https://striking-viking.com/fr-ca/products/ontaki-hair-thinning-shears-kit-7-inch-professional-hair-cutting-texturizing-set" TargetMode="External"/><Relationship Id="rId651" Type="http://schemas.openxmlformats.org/officeDocument/2006/relationships/hyperlink" Target="https://striking-viking.com/products/striking-viking-sandalwood-pre-shave-oil-for-men-smooth-razor-glide-skin-protection" TargetMode="External"/><Relationship Id="rId652" Type="http://schemas.openxmlformats.org/officeDocument/2006/relationships/hyperlink" Target="https://striking-viking.com/sv/products/striking-viking-sandalwood-after-shave-balm-for-men-soothing-hydration-skin-care" TargetMode="External"/><Relationship Id="rId653" Type="http://schemas.openxmlformats.org/officeDocument/2006/relationships/hyperlink" Target="https://striking-viking.com/fr/products/striking-viking-beard-and-mustache-scissors-kit-for-men" TargetMode="External"/><Relationship Id="rId654" Type="http://schemas.openxmlformats.org/officeDocument/2006/relationships/hyperlink" Target="https://striking-viking.com/de/products/striking-viking-beard-rehab-growth-kit-with-sandalwood-beard-care-derma-roller" TargetMode="External"/><Relationship Id="rId655" Type="http://schemas.openxmlformats.org/officeDocument/2006/relationships/hyperlink" Target="https://striking-viking.com/fi/products/striking-viking-beard-oil-variety-4-pack-citrus-vanilla-cedarwood-sandalwood" TargetMode="External"/><Relationship Id="rId656" Type="http://schemas.openxmlformats.org/officeDocument/2006/relationships/hyperlink" Target="https://striking-viking.com/fi/products/charlemagne-carbon-wide-tooth-comb-for-men-heat-resistant-carbon-fiber-hair-comb" TargetMode="External"/><Relationship Id="rId657" Type="http://schemas.openxmlformats.org/officeDocument/2006/relationships/hyperlink" Target="https://striking-viking.com/it/products/striking-viking-vanilla-pre-shave-oil-for-men-smooth-razor-glide-skin-protection" TargetMode="External"/><Relationship Id="rId658" Type="http://schemas.openxmlformats.org/officeDocument/2006/relationships/hyperlink" Target="https://striking-viking.com/es/products/striking-viking-sandalwood-beard-oil-balm-kit-for-soft-healthy-beard-care-for-men" TargetMode="External"/><Relationship Id="rId659" Type="http://schemas.openxmlformats.org/officeDocument/2006/relationships/hyperlink" Target="https://striking-viking.com/fr/blogs/learn/heads-shoulders-knees-and-toes-but-why-forget-the-beard" TargetMode="External"/><Relationship Id="rId660" Type="http://schemas.openxmlformats.org/officeDocument/2006/relationships/hyperlink" Target="https://striking-viking.com/de/blogs/learn/essential-grooming-supplies-for-the-bearded-man" TargetMode="External"/><Relationship Id="rId661" Type="http://schemas.openxmlformats.org/officeDocument/2006/relationships/hyperlink" Target="https://striking-viking.com/no/collections/striking-deals" TargetMode="External"/><Relationship Id="rId662" Type="http://schemas.openxmlformats.org/officeDocument/2006/relationships/hyperlink" Target="https://striking-viking.com/it/products/charlemagne-round-hair-brush-for-men-professional-styling-brush-for-volume-blow-drying" TargetMode="External"/><Relationship Id="rId663" Type="http://schemas.openxmlformats.org/officeDocument/2006/relationships/hyperlink" Target="https://striking-viking.com/es/products/sandalwood-wooden-beard-comb-black-striking-viking" TargetMode="External"/><Relationship Id="rId664" Type="http://schemas.openxmlformats.org/officeDocument/2006/relationships/hyperlink" Target="https://striking-viking.com/products/striking-viking-beard-growth-power-kit-with-biotin-beard-oil-shampoo-derma-roller" TargetMode="External"/><Relationship Id="rId665" Type="http://schemas.openxmlformats.org/officeDocument/2006/relationships/hyperlink" Target="https://striking-viking.com/sv/products/striking-viking-beard-shampoo-with-natural-peppermint-eucalyptus-for-refreshing-beard-care" TargetMode="External"/><Relationship Id="rId666" Type="http://schemas.openxmlformats.org/officeDocument/2006/relationships/hyperlink" Target="https://striking-viking.com/it/blogs/learn/46928577-tips-to-protect-your-beard-from-the-cold" TargetMode="External"/><Relationship Id="rId667" Type="http://schemas.openxmlformats.org/officeDocument/2006/relationships/hyperlink" Target="https://striking-viking.com/fr/blogs/learn/elevate-your-look-pomade" TargetMode="External"/><Relationship Id="rId668" Type="http://schemas.openxmlformats.org/officeDocument/2006/relationships/hyperlink" Target="https://striking-viking.com/sv/pages/striking-viking-affiliate-program" TargetMode="External"/><Relationship Id="rId669" Type="http://schemas.openxmlformats.org/officeDocument/2006/relationships/hyperlink" Target="https://striking-viking.com/de/collections/featured-products" TargetMode="External"/><Relationship Id="rId670" Type="http://schemas.openxmlformats.org/officeDocument/2006/relationships/hyperlink" Target="https://striking-viking.com/fr-ca/products/striking-viking-boar-bristle-beard-brush-for-men-natural-beech-wood-grooming-brush" TargetMode="External"/><Relationship Id="rId671" Type="http://schemas.openxmlformats.org/officeDocument/2006/relationships/hyperlink" Target="https://striking-viking.com/no/products/2x-mustache-wax-comb-set-sandalwood" TargetMode="External"/><Relationship Id="rId672" Type="http://schemas.openxmlformats.org/officeDocument/2006/relationships/hyperlink" Target="https://striking-viking.com/fr/pages/free-moustache-beard-scissors" TargetMode="External"/><Relationship Id="rId673" Type="http://schemas.openxmlformats.org/officeDocument/2006/relationships/hyperlink" Target="https://striking-viking.com/es/products/striking-viking-beard-oil-variety-4-pack-citrus-vanilla-cedarwood-sandalwood" TargetMode="External"/><Relationship Id="rId674" Type="http://schemas.openxmlformats.org/officeDocument/2006/relationships/hyperlink" Target="https://striking-viking.com/de/pages/ilm-2025-sign-up" TargetMode="External"/><Relationship Id="rId675" Type="http://schemas.openxmlformats.org/officeDocument/2006/relationships/hyperlink" Target="https://striking-viking.com/fi/products/striking-viking-sandalwood-beard-shampoo-for-clean-healthy-soft-beard-care-for-men" TargetMode="External"/><Relationship Id="rId676" Type="http://schemas.openxmlformats.org/officeDocument/2006/relationships/hyperlink" Target="https://striking-viking.com/it/blogs/learn/16918829-the-ingredients-and-why-they-matter" TargetMode="External"/><Relationship Id="rId677" Type="http://schemas.openxmlformats.org/officeDocument/2006/relationships/hyperlink" Target="https://striking-viking.com/it/blogs/learn/beard-grooming-tools-for-professional-styling-at-home" TargetMode="External"/><Relationship Id="rId678" Type="http://schemas.openxmlformats.org/officeDocument/2006/relationships/hyperlink" Target="https://striking-viking.com/sv/blogs/learn/top-10-beard-costumes-for-halloween" TargetMode="External"/><Relationship Id="rId679" Type="http://schemas.openxmlformats.org/officeDocument/2006/relationships/hyperlink" Target="https://striking-viking.com/fr-ca/products/striking-viking-tea-tree-biotin-beard-shampoo-conditioner-set-for-healthy-beard-care" TargetMode="External"/><Relationship Id="rId680" Type="http://schemas.openxmlformats.org/officeDocument/2006/relationships/hyperlink" Target="https://striking-viking.com/de/blogs/learn/grooming-products-to-pamper-your-beard-flyaway" TargetMode="External"/><Relationship Id="rId681" Type="http://schemas.openxmlformats.org/officeDocument/2006/relationships/hyperlink" Target="https://striking-viking.com/en-gb/products/ontaki-facial-hair-grooming-scissors-2-pack-precision-beard-nose-mustache-trimming" TargetMode="External"/><Relationship Id="rId682" Type="http://schemas.openxmlformats.org/officeDocument/2006/relationships/hyperlink" Target="https://striking-viking.com/es/products/striking-viking-boar-bristle-beard-brush-for-men-natural-beech-wood-grooming-brush" TargetMode="External"/><Relationship Id="rId683" Type="http://schemas.openxmlformats.org/officeDocument/2006/relationships/hyperlink" Target="https://striking-viking.com/fr-ca/products/striking-viking-unscented-shaving-cream-for-men-rich-lather-for-a-smooth-comfortable-shave" TargetMode="External"/><Relationship Id="rId684" Type="http://schemas.openxmlformats.org/officeDocument/2006/relationships/hyperlink" Target="https://striking-viking.com/it/products/charlemagne-original-hair-pomade-for-men-strong-hold-water-based-styling-pomade-100ml" TargetMode="External"/><Relationship Id="rId685" Type="http://schemas.openxmlformats.org/officeDocument/2006/relationships/hyperlink" Target="https://striking-viking.com/fr-ca/blogs/learn/top-10-beard-costumes-for-halloween" TargetMode="External"/><Relationship Id="rId686" Type="http://schemas.openxmlformats.org/officeDocument/2006/relationships/hyperlink" Target="https://striking-viking.com/de/products/ontaki-japanese-steel-beard-hair-scissors-5-5-inch-professional-grooming-shears" TargetMode="External"/><Relationship Id="rId687" Type="http://schemas.openxmlformats.org/officeDocument/2006/relationships/hyperlink" Target="https://striking-viking.com/de/blogs/learn/elevate-your-look-pomade" TargetMode="External"/><Relationship Id="rId688" Type="http://schemas.openxmlformats.org/officeDocument/2006/relationships/hyperlink" Target="https://striking-viking.com/de/products/carbon-wide-tooth-comb" TargetMode="External"/><Relationship Id="rId689" Type="http://schemas.openxmlformats.org/officeDocument/2006/relationships/hyperlink" Target="https://striking-viking.com/fr/pages/special-discount" TargetMode="External"/><Relationship Id="rId690" Type="http://schemas.openxmlformats.org/officeDocument/2006/relationships/hyperlink" Target="https://striking-viking.com/fr-ca/collections/trending-now" TargetMode="External"/><Relationship Id="rId691" Type="http://schemas.openxmlformats.org/officeDocument/2006/relationships/hyperlink" Target="https://striking-viking.com/fi/products/striking-viking-bergamot-thunder-beard-oil-for-men-natural-beard-growth-oil-with-argan-jojoba" TargetMode="External"/><Relationship Id="rId692" Type="http://schemas.openxmlformats.org/officeDocument/2006/relationships/hyperlink" Target="https://striking-viking.com/en-ca/blogs/learn/16918829-the-ingredients-and-why-they-matter" TargetMode="External"/><Relationship Id="rId693" Type="http://schemas.openxmlformats.org/officeDocument/2006/relationships/hyperlink" Target="https://striking-viking.com/de/blogs/learn/striking-viking-beard-comb-for-routine-beard-management" TargetMode="External"/><Relationship Id="rId694" Type="http://schemas.openxmlformats.org/officeDocument/2006/relationships/hyperlink" Target="https://striking-viking.com/es/blogs/learn/41234689-brian-wilson" TargetMode="External"/><Relationship Id="rId695" Type="http://schemas.openxmlformats.org/officeDocument/2006/relationships/hyperlink" Target="https://striking-viking.com/fr/products/beard-growth-butter-with-biotin-4-oz-sandalwood" TargetMode="External"/><Relationship Id="rId696" Type="http://schemas.openxmlformats.org/officeDocument/2006/relationships/hyperlink" Target="https://striking-viking.com/no/blogs/learn/41234689-brian-wilson" TargetMode="External"/><Relationship Id="rId697" Type="http://schemas.openxmlformats.org/officeDocument/2006/relationships/hyperlink" Target="https://striking-viking.com/fr/products/striking-viking-citrus-beard-balm" TargetMode="External"/><Relationship Id="rId698" Type="http://schemas.openxmlformats.org/officeDocument/2006/relationships/hyperlink" Target="https://striking-viking.com/fr/collections/last-chance-bogo-free" TargetMode="External"/><Relationship Id="rId699" Type="http://schemas.openxmlformats.org/officeDocument/2006/relationships/hyperlink" Target="https://striking-viking.com/es/products/striking-viking-cedarwood-beard-oil" TargetMode="External"/><Relationship Id="rId700" Type="http://schemas.openxmlformats.org/officeDocument/2006/relationships/hyperlink" Target="https://striking-viking.com/it/collections/new-in-oils-balms" TargetMode="External"/><Relationship Id="rId701" Type="http://schemas.openxmlformats.org/officeDocument/2006/relationships/hyperlink" Target="https://striking-viking.com/fr/products/ontaki-facial-hair-grooming-scissors-2-pack-precision-beard-nose-mustache-trimming" TargetMode="External"/><Relationship Id="rId702" Type="http://schemas.openxmlformats.org/officeDocument/2006/relationships/hyperlink" Target="https://striking-viking.com/de/products/bartbalsam-zedernholz" TargetMode="External"/><Relationship Id="rId703" Type="http://schemas.openxmlformats.org/officeDocument/2006/relationships/hyperlink" Target="https://striking-viking.com/fr/blogs/learn/why-your-beard-needs-more-than-just-a-comb" TargetMode="External"/><Relationship Id="rId704" Type="http://schemas.openxmlformats.org/officeDocument/2006/relationships/hyperlink" Target="https://striking-viking.com/fr-ca/products/striking-viking-hair-styling-powder-for-men-strong-hold-vanilla-volume-texture" TargetMode="External"/><Relationship Id="rId705" Type="http://schemas.openxmlformats.org/officeDocument/2006/relationships/hyperlink" Target="https://striking-viking.com/fi/products/striking-viking-blue-ocean-beard-balm-for-men-natural-beard-balm-with-shea-butter-jojoba" TargetMode="External"/><Relationship Id="rId706" Type="http://schemas.openxmlformats.org/officeDocument/2006/relationships/hyperlink" Target="https://striking-viking.com/de/products/round-hair-brush" TargetMode="External"/><Relationship Id="rId707" Type="http://schemas.openxmlformats.org/officeDocument/2006/relationships/hyperlink" Target="https://striking-viking.com/fr/pages/ilm2025" TargetMode="External"/><Relationship Id="rId708" Type="http://schemas.openxmlformats.org/officeDocument/2006/relationships/hyperlink" Target="https://striking-viking.com/fr/collections/striking-deals" TargetMode="External"/><Relationship Id="rId709" Type="http://schemas.openxmlformats.org/officeDocument/2006/relationships/hyperlink" Target="https://striking-viking.com/es/products/beard-growth-balm-with-biotin-2-oz-vanilla" TargetMode="External"/><Relationship Id="rId710" Type="http://schemas.openxmlformats.org/officeDocument/2006/relationships/hyperlink" Target="https://striking-viking.com/it/products/carbon-hair-comb" TargetMode="External"/><Relationship Id="rId711" Type="http://schemas.openxmlformats.org/officeDocument/2006/relationships/hyperlink" Target="https://striking-viking.com/fr-ca/blogs/learn/46928577-tips-to-protect-your-beard-from-the-cold" TargetMode="External"/><Relationship Id="rId712" Type="http://schemas.openxmlformats.org/officeDocument/2006/relationships/hyperlink" Target="https://striking-viking.com/en-gb/blogs/learn/scented-beard-oil-by-striking-viking" TargetMode="External"/><Relationship Id="rId713" Type="http://schemas.openxmlformats.org/officeDocument/2006/relationships/hyperlink" Target="https://striking-viking.com/sv/products/striking-viking-boar-bristle-beard-brush-for-men-natural-beech-wood-grooming-brush" TargetMode="External"/><Relationship Id="rId714" Type="http://schemas.openxmlformats.org/officeDocument/2006/relationships/hyperlink" Target="https://striking-viking.com/fi/products/striking-viking-sandalwood-beard-oil" TargetMode="External"/><Relationship Id="rId715" Type="http://schemas.openxmlformats.org/officeDocument/2006/relationships/hyperlink" Target="https://striking-viking.com/fi/products/striking-viking-vanilla-shaving-cream-for-men-rich-lather-for-a-smooth-comfortable-shave" TargetMode="External"/><Relationship Id="rId716" Type="http://schemas.openxmlformats.org/officeDocument/2006/relationships/hyperlink" Target="https://striking-viking.com/fr/products/beard-growth-butter-with-biotin-4-oz-blue-ocean" TargetMode="External"/><Relationship Id="rId717" Type="http://schemas.openxmlformats.org/officeDocument/2006/relationships/hyperlink" Target="https://striking-viking.com/fi/products/beard-growth-butter-with-biotin-4-oz-vanilla" TargetMode="External"/><Relationship Id="rId718" Type="http://schemas.openxmlformats.org/officeDocument/2006/relationships/hyperlink" Target="https://striking-viking.com/fr-ca/products/striking-viking-vanilla-beard-growth-bundle-with-biotin-beard-serum-titanium-derma-roller" TargetMode="External"/><Relationship Id="rId719" Type="http://schemas.openxmlformats.org/officeDocument/2006/relationships/hyperlink" Target="https://striking-viking.com/de/products/charlemagne-round-hair-brush-for-men-professional-styling-brush-for-volume-blow-drying" TargetMode="External"/><Relationship Id="rId720" Type="http://schemas.openxmlformats.org/officeDocument/2006/relationships/hyperlink" Target="https://striking-viking.com/es/products/striking-viking-blue-ocean-beard-balm-for-men-natural-beard-balm-with-shea-butter-jojoba" TargetMode="External"/><Relationship Id="rId721" Type="http://schemas.openxmlformats.org/officeDocument/2006/relationships/hyperlink" Target="https://striking-viking.com/blogs/learn/41234689-brian-wilson" TargetMode="External"/><Relationship Id="rId722" Type="http://schemas.openxmlformats.org/officeDocument/2006/relationships/hyperlink" Target="https://striking-viking.com/fr-ca/pages/ilm2025" TargetMode="External"/><Relationship Id="rId723" Type="http://schemas.openxmlformats.org/officeDocument/2006/relationships/hyperlink" Target="https://striking-viking.com/de/products/2x-mustache-wax-comb-set-sandalwood" TargetMode="External"/><Relationship Id="rId724" Type="http://schemas.openxmlformats.org/officeDocument/2006/relationships/hyperlink" Target="https://striking-viking.com/es/collections/featured-products" TargetMode="External"/><Relationship Id="rId725" Type="http://schemas.openxmlformats.org/officeDocument/2006/relationships/hyperlink" Target="https://striking-viking.com/fr/pages/ilm-2025-sign-up" TargetMode="External"/><Relationship Id="rId726" Type="http://schemas.openxmlformats.org/officeDocument/2006/relationships/hyperlink" Target="https://striking-viking.com/fr-ca/products/striking-viking-vanilla-pre-shave-oil-for-men-smooth-razor-glide-skin-protection" TargetMode="External"/><Relationship Id="rId727" Type="http://schemas.openxmlformats.org/officeDocument/2006/relationships/hyperlink" Target="https://striking-viking.com/fr/products/beard-growth-butter-with-biotin-4-oz-vanilla" TargetMode="External"/><Relationship Id="rId728" Type="http://schemas.openxmlformats.org/officeDocument/2006/relationships/hyperlink" Target="https://striking-viking.com/it/products/gift-card-striking-viking" TargetMode="External"/><Relationship Id="rId729" Type="http://schemas.openxmlformats.org/officeDocument/2006/relationships/hyperlink" Target="https://striking-viking.com/fr-ca/products/ontaki-beard-mustache-scissors-with-finger-rest-5-inch-german-steel-grooming-kit" TargetMode="External"/><Relationship Id="rId730" Type="http://schemas.openxmlformats.org/officeDocument/2006/relationships/hyperlink" Target="https://striking-viking.com/fr-ca/products/striking-viking-sandalwood-beard-oil" TargetMode="External"/><Relationship Id="rId731" Type="http://schemas.openxmlformats.org/officeDocument/2006/relationships/hyperlink" Target="https://striking-viking.com/fr-ca/products/striking-viking-vanilla-beard-oil-balm-kit-for-soft-healthy-beard-care-for-men" TargetMode="External"/><Relationship Id="rId732" Type="http://schemas.openxmlformats.org/officeDocument/2006/relationships/hyperlink" Target="https://striking-viking.com/fr-ca/blogs/learn/41234689-brian-wilson" TargetMode="External"/><Relationship Id="rId733" Type="http://schemas.openxmlformats.org/officeDocument/2006/relationships/hyperlink" Target="https://striking-viking.com/fr-ca/products/striking-viking-unscented-beard-butter-for-moisturizing-softening-daily-beard-care" TargetMode="External"/><Relationship Id="rId734" Type="http://schemas.openxmlformats.org/officeDocument/2006/relationships/hyperlink" Target="https://striking-viking.com/de/products/ontaki-professional-thinning-texturizing-scissors-set-6-5-inch-japanese-alloy-steel" TargetMode="External"/><Relationship Id="rId735" Type="http://schemas.openxmlformats.org/officeDocument/2006/relationships/hyperlink" Target="https://striking-viking.com/fi/products/sandalwood-wooden-beard-comb-black-striking-viking" TargetMode="External"/><Relationship Id="rId736" Type="http://schemas.openxmlformats.org/officeDocument/2006/relationships/hyperlink" Target="https://striking-viking.com/es/products/carbon-hair-comb" TargetMode="External"/><Relationship Id="rId737" Type="http://schemas.openxmlformats.org/officeDocument/2006/relationships/hyperlink" Target="https://striking-viking.com/fr/blogs/learn/top-10-beard-costumes-for-halloween" TargetMode="External"/><Relationship Id="rId738" Type="http://schemas.openxmlformats.org/officeDocument/2006/relationships/hyperlink" Target="https://striking-viking.com/it/blogs/learn/elevate-your-look-pomade" TargetMode="External"/><Relationship Id="rId739" Type="http://schemas.openxmlformats.org/officeDocument/2006/relationships/hyperlink" Target="https://striking-viking.com/fr/blogs/learn/41241281-the-dude" TargetMode="External"/><Relationship Id="rId740" Type="http://schemas.openxmlformats.org/officeDocument/2006/relationships/hyperlink" Target="https://striking-viking.com/fr/products/ontaki-japanese-steel-beard-mustache-scissors-5-5-inch-professional-grooming-kit" TargetMode="External"/><Relationship Id="rId741" Type="http://schemas.openxmlformats.org/officeDocument/2006/relationships/hyperlink" Target="https://striking-viking.com/fr-ca/products/beard-growth-butter-with-biotin-4-oz-vanilla" TargetMode="External"/><Relationship Id="rId742" Type="http://schemas.openxmlformats.org/officeDocument/2006/relationships/hyperlink" Target="https://striking-viking.com/it/products/ontaki-japanese-steel-beard-hair-scissors-5-5-inch-professional-grooming-shears" TargetMode="External"/><Relationship Id="rId743" Type="http://schemas.openxmlformats.org/officeDocument/2006/relationships/hyperlink" Target="https://striking-viking.com/it/products/beard-butter-blue-ocean" TargetMode="External"/><Relationship Id="rId744" Type="http://schemas.openxmlformats.org/officeDocument/2006/relationships/hyperlink" Target="https://striking-viking.com/fr/products/striking-viking-beard-growth-kit-with-beard-roller-vanilla-unscented-biotin-oils-for-men" TargetMode="External"/><Relationship Id="rId745" Type="http://schemas.openxmlformats.org/officeDocument/2006/relationships/hyperlink" Target="https://striking-viking.com/es/products/charlemagne-original-hair-pomade-for-men-strong-hold-water-based-styling-pomade-100ml" TargetMode="External"/><Relationship Id="rId746" Type="http://schemas.openxmlformats.org/officeDocument/2006/relationships/hyperlink" Target="https://striking-viking.com/fr-ca/products/beard-growth-balm-with-biotin-2-oz-vanilla" TargetMode="External"/><Relationship Id="rId747" Type="http://schemas.openxmlformats.org/officeDocument/2006/relationships/hyperlink" Target="https://striking-viking.com/it/products/striking-viking-tea-tree-biotin-beard-shampoo-for-clean-healthy-soft-beard-care-for-men" TargetMode="External"/><Relationship Id="rId748" Type="http://schemas.openxmlformats.org/officeDocument/2006/relationships/hyperlink" Target="https://striking-viking.com/it/pages/write-a-review" TargetMode="External"/><Relationship Id="rId749" Type="http://schemas.openxmlformats.org/officeDocument/2006/relationships/hyperlink" Target="https://striking-viking.com/de/products/charlemagne-carbon-hair-comb-for-men-professional-heat-resistant-styling-detangling-comb" TargetMode="External"/><Relationship Id="rId750" Type="http://schemas.openxmlformats.org/officeDocument/2006/relationships/hyperlink" Target="https://striking-viking.com/fr-ca/pages/beard-filler-pens" TargetMode="External"/><Relationship Id="rId751" Type="http://schemas.openxmlformats.org/officeDocument/2006/relationships/hyperlink" Target="https://striking-viking.com/fr-ca/collections/striking-deals" TargetMode="External"/><Relationship Id="rId752" Type="http://schemas.openxmlformats.org/officeDocument/2006/relationships/hyperlink" Target="https://striking-viking.com/fi/products/ontaki-japanese-steel-rounded-tip-beard-mustache-scissors-4-2-inch-grooming-kit" TargetMode="External"/><Relationship Id="rId753" Type="http://schemas.openxmlformats.org/officeDocument/2006/relationships/hyperlink" Target="https://striking-viking.com/fr/pages/striking-viking-affiliate-program" TargetMode="External"/><Relationship Id="rId754" Type="http://schemas.openxmlformats.org/officeDocument/2006/relationships/hyperlink" Target="https://striking-viking.com/fr-ca/products/beard-growth-balm-with-biotin-2-oz-blue-ocean" TargetMode="External"/><Relationship Id="rId755" Type="http://schemas.openxmlformats.org/officeDocument/2006/relationships/hyperlink" Target="https://striking-viking.com/fr/blogs/learn/essential-grooming-supplies-for-the-bearded-man" TargetMode="External"/><Relationship Id="rId756" Type="http://schemas.openxmlformats.org/officeDocument/2006/relationships/hyperlink" Target="https://striking-viking.com/fr/products/ontaki-beard-mustache-scissors-with-finger-rest-5-inch-german-steel-grooming-kit" TargetMode="External"/><Relationship Id="rId757" Type="http://schemas.openxmlformats.org/officeDocument/2006/relationships/hyperlink" Target="https://striking-viking.com/it/products/ontaki-german-steel-beard-mustache-scissors-professional-grooming-kit" TargetMode="External"/><Relationship Id="rId758" Type="http://schemas.openxmlformats.org/officeDocument/2006/relationships/hyperlink" Target="https://striking-viking.com/sv/products/carbon-hair-comb" TargetMode="External"/><Relationship Id="rId759" Type="http://schemas.openxmlformats.org/officeDocument/2006/relationships/hyperlink" Target="https://striking-viking.com/fi/products/hair-fiber-men" TargetMode="External"/><Relationship Id="rId760" Type="http://schemas.openxmlformats.org/officeDocument/2006/relationships/hyperlink" Target="https://striking-viking.com/fi/products/striking-viking-sandalwood-after-shave-balm-for-men-soothing-hydration-skin-care" TargetMode="External"/><Relationship Id="rId761" Type="http://schemas.openxmlformats.org/officeDocument/2006/relationships/hyperlink" Target="https://striking-viking.com/fr/products/striking-viking-battle-ready-beard-care-kit-with-beard-oils-balms-beard-filler-pen" TargetMode="External"/><Relationship Id="rId762" Type="http://schemas.openxmlformats.org/officeDocument/2006/relationships/hyperlink" Target="https://striking-viking.com/de/blogs/learn/beard-grooming-tools-for-professional-styling-at-home" TargetMode="External"/><Relationship Id="rId763" Type="http://schemas.openxmlformats.org/officeDocument/2006/relationships/hyperlink" Target="https://striking-viking.com/no/products/striking-viking-bergamot-thunder-beard-oil-for-men-natural-beard-growth-oil-with-argan-jojoba" TargetMode="External"/><Relationship Id="rId764" Type="http://schemas.openxmlformats.org/officeDocument/2006/relationships/hyperlink" Target="https://striking-viking.com/es/products/beard-butter-blue-ocean" TargetMode="External"/><Relationship Id="rId765" Type="http://schemas.openxmlformats.org/officeDocument/2006/relationships/hyperlink" Target="https://striking-viking.com/fr-ca/pages/spurit-invoices-cancelled" TargetMode="External"/><Relationship Id="rId766" Type="http://schemas.openxmlformats.org/officeDocument/2006/relationships/hyperlink" Target="https://striking-viking.com/fi/products/round-hair-brush" TargetMode="External"/><Relationship Id="rId767" Type="http://schemas.openxmlformats.org/officeDocument/2006/relationships/hyperlink" Target="https://striking-viking.com/fr-ca/products/striking-viking-battle-ready-beard-care-kit-with-beard-oils-balms-beard-filler-pen" TargetMode="External"/><Relationship Id="rId768" Type="http://schemas.openxmlformats.org/officeDocument/2006/relationships/hyperlink" Target="https://striking-viking.com/en-ca/products/ontaki-german-steel-beard-mustache-scissors-professional-grooming-kit" TargetMode="External"/><Relationship Id="rId769" Type="http://schemas.openxmlformats.org/officeDocument/2006/relationships/hyperlink" Target="https://striking-viking.com/fr/collections/subscribe-save" TargetMode="External"/><Relationship Id="rId770" Type="http://schemas.openxmlformats.org/officeDocument/2006/relationships/hyperlink" Target="https://striking-viking.com/fr/products/striking-viking-vanilla-beard-oil-with-natural-organic-oils-for-soft-healthy-beard-care" TargetMode="External"/><Relationship Id="rId771" Type="http://schemas.openxmlformats.org/officeDocument/2006/relationships/hyperlink" Target="https://striking-viking.com/sv/products/beard-growth-butter-with-biotin-4-oz-sandalwood" TargetMode="External"/><Relationship Id="rId772" Type="http://schemas.openxmlformats.org/officeDocument/2006/relationships/hyperlink" Target="https://striking-viking.com/fr/products/striking-viking-vanilla-beard-growth-bundle-with-biotin-beard-serum-titanium-derma-roller" TargetMode="External"/><Relationship Id="rId773" Type="http://schemas.openxmlformats.org/officeDocument/2006/relationships/hyperlink" Target="https://striking-viking.com/fr-ca/products/striking-viking-vanilla-beard-growth-kit-with-biotin-oil-0-25mm-derma-roller" TargetMode="External"/><Relationship Id="rId774" Type="http://schemas.openxmlformats.org/officeDocument/2006/relationships/hyperlink" Target="https://striking-viking.com/de/pages/special-discount" TargetMode="External"/><Relationship Id="rId775" Type="http://schemas.openxmlformats.org/officeDocument/2006/relationships/hyperlink" Target="https://striking-viking.com/sv/products/striking-viking-vanilla-beard-butter-for-soft-hydrated-healthy-beard-care-for-men" TargetMode="External"/><Relationship Id="rId776" Type="http://schemas.openxmlformats.org/officeDocument/2006/relationships/hyperlink" Target="https://striking-viking.com/sv/products/ontaki-facial-hair-grooming-scissors-2-pack-precision-beard-nose-mustache-trimming" TargetMode="External"/><Relationship Id="rId777" Type="http://schemas.openxmlformats.org/officeDocument/2006/relationships/hyperlink" Target="https://striking-viking.com/sv/pages/beard-filler-pens" TargetMode="External"/><Relationship Id="rId778" Type="http://schemas.openxmlformats.org/officeDocument/2006/relationships/hyperlink" Target="https://striking-viking.com/it/pages/special-discount" TargetMode="External"/><Relationship Id="rId779" Type="http://schemas.openxmlformats.org/officeDocument/2006/relationships/hyperlink" Target="https://striking-viking.com/es/products/ontaki-japanese-steel-beard-hair-scissors-5-5-inch-professional-grooming-shears" TargetMode="External"/><Relationship Id="rId780" Type="http://schemas.openxmlformats.org/officeDocument/2006/relationships/hyperlink" Target="https://striking-viking.com/it/products/striking-viking-vanilla-shaving-cream-for-men-rich-lather-for-a-smooth-comfortable-shave" TargetMode="External"/><Relationship Id="rId781" Type="http://schemas.openxmlformats.org/officeDocument/2006/relationships/hyperlink" Target="https://striking-viking.com/fr-ca/products/striking-viking-beard-filler-pen-2-pack-dual-tip-waterproof-beard-pen-for-natural-beard-filling" TargetMode="External"/><Relationship Id="rId782" Type="http://schemas.openxmlformats.org/officeDocument/2006/relationships/hyperlink" Target="https://striking-viking.com/de/products/bartwasche-teebaum" TargetMode="External"/><Relationship Id="rId783" Type="http://schemas.openxmlformats.org/officeDocument/2006/relationships/hyperlink" Target="https://striking-viking.com/it/products/ontaki-beard-mustache-scissors-with-finger-rest-5-inch-german-steel-grooming-kit" TargetMode="External"/><Relationship Id="rId784" Type="http://schemas.openxmlformats.org/officeDocument/2006/relationships/hyperlink" Target="https://striking-viking.com/fr-ca/products/ontaki-japanese-steel-rounded-tip-beard-mustache-scissors-4-2-inch-grooming-kit" TargetMode="External"/><Relationship Id="rId785" Type="http://schemas.openxmlformats.org/officeDocument/2006/relationships/hyperlink" Target="https://striking-viking.com/it/collections/last-chance-bogo-free" TargetMode="External"/><Relationship Id="rId786" Type="http://schemas.openxmlformats.org/officeDocument/2006/relationships/hyperlink" Target="https://striking-viking.com/de/products/beard-butter-bergamot-thunder" TargetMode="External"/><Relationship Id="rId787" Type="http://schemas.openxmlformats.org/officeDocument/2006/relationships/hyperlink" Target="https://striking-viking.com/sv/products/beard-growth-butter-with-biotin-4-oz-vanilla" TargetMode="External"/><Relationship Id="rId788" Type="http://schemas.openxmlformats.org/officeDocument/2006/relationships/hyperlink" Target="https://striking-viking.com/es/products/striking-viking-vanilla-beard-butter-for-soft-hydrated-healthy-beard-care-for-men" TargetMode="External"/><Relationship Id="rId789" Type="http://schemas.openxmlformats.org/officeDocument/2006/relationships/hyperlink" Target="https://striking-viking.com/es/products/charlemagne-carbon-wide-tooth-comb-for-men-heat-resistant-carbon-fiber-hair-comb" TargetMode="External"/><Relationship Id="rId790" Type="http://schemas.openxmlformats.org/officeDocument/2006/relationships/hyperlink" Target="https://striking-viking.com/it/products/ontaki-facial-hair-grooming-scissors-2-pack-precision-beard-nose-mustache-trimming" TargetMode="External"/><Relationship Id="rId791" Type="http://schemas.openxmlformats.org/officeDocument/2006/relationships/hyperlink" Target="https://striking-viking.com/fr/products/striking-viking-sandalwood-beard-oil-balm-kit-for-soft-healthy-beard-care-for-men" TargetMode="External"/><Relationship Id="rId792" Type="http://schemas.openxmlformats.org/officeDocument/2006/relationships/hyperlink" Target="https://striking-viking.com/en-gb/products/ontaki-curved-fabric-scissors-6-5-inch-german-stainless-steel-embroidery-scissors" TargetMode="External"/><Relationship Id="rId793" Type="http://schemas.openxmlformats.org/officeDocument/2006/relationships/hyperlink" Target="https://striking-viking.com/en-gb/products/charlemagne-round-hair-brush-for-men-professional-styling-brush-for-volume-blow-drying" TargetMode="External"/><Relationship Id="rId794" Type="http://schemas.openxmlformats.org/officeDocument/2006/relationships/hyperlink" Target="https://striking-viking.com/fr-ca/products/striking-viking-vanilla-shaving-cream-for-men-rich-lather-for-a-smooth-comfortable-shave" TargetMode="External"/><Relationship Id="rId795" Type="http://schemas.openxmlformats.org/officeDocument/2006/relationships/hyperlink" Target="https://striking-viking.com/fr-ca/products/striking-viking-sandalwood-pre-shave-oil-for-men-smooth-razor-glide-skin-protection" TargetMode="External"/><Relationship Id="rId796" Type="http://schemas.openxmlformats.org/officeDocument/2006/relationships/hyperlink" Target="https://striking-viking.com/fr-ca/blogs/learn/the-ultimate-guide-to-tattoo-aftercare-with-striking-viking" TargetMode="External"/><Relationship Id="rId797" Type="http://schemas.openxmlformats.org/officeDocument/2006/relationships/hyperlink" Target="https://striking-viking.com/de/products/aftershave-balsam-fur-manner-vanille" TargetMode="External"/><Relationship Id="rId798" Type="http://schemas.openxmlformats.org/officeDocument/2006/relationships/hyperlink" Target="https://striking-viking.com/fi/products/striking-viking-battle-ready-beard-care-kit-with-beard-oils-balms-beard-filler-pen" TargetMode="External"/><Relationship Id="rId799" Type="http://schemas.openxmlformats.org/officeDocument/2006/relationships/hyperlink" Target="https://striking-viking.com/de/blogs/learn/41234689-brian-wilson" TargetMode="External"/><Relationship Id="rId800" Type="http://schemas.openxmlformats.org/officeDocument/2006/relationships/hyperlink" Target="https://striking-viking.com/en-gb/products/ontaki-japanese-steel-rounded-tip-beard-mustache-scissors-4-2-inch-grooming-kit" TargetMode="External"/><Relationship Id="rId801" Type="http://schemas.openxmlformats.org/officeDocument/2006/relationships/hyperlink" Target="https://striking-viking.com/es/products/striking-viking-vanilla-beard-balm" TargetMode="External"/><Relationship Id="rId802" Type="http://schemas.openxmlformats.org/officeDocument/2006/relationships/hyperlink" Target="https://striking-viking.com/fr/products/ontaki-duckbill-applique-scissors-4-5-inch-carbon-steel-fabric-thread-cutting-scissors" TargetMode="External"/><Relationship Id="rId803" Type="http://schemas.openxmlformats.org/officeDocument/2006/relationships/hyperlink" Target="https://striking-viking.com/it/products/striking-viking-beard-rehab-growth-kit-with-sandalwood-beard-care-derma-roller" TargetMode="External"/><Relationship Id="rId804" Type="http://schemas.openxmlformats.org/officeDocument/2006/relationships/hyperlink" Target="https://striking-viking.com/es/products/striking-viking-beard-growth-mastery-bundle-with-sandalwood-vanilla-biotin-oils-and-derma-roller" TargetMode="External"/><Relationship Id="rId805" Type="http://schemas.openxmlformats.org/officeDocument/2006/relationships/hyperlink" Target="https://striking-viking.com/fr/products/striking-viking-sandalwood-pre-shave-oil-for-men-smooth-razor-glide-skin-protection" TargetMode="External"/><Relationship Id="rId806" Type="http://schemas.openxmlformats.org/officeDocument/2006/relationships/hyperlink" Target="https://striking-viking.com/fr/pages/write-a-review" TargetMode="External"/><Relationship Id="rId807" Type="http://schemas.openxmlformats.org/officeDocument/2006/relationships/hyperlink" Target="https://striking-viking.com/it/products/striking-viking-sandalwood-beard-oil" TargetMode="External"/><Relationship Id="rId808" Type="http://schemas.openxmlformats.org/officeDocument/2006/relationships/hyperlink" Target="https://striking-viking.com/fr-ca/products/striking-viking-sandalwood-beard-shampoo-conditioner-set-hydrating-beard-care-for-men" TargetMode="External"/><Relationship Id="rId809" Type="http://schemas.openxmlformats.org/officeDocument/2006/relationships/hyperlink" Target="https://striking-viking.com/it/collections/striking-deals" TargetMode="External"/><Relationship Id="rId810" Type="http://schemas.openxmlformats.org/officeDocument/2006/relationships/hyperlink" Target="https://striking-viking.com/fi/products/striking-viking-beard-growth-mastery-bundle-with-sandalwood-vanilla-biotin-oils-and-derma-roller" TargetMode="External"/><Relationship Id="rId811" Type="http://schemas.openxmlformats.org/officeDocument/2006/relationships/hyperlink" Target="https://striking-viking.com/it/blogs/learn/essential-grooming-supplies-for-the-bearded-man" TargetMode="External"/><Relationship Id="rId812" Type="http://schemas.openxmlformats.org/officeDocument/2006/relationships/hyperlink" Target="https://striking-viking.com/fr-ca/pages/sign-up" TargetMode="External"/><Relationship Id="rId813" Type="http://schemas.openxmlformats.org/officeDocument/2006/relationships/hyperlink" Target="https://striking-viking.com/fr/products/striking-viking-tea-tree-biotin-beard-shampoo-for-clean-healthy-soft-beard-care-for-men" TargetMode="External"/><Relationship Id="rId814" Type="http://schemas.openxmlformats.org/officeDocument/2006/relationships/hyperlink" Target="https://striking-viking.com/fi/products/beard-butter-blue-ocean" TargetMode="External"/><Relationship Id="rId815" Type="http://schemas.openxmlformats.org/officeDocument/2006/relationships/hyperlink" Target="https://striking-viking.com/fi/blogs/learn/top-10-beard-costumes-for-halloween" TargetMode="External"/><Relationship Id="rId816" Type="http://schemas.openxmlformats.org/officeDocument/2006/relationships/hyperlink" Target="https://striking-viking.com/it/products/ontaki-japanese-steel-rounded-tip-beard-mustache-scissors-4-2-inch-grooming-kit" TargetMode="External"/><Relationship Id="rId817" Type="http://schemas.openxmlformats.org/officeDocument/2006/relationships/hyperlink" Target="https://striking-viking.com/fr-ca/collections/viking-beard-kits" TargetMode="External"/><Relationship Id="rId818" Type="http://schemas.openxmlformats.org/officeDocument/2006/relationships/hyperlink" Target="https://striking-viking.com/fr/products/ontaki-german-steel-beard-mustache-scissors-professional-grooming-kit" TargetMode="External"/><Relationship Id="rId819" Type="http://schemas.openxmlformats.org/officeDocument/2006/relationships/hyperlink" Target="https://striking-viking.com/fr-ca/collections/last-chance-bogo-free" TargetMode="External"/><Relationship Id="rId820" Type="http://schemas.openxmlformats.org/officeDocument/2006/relationships/hyperlink" Target="https://striking-viking.com/fr/products/striking-viking-unscented-pre-shave-oil-for-men-smooth-razor-glide-skin-protection" TargetMode="External"/><Relationship Id="rId821" Type="http://schemas.openxmlformats.org/officeDocument/2006/relationships/hyperlink" Target="https://striking-viking.com/fr/products/round-hair-brush" TargetMode="External"/><Relationship Id="rId822" Type="http://schemas.openxmlformats.org/officeDocument/2006/relationships/hyperlink" Target="https://striking-viking.com/no/products/beard-growth-butter-with-biotin-4-oz-blue-ocean" TargetMode="External"/><Relationship Id="rId823" Type="http://schemas.openxmlformats.org/officeDocument/2006/relationships/hyperlink" Target="https://striking-viking.com/en-gb/products/striking-viking-vanilla-beard-oil-with-natural-organic-oils-for-soft-healthy-beard-care" TargetMode="External"/><Relationship Id="rId824" Type="http://schemas.openxmlformats.org/officeDocument/2006/relationships/hyperlink" Target="https://striking-viking.com/de/products/beard-butter-blue-ocean" TargetMode="External"/><Relationship Id="rId825" Type="http://schemas.openxmlformats.org/officeDocument/2006/relationships/hyperlink" Target="https://striking-viking.com/es/products/beard-growth-butter-with-biotin-4-oz-sandalwood" TargetMode="External"/><Relationship Id="rId826" Type="http://schemas.openxmlformats.org/officeDocument/2006/relationships/hyperlink" Target="https://striking-viking.com/es/products/striking-viking-beard-filler-pen-2-pack-dual-tip-waterproof-beard-pen-for-natural-beard-filling" TargetMode="External"/><Relationship Id="rId827" Type="http://schemas.openxmlformats.org/officeDocument/2006/relationships/hyperlink" Target="https://striking-viking.com/sv/products/striking-viking-battle-ready-beard-care-kit-with-beard-oils-balms-beard-filler-pen" TargetMode="External"/><Relationship Id="rId828" Type="http://schemas.openxmlformats.org/officeDocument/2006/relationships/hyperlink" Target="https://striking-viking.com/it/pages/collab" TargetMode="External"/><Relationship Id="rId829" Type="http://schemas.openxmlformats.org/officeDocument/2006/relationships/hyperlink" Target="https://striking-viking.com/de/products/striking-viking-hybrid-beard-growth-bundle-with-sandalwood-unscented-beard-oils-and-derma-roller" TargetMode="External"/><Relationship Id="rId830" Type="http://schemas.openxmlformats.org/officeDocument/2006/relationships/hyperlink" Target="https://striking-viking.com/it/pages/striking-viking-affiliate-program" TargetMode="External"/><Relationship Id="rId831" Type="http://schemas.openxmlformats.org/officeDocument/2006/relationships/hyperlink" Target="https://striking-viking.com/en-gb/products/beard-growth-butter-with-biotin-4-oz-vanilla" TargetMode="External"/><Relationship Id="rId832" Type="http://schemas.openxmlformats.org/officeDocument/2006/relationships/hyperlink" Target="https://striking-viking.com/no/products/striking-viking-beard-shampoo-conditioner-cologne-argan-jojoba-oil" TargetMode="External"/><Relationship Id="rId833" Type="http://schemas.openxmlformats.org/officeDocument/2006/relationships/hyperlink" Target="https://striking-viking.com/it/blogs/learn/41234689-brian-wilson" TargetMode="External"/><Relationship Id="rId834" Type="http://schemas.openxmlformats.org/officeDocument/2006/relationships/hyperlink" Target="https://striking-viking.com/es/products/striking-viking-sandalwood-beard-balm" TargetMode="External"/><Relationship Id="rId835" Type="http://schemas.openxmlformats.org/officeDocument/2006/relationships/hyperlink" Target="https://striking-viking.com/no/products/beard-growth-butter-with-biotin-4-oz-vanilla" TargetMode="External"/><Relationship Id="rId836" Type="http://schemas.openxmlformats.org/officeDocument/2006/relationships/hyperlink" Target="https://striking-viking.com/es/products/striking-viking-vanilla-beard-oil-with-natural-organic-oils-for-soft-healthy-beard-care" TargetMode="External"/><Relationship Id="rId837" Type="http://schemas.openxmlformats.org/officeDocument/2006/relationships/hyperlink" Target="https://striking-viking.com/fr/collections/featured-products" TargetMode="External"/><Relationship Id="rId838" Type="http://schemas.openxmlformats.org/officeDocument/2006/relationships/hyperlink" Target="https://striking-viking.com/en-ca/products/striking-viking-sandalwood-pre-shave-oil-for-men-smooth-razor-glide-skin-protection" TargetMode="External"/><Relationship Id="rId839" Type="http://schemas.openxmlformats.org/officeDocument/2006/relationships/hyperlink" Target="https://striking-viking.com/fr/products/striking-viking-sandalwood-after-shave-balm-for-men-soothing-hydration-skin-care" TargetMode="External"/><Relationship Id="rId840" Type="http://schemas.openxmlformats.org/officeDocument/2006/relationships/hyperlink" Target="https://striking-viking.com/sv/pages/free-moustache-beard-scissors" TargetMode="External"/><Relationship Id="rId841" Type="http://schemas.openxmlformats.org/officeDocument/2006/relationships/hyperlink" Target="https://striking-viking.com/de/collections/last-chance-bogo-free" TargetMode="External"/><Relationship Id="rId842" Type="http://schemas.openxmlformats.org/officeDocument/2006/relationships/hyperlink" Target="https://striking-viking.com/fr-ca/blogs/learn/16918829-the-ingredients-and-why-they-matter" TargetMode="External"/><Relationship Id="rId843" Type="http://schemas.openxmlformats.org/officeDocument/2006/relationships/hyperlink" Target="https://striking-viking.com/products/charlemagne-round-hair-brush-for-men-professional-styling-brush-for-volume-blow-drying" TargetMode="External"/><Relationship Id="rId844" Type="http://schemas.openxmlformats.org/officeDocument/2006/relationships/hyperlink" Target="https://striking-viking.com/fr-ca/products/striking-viking-beard-shampoo-with-natural-peppermint-eucalyptus-for-refreshing-beard-care" TargetMode="External"/><Relationship Id="rId845" Type="http://schemas.openxmlformats.org/officeDocument/2006/relationships/hyperlink" Target="https://striking-viking.com/fr-ca/products/striking-viking-vanilla-beard-butter-for-soft-hydrated-healthy-beard-care-for-men" TargetMode="External"/><Relationship Id="rId846" Type="http://schemas.openxmlformats.org/officeDocument/2006/relationships/hyperlink" Target="https://striking-viking.com/sv/products/beard-growth-balm-with-biotin-2-oz-sandalwood" TargetMode="External"/><Relationship Id="rId847" Type="http://schemas.openxmlformats.org/officeDocument/2006/relationships/hyperlink" Target="https://striking-viking.com/en-ca/blogs/learn/essential-grooming-supplies-for-the-bearded-man" TargetMode="External"/><Relationship Id="rId848" Type="http://schemas.openxmlformats.org/officeDocument/2006/relationships/hyperlink" Target="https://striking-viking.com/it/pages/ilm-2025-sign-up" TargetMode="External"/><Relationship Id="rId849" Type="http://schemas.openxmlformats.org/officeDocument/2006/relationships/hyperlink" Target="https://striking-viking.com/fr/products/striking-viking-beard-rehab-growth-kit-with-sandalwood-beard-care-derma-roller" TargetMode="External"/><Relationship Id="rId850" Type="http://schemas.openxmlformats.org/officeDocument/2006/relationships/hyperlink" Target="https://striking-viking.com/fr/products/striking-viking-unscented-beard-oil-and-balm-kit-natural-beard-grooming-set-for-men" TargetMode="External"/><Relationship Id="rId851" Type="http://schemas.openxmlformats.org/officeDocument/2006/relationships/hyperlink" Target="https://striking-viking.com/fr-ca/products/striking-viking-beard-growth-power-kit-with-biotin-beard-oil-shampoo-derma-roller" TargetMode="External"/><Relationship Id="rId852" Type="http://schemas.openxmlformats.org/officeDocument/2006/relationships/hyperlink" Target="https://striking-viking.com/fr-ca/products/striking-viking-beard-filler-pencil-with-dual-tip-pen-brush-for-natural-beard-styling" TargetMode="External"/><Relationship Id="rId853" Type="http://schemas.openxmlformats.org/officeDocument/2006/relationships/hyperlink" Target="https://striking-viking.com/fi/products/striking-viking-sandalwood-beard-balm" TargetMode="External"/><Relationship Id="rId854" Type="http://schemas.openxmlformats.org/officeDocument/2006/relationships/hyperlink" Target="https://striking-viking.com/fr/products/gift-card-striking-viking" TargetMode="External"/><Relationship Id="rId855" Type="http://schemas.openxmlformats.org/officeDocument/2006/relationships/hyperlink" Target="https://striking-viking.com/en-gb/blogs/learn/16918829-the-ingredients-and-why-they-matter" TargetMode="External"/><Relationship Id="rId856" Type="http://schemas.openxmlformats.org/officeDocument/2006/relationships/hyperlink" Target="https://striking-viking.com/fr/products/beard-butter-bergamot-thunder" TargetMode="External"/><Relationship Id="rId857" Type="http://schemas.openxmlformats.org/officeDocument/2006/relationships/hyperlink" Target="https://striking-viking.com/sv/products/striking-viking-sandalwood-shaving-cream-for-men-rich-lather-for-a-smooth-comfortable-shave" TargetMode="External"/><Relationship Id="rId858" Type="http://schemas.openxmlformats.org/officeDocument/2006/relationships/hyperlink" Target="https://striking-viking.com/fr/products/carbon-wide-tooth-comb" TargetMode="External"/><Relationship Id="rId859" Type="http://schemas.openxmlformats.org/officeDocument/2006/relationships/hyperlink" Target="https://striking-viking.com/fr-ca/products/striking-viking-tea-tree-biotin-beard-wash-cologne-for-clean-fresh-healthy-beard-care" TargetMode="External"/><Relationship Id="rId860" Type="http://schemas.openxmlformats.org/officeDocument/2006/relationships/hyperlink" Target="https://striking-viking.com/it/products/striking-viking-vanilla-beard-growth-bundle-with-biotin-beard-serum-titanium-derma-roller" TargetMode="External"/><Relationship Id="rId861" Type="http://schemas.openxmlformats.org/officeDocument/2006/relationships/hyperlink" Target="https://striking-viking.com/fr/products/gift-wrapping" TargetMode="External"/><Relationship Id="rId862" Type="http://schemas.openxmlformats.org/officeDocument/2006/relationships/hyperlink" Target="https://striking-viking.com/es/products/striking-viking-unscented-beard-oil-natural-organic-beard-care" TargetMode="External"/><Relationship Id="rId863" Type="http://schemas.openxmlformats.org/officeDocument/2006/relationships/hyperlink" Target="https://striking-viking.com/es/products/striking-viking-beard-growth-power-kit-with-biotin-beard-oil-shampoo-derma-roller" TargetMode="External"/><Relationship Id="rId864" Type="http://schemas.openxmlformats.org/officeDocument/2006/relationships/hyperlink" Target="https://striking-viking.com/de/products/bartol-und-balsam" TargetMode="External"/><Relationship Id="rId865" Type="http://schemas.openxmlformats.org/officeDocument/2006/relationships/hyperlink" Target="https://striking-viking.com/fi/products/striking-viking-beard-shampoo-with-natural-peppermint-eucalyptus-for-refreshing-beard-care" TargetMode="External"/><Relationship Id="rId866" Type="http://schemas.openxmlformats.org/officeDocument/2006/relationships/hyperlink" Target="https://striking-viking.com/fi/collections/esitellyt-tuotteet" TargetMode="External"/><Relationship Id="rId867" Type="http://schemas.openxmlformats.org/officeDocument/2006/relationships/hyperlink" Target="https://striking-viking.com/fr/products/striking-viking-sandalwood-beard-growth-bundle-with-titanium-derma-roller-beard-growth-serum" TargetMode="External"/><Relationship Id="rId868" Type="http://schemas.openxmlformats.org/officeDocument/2006/relationships/hyperlink" Target="https://striking-viking.com/fr-ca/products/striking-viking-vanilla-beard-balm" TargetMode="External"/><Relationship Id="rId869" Type="http://schemas.openxmlformats.org/officeDocument/2006/relationships/hyperlink" Target="https://striking-viking.com/en-ca/products/striking-viking-beard-growth-power-kit-with-biotin-beard-oil-shampoo-derma-roller" TargetMode="External"/><Relationship Id="rId870" Type="http://schemas.openxmlformats.org/officeDocument/2006/relationships/hyperlink" Target="https://striking-viking.com/es/products/striking-viking-beard-shampoo-with-natural-peppermint-eucalyptus-for-refreshing-beard-care" TargetMode="External"/><Relationship Id="rId871" Type="http://schemas.openxmlformats.org/officeDocument/2006/relationships/hyperlink" Target="https://striking-viking.com/sv/products/striking-viking-cedarwood-beard-balm" TargetMode="External"/><Relationship Id="rId872" Type="http://schemas.openxmlformats.org/officeDocument/2006/relationships/hyperlink" Target="https://striking-viking.com/fr/products/charlemagne-carbon-wide-tooth-comb-for-men-heat-resistant-carbon-fiber-hair-comb" TargetMode="External"/><Relationship Id="rId873" Type="http://schemas.openxmlformats.org/officeDocument/2006/relationships/hyperlink" Target="https://striking-viking.com/products/charlemagne-carbon-wide-tooth-comb-for-men-heat-resistant-carbon-fiber-hair-comb" TargetMode="External"/><Relationship Id="rId874" Type="http://schemas.openxmlformats.org/officeDocument/2006/relationships/hyperlink" Target="https://striking-viking.com/es/collections/subscribe-save" TargetMode="External"/><Relationship Id="rId875" Type="http://schemas.openxmlformats.org/officeDocument/2006/relationships/hyperlink" Target="https://striking-viking.com/es/pages/ilm-form-not-visible" TargetMode="External"/><Relationship Id="rId876" Type="http://schemas.openxmlformats.org/officeDocument/2006/relationships/hyperlink" Target="https://striking-viking.com/no/products/striking-viking-sandalwood-shaving-cream-for-men-rich-lather-for-a-smooth-comfortable-shave" TargetMode="External"/><Relationship Id="rId877" Type="http://schemas.openxmlformats.org/officeDocument/2006/relationships/hyperlink" Target="https://striking-viking.com/fr/pages/spurit-invoices-cancelled" TargetMode="External"/><Relationship Id="rId878" Type="http://schemas.openxmlformats.org/officeDocument/2006/relationships/hyperlink" Target="https://striking-viking.com/fi/pages/ilm2025" TargetMode="External"/><Relationship Id="rId879" Type="http://schemas.openxmlformats.org/officeDocument/2006/relationships/hyperlink" Target="https://striking-viking.com/de/products/beard-growth-butter-with-biotin-4-oz-sandalwood" TargetMode="External"/><Relationship Id="rId880" Type="http://schemas.openxmlformats.org/officeDocument/2006/relationships/hyperlink" Target="https://striking-viking.com/fr-ca/products/beard-growth-balm-with-biotin-2-oz-sandalwood" TargetMode="External"/><Relationship Id="rId881" Type="http://schemas.openxmlformats.org/officeDocument/2006/relationships/hyperlink" Target="https://striking-viking.com/fr-ca/pages/free-moustache-beard-scissors" TargetMode="External"/><Relationship Id="rId882" Type="http://schemas.openxmlformats.org/officeDocument/2006/relationships/hyperlink" Target="https://striking-viking.com/es/blogs/learn/scented-beard-oil-by-striking-viking" TargetMode="External"/><Relationship Id="rId883" Type="http://schemas.openxmlformats.org/officeDocument/2006/relationships/hyperlink" Target="https://striking-viking.com/fr-ca/products/striking-viking-hair-styling-powder-for-men-light-hold-vanilla-natural-volume-texture" TargetMode="External"/><Relationship Id="rId884" Type="http://schemas.openxmlformats.org/officeDocument/2006/relationships/hyperlink" Target="https://striking-viking.com/fr/products/carbon-hair-comb" TargetMode="External"/><Relationship Id="rId885" Type="http://schemas.openxmlformats.org/officeDocument/2006/relationships/hyperlink" Target="https://striking-viking.com/fr-ca/products/striking-viking-tea-tree-biotin-beard-shampoo-for-clean-healthy-soft-beard-care-for-men" TargetMode="External"/><Relationship Id="rId886" Type="http://schemas.openxmlformats.org/officeDocument/2006/relationships/hyperlink" Target="https://striking-viking.com/es/products/striking-viking-vanilla-pre-shave-oil-for-men-smooth-razor-glide-skin-protection" TargetMode="External"/><Relationship Id="rId887" Type="http://schemas.openxmlformats.org/officeDocument/2006/relationships/hyperlink" Target="https://striking-viking.com/it/products/round-hair-brush" TargetMode="External"/><Relationship Id="rId888" Type="http://schemas.openxmlformats.org/officeDocument/2006/relationships/hyperlink" Target="https://striking-viking.com/es/products/striking-viking-sandalwood-beard-oil" TargetMode="External"/><Relationship Id="rId889" Type="http://schemas.openxmlformats.org/officeDocument/2006/relationships/hyperlink" Target="https://striking-viking.com/fr-ca/products/striking-viking-sandalwood-beard-growth-bundle-with-titanium-derma-roller-beard-growth-serum" TargetMode="External"/><Relationship Id="rId890" Type="http://schemas.openxmlformats.org/officeDocument/2006/relationships/hyperlink" Target="https://striking-viking.com/fi/collections/charlemagne" TargetMode="External"/><Relationship Id="rId891" Type="http://schemas.openxmlformats.org/officeDocument/2006/relationships/hyperlink" Target="https://striking-viking.com/es/products/gift-card-striking-viking" TargetMode="External"/><Relationship Id="rId892" Type="http://schemas.openxmlformats.org/officeDocument/2006/relationships/hyperlink" Target="https://striking-viking.com/fi/blogs/learn/beard-grooming-tools-for-professional-styling-at-home" TargetMode="External"/><Relationship Id="rId893" Type="http://schemas.openxmlformats.org/officeDocument/2006/relationships/hyperlink" Target="https://striking-viking.com/es/products/striking-viking-unscented-beard-balm-natural-beard-styling-conditioning" TargetMode="External"/><Relationship Id="rId894" Type="http://schemas.openxmlformats.org/officeDocument/2006/relationships/hyperlink" Target="https://striking-viking.com/it/products/striking-viking-unscented-beard-shampoo-conditioner-set-natural-beard-care-for-men" TargetMode="External"/><Relationship Id="rId895" Type="http://schemas.openxmlformats.org/officeDocument/2006/relationships/hyperlink" Target="https://striking-viking.com/fi/products/striking-viking-beard-rehab-growth-kit-with-sandalwood-beard-care-derma-roller" TargetMode="External"/><Relationship Id="rId896" Type="http://schemas.openxmlformats.org/officeDocument/2006/relationships/hyperlink" Target="https://striking-viking.com/fr-ca/pages/write-a-review" TargetMode="External"/><Relationship Id="rId897" Type="http://schemas.openxmlformats.org/officeDocument/2006/relationships/hyperlink" Target="https://striking-viking.com/it/products/beard-growth-butter-with-biotin-4-oz-sandalwood" TargetMode="External"/><Relationship Id="rId898" Type="http://schemas.openxmlformats.org/officeDocument/2006/relationships/hyperlink" Target="https://striking-viking.com/fr/products/charlemagne-carbon-hair-comb-for-men-professional-heat-resistant-styling-detangling-comb" TargetMode="External"/><Relationship Id="rId899" Type="http://schemas.openxmlformats.org/officeDocument/2006/relationships/hyperlink" Target="https://striking-viking.com/fr/products/striking-viking-sandalwood-shaving-cream-for-men-rich-lather-for-a-smooth-comfortable-shave" TargetMode="External"/><Relationship Id="rId900" Type="http://schemas.openxmlformats.org/officeDocument/2006/relationships/hyperlink" Target="https://striking-viking.com/no/products/beard-butter-blue-ocean" TargetMode="External"/><Relationship Id="rId901" Type="http://schemas.openxmlformats.org/officeDocument/2006/relationships/hyperlink" Target="https://striking-viking.com/sv/blogs/learn/beard-grooming-tools-for-professional-styling-at-home" TargetMode="External"/><Relationship Id="rId902" Type="http://schemas.openxmlformats.org/officeDocument/2006/relationships/hyperlink" Target="https://striking-viking.com/no/products/charlemagne-original-hair-pomade-for-men-strong-hold-water-based-styling-pomade-100ml" TargetMode="External"/><Relationship Id="rId903" Type="http://schemas.openxmlformats.org/officeDocument/2006/relationships/hyperlink" Target="https://striking-viking.com/de/products/striking-viking-hair-styling-powder-for-men-light-hold-vanilla-natural-volume-texture" TargetMode="External"/><Relationship Id="rId904" Type="http://schemas.openxmlformats.org/officeDocument/2006/relationships/hyperlink" Target="https://striking-viking.com/fi/products/striking-viking-folding-wooden-comb-sandalwood-beard-hair-comb" TargetMode="External"/><Relationship Id="rId905" Type="http://schemas.openxmlformats.org/officeDocument/2006/relationships/hyperlink" Target="https://striking-viking.com/fr/blogs/learn/striking-viking-beard-comb-for-routine-beard-management" TargetMode="External"/><Relationship Id="rId906" Type="http://schemas.openxmlformats.org/officeDocument/2006/relationships/hyperlink" Target="https://striking-viking.com/products/ontaki-duckbill-applique-scissors-4-5-inch-carbon-steel-fabric-thread-cutting-scissors" TargetMode="External"/><Relationship Id="rId907" Type="http://schemas.openxmlformats.org/officeDocument/2006/relationships/hyperlink" Target="https://striking-viking.com/no/products/striking-viking-vanilla-beard-balm-2-pack-with-natural-organic-ingredients-for-beard-styling" TargetMode="External"/><Relationship Id="rId908" Type="http://schemas.openxmlformats.org/officeDocument/2006/relationships/hyperlink" Target="https://striking-viking.com/it/products/striking-viking-unscented-beard-oil-natural-organic-beard-care" TargetMode="External"/><Relationship Id="rId909" Type="http://schemas.openxmlformats.org/officeDocument/2006/relationships/hyperlink" Target="https://striking-viking.com/fr-ca/products/beard-butter-blue-ocean" TargetMode="External"/><Relationship Id="rId910" Type="http://schemas.openxmlformats.org/officeDocument/2006/relationships/hyperlink" Target="https://striking-viking.com/fr/products/2x-mustache-wax-comb-set-sandalwood" TargetMode="External"/><Relationship Id="rId911" Type="http://schemas.openxmlformats.org/officeDocument/2006/relationships/hyperlink" Target="https://striking-viking.com/sv/products/beard-butter-blue-ocean" TargetMode="External"/><Relationship Id="rId912" Type="http://schemas.openxmlformats.org/officeDocument/2006/relationships/hyperlink" Target="https://striking-viking.com/it/products/striking-viking-sandalwood-shaving-cream-for-men-rich-lather-for-a-smooth-comfortable-shave" TargetMode="External"/><Relationship Id="rId913" Type="http://schemas.openxmlformats.org/officeDocument/2006/relationships/hyperlink" Target="https://striking-viking.com/fi/products/striking-viking-cedarwood-beard-oil" TargetMode="External"/><Relationship Id="rId914" Type="http://schemas.openxmlformats.org/officeDocument/2006/relationships/hyperlink" Target="https://striking-viking.com/fr-ca/products/striking-viking-beard-and-mustache-scissors-kit-for-men" TargetMode="External"/><Relationship Id="rId915" Type="http://schemas.openxmlformats.org/officeDocument/2006/relationships/hyperlink" Target="https://striking-viking.com/fr-ca/products/striking-viking-citrus-beard-balm" TargetMode="External"/><Relationship Id="rId916" Type="http://schemas.openxmlformats.org/officeDocument/2006/relationships/hyperlink" Target="https://striking-viking.com/es/products/beard-growth-balm-with-biotin-2-oz-sandalwood" TargetMode="External"/><Relationship Id="rId917" Type="http://schemas.openxmlformats.org/officeDocument/2006/relationships/hyperlink" Target="https://striking-viking.com/en-gb/products/beard-growth-butter-with-biotin-4-oz-sandalwood" TargetMode="External"/><Relationship Id="rId918" Type="http://schemas.openxmlformats.org/officeDocument/2006/relationships/hyperlink" Target="https://striking-viking.com/de/products/carbon-hair-comb" TargetMode="External"/><Relationship Id="rId919" Type="http://schemas.openxmlformats.org/officeDocument/2006/relationships/hyperlink" Target="https://striking-viking.com/fi/pages/ilm-form-not-visible" TargetMode="External"/><Relationship Id="rId920" Type="http://schemas.openxmlformats.org/officeDocument/2006/relationships/hyperlink" Target="https://striking-viking.com/fr/products/striking-viking-vanilla-after-shave-balm-for-men-soothing-hydration-skin-care" TargetMode="External"/><Relationship Id="rId921" Type="http://schemas.openxmlformats.org/officeDocument/2006/relationships/hyperlink" Target="https://striking-viking.com/it/pages/free-moustache-beard-scissors" TargetMode="External"/><Relationship Id="rId922" Type="http://schemas.openxmlformats.org/officeDocument/2006/relationships/hyperlink" Target="https://striking-viking.com/sv/products/striking-viking-cedarwood-beard-oil" TargetMode="External"/><Relationship Id="rId923" Type="http://schemas.openxmlformats.org/officeDocument/2006/relationships/hyperlink" Target="https://striking-viking.com/fr-ca/blogs/learn/the-ultimate-beard-growth-routine-for-a-thicker-healthier-beard-2026-guide" TargetMode="External"/><Relationship Id="rId924" Type="http://schemas.openxmlformats.org/officeDocument/2006/relationships/hyperlink" Target="https://striking-viking.com/blogs/learn/top-10-beard-costumes-for-halloween" TargetMode="External"/><Relationship Id="rId925" Type="http://schemas.openxmlformats.org/officeDocument/2006/relationships/hyperlink" Target="https://striking-viking.com/fr/products/striking-viking-unscented-beard-shampoo-conditioner-set-natural-beard-care-for-men" TargetMode="External"/><Relationship Id="rId926" Type="http://schemas.openxmlformats.org/officeDocument/2006/relationships/hyperlink" Target="https://striking-viking.com/fr-ca/blogs/learn/how-to-keep-your-tattoos-looking-bold-for-years-the-role-of-tattoo-balms" TargetMode="External"/><Relationship Id="rId927" Type="http://schemas.openxmlformats.org/officeDocument/2006/relationships/hyperlink" Target="https://striking-viking.com/es/products/striking-viking-biotin-beard-growth-oil-for-men-unscented-beard-growth-serum" TargetMode="External"/><Relationship Id="rId928" Type="http://schemas.openxmlformats.org/officeDocument/2006/relationships/hyperlink" Target="https://striking-viking.com/de/products/bartwasch-und-pflege" TargetMode="External"/><Relationship Id="rId929" Type="http://schemas.openxmlformats.org/officeDocument/2006/relationships/hyperlink" Target="https://striking-viking.com/fr/products/ontaki-curved-fabric-scissors-6-5-inch-german-stainless-steel-embroidery-scissors" TargetMode="External"/><Relationship Id="rId930" Type="http://schemas.openxmlformats.org/officeDocument/2006/relationships/hyperlink" Target="https://striking-viking.com/es/products/striking-viking-beard-shampoo-conditioner-cologne-argan-jojoba-oil" TargetMode="External"/><Relationship Id="rId931" Type="http://schemas.openxmlformats.org/officeDocument/2006/relationships/hyperlink" Target="https://striking-viking.com/es/pages/striking-viking-affiliate-program" TargetMode="External"/><Relationship Id="rId932" Type="http://schemas.openxmlformats.org/officeDocument/2006/relationships/hyperlink" Target="https://striking-viking.com/es/products/beard-growth-butter-with-biotin-4-oz-vanilla" TargetMode="External"/><Relationship Id="rId933" Type="http://schemas.openxmlformats.org/officeDocument/2006/relationships/hyperlink" Target="https://striking-viking.com/en-gb/products/ontaki-hair-thinning-shears-kit-7-inch-professional-hair-cutting-texturizing-set" TargetMode="External"/><Relationship Id="rId934" Type="http://schemas.openxmlformats.org/officeDocument/2006/relationships/hyperlink" Target="https://striking-viking.com/es/products/ontaki-facial-hair-grooming-scissors-2-pack-precision-beard-nose-mustache-trimming" TargetMode="External"/><Relationship Id="rId935" Type="http://schemas.openxmlformats.org/officeDocument/2006/relationships/hyperlink" Target="https://striking-viking.com/fr/blogs/learn/spring-style-refresh-how-to-update-your-beard-and-hair-for-warmer-weather" TargetMode="External"/><Relationship Id="rId936" Type="http://schemas.openxmlformats.org/officeDocument/2006/relationships/hyperlink" Target="https://striking-viking.com/fr-ca/products/charlemagne-carbon-wide-tooth-comb-for-men-heat-resistant-carbon-fiber-hair-comb" TargetMode="External"/><Relationship Id="rId937" Type="http://schemas.openxmlformats.org/officeDocument/2006/relationships/hyperlink" Target="https://striking-viking.com/sv/products/striking-viking-blue-ocean-beard-balm-for-men-natural-beard-balm-with-shea-butter-jojoba" TargetMode="External"/><Relationship Id="rId938" Type="http://schemas.openxmlformats.org/officeDocument/2006/relationships/hyperlink" Target="https://striking-viking.com/de/products/ontaki-duckbill-applique-scissors-4-5-inch-carbon-steel-fabric-thread-cutting-scissors" TargetMode="External"/><Relationship Id="rId939" Type="http://schemas.openxmlformats.org/officeDocument/2006/relationships/hyperlink" Target="https://striking-viking.com/no/blogs/learn/heads-shoulders-knees-and-toes-but-why-forget-the-beard" TargetMode="External"/><Relationship Id="rId940" Type="http://schemas.openxmlformats.org/officeDocument/2006/relationships/hyperlink" Target="https://striking-viking.com/fi/pages/special-discount" TargetMode="External"/><Relationship Id="rId941" Type="http://schemas.openxmlformats.org/officeDocument/2006/relationships/hyperlink" Target="https://striking-viking.com/fi/pages/beard-filler-pens" TargetMode="External"/><Relationship Id="rId942" Type="http://schemas.openxmlformats.org/officeDocument/2006/relationships/hyperlink" Target="https://striking-viking.com/sv/pages/ilm2025" TargetMode="External"/><Relationship Id="rId943" Type="http://schemas.openxmlformats.org/officeDocument/2006/relationships/hyperlink" Target="https://striking-viking.com/en-gb/products/beard-butter-bergamot-thunder" TargetMode="External"/><Relationship Id="rId944" Type="http://schemas.openxmlformats.org/officeDocument/2006/relationships/hyperlink" Target="https://striking-viking.com/fr/products/striking-viking-unscented-beard-butter-for-moisturizing-softening-daily-beard-care" TargetMode="External"/><Relationship Id="rId945" Type="http://schemas.openxmlformats.org/officeDocument/2006/relationships/hyperlink" Target="https://striking-viking.com/es/blogs/learn/top-10-beard-costumes-for-halloween" TargetMode="External"/><Relationship Id="rId946" Type="http://schemas.openxmlformats.org/officeDocument/2006/relationships/hyperlink" Target="https://striking-viking.com/fi/blogs/learn/41241281-the-dude" TargetMode="External"/><Relationship Id="rId947" Type="http://schemas.openxmlformats.org/officeDocument/2006/relationships/hyperlink" Target="https://striking-viking.com/es/products/beard-butter-bergamot-thunder" TargetMode="External"/><Relationship Id="rId948" Type="http://schemas.openxmlformats.org/officeDocument/2006/relationships/hyperlink" Target="https://striking-viking.com/it/products/striking-viking-unscented-after-shave-balm-for-men-soothing-hydration-skin-care" TargetMode="External"/><Relationship Id="rId949" Type="http://schemas.openxmlformats.org/officeDocument/2006/relationships/hyperlink" Target="https://striking-viking.com/en-gb/blogs/learn/essential-grooming-supplies-for-the-bearded-man" TargetMode="External"/><Relationship Id="rId950" Type="http://schemas.openxmlformats.org/officeDocument/2006/relationships/hyperlink" Target="https://striking-viking.com/de/products/ontaki-german-steel-beard-mustache-scissors-professional-grooming-kit" TargetMode="External"/><Relationship Id="rId951" Type="http://schemas.openxmlformats.org/officeDocument/2006/relationships/hyperlink" Target="https://striking-viking.com/de/blogs/learn/16918829-the-ingredients-and-why-they-matter" TargetMode="External"/><Relationship Id="rId952" Type="http://schemas.openxmlformats.org/officeDocument/2006/relationships/hyperlink" Target="https://striking-viking.com/it/blogs/learn/striking-viking-beard-comb-for-routine-beard-management" TargetMode="External"/><Relationship Id="rId953" Type="http://schemas.openxmlformats.org/officeDocument/2006/relationships/hyperlink" Target="https://striking-viking.com/sv/blogs/learn/16918829-the-ingredients-and-why-they-matter" TargetMode="External"/><Relationship Id="rId954" Type="http://schemas.openxmlformats.org/officeDocument/2006/relationships/hyperlink" Target="https://striking-viking.com/es/pages/special-discount" TargetMode="External"/><Relationship Id="rId955" Type="http://schemas.openxmlformats.org/officeDocument/2006/relationships/hyperlink" Target="https://striking-viking.com/it/pages/sign-up" TargetMode="External"/><Relationship Id="rId956" Type="http://schemas.openxmlformats.org/officeDocument/2006/relationships/hyperlink" Target="https://striking-viking.com/fr/products/striking-viking-sandalwood-beard-shampoo-for-clean-healthy-soft-beard-care-for-men" TargetMode="External"/><Relationship Id="rId957" Type="http://schemas.openxmlformats.org/officeDocument/2006/relationships/hyperlink" Target="https://striking-viking.com/es/products/beard-growth-balm-with-biotin-2-oz-blue-ocean" TargetMode="External"/><Relationship Id="rId958" Type="http://schemas.openxmlformats.org/officeDocument/2006/relationships/hyperlink" Target="https://striking-viking.com/it/products/striking-viking-sandalwood-beard-shampoo-for-clean-healthy-soft-beard-care-for-men" TargetMode="External"/><Relationship Id="rId959" Type="http://schemas.openxmlformats.org/officeDocument/2006/relationships/hyperlink" Target="https://striking-viking.com/fr/products/striking-viking-sandalwood-beard-oil" TargetMode="External"/><Relationship Id="rId960" Type="http://schemas.openxmlformats.org/officeDocument/2006/relationships/hyperlink" Target="https://striking-viking.com/de/blogs/learn/top-10-beard-costumes-for-halloween" TargetMode="External"/><Relationship Id="rId961" Type="http://schemas.openxmlformats.org/officeDocument/2006/relationships/hyperlink" Target="https://striking-viking.com/fi/products/striking-viking-unscented-after-shave-balm-for-men-soothing-hydration-skin-care" TargetMode="External"/><Relationship Id="rId962" Type="http://schemas.openxmlformats.org/officeDocument/2006/relationships/hyperlink" Target="https://striking-viking.com/sv/products/striking-viking-vanilla-beard-balm" TargetMode="External"/><Relationship Id="rId963" Type="http://schemas.openxmlformats.org/officeDocument/2006/relationships/hyperlink" Target="https://striking-viking.com/es/blogs/learn/elevate-your-look-pomade" TargetMode="External"/><Relationship Id="rId964" Type="http://schemas.openxmlformats.org/officeDocument/2006/relationships/hyperlink" Target="https://striking-viking.com/fr/products/striking-viking-hair-styling-powder-for-men-light-hold-vanilla-natural-volume-texture" TargetMode="External"/><Relationship Id="rId965" Type="http://schemas.openxmlformats.org/officeDocument/2006/relationships/hyperlink" Target="https://striking-viking.com/fr-ca/products/striking-viking-beard-oil-variety-4-pack-citrus-vanilla-cedarwood-sandalwood" TargetMode="External"/><Relationship Id="rId966" Type="http://schemas.openxmlformats.org/officeDocument/2006/relationships/hyperlink" Target="https://striking-viking.com/fi/products/beard-growth-balm-with-biotin-2-oz-blue-ocean" TargetMode="External"/><Relationship Id="rId967" Type="http://schemas.openxmlformats.org/officeDocument/2006/relationships/hyperlink" Target="https://striking-viking.com/fr-ca/products/charlemagne-round-hair-brush-for-men-professional-styling-brush-for-volume-blow-drying" TargetMode="External"/><Relationship Id="rId968" Type="http://schemas.openxmlformats.org/officeDocument/2006/relationships/hyperlink" Target="https://striking-viking.com/fr-ca/products/charlemagne-carbon-hair-comb-for-men-professional-heat-resistant-styling-detangling-comb" TargetMode="External"/><Relationship Id="rId969" Type="http://schemas.openxmlformats.org/officeDocument/2006/relationships/hyperlink" Target="https://striking-viking.com/it/products/striking-viking-sandalwood-beard-oil-balm-kit-for-soft-healthy-beard-care-for-men" TargetMode="External"/><Relationship Id="rId970" Type="http://schemas.openxmlformats.org/officeDocument/2006/relationships/hyperlink" Target="https://striking-viking.com/es/collections/striking-deals" TargetMode="External"/><Relationship Id="rId971" Type="http://schemas.openxmlformats.org/officeDocument/2006/relationships/hyperlink" Target="https://striking-viking.com/fr-ca/products/2x-mustache-wax-comb-set-sandalwood" TargetMode="External"/><Relationship Id="rId972" Type="http://schemas.openxmlformats.org/officeDocument/2006/relationships/hyperlink" Target="https://striking-viking.com/de/products/rasiercreme-fur-manner-1" TargetMode="External"/><Relationship Id="rId973" Type="http://schemas.openxmlformats.org/officeDocument/2006/relationships/hyperlink" Target="https://striking-viking.com/fi/products/striking-viking-beard-filler-pen-2-pack-dual-tip-waterproof-beard-pen-for-natural-beard-filling" TargetMode="External"/><Relationship Id="rId974" Type="http://schemas.openxmlformats.org/officeDocument/2006/relationships/hyperlink" Target="https://striking-viking.com/sv/products/beard-growth-balm-with-biotin-2-oz-vanilla" TargetMode="External"/><Relationship Id="rId975" Type="http://schemas.openxmlformats.org/officeDocument/2006/relationships/hyperlink" Target="https://striking-viking.com/en-ca/pages/special-discount" TargetMode="External"/><Relationship Id="rId976" Type="http://schemas.openxmlformats.org/officeDocument/2006/relationships/hyperlink" Target="https://striking-viking.com/fi/products/striking-viking-tea-tree-biotin-beard-shampoo-for-clean-healthy-soft-beard-care-for-men" TargetMode="External"/><Relationship Id="rId977" Type="http://schemas.openxmlformats.org/officeDocument/2006/relationships/hyperlink" Target="https://striking-viking.com/fr/products/ontaki-hair-thinning-shears-kit-7-inch-professional-hair-cutting-texturizing-set" TargetMode="External"/><Relationship Id="rId978" Type="http://schemas.openxmlformats.org/officeDocument/2006/relationships/hyperlink" Target="https://striking-viking.com/it/products/striking-viking-hair-styling-powder-for-men-light-hold-vanilla-natural-volume-texture" TargetMode="External"/><Relationship Id="rId979" Type="http://schemas.openxmlformats.org/officeDocument/2006/relationships/hyperlink" Target="https://striking-viking.com/fr-ca/products/striking-viking-vanilla-beard-growth-oil-with-biotin-castor-oil-for-fuller-beard-growth" TargetMode="External"/><Relationship Id="rId980" Type="http://schemas.openxmlformats.org/officeDocument/2006/relationships/hyperlink" Target="https://striking-viking.com/fr-ca/products/ontaki-duckbill-applique-scissors-4-5-inch-carbon-steel-fabric-thread-cutting-scissors" TargetMode="External"/><Relationship Id="rId981" Type="http://schemas.openxmlformats.org/officeDocument/2006/relationships/hyperlink" Target="https://striking-viking.com/es/products/striking-viking-hair-styling-powder-for-men-strong-hold-vanilla-volume-texture" TargetMode="External"/><Relationship Id="rId982" Type="http://schemas.openxmlformats.org/officeDocument/2006/relationships/hyperlink" Target="https://striking-viking.com/de/products/bartol-unparfumiert" TargetMode="External"/><Relationship Id="rId983" Type="http://schemas.openxmlformats.org/officeDocument/2006/relationships/hyperlink" Target="https://striking-viking.com/fr-ca/products/striking-viking-sandalwood-beard-growth-kit-with-biotin-oil-0-25mm-derma-roller" TargetMode="External"/><Relationship Id="rId984" Type="http://schemas.openxmlformats.org/officeDocument/2006/relationships/hyperlink" Target="https://striking-viking.com/en-gb/blogs/learn/striking-viking-beard-comb-for-routine-beard-management" TargetMode="External"/><Relationship Id="rId985" Type="http://schemas.openxmlformats.org/officeDocument/2006/relationships/hyperlink" Target="https://striking-viking.com/it/blogs/learn/the-ultimate-beard-growth-routine-for-a-thicker-healthier-beard-2026-guide" TargetMode="External"/><Relationship Id="rId986" Type="http://schemas.openxmlformats.org/officeDocument/2006/relationships/hyperlink" Target="https://striking-viking.com/sv/products/striking-viking-sandalwood-beard-balm" TargetMode="External"/><Relationship Id="rId987" Type="http://schemas.openxmlformats.org/officeDocument/2006/relationships/hyperlink" Target="https://striking-viking.com/it/pages/ilm-form-not-visible" TargetMode="External"/><Relationship Id="rId988" Type="http://schemas.openxmlformats.org/officeDocument/2006/relationships/hyperlink" Target="https://striking-viking.com/it/products/striking-viking-beard-growth-power-kit-with-biotin-beard-oil-shampoo-derma-roller" TargetMode="External"/><Relationship Id="rId989" Type="http://schemas.openxmlformats.org/officeDocument/2006/relationships/hyperlink" Target="https://striking-viking.com/fi/products/ontaki-facial-hair-grooming-scissors-2-pack-precision-beard-nose-mustache-trimming" TargetMode="External"/><Relationship Id="rId990" Type="http://schemas.openxmlformats.org/officeDocument/2006/relationships/hyperlink" Target="https://striking-viking.com/es/blogs/learn/41241281-the-dude" TargetMode="External"/><Relationship Id="rId991" Type="http://schemas.openxmlformats.org/officeDocument/2006/relationships/hyperlink" Target="https://striking-viking.com/sv/products/striking-viking-beard-shampoo-conditioner-cologne-argan-jojoba-oil" TargetMode="External"/><Relationship Id="rId992" Type="http://schemas.openxmlformats.org/officeDocument/2006/relationships/hyperlink" Target="https://striking-viking.com/fi/products/striking-viking-sandalwood-beard-oil-balm-kit-for-soft-healthy-beard-care-for-men" TargetMode="External"/><Relationship Id="rId993" Type="http://schemas.openxmlformats.org/officeDocument/2006/relationships/hyperlink" Target="https://striking-viking.com/fr-ca/products/striking-viking-beard-growth-kit-with-beard-roller-vanilla-unscented-biotin-oils-for-men" TargetMode="External"/><Relationship Id="rId994" Type="http://schemas.openxmlformats.org/officeDocument/2006/relationships/hyperlink" Target="https://striking-viking.com/es/products/striking-viking-vanilla-beard-balm-2-pack-with-natural-organic-ingredients-for-beard-styling" TargetMode="External"/><Relationship Id="rId995" Type="http://schemas.openxmlformats.org/officeDocument/2006/relationships/hyperlink" Target="https://striking-viking.com/fr-ca/products/beard-butter-bergamot-thunder" TargetMode="External"/><Relationship Id="rId996" Type="http://schemas.openxmlformats.org/officeDocument/2006/relationships/hyperlink" Target="https://striking-viking.com/fr/products/striking-viking-vanilla-shaving-cream-for-men-rich-lather-for-a-smooth-comfortable-shave" TargetMode="External"/><Relationship Id="rId997" Type="http://schemas.openxmlformats.org/officeDocument/2006/relationships/hyperlink" Target="https://striking-viking.com/it/products/striking-viking-unscented-pre-shave-oil-for-men-smooth-razor-glide-skin-protection" TargetMode="External"/><Relationship Id="rId998" Type="http://schemas.openxmlformats.org/officeDocument/2006/relationships/hyperlink" Target="https://striking-viking.com/sv/products/ontaki-curved-fabric-scissors-6-5-inch-german-stainless-steel-embroidery-scissors" TargetMode="External"/><Relationship Id="rId999" Type="http://schemas.openxmlformats.org/officeDocument/2006/relationships/hyperlink" Target="https://striking-viking.com/fr-ca/products/striking-viking-unscented-pre-shave-oil-for-men-smooth-razor-glide-skin-protection" TargetMode="External"/><Relationship Id="rId1000" Type="http://schemas.openxmlformats.org/officeDocument/2006/relationships/hyperlink" Target="https://striking-viking.com/es/products/striking-viking-peppermint-eucalyptus-beard-shampoo-conditioner-set-for-healthy-beard-care" TargetMode="External"/><Relationship Id="rId1001" Type="http://schemas.openxmlformats.org/officeDocument/2006/relationships/hyperlink" Target="https://striking-viking.com/es/products/ontaki-german-steel-beard-mustache-scissors-professional-grooming-kit" TargetMode="External"/><Relationship Id="rId1002" Type="http://schemas.openxmlformats.org/officeDocument/2006/relationships/hyperlink" Target="https://striking-viking.com/it/pages/ilm2025" TargetMode="External"/><Relationship Id="rId1003" Type="http://schemas.openxmlformats.org/officeDocument/2006/relationships/hyperlink" Target="https://striking-viking.com/fi/products/carbon-hair-comb" TargetMode="External"/><Relationship Id="rId1004" Type="http://schemas.openxmlformats.org/officeDocument/2006/relationships/hyperlink" Target="https://striking-viking.com/fi/collections/subscribe-save" TargetMode="External"/><Relationship Id="rId1005" Type="http://schemas.openxmlformats.org/officeDocument/2006/relationships/hyperlink" Target="https://striking-viking.com/pages/special-discount" TargetMode="External"/><Relationship Id="rId1006" Type="http://schemas.openxmlformats.org/officeDocument/2006/relationships/hyperlink" Target="https://striking-viking.com/fr-ca/products/striking-viking-beard-shampoo-conditioner-cologne-argan-jojoba-oil" TargetMode="External"/><Relationship Id="rId1007" Type="http://schemas.openxmlformats.org/officeDocument/2006/relationships/hyperlink" Target="https://striking-viking.com/en-gb/products/charlemagne-carbon-hair-comb-for-men-professional-heat-resistant-styling-detangling-comb" TargetMode="External"/><Relationship Id="rId1008" Type="http://schemas.openxmlformats.org/officeDocument/2006/relationships/hyperlink" Target="https://striking-viking.com/fi/products/striking-viking-boar-bristle-beard-brush-for-men-natural-beech-wood-grooming-brush" TargetMode="External"/><Relationship Id="rId1009" Type="http://schemas.openxmlformats.org/officeDocument/2006/relationships/hyperlink" Target="https://striking-viking.com/it/products/ontaki-curved-fabric-scissors-6-5-inch-german-stainless-steel-embroidery-scissors" TargetMode="External"/><Relationship Id="rId1010" Type="http://schemas.openxmlformats.org/officeDocument/2006/relationships/hyperlink" Target="https://striking-viking.com/fr-ca/products/striking-viking-bergamot-thunder-beard-oil-for-men-natural-beard-growth-oil-with-argan-jojoba" TargetMode="External"/><Relationship Id="rId1011" Type="http://schemas.openxmlformats.org/officeDocument/2006/relationships/hyperlink" Target="https://striking-viking.com/es/blogs/learn/the-ultimate-guide-to-tattoo-aftercare-with-striking-viking" TargetMode="External"/><Relationship Id="rId1012" Type="http://schemas.openxmlformats.org/officeDocument/2006/relationships/hyperlink" Target="https://striking-viking.com/fr/products/charlemagne-round-hair-brush-for-men-professional-styling-brush-for-volume-blow-drying" TargetMode="External"/><Relationship Id="rId1013" Type="http://schemas.openxmlformats.org/officeDocument/2006/relationships/hyperlink" Target="https://striking-viking.com/it/products/striking-viking-sandalwood-beard-balm" TargetMode="External"/><Relationship Id="rId1014" Type="http://schemas.openxmlformats.org/officeDocument/2006/relationships/hyperlink" Target="https://striking-viking.com/es/products/striking-viking-vanilla-beard-growth-bundle-with-biotin-beard-serum-titanium-derma-roller" TargetMode="External"/><Relationship Id="rId1015" Type="http://schemas.openxmlformats.org/officeDocument/2006/relationships/hyperlink" Target="https://striking-viking.com/es/products/striking-viking-tea-tree-biotin-beard-shampoo-for-clean-healthy-soft-beard-care-for-men" TargetMode="External"/><Relationship Id="rId1016" Type="http://schemas.openxmlformats.org/officeDocument/2006/relationships/hyperlink" Target="https://striking-viking.com/en-ca/blogs/learn/top-10-beard-costumes-for-halloween" TargetMode="External"/><Relationship Id="rId1017" Type="http://schemas.openxmlformats.org/officeDocument/2006/relationships/hyperlink" Target="https://striking-viking.com/fr-ca/blogs/learn/essential-grooming-supplies-for-the-bearded-man" TargetMode="External"/><Relationship Id="rId1018" Type="http://schemas.openxmlformats.org/officeDocument/2006/relationships/hyperlink" Target="https://striking-viking.com/fi/blogs/learn/striking-viking-beard-comb-for-routine-beard-management" TargetMode="External"/><Relationship Id="rId1019" Type="http://schemas.openxmlformats.org/officeDocument/2006/relationships/hyperlink" Target="https://striking-viking.com/sv/products/striking-viking-unscented-beard-balm-natural-beard-styling-conditioning" TargetMode="External"/><Relationship Id="rId1020" Type="http://schemas.openxmlformats.org/officeDocument/2006/relationships/hyperlink" Target="https://striking-viking.com/no/products/striking-viking-cedarwood-beard-oil" TargetMode="External"/><Relationship Id="rId1021" Type="http://schemas.openxmlformats.org/officeDocument/2006/relationships/hyperlink" Target="https://striking-viking.com/en-ca/products/ontaki-hair-thinning-shears-kit-7-inch-professional-hair-cutting-texturizing-set" TargetMode="External"/><Relationship Id="rId1022" Type="http://schemas.openxmlformats.org/officeDocument/2006/relationships/hyperlink" Target="https://striking-viking.com/sv/products/2x-mustache-wax-comb-set-sandalwood" TargetMode="External"/><Relationship Id="rId1023" Type="http://schemas.openxmlformats.org/officeDocument/2006/relationships/hyperlink" Target="https://striking-viking.com/de/products/striking-viking-unscented-beard-shampoo-conditioner-set-natural-beard-care-for-men" TargetMode="External"/><Relationship Id="rId1024" Type="http://schemas.openxmlformats.org/officeDocument/2006/relationships/hyperlink" Target="https://striking-viking.com/en-ca/products/ontaki-duckbill-applique-scissors-4-5-inch-carbon-steel-fabric-thread-cutting-scissors" TargetMode="External"/><Relationship Id="rId1025" Type="http://schemas.openxmlformats.org/officeDocument/2006/relationships/hyperlink" Target="https://striking-viking.com/fr/blogs/learn/the-ultimate-guide-to-tattoo-aftercare-with-striking-viking" TargetMode="External"/><Relationship Id="rId1026" Type="http://schemas.openxmlformats.org/officeDocument/2006/relationships/hyperlink" Target="https://striking-viking.com/it/products/striking-viking-tea-tree-biotin-beard-wash-cologne-for-clean-fresh-healthy-beard-care" TargetMode="External"/><Relationship Id="rId1027" Type="http://schemas.openxmlformats.org/officeDocument/2006/relationships/hyperlink" Target="https://striking-viking.com/en-gb/products/beard-growth-butter-with-biotin-4-oz-blue-ocean" TargetMode="External"/><Relationship Id="rId1028" Type="http://schemas.openxmlformats.org/officeDocument/2006/relationships/hyperlink" Target="https://striking-viking.com/fr/products/striking-viking-vanilla-beard-butter-for-soft-hydrated-healthy-beard-care-for-men" TargetMode="External"/><Relationship Id="rId1029" Type="http://schemas.openxmlformats.org/officeDocument/2006/relationships/hyperlink" Target="https://striking-viking.com/fi/products/striking-viking-unscented-pre-shave-oil-for-men-smooth-razor-glide-skin-protection" TargetMode="External"/><Relationship Id="rId1030" Type="http://schemas.openxmlformats.org/officeDocument/2006/relationships/hyperlink" Target="https://striking-viking.com/de/products/pre-shave-ol-manner-vanille" TargetMode="External"/><Relationship Id="rId1031" Type="http://schemas.openxmlformats.org/officeDocument/2006/relationships/hyperlink" Target="https://striking-viking.com/fi/products/beard-growth-butter-with-biotin-4-oz-blue-ocean" TargetMode="External"/><Relationship Id="rId1032" Type="http://schemas.openxmlformats.org/officeDocument/2006/relationships/hyperlink" Target="https://striking-viking.com/fr/products/striking-viking-citrus-beard-oil" TargetMode="External"/><Relationship Id="rId1033" Type="http://schemas.openxmlformats.org/officeDocument/2006/relationships/hyperlink" Target="https://striking-viking.com/en-ca/products/striking-viking-vanilla-beard-growth-bundle-with-biotin-beard-serum-titanium-derma-roller" TargetMode="External"/><Relationship Id="rId1034" Type="http://schemas.openxmlformats.org/officeDocument/2006/relationships/hyperlink" Target="https://striking-viking.com/sv/blogs/learn/essential-grooming-supplies-for-the-bearded-man" TargetMode="External"/><Relationship Id="rId1035" Type="http://schemas.openxmlformats.org/officeDocument/2006/relationships/hyperlink" Target="https://striking-viking.com/no/products/striking-viking-cedarwood-beard-balm" TargetMode="External"/><Relationship Id="rId1036" Type="http://schemas.openxmlformats.org/officeDocument/2006/relationships/hyperlink" Target="https://striking-viking.com/fr/blogs/learn/41234689-brian-wilson" TargetMode="External"/><Relationship Id="rId1037" Type="http://schemas.openxmlformats.org/officeDocument/2006/relationships/hyperlink" Target="https://striking-viking.com/fr-ca/blogs/learn/scented-beard-oil-by-striking-viking" TargetMode="External"/><Relationship Id="rId1038" Type="http://schemas.openxmlformats.org/officeDocument/2006/relationships/hyperlink" Target="https://striking-viking.com/fr-ca/products/striking-viking-cedarwood-beard-oil" TargetMode="External"/><Relationship Id="rId1039" Type="http://schemas.openxmlformats.org/officeDocument/2006/relationships/hyperlink" Target="https://striking-viking.com/it/products/striking-viking-unscented-beard-balm-natural-beard-styling-conditioning" TargetMode="External"/><Relationship Id="rId1040" Type="http://schemas.openxmlformats.org/officeDocument/2006/relationships/hyperlink" Target="https://striking-viking.com/fr/blogs/learn/the-ultimate-beard-growth-routine-for-a-thicker-healthier-beard-2026-guide" TargetMode="External"/><Relationship Id="rId1041" Type="http://schemas.openxmlformats.org/officeDocument/2006/relationships/hyperlink" Target="https://striking-viking.com/it/products/ontaki-duckbill-applique-scissors-4-5-inch-carbon-steel-fabric-thread-cutting-scissors" TargetMode="External"/><Relationship Id="rId1042" Type="http://schemas.openxmlformats.org/officeDocument/2006/relationships/hyperlink" Target="https://striking-viking.com/es/products/striking-viking-vanilla-shaving-cream-for-men-rich-lather-for-a-smooth-comfortable-shave" TargetMode="External"/><Relationship Id="rId1043" Type="http://schemas.openxmlformats.org/officeDocument/2006/relationships/hyperlink" Target="https://striking-viking.com/de/products/charlemagne-carbon-wide-tooth-comb-for-men-heat-resistant-carbon-fiber-hair-comb" TargetMode="External"/><Relationship Id="rId1044" Type="http://schemas.openxmlformats.org/officeDocument/2006/relationships/hyperlink" Target="https://striking-viking.com/sv/products/striking-viking-tea-tree-biotin-beard-wash-cologne-for-clean-fresh-healthy-beard-care" TargetMode="External"/><Relationship Id="rId1045" Type="http://schemas.openxmlformats.org/officeDocument/2006/relationships/hyperlink" Target="https://striking-viking.com/it/blogs/learn/scented-beard-oil-by-striking-viking" TargetMode="External"/><Relationship Id="rId1046" Type="http://schemas.openxmlformats.org/officeDocument/2006/relationships/hyperlink" Target="https://striking-viking.com/en-gb/products/striking-viking-unscented-beard-butter-for-moisturizing-softening-daily-beard-care" TargetMode="External"/><Relationship Id="rId1047" Type="http://schemas.openxmlformats.org/officeDocument/2006/relationships/hyperlink" Target="https://striking-viking.com/fi/products/striking-viking-unscented-beard-butter-for-moisturizing-softening-daily-beard-care" TargetMode="External"/><Relationship Id="rId1048" Type="http://schemas.openxmlformats.org/officeDocument/2006/relationships/hyperlink" Target="https://striking-viking.com/sv/blogs/learn/41241281-the-dude" TargetMode="External"/><Relationship Id="rId1049" Type="http://schemas.openxmlformats.org/officeDocument/2006/relationships/hyperlink" Target="https://striking-viking.com/fr/blogs/learn/46928577-tips-to-protect-your-beard-from-the-cold" TargetMode="External"/><Relationship Id="rId1050" Type="http://schemas.openxmlformats.org/officeDocument/2006/relationships/hyperlink" Target="https://striking-viking.com/de/blogs/learn/how-to-choose-the-right-hair-cutting-scissors-for-home-or-salon-use" TargetMode="External"/><Relationship Id="rId1051" Type="http://schemas.openxmlformats.org/officeDocument/2006/relationships/hyperlink" Target="https://striking-viking.com/de/products/bartbalsam-zitrus" TargetMode="External"/><Relationship Id="rId1052" Type="http://schemas.openxmlformats.org/officeDocument/2006/relationships/hyperlink" Target="https://striking-viking.com/de/blogs/learn/scented-beard-oil-by-striking-viking" TargetMode="External"/><Relationship Id="rId1053" Type="http://schemas.openxmlformats.org/officeDocument/2006/relationships/hyperlink" Target="https://striking-viking.com/it/products/striking-viking-sandalwood-beard-butter-for-soft-hydrated-healthy-beard-care-for-men" TargetMode="External"/><Relationship Id="rId1054" Type="http://schemas.openxmlformats.org/officeDocument/2006/relationships/hyperlink" Target="https://striking-viking.com/fr/products/striking-viking-beard-shampoo-with-natural-peppermint-eucalyptus-for-refreshing-beard-care" TargetMode="External"/><Relationship Id="rId1055" Type="http://schemas.openxmlformats.org/officeDocument/2006/relationships/hyperlink" Target="https://striking-viking.com/es/products/striking-viking-sandalwood-beard-butter-for-soft-hydrated-healthy-beard-care-for-men" TargetMode="External"/><Relationship Id="rId1056" Type="http://schemas.openxmlformats.org/officeDocument/2006/relationships/hyperlink" Target="https://striking-viking.com/fr-ca/products/carbon-wide-tooth-comb" TargetMode="External"/><Relationship Id="rId1057" Type="http://schemas.openxmlformats.org/officeDocument/2006/relationships/hyperlink" Target="https://striking-viking.com/it/products/striking-viking-citrus-beard-balm" TargetMode="External"/><Relationship Id="rId1058" Type="http://schemas.openxmlformats.org/officeDocument/2006/relationships/hyperlink" Target="https://striking-viking.com/fi/products/beard-butter-bergamot-thunder" TargetMode="External"/><Relationship Id="rId1059" Type="http://schemas.openxmlformats.org/officeDocument/2006/relationships/hyperlink" Target="https://striking-viking.com/es/products/striking-viking-sandalwood-beard-shampoo-for-clean-healthy-soft-beard-care-for-men" TargetMode="External"/><Relationship Id="rId1060" Type="http://schemas.openxmlformats.org/officeDocument/2006/relationships/hyperlink" Target="https://striking-viking.com/sv/blogs/learn/41234689-brian-wilson" TargetMode="External"/><Relationship Id="rId1061" Type="http://schemas.openxmlformats.org/officeDocument/2006/relationships/hyperlink" Target="https://striking-viking.com/de/blogs/learn/heads-shoulders-knees-and-toes-but-why-forget-the-beard" TargetMode="External"/><Relationship Id="rId1062" Type="http://schemas.openxmlformats.org/officeDocument/2006/relationships/hyperlink" Target="https://striking-viking.com/fr/products/striking-viking-vanilla-pre-shave-oil-for-men-smooth-razor-glide-skin-protection" TargetMode="External"/><Relationship Id="rId1063" Type="http://schemas.openxmlformats.org/officeDocument/2006/relationships/hyperlink" Target="https://striking-viking.com/de/products/charlemagne-original-hair-pomade-for-men-strong-hold-water-based-styling-pomade-100ml" TargetMode="External"/><Relationship Id="rId1064" Type="http://schemas.openxmlformats.org/officeDocument/2006/relationships/hyperlink" Target="https://striking-viking.com/en-gb/products/2x-mustache-wax-comb-set-sandalwood" TargetMode="External"/><Relationship Id="rId1065" Type="http://schemas.openxmlformats.org/officeDocument/2006/relationships/hyperlink" Target="https://striking-viking.com/fr/products/striking-viking-beard-growth-oil-with-biotin-sandalwood" TargetMode="External"/><Relationship Id="rId1066" Type="http://schemas.openxmlformats.org/officeDocument/2006/relationships/hyperlink" Target="https://striking-viking.com/es/products/striking-viking-citrus-beard-balm" TargetMode="External"/><Relationship Id="rId1067" Type="http://schemas.openxmlformats.org/officeDocument/2006/relationships/hyperlink" Target="https://striking-viking.com/en-ca/products/charlemagne-carbon-hair-comb-for-men-professional-heat-resistant-styling-detangling-comb" TargetMode="External"/><Relationship Id="rId1068" Type="http://schemas.openxmlformats.org/officeDocument/2006/relationships/hyperlink" Target="https://striking-viking.com/fi/pages/striking-viking-affiliate-program" TargetMode="External"/><Relationship Id="rId1069" Type="http://schemas.openxmlformats.org/officeDocument/2006/relationships/hyperlink" Target="https://striking-viking.com/no/blogs/learn/top-10-beard-costumes-for-halloween" TargetMode="External"/><Relationship Id="rId1070" Type="http://schemas.openxmlformats.org/officeDocument/2006/relationships/hyperlink" Target="https://striking-viking.com/fr-ca/products/striking-viking-terra-sol-beard-balm-for-men-natural-beard-balm-with-shea-butter-jojoba" TargetMode="External"/><Relationship Id="rId1071" Type="http://schemas.openxmlformats.org/officeDocument/2006/relationships/hyperlink" Target="https://striking-viking.com/de/products/after-shave-balsam-fur-manner" TargetMode="External"/><Relationship Id="rId1072" Type="http://schemas.openxmlformats.org/officeDocument/2006/relationships/hyperlink" Target="https://striking-viking.com/fr-ca/blogs/learn/elevate-your-look-pomade" TargetMode="External"/><Relationship Id="rId1073" Type="http://schemas.openxmlformats.org/officeDocument/2006/relationships/hyperlink" Target="https://striking-viking.com/fi/products/striking-viking-vanilla-beard-balm-2-pack-with-natural-organic-ingredients-for-beard-styling" TargetMode="External"/><Relationship Id="rId1074" Type="http://schemas.openxmlformats.org/officeDocument/2006/relationships/hyperlink" Target="https://striking-viking.com/fr-ca/products/striking-viking-sandalwood-beard-oil-balm-kit-for-soft-healthy-beard-care-for-men" TargetMode="External"/><Relationship Id="rId1075" Type="http://schemas.openxmlformats.org/officeDocument/2006/relationships/hyperlink" Target="https://striking-viking.com/fr-ca/products/beard-growth-butter-with-biotin-4-oz-sandalwood" TargetMode="External"/><Relationship Id="rId1076" Type="http://schemas.openxmlformats.org/officeDocument/2006/relationships/hyperlink" Target="https://striking-viking.com/fr/products/striking-viking-sandalwood-beard-balm" TargetMode="External"/><Relationship Id="rId1077" Type="http://schemas.openxmlformats.org/officeDocument/2006/relationships/hyperlink" Target="https://striking-viking.com/fr-ca/products/striking-viking-beard-balm-variety-4-pack-citrus-vanilla-cedarwood-sandalwood" TargetMode="External"/><Relationship Id="rId1078" Type="http://schemas.openxmlformats.org/officeDocument/2006/relationships/hyperlink" Target="https://striking-viking.com/fr-ca/blogs/learn/heads-shoulders-knees-and-toes-but-why-forget-the-beard" TargetMode="External"/><Relationship Id="rId1079" Type="http://schemas.openxmlformats.org/officeDocument/2006/relationships/hyperlink" Target="https://striking-viking.com/de/products/bartbalsam-geruchsneutral" TargetMode="External"/><Relationship Id="rId1080" Type="http://schemas.openxmlformats.org/officeDocument/2006/relationships/hyperlink" Target="https://striking-viking.com/fr-ca/collections/featured-products" TargetMode="External"/><Relationship Id="rId1081" Type="http://schemas.openxmlformats.org/officeDocument/2006/relationships/hyperlink" Target="https://striking-viking.com/fr/collections/charlemagne" TargetMode="External"/><Relationship Id="rId1082" Type="http://schemas.openxmlformats.org/officeDocument/2006/relationships/hyperlink" Target="https://striking-viking.com/es/products/striking-viking-sandalwood-beard-growth-bundle-with-titanium-derma-roller-beard-growth-serum" TargetMode="External"/><Relationship Id="rId1083" Type="http://schemas.openxmlformats.org/officeDocument/2006/relationships/hyperlink" Target="https://striking-viking.com/fi/products/striking-viking-vanilla-beard-growth-kit-with-biotin-oil-0-25mm-derma-roller" TargetMode="External"/><Relationship Id="rId1084" Type="http://schemas.openxmlformats.org/officeDocument/2006/relationships/hyperlink" Target="https://striking-viking.com/sv/pages/special-discount" TargetMode="External"/><Relationship Id="rId1085" Type="http://schemas.openxmlformats.org/officeDocument/2006/relationships/hyperlink" Target="https://striking-viking.com/no/products/ontaki-duckbill-applique-scissors-4-5-inch-carbon-steel-fabric-thread-cutting-scissors" TargetMode="External"/><Relationship Id="rId1086" Type="http://schemas.openxmlformats.org/officeDocument/2006/relationships/hyperlink" Target="https://striking-viking.com/no/blogs/learn/elevate-your-look-pomade" TargetMode="External"/><Relationship Id="rId1087" Type="http://schemas.openxmlformats.org/officeDocument/2006/relationships/hyperlink" Target="https://striking-viking.com/es/products/striking-viking-citrus-beard-oil" TargetMode="External"/><Relationship Id="rId1088" Type="http://schemas.openxmlformats.org/officeDocument/2006/relationships/hyperlink" Target="https://striking-viking.com/fi/products/ontaki-beard-mustache-scissors-with-finger-rest-5-inch-german-steel-grooming-kit" TargetMode="External"/><Relationship Id="rId1089" Type="http://schemas.openxmlformats.org/officeDocument/2006/relationships/hyperlink" Target="https://striking-viking.com/fi/products/striking-viking-matte-hair-pomade-for-men-linen-scent-water-based-medium-strong-hold" TargetMode="External"/><Relationship Id="rId1090" Type="http://schemas.openxmlformats.org/officeDocument/2006/relationships/hyperlink" Target="https://striking-viking.com/fr/blogs/learn/scented-beard-oil-by-striking-viking" TargetMode="External"/><Relationship Id="rId1091" Type="http://schemas.openxmlformats.org/officeDocument/2006/relationships/hyperlink" Target="https://striking-viking.com/fi/products/striking-viking-unscented-beard-shampoo-conditioner-set-natural-beard-care-for-men" TargetMode="External"/><Relationship Id="rId1092" Type="http://schemas.openxmlformats.org/officeDocument/2006/relationships/hyperlink" Target="https://striking-viking.com/no/products/striking-viking-unscented-beard-balm-natural-beard-styling-conditioning" TargetMode="External"/><Relationship Id="rId1093" Type="http://schemas.openxmlformats.org/officeDocument/2006/relationships/hyperlink" Target="https://striking-viking.com/sv/products/beard-butter-bergamot-thunder" TargetMode="External"/><Relationship Id="rId1094" Type="http://schemas.openxmlformats.org/officeDocument/2006/relationships/hyperlink" Target="https://striking-viking.com/fr/products/ontaki-japanese-steel-beard-hair-scissors-5-5-inch-professional-grooming-shears" TargetMode="External"/><Relationship Id="rId1095" Type="http://schemas.openxmlformats.org/officeDocument/2006/relationships/hyperlink" Target="https://striking-viking.com/it/pages/beard-filler-pens" TargetMode="External"/><Relationship Id="rId1096" Type="http://schemas.openxmlformats.org/officeDocument/2006/relationships/hyperlink" Target="https://striking-viking.com/de/pages/write-a-review" TargetMode="External"/><Relationship Id="rId1097" Type="http://schemas.openxmlformats.org/officeDocument/2006/relationships/hyperlink" Target="https://striking-viking.com/it/products/charlemagne-carbon-wide-tooth-comb-for-men-heat-resistant-carbon-fiber-hair-comb" TargetMode="External"/><Relationship Id="rId1098" Type="http://schemas.openxmlformats.org/officeDocument/2006/relationships/hyperlink" Target="https://striking-viking.com/es/products/carbon-wide-tooth-comb" TargetMode="External"/><Relationship Id="rId1099" Type="http://schemas.openxmlformats.org/officeDocument/2006/relationships/hyperlink" Target="https://striking-viking.com/fr-ca/products/striking-viking-sandalwood-beard-balm" TargetMode="External"/><Relationship Id="rId1100" Type="http://schemas.openxmlformats.org/officeDocument/2006/relationships/hyperlink" Target="https://striking-viking.com/sv/products/striking-viking-bergamot-thunder-beard-oil-for-men-natural-beard-growth-oil-with-argan-jojoba" TargetMode="External"/><Relationship Id="rId1101" Type="http://schemas.openxmlformats.org/officeDocument/2006/relationships/hyperlink" Target="https://striking-viking.com/fr-ca/blogs/learn/spring-style-refresh-how-to-update-your-beard-and-hair-for-warmer-weather" TargetMode="External"/><Relationship Id="rId1102" Type="http://schemas.openxmlformats.org/officeDocument/2006/relationships/hyperlink" Target="https://striking-viking.com/fr/products/striking-viking-hair-styling-powder-for-men-strong-hold-vanilla-volume-texture" TargetMode="External"/><Relationship Id="rId1103" Type="http://schemas.openxmlformats.org/officeDocument/2006/relationships/hyperlink" Target="https://striking-viking.com/sv/products/striking-viking-sandalwood-beard-oil" TargetMode="External"/><Relationship Id="rId1104" Type="http://schemas.openxmlformats.org/officeDocument/2006/relationships/hyperlink" Target="https://striking-viking.com/fr-ca/products/gift-wrapping" TargetMode="External"/><Relationship Id="rId1105" Type="http://schemas.openxmlformats.org/officeDocument/2006/relationships/hyperlink" Target="https://striking-viking.com/es/pages/ilm2025" TargetMode="External"/><Relationship Id="rId1106" Type="http://schemas.openxmlformats.org/officeDocument/2006/relationships/hyperlink" Target="https://striking-viking.com/es/products/striking-viking-sandalwood-beard-shampoo-conditioner-set-hydrating-beard-care-for-men" TargetMode="External"/><Relationship Id="rId1107" Type="http://schemas.openxmlformats.org/officeDocument/2006/relationships/hyperlink" Target="https://striking-viking.com/de/blogs/learn/beard-oil-vs-beard-balm-solving-the-modern-problem-for-gentlemen-with-beards" TargetMode="External"/><Relationship Id="rId1108" Type="http://schemas.openxmlformats.org/officeDocument/2006/relationships/hyperlink" Target="https://striking-viking.com/es/products/2x-mustache-wax-comb-set-sandalwood" TargetMode="External"/><Relationship Id="rId1109" Type="http://schemas.openxmlformats.org/officeDocument/2006/relationships/hyperlink" Target="https://striking-viking.com/fr/blogs/learn/all-you-need-to-know-about-beard-filler-pens" TargetMode="External"/><Relationship Id="rId1110" Type="http://schemas.openxmlformats.org/officeDocument/2006/relationships/hyperlink" Target="https://striking-viking.com/es/products/striking-viking-tea-tree-biotin-beard-shampoo-conditioner-set-for-healthy-beard-care" TargetMode="External"/><Relationship Id="rId1111" Type="http://schemas.openxmlformats.org/officeDocument/2006/relationships/hyperlink" Target="https://striking-viking.com/fr-ca/products/striking-viking-beard-growth-mastery-bundle-with-sandalwood-vanilla-biotin-oils-and-derma-roller" TargetMode="External"/><Relationship Id="rId1112" Type="http://schemas.openxmlformats.org/officeDocument/2006/relationships/hyperlink" Target="https://striking-viking.com/fr-ca/products/striking-viking-citrus-beard-oil" TargetMode="External"/><Relationship Id="rId1113" Type="http://schemas.openxmlformats.org/officeDocument/2006/relationships/hyperlink" Target="https://striking-viking.com/fi/products/striking-viking-vanilla-beard-balm" TargetMode="External"/><Relationship Id="rId1114" Type="http://schemas.openxmlformats.org/officeDocument/2006/relationships/hyperlink" Target="https://striking-viking.com/it/products/beard-growth-butter-with-biotin-4-oz-blue-ocean" TargetMode="External"/><Relationship Id="rId1115" Type="http://schemas.openxmlformats.org/officeDocument/2006/relationships/hyperlink" Target="https://striking-viking.com/fr-ca/collections/subscribe-save" TargetMode="External"/><Relationship Id="rId1116" Type="http://schemas.openxmlformats.org/officeDocument/2006/relationships/hyperlink" Target="https://striking-viking.com/fr/pages/ilm-form-not-visible" TargetMode="External"/><Relationship Id="rId1117" Type="http://schemas.openxmlformats.org/officeDocument/2006/relationships/hyperlink" Target="https://striking-viking.com/en-gb/products/striking-viking-unscented-beard-oil-and-balm-kit-natural-beard-grooming-set-for-men" TargetMode="External"/><Relationship Id="rId1118" Type="http://schemas.openxmlformats.org/officeDocument/2006/relationships/hyperlink" Target="https://striking-viking.com/es/products/striking-viking-folding-wooden-comb-sandalwood-beard-hair-comb" TargetMode="External"/><Relationship Id="rId1119" Type="http://schemas.openxmlformats.org/officeDocument/2006/relationships/hyperlink" Target="https://striking-viking.com/it/products/striking-viking-battle-ready-beard-care-kit-with-beard-oils-balms-beard-filler-pen" TargetMode="External"/><Relationship Id="rId1120" Type="http://schemas.openxmlformats.org/officeDocument/2006/relationships/hyperlink" Target="https://striking-viking.com/en-ca/products/ontaki-curved-fabric-scissors-6-5-inch-german-stainless-steel-embroidery-scissors" TargetMode="External"/><Relationship Id="rId1121" Type="http://schemas.openxmlformats.org/officeDocument/2006/relationships/hyperlink" Target="https://striking-viking.com/it/products/striking-viking-sandalwood-after-shave-balm-for-men-soothing-hydration-skin-care" TargetMode="External"/><Relationship Id="rId1122" Type="http://schemas.openxmlformats.org/officeDocument/2006/relationships/hyperlink" Target="https://striking-viking.com/en-ca/products/beard-butter-blue-ocean" TargetMode="External"/><Relationship Id="rId1123" Type="http://schemas.openxmlformats.org/officeDocument/2006/relationships/hyperlink" Target="https://striking-viking.com/es/products/striking-viking-unscented-beard-shampoo-conditioner-set-natural-beard-care-for-men" TargetMode="External"/><Relationship Id="rId1124" Type="http://schemas.openxmlformats.org/officeDocument/2006/relationships/hyperlink" Target="https://striking-viking.com/fr-ca/blogs/learn/all-you-need-to-know-about-beard-filler-pens" TargetMode="External"/><Relationship Id="rId1125" Type="http://schemas.openxmlformats.org/officeDocument/2006/relationships/hyperlink" Target="https://striking-viking.com/no/products/striking-viking-beard-rehab-growth-kit-with-sandalwood-beard-care-derma-roller" TargetMode="External"/><Relationship Id="rId1126" Type="http://schemas.openxmlformats.org/officeDocument/2006/relationships/hyperlink" Target="https://striking-viking.com/fr-ca/products/round-hair-brush" TargetMode="External"/><Relationship Id="rId1127" Type="http://schemas.openxmlformats.org/officeDocument/2006/relationships/hyperlink" Target="https://striking-viking.com/sv/collections/last-chance-bogo-free" TargetMode="External"/><Relationship Id="rId1128" Type="http://schemas.openxmlformats.org/officeDocument/2006/relationships/hyperlink" Target="https://striking-viking.com/fr-ca/products/striking-viking-folding-wooden-beard-comb-for-men-anti-static-sandalwood-grooming-comb" TargetMode="External"/><Relationship Id="rId1129" Type="http://schemas.openxmlformats.org/officeDocument/2006/relationships/hyperlink" Target="https://striking-viking.com/sv/products/beard-growth-balm-with-biotin-2-oz-blue-ocean" TargetMode="External"/><Relationship Id="rId1130" Type="http://schemas.openxmlformats.org/officeDocument/2006/relationships/hyperlink" Target="https://striking-viking.com/fr/products/charlemagne-original-hair-pomade-for-men-strong-hold-water-based-styling-pomade-100ml" TargetMode="External"/><Relationship Id="rId1131" Type="http://schemas.openxmlformats.org/officeDocument/2006/relationships/hyperlink" Target="https://striking-viking.com/es/products/striking-viking-beard-rehab-growth-kit-with-sandalwood-beard-care-derma-roller" TargetMode="External"/><Relationship Id="rId1132" Type="http://schemas.openxmlformats.org/officeDocument/2006/relationships/hyperlink" Target="https://striking-viking.com/de/pages/beard-filler-pens" TargetMode="External"/><Relationship Id="rId1133" Type="http://schemas.openxmlformats.org/officeDocument/2006/relationships/hyperlink" Target="https://striking-viking.com/no/blogs/learn/essential-grooming-supplies-for-the-bearded-man" TargetMode="External"/><Relationship Id="rId1134" Type="http://schemas.openxmlformats.org/officeDocument/2006/relationships/hyperlink" Target="https://striking-viking.com/es/products/striking-viking-hybrid-beard-growth-bundle-with-sandalwood-unscented-beard-oils-and-derma-roller" TargetMode="External"/><Relationship Id="rId1135" Type="http://schemas.openxmlformats.org/officeDocument/2006/relationships/hyperlink" Target="https://striking-viking.com/fr/blogs/learn/beard-grooming-tools-for-professional-styling-at-home" TargetMode="External"/><Relationship Id="rId1136" Type="http://schemas.openxmlformats.org/officeDocument/2006/relationships/hyperlink" Target="https://striking-viking.com/sv/products/sandalwood-wooden-beard-comb-black-striking-viking" TargetMode="External"/><Relationship Id="rId1137" Type="http://schemas.openxmlformats.org/officeDocument/2006/relationships/hyperlink" Target="https://striking-viking.com/es/products/striking-viking-unscented-beard-butter-for-moisturizing-softening-daily-beard-care" TargetMode="External"/><Relationship Id="rId1138" Type="http://schemas.openxmlformats.org/officeDocument/2006/relationships/hyperlink" Target="https://striking-viking.com/fr-ca/pages/special-discount" TargetMode="External"/><Relationship Id="rId1139" Type="http://schemas.openxmlformats.org/officeDocument/2006/relationships/hyperlink" Target="https://striking-viking.com/fr-ca/products/ontaki-curved-fabric-scissors-6-5-inch-german-stainless-steel-embroidery-scissors" TargetMode="External"/><Relationship Id="rId1140" Type="http://schemas.openxmlformats.org/officeDocument/2006/relationships/hyperlink" Target="https://striking-viking.com/fi/products/striking-viking-vanilla-after-shave-balm-for-men-soothing-hydration-skin-care" TargetMode="External"/><Relationship Id="rId1141" Type="http://schemas.openxmlformats.org/officeDocument/2006/relationships/hyperlink" Target="https://striking-viking.com/fr-ca/products/striking-viking-matte-hair-pomade-for-men-linen-scent-water-based-medium-strong-hold" TargetMode="External"/><Relationship Id="rId1142" Type="http://schemas.openxmlformats.org/officeDocument/2006/relationships/hyperlink" Target="https://striking-viking.com/fi/products/striking-viking-folding-wooden-beard-comb-for-men-anti-static-sandalwood-grooming-comb" TargetMode="External"/><Relationship Id="rId1143" Type="http://schemas.openxmlformats.org/officeDocument/2006/relationships/hyperlink" Target="https://striking-viking.com/es/products/striking-viking-sandalwood-after-shave-balm-for-men-soothing-hydration-skin-care" TargetMode="External"/><Relationship Id="rId1144" Type="http://schemas.openxmlformats.org/officeDocument/2006/relationships/hyperlink" Target="https://striking-viking.com/de/products/striking-viking-unscented-beard-oil-and-balm-kit-natural-beard-grooming-set-for-men" TargetMode="External"/><Relationship Id="rId1145" Type="http://schemas.openxmlformats.org/officeDocument/2006/relationships/hyperlink" Target="https://striking-viking.com/es/products/striking-viking-unscented-beard-oil-and-balm-kit-natural-beard-grooming-set-for-men" TargetMode="External"/><Relationship Id="rId1146" Type="http://schemas.openxmlformats.org/officeDocument/2006/relationships/hyperlink" Target="https://striking-viking.com/es/products/striking-viking-vanilla-beard-growth-oil-with-biotin-castor-oil-for-fuller-beard-growth" TargetMode="External"/><Relationship Id="rId1147" Type="http://schemas.openxmlformats.org/officeDocument/2006/relationships/hyperlink" Target="https://striking-viking.com/fi/pages/write-a-review" TargetMode="External"/><Relationship Id="rId1148" Type="http://schemas.openxmlformats.org/officeDocument/2006/relationships/hyperlink" Target="https://striking-viking.com/en-ca/products/striking-viking-vanilla-beard-balm-2-pack-with-natural-organic-ingredients-for-beard-styling" TargetMode="External"/><Relationship Id="rId1149" Type="http://schemas.openxmlformats.org/officeDocument/2006/relationships/hyperlink" Target="https://striking-viking.com/fr-ca/products/ontaki-facial-hair-grooming-scissors-2-pack-precision-beard-nose-mustache-trimming" TargetMode="External"/><Relationship Id="rId1150" Type="http://schemas.openxmlformats.org/officeDocument/2006/relationships/hyperlink" Target="https://striking-viking.com/fi/products/striking-viking-sandalwood-shaving-cream-for-men-rich-lather-for-a-smooth-comfortable-shave" TargetMode="External"/><Relationship Id="rId1151" Type="http://schemas.openxmlformats.org/officeDocument/2006/relationships/hyperlink" Target="https://striking-viking.com/fr-ca/products/ontaki-japanese-steel-beard-mustache-scissors-5-5-inch-professional-grooming-kit" TargetMode="External"/><Relationship Id="rId1152" Type="http://schemas.openxmlformats.org/officeDocument/2006/relationships/hyperlink" Target="https://striking-viking.com/no/blogs/learn/16918829-the-ingredients-and-why-they-matter" TargetMode="External"/><Relationship Id="rId1153" Type="http://schemas.openxmlformats.org/officeDocument/2006/relationships/hyperlink" Target="https://striking-viking.com/en-gb/blogs/learn/top-10-beard-costumes-for-halloween" TargetMode="External"/><Relationship Id="rId1154" Type="http://schemas.openxmlformats.org/officeDocument/2006/relationships/hyperlink" Target="https://striking-viking.com/fi/blogs/learn/the-ultimate-guide-to-tattoo-aftercare-with-striking-viking" TargetMode="External"/><Relationship Id="rId1155" Type="http://schemas.openxmlformats.org/officeDocument/2006/relationships/hyperlink" Target="https://striking-viking.com/sv/products/striking-viking-biotin-beard-growth-oil-for-men-unscented-beard-growth-serum" TargetMode="External"/><Relationship Id="rId1156" Type="http://schemas.openxmlformats.org/officeDocument/2006/relationships/hyperlink" Target="https://striking-viking.com/es/products/striking-viking-sandalwood-shaving-cream-for-men-rich-lather-for-a-smooth-comfortable-shave" TargetMode="External"/><Relationship Id="rId1157" Type="http://schemas.openxmlformats.org/officeDocument/2006/relationships/hyperlink" Target="https://striking-viking.com/no/pages/special-discount" TargetMode="External"/><Relationship Id="rId1158" Type="http://schemas.openxmlformats.org/officeDocument/2006/relationships/hyperlink" Target="https://striking-viking.com/es/products/striking-viking-bergamot-thunder-beard-oil-for-men-natural-beard-growth-oil-with-argan-jojoba" TargetMode="External"/><Relationship Id="rId1159" Type="http://schemas.openxmlformats.org/officeDocument/2006/relationships/hyperlink" Target="https://striking-viking.com/es/products/striking-viking-unscented-pre-shave-oil-for-men-smooth-razor-glide-skin-protection" TargetMode="External"/><Relationship Id="rId1160" Type="http://schemas.openxmlformats.org/officeDocument/2006/relationships/hyperlink" Target="https://striking-viking.com/de/products/after-shave-balsam" TargetMode="External"/><Relationship Id="rId1161" Type="http://schemas.openxmlformats.org/officeDocument/2006/relationships/hyperlink" Target="https://striking-viking.com/fr-ca/collections/charlemagne" TargetMode="External"/><Relationship Id="rId1162" Type="http://schemas.openxmlformats.org/officeDocument/2006/relationships/hyperlink" Target="https://striking-viking.com/fr-ca/blogs/learn/beard-grooming-tools-for-professional-styling-at-home" TargetMode="External"/><Relationship Id="rId1163" Type="http://schemas.openxmlformats.org/officeDocument/2006/relationships/hyperlink" Target="https://striking-viking.com/fi/products/striking-viking-vanilla-beard-growth-oil-with-biotin-castor-oil-for-fuller-beard-growth" TargetMode="External"/><Relationship Id="rId1164" Type="http://schemas.openxmlformats.org/officeDocument/2006/relationships/hyperlink" Target="https://striking-viking.com/it/products/2x-mustache-wax-comb-set-sandalwood" TargetMode="External"/><Relationship Id="rId1165" Type="http://schemas.openxmlformats.org/officeDocument/2006/relationships/hyperlink" Target="https://striking-viking.com/fi/blogs/learn/41234689-brian-wilson" TargetMode="External"/><Relationship Id="rId1166" Type="http://schemas.openxmlformats.org/officeDocument/2006/relationships/hyperlink" Target="https://striking-viking.com/fr/pages/sign-up" TargetMode="External"/><Relationship Id="rId1167" Type="http://schemas.openxmlformats.org/officeDocument/2006/relationships/hyperlink" Target="https://striking-viking.com/es/blogs/learn/essential-grooming-supplies-for-the-bearded-man" TargetMode="External"/><Relationship Id="rId1168" Type="http://schemas.openxmlformats.org/officeDocument/2006/relationships/hyperlink" Target="https://striking-viking.com/fr-ca/pages/striking-viking-affiliate-program" TargetMode="External"/><Relationship Id="rId1169" Type="http://schemas.openxmlformats.org/officeDocument/2006/relationships/hyperlink" Target="https://striking-viking.com/de/products/pre-shave-ol-manner" TargetMode="External"/><Relationship Id="rId1170" Type="http://schemas.openxmlformats.org/officeDocument/2006/relationships/hyperlink" Target="https://striking-viking.com/fi/blogs/learn/scented-beard-oil-by-striking-viking" TargetMode="External"/><Relationship Id="rId1171" Type="http://schemas.openxmlformats.org/officeDocument/2006/relationships/hyperlink" Target="https://striking-viking.com/de/products/haarfasern-fur-manner" TargetMode="External"/><Relationship Id="rId1172" Type="http://schemas.openxmlformats.org/officeDocument/2006/relationships/hyperlink" Target="https://striking-viking.com/fi/products/striking-viking-terra-sol-beard-balm-for-men-natural-beard-balm-with-shea-butter-jojoba" TargetMode="External"/><Relationship Id="rId1173" Type="http://schemas.openxmlformats.org/officeDocument/2006/relationships/hyperlink" Target="https://striking-viking.com/es/blogs/learn/striking-viking-beard-comb-for-routine-beard-management" TargetMode="External"/><Relationship Id="rId1174" Type="http://schemas.openxmlformats.org/officeDocument/2006/relationships/hyperlink" Target="https://striking-viking.com/sv/products/striking-viking-citrus-beard-balm" TargetMode="External"/><Relationship Id="rId1175" Type="http://schemas.openxmlformats.org/officeDocument/2006/relationships/hyperlink" Target="https://striking-viking.com/fr-ca/products/striking-viking-unscented-beard-oil-and-balm-kit-natural-beard-grooming-set-for-men" TargetMode="External"/><Relationship Id="rId1176" Type="http://schemas.openxmlformats.org/officeDocument/2006/relationships/hyperlink" Target="https://striking-viking.com/es/products/striking-viking-terra-sol-beard-balm-for-men-natural-beard-balm-with-shea-butter-jojoba" TargetMode="External"/><Relationship Id="rId1177" Type="http://schemas.openxmlformats.org/officeDocument/2006/relationships/hyperlink" Target="https://striking-viking.com/es/products/striking-viking-battle-ready-beard-care-kit-with-beard-oils-balms-beard-filler-pen" TargetMode="External"/><Relationship Id="rId1178" Type="http://schemas.openxmlformats.org/officeDocument/2006/relationships/hyperlink" Target="https://striking-viking.com/en-gb/pages/special-discount" TargetMode="External"/><Relationship Id="rId1179" Type="http://schemas.openxmlformats.org/officeDocument/2006/relationships/hyperlink" Target="https://striking-viking.com/de/pages/striking-viking-affiliate-program" TargetMode="External"/><Relationship Id="rId1180" Type="http://schemas.openxmlformats.org/officeDocument/2006/relationships/hyperlink" Target="https://striking-viking.com/fr-ca/products/striking-viking-hybrid-beard-growth-bundle-with-sandalwood-unscented-beard-oils-and-derma-roller" TargetMode="External"/><Relationship Id="rId1181" Type="http://schemas.openxmlformats.org/officeDocument/2006/relationships/hyperlink" Target="https://striking-viking.com/no/products/striking-viking-beard-balm-variety-4-pack-citrus-vanilla-cedarwood-sandalwood" TargetMode="External"/><Relationship Id="rId1182" Type="http://schemas.openxmlformats.org/officeDocument/2006/relationships/hyperlink" Target="https://striking-viking.com/fi/products/striking-viking-hair-styling-powder-for-men-light-hold-vanilla-natural-volume-texture" TargetMode="External"/><Relationship Id="rId1183" Type="http://schemas.openxmlformats.org/officeDocument/2006/relationships/hyperlink" Target="https://striking-viking.com/products/striking-viking-unscented-beard-oil-and-balm-kit-natural-beard-grooming-set-for-men" TargetMode="External"/><Relationship Id="rId1184" Type="http://schemas.openxmlformats.org/officeDocument/2006/relationships/hyperlink" Target="https://striking-viking.com/es/pages/ilm-2025-sign-up" TargetMode="External"/><Relationship Id="rId1185" Type="http://schemas.openxmlformats.org/officeDocument/2006/relationships/hyperlink" Target="https://striking-viking.com/sv/products/striking-viking-beard-balm-variety-4-pack-citrus-vanilla-cedarwood-sandalwood" TargetMode="External"/><Relationship Id="rId1186" Type="http://schemas.openxmlformats.org/officeDocument/2006/relationships/hyperlink" Target="https://striking-viking.com/es/collections/last-chance-bogo-free" TargetMode="External"/><Relationship Id="rId1187" Type="http://schemas.openxmlformats.org/officeDocument/2006/relationships/hyperlink" Target="https://striking-viking.com/fr-ca/products/striking-viking-unscented-after-shave-balm-for-men-soothing-hydration-skin-care" TargetMode="External"/><Relationship Id="rId1188" Type="http://schemas.openxmlformats.org/officeDocument/2006/relationships/hyperlink" Target="https://striking-viking.com/fr/products/striking-viking-beard-growth-power-kit-with-biotin-beard-oil-shampoo-derma-roller" TargetMode="External"/><Relationship Id="rId1189" Type="http://schemas.openxmlformats.org/officeDocument/2006/relationships/hyperlink" Target="https://striking-viking.com/fr-ca/blogs/learn/41241281-the-dude" TargetMode="External"/><Relationship Id="rId1190" Type="http://schemas.openxmlformats.org/officeDocument/2006/relationships/hyperlink" Target="https://striking-viking.com/en-ca/products/striking-viking-vanilla-pre-shave-oil-for-men-smooth-razor-glide-skin-protection" TargetMode="External"/><Relationship Id="rId1191" Type="http://schemas.openxmlformats.org/officeDocument/2006/relationships/hyperlink" Target="https://striking-viking.com/fi/blogs/learn/elevate-your-look-pomade" TargetMode="External"/><Relationship Id="rId1192" Type="http://schemas.openxmlformats.org/officeDocument/2006/relationships/hyperlink" Target="https://striking-viking.com/fr-ca/products/striking-viking-sandalwood-beard-shampoo-for-clean-healthy-soft-beard-care-for-men" TargetMode="External"/><Relationship Id="rId1193" Type="http://schemas.openxmlformats.org/officeDocument/2006/relationships/hyperlink" Target="https://striking-viking.com/en-gb/products/beard-butter-blue-ocean" TargetMode="External"/><Relationship Id="rId1194" Type="http://schemas.openxmlformats.org/officeDocument/2006/relationships/hyperlink" Target="https://striking-viking.com/de/blogs/learn/46928577-tips-to-protect-your-beard-from-the-cold" TargetMode="External"/><Relationship Id="rId1195" Type="http://schemas.openxmlformats.org/officeDocument/2006/relationships/hyperlink" Target="https://striking-viking.com/fr-ca/products/charlemagne-original-hair-pomade-for-men-strong-hold-water-based-styling-pomade-100ml" TargetMode="External"/><Relationship Id="rId1196" Type="http://schemas.openxmlformats.org/officeDocument/2006/relationships/hyperlink" Target="https://striking-viking.com/de/products/gift-card-striking-viking" TargetMode="External"/><Relationship Id="rId1197" Type="http://schemas.openxmlformats.org/officeDocument/2006/relationships/hyperlink" Target="https://striking-viking.com/it/products/striking-viking-beard-growth-mastery-bundle-with-sandalwood-vanilla-biotin-oils-and-derma-roller" TargetMode="External"/><Relationship Id="rId1198" Type="http://schemas.openxmlformats.org/officeDocument/2006/relationships/hyperlink" Target="https://striking-viking.com/it/products/striking-viking-vanilla-after-shave-balm-for-men-soothing-hydration-skin-care" TargetMode="External"/><Relationship Id="rId1199" Type="http://schemas.openxmlformats.org/officeDocument/2006/relationships/hyperlink" Target="https://striking-viking.com/es/blogs/learn/beard-grooming-tools-for-professional-styling-at-home" TargetMode="External"/><Relationship Id="rId1200" Type="http://schemas.openxmlformats.org/officeDocument/2006/relationships/hyperlink" Target="https://striking-viking.com/fr-ca/products/beard-growth-butter-with-biotin-4-oz-blue-ocean" TargetMode="External"/><Relationship Id="rId1201" Type="http://schemas.openxmlformats.org/officeDocument/2006/relationships/hyperlink" Target="https://striking-viking.com/no/products/striking-viking-citrus-beard-oil" TargetMode="External"/><Relationship Id="rId1202" Type="http://schemas.openxmlformats.org/officeDocument/2006/relationships/hyperlink" Target="https://striking-viking.com/es/products/striking-viking-beard-balm-variety-4-pack-citrus-vanilla-cedarwood-sandalwood" TargetMode="External"/><Relationship Id="rId1203" Type="http://schemas.openxmlformats.org/officeDocument/2006/relationships/hyperlink" Target="https://striking-viking.com/it/products/striking-viking-hair-styling-powder-for-men-strong-hold-vanilla-volume-texture" TargetMode="External"/><Relationship Id="rId1204" Type="http://schemas.openxmlformats.org/officeDocument/2006/relationships/hyperlink" Target="https://striking-viking.com/fr-ca/products/striking-viking-sandalwood-after-shave-balm-for-men-soothing-hydration-skin-care" TargetMode="External"/><Relationship Id="rId1205" Type="http://schemas.openxmlformats.org/officeDocument/2006/relationships/hyperlink" Target="https://striking-viking.com/fr/products/striking-viking-vanilla-beard-balm-2-pack-with-natural-organic-ingredients-for-beard-styling" TargetMode="External"/><Relationship Id="rId1206" Type="http://schemas.openxmlformats.org/officeDocument/2006/relationships/hyperlink" Target="https://striking-viking.com/fi/products/2x-mustache-wax-comb-set-sandalwood" TargetMode="External"/><Relationship Id="rId1207" Type="http://schemas.openxmlformats.org/officeDocument/2006/relationships/hyperlink" Target="https://striking-viking.com/fr/pages/beard-filler-pens" TargetMode="External"/><Relationship Id="rId1208" Type="http://schemas.openxmlformats.org/officeDocument/2006/relationships/hyperlink" Target="https://striking-viking.com/en-ca/products/ontaki-facial-hair-grooming-scissors-2-pack-precision-beard-nose-mustache-trimming" TargetMode="External"/><Relationship Id="rId1209" Type="http://schemas.openxmlformats.org/officeDocument/2006/relationships/hyperlink" Target="https://striking-viking.com/es/products/striking-viking-vanilla-beard-growth-kit-with-biotin-oil-0-25mm-derma-roller" TargetMode="External"/><Relationship Id="rId1210" Type="http://schemas.openxmlformats.org/officeDocument/2006/relationships/hyperlink" Target="https://striking-viking.com/fi/products/striking-viking-beard-growth-oil-with-biotin-sandalwood" TargetMode="External"/><Relationship Id="rId1211" Type="http://schemas.openxmlformats.org/officeDocument/2006/relationships/hyperlink" Target="https://striking-viking.com/fr-ca/pages/ilm-2025-sign-up" TargetMode="External"/><Relationship Id="rId1212" Type="http://schemas.openxmlformats.org/officeDocument/2006/relationships/hyperlink" Target="https://striking-viking.com/it/products/striking-viking-beard-shampoo-with-natural-peppermint-eucalyptus-for-refreshing-beard-care" TargetMode="External"/><Relationship Id="rId1213" Type="http://schemas.openxmlformats.org/officeDocument/2006/relationships/hyperlink" Target="https://striking-viking.com/fr/products/striking-viking-tea-tree-biotin-beard-wash-cologne-for-clean-fresh-healthy-beard-care" TargetMode="External"/><Relationship Id="rId1214" Type="http://schemas.openxmlformats.org/officeDocument/2006/relationships/hyperlink" Target="https://striking-viking.com/es/products/striking-viking-sandalwood-wooden-beard-comb-brown" TargetMode="External"/><Relationship Id="rId1215" Type="http://schemas.openxmlformats.org/officeDocument/2006/relationships/hyperlink" Target="https://striking-viking.com/es/blogs/learn/16918829-the-ingredients-and-why-they-matter" TargetMode="External"/><Relationship Id="rId1216" Type="http://schemas.openxmlformats.org/officeDocument/2006/relationships/hyperlink" Target="https://striking-viking.com/es/products/striking-viking-sandalwood-beard-growth-kit-with-biotin-oil-0-25mm-derma-roller" TargetMode="External"/>
</Relationships>
</file>

<file path=xl/worksheets/_rels/sheet32.xml.rels><?xml version="1.0" encoding="UTF-8"?>
<Relationships xmlns="http://schemas.openxmlformats.org/package/2006/relationships"><Relationship Id="rId1" Type="http://schemas.openxmlformats.org/officeDocument/2006/relationships/hyperlink" Target="https://striking-viking.com/collections/best-sellers-grooming-kit" TargetMode="External"/><Relationship Id="rId2" Type="http://schemas.openxmlformats.org/officeDocument/2006/relationships/hyperlink" Target="https://striking-viking.com/pages/become-a-reseller" TargetMode="External"/><Relationship Id="rId3" Type="http://schemas.openxmlformats.org/officeDocument/2006/relationships/hyperlink" Target="https://striking-viking.com/collections/combs-and-brushes" TargetMode="External"/><Relationship Id="rId4" Type="http://schemas.openxmlformats.org/officeDocument/2006/relationships/hyperlink" Target="https://striking-viking.com/collections/sprays" TargetMode="External"/><Relationship Id="rId5" Type="http://schemas.openxmlformats.org/officeDocument/2006/relationships/hyperlink" Target="https://striking-viking.com/collections/beard-care" TargetMode="External"/><Relationship Id="rId6" Type="http://schemas.openxmlformats.org/officeDocument/2006/relationships/hyperlink" Target="https://striking-viking.com/collections/beard-oil" TargetMode="External"/><Relationship Id="rId7" Type="http://schemas.openxmlformats.org/officeDocument/2006/relationships/hyperlink" Target="https://striking-viking.com/collections/after-shave-balm" TargetMode="External"/><Relationship Id="rId8" Type="http://schemas.openxmlformats.org/officeDocument/2006/relationships/hyperlink" Target="https://striking-viking.com/collections/face-body" TargetMode="External"/><Relationship Id="rId9" Type="http://schemas.openxmlformats.org/officeDocument/2006/relationships/hyperlink" Target="https://striking-viking.com/collections/beard-filler-pens" TargetMode="External"/><Relationship Id="rId10" Type="http://schemas.openxmlformats.org/officeDocument/2006/relationships/hyperlink" Target="https://striking-viking.com/collections/tattoo-aftercare" TargetMode="External"/><Relationship Id="rId11" Type="http://schemas.openxmlformats.org/officeDocument/2006/relationships/hyperlink" Target="https://striking-viking.com/collections/scissors-ontaki" TargetMode="External"/><Relationship Id="rId12" Type="http://schemas.openxmlformats.org/officeDocument/2006/relationships/hyperlink" Target="https://striking-viking.com/collections/shaving" TargetMode="External"/><Relationship Id="rId13" Type="http://schemas.openxmlformats.org/officeDocument/2006/relationships/hyperlink" Target="https://striking-viking.com/collections/powders" TargetMode="External"/><Relationship Id="rId14" Type="http://schemas.openxmlformats.org/officeDocument/2006/relationships/hyperlink" Target="https://striking-viking.com/collections/beard-wash" TargetMode="External"/><Relationship Id="rId15" Type="http://schemas.openxmlformats.org/officeDocument/2006/relationships/hyperlink" Target="https://striking-viking.com/blogs/learn/beard-grooming-quintessential-regime-for-the-modern-man" TargetMode="External"/><Relationship Id="rId16" Type="http://schemas.openxmlformats.org/officeDocument/2006/relationships/hyperlink" Target="https://striking-viking.com/es/collections/beard-care" TargetMode="External"/><Relationship Id="rId17" Type="http://schemas.openxmlformats.org/officeDocument/2006/relationships/hyperlink" Target="https://striking-viking.com/es/products/striking-viking-beard-filler-pen-2-pack-waterproof-beard-pen-for-filling-gaps-covering-patches" TargetMode="External"/><Relationship Id="rId18" Type="http://schemas.openxmlformats.org/officeDocument/2006/relationships/hyperlink" Target="https://striking-viking.com/fr/pages/become-a-reseller" TargetMode="External"/><Relationship Id="rId19" Type="http://schemas.openxmlformats.org/officeDocument/2006/relationships/hyperlink" Target="https://striking-viking.com/fr/collections/beard-balm" TargetMode="External"/><Relationship Id="rId20" Type="http://schemas.openxmlformats.org/officeDocument/2006/relationships/hyperlink" Target="https://striking-viking.com/no/collections/shaving" TargetMode="External"/><Relationship Id="rId21" Type="http://schemas.openxmlformats.org/officeDocument/2006/relationships/hyperlink" Target="https://striking-viking.com/it/collections/tattoo-aftercare" TargetMode="External"/><Relationship Id="rId22" Type="http://schemas.openxmlformats.org/officeDocument/2006/relationships/hyperlink" Target="https://striking-viking.com/de/collections/scissors-ontaki" TargetMode="External"/><Relationship Id="rId23" Type="http://schemas.openxmlformats.org/officeDocument/2006/relationships/hyperlink" Target="https://striking-viking.com/es/products/striking-viking-sea-salt-hair-spray-strong-hold-citrus-texture-volume-beach-waves" TargetMode="External"/><Relationship Id="rId24" Type="http://schemas.openxmlformats.org/officeDocument/2006/relationships/hyperlink" Target="https://striking-viking.com/es/collections/combs-and-brushes" TargetMode="External"/><Relationship Id="rId25" Type="http://schemas.openxmlformats.org/officeDocument/2006/relationships/hyperlink" Target="https://striking-viking.com/sv/blogs/learn/beard-grooming-quintessential-regime-for-the-modern-man" TargetMode="External"/><Relationship Id="rId26" Type="http://schemas.openxmlformats.org/officeDocument/2006/relationships/hyperlink" Target="https://striking-viking.com/en-gb/collections/shaving" TargetMode="External"/><Relationship Id="rId27" Type="http://schemas.openxmlformats.org/officeDocument/2006/relationships/hyperlink" Target="https://striking-viking.com/es/collections/beard-wash" TargetMode="External"/><Relationship Id="rId28" Type="http://schemas.openxmlformats.org/officeDocument/2006/relationships/hyperlink" Target="https://striking-viking.com/de/pages/become-a-reseller" TargetMode="External"/><Relationship Id="rId29" Type="http://schemas.openxmlformats.org/officeDocument/2006/relationships/hyperlink" Target="https://striking-viking.com/fr/collections/combs-and-brushes" TargetMode="External"/><Relationship Id="rId30" Type="http://schemas.openxmlformats.org/officeDocument/2006/relationships/hyperlink" Target="https://striking-viking.com/it/collections/combs" TargetMode="External"/><Relationship Id="rId31" Type="http://schemas.openxmlformats.org/officeDocument/2006/relationships/hyperlink" Target="https://striking-viking.com/it/collections/best-sellers-grooming-kit" TargetMode="External"/><Relationship Id="rId32" Type="http://schemas.openxmlformats.org/officeDocument/2006/relationships/hyperlink" Target="https://striking-viking.com/no/collections/tattoo-aftercare" TargetMode="External"/><Relationship Id="rId33" Type="http://schemas.openxmlformats.org/officeDocument/2006/relationships/hyperlink" Target="https://striking-viking.com/no/collections/best-sellers-grooming-kit" TargetMode="External"/><Relationship Id="rId34" Type="http://schemas.openxmlformats.org/officeDocument/2006/relationships/hyperlink" Target="https://striking-viking.com/fi/collections/partavesi" TargetMode="External"/><Relationship Id="rId35" Type="http://schemas.openxmlformats.org/officeDocument/2006/relationships/hyperlink" Target="https://striking-viking.com/es/collections/best-sellers-grooming-kit" TargetMode="External"/><Relationship Id="rId36" Type="http://schemas.openxmlformats.org/officeDocument/2006/relationships/hyperlink" Target="https://striking-viking.com/it/products/striking-viking-beard-filler-pen-2-pack-waterproof-beard-pen-for-filling-gaps-covering-patches" TargetMode="External"/><Relationship Id="rId37" Type="http://schemas.openxmlformats.org/officeDocument/2006/relationships/hyperlink" Target="https://striking-viking.com/sv/collections/powders" TargetMode="External"/><Relationship Id="rId38" Type="http://schemas.openxmlformats.org/officeDocument/2006/relationships/hyperlink" Target="https://striking-viking.com/de/collections/best-sellers-grooming-kit" TargetMode="External"/><Relationship Id="rId39" Type="http://schemas.openxmlformats.org/officeDocument/2006/relationships/hyperlink" Target="https://striking-viking.com/fi/collections/kammat" TargetMode="External"/><Relationship Id="rId40" Type="http://schemas.openxmlformats.org/officeDocument/2006/relationships/hyperlink" Target="https://striking-viking.com/en-ca/collections/beard-care" TargetMode="External"/><Relationship Id="rId41" Type="http://schemas.openxmlformats.org/officeDocument/2006/relationships/hyperlink" Target="https://striking-viking.com/en-ca/collections/beard-filler-pens" TargetMode="External"/><Relationship Id="rId42" Type="http://schemas.openxmlformats.org/officeDocument/2006/relationships/hyperlink" Target="https://striking-viking.com/it" TargetMode="External"/><Relationship Id="rId43" Type="http://schemas.openxmlformats.org/officeDocument/2006/relationships/hyperlink" Target="https://striking-viking.com/sv/collections/brushes" TargetMode="External"/><Relationship Id="rId44" Type="http://schemas.openxmlformats.org/officeDocument/2006/relationships/hyperlink" Target="https://striking-viking.com/de/blogs/learn/beard-grooming-quintessential-regime-for-the-modern-man" TargetMode="External"/><Relationship Id="rId45" Type="http://schemas.openxmlformats.org/officeDocument/2006/relationships/hyperlink" Target="https://striking-viking.com/it/products/striking-viking-beard-kit-caddy-complete-beard-grooming-kit" TargetMode="External"/><Relationship Id="rId46" Type="http://schemas.openxmlformats.org/officeDocument/2006/relationships/hyperlink" Target="https://striking-viking.com/no/collections/beard-oil" TargetMode="External"/><Relationship Id="rId47" Type="http://schemas.openxmlformats.org/officeDocument/2006/relationships/hyperlink" Target="https://striking-viking.com/es/blogs/learn/beard-grooming-quintessential-regime-for-the-modern-man" TargetMode="External"/><Relationship Id="rId48" Type="http://schemas.openxmlformats.org/officeDocument/2006/relationships/hyperlink" Target="https://striking-viking.com/de/blogs/learn/grooming-kit-a-perfect-gift-for-the-modern-man" TargetMode="External"/><Relationship Id="rId49" Type="http://schemas.openxmlformats.org/officeDocument/2006/relationships/hyperlink" Target="https://striking-viking.com/es/blogs/learn/ride-the-wave-striking-viking-sea-salt-spray-for-effortless-men-s-style" TargetMode="External"/><Relationship Id="rId50" Type="http://schemas.openxmlformats.org/officeDocument/2006/relationships/hyperlink" Target="https://striking-viking.com/fi/collections/harjat" TargetMode="External"/><Relationship Id="rId51" Type="http://schemas.openxmlformats.org/officeDocument/2006/relationships/hyperlink" Target="https://striking-viking.com/en-ca/collections/face-body" TargetMode="External"/><Relationship Id="rId52" Type="http://schemas.openxmlformats.org/officeDocument/2006/relationships/hyperlink" Target="https://striking-viking.com/it/collections/beard-balm" TargetMode="External"/><Relationship Id="rId53" Type="http://schemas.openxmlformats.org/officeDocument/2006/relationships/hyperlink" Target="https://striking-viking.com/fr/products/striking-viking-beard-kit-caddy-complete-beard-grooming-kit" TargetMode="External"/><Relationship Id="rId54" Type="http://schemas.openxmlformats.org/officeDocument/2006/relationships/hyperlink" Target="https://striking-viking.com/it/collections/beard-growth-kits" TargetMode="External"/><Relationship Id="rId55" Type="http://schemas.openxmlformats.org/officeDocument/2006/relationships/hyperlink" Target="https://striking-viking.com/it/collections/brushes" TargetMode="External"/><Relationship Id="rId56" Type="http://schemas.openxmlformats.org/officeDocument/2006/relationships/hyperlink" Target="https://striking-viking.com/en-gb/collections/beard-care" TargetMode="External"/><Relationship Id="rId57" Type="http://schemas.openxmlformats.org/officeDocument/2006/relationships/hyperlink" Target="https://striking-viking.com/de/collections/beard-wash" TargetMode="External"/><Relationship Id="rId58" Type="http://schemas.openxmlformats.org/officeDocument/2006/relationships/hyperlink" Target="https://striking-viking.com/fi/collections/shaving" TargetMode="External"/><Relationship Id="rId59" Type="http://schemas.openxmlformats.org/officeDocument/2006/relationships/hyperlink" Target="https://striking-viking.com/sv/collections/beard-wash" TargetMode="External"/><Relationship Id="rId60" Type="http://schemas.openxmlformats.org/officeDocument/2006/relationships/hyperlink" Target="https://striking-viking.com/en-ca/pages/become-a-reseller" TargetMode="External"/><Relationship Id="rId61" Type="http://schemas.openxmlformats.org/officeDocument/2006/relationships/hyperlink" Target="https://striking-viking.com/es/products/striking-viking-blue-ocean-beard-oil-for-men-natural-beard-growth-oil-with-argan-jojoba" TargetMode="External"/><Relationship Id="rId62" Type="http://schemas.openxmlformats.org/officeDocument/2006/relationships/hyperlink" Target="https://striking-viking.com/es/collections/brushes" TargetMode="External"/><Relationship Id="rId63" Type="http://schemas.openxmlformats.org/officeDocument/2006/relationships/hyperlink" Target="https://striking-viking.com/fr/products/striking-viking-beard-filler-pen-2-pack-waterproof-beard-pen-for-filling-gaps-covering-patches" TargetMode="External"/><Relationship Id="rId64" Type="http://schemas.openxmlformats.org/officeDocument/2006/relationships/hyperlink" Target="https://striking-viking.com/fi/blogs/learn/beard-grooming-quintessential-regime-for-the-modern-man" TargetMode="External"/><Relationship Id="rId65" Type="http://schemas.openxmlformats.org/officeDocument/2006/relationships/hyperlink" Target="https://striking-viking.com/fi/collections/sprays" TargetMode="External"/><Relationship Id="rId66" Type="http://schemas.openxmlformats.org/officeDocument/2006/relationships/hyperlink" Target="https://striking-viking.com/fi/collections/parta-oljy" TargetMode="External"/><Relationship Id="rId67" Type="http://schemas.openxmlformats.org/officeDocument/2006/relationships/hyperlink" Target="https://striking-viking.com/es/products/striking-viking-terra-sol-beard-oil-for-men-natural-beard-growth-oil-with-argan-jojoba" TargetMode="External"/><Relationship Id="rId68" Type="http://schemas.openxmlformats.org/officeDocument/2006/relationships/hyperlink" Target="https://striking-viking.com/en-gb/collections/best-sellers-grooming-kit" TargetMode="External"/><Relationship Id="rId69" Type="http://schemas.openxmlformats.org/officeDocument/2006/relationships/hyperlink" Target="https://striking-viking.com/fr/collections/combs" TargetMode="External"/><Relationship Id="rId70" Type="http://schemas.openxmlformats.org/officeDocument/2006/relationships/hyperlink" Target="https://striking-viking.com/es/collections/beard-growth-kits" TargetMode="External"/><Relationship Id="rId71" Type="http://schemas.openxmlformats.org/officeDocument/2006/relationships/hyperlink" Target="https://striking-viking.com/fi/collections/sakset-ontaki" TargetMode="External"/><Relationship Id="rId72" Type="http://schemas.openxmlformats.org/officeDocument/2006/relationships/hyperlink" Target="https://striking-viking.com/it/blogs/learn/ride-the-wave-striking-viking-sea-salt-spray-for-effortless-men-s-style" TargetMode="External"/><Relationship Id="rId73" Type="http://schemas.openxmlformats.org/officeDocument/2006/relationships/hyperlink" Target="https://striking-viking.com/en-ca/collections/tattoo-aftercare" TargetMode="External"/><Relationship Id="rId74" Type="http://schemas.openxmlformats.org/officeDocument/2006/relationships/hyperlink" Target="https://striking-viking.com/de/collections/shaving" TargetMode="External"/><Relationship Id="rId75" Type="http://schemas.openxmlformats.org/officeDocument/2006/relationships/hyperlink" Target="https://striking-viking.com/no/pages/become-a-reseller" TargetMode="External"/><Relationship Id="rId76" Type="http://schemas.openxmlformats.org/officeDocument/2006/relationships/hyperlink" Target="https://striking-viking.com/sv/collections/beard-oil" TargetMode="External"/><Relationship Id="rId77" Type="http://schemas.openxmlformats.org/officeDocument/2006/relationships/hyperlink" Target="https://striking-viking.com/it/collections/beard-butter" TargetMode="External"/><Relationship Id="rId78" Type="http://schemas.openxmlformats.org/officeDocument/2006/relationships/hyperlink" Target="https://striking-viking.com/fr/collections/bundles" TargetMode="External"/><Relationship Id="rId79" Type="http://schemas.openxmlformats.org/officeDocument/2006/relationships/hyperlink" Target="https://striking-viking.com/de/collections/brushes" TargetMode="External"/><Relationship Id="rId80" Type="http://schemas.openxmlformats.org/officeDocument/2006/relationships/hyperlink" Target="https://striking-viking.com/products/striking-viking-terra-sol-beard-oil-for-men-natural-beard-growth-oil-with-argan-jojoba" TargetMode="External"/><Relationship Id="rId81" Type="http://schemas.openxmlformats.org/officeDocument/2006/relationships/hyperlink" Target="https://striking-viking.com/en-ca/collections/after-shave-balm" TargetMode="External"/><Relationship Id="rId82" Type="http://schemas.openxmlformats.org/officeDocument/2006/relationships/hyperlink" Target="https://striking-viking.com/en-gb/collections/beard-wash" TargetMode="External"/><Relationship Id="rId83" Type="http://schemas.openxmlformats.org/officeDocument/2006/relationships/hyperlink" Target="https://striking-viking.com/fi/collections/tattoo-aftercare" TargetMode="External"/><Relationship Id="rId84" Type="http://schemas.openxmlformats.org/officeDocument/2006/relationships/hyperlink" Target="https://striking-viking.com/fr/collections/tattoo-aftercare" TargetMode="External"/><Relationship Id="rId85" Type="http://schemas.openxmlformats.org/officeDocument/2006/relationships/hyperlink" Target="https://striking-viking.com/it/products/striking-viking-sea-salt-hair-spray-strong-hold-citrus-texture-volume-beach-waves" TargetMode="External"/><Relationship Id="rId86" Type="http://schemas.openxmlformats.org/officeDocument/2006/relationships/hyperlink" Target="https://striking-viking.com/de/products/bartfullstift" TargetMode="External"/><Relationship Id="rId87" Type="http://schemas.openxmlformats.org/officeDocument/2006/relationships/hyperlink" Target="https://striking-viking.com/sv/collections/sprays" TargetMode="External"/><Relationship Id="rId88" Type="http://schemas.openxmlformats.org/officeDocument/2006/relationships/hyperlink" Target="https://striking-viking.com/en-gb/collections/tattoo-aftercare" TargetMode="External"/><Relationship Id="rId89" Type="http://schemas.openxmlformats.org/officeDocument/2006/relationships/hyperlink" Target="https://striking-viking.com/fr/collections/sprays" TargetMode="External"/><Relationship Id="rId90" Type="http://schemas.openxmlformats.org/officeDocument/2006/relationships/hyperlink" Target="https://striking-viking.com/fr/collections/beard-filler-pens" TargetMode="External"/><Relationship Id="rId91" Type="http://schemas.openxmlformats.org/officeDocument/2006/relationships/hyperlink" Target="https://striking-viking.com/sv/collections/scissors-ontaki" TargetMode="External"/><Relationship Id="rId92" Type="http://schemas.openxmlformats.org/officeDocument/2006/relationships/hyperlink" Target="https://striking-viking.com/it/pages/become-a-reseller" TargetMode="External"/><Relationship Id="rId93" Type="http://schemas.openxmlformats.org/officeDocument/2006/relationships/hyperlink" Target="https://striking-viking.com/no/collections/powders" TargetMode="External"/><Relationship Id="rId94" Type="http://schemas.openxmlformats.org/officeDocument/2006/relationships/hyperlink" Target="https://striking-viking.com/en-ca/collections/scissors-ontaki" TargetMode="External"/><Relationship Id="rId95" Type="http://schemas.openxmlformats.org/officeDocument/2006/relationships/hyperlink" Target="https://striking-viking.com/it/collections/bundles" TargetMode="External"/><Relationship Id="rId96" Type="http://schemas.openxmlformats.org/officeDocument/2006/relationships/hyperlink" Target="https://striking-viking.com/de/collections/after-shave-balm" TargetMode="External"/><Relationship Id="rId97" Type="http://schemas.openxmlformats.org/officeDocument/2006/relationships/hyperlink" Target="https://striking-viking.com/en-ca/collections/sprays" TargetMode="External"/><Relationship Id="rId98" Type="http://schemas.openxmlformats.org/officeDocument/2006/relationships/hyperlink" Target="https://striking-viking.com/fi/collections/pakkaukset" TargetMode="External"/><Relationship Id="rId99" Type="http://schemas.openxmlformats.org/officeDocument/2006/relationships/hyperlink" Target="https://striking-viking.com/no/collections/after-shave-balm" TargetMode="External"/><Relationship Id="rId100" Type="http://schemas.openxmlformats.org/officeDocument/2006/relationships/hyperlink" Target="https://striking-viking.com/en-gb/collections/scissors-ontaki" TargetMode="External"/><Relationship Id="rId101" Type="http://schemas.openxmlformats.org/officeDocument/2006/relationships/hyperlink" Target="https://striking-viking.com/sv/collections/combs-and-brushes" TargetMode="External"/><Relationship Id="rId102" Type="http://schemas.openxmlformats.org/officeDocument/2006/relationships/hyperlink" Target="https://striking-viking.com/sv/collections/beard-care" TargetMode="External"/><Relationship Id="rId103" Type="http://schemas.openxmlformats.org/officeDocument/2006/relationships/hyperlink" Target="https://striking-viking.com/es/collections/bundles" TargetMode="External"/><Relationship Id="rId104" Type="http://schemas.openxmlformats.org/officeDocument/2006/relationships/hyperlink" Target="https://striking-viking.com/fr/collections/beard-butter" TargetMode="External"/><Relationship Id="rId105" Type="http://schemas.openxmlformats.org/officeDocument/2006/relationships/hyperlink" Target="https://striking-viking.com/de/collections/bundles" TargetMode="External"/><Relationship Id="rId106" Type="http://schemas.openxmlformats.org/officeDocument/2006/relationships/hyperlink" Target="https://striking-viking.com/fr/blogs/learn/ride-the-wave-striking-viking-sea-salt-spray-for-effortless-men-s-style" TargetMode="External"/><Relationship Id="rId107" Type="http://schemas.openxmlformats.org/officeDocument/2006/relationships/hyperlink" Target="https://striking-viking.com/fr/products/striking-viking-sea-salt-hair-spray-strong-hold-citrus-texture-volume-beach-waves" TargetMode="External"/><Relationship Id="rId108" Type="http://schemas.openxmlformats.org/officeDocument/2006/relationships/hyperlink" Target="https://striking-viking.com/en-gb/collections/combs-and-brushes" TargetMode="External"/><Relationship Id="rId109" Type="http://schemas.openxmlformats.org/officeDocument/2006/relationships/hyperlink" Target="https://striking-viking.com/en-gb/collections/beard-filler-pens" TargetMode="External"/><Relationship Id="rId110" Type="http://schemas.openxmlformats.org/officeDocument/2006/relationships/hyperlink" Target="https://striking-viking.com/en-ca/collections/shaving" TargetMode="External"/><Relationship Id="rId111" Type="http://schemas.openxmlformats.org/officeDocument/2006/relationships/hyperlink" Target="https://striking-viking.com/fr/collections/beard-care" TargetMode="External"/><Relationship Id="rId112" Type="http://schemas.openxmlformats.org/officeDocument/2006/relationships/hyperlink" Target="https://striking-viking.com/no/collections/combs-and-brushes" TargetMode="External"/><Relationship Id="rId113" Type="http://schemas.openxmlformats.org/officeDocument/2006/relationships/hyperlink" Target="https://striking-viking.com/en-ca/collections/best-sellers-grooming-kit" TargetMode="External"/><Relationship Id="rId114" Type="http://schemas.openxmlformats.org/officeDocument/2006/relationships/hyperlink" Target="https://striking-viking.com/es/collections/beard-filler-pens" TargetMode="External"/><Relationship Id="rId115" Type="http://schemas.openxmlformats.org/officeDocument/2006/relationships/hyperlink" Target="https://striking-viking.com/es/collections/tattoo-aftercare" TargetMode="External"/><Relationship Id="rId116" Type="http://schemas.openxmlformats.org/officeDocument/2006/relationships/hyperlink" Target="https://striking-viking.com/it/collections/powders" TargetMode="External"/><Relationship Id="rId117" Type="http://schemas.openxmlformats.org/officeDocument/2006/relationships/hyperlink" Target="https://striking-viking.com/de/collections/combs-and-brushes" TargetMode="External"/><Relationship Id="rId118" Type="http://schemas.openxmlformats.org/officeDocument/2006/relationships/hyperlink" Target="https://striking-viking.com/no/blogs/learn/beard-grooming-quintessential-regime-for-the-modern-man" TargetMode="External"/><Relationship Id="rId119" Type="http://schemas.openxmlformats.org/officeDocument/2006/relationships/hyperlink" Target="https://striking-viking.com/es/collections/powders" TargetMode="External"/><Relationship Id="rId120" Type="http://schemas.openxmlformats.org/officeDocument/2006/relationships/hyperlink" Target="https://striking-viking.com/en-gb/collections/beard-oil" TargetMode="External"/><Relationship Id="rId121" Type="http://schemas.openxmlformats.org/officeDocument/2006/relationships/hyperlink" Target="https://striking-viking.com/en-gb/collections/face-body" TargetMode="External"/><Relationship Id="rId122" Type="http://schemas.openxmlformats.org/officeDocument/2006/relationships/hyperlink" Target="https://striking-viking.com/es/collections/shaving" TargetMode="External"/><Relationship Id="rId123" Type="http://schemas.openxmlformats.org/officeDocument/2006/relationships/hyperlink" Target="https://striking-viking.com/it/collections/shaving" TargetMode="External"/><Relationship Id="rId124" Type="http://schemas.openxmlformats.org/officeDocument/2006/relationships/hyperlink" Target="https://striking-viking.com/fr/collections/scissors-ontaki" TargetMode="External"/><Relationship Id="rId125" Type="http://schemas.openxmlformats.org/officeDocument/2006/relationships/hyperlink" Target="https://striking-viking.com/it/collections/beard-wash" TargetMode="External"/><Relationship Id="rId126" Type="http://schemas.openxmlformats.org/officeDocument/2006/relationships/hyperlink" Target="https://striking-viking.com/fr/blogs/learn/grooming-kit-a-perfect-gift-for-the-modern-man" TargetMode="External"/><Relationship Id="rId127" Type="http://schemas.openxmlformats.org/officeDocument/2006/relationships/hyperlink" Target="https://striking-viking.com/es/products/striking-viking-bergamot-thunder-beard-balm-for-men-natural-beard-balm-with-shea-butter" TargetMode="External"/><Relationship Id="rId128" Type="http://schemas.openxmlformats.org/officeDocument/2006/relationships/hyperlink" Target="https://striking-viking.com/fr/collections/brushes" TargetMode="External"/><Relationship Id="rId129" Type="http://schemas.openxmlformats.org/officeDocument/2006/relationships/hyperlink" Target="https://striking-viking.com/fi/collections/partakarvakasvupaketit" TargetMode="External"/><Relationship Id="rId130" Type="http://schemas.openxmlformats.org/officeDocument/2006/relationships/hyperlink" Target="https://striking-viking.com/en-gb/pages/become-a-reseller" TargetMode="External"/><Relationship Id="rId131" Type="http://schemas.openxmlformats.org/officeDocument/2006/relationships/hyperlink" Target="https://striking-viking.com/es/collections/combs" TargetMode="External"/><Relationship Id="rId132" Type="http://schemas.openxmlformats.org/officeDocument/2006/relationships/hyperlink" Target="https://striking-viking.com/de/collections/powders" TargetMode="External"/><Relationship Id="rId133" Type="http://schemas.openxmlformats.org/officeDocument/2006/relationships/hyperlink" Target="https://striking-viking.com/es/collections/beard-balm" TargetMode="External"/><Relationship Id="rId134" Type="http://schemas.openxmlformats.org/officeDocument/2006/relationships/hyperlink" Target="https://striking-viking.com/fr/collections/beard-growth-kits" TargetMode="External"/><Relationship Id="rId135" Type="http://schemas.openxmlformats.org/officeDocument/2006/relationships/hyperlink" Target="https://striking-viking.com/it/collections/beard-filler-pens" TargetMode="External"/><Relationship Id="rId136" Type="http://schemas.openxmlformats.org/officeDocument/2006/relationships/hyperlink" Target="https://striking-viking.com/no/collections/scissors-ontaki" TargetMode="External"/><Relationship Id="rId137" Type="http://schemas.openxmlformats.org/officeDocument/2006/relationships/hyperlink" Target="https://striking-viking.com/es/pages/become-a-reseller" TargetMode="External"/><Relationship Id="rId138" Type="http://schemas.openxmlformats.org/officeDocument/2006/relationships/hyperlink" Target="https://striking-viking.com/fr/collections/beard-oil" TargetMode="External"/><Relationship Id="rId139" Type="http://schemas.openxmlformats.org/officeDocument/2006/relationships/hyperlink" Target="https://striking-viking.com/fi/pages/become-a-reseller" TargetMode="External"/><Relationship Id="rId140" Type="http://schemas.openxmlformats.org/officeDocument/2006/relationships/hyperlink" Target="https://striking-viking.com/sv/pages/become-a-reseller" TargetMode="External"/><Relationship Id="rId141" Type="http://schemas.openxmlformats.org/officeDocument/2006/relationships/hyperlink" Target="https://striking-viking.com/fi/products/striking-viking-beard-kit-caddy-complete-beard-grooming-kit" TargetMode="External"/><Relationship Id="rId142" Type="http://schemas.openxmlformats.org/officeDocument/2006/relationships/hyperlink" Target="https://striking-viking.com/fi/collections/after-shave-balm" TargetMode="External"/><Relationship Id="rId143" Type="http://schemas.openxmlformats.org/officeDocument/2006/relationships/hyperlink" Target="https://striking-viking.com/fr/collections/beard-wash" TargetMode="External"/><Relationship Id="rId144" Type="http://schemas.openxmlformats.org/officeDocument/2006/relationships/hyperlink" Target="https://striking-viking.com/en-ca/collections/beard-oil" TargetMode="External"/><Relationship Id="rId145" Type="http://schemas.openxmlformats.org/officeDocument/2006/relationships/hyperlink" Target="https://striking-viking.com/fi/products/striking-viking-bergamot-thunder-beard-balm-for-men-natural-beard-balm-with-shea-butter" TargetMode="External"/><Relationship Id="rId146" Type="http://schemas.openxmlformats.org/officeDocument/2006/relationships/hyperlink" Target="https://striking-viking.com/fr/collections/after-shave-balm" TargetMode="External"/><Relationship Id="rId147" Type="http://schemas.openxmlformats.org/officeDocument/2006/relationships/hyperlink" Target="https://striking-viking.com/no/collections/sprays" TargetMode="External"/><Relationship Id="rId148" Type="http://schemas.openxmlformats.org/officeDocument/2006/relationships/hyperlink" Target="https://striking-viking.com/de/collections/tattoo-aftercare" TargetMode="External"/><Relationship Id="rId149" Type="http://schemas.openxmlformats.org/officeDocument/2006/relationships/hyperlink" Target="https://striking-viking.com/no/collections/beard-wash" TargetMode="External"/><Relationship Id="rId150" Type="http://schemas.openxmlformats.org/officeDocument/2006/relationships/hyperlink" Target="https://striking-viking.com/es/collections/beard-oil" TargetMode="External"/><Relationship Id="rId151" Type="http://schemas.openxmlformats.org/officeDocument/2006/relationships/hyperlink" Target="https://striking-viking.com/es/collections/scissors-ontaki" TargetMode="External"/><Relationship Id="rId152" Type="http://schemas.openxmlformats.org/officeDocument/2006/relationships/hyperlink" Target="https://striking-viking.com/sv/collections/best-sellers-grooming-kit" TargetMode="External"/><Relationship Id="rId153" Type="http://schemas.openxmlformats.org/officeDocument/2006/relationships/hyperlink" Target="https://striking-viking.com/it/collections/beard-oil" TargetMode="External"/><Relationship Id="rId154" Type="http://schemas.openxmlformats.org/officeDocument/2006/relationships/hyperlink" Target="https://striking-viking.com/fr/collections/powders" TargetMode="External"/><Relationship Id="rId155" Type="http://schemas.openxmlformats.org/officeDocument/2006/relationships/hyperlink" Target="https://striking-viking.com/en-ca/collections/beard-wash" TargetMode="External"/><Relationship Id="rId156" Type="http://schemas.openxmlformats.org/officeDocument/2006/relationships/hyperlink" Target="https://striking-viking.com/es/products/striking-viking-beard-kit-caddy-complete-beard-grooming-kit" TargetMode="External"/><Relationship Id="rId157" Type="http://schemas.openxmlformats.org/officeDocument/2006/relationships/hyperlink" Target="https://striking-viking.com/fr/products/striking-viking-beard-grooming-kit-with-toiletry-bag-8-piece-mens-grooming-set" TargetMode="External"/><Relationship Id="rId158" Type="http://schemas.openxmlformats.org/officeDocument/2006/relationships/hyperlink" Target="https://striking-viking.com/fi/collections/jauheet" TargetMode="External"/><Relationship Id="rId159" Type="http://schemas.openxmlformats.org/officeDocument/2006/relationships/hyperlink" Target="https://striking-viking.com/en-ca/products/striking-viking-terra-sol-beard-oil-for-men-natural-beard-growth-oil-with-argan-jojoba" TargetMode="External"/><Relationship Id="rId160" Type="http://schemas.openxmlformats.org/officeDocument/2006/relationships/hyperlink" Target="https://striking-viking.com/de/collections/sprays" TargetMode="External"/><Relationship Id="rId161" Type="http://schemas.openxmlformats.org/officeDocument/2006/relationships/hyperlink" Target="https://striking-viking.com/es/blogs/learn/grooming-kit-a-perfect-gift-for-the-modern-man" TargetMode="External"/><Relationship Id="rId162" Type="http://schemas.openxmlformats.org/officeDocument/2006/relationships/hyperlink" Target="https://striking-viking.com/no/collections/brushes" TargetMode="External"/><Relationship Id="rId163" Type="http://schemas.openxmlformats.org/officeDocument/2006/relationships/hyperlink" Target="https://striking-viking.com/en-ca/collections/powders" TargetMode="External"/><Relationship Id="rId164" Type="http://schemas.openxmlformats.org/officeDocument/2006/relationships/hyperlink" Target="https://striking-viking.com/es/products/striking-viking-mustache-wax-and-comb-kit" TargetMode="External"/><Relationship Id="rId165" Type="http://schemas.openxmlformats.org/officeDocument/2006/relationships/hyperlink" Target="https://striking-viking.com/fr/collections/best-sellers-grooming-kit" TargetMode="External"/><Relationship Id="rId166" Type="http://schemas.openxmlformats.org/officeDocument/2006/relationships/hyperlink" Target="https://striking-viking.com/fr/blogs/learn/beard-grooming-quintessential-regime-for-the-modern-man" TargetMode="External"/><Relationship Id="rId167" Type="http://schemas.openxmlformats.org/officeDocument/2006/relationships/hyperlink" Target="https://striking-viking.com/es/collections/after-shave-balm" TargetMode="External"/><Relationship Id="rId168" Type="http://schemas.openxmlformats.org/officeDocument/2006/relationships/hyperlink" Target="https://striking-viking.com/it/collections/after-shave-balm" TargetMode="External"/><Relationship Id="rId169" Type="http://schemas.openxmlformats.org/officeDocument/2006/relationships/hyperlink" Target="https://striking-viking.com/fr/collections/shaving" TargetMode="External"/><Relationship Id="rId170" Type="http://schemas.openxmlformats.org/officeDocument/2006/relationships/hyperlink" Target="https://striking-viking.com/fi/collections/kammat-ja-harjat" TargetMode="External"/><Relationship Id="rId171" Type="http://schemas.openxmlformats.org/officeDocument/2006/relationships/hyperlink" Target="https://striking-viking.com/fi/collections/parta-ja-hiusten-hoito" TargetMode="External"/><Relationship Id="rId172" Type="http://schemas.openxmlformats.org/officeDocument/2006/relationships/hyperlink" Target="https://striking-viking.com/en-gb/collections/powders" TargetMode="External"/><Relationship Id="rId173" Type="http://schemas.openxmlformats.org/officeDocument/2006/relationships/hyperlink" Target="https://striking-viking.com/no/collections/beard-care" TargetMode="External"/><Relationship Id="rId174" Type="http://schemas.openxmlformats.org/officeDocument/2006/relationships/hyperlink" Target="https://striking-viking.com/fi/products/striking-viking-blue-ocean-beard-oil-for-men-natural-beard-growth-oil-with-argan-jojoba" TargetMode="External"/><Relationship Id="rId175" Type="http://schemas.openxmlformats.org/officeDocument/2006/relationships/hyperlink" Target="https://striking-viking.com/en-ca/collections/combs-and-brushes" TargetMode="External"/><Relationship Id="rId176" Type="http://schemas.openxmlformats.org/officeDocument/2006/relationships/hyperlink" Target="https://striking-viking.com/en-gb/collections/after-shave-balm" TargetMode="External"/><Relationship Id="rId177" Type="http://schemas.openxmlformats.org/officeDocument/2006/relationships/hyperlink" Target="https://striking-viking.com/it/collections/scissors-ontaki" TargetMode="External"/><Relationship Id="rId178" Type="http://schemas.openxmlformats.org/officeDocument/2006/relationships/hyperlink" Target="https://striking-viking.com/fi/collections/parhaat-myynti-hoitotarvikkeet" TargetMode="External"/><Relationship Id="rId179" Type="http://schemas.openxmlformats.org/officeDocument/2006/relationships/hyperlink" Target="https://striking-viking.com/fr/collections/face-body" TargetMode="External"/><Relationship Id="rId180" Type="http://schemas.openxmlformats.org/officeDocument/2006/relationships/hyperlink" Target="https://striking-viking.com/es/collections/beard-butter" TargetMode="External"/><Relationship Id="rId181" Type="http://schemas.openxmlformats.org/officeDocument/2006/relationships/hyperlink" Target="https://striking-viking.com/de/collections/beard-care" TargetMode="External"/><Relationship Id="rId182" Type="http://schemas.openxmlformats.org/officeDocument/2006/relationships/hyperlink" Target="https://striking-viking.com/es/collections/sprays" TargetMode="External"/><Relationship Id="rId183" Type="http://schemas.openxmlformats.org/officeDocument/2006/relationships/hyperlink" Target="https://striking-viking.com/it/products/striking-viking-bergamot-thunder-beard-balm-for-men-natural-beard-balm-with-shea-butter" TargetMode="External"/><Relationship Id="rId184" Type="http://schemas.openxmlformats.org/officeDocument/2006/relationships/hyperlink" Target="https://striking-viking.com/sv/collections/after-shave-balm" TargetMode="External"/><Relationship Id="rId185" Type="http://schemas.openxmlformats.org/officeDocument/2006/relationships/hyperlink" Target="https://striking-viking.com/fr/products/striking-viking-mustache-wax-and-comb-kit" TargetMode="External"/><Relationship Id="rId186" Type="http://schemas.openxmlformats.org/officeDocument/2006/relationships/hyperlink" Target="https://striking-viking.com/it/collections/beard-care" TargetMode="External"/><Relationship Id="rId187" Type="http://schemas.openxmlformats.org/officeDocument/2006/relationships/hyperlink" Target="https://striking-viking.com/it/collections/combs-and-brushes" TargetMode="External"/><Relationship Id="rId188" Type="http://schemas.openxmlformats.org/officeDocument/2006/relationships/hyperlink" Target="https://striking-viking.com/sv/collections/shaving" TargetMode="External"/><Relationship Id="rId189" Type="http://schemas.openxmlformats.org/officeDocument/2006/relationships/hyperlink" Target="https://striking-viking.com/it/collections/sprays" TargetMode="External"/><Relationship Id="rId190" Type="http://schemas.openxmlformats.org/officeDocument/2006/relationships/hyperlink" Target="https://striking-viking.com/en-gb/collections/sprays" TargetMode="External"/><Relationship Id="rId191" Type="http://schemas.openxmlformats.org/officeDocument/2006/relationships/hyperlink" Target="https://striking-viking.com/en-ca/blogs/learn/how-to-use-beard-balm-properly-a-complete-guide" TargetMode="External"/><Relationship Id="rId192" Type="http://schemas.openxmlformats.org/officeDocument/2006/relationships/hyperlink" Target="https://striking-viking.com/blogs/learn/how-to-fill-in-a-patchy-beard" TargetMode="External"/><Relationship Id="rId193" Type="http://schemas.openxmlformats.org/officeDocument/2006/relationships/hyperlink" Target="https://striking-viking.com/en-gb/products/striking-viking-blue-ocean-beard-balm-for-men-natural-beard-balm-with-shea-butter-jojoba" TargetMode="External"/><Relationship Id="rId194" Type="http://schemas.openxmlformats.org/officeDocument/2006/relationships/hyperlink" Target="https://striking-viking.com/sv/collections/trending-now" TargetMode="External"/><Relationship Id="rId195" Type="http://schemas.openxmlformats.org/officeDocument/2006/relationships/hyperlink" Target="https://striking-viking.com/sv/blogs/learn/the-ultimate-beard-growth-routine-for-a-thicker-healthier-beard-2026-guide" TargetMode="External"/><Relationship Id="rId196" Type="http://schemas.openxmlformats.org/officeDocument/2006/relationships/hyperlink" Target="https://striking-viking.com/fr/products/striking-viking-tea-tree-biotin-beard-shampoo-conditioner-set-for-healthy-beard-care" TargetMode="External"/><Relationship Id="rId197" Type="http://schemas.openxmlformats.org/officeDocument/2006/relationships/hyperlink" Target="https://striking-viking.com/it/products/striking-viking-boar-bristle-beard-brush-for-men-natural-beech-wood-grooming-brush" TargetMode="External"/><Relationship Id="rId198" Type="http://schemas.openxmlformats.org/officeDocument/2006/relationships/hyperlink" Target="https://striking-viking.com/sv/collections/subscribe-save" TargetMode="External"/><Relationship Id="rId199" Type="http://schemas.openxmlformats.org/officeDocument/2006/relationships/hyperlink" Target="https://striking-viking.com/blogs/learn/how-to-use-beard-balm-properly-a-complete-guide" TargetMode="External"/><Relationship Id="rId200" Type="http://schemas.openxmlformats.org/officeDocument/2006/relationships/hyperlink" Target="https://striking-viking.com/fi/blogs/learn/spring-style-refresh-how-to-update-your-beard-and-hair-for-warmer-weather" TargetMode="External"/><Relationship Id="rId201" Type="http://schemas.openxmlformats.org/officeDocument/2006/relationships/hyperlink" Target="https://striking-viking.com/de/blogs/learn/how-to-use-beard-balm-properly-a-complete-guide" TargetMode="External"/><Relationship Id="rId202" Type="http://schemas.openxmlformats.org/officeDocument/2006/relationships/hyperlink" Target="https://striking-viking.com/products/striking-viking-unscented-after-shave-balm-for-men-soothing-hydration-skin-care" TargetMode="External"/><Relationship Id="rId203" Type="http://schemas.openxmlformats.org/officeDocument/2006/relationships/hyperlink" Target="https://striking-viking.com/no/blogs/learn/the-ultimate-guide-to-tattoo-aftercare-with-striking-viking" TargetMode="External"/><Relationship Id="rId204" Type="http://schemas.openxmlformats.org/officeDocument/2006/relationships/hyperlink" Target="https://striking-viking.com/en-gb/products/ontaki-german-steel-beard-mustache-scissors-professional-grooming-kit" TargetMode="External"/><Relationship Id="rId205" Type="http://schemas.openxmlformats.org/officeDocument/2006/relationships/hyperlink" Target="https://striking-viking.com/fi/collections/parta-perusteet" TargetMode="External"/><Relationship Id="rId206" Type="http://schemas.openxmlformats.org/officeDocument/2006/relationships/hyperlink" Target="https://striking-viking.com/it/blogs/learn/spring-style-refresh-how-to-update-your-beard-and-hair-for-warmer-weather" TargetMode="External"/><Relationship Id="rId207" Type="http://schemas.openxmlformats.org/officeDocument/2006/relationships/hyperlink" Target="https://striking-viking.com/it/products/striking-viking-vanilla-beard-growth-kit-with-biotin-oil-0-25mm-derma-roller" TargetMode="External"/><Relationship Id="rId208" Type="http://schemas.openxmlformats.org/officeDocument/2006/relationships/hyperlink" Target="https://striking-viking.com/en-ca/blogs/learn/beard-grooming-quintessential-regime-for-the-modern-man" TargetMode="External"/><Relationship Id="rId209" Type="http://schemas.openxmlformats.org/officeDocument/2006/relationships/hyperlink" Target="https://striking-viking.com/en-ca/collections/trending-now" TargetMode="External"/><Relationship Id="rId210" Type="http://schemas.openxmlformats.org/officeDocument/2006/relationships/hyperlink" Target="https://striking-viking.com/en-gb/blogs/learn/the-ultimate-beard-growth-routine-for-a-thicker-healthier-beard-2026-guide" TargetMode="External"/><Relationship Id="rId211" Type="http://schemas.openxmlformats.org/officeDocument/2006/relationships/hyperlink" Target="https://striking-viking.com/fi/products/striking-viking-wooden-beard-care-caddy-board-only" TargetMode="External"/><Relationship Id="rId212" Type="http://schemas.openxmlformats.org/officeDocument/2006/relationships/hyperlink" Target="https://striking-viking.com/fr/products/striking-viking-wooden-beard-care-caddy-board-only" TargetMode="External"/><Relationship Id="rId213" Type="http://schemas.openxmlformats.org/officeDocument/2006/relationships/hyperlink" Target="https://striking-viking.com/blogs/learn/16918829-the-ingredients-and-why-they-matter" TargetMode="External"/><Relationship Id="rId214" Type="http://schemas.openxmlformats.org/officeDocument/2006/relationships/hyperlink" Target="https://striking-viking.com/de/products/bartbutter" TargetMode="External"/><Relationship Id="rId215" Type="http://schemas.openxmlformats.org/officeDocument/2006/relationships/hyperlink" Target="https://striking-viking.com/it/blogs/learn/all-you-need-to-know-about-beard-filler-pens" TargetMode="External"/><Relationship Id="rId216" Type="http://schemas.openxmlformats.org/officeDocument/2006/relationships/hyperlink" Target="https://striking-viking.com/no/blogs/learn/spring-style-refresh-how-to-update-your-beard-and-hair-for-warmer-weather" TargetMode="External"/><Relationship Id="rId217" Type="http://schemas.openxmlformats.org/officeDocument/2006/relationships/hyperlink" Target="https://striking-viking.com/no/blogs/learn/how-to-fill-in-a-patchy-beard" TargetMode="External"/><Relationship Id="rId218" Type="http://schemas.openxmlformats.org/officeDocument/2006/relationships/hyperlink" Target="https://striking-viking.com/sv/blogs/learn/how-to-keep-your-tattoos-looking-bold-for-years-the-role-of-tattoo-balms" TargetMode="External"/><Relationship Id="rId219" Type="http://schemas.openxmlformats.org/officeDocument/2006/relationships/hyperlink" Target="https://striking-viking.com/en-gb/products/charlemagne-original-hair-pomade-for-men-strong-hold-water-based-styling-pomade-100ml" TargetMode="External"/><Relationship Id="rId220" Type="http://schemas.openxmlformats.org/officeDocument/2006/relationships/hyperlink" Target="https://striking-viking.com/en-ca/blogs/learn/spring-style-refresh-how-to-update-your-beard-and-hair-for-warmer-weather" TargetMode="External"/><Relationship Id="rId221" Type="http://schemas.openxmlformats.org/officeDocument/2006/relationships/hyperlink" Target="https://striking-viking.com/en-gb/blogs/learn/how-to-fill-in-a-patchy-beard" TargetMode="External"/><Relationship Id="rId222" Type="http://schemas.openxmlformats.org/officeDocument/2006/relationships/hyperlink" Target="https://striking-viking.com/blogs/learn/the-ultimate-beard-growth-routine-for-a-thicker-healthier-beard-2026-guide" TargetMode="External"/><Relationship Id="rId223" Type="http://schemas.openxmlformats.org/officeDocument/2006/relationships/hyperlink" Target="https://striking-viking.com/blogs/learn/beard-grooming-tools-for-professional-styling-at-home" TargetMode="External"/><Relationship Id="rId224" Type="http://schemas.openxmlformats.org/officeDocument/2006/relationships/hyperlink" Target="https://striking-viking.com/en-ca/blogs/learn/how-to-fill-in-a-patchy-beard" TargetMode="External"/><Relationship Id="rId225" Type="http://schemas.openxmlformats.org/officeDocument/2006/relationships/hyperlink" Target="https://striking-viking.com/en-gb/blogs/learn/how-to-use-beard-balm-properly-a-complete-guide" TargetMode="External"/><Relationship Id="rId226" Type="http://schemas.openxmlformats.org/officeDocument/2006/relationships/hyperlink" Target="https://striking-viking.com/sv/blogs/learn/spring-style-refresh-how-to-update-your-beard-and-hair-for-warmer-weather" TargetMode="External"/><Relationship Id="rId227" Type="http://schemas.openxmlformats.org/officeDocument/2006/relationships/hyperlink" Target="https://striking-viking.com/it/products/striking-viking-sandalwood-beard-growth-kit-with-biotin-oil-0-25mm-derma-roller" TargetMode="External"/><Relationship Id="rId228" Type="http://schemas.openxmlformats.org/officeDocument/2006/relationships/hyperlink" Target="https://striking-viking.com/en-gb/products/charlemagne-carbon-wide-tooth-comb-for-men-heat-resistant-carbon-fiber-hair-comb" TargetMode="External"/><Relationship Id="rId229" Type="http://schemas.openxmlformats.org/officeDocument/2006/relationships/hyperlink" Target="https://striking-viking.com/en-gb/blogs/learn/spring-style-refresh-how-to-update-your-beard-and-hair-for-warmer-weather" TargetMode="External"/><Relationship Id="rId230" Type="http://schemas.openxmlformats.org/officeDocument/2006/relationships/hyperlink" Target="https://striking-viking.com/en-ca/collections/featured-products" TargetMode="External"/><Relationship Id="rId231" Type="http://schemas.openxmlformats.org/officeDocument/2006/relationships/hyperlink" Target="https://striking-viking.com/de/products/bartbutter-vanille-1" TargetMode="External"/><Relationship Id="rId232" Type="http://schemas.openxmlformats.org/officeDocument/2006/relationships/hyperlink" Target="https://striking-viking.com/blogs/learn/scented-beard-oil-by-striking-viking" TargetMode="External"/><Relationship Id="rId233" Type="http://schemas.openxmlformats.org/officeDocument/2006/relationships/hyperlink" Target="https://striking-viking.com/en-gb/blogs/learn/beard-grooming-quintessential-regime-for-the-modern-man" TargetMode="External"/><Relationship Id="rId234" Type="http://schemas.openxmlformats.org/officeDocument/2006/relationships/hyperlink" Target="https://striking-viking.com/fi/blogs/learn/the-ultimate-beard-growth-routine-for-a-thicker-healthier-beard-2026-guide" TargetMode="External"/><Relationship Id="rId235" Type="http://schemas.openxmlformats.org/officeDocument/2006/relationships/hyperlink" Target="https://striking-viking.com/it/products/striking-viking-beard-balm-variety-4-pack-citrus-vanilla-cedarwood-sandalwood" TargetMode="External"/><Relationship Id="rId236" Type="http://schemas.openxmlformats.org/officeDocument/2006/relationships/hyperlink" Target="https://striking-viking.com/en-gb/blogs/learn/beard-grooming-tools-for-professional-styling-at-home" TargetMode="External"/><Relationship Id="rId237" Type="http://schemas.openxmlformats.org/officeDocument/2006/relationships/hyperlink" Target="https://striking-viking.com/en-gb/collections/featured-products" TargetMode="External"/><Relationship Id="rId238" Type="http://schemas.openxmlformats.org/officeDocument/2006/relationships/hyperlink" Target="https://striking-viking.com/collections/featured-products" TargetMode="External"/><Relationship Id="rId239" Type="http://schemas.openxmlformats.org/officeDocument/2006/relationships/hyperlink" Target="https://striking-viking.com/blogs/learn/spring-style-refresh-how-to-update-your-beard-and-hair-for-warmer-weather" TargetMode="External"/><Relationship Id="rId240" Type="http://schemas.openxmlformats.org/officeDocument/2006/relationships/hyperlink" Target="https://striking-viking.com/it/blogs/learn/beard-oil-vs-beard-balm-solving-the-modern-problem-for-gentlemen-with-beards" TargetMode="External"/><Relationship Id="rId241" Type="http://schemas.openxmlformats.org/officeDocument/2006/relationships/hyperlink" Target="https://striking-viking.com/es/blogs/learn/the-ultimate-beard-growth-routine-for-a-thicker-healthier-beard-2026-guide" TargetMode="External"/><Relationship Id="rId242" Type="http://schemas.openxmlformats.org/officeDocument/2006/relationships/hyperlink" Target="https://striking-viking.com/products/striking-viking-sandalwood-beard-shampoo-for-clean-healthy-soft-beard-care-for-men" TargetMode="External"/><Relationship Id="rId243" Type="http://schemas.openxmlformats.org/officeDocument/2006/relationships/hyperlink" Target="https://striking-viking.com/en-gb/products/striking-viking-sandalwood-shaving-cream-for-men-rich-lather-for-a-smooth-comfortable-shave" TargetMode="External"/><Relationship Id="rId244" Type="http://schemas.openxmlformats.org/officeDocument/2006/relationships/hyperlink" Target="https://striking-viking.com/de/blogs/learn/the-ultimate-beard-growth-routine-for-a-thicker-healthier-beard-2026-guide" TargetMode="External"/><Relationship Id="rId245" Type="http://schemas.openxmlformats.org/officeDocument/2006/relationships/hyperlink" Target="https://striking-viking.com/sv/collections/featured-products" TargetMode="External"/><Relationship Id="rId246" Type="http://schemas.openxmlformats.org/officeDocument/2006/relationships/hyperlink" Target="https://striking-viking.com/it/blogs/learn/why-your-beard-needs-more-than-just-a-comb" TargetMode="External"/><Relationship Id="rId247" Type="http://schemas.openxmlformats.org/officeDocument/2006/relationships/hyperlink" Target="https://striking-viking.com/es/products/striking-viking-wooden-beard-care-caddy-board-only" TargetMode="External"/><Relationship Id="rId248" Type="http://schemas.openxmlformats.org/officeDocument/2006/relationships/hyperlink" Target="https://striking-viking.com/en-ca/blogs/learn/beard-grooming-tools-for-professional-styling-at-home" TargetMode="External"/><Relationship Id="rId249" Type="http://schemas.openxmlformats.org/officeDocument/2006/relationships/hyperlink" Target="https://striking-viking.com/en-ca/products/striking-viking-terra-sol-beard-balm-for-men-natural-beard-balm-with-shea-butter-jojoba" TargetMode="External"/><Relationship Id="rId250" Type="http://schemas.openxmlformats.org/officeDocument/2006/relationships/hyperlink" Target="https://striking-viking.com/sv/blogs/learn/how-to-use-beard-balm-properly-a-complete-guide" TargetMode="External"/><Relationship Id="rId251" Type="http://schemas.openxmlformats.org/officeDocument/2006/relationships/hyperlink" Target="https://striking-viking.com/fi/blogs/learn/how-to-use-beard-balm-properly-a-complete-guide" TargetMode="External"/><Relationship Id="rId252" Type="http://schemas.openxmlformats.org/officeDocument/2006/relationships/hyperlink" Target="https://striking-viking.com/en-ca/products/striking-viking-sandalwood-beard-shampoo-for-clean-healthy-soft-beard-care-for-men" TargetMode="External"/><Relationship Id="rId253" Type="http://schemas.openxmlformats.org/officeDocument/2006/relationships/hyperlink" Target="https://striking-viking.com/en-gb/products/striking-viking-terra-sol-beard-oil-for-men-natural-beard-growth-oil-with-argan-jojoba" TargetMode="External"/><Relationship Id="rId254" Type="http://schemas.openxmlformats.org/officeDocument/2006/relationships/hyperlink" Target="https://striking-viking.com/it/blogs/learn/heads-shoulders-knees-and-toes-but-why-forget-the-beard" TargetMode="External"/><Relationship Id="rId255" Type="http://schemas.openxmlformats.org/officeDocument/2006/relationships/hyperlink" Target="https://striking-viking.com/fr/products/striking-viking-peppermint-eucalyptus-beard-shampoo-conditioner-set-for-healthy-beard-care" TargetMode="External"/><Relationship Id="rId256" Type="http://schemas.openxmlformats.org/officeDocument/2006/relationships/hyperlink" Target="https://striking-viking.com/no/blogs/learn/how-to-keep-your-tattoos-looking-bold-for-years-the-role-of-tattoo-balms" TargetMode="External"/><Relationship Id="rId257" Type="http://schemas.openxmlformats.org/officeDocument/2006/relationships/hyperlink" Target="https://striking-viking.com/de/blogs/learn/spring-style-refresh-how-to-update-your-beard-and-hair-for-warmer-weather" TargetMode="External"/><Relationship Id="rId258" Type="http://schemas.openxmlformats.org/officeDocument/2006/relationships/hyperlink" Target="https://striking-viking.com/es/blogs/learn/spring-style-refresh-how-to-update-your-beard-and-hair-for-warmer-weather" TargetMode="External"/><Relationship Id="rId259" Type="http://schemas.openxmlformats.org/officeDocument/2006/relationships/hyperlink" Target="https://striking-viking.com/it/collections/subscribe-save" TargetMode="External"/><Relationship Id="rId260" Type="http://schemas.openxmlformats.org/officeDocument/2006/relationships/hyperlink" Target="https://striking-viking.com/it/blogs/learn/beard-grooming-quintessential-regime-for-the-modern-man" TargetMode="External"/><Relationship Id="rId261" Type="http://schemas.openxmlformats.org/officeDocument/2006/relationships/hyperlink" Target="https://striking-viking.com/it/products/striking-viking-wooden-beard-care-caddy-board-only" TargetMode="External"/><Relationship Id="rId262" Type="http://schemas.openxmlformats.org/officeDocument/2006/relationships/hyperlink" Target="https://striking-viking.com/blogs/learn/all-you-need-to-know-about-beard-filler-pens" TargetMode="External"/><Relationship Id="rId263" Type="http://schemas.openxmlformats.org/officeDocument/2006/relationships/hyperlink" Target="https://striking-viking.com/en-gb/blogs/learn/heads-shoulders-knees-and-toes-but-why-forget-the-beard" TargetMode="External"/><Relationship Id="rId264" Type="http://schemas.openxmlformats.org/officeDocument/2006/relationships/hyperlink" Target="https://striking-viking.com/fr/products/beard-growth-balm-with-biotin-2-oz-blue-ocean" TargetMode="External"/><Relationship Id="rId265" Type="http://schemas.openxmlformats.org/officeDocument/2006/relationships/hyperlink" Target="https://striking-viking.com/it/products/striking-viking-folding-wooden-beard-comb-for-men-anti-static-sandalwood-grooming-comb" TargetMode="External"/><Relationship Id="rId266" Type="http://schemas.openxmlformats.org/officeDocument/2006/relationships/hyperlink" Target="https://striking-viking.com/products/ontaki-beard-mustache-scissors-with-finger-rest-5-inch-german-steel-grooming-kit" TargetMode="External"/><Relationship Id="rId267" Type="http://schemas.openxmlformats.org/officeDocument/2006/relationships/hyperlink" Target="https://striking-viking.com/fi/collections/trending-now" TargetMode="External"/><Relationship Id="rId268" Type="http://schemas.openxmlformats.org/officeDocument/2006/relationships/hyperlink" Target="https://striking-viking.com/fi/products/striking-viking-beard-growth-power-kit-with-biotin-beard-oil-shampoo-derma-roller" TargetMode="External"/><Relationship Id="rId269" Type="http://schemas.openxmlformats.org/officeDocument/2006/relationships/hyperlink" Target="https://striking-viking.com/fr/products/striking-viking-biotin-beard-growth-oil-for-men-unscented-beard-growth-serum" TargetMode="External"/><Relationship Id="rId270" Type="http://schemas.openxmlformats.org/officeDocument/2006/relationships/hyperlink" Target="https://striking-viking.com/en-gb/blogs/learn/all-you-need-to-know-about-beard-filler-pens" TargetMode="External"/><Relationship Id="rId271" Type="http://schemas.openxmlformats.org/officeDocument/2006/relationships/hyperlink" Target="https://striking-viking.com/it/products/striking-viking-beard-filler-pen-2-pack-dual-tip-waterproof-beard-pen-for-natural-beard-filling" TargetMode="External"/><Relationship Id="rId272" Type="http://schemas.openxmlformats.org/officeDocument/2006/relationships/hyperlink" Target="https://striking-viking.com/es/blogs/learn/all-you-need-to-know-about-beard-filler-pens" TargetMode="External"/><Relationship Id="rId273" Type="http://schemas.openxmlformats.org/officeDocument/2006/relationships/hyperlink" Target="https://striking-viking.com/products/ontaki-facial-hair-grooming-scissors-2-pack-precision-beard-nose-mustache-trimming" TargetMode="External"/><Relationship Id="rId274" Type="http://schemas.openxmlformats.org/officeDocument/2006/relationships/hyperlink" Target="https://striking-viking.com/fi/blogs/learn/heads-shoulders-knees-and-toes-but-why-forget-the-beard" TargetMode="External"/><Relationship Id="rId275" Type="http://schemas.openxmlformats.org/officeDocument/2006/relationships/hyperlink" Target="https://striking-viking.com/en-ca/products/striking-viking-unscented-after-shave-balm-for-men-soothing-hydration-skin-care" TargetMode="External"/><Relationship Id="rId276" Type="http://schemas.openxmlformats.org/officeDocument/2006/relationships/hyperlink" Target="https://striking-viking.com/products/striking-viking-sandalwood-shaving-cream-for-men-rich-lather-for-a-smooth-comfortable-shave" TargetMode="External"/><Relationship Id="rId277" Type="http://schemas.openxmlformats.org/officeDocument/2006/relationships/hyperlink" Target="https://striking-viking.com/collections/trending-now" TargetMode="External"/><Relationship Id="rId278" Type="http://schemas.openxmlformats.org/officeDocument/2006/relationships/hyperlink" Target="https://striking-viking.com/en-gb/products/striking-viking-unscented-after-shave-balm-for-men-soothing-hydration-skin-care" TargetMode="External"/><Relationship Id="rId279" Type="http://schemas.openxmlformats.org/officeDocument/2006/relationships/hyperlink" Target="https://striking-viking.com/products/striking-viking-terra-sol-beard-balm-for-men-natural-beard-balm-with-shea-butter-jojoba" TargetMode="External"/><Relationship Id="rId280" Type="http://schemas.openxmlformats.org/officeDocument/2006/relationships/hyperlink" Target="https://striking-viking.com/fr/collections/trending-now" TargetMode="External"/><Relationship Id="rId281" Type="http://schemas.openxmlformats.org/officeDocument/2006/relationships/hyperlink" Target="https://striking-viking.com/es/collections/viking-beard-kits" TargetMode="External"/><Relationship Id="rId282" Type="http://schemas.openxmlformats.org/officeDocument/2006/relationships/hyperlink" Target="https://striking-viking.com/fi/blogs/learn/unlock-your-beard-s-full-potential-beard-growth-kits-oils" TargetMode="External"/><Relationship Id="rId283" Type="http://schemas.openxmlformats.org/officeDocument/2006/relationships/hyperlink" Target="https://striking-viking.com/fi/products/striking-viking-sandalwood-beard-growth-kit-with-biotin-oil-0-25mm-derma-roller" TargetMode="External"/><Relationship Id="rId284" Type="http://schemas.openxmlformats.org/officeDocument/2006/relationships/hyperlink" Target="https://striking-viking.com/de/blogs/learn/unlock-your-beard-s-full-potential-beard-growth-kits-oils" TargetMode="External"/><Relationship Id="rId285" Type="http://schemas.openxmlformats.org/officeDocument/2006/relationships/hyperlink" Target="https://striking-viking.com/products/ontaki-professional-thinning-texturizing-scissors-set-6-5-inch-japanese-alloy-steel" TargetMode="External"/><Relationship Id="rId286" Type="http://schemas.openxmlformats.org/officeDocument/2006/relationships/hyperlink" Target="https://striking-viking.com/de/products/bartshampoo-und-spulung" TargetMode="External"/><Relationship Id="rId287" Type="http://schemas.openxmlformats.org/officeDocument/2006/relationships/hyperlink" Target="https://striking-viking.com/products/striking-viking-blue-ocean-beard-balm-for-men-natural-beard-balm-with-shea-butter-jojoba" TargetMode="External"/><Relationship Id="rId288" Type="http://schemas.openxmlformats.org/officeDocument/2006/relationships/hyperlink" Target="https://striking-viking.com/fr/blogs/learn/how-to-keep-your-tattoos-looking-bold-for-years-the-role-of-tattoo-balms" TargetMode="External"/><Relationship Id="rId289" Type="http://schemas.openxmlformats.org/officeDocument/2006/relationships/hyperlink" Target="https://striking-viking.com/fr/products/striking-viking-beard-filler-pen-2-pack-dual-tip-waterproof-beard-pen-for-natural-beard-filling" TargetMode="External"/><Relationship Id="rId290" Type="http://schemas.openxmlformats.org/officeDocument/2006/relationships/hyperlink" Target="https://striking-viking.com/fr/products/striking-viking-boar-bristle-beard-brush-for-men-natural-beech-wood-grooming-brush" TargetMode="External"/><Relationship Id="rId291" Type="http://schemas.openxmlformats.org/officeDocument/2006/relationships/hyperlink" Target="https://striking-viking.com/de/collections/trending-now" TargetMode="External"/><Relationship Id="rId292" Type="http://schemas.openxmlformats.org/officeDocument/2006/relationships/hyperlink" Target="https://striking-viking.com/es/blogs/learn/why-your-beard-needs-more-than-just-a-comb" TargetMode="External"/><Relationship Id="rId293" Type="http://schemas.openxmlformats.org/officeDocument/2006/relationships/hyperlink" Target="https://striking-viking.com/blogs/learn/heads-shoulders-knees-and-toes-but-why-forget-the-beard" TargetMode="External"/><Relationship Id="rId294" Type="http://schemas.openxmlformats.org/officeDocument/2006/relationships/hyperlink" Target="https://striking-viking.com/en-gb/blogs/learn/beard-oil-vs-beard-balm-solving-the-modern-problem-for-gentlemen-with-beards" TargetMode="External"/><Relationship Id="rId295" Type="http://schemas.openxmlformats.org/officeDocument/2006/relationships/hyperlink" Target="https://striking-viking.com/sv/products/striking-viking-unscented-beard-shampoo-conditioner-set-natural-beard-care-for-men" TargetMode="External"/><Relationship Id="rId296" Type="http://schemas.openxmlformats.org/officeDocument/2006/relationships/hyperlink" Target="https://striking-viking.com/products/ontaki-hair-thinning-shears-kit-7-inch-professional-hair-cutting-texturizing-set" TargetMode="External"/><Relationship Id="rId297" Type="http://schemas.openxmlformats.org/officeDocument/2006/relationships/hyperlink" Target="https://striking-viking.com/fr/products/striking-viking-vanilla-beard-growth-kit-with-biotin-oil-0-25mm-derma-roller" TargetMode="External"/><Relationship Id="rId298" Type="http://schemas.openxmlformats.org/officeDocument/2006/relationships/hyperlink" Target="https://striking-viking.com/en-ca/blogs/learn/all-you-need-to-know-about-beard-filler-pens" TargetMode="External"/><Relationship Id="rId299" Type="http://schemas.openxmlformats.org/officeDocument/2006/relationships/hyperlink" Target="https://striking-viking.com/fi/blogs/learn/how-to-keep-your-tattoos-looking-bold-for-years-the-role-of-tattoo-balms" TargetMode="External"/><Relationship Id="rId300" Type="http://schemas.openxmlformats.org/officeDocument/2006/relationships/hyperlink" Target="https://striking-viking.com/products/ontaki-german-steel-beard-mustache-scissors-professional-grooming-kit" TargetMode="External"/><Relationship Id="rId301" Type="http://schemas.openxmlformats.org/officeDocument/2006/relationships/hyperlink" Target="https://striking-viking.com/fr/products/striking-viking-beard-filler-pencil-with-dual-tip-pen-brush-for-natural-beard-styling" TargetMode="External"/><Relationship Id="rId302" Type="http://schemas.openxmlformats.org/officeDocument/2006/relationships/hyperlink" Target="https://striking-viking.com/es/blogs/learn/heads-shoulders-knees-and-toes-but-why-forget-the-beard" TargetMode="External"/><Relationship Id="rId303" Type="http://schemas.openxmlformats.org/officeDocument/2006/relationships/hyperlink" Target="https://striking-viking.com/it/products/striking-viking-beard-shampoo-conditioner-cologne-argan-jojoba-oil" TargetMode="External"/><Relationship Id="rId304" Type="http://schemas.openxmlformats.org/officeDocument/2006/relationships/hyperlink" Target="https://striking-viking.com/fr/products/striking-viking-sandalwood-beard-growth-kit-with-biotin-oil-0-25mm-derma-roller" TargetMode="External"/><Relationship Id="rId305" Type="http://schemas.openxmlformats.org/officeDocument/2006/relationships/hyperlink" Target="https://striking-viking.com/en-gb/products/striking-viking-terra-sol-beard-balm-for-men-natural-beard-balm-with-shea-butter-jojoba" TargetMode="External"/><Relationship Id="rId306" Type="http://schemas.openxmlformats.org/officeDocument/2006/relationships/hyperlink" Target="https://striking-viking.com/en-ca/blogs/learn/beard-oil-vs-beard-balm-solving-the-modern-problem-for-gentlemen-with-beards" TargetMode="External"/><Relationship Id="rId307" Type="http://schemas.openxmlformats.org/officeDocument/2006/relationships/hyperlink" Target="https://striking-viking.com/fr/products/striking-viking-vanilla-beard-oil-balm-kit-for-soft-healthy-beard-care-for-men" TargetMode="External"/><Relationship Id="rId308" Type="http://schemas.openxmlformats.org/officeDocument/2006/relationships/hyperlink" Target="https://striking-viking.com/fi/blogs/learn/all-you-need-to-know-about-beard-filler-pens" TargetMode="External"/><Relationship Id="rId309" Type="http://schemas.openxmlformats.org/officeDocument/2006/relationships/hyperlink" Target="https://striking-viking.com/blogs/learn/beard-oil-vs-beard-balm-solving-the-modern-problem-for-gentlemen-with-beards" TargetMode="External"/><Relationship Id="rId310" Type="http://schemas.openxmlformats.org/officeDocument/2006/relationships/hyperlink" Target="https://striking-viking.com/it/products/striking-viking-beard-filler-pencil-with-dual-tip-pen-brush-for-natural-beard-styling" TargetMode="External"/><Relationship Id="rId311" Type="http://schemas.openxmlformats.org/officeDocument/2006/relationships/hyperlink" Target="https://striking-viking.com/en-gb/collections/trending-now" TargetMode="External"/><Relationship Id="rId312" Type="http://schemas.openxmlformats.org/officeDocument/2006/relationships/hyperlink" Target="https://striking-viking.com/es/blogs/learn/how-to-keep-your-tattoos-looking-bold-for-years-the-role-of-tattoo-balms" TargetMode="External"/><Relationship Id="rId313" Type="http://schemas.openxmlformats.org/officeDocument/2006/relationships/hyperlink" Target="https://striking-viking.com/products/charlemagne-original-hair-pomade-for-men-strong-hold-water-based-styling-pomade-100ml" TargetMode="External"/><Relationship Id="rId314" Type="http://schemas.openxmlformats.org/officeDocument/2006/relationships/hyperlink" Target="https://striking-viking.com/it/blogs/learn/how-to-keep-your-tattoos-looking-bold-for-years-the-role-of-tattoo-balms" TargetMode="External"/><Relationship Id="rId315" Type="http://schemas.openxmlformats.org/officeDocument/2006/relationships/hyperlink" Target="https://striking-viking.com/it/products/striking-viking-vanilla-beard-oil-balm-kit-for-soft-healthy-beard-care-for-men" TargetMode="External"/><Relationship Id="rId316" Type="http://schemas.openxmlformats.org/officeDocument/2006/relationships/hyperlink" Target="https://striking-viking.com/en-ca/products/striking-viking-blue-ocean-beard-balm-for-men-natural-beard-balm-with-shea-butter-jojoba" TargetMode="External"/><Relationship Id="rId317" Type="http://schemas.openxmlformats.org/officeDocument/2006/relationships/hyperlink" Target="https://striking-viking.com/de/products/striking-viking-boar-bristle-beard-brush-for-men-natural-beech-wood-grooming-brush" TargetMode="External"/><Relationship Id="rId318" Type="http://schemas.openxmlformats.org/officeDocument/2006/relationships/hyperlink" Target="https://striking-viking.com/fr/blogs/learn/unlock-your-beard-s-full-potential-beard-growth-kits-oils" TargetMode="External"/><Relationship Id="rId319" Type="http://schemas.openxmlformats.org/officeDocument/2006/relationships/hyperlink" Target="https://striking-viking.com/en-ca/products/charlemagne-carbon-wide-tooth-comb-for-men-heat-resistant-carbon-fiber-hair-comb" TargetMode="External"/><Relationship Id="rId320" Type="http://schemas.openxmlformats.org/officeDocument/2006/relationships/hyperlink" Target="https://striking-viking.com/es/blogs/learn/unlock-your-beard-s-full-potential-beard-growth-kits-oils" TargetMode="External"/><Relationship Id="rId321" Type="http://schemas.openxmlformats.org/officeDocument/2006/relationships/hyperlink" Target="https://striking-viking.com/en-ca/blogs/learn/heads-shoulders-knees-and-toes-but-why-forget-the-beard" TargetMode="External"/><Relationship Id="rId322" Type="http://schemas.openxmlformats.org/officeDocument/2006/relationships/hyperlink" Target="https://striking-viking.com/it/products/striking-viking-bergamot-thunder-beard-oil-for-men-natural-beard-growth-oil-with-argan-jojoba" TargetMode="External"/><Relationship Id="rId323" Type="http://schemas.openxmlformats.org/officeDocument/2006/relationships/hyperlink" Target="https://striking-viking.com/sv/blogs/learn/all-you-need-to-know-about-beard-filler-pens" TargetMode="External"/><Relationship Id="rId324" Type="http://schemas.openxmlformats.org/officeDocument/2006/relationships/hyperlink" Target="https://striking-viking.com/products/ontaki-japanese-steel-beard-hair-scissors-5-5-inch-professional-grooming-shears" TargetMode="External"/><Relationship Id="rId325" Type="http://schemas.openxmlformats.org/officeDocument/2006/relationships/hyperlink" Target="https://striking-viking.com/it/blogs/learn/unlock-your-beard-s-full-potential-beard-growth-kits-oils" TargetMode="External"/><Relationship Id="rId326" Type="http://schemas.openxmlformats.org/officeDocument/2006/relationships/hyperlink" Target="https://striking-viking.com/de/products/striking-viking-beard-filler-pen-2-pack-dual-tip-waterproof-beard-pen-for-natural-beard-filling" TargetMode="External"/><Relationship Id="rId327" Type="http://schemas.openxmlformats.org/officeDocument/2006/relationships/hyperlink" Target="https://striking-viking.com/de/blogs/learn/how-to-keep-your-tattoos-looking-bold-for-years-the-role-of-tattoo-balms" TargetMode="External"/><Relationship Id="rId328" Type="http://schemas.openxmlformats.org/officeDocument/2006/relationships/hyperlink" Target="https://striking-viking.com/it/collections/trending-now" TargetMode="External"/><Relationship Id="rId329" Type="http://schemas.openxmlformats.org/officeDocument/2006/relationships/hyperlink" Target="https://striking-viking.com/products/ontaki-japanese-steel-beard-mustache-scissors-5-5-inch-professional-grooming-kit" TargetMode="External"/><Relationship Id="rId330" Type="http://schemas.openxmlformats.org/officeDocument/2006/relationships/hyperlink" Target="https://striking-viking.com/es/blogs/learn/beard-oil-vs-beard-balm-solving-the-modern-problem-for-gentlemen-with-beards" TargetMode="External"/><Relationship Id="rId331" Type="http://schemas.openxmlformats.org/officeDocument/2006/relationships/hyperlink" Target="https://striking-viking.com/fi/blogs/learn/why-your-beard-needs-more-than-just-a-comb" TargetMode="External"/><Relationship Id="rId332" Type="http://schemas.openxmlformats.org/officeDocument/2006/relationships/hyperlink" Target="https://striking-viking.com/es/collections/trending-now" TargetMode="External"/><Relationship Id="rId333" Type="http://schemas.openxmlformats.org/officeDocument/2006/relationships/hyperlink" Target="https://striking-viking.com/fr/products/striking-viking-beard-balm-variety-4-pack-citrus-vanilla-cedarwood-sandalwood" TargetMode="External"/><Relationship Id="rId334" Type="http://schemas.openxmlformats.org/officeDocument/2006/relationships/hyperlink" Target="https://striking-viking.com/it/products/striking-viking-vanilla-beard-growth-oil-with-biotin-castor-oil-for-fuller-beard-growth" TargetMode="External"/><Relationship Id="rId335" Type="http://schemas.openxmlformats.org/officeDocument/2006/relationships/hyperlink" Target="https://striking-viking.com/products/ontaki-curved-fabric-scissors-6-5-inch-german-stainless-steel-embroidery-scissors" TargetMode="External"/><Relationship Id="rId336" Type="http://schemas.openxmlformats.org/officeDocument/2006/relationships/hyperlink" Target="https://striking-viking.com/products/ontaki-japanese-steel-rounded-tip-beard-mustache-scissors-4-2-inch-grooming-kit" TargetMode="External"/><Relationship Id="rId337" Type="http://schemas.openxmlformats.org/officeDocument/2006/relationships/hyperlink" Target="https://striking-viking.com/sv/blogs/learn/beard-oil-vs-beard-balm-solving-the-modern-problem-for-gentlemen-with-beards" TargetMode="External"/><Relationship Id="rId338" Type="http://schemas.openxmlformats.org/officeDocument/2006/relationships/hyperlink" Target="https://striking-viking.com/fr-ca/collections/sprays" TargetMode="External"/><Relationship Id="rId339" Type="http://schemas.openxmlformats.org/officeDocument/2006/relationships/hyperlink" Target="https://striking-viking.com/fr-ca/collections/beard-butter" TargetMode="External"/><Relationship Id="rId340" Type="http://schemas.openxmlformats.org/officeDocument/2006/relationships/hyperlink" Target="https://striking-viking.com/fr-ca/products/striking-viking-mustache-wax-and-comb-kit" TargetMode="External"/><Relationship Id="rId341" Type="http://schemas.openxmlformats.org/officeDocument/2006/relationships/hyperlink" Target="https://striking-viking.com/fr-ca/collections/bundles" TargetMode="External"/><Relationship Id="rId342" Type="http://schemas.openxmlformats.org/officeDocument/2006/relationships/hyperlink" Target="https://striking-viking.com/fr-ca/collections/shaving" TargetMode="External"/><Relationship Id="rId343" Type="http://schemas.openxmlformats.org/officeDocument/2006/relationships/hyperlink" Target="https://striking-viking.com/fr-ca/collections/combs" TargetMode="External"/><Relationship Id="rId344" Type="http://schemas.openxmlformats.org/officeDocument/2006/relationships/hyperlink" Target="https://striking-viking.com/fr-ca/collections/best-sellers-grooming-kit" TargetMode="External"/><Relationship Id="rId345" Type="http://schemas.openxmlformats.org/officeDocument/2006/relationships/hyperlink" Target="https://striking-viking.com/fr-ca/collections/beard-filler-pens" TargetMode="External"/><Relationship Id="rId346" Type="http://schemas.openxmlformats.org/officeDocument/2006/relationships/hyperlink" Target="https://striking-viking.com/fr-ca/collections/scissors-ontaki" TargetMode="External"/><Relationship Id="rId347" Type="http://schemas.openxmlformats.org/officeDocument/2006/relationships/hyperlink" Target="https://striking-viking.com/fr-ca/collections/beard-wash" TargetMode="External"/><Relationship Id="rId348" Type="http://schemas.openxmlformats.org/officeDocument/2006/relationships/hyperlink" Target="https://striking-viking.com/fr-ca/collections/tattoo-aftercare" TargetMode="External"/><Relationship Id="rId349" Type="http://schemas.openxmlformats.org/officeDocument/2006/relationships/hyperlink" Target="https://striking-viking.com/fr-ca/collections/after-shave-balm" TargetMode="External"/><Relationship Id="rId350" Type="http://schemas.openxmlformats.org/officeDocument/2006/relationships/hyperlink" Target="https://striking-viking.com/fr-ca/collections/face-body" TargetMode="External"/><Relationship Id="rId351" Type="http://schemas.openxmlformats.org/officeDocument/2006/relationships/hyperlink" Target="https://striking-viking.com/fr-ca/collections/combs-and-brushes" TargetMode="External"/><Relationship Id="rId352" Type="http://schemas.openxmlformats.org/officeDocument/2006/relationships/hyperlink" Target="https://striking-viking.com/fr-ca/collections/powders" TargetMode="External"/><Relationship Id="rId353" Type="http://schemas.openxmlformats.org/officeDocument/2006/relationships/hyperlink" Target="https://striking-viking.com/fr-ca/collections/brushes" TargetMode="External"/><Relationship Id="rId354" Type="http://schemas.openxmlformats.org/officeDocument/2006/relationships/hyperlink" Target="https://striking-viking.com/fr-ca/collections/beard-growth-kits" TargetMode="External"/><Relationship Id="rId355" Type="http://schemas.openxmlformats.org/officeDocument/2006/relationships/hyperlink" Target="https://striking-viking.com/fr-ca/pages/become-a-reseller" TargetMode="External"/><Relationship Id="rId356" Type="http://schemas.openxmlformats.org/officeDocument/2006/relationships/hyperlink" Target="https://striking-viking.com/fr-ca/collections/beard-care" TargetMode="External"/><Relationship Id="rId357" Type="http://schemas.openxmlformats.org/officeDocument/2006/relationships/hyperlink" Target="https://striking-viking.com/fr-ca/collections/beard-oil" TargetMode="External"/><Relationship Id="rId358" Type="http://schemas.openxmlformats.org/officeDocument/2006/relationships/hyperlink" Target="https://striking-viking.com/fr-ca/collections/beard-balm" TargetMode="External"/><Relationship Id="rId359" Type="http://schemas.openxmlformats.org/officeDocument/2006/relationships/hyperlink" Target="https://striking-viking.com/fr-ca/products/striking-viking-wooden-beard-care-caddy-board-only" TargetMode="External"/><Relationship Id="rId360" Type="http://schemas.openxmlformats.org/officeDocument/2006/relationships/hyperlink" Target="https://striking-viking.com/fr-ca/products/striking-viking-sea-salt-hair-spray-strong-hold-citrus-texture-volume-beach-waves" TargetMode="External"/><Relationship Id="rId361" Type="http://schemas.openxmlformats.org/officeDocument/2006/relationships/hyperlink" Target="https://striking-viking.com/fr-ca/products/striking-viking-beard-grooming-kit-with-toiletry-bag-8-piece-mens-grooming-set" TargetMode="External"/><Relationship Id="rId362" Type="http://schemas.openxmlformats.org/officeDocument/2006/relationships/hyperlink" Target="https://striking-viking.com/fr-ca/products/striking-viking-beard-filler-pen-2-pack-waterproof-beard-pen-for-filling-gaps-covering-patches" TargetMode="External"/><Relationship Id="rId363" Type="http://schemas.openxmlformats.org/officeDocument/2006/relationships/hyperlink" Target="https://striking-viking.com/fr-ca/products/striking-viking-beard-kit-caddy-complete-beard-grooming-kit" TargetMode="External"/><Relationship Id="rId364" Type="http://schemas.openxmlformats.org/officeDocument/2006/relationships/hyperlink" Target="https://striking-viking.com/fr-ca/blogs/learn/grooming-kit-a-perfect-gift-for-the-modern-man" TargetMode="External"/><Relationship Id="rId365" Type="http://schemas.openxmlformats.org/officeDocument/2006/relationships/hyperlink" Target="https://striking-viking.com/fr-ca/blogs/learn/beard-grooming-quintessential-regime-for-the-modern-man" TargetMode="External"/><Relationship Id="rId366" Type="http://schemas.openxmlformats.org/officeDocument/2006/relationships/hyperlink" Target="https://striking-viking.com/fr-ca/blogs/learn/ride-the-wave-striking-viking-sea-salt-spray-for-effortless-men-s-style" TargetMode="External"/><Relationship Id="rId367" Type="http://schemas.openxmlformats.org/officeDocument/2006/relationships/hyperlink" Target="https://striking-viking.com/fr/blogs/learn/16918829-the-ingredients-and-why-they-matter" TargetMode="External"/><Relationship Id="rId368" Type="http://schemas.openxmlformats.org/officeDocument/2006/relationships/hyperlink" Target="https://striking-viking.com/en-ca/products/ontaki-japanese-steel-beard-hair-scissors-5-5-inch-professional-grooming-shears" TargetMode="External"/><Relationship Id="rId369" Type="http://schemas.openxmlformats.org/officeDocument/2006/relationships/hyperlink" Target="https://striking-viking.com/fi/products/striking-viking-unscented-beard-oil-and-balm-kit-natural-beard-grooming-set-for-men" TargetMode="External"/><Relationship Id="rId370" Type="http://schemas.openxmlformats.org/officeDocument/2006/relationships/hyperlink" Target="https://striking-viking.com/it/products/striking-viking-beard-growth-kit-with-beard-roller-vanilla-unscented-biotin-oils-for-men" TargetMode="External"/><Relationship Id="rId371" Type="http://schemas.openxmlformats.org/officeDocument/2006/relationships/hyperlink" Target="https://striking-viking.com/no/products/striking-viking-sandalwood-beard-balm" TargetMode="External"/><Relationship Id="rId372" Type="http://schemas.openxmlformats.org/officeDocument/2006/relationships/hyperlink" Target="https://striking-viking.com/fr-ca/products/striking-viking-sandalwood-shaving-cream-for-men-rich-lather-for-a-smooth-comfortable-shave" TargetMode="External"/><Relationship Id="rId373" Type="http://schemas.openxmlformats.org/officeDocument/2006/relationships/hyperlink" Target="https://striking-viking.com/de/products/ontaki-curved-fabric-scissors-6-5-inch-german-stainless-steel-embroidery-scissors" TargetMode="External"/><Relationship Id="rId374" Type="http://schemas.openxmlformats.org/officeDocument/2006/relationships/hyperlink" Target="https://striking-viking.com/fr-ca/products/striking-viking-peppermint-eucalyptus-beard-shampoo-conditioner-set-for-healthy-beard-care" TargetMode="External"/><Relationship Id="rId375" Type="http://schemas.openxmlformats.org/officeDocument/2006/relationships/hyperlink" Target="https://striking-viking.com/de/blogs/learn/41241281-the-dude" TargetMode="External"/><Relationship Id="rId376" Type="http://schemas.openxmlformats.org/officeDocument/2006/relationships/hyperlink" Target="https://striking-viking.com/en-gb/blogs/learn/41234689-brian-wilson" TargetMode="External"/><Relationship Id="rId377" Type="http://schemas.openxmlformats.org/officeDocument/2006/relationships/hyperlink" Target="https://striking-viking.com/fi/products/ontaki-curved-fabric-scissors-6-5-inch-german-stainless-steel-embroidery-scissors" TargetMode="External"/><Relationship Id="rId378" Type="http://schemas.openxmlformats.org/officeDocument/2006/relationships/hyperlink" Target="https://striking-viking.com/es/products/striking-viking-tea-tree-biotin-beard-wash-cologne-for-clean-fresh-healthy-beard-care" TargetMode="External"/><Relationship Id="rId379" Type="http://schemas.openxmlformats.org/officeDocument/2006/relationships/hyperlink" Target="https://striking-viking.com/es/pages/beard-filler-pens" TargetMode="External"/><Relationship Id="rId380" Type="http://schemas.openxmlformats.org/officeDocument/2006/relationships/hyperlink" Target="https://striking-viking.com/fr/products/striking-viking-beard-growth-mastery-bundle-with-sandalwood-vanilla-biotin-oils-and-derma-roller" TargetMode="External"/><Relationship Id="rId381" Type="http://schemas.openxmlformats.org/officeDocument/2006/relationships/hyperlink" Target="https://striking-viking.com/es/products/striking-viking-unscented-after-shave-balm-for-men-soothing-hydration-skin-care" TargetMode="External"/><Relationship Id="rId382" Type="http://schemas.openxmlformats.org/officeDocument/2006/relationships/hyperlink" Target="https://striking-viking.com/fr-ca/blogs/learn/how-to-use-beard-balm-properly-a-complete-guide" TargetMode="External"/><Relationship Id="rId383" Type="http://schemas.openxmlformats.org/officeDocument/2006/relationships/hyperlink" Target="https://striking-viking.com/no/collections/featured-products" TargetMode="External"/><Relationship Id="rId384" Type="http://schemas.openxmlformats.org/officeDocument/2006/relationships/hyperlink" Target="https://striking-viking.com/es/products/charlemagne-round-hair-brush-for-men-professional-styling-brush-for-volume-blow-drying" TargetMode="External"/><Relationship Id="rId385" Type="http://schemas.openxmlformats.org/officeDocument/2006/relationships/hyperlink" Target="https://striking-viking.com/no/products/ontaki-curved-fabric-scissors-6-5-inch-german-stainless-steel-embroidery-scissors" TargetMode="External"/><Relationship Id="rId386" Type="http://schemas.openxmlformats.org/officeDocument/2006/relationships/hyperlink" Target="https://striking-viking.com/fr-ca/blogs/learn/striking-viking-beard-comb-for-routine-beard-management" TargetMode="External"/><Relationship Id="rId387" Type="http://schemas.openxmlformats.org/officeDocument/2006/relationships/hyperlink" Target="https://striking-viking.com/fi/products/striking-viking-beard-balm-variety-4-pack-citrus-vanilla-cedarwood-sandalwood" TargetMode="External"/><Relationship Id="rId388" Type="http://schemas.openxmlformats.org/officeDocument/2006/relationships/hyperlink" Target="https://striking-viking.com/it/collections/beard-essentials" TargetMode="External"/><Relationship Id="rId389" Type="http://schemas.openxmlformats.org/officeDocument/2006/relationships/hyperlink" Target="https://striking-viking.com/fr-ca/products/striking-viking-vanilla-beard-oil-with-natural-organic-oils-for-soft-healthy-beard-care" TargetMode="External"/><Relationship Id="rId390" Type="http://schemas.openxmlformats.org/officeDocument/2006/relationships/hyperlink" Target="https://striking-viking.com/blogs/learn/essential-grooming-supplies-for-the-bearded-man" TargetMode="External"/><Relationship Id="rId391" Type="http://schemas.openxmlformats.org/officeDocument/2006/relationships/hyperlink" Target="https://striking-viking.com/fr-ca/blogs/learn/why-your-beard-needs-more-than-just-a-comb" TargetMode="External"/><Relationship Id="rId392" Type="http://schemas.openxmlformats.org/officeDocument/2006/relationships/hyperlink" Target="https://striking-viking.com/no/blogs/learn/why-your-beard-needs-more-than-just-a-comb" TargetMode="External"/><Relationship Id="rId393" Type="http://schemas.openxmlformats.org/officeDocument/2006/relationships/hyperlink" Target="https://striking-viking.com/it/blogs/learn/top-10-beard-costumes-for-halloween" TargetMode="External"/><Relationship Id="rId394" Type="http://schemas.openxmlformats.org/officeDocument/2006/relationships/hyperlink" Target="https://striking-viking.com/no/products/hair-fiber-men" TargetMode="External"/><Relationship Id="rId395" Type="http://schemas.openxmlformats.org/officeDocument/2006/relationships/hyperlink" Target="https://striking-viking.com/fr-ca/products/striking-viking-biotin-beard-growth-oil-for-men-unscented-beard-growth-serum" TargetMode="External"/><Relationship Id="rId396" Type="http://schemas.openxmlformats.org/officeDocument/2006/relationships/hyperlink" Target="https://striking-viking.com/fi/blogs/learn/16918829-the-ingredients-and-why-they-matter" TargetMode="External"/><Relationship Id="rId397" Type="http://schemas.openxmlformats.org/officeDocument/2006/relationships/hyperlink" Target="https://striking-viking.com/sv/blogs/learn/46928577-tips-to-protect-your-beard-from-the-cold" TargetMode="External"/><Relationship Id="rId398" Type="http://schemas.openxmlformats.org/officeDocument/2006/relationships/hyperlink" Target="https://striking-viking.com/es/products/striking-viking-beard-growth-kit-with-beard-roller-vanilla-unscented-biotin-oils-for-men" TargetMode="External"/><Relationship Id="rId399" Type="http://schemas.openxmlformats.org/officeDocument/2006/relationships/hyperlink" Target="https://striking-viking.com/blogs/learn/46928577-tips-to-protect-your-beard-from-the-cold" TargetMode="External"/><Relationship Id="rId400" Type="http://schemas.openxmlformats.org/officeDocument/2006/relationships/hyperlink" Target="https://striking-viking.com/es/products/striking-viking-hair-styling-powder-for-men-light-hold-vanilla-natural-volume-texture" TargetMode="External"/><Relationship Id="rId401" Type="http://schemas.openxmlformats.org/officeDocument/2006/relationships/hyperlink" Target="https://striking-viking.com/fr-ca/products/ontaki-german-steel-beard-mustache-scissors-professional-grooming-kit" TargetMode="External"/><Relationship Id="rId402" Type="http://schemas.openxmlformats.org/officeDocument/2006/relationships/hyperlink" Target="https://striking-viking.com/it/products/striking-viking-unscented-beard-butter-for-moisturizing-softening-daily-beard-care" TargetMode="External"/><Relationship Id="rId403" Type="http://schemas.openxmlformats.org/officeDocument/2006/relationships/hyperlink" Target="https://striking-viking.com/products/charlemagne-carbon-hair-comb-for-men-professional-heat-resistant-styling-detangling-comb" TargetMode="External"/><Relationship Id="rId404" Type="http://schemas.openxmlformats.org/officeDocument/2006/relationships/hyperlink" Target="https://striking-viking.com/fr-ca/products/striking-viking-unscented-beard-shampoo-conditioner-set-natural-beard-care-for-men" TargetMode="External"/><Relationship Id="rId405" Type="http://schemas.openxmlformats.org/officeDocument/2006/relationships/hyperlink" Target="https://striking-viking.com/en-gb/products/ontaki-duckbill-applique-scissors-4-5-inch-carbon-steel-fabric-thread-cutting-scissors" TargetMode="External"/><Relationship Id="rId406" Type="http://schemas.openxmlformats.org/officeDocument/2006/relationships/hyperlink" Target="https://striking-viking.com/fr-ca/products/carbon-hair-comb" TargetMode="External"/><Relationship Id="rId407" Type="http://schemas.openxmlformats.org/officeDocument/2006/relationships/hyperlink" Target="https://striking-viking.com/en-ca/blogs/learn/41234689-brian-wilson" TargetMode="External"/><Relationship Id="rId408" Type="http://schemas.openxmlformats.org/officeDocument/2006/relationships/hyperlink" Target="https://striking-viking.com/fr-ca/blogs/learn/grooming-products-to-pamper-your-beard-flyaway" TargetMode="External"/><Relationship Id="rId409" Type="http://schemas.openxmlformats.org/officeDocument/2006/relationships/hyperlink" Target="https://striking-viking.com/fr/products/striking-viking-unscented-after-shave-balm-for-men-soothing-hydration-skin-care" TargetMode="External"/><Relationship Id="rId410" Type="http://schemas.openxmlformats.org/officeDocument/2006/relationships/hyperlink" Target="https://striking-viking.com/es/products/ontaki-beard-mustache-scissors-with-finger-rest-5-inch-german-steel-grooming-kit" TargetMode="External"/><Relationship Id="rId411" Type="http://schemas.openxmlformats.org/officeDocument/2006/relationships/hyperlink" Target="https://striking-viking.com/fi/blogs/learn/essential-grooming-supplies-for-the-bearded-man" TargetMode="External"/><Relationship Id="rId412" Type="http://schemas.openxmlformats.org/officeDocument/2006/relationships/hyperlink" Target="https://striking-viking.com/en-ca/products/charlemagne-round-hair-brush-for-men-professional-styling-brush-for-volume-blow-drying" TargetMode="External"/><Relationship Id="rId413" Type="http://schemas.openxmlformats.org/officeDocument/2006/relationships/hyperlink" Target="https://striking-viking.com/fr/products/striking-viking-unscented-beard-oil-natural-organic-beard-care" TargetMode="External"/><Relationship Id="rId414" Type="http://schemas.openxmlformats.org/officeDocument/2006/relationships/hyperlink" Target="https://striking-viking.com/fr-ca/products/striking-viking-beard-growth-oil-with-biotin-sandalwood" TargetMode="External"/><Relationship Id="rId415" Type="http://schemas.openxmlformats.org/officeDocument/2006/relationships/hyperlink" Target="https://striking-viking.com/it/products/striking-viking-vanilla-beard-balm-2-pack-with-natural-organic-ingredients-for-beard-styling" TargetMode="External"/><Relationship Id="rId416" Type="http://schemas.openxmlformats.org/officeDocument/2006/relationships/hyperlink" Target="https://striking-viking.com/sv/products/striking-viking-hair-styling-powder-for-men-light-hold-vanilla-natural-volume-texture" TargetMode="External"/><Relationship Id="rId417" Type="http://schemas.openxmlformats.org/officeDocument/2006/relationships/hyperlink" Target="https://striking-viking.com/de/products/bartwasche-pfefferminze" TargetMode="External"/><Relationship Id="rId418" Type="http://schemas.openxmlformats.org/officeDocument/2006/relationships/hyperlink" Target="https://striking-viking.com/de/products/bartwaschmittel" TargetMode="External"/><Relationship Id="rId419" Type="http://schemas.openxmlformats.org/officeDocument/2006/relationships/hyperlink" Target="https://striking-viking.com/no/products/striking-viking-unscented-after-shave-balm-for-men-soothing-hydration-skin-care" TargetMode="External"/><Relationship Id="rId420" Type="http://schemas.openxmlformats.org/officeDocument/2006/relationships/hyperlink" Target="https://striking-viking.com/es/products/striking-viking-beard-growth-oil-with-biotin-sandalwood" TargetMode="External"/><Relationship Id="rId421" Type="http://schemas.openxmlformats.org/officeDocument/2006/relationships/hyperlink" Target="https://striking-viking.com/es/products/ontaki-curved-fabric-scissors-6-5-inch-german-stainless-steel-embroidery-scissors" TargetMode="External"/><Relationship Id="rId422" Type="http://schemas.openxmlformats.org/officeDocument/2006/relationships/hyperlink" Target="https://striking-viking.com/de/blogs/learn/what-are-the-best-beard-scissors-for-precision-grooming" TargetMode="External"/><Relationship Id="rId423" Type="http://schemas.openxmlformats.org/officeDocument/2006/relationships/hyperlink" Target="https://striking-viking.com/fr-ca/products/ontaki-japanese-steel-beard-hair-scissors-5-5-inch-professional-grooming-shears" TargetMode="External"/><Relationship Id="rId424" Type="http://schemas.openxmlformats.org/officeDocument/2006/relationships/hyperlink" Target="https://striking-viking.com/it/products/carbon-wide-tooth-comb" TargetMode="External"/><Relationship Id="rId425" Type="http://schemas.openxmlformats.org/officeDocument/2006/relationships/hyperlink" Target="https://striking-viking.com/en-ca/blogs/learn/scented-beard-oil-by-striking-viking" TargetMode="External"/><Relationship Id="rId426" Type="http://schemas.openxmlformats.org/officeDocument/2006/relationships/hyperlink" Target="https://striking-viking.com/en-ca/products/charlemagne-original-hair-pomade-for-men-strong-hold-water-based-styling-pomade-100ml" TargetMode="External"/><Relationship Id="rId427" Type="http://schemas.openxmlformats.org/officeDocument/2006/relationships/hyperlink" Target="https://striking-viking.com/it/products/charlemagne-carbon-hair-comb-for-men-professional-heat-resistant-styling-detangling-comb" TargetMode="External"/><Relationship Id="rId428" Type="http://schemas.openxmlformats.org/officeDocument/2006/relationships/hyperlink" Target="https://striking-viking.com/es/products/striking-viking-folding-wooden-beard-comb-for-men-anti-static-sandalwood-grooming-comb" TargetMode="External"/><Relationship Id="rId429" Type="http://schemas.openxmlformats.org/officeDocument/2006/relationships/hyperlink" Target="https://striking-viking.com/no/blogs/learn/the-ultimate-beard-growth-routine-for-a-thicker-healthier-beard-2026-guide" TargetMode="External"/><Relationship Id="rId430" Type="http://schemas.openxmlformats.org/officeDocument/2006/relationships/hyperlink" Target="https://striking-viking.com/no/blogs/learn/beard-oil-vs-beard-balm-solving-the-modern-problem-for-gentlemen-with-beards" TargetMode="External"/><Relationship Id="rId431" Type="http://schemas.openxmlformats.org/officeDocument/2006/relationships/hyperlink" Target="https://striking-viking.com/it/collections/featured-products" TargetMode="External"/><Relationship Id="rId432" Type="http://schemas.openxmlformats.org/officeDocument/2006/relationships/hyperlink" Target="https://striking-viking.com/no/products/striking-viking-hair-styling-powder-for-men-light-hold-vanilla-natural-volume-texture" TargetMode="External"/><Relationship Id="rId433" Type="http://schemas.openxmlformats.org/officeDocument/2006/relationships/hyperlink" Target="https://striking-viking.com/it/products/striking-viking-citrus-beard-oil" TargetMode="External"/><Relationship Id="rId434" Type="http://schemas.openxmlformats.org/officeDocument/2006/relationships/hyperlink" Target="https://striking-viking.com/en-gb/products/ontaki-professional-thinning-texturizing-scissors-set-6-5-inch-japanese-alloy-steel" TargetMode="External"/><Relationship Id="rId435" Type="http://schemas.openxmlformats.org/officeDocument/2006/relationships/hyperlink" Target="https://striking-viking.com/es/products/striking-viking-cedarwood-beard-balm" TargetMode="External"/><Relationship Id="rId436" Type="http://schemas.openxmlformats.org/officeDocument/2006/relationships/hyperlink" Target="https://striking-viking.com/it/products/striking-viking-cedarwood-beard-balm" TargetMode="External"/><Relationship Id="rId437" Type="http://schemas.openxmlformats.org/officeDocument/2006/relationships/hyperlink" Target="https://striking-viking.com/fr/products/striking-viking-hybrid-beard-growth-bundle-with-sandalwood-unscented-beard-oils-and-derma-roller" TargetMode="External"/><Relationship Id="rId438" Type="http://schemas.openxmlformats.org/officeDocument/2006/relationships/hyperlink" Target="https://striking-viking.com/es/products/striking-viking-beard-filler-pencil-with-dual-tip-pen-brush-for-natural-beard-styling" TargetMode="External"/><Relationship Id="rId439" Type="http://schemas.openxmlformats.org/officeDocument/2006/relationships/hyperlink" Target="https://striking-viking.com/en-ca/products/ontaki-japanese-steel-rounded-tip-beard-mustache-scissors-4-2-inch-grooming-kit" TargetMode="External"/><Relationship Id="rId440" Type="http://schemas.openxmlformats.org/officeDocument/2006/relationships/hyperlink" Target="https://striking-viking.com/it/products/striking-viking-unscented-beard-oil-and-balm-kit-natural-beard-grooming-set-for-men" TargetMode="External"/><Relationship Id="rId441" Type="http://schemas.openxmlformats.org/officeDocument/2006/relationships/hyperlink" Target="https://striking-viking.com/es/products/striking-viking-sandalwood-beard-oil-balm-kit-for-soft-healthy-beard-care-for-men" TargetMode="External"/><Relationship Id="rId442" Type="http://schemas.openxmlformats.org/officeDocument/2006/relationships/hyperlink" Target="https://striking-viking.com/it/blogs/learn/tame-the-wild-meet-the-striking-viking-sandalwood-beard-comb" TargetMode="External"/><Relationship Id="rId443" Type="http://schemas.openxmlformats.org/officeDocument/2006/relationships/hyperlink" Target="https://striking-viking.com/no/products/striking-viking-beard-filler-pen-2-pack-dual-tip-waterproof-beard-pen-for-natural-beard-filling" TargetMode="External"/><Relationship Id="rId444" Type="http://schemas.openxmlformats.org/officeDocument/2006/relationships/hyperlink" Target="https://striking-viking.com/fr/blogs/learn/heads-shoulders-knees-and-toes-but-why-forget-the-beard" TargetMode="External"/><Relationship Id="rId445" Type="http://schemas.openxmlformats.org/officeDocument/2006/relationships/hyperlink" Target="https://striking-viking.com/de/blogs/learn/essential-grooming-supplies-for-the-bearded-man" TargetMode="External"/><Relationship Id="rId446" Type="http://schemas.openxmlformats.org/officeDocument/2006/relationships/hyperlink" Target="https://striking-viking.com/sv/products/hair-fiber-men" TargetMode="External"/><Relationship Id="rId447" Type="http://schemas.openxmlformats.org/officeDocument/2006/relationships/hyperlink" Target="https://striking-viking.com/it/products/charlemagne-round-hair-brush-for-men-professional-styling-brush-for-volume-blow-drying" TargetMode="External"/><Relationship Id="rId448" Type="http://schemas.openxmlformats.org/officeDocument/2006/relationships/hyperlink" Target="https://striking-viking.com/it/blogs/learn/46928577-tips-to-protect-your-beard-from-the-cold" TargetMode="External"/><Relationship Id="rId449" Type="http://schemas.openxmlformats.org/officeDocument/2006/relationships/hyperlink" Target="https://striking-viking.com/de/collections/featured-products" TargetMode="External"/><Relationship Id="rId450" Type="http://schemas.openxmlformats.org/officeDocument/2006/relationships/hyperlink" Target="https://striking-viking.com/fr-ca/products/striking-viking-boar-bristle-beard-brush-for-men-natural-beech-wood-grooming-brush" TargetMode="External"/><Relationship Id="rId451" Type="http://schemas.openxmlformats.org/officeDocument/2006/relationships/hyperlink" Target="https://striking-viking.com/en-ca/blogs/learn/46928577-tips-to-protect-your-beard-from-the-cold" TargetMode="External"/><Relationship Id="rId452" Type="http://schemas.openxmlformats.org/officeDocument/2006/relationships/hyperlink" Target="https://striking-viking.com/es/products/striking-viking-beard-oil-variety-4-pack-citrus-vanilla-cedarwood-sandalwood" TargetMode="External"/><Relationship Id="rId453" Type="http://schemas.openxmlformats.org/officeDocument/2006/relationships/hyperlink" Target="https://striking-viking.com/fi/products/striking-viking-sandalwood-beard-shampoo-for-clean-healthy-soft-beard-care-for-men" TargetMode="External"/><Relationship Id="rId454" Type="http://schemas.openxmlformats.org/officeDocument/2006/relationships/hyperlink" Target="https://striking-viking.com/it/blogs/learn/16918829-the-ingredients-and-why-they-matter" TargetMode="External"/><Relationship Id="rId455" Type="http://schemas.openxmlformats.org/officeDocument/2006/relationships/hyperlink" Target="https://striking-viking.com/es/blogs/learn/how-to-use-beard-balm-properly-a-complete-guide" TargetMode="External"/><Relationship Id="rId456" Type="http://schemas.openxmlformats.org/officeDocument/2006/relationships/hyperlink" Target="https://striking-viking.com/it/blogs/learn/beard-grooming-tools-for-professional-styling-at-home" TargetMode="External"/><Relationship Id="rId457" Type="http://schemas.openxmlformats.org/officeDocument/2006/relationships/hyperlink" Target="https://striking-viking.com/sv/blogs/learn/top-10-beard-costumes-for-halloween" TargetMode="External"/><Relationship Id="rId458" Type="http://schemas.openxmlformats.org/officeDocument/2006/relationships/hyperlink" Target="https://striking-viking.com/fr-ca/products/striking-viking-tea-tree-biotin-beard-shampoo-conditioner-set-for-healthy-beard-care" TargetMode="External"/><Relationship Id="rId459" Type="http://schemas.openxmlformats.org/officeDocument/2006/relationships/hyperlink" Target="https://striking-viking.com/de/blogs/learn/grooming-products-to-pamper-your-beard-flyaway" TargetMode="External"/><Relationship Id="rId460" Type="http://schemas.openxmlformats.org/officeDocument/2006/relationships/hyperlink" Target="https://striking-viking.com/en-gb/products/ontaki-facial-hair-grooming-scissors-2-pack-precision-beard-nose-mustache-trimming" TargetMode="External"/><Relationship Id="rId461" Type="http://schemas.openxmlformats.org/officeDocument/2006/relationships/hyperlink" Target="https://striking-viking.com/es/products/striking-viking-boar-bristle-beard-brush-for-men-natural-beech-wood-grooming-brush" TargetMode="External"/><Relationship Id="rId462" Type="http://schemas.openxmlformats.org/officeDocument/2006/relationships/hyperlink" Target="https://striking-viking.com/it/products/charlemagne-original-hair-pomade-for-men-strong-hold-water-based-styling-pomade-100ml" TargetMode="External"/><Relationship Id="rId463" Type="http://schemas.openxmlformats.org/officeDocument/2006/relationships/hyperlink" Target="https://striking-viking.com/fi/blogs/learn/the-ultimate-guide-to-grooming-with-ontaki-scissors" TargetMode="External"/><Relationship Id="rId464" Type="http://schemas.openxmlformats.org/officeDocument/2006/relationships/hyperlink" Target="https://striking-viking.com/fr-ca/blogs/learn/top-10-beard-costumes-for-halloween" TargetMode="External"/><Relationship Id="rId465" Type="http://schemas.openxmlformats.org/officeDocument/2006/relationships/hyperlink" Target="https://striking-viking.com/de/blogs/learn/elevate-your-look-pomade" TargetMode="External"/><Relationship Id="rId466" Type="http://schemas.openxmlformats.org/officeDocument/2006/relationships/hyperlink" Target="https://striking-viking.com/de/products/carbon-wide-tooth-comb" TargetMode="External"/><Relationship Id="rId467" Type="http://schemas.openxmlformats.org/officeDocument/2006/relationships/hyperlink" Target="https://striking-viking.com/fr-ca/collections/trending-now" TargetMode="External"/><Relationship Id="rId468" Type="http://schemas.openxmlformats.org/officeDocument/2006/relationships/hyperlink" Target="https://striking-viking.com/fi/products/striking-viking-bergamot-thunder-beard-oil-for-men-natural-beard-growth-oil-with-argan-jojoba" TargetMode="External"/><Relationship Id="rId469" Type="http://schemas.openxmlformats.org/officeDocument/2006/relationships/hyperlink" Target="https://striking-viking.com/en-ca/blogs/learn/16918829-the-ingredients-and-why-they-matter" TargetMode="External"/><Relationship Id="rId470" Type="http://schemas.openxmlformats.org/officeDocument/2006/relationships/hyperlink" Target="https://striking-viking.com/blogs/learn/41241281-the-dude" TargetMode="External"/><Relationship Id="rId471" Type="http://schemas.openxmlformats.org/officeDocument/2006/relationships/hyperlink" Target="https://striking-viking.com/de/blogs/learn/striking-viking-beard-comb-for-routine-beard-management" TargetMode="External"/><Relationship Id="rId472" Type="http://schemas.openxmlformats.org/officeDocument/2006/relationships/hyperlink" Target="https://striking-viking.com/es/blogs/learn/41234689-brian-wilson" TargetMode="External"/><Relationship Id="rId473" Type="http://schemas.openxmlformats.org/officeDocument/2006/relationships/hyperlink" Target="https://striking-viking.com/no/collections/trending-now" TargetMode="External"/><Relationship Id="rId474" Type="http://schemas.openxmlformats.org/officeDocument/2006/relationships/hyperlink" Target="https://striking-viking.com/fr/blogs/learn/beard-oil-vs-beard-balm-solving-the-modern-problem-for-gentlemen-with-beards" TargetMode="External"/><Relationship Id="rId475" Type="http://schemas.openxmlformats.org/officeDocument/2006/relationships/hyperlink" Target="https://striking-viking.com/no/blogs/learn/41234689-brian-wilson" TargetMode="External"/><Relationship Id="rId476" Type="http://schemas.openxmlformats.org/officeDocument/2006/relationships/hyperlink" Target="https://striking-viking.com/fr/blogs/learn/grooming-products-to-pamper-your-beard-flyaway" TargetMode="External"/><Relationship Id="rId477" Type="http://schemas.openxmlformats.org/officeDocument/2006/relationships/hyperlink" Target="https://striking-viking.com/fr/products/striking-viking-citrus-beard-balm" TargetMode="External"/><Relationship Id="rId478" Type="http://schemas.openxmlformats.org/officeDocument/2006/relationships/hyperlink" Target="https://striking-viking.com/fr/products/ontaki-facial-hair-grooming-scissors-2-pack-precision-beard-nose-mustache-trimming" TargetMode="External"/><Relationship Id="rId479" Type="http://schemas.openxmlformats.org/officeDocument/2006/relationships/hyperlink" Target="https://striking-viking.com/fr/blogs/learn/why-your-beard-needs-more-than-just-a-comb" TargetMode="External"/><Relationship Id="rId480" Type="http://schemas.openxmlformats.org/officeDocument/2006/relationships/hyperlink" Target="https://striking-viking.com/it/products/carbon-hair-comb" TargetMode="External"/><Relationship Id="rId481" Type="http://schemas.openxmlformats.org/officeDocument/2006/relationships/hyperlink" Target="https://striking-viking.com/fr-ca/blogs/learn/46928577-tips-to-protect-your-beard-from-the-cold" TargetMode="External"/><Relationship Id="rId482" Type="http://schemas.openxmlformats.org/officeDocument/2006/relationships/hyperlink" Target="https://striking-viking.com/en-gb/blogs/learn/scented-beard-oil-by-striking-viking" TargetMode="External"/><Relationship Id="rId483" Type="http://schemas.openxmlformats.org/officeDocument/2006/relationships/hyperlink" Target="https://striking-viking.com/fr/products/beard-growth-butter-with-biotin-4-oz-blue-ocean" TargetMode="External"/><Relationship Id="rId484" Type="http://schemas.openxmlformats.org/officeDocument/2006/relationships/hyperlink" Target="https://striking-viking.com/es/blogs/learn/46928577-tips-to-protect-your-beard-from-the-cold" TargetMode="External"/><Relationship Id="rId485" Type="http://schemas.openxmlformats.org/officeDocument/2006/relationships/hyperlink" Target="https://striking-viking.com/blogs/learn/41234689-brian-wilson" TargetMode="External"/><Relationship Id="rId486" Type="http://schemas.openxmlformats.org/officeDocument/2006/relationships/hyperlink" Target="https://striking-viking.com/es/products/striking-viking-vanilla-beard-oil-balm-kit-for-soft-healthy-beard-care-for-men" TargetMode="External"/><Relationship Id="rId487" Type="http://schemas.openxmlformats.org/officeDocument/2006/relationships/hyperlink" Target="https://striking-viking.com/en-ca/products/striking-viking-hair-styling-powder-for-men-light-hold-vanilla-natural-volume-texture" TargetMode="External"/><Relationship Id="rId488" Type="http://schemas.openxmlformats.org/officeDocument/2006/relationships/hyperlink" Target="https://striking-viking.com/es/collections/featured-products" TargetMode="External"/><Relationship Id="rId489" Type="http://schemas.openxmlformats.org/officeDocument/2006/relationships/hyperlink" Target="https://striking-viking.com/es/products/hair-fiber-men" TargetMode="External"/><Relationship Id="rId490" Type="http://schemas.openxmlformats.org/officeDocument/2006/relationships/hyperlink" Target="https://striking-viking.com/fr-ca/products/ontaki-beard-mustache-scissors-with-finger-rest-5-inch-german-steel-grooming-kit" TargetMode="External"/><Relationship Id="rId491" Type="http://schemas.openxmlformats.org/officeDocument/2006/relationships/hyperlink" Target="https://striking-viking.com/fr-ca/products/striking-viking-vanilla-beard-oil-balm-kit-for-soft-healthy-beard-care-for-men" TargetMode="External"/><Relationship Id="rId492" Type="http://schemas.openxmlformats.org/officeDocument/2006/relationships/hyperlink" Target="https://striking-viking.com/fr-ca/blogs/learn/41234689-brian-wilson" TargetMode="External"/><Relationship Id="rId493" Type="http://schemas.openxmlformats.org/officeDocument/2006/relationships/hyperlink" Target="https://striking-viking.com/fr-ca/products/striking-viking-unscented-beard-butter-for-moisturizing-softening-daily-beard-care" TargetMode="External"/><Relationship Id="rId494" Type="http://schemas.openxmlformats.org/officeDocument/2006/relationships/hyperlink" Target="https://striking-viking.com/fr/blogs/learn/top-10-beard-costumes-for-halloween" TargetMode="External"/><Relationship Id="rId495" Type="http://schemas.openxmlformats.org/officeDocument/2006/relationships/hyperlink" Target="https://striking-viking.com/fr/blogs/learn/41241281-the-dude" TargetMode="External"/><Relationship Id="rId496" Type="http://schemas.openxmlformats.org/officeDocument/2006/relationships/hyperlink" Target="https://striking-viking.com/it/products/ontaki-japanese-steel-beard-hair-scissors-5-5-inch-professional-grooming-shears" TargetMode="External"/><Relationship Id="rId497" Type="http://schemas.openxmlformats.org/officeDocument/2006/relationships/hyperlink" Target="https://striking-viking.com/fr/products/striking-viking-beard-growth-kit-with-beard-roller-vanilla-unscented-biotin-oils-for-men" TargetMode="External"/><Relationship Id="rId498" Type="http://schemas.openxmlformats.org/officeDocument/2006/relationships/hyperlink" Target="https://striking-viking.com/es/products/charlemagne-original-hair-pomade-for-men-strong-hold-water-based-styling-pomade-100ml" TargetMode="External"/><Relationship Id="rId499" Type="http://schemas.openxmlformats.org/officeDocument/2006/relationships/hyperlink" Target="https://striking-viking.com/it/products/striking-viking-tea-tree-biotin-beard-shampoo-for-clean-healthy-soft-beard-care-for-men" TargetMode="External"/><Relationship Id="rId500" Type="http://schemas.openxmlformats.org/officeDocument/2006/relationships/hyperlink" Target="https://striking-viking.com/fr-ca/pages/beard-filler-pens" TargetMode="External"/><Relationship Id="rId501" Type="http://schemas.openxmlformats.org/officeDocument/2006/relationships/hyperlink" Target="https://striking-viking.com/fr-ca/products/beard-growth-balm-with-biotin-2-oz-blue-ocean" TargetMode="External"/><Relationship Id="rId502" Type="http://schemas.openxmlformats.org/officeDocument/2006/relationships/hyperlink" Target="https://striking-viking.com/fr/blogs/learn/essential-grooming-supplies-for-the-bearded-man" TargetMode="External"/><Relationship Id="rId503" Type="http://schemas.openxmlformats.org/officeDocument/2006/relationships/hyperlink" Target="https://striking-viking.com/fr/products/ontaki-beard-mustache-scissors-with-finger-rest-5-inch-german-steel-grooming-kit" TargetMode="External"/><Relationship Id="rId504" Type="http://schemas.openxmlformats.org/officeDocument/2006/relationships/hyperlink" Target="https://striking-viking.com/it/products/ontaki-german-steel-beard-mustache-scissors-professional-grooming-kit" TargetMode="External"/><Relationship Id="rId505" Type="http://schemas.openxmlformats.org/officeDocument/2006/relationships/hyperlink" Target="https://striking-viking.com/fi/products/hair-fiber-men" TargetMode="External"/><Relationship Id="rId506" Type="http://schemas.openxmlformats.org/officeDocument/2006/relationships/hyperlink" Target="https://striking-viking.com/fi/products/striking-viking-sandalwood-after-shave-balm-for-men-soothing-hydration-skin-care" TargetMode="External"/><Relationship Id="rId507" Type="http://schemas.openxmlformats.org/officeDocument/2006/relationships/hyperlink" Target="https://striking-viking.com/fr-ca/products/striking-viking-sandalwood-beard-butter-for-soft-hydrated-healthy-beard-care-for-men" TargetMode="External"/><Relationship Id="rId508" Type="http://schemas.openxmlformats.org/officeDocument/2006/relationships/hyperlink" Target="https://striking-viking.com/de/blogs/learn/beard-grooming-tools-for-professional-styling-at-home" TargetMode="External"/><Relationship Id="rId509" Type="http://schemas.openxmlformats.org/officeDocument/2006/relationships/hyperlink" Target="https://striking-viking.com/en-ca/products/ontaki-german-steel-beard-mustache-scissors-professional-grooming-kit" TargetMode="External"/><Relationship Id="rId510" Type="http://schemas.openxmlformats.org/officeDocument/2006/relationships/hyperlink" Target="https://striking-viking.com/fr/collections/subscribe-save" TargetMode="External"/><Relationship Id="rId511" Type="http://schemas.openxmlformats.org/officeDocument/2006/relationships/hyperlink" Target="https://striking-viking.com/fr/products/striking-viking-vanilla-beard-oil-with-natural-organic-oils-for-soft-healthy-beard-care" TargetMode="External"/><Relationship Id="rId512" Type="http://schemas.openxmlformats.org/officeDocument/2006/relationships/hyperlink" Target="https://striking-viking.com/en-gb/blogs/learn/41241281-the-dude" TargetMode="External"/><Relationship Id="rId513" Type="http://schemas.openxmlformats.org/officeDocument/2006/relationships/hyperlink" Target="https://striking-viking.com/fr-ca/products/striking-viking-vanilla-beard-growth-kit-with-biotin-oil-0-25mm-derma-roller" TargetMode="External"/><Relationship Id="rId514" Type="http://schemas.openxmlformats.org/officeDocument/2006/relationships/hyperlink" Target="https://striking-viking.com/sv/pages/beard-filler-pens" TargetMode="External"/><Relationship Id="rId515" Type="http://schemas.openxmlformats.org/officeDocument/2006/relationships/hyperlink" Target="https://striking-viking.com/es/products/ontaki-japanese-steel-beard-hair-scissors-5-5-inch-professional-grooming-shears" TargetMode="External"/><Relationship Id="rId516" Type="http://schemas.openxmlformats.org/officeDocument/2006/relationships/hyperlink" Target="https://striking-viking.com/no/blogs/learn/how-to-use-beard-balm-properly-a-complete-guide" TargetMode="External"/><Relationship Id="rId517" Type="http://schemas.openxmlformats.org/officeDocument/2006/relationships/hyperlink" Target="https://striking-viking.com/fr-ca/products/striking-viking-beard-filler-pen-2-pack-dual-tip-waterproof-beard-pen-for-natural-beard-filling" TargetMode="External"/><Relationship Id="rId518" Type="http://schemas.openxmlformats.org/officeDocument/2006/relationships/hyperlink" Target="https://striking-viking.com/fr-ca/blogs/learn/how-to-choose-the-right-hair-cutting-scissors-for-home-or-salon-use" TargetMode="External"/><Relationship Id="rId519" Type="http://schemas.openxmlformats.org/officeDocument/2006/relationships/hyperlink" Target="https://striking-viking.com/fr/products/striking-viking-sandalwood-beard-oil-balm-kit-for-soft-healthy-beard-care-for-men" TargetMode="External"/><Relationship Id="rId520" Type="http://schemas.openxmlformats.org/officeDocument/2006/relationships/hyperlink" Target="https://striking-viking.com/en-gb/products/ontaki-curved-fabric-scissors-6-5-inch-german-stainless-steel-embroidery-scissors" TargetMode="External"/><Relationship Id="rId521" Type="http://schemas.openxmlformats.org/officeDocument/2006/relationships/hyperlink" Target="https://striking-viking.com/en-gb/products/charlemagne-round-hair-brush-for-men-professional-styling-brush-for-volume-blow-drying" TargetMode="External"/><Relationship Id="rId522" Type="http://schemas.openxmlformats.org/officeDocument/2006/relationships/hyperlink" Target="https://striking-viking.com/de/products/aftershave-balsam-fur-manner-vanille" TargetMode="External"/><Relationship Id="rId523" Type="http://schemas.openxmlformats.org/officeDocument/2006/relationships/hyperlink" Target="https://striking-viking.com/fi/products/striking-viking-battle-ready-beard-care-kit-with-beard-oils-balms-beard-filler-pen" TargetMode="External"/><Relationship Id="rId524" Type="http://schemas.openxmlformats.org/officeDocument/2006/relationships/hyperlink" Target="https://striking-viking.com/de/blogs/learn/41234689-brian-wilson" TargetMode="External"/><Relationship Id="rId525" Type="http://schemas.openxmlformats.org/officeDocument/2006/relationships/hyperlink" Target="https://striking-viking.com/en-gb/products/ontaki-japanese-steel-rounded-tip-beard-mustache-scissors-4-2-inch-grooming-kit" TargetMode="External"/><Relationship Id="rId526" Type="http://schemas.openxmlformats.org/officeDocument/2006/relationships/hyperlink" Target="https://striking-viking.com/es/products/striking-viking-vanilla-beard-balm" TargetMode="External"/><Relationship Id="rId527" Type="http://schemas.openxmlformats.org/officeDocument/2006/relationships/hyperlink" Target="https://striking-viking.com/no/products/striking-viking-tea-tree-biotin-beard-wash-cologne-for-clean-fresh-healthy-beard-care" TargetMode="External"/><Relationship Id="rId528" Type="http://schemas.openxmlformats.org/officeDocument/2006/relationships/hyperlink" Target="https://striking-viking.com/no/blogs/learn/46928577-tips-to-protect-your-beard-from-the-cold" TargetMode="External"/><Relationship Id="rId529" Type="http://schemas.openxmlformats.org/officeDocument/2006/relationships/hyperlink" Target="https://striking-viking.com/es/products/striking-viking-beard-growth-mastery-bundle-with-sandalwood-vanilla-biotin-oils-and-derma-roller" TargetMode="External"/><Relationship Id="rId530" Type="http://schemas.openxmlformats.org/officeDocument/2006/relationships/hyperlink" Target="https://striking-viking.com/fr/products/striking-viking-cedarwood-beard-balm" TargetMode="External"/><Relationship Id="rId531" Type="http://schemas.openxmlformats.org/officeDocument/2006/relationships/hyperlink" Target="https://striking-viking.com/it/blogs/learn/essential-grooming-supplies-for-the-bearded-man" TargetMode="External"/><Relationship Id="rId532" Type="http://schemas.openxmlformats.org/officeDocument/2006/relationships/hyperlink" Target="https://striking-viking.com/fi/blogs/learn/top-10-beard-costumes-for-halloween" TargetMode="External"/><Relationship Id="rId533" Type="http://schemas.openxmlformats.org/officeDocument/2006/relationships/hyperlink" Target="https://striking-viking.com/fr/products/ontaki-german-steel-beard-mustache-scissors-professional-grooming-kit" TargetMode="External"/><Relationship Id="rId534" Type="http://schemas.openxmlformats.org/officeDocument/2006/relationships/hyperlink" Target="https://striking-viking.com/es/products/striking-viking-beard-filler-pen-2-pack-dual-tip-waterproof-beard-pen-for-natural-beard-filling" TargetMode="External"/><Relationship Id="rId535" Type="http://schemas.openxmlformats.org/officeDocument/2006/relationships/hyperlink" Target="https://striking-viking.com/es/blogs/learn/grooming-products-to-pamper-your-beard-flyaway" TargetMode="External"/><Relationship Id="rId536" Type="http://schemas.openxmlformats.org/officeDocument/2006/relationships/hyperlink" Target="https://striking-viking.com/fr/products/striking-viking-sandalwood-beard-butter-for-soft-hydrated-healthy-beard-care-for-men" TargetMode="External"/><Relationship Id="rId537" Type="http://schemas.openxmlformats.org/officeDocument/2006/relationships/hyperlink" Target="https://striking-viking.com/it/blogs/learn/41234689-brian-wilson" TargetMode="External"/><Relationship Id="rId538" Type="http://schemas.openxmlformats.org/officeDocument/2006/relationships/hyperlink" Target="https://striking-viking.com/es/products/striking-viking-sandalwood-beard-balm" TargetMode="External"/><Relationship Id="rId539" Type="http://schemas.openxmlformats.org/officeDocument/2006/relationships/hyperlink" Target="https://striking-viking.com/es/products/striking-viking-vanilla-beard-oil-with-natural-organic-oils-for-soft-healthy-beard-care" TargetMode="External"/><Relationship Id="rId540" Type="http://schemas.openxmlformats.org/officeDocument/2006/relationships/hyperlink" Target="https://striking-viking.com/en-ca/blogs/learn/the-ultimate-beard-growth-routine-for-a-thicker-healthier-beard-2026-guide" TargetMode="External"/><Relationship Id="rId541" Type="http://schemas.openxmlformats.org/officeDocument/2006/relationships/hyperlink" Target="https://striking-viking.com/fr/collections/featured-products" TargetMode="External"/><Relationship Id="rId542" Type="http://schemas.openxmlformats.org/officeDocument/2006/relationships/hyperlink" Target="https://striking-viking.com/fr/collections/beard-essentials" TargetMode="External"/><Relationship Id="rId543" Type="http://schemas.openxmlformats.org/officeDocument/2006/relationships/hyperlink" Target="https://striking-viking.com/fr-ca/blogs/learn/16918829-the-ingredients-and-why-they-matter" TargetMode="External"/><Relationship Id="rId544" Type="http://schemas.openxmlformats.org/officeDocument/2006/relationships/hyperlink" Target="https://striking-viking.com/fr/blogs/learn/tame-the-wild-meet-the-striking-viking-sandalwood-beard-comb" TargetMode="External"/><Relationship Id="rId545" Type="http://schemas.openxmlformats.org/officeDocument/2006/relationships/hyperlink" Target="https://striking-viking.com/products/charlemagne-round-hair-brush-for-men-professional-styling-brush-for-volume-blow-drying" TargetMode="External"/><Relationship Id="rId546" Type="http://schemas.openxmlformats.org/officeDocument/2006/relationships/hyperlink" Target="https://striking-viking.com/fr-ca/products/striking-viking-beard-shampoo-with-natural-peppermint-eucalyptus-for-refreshing-beard-care" TargetMode="External"/><Relationship Id="rId547" Type="http://schemas.openxmlformats.org/officeDocument/2006/relationships/hyperlink" Target="https://striking-viking.com/fi/products/striking-viking-sandalwood-beard-butter-for-soft-hydrated-healthy-beard-care-for-men" TargetMode="External"/><Relationship Id="rId548" Type="http://schemas.openxmlformats.org/officeDocument/2006/relationships/hyperlink" Target="https://striking-viking.com/en-ca/blogs/learn/essential-grooming-supplies-for-the-bearded-man" TargetMode="External"/><Relationship Id="rId549" Type="http://schemas.openxmlformats.org/officeDocument/2006/relationships/hyperlink" Target="https://striking-viking.com/fr/products/striking-viking-unscented-beard-oil-and-balm-kit-natural-beard-grooming-set-for-men" TargetMode="External"/><Relationship Id="rId550" Type="http://schemas.openxmlformats.org/officeDocument/2006/relationships/hyperlink" Target="https://striking-viking.com/fr-ca/products/striking-viking-beard-growth-power-kit-with-biotin-beard-oil-shampoo-derma-roller" TargetMode="External"/><Relationship Id="rId551" Type="http://schemas.openxmlformats.org/officeDocument/2006/relationships/hyperlink" Target="https://striking-viking.com/fr-ca/products/striking-viking-beard-filler-pencil-with-dual-tip-pen-brush-for-natural-beard-styling" TargetMode="External"/><Relationship Id="rId552" Type="http://schemas.openxmlformats.org/officeDocument/2006/relationships/hyperlink" Target="https://striking-viking.com/fi/products/striking-viking-sandalwood-beard-balm" TargetMode="External"/><Relationship Id="rId553" Type="http://schemas.openxmlformats.org/officeDocument/2006/relationships/hyperlink" Target="https://striking-viking.com/sv/products/striking-viking-citrus-beard-oil" TargetMode="External"/><Relationship Id="rId554" Type="http://schemas.openxmlformats.org/officeDocument/2006/relationships/hyperlink" Target="https://striking-viking.com/en-gb/blogs/learn/16918829-the-ingredients-and-why-they-matter" TargetMode="External"/><Relationship Id="rId555" Type="http://schemas.openxmlformats.org/officeDocument/2006/relationships/hyperlink" Target="https://striking-viking.com/en-gb/products/ontaki-japanese-steel-beard-mustache-scissors-5-5-inch-professional-grooming-kit" TargetMode="External"/><Relationship Id="rId556" Type="http://schemas.openxmlformats.org/officeDocument/2006/relationships/hyperlink" Target="https://striking-viking.com/fr-ca/products/striking-viking-tea-tree-biotin-beard-wash-cologne-for-clean-fresh-healthy-beard-care" TargetMode="External"/><Relationship Id="rId557" Type="http://schemas.openxmlformats.org/officeDocument/2006/relationships/hyperlink" Target="https://striking-viking.com/es/products/striking-viking-unscented-beard-oil-natural-organic-beard-care" TargetMode="External"/><Relationship Id="rId558" Type="http://schemas.openxmlformats.org/officeDocument/2006/relationships/hyperlink" Target="https://striking-viking.com/es/products/striking-viking-beard-growth-power-kit-with-biotin-beard-oil-shampoo-derma-roller" TargetMode="External"/><Relationship Id="rId559" Type="http://schemas.openxmlformats.org/officeDocument/2006/relationships/hyperlink" Target="https://striking-viking.com/en-gb/blogs/learn/46928577-tips-to-protect-your-beard-from-the-cold" TargetMode="External"/><Relationship Id="rId560" Type="http://schemas.openxmlformats.org/officeDocument/2006/relationships/hyperlink" Target="https://striking-viking.com/fi/collections/esitellyt-tuotteet" TargetMode="External"/><Relationship Id="rId561" Type="http://schemas.openxmlformats.org/officeDocument/2006/relationships/hyperlink" Target="https://striking-viking.com/fr-ca/blogs/learn/what-are-the-best-beard-scissors-for-precision-grooming" TargetMode="External"/><Relationship Id="rId562" Type="http://schemas.openxmlformats.org/officeDocument/2006/relationships/hyperlink" Target="https://striking-viking.com/fr/products/striking-viking-sandalwood-beard-growth-bundle-with-titanium-derma-roller-beard-growth-serum" TargetMode="External"/><Relationship Id="rId563" Type="http://schemas.openxmlformats.org/officeDocument/2006/relationships/hyperlink" Target="https://striking-viking.com/fr-ca/blogs/learn/beard-oil-vs-beard-balm-solving-the-modern-problem-for-gentlemen-with-beards" TargetMode="External"/><Relationship Id="rId564" Type="http://schemas.openxmlformats.org/officeDocument/2006/relationships/hyperlink" Target="https://striking-viking.com/de/blogs/learn/why-your-beard-needs-more-than-just-a-comb" TargetMode="External"/><Relationship Id="rId565" Type="http://schemas.openxmlformats.org/officeDocument/2006/relationships/hyperlink" Target="https://striking-viking.com/products/charlemagne-carbon-wide-tooth-comb-for-men-heat-resistant-carbon-fiber-hair-comb" TargetMode="External"/><Relationship Id="rId566" Type="http://schemas.openxmlformats.org/officeDocument/2006/relationships/hyperlink" Target="https://striking-viking.com/es/collections/subscribe-save" TargetMode="External"/><Relationship Id="rId567" Type="http://schemas.openxmlformats.org/officeDocument/2006/relationships/hyperlink" Target="https://striking-viking.com/fi/products/striking-viking-vanilla-beard-oil-balm-kit-for-soft-healthy-beard-care-for-men" TargetMode="External"/><Relationship Id="rId568" Type="http://schemas.openxmlformats.org/officeDocument/2006/relationships/hyperlink" Target="https://striking-viking.com/es/blogs/learn/scented-beard-oil-by-striking-viking" TargetMode="External"/><Relationship Id="rId569" Type="http://schemas.openxmlformats.org/officeDocument/2006/relationships/hyperlink" Target="https://striking-viking.com/fr-ca/products/striking-viking-hair-styling-powder-for-men-light-hold-vanilla-natural-volume-texture" TargetMode="External"/><Relationship Id="rId570" Type="http://schemas.openxmlformats.org/officeDocument/2006/relationships/hyperlink" Target="https://striking-viking.com/fr/products/carbon-hair-comb" TargetMode="External"/><Relationship Id="rId571" Type="http://schemas.openxmlformats.org/officeDocument/2006/relationships/hyperlink" Target="https://striking-viking.com/es/collections/beard-essentials" TargetMode="External"/><Relationship Id="rId572" Type="http://schemas.openxmlformats.org/officeDocument/2006/relationships/hyperlink" Target="https://striking-viking.com/es/products/striking-viking-sandalwood-beard-oil" TargetMode="External"/><Relationship Id="rId573" Type="http://schemas.openxmlformats.org/officeDocument/2006/relationships/hyperlink" Target="https://striking-viking.com/fr-ca/products/striking-viking-sandalwood-beard-growth-bundle-with-titanium-derma-roller-beard-growth-serum" TargetMode="External"/><Relationship Id="rId574" Type="http://schemas.openxmlformats.org/officeDocument/2006/relationships/hyperlink" Target="https://striking-viking.com/es/blogs/learn/what-are-the-best-beard-scissors-for-precision-grooming" TargetMode="External"/><Relationship Id="rId575" Type="http://schemas.openxmlformats.org/officeDocument/2006/relationships/hyperlink" Target="https://striking-viking.com/fr/blogs/learn/the-ultimate-guide-to-grooming-with-ontaki-scissors" TargetMode="External"/><Relationship Id="rId576" Type="http://schemas.openxmlformats.org/officeDocument/2006/relationships/hyperlink" Target="https://striking-viking.com/fi/blogs/learn/beard-grooming-tools-for-professional-styling-at-home" TargetMode="External"/><Relationship Id="rId577" Type="http://schemas.openxmlformats.org/officeDocument/2006/relationships/hyperlink" Target="https://striking-viking.com/es/products/striking-viking-unscented-beard-balm-natural-beard-styling-conditioning" TargetMode="External"/><Relationship Id="rId578" Type="http://schemas.openxmlformats.org/officeDocument/2006/relationships/hyperlink" Target="https://striking-viking.com/it/products/striking-viking-unscented-beard-shampoo-conditioner-set-natural-beard-care-for-men" TargetMode="External"/><Relationship Id="rId579" Type="http://schemas.openxmlformats.org/officeDocument/2006/relationships/hyperlink" Target="https://striking-viking.com/fr/products/charlemagne-carbon-hair-comb-for-men-professional-heat-resistant-styling-detangling-comb" TargetMode="External"/><Relationship Id="rId580" Type="http://schemas.openxmlformats.org/officeDocument/2006/relationships/hyperlink" Target="https://striking-viking.com/fr/products/striking-viking-sandalwood-shaving-cream-for-men-rich-lather-for-a-smooth-comfortable-shave" TargetMode="External"/><Relationship Id="rId581" Type="http://schemas.openxmlformats.org/officeDocument/2006/relationships/hyperlink" Target="https://striking-viking.com/de/products/striking-viking-hair-styling-powder-for-men-light-hold-vanilla-natural-volume-texture" TargetMode="External"/><Relationship Id="rId582" Type="http://schemas.openxmlformats.org/officeDocument/2006/relationships/hyperlink" Target="https://striking-viking.com/fr/blogs/learn/striking-viking-beard-comb-for-routine-beard-management" TargetMode="External"/><Relationship Id="rId583" Type="http://schemas.openxmlformats.org/officeDocument/2006/relationships/hyperlink" Target="https://striking-viking.com/products/ontaki-duckbill-applique-scissors-4-5-inch-carbon-steel-fabric-thread-cutting-scissors" TargetMode="External"/><Relationship Id="rId584" Type="http://schemas.openxmlformats.org/officeDocument/2006/relationships/hyperlink" Target="https://striking-viking.com/it/products/striking-viking-unscented-beard-oil-natural-organic-beard-care" TargetMode="External"/><Relationship Id="rId585" Type="http://schemas.openxmlformats.org/officeDocument/2006/relationships/hyperlink" Target="https://striking-viking.com/it/products/striking-viking-sandalwood-shaving-cream-for-men-rich-lather-for-a-smooth-comfortable-shave" TargetMode="External"/><Relationship Id="rId586" Type="http://schemas.openxmlformats.org/officeDocument/2006/relationships/hyperlink" Target="https://striking-viking.com/fr-ca/products/striking-viking-citrus-beard-balm" TargetMode="External"/><Relationship Id="rId587" Type="http://schemas.openxmlformats.org/officeDocument/2006/relationships/hyperlink" Target="https://striking-viking.com/fr-ca/blogs/learn/unlock-your-beard-s-full-potential-beard-growth-kits-oils" TargetMode="External"/><Relationship Id="rId588" Type="http://schemas.openxmlformats.org/officeDocument/2006/relationships/hyperlink" Target="https://striking-viking.com/fr-ca/blogs/learn/the-ultimate-beard-growth-routine-for-a-thicker-healthier-beard-2026-guide" TargetMode="External"/><Relationship Id="rId589" Type="http://schemas.openxmlformats.org/officeDocument/2006/relationships/hyperlink" Target="https://striking-viking.com/blogs/learn/top-10-beard-costumes-for-halloween" TargetMode="External"/><Relationship Id="rId590" Type="http://schemas.openxmlformats.org/officeDocument/2006/relationships/hyperlink" Target="https://striking-viking.com/fr/products/striking-viking-unscented-beard-shampoo-conditioner-set-natural-beard-care-for-men" TargetMode="External"/><Relationship Id="rId591" Type="http://schemas.openxmlformats.org/officeDocument/2006/relationships/hyperlink" Target="https://striking-viking.com/fr-ca/blogs/learn/how-to-keep-your-tattoos-looking-bold-for-years-the-role-of-tattoo-balms" TargetMode="External"/><Relationship Id="rId592" Type="http://schemas.openxmlformats.org/officeDocument/2006/relationships/hyperlink" Target="https://striking-viking.com/es/products/striking-viking-biotin-beard-growth-oil-for-men-unscented-beard-growth-serum" TargetMode="External"/><Relationship Id="rId593" Type="http://schemas.openxmlformats.org/officeDocument/2006/relationships/hyperlink" Target="https://striking-viking.com/fr/products/ontaki-curved-fabric-scissors-6-5-inch-german-stainless-steel-embroidery-scissors" TargetMode="External"/><Relationship Id="rId594" Type="http://schemas.openxmlformats.org/officeDocument/2006/relationships/hyperlink" Target="https://striking-viking.com/es/products/striking-viking-beard-shampoo-conditioner-cologne-argan-jojoba-oil" TargetMode="External"/><Relationship Id="rId595" Type="http://schemas.openxmlformats.org/officeDocument/2006/relationships/hyperlink" Target="https://striking-viking.com/en-gb/products/ontaki-hair-thinning-shears-kit-7-inch-professional-hair-cutting-texturizing-set" TargetMode="External"/><Relationship Id="rId596" Type="http://schemas.openxmlformats.org/officeDocument/2006/relationships/hyperlink" Target="https://striking-viking.com/en-ca/pages/beard-filler-pens" TargetMode="External"/><Relationship Id="rId597" Type="http://schemas.openxmlformats.org/officeDocument/2006/relationships/hyperlink" Target="https://striking-viking.com/es/products/ontaki-facial-hair-grooming-scissors-2-pack-precision-beard-nose-mustache-trimming" TargetMode="External"/><Relationship Id="rId598" Type="http://schemas.openxmlformats.org/officeDocument/2006/relationships/hyperlink" Target="https://striking-viking.com/sv/blogs/learn/grooming-products-to-pamper-your-beard-flyaway" TargetMode="External"/><Relationship Id="rId599" Type="http://schemas.openxmlformats.org/officeDocument/2006/relationships/hyperlink" Target="https://striking-viking.com/no/blogs/learn/striking-viking-beard-comb-for-routine-beard-management" TargetMode="External"/><Relationship Id="rId600" Type="http://schemas.openxmlformats.org/officeDocument/2006/relationships/hyperlink" Target="https://striking-viking.com/fr-ca/blogs/learn/the-ultimate-guide-to-grooming-with-ontaki-scissors" TargetMode="External"/><Relationship Id="rId601" Type="http://schemas.openxmlformats.org/officeDocument/2006/relationships/hyperlink" Target="https://striking-viking.com/fr/blogs/learn/spring-style-refresh-how-to-update-your-beard-and-hair-for-warmer-weather" TargetMode="External"/><Relationship Id="rId602" Type="http://schemas.openxmlformats.org/officeDocument/2006/relationships/hyperlink" Target="https://striking-viking.com/it/blogs/learn/how-to-choose-the-right-hair-cutting-scissors-for-home-or-salon-use" TargetMode="External"/><Relationship Id="rId603" Type="http://schemas.openxmlformats.org/officeDocument/2006/relationships/hyperlink" Target="https://striking-viking.com/products/striking-viking-hair-styling-powder-for-men-light-hold-vanilla-natural-volume-texture" TargetMode="External"/><Relationship Id="rId604" Type="http://schemas.openxmlformats.org/officeDocument/2006/relationships/hyperlink" Target="https://striking-viking.com/fi/pages/beard-filler-pens" TargetMode="External"/><Relationship Id="rId605" Type="http://schemas.openxmlformats.org/officeDocument/2006/relationships/hyperlink" Target="https://striking-viking.com/pages/beard-filler-pens" TargetMode="External"/><Relationship Id="rId606" Type="http://schemas.openxmlformats.org/officeDocument/2006/relationships/hyperlink" Target="https://striking-viking.com/fr/products/striking-viking-unscented-beard-butter-for-moisturizing-softening-daily-beard-care" TargetMode="External"/><Relationship Id="rId607" Type="http://schemas.openxmlformats.org/officeDocument/2006/relationships/hyperlink" Target="https://striking-viking.com/en-ca/products/hair-fiber-men" TargetMode="External"/><Relationship Id="rId608" Type="http://schemas.openxmlformats.org/officeDocument/2006/relationships/hyperlink" Target="https://striking-viking.com/es/blogs/learn/top-10-beard-costumes-for-halloween" TargetMode="External"/><Relationship Id="rId609" Type="http://schemas.openxmlformats.org/officeDocument/2006/relationships/hyperlink" Target="https://striking-viking.com/fi/blogs/learn/41241281-the-dude" TargetMode="External"/><Relationship Id="rId610" Type="http://schemas.openxmlformats.org/officeDocument/2006/relationships/hyperlink" Target="https://striking-viking.com/fi/products/carbon-wide-tooth-comb" TargetMode="External"/><Relationship Id="rId611" Type="http://schemas.openxmlformats.org/officeDocument/2006/relationships/hyperlink" Target="https://striking-viking.com/it/products/striking-viking-unscented-after-shave-balm-for-men-soothing-hydration-skin-care" TargetMode="External"/><Relationship Id="rId612" Type="http://schemas.openxmlformats.org/officeDocument/2006/relationships/hyperlink" Target="https://striking-viking.com/it/products/striking-viking-vanilla-beard-oil-with-natural-organic-oils-for-soft-healthy-beard-care" TargetMode="External"/><Relationship Id="rId613" Type="http://schemas.openxmlformats.org/officeDocument/2006/relationships/hyperlink" Target="https://striking-viking.com/en-gb/blogs/learn/essential-grooming-supplies-for-the-bearded-man" TargetMode="External"/><Relationship Id="rId614" Type="http://schemas.openxmlformats.org/officeDocument/2006/relationships/hyperlink" Target="https://striking-viking.com/de/blogs/learn/16918829-the-ingredients-and-why-they-matter" TargetMode="External"/><Relationship Id="rId615" Type="http://schemas.openxmlformats.org/officeDocument/2006/relationships/hyperlink" Target="https://striking-viking.com/it/blogs/learn/striking-viking-beard-comb-for-routine-beard-management" TargetMode="External"/><Relationship Id="rId616" Type="http://schemas.openxmlformats.org/officeDocument/2006/relationships/hyperlink" Target="https://striking-viking.com/sv/blogs/learn/16918829-the-ingredients-and-why-they-matter" TargetMode="External"/><Relationship Id="rId617" Type="http://schemas.openxmlformats.org/officeDocument/2006/relationships/hyperlink" Target="https://striking-viking.com/en-gb/products/striking-viking-hair-styling-powder-for-men-light-hold-vanilla-natural-volume-texture" TargetMode="External"/><Relationship Id="rId618" Type="http://schemas.openxmlformats.org/officeDocument/2006/relationships/hyperlink" Target="https://striking-viking.com/de/blogs/learn/top-10-beard-costumes-for-halloween" TargetMode="External"/><Relationship Id="rId619" Type="http://schemas.openxmlformats.org/officeDocument/2006/relationships/hyperlink" Target="https://striking-viking.com/fr/products/striking-viking-hair-styling-powder-for-men-light-hold-vanilla-natural-volume-texture" TargetMode="External"/><Relationship Id="rId620" Type="http://schemas.openxmlformats.org/officeDocument/2006/relationships/hyperlink" Target="https://striking-viking.com/fr/blogs/learn/what-are-the-best-beard-scissors-for-precision-grooming" TargetMode="External"/><Relationship Id="rId621" Type="http://schemas.openxmlformats.org/officeDocument/2006/relationships/hyperlink" Target="https://striking-viking.com/fi/blogs/learn/46928577-tips-to-protect-your-beard-from-the-cold" TargetMode="External"/><Relationship Id="rId622" Type="http://schemas.openxmlformats.org/officeDocument/2006/relationships/hyperlink" Target="https://striking-viking.com/fr-ca/products/charlemagne-carbon-hair-comb-for-men-professional-heat-resistant-styling-detangling-comb" TargetMode="External"/><Relationship Id="rId623" Type="http://schemas.openxmlformats.org/officeDocument/2006/relationships/hyperlink" Target="https://striking-viking.com/it/products/striking-viking-sandalwood-beard-oil-balm-kit-for-soft-healthy-beard-care-for-men" TargetMode="External"/><Relationship Id="rId624" Type="http://schemas.openxmlformats.org/officeDocument/2006/relationships/hyperlink" Target="https://striking-viking.com/fi/products/striking-viking-tea-tree-biotin-beard-shampoo-for-clean-healthy-soft-beard-care-for-men" TargetMode="External"/><Relationship Id="rId625" Type="http://schemas.openxmlformats.org/officeDocument/2006/relationships/hyperlink" Target="https://striking-viking.com/fr/blogs/learn/how-to-use-beard-balm-properly-a-complete-guide" TargetMode="External"/><Relationship Id="rId626" Type="http://schemas.openxmlformats.org/officeDocument/2006/relationships/hyperlink" Target="https://striking-viking.com/en-gb/products/hair-fiber-men" TargetMode="External"/><Relationship Id="rId627" Type="http://schemas.openxmlformats.org/officeDocument/2006/relationships/hyperlink" Target="https://striking-viking.com/fi/products/striking-viking-unscented-beard-balm-natural-beard-styling-conditioning" TargetMode="External"/><Relationship Id="rId628" Type="http://schemas.openxmlformats.org/officeDocument/2006/relationships/hyperlink" Target="https://striking-viking.com/en-ca/products/ontaki-professional-thinning-texturizing-scissors-set-6-5-inch-japanese-alloy-steel" TargetMode="External"/><Relationship Id="rId629" Type="http://schemas.openxmlformats.org/officeDocument/2006/relationships/hyperlink" Target="https://striking-viking.com/it/products/striking-viking-hair-styling-powder-for-men-light-hold-vanilla-natural-volume-texture" TargetMode="External"/><Relationship Id="rId630" Type="http://schemas.openxmlformats.org/officeDocument/2006/relationships/hyperlink" Target="https://striking-viking.com/en-gb/pages/beard-filler-pens" TargetMode="External"/><Relationship Id="rId631" Type="http://schemas.openxmlformats.org/officeDocument/2006/relationships/hyperlink" Target="https://striking-viking.com/fr-ca/products/striking-viking-sandalwood-beard-growth-kit-with-biotin-oil-0-25mm-derma-roller" TargetMode="External"/><Relationship Id="rId632" Type="http://schemas.openxmlformats.org/officeDocument/2006/relationships/hyperlink" Target="https://striking-viking.com/it/blogs/learn/the-ultimate-beard-growth-routine-for-a-thicker-healthier-beard-2026-guide" TargetMode="External"/><Relationship Id="rId633" Type="http://schemas.openxmlformats.org/officeDocument/2006/relationships/hyperlink" Target="https://striking-viking.com/sv/products/striking-viking-sandalwood-beard-balm" TargetMode="External"/><Relationship Id="rId634" Type="http://schemas.openxmlformats.org/officeDocument/2006/relationships/hyperlink" Target="https://striking-viking.com/it/products/striking-viking-beard-growth-power-kit-with-biotin-beard-oil-shampoo-derma-roller" TargetMode="External"/><Relationship Id="rId635" Type="http://schemas.openxmlformats.org/officeDocument/2006/relationships/hyperlink" Target="https://striking-viking.com/es/blogs/learn/41241281-the-dude" TargetMode="External"/><Relationship Id="rId636" Type="http://schemas.openxmlformats.org/officeDocument/2006/relationships/hyperlink" Target="https://striking-viking.com/fi/products/striking-viking-sandalwood-beard-oil-balm-kit-for-soft-healthy-beard-care-for-men" TargetMode="External"/><Relationship Id="rId637" Type="http://schemas.openxmlformats.org/officeDocument/2006/relationships/hyperlink" Target="https://striking-viking.com/fr-ca/products/striking-viking-beard-growth-kit-with-beard-roller-vanilla-unscented-biotin-oils-for-men" TargetMode="External"/><Relationship Id="rId638" Type="http://schemas.openxmlformats.org/officeDocument/2006/relationships/hyperlink" Target="https://striking-viking.com/it/blogs/learn/the-ultimate-guide-to-grooming-with-ontaki-scissors" TargetMode="External"/><Relationship Id="rId639" Type="http://schemas.openxmlformats.org/officeDocument/2006/relationships/hyperlink" Target="https://striking-viking.com/es/products/striking-viking-vanilla-beard-balm-2-pack-with-natural-organic-ingredients-for-beard-styling" TargetMode="External"/><Relationship Id="rId640" Type="http://schemas.openxmlformats.org/officeDocument/2006/relationships/hyperlink" Target="https://striking-viking.com/fr-ca/products/striking-viking-cedarwood-beard-balm" TargetMode="External"/><Relationship Id="rId641" Type="http://schemas.openxmlformats.org/officeDocument/2006/relationships/hyperlink" Target="https://striking-viking.com/sv/products/ontaki-curved-fabric-scissors-6-5-inch-german-stainless-steel-embroidery-scissors" TargetMode="External"/><Relationship Id="rId642" Type="http://schemas.openxmlformats.org/officeDocument/2006/relationships/hyperlink" Target="https://striking-viking.com/es/products/ontaki-german-steel-beard-mustache-scissors-professional-grooming-kit" TargetMode="External"/><Relationship Id="rId643" Type="http://schemas.openxmlformats.org/officeDocument/2006/relationships/hyperlink" Target="https://striking-viking.com/de/blogs/learn/all-you-need-to-know-about-beard-filler-pens" TargetMode="External"/><Relationship Id="rId644" Type="http://schemas.openxmlformats.org/officeDocument/2006/relationships/hyperlink" Target="https://striking-viking.com/no/blogs/learn/grooming-products-to-pamper-your-beard-flyaway" TargetMode="External"/><Relationship Id="rId645" Type="http://schemas.openxmlformats.org/officeDocument/2006/relationships/hyperlink" Target="https://striking-viking.com/fi/products/carbon-hair-comb" TargetMode="External"/><Relationship Id="rId646" Type="http://schemas.openxmlformats.org/officeDocument/2006/relationships/hyperlink" Target="https://striking-viking.com/no/products/striking-viking-unscented-beard-shampoo-conditioner-set-natural-beard-care-for-men" TargetMode="External"/><Relationship Id="rId647" Type="http://schemas.openxmlformats.org/officeDocument/2006/relationships/hyperlink" Target="https://striking-viking.com/en-gb/products/charlemagne-carbon-hair-comb-for-men-professional-heat-resistant-styling-detangling-comb" TargetMode="External"/><Relationship Id="rId648" Type="http://schemas.openxmlformats.org/officeDocument/2006/relationships/hyperlink" Target="https://striking-viking.com/it/products/ontaki-curved-fabric-scissors-6-5-inch-german-stainless-steel-embroidery-scissors" TargetMode="External"/><Relationship Id="rId649" Type="http://schemas.openxmlformats.org/officeDocument/2006/relationships/hyperlink" Target="https://striking-viking.com/es/blogs/learn/the-ultimate-guide-to-tattoo-aftercare-with-striking-viking" TargetMode="External"/><Relationship Id="rId650" Type="http://schemas.openxmlformats.org/officeDocument/2006/relationships/hyperlink" Target="https://striking-viking.com/it/products/striking-viking-sandalwood-beard-balm" TargetMode="External"/><Relationship Id="rId651" Type="http://schemas.openxmlformats.org/officeDocument/2006/relationships/hyperlink" Target="https://striking-viking.com/es/products/striking-viking-tea-tree-biotin-beard-shampoo-for-clean-healthy-soft-beard-care-for-men" TargetMode="External"/><Relationship Id="rId652" Type="http://schemas.openxmlformats.org/officeDocument/2006/relationships/hyperlink" Target="https://striking-viking.com/en-ca/blogs/learn/top-10-beard-costumes-for-halloween" TargetMode="External"/><Relationship Id="rId653" Type="http://schemas.openxmlformats.org/officeDocument/2006/relationships/hyperlink" Target="https://striking-viking.com/fr-ca/blogs/learn/essential-grooming-supplies-for-the-bearded-man" TargetMode="External"/><Relationship Id="rId654" Type="http://schemas.openxmlformats.org/officeDocument/2006/relationships/hyperlink" Target="https://striking-viking.com/fi/blogs/learn/striking-viking-beard-comb-for-routine-beard-management" TargetMode="External"/><Relationship Id="rId655" Type="http://schemas.openxmlformats.org/officeDocument/2006/relationships/hyperlink" Target="https://striking-viking.com/en-ca/products/ontaki-hair-thinning-shears-kit-7-inch-professional-hair-cutting-texturizing-set" TargetMode="External"/><Relationship Id="rId656" Type="http://schemas.openxmlformats.org/officeDocument/2006/relationships/hyperlink" Target="https://striking-viking.com/de/products/striking-viking-unscented-beard-shampoo-conditioner-set-natural-beard-care-for-men" TargetMode="External"/><Relationship Id="rId657" Type="http://schemas.openxmlformats.org/officeDocument/2006/relationships/hyperlink" Target="https://striking-viking.com/de/collections/beard-essentials" TargetMode="External"/><Relationship Id="rId658" Type="http://schemas.openxmlformats.org/officeDocument/2006/relationships/hyperlink" Target="https://striking-viking.com/en-ca/products/ontaki-duckbill-applique-scissors-4-5-inch-carbon-steel-fabric-thread-cutting-scissors" TargetMode="External"/><Relationship Id="rId659" Type="http://schemas.openxmlformats.org/officeDocument/2006/relationships/hyperlink" Target="https://striking-viking.com/no/pages/beard-filler-pens" TargetMode="External"/><Relationship Id="rId660" Type="http://schemas.openxmlformats.org/officeDocument/2006/relationships/hyperlink" Target="https://striking-viking.com/en-gb/products/ontaki-beard-mustache-scissors-with-finger-rest-5-inch-german-steel-grooming-kit" TargetMode="External"/><Relationship Id="rId661" Type="http://schemas.openxmlformats.org/officeDocument/2006/relationships/hyperlink" Target="https://striking-viking.com/it/products/striking-viking-tea-tree-biotin-beard-wash-cologne-for-clean-fresh-healthy-beard-care" TargetMode="External"/><Relationship Id="rId662" Type="http://schemas.openxmlformats.org/officeDocument/2006/relationships/hyperlink" Target="https://striking-viking.com/sv/blogs/learn/striking-viking-beard-comb-for-routine-beard-management" TargetMode="External"/><Relationship Id="rId663" Type="http://schemas.openxmlformats.org/officeDocument/2006/relationships/hyperlink" Target="https://striking-viking.com/fr-ca/blogs/learn/tame-the-wild-meet-the-striking-viking-sandalwood-beard-comb" TargetMode="External"/><Relationship Id="rId664" Type="http://schemas.openxmlformats.org/officeDocument/2006/relationships/hyperlink" Target="https://striking-viking.com/fr/products/striking-viking-citrus-beard-oil" TargetMode="External"/><Relationship Id="rId665" Type="http://schemas.openxmlformats.org/officeDocument/2006/relationships/hyperlink" Target="https://striking-viking.com/sv/blogs/learn/essential-grooming-supplies-for-the-bearded-man" TargetMode="External"/><Relationship Id="rId666" Type="http://schemas.openxmlformats.org/officeDocument/2006/relationships/hyperlink" Target="https://striking-viking.com/fr/blogs/learn/41234689-brian-wilson" TargetMode="External"/><Relationship Id="rId667" Type="http://schemas.openxmlformats.org/officeDocument/2006/relationships/hyperlink" Target="https://striking-viking.com/fr-ca/blogs/learn/scented-beard-oil-by-striking-viking" TargetMode="External"/><Relationship Id="rId668" Type="http://schemas.openxmlformats.org/officeDocument/2006/relationships/hyperlink" Target="https://striking-viking.com/it/products/striking-viking-unscented-beard-balm-natural-beard-styling-conditioning" TargetMode="External"/><Relationship Id="rId669" Type="http://schemas.openxmlformats.org/officeDocument/2006/relationships/hyperlink" Target="https://striking-viking.com/fr/blogs/learn/the-ultimate-beard-growth-routine-for-a-thicker-healthier-beard-2026-guide" TargetMode="External"/><Relationship Id="rId670" Type="http://schemas.openxmlformats.org/officeDocument/2006/relationships/hyperlink" Target="https://striking-viking.com/it/blogs/learn/scented-beard-oil-by-striking-viking" TargetMode="External"/><Relationship Id="rId671" Type="http://schemas.openxmlformats.org/officeDocument/2006/relationships/hyperlink" Target="https://striking-viking.com/fi/products/striking-viking-unscented-beard-butter-for-moisturizing-softening-daily-beard-care" TargetMode="External"/><Relationship Id="rId672" Type="http://schemas.openxmlformats.org/officeDocument/2006/relationships/hyperlink" Target="https://striking-viking.com/sv/blogs/learn/41241281-the-dude" TargetMode="External"/><Relationship Id="rId673" Type="http://schemas.openxmlformats.org/officeDocument/2006/relationships/hyperlink" Target="https://striking-viking.com/fr/blogs/learn/46928577-tips-to-protect-your-beard-from-the-cold" TargetMode="External"/><Relationship Id="rId674" Type="http://schemas.openxmlformats.org/officeDocument/2006/relationships/hyperlink" Target="https://striking-viking.com/de/blogs/learn/how-to-choose-the-right-hair-cutting-scissors-for-home-or-salon-use" TargetMode="External"/><Relationship Id="rId675" Type="http://schemas.openxmlformats.org/officeDocument/2006/relationships/hyperlink" Target="https://striking-viking.com/de/blogs/learn/scented-beard-oil-by-striking-viking" TargetMode="External"/><Relationship Id="rId676" Type="http://schemas.openxmlformats.org/officeDocument/2006/relationships/hyperlink" Target="https://striking-viking.com/it/products/striking-viking-sandalwood-beard-butter-for-soft-hydrated-healthy-beard-care-for-men" TargetMode="External"/><Relationship Id="rId677" Type="http://schemas.openxmlformats.org/officeDocument/2006/relationships/hyperlink" Target="https://striking-viking.com/fr/products/striking-viking-beard-shampoo-with-natural-peppermint-eucalyptus-for-refreshing-beard-care" TargetMode="External"/><Relationship Id="rId678" Type="http://schemas.openxmlformats.org/officeDocument/2006/relationships/hyperlink" Target="https://striking-viking.com/es/products/striking-viking-sandalwood-beard-butter-for-soft-hydrated-healthy-beard-care-for-men" TargetMode="External"/><Relationship Id="rId679" Type="http://schemas.openxmlformats.org/officeDocument/2006/relationships/hyperlink" Target="https://striking-viking.com/it/products/striking-viking-citrus-beard-balm" TargetMode="External"/><Relationship Id="rId680" Type="http://schemas.openxmlformats.org/officeDocument/2006/relationships/hyperlink" Target="https://striking-viking.com/sv/blogs/learn/41234689-brian-wilson" TargetMode="External"/><Relationship Id="rId681" Type="http://schemas.openxmlformats.org/officeDocument/2006/relationships/hyperlink" Target="https://striking-viking.com/de/blogs/learn/heads-shoulders-knees-and-toes-but-why-forget-the-beard" TargetMode="External"/><Relationship Id="rId682" Type="http://schemas.openxmlformats.org/officeDocument/2006/relationships/hyperlink" Target="https://striking-viking.com/no/blogs/learn/41241281-the-dude" TargetMode="External"/><Relationship Id="rId683" Type="http://schemas.openxmlformats.org/officeDocument/2006/relationships/hyperlink" Target="https://striking-viking.com/fr/products/striking-viking-beard-growth-oil-with-biotin-sandalwood" TargetMode="External"/><Relationship Id="rId684" Type="http://schemas.openxmlformats.org/officeDocument/2006/relationships/hyperlink" Target="https://striking-viking.com/es/products/striking-viking-citrus-beard-balm" TargetMode="External"/><Relationship Id="rId685" Type="http://schemas.openxmlformats.org/officeDocument/2006/relationships/hyperlink" Target="https://striking-viking.com/en-ca/products/charlemagne-carbon-hair-comb-for-men-professional-heat-resistant-styling-detangling-comb" TargetMode="External"/><Relationship Id="rId686" Type="http://schemas.openxmlformats.org/officeDocument/2006/relationships/hyperlink" Target="https://striking-viking.com/no/blogs/learn/top-10-beard-costumes-for-halloween" TargetMode="External"/><Relationship Id="rId687" Type="http://schemas.openxmlformats.org/officeDocument/2006/relationships/hyperlink" Target="https://striking-viking.com/de/products/after-shave-balsam-fur-manner" TargetMode="External"/><Relationship Id="rId688" Type="http://schemas.openxmlformats.org/officeDocument/2006/relationships/hyperlink" Target="https://striking-viking.com/fi/products/striking-viking-vanilla-beard-balm-2-pack-with-natural-organic-ingredients-for-beard-styling" TargetMode="External"/><Relationship Id="rId689" Type="http://schemas.openxmlformats.org/officeDocument/2006/relationships/hyperlink" Target="https://striking-viking.com/fr-ca/products/striking-viking-sandalwood-beard-oil-balm-kit-for-soft-healthy-beard-care-for-men" TargetMode="External"/><Relationship Id="rId690" Type="http://schemas.openxmlformats.org/officeDocument/2006/relationships/hyperlink" Target="https://striking-viking.com/fr-ca/products/striking-viking-beard-balm-variety-4-pack-citrus-vanilla-cedarwood-sandalwood" TargetMode="External"/><Relationship Id="rId691" Type="http://schemas.openxmlformats.org/officeDocument/2006/relationships/hyperlink" Target="https://striking-viking.com/fr-ca/blogs/learn/heads-shoulders-knees-and-toes-but-why-forget-the-beard" TargetMode="External"/><Relationship Id="rId692" Type="http://schemas.openxmlformats.org/officeDocument/2006/relationships/hyperlink" Target="https://striking-viking.com/de/products/bartbalsam-geruchsneutral" TargetMode="External"/><Relationship Id="rId693" Type="http://schemas.openxmlformats.org/officeDocument/2006/relationships/hyperlink" Target="https://striking-viking.com/fr-ca/collections/featured-products" TargetMode="External"/><Relationship Id="rId694" Type="http://schemas.openxmlformats.org/officeDocument/2006/relationships/hyperlink" Target="https://striking-viking.com/es/products/striking-viking-citrus-beard-oil" TargetMode="External"/><Relationship Id="rId695" Type="http://schemas.openxmlformats.org/officeDocument/2006/relationships/hyperlink" Target="https://striking-viking.com/fr-ca/products/striking-viking-unscented-beard-balm-natural-beard-styling-conditioning" TargetMode="External"/><Relationship Id="rId696" Type="http://schemas.openxmlformats.org/officeDocument/2006/relationships/hyperlink" Target="https://striking-viking.com/fr/blogs/learn/scented-beard-oil-by-striking-viking" TargetMode="External"/><Relationship Id="rId697" Type="http://schemas.openxmlformats.org/officeDocument/2006/relationships/hyperlink" Target="https://striking-viking.com/fi/products/striking-viking-unscented-beard-shampoo-conditioner-set-natural-beard-care-for-men" TargetMode="External"/><Relationship Id="rId698" Type="http://schemas.openxmlformats.org/officeDocument/2006/relationships/hyperlink" Target="https://striking-viking.com/fr/products/ontaki-japanese-steel-beard-hair-scissors-5-5-inch-professional-grooming-shears" TargetMode="External"/><Relationship Id="rId699" Type="http://schemas.openxmlformats.org/officeDocument/2006/relationships/hyperlink" Target="https://striking-viking.com/it/pages/beard-filler-pens" TargetMode="External"/><Relationship Id="rId700" Type="http://schemas.openxmlformats.org/officeDocument/2006/relationships/hyperlink" Target="https://striking-viking.com/en-ca/products/ontaki-beard-mustache-scissors-with-finger-rest-5-inch-german-steel-grooming-kit" TargetMode="External"/><Relationship Id="rId701" Type="http://schemas.openxmlformats.org/officeDocument/2006/relationships/hyperlink" Target="https://striking-viking.com/es/products/carbon-wide-tooth-comb" TargetMode="External"/><Relationship Id="rId702" Type="http://schemas.openxmlformats.org/officeDocument/2006/relationships/hyperlink" Target="https://striking-viking.com/fr-ca/blogs/learn/spring-style-refresh-how-to-update-your-beard-and-hair-for-warmer-weather" TargetMode="External"/><Relationship Id="rId703" Type="http://schemas.openxmlformats.org/officeDocument/2006/relationships/hyperlink" Target="https://striking-viking.com/de/blogs/learn/beard-oil-vs-beard-balm-solving-the-modern-problem-for-gentlemen-with-beards" TargetMode="External"/><Relationship Id="rId704" Type="http://schemas.openxmlformats.org/officeDocument/2006/relationships/hyperlink" Target="https://striking-viking.com/it/products/hair-fiber-men" TargetMode="External"/><Relationship Id="rId705" Type="http://schemas.openxmlformats.org/officeDocument/2006/relationships/hyperlink" Target="https://striking-viking.com/fr/blogs/learn/all-you-need-to-know-about-beard-filler-pens" TargetMode="External"/><Relationship Id="rId706" Type="http://schemas.openxmlformats.org/officeDocument/2006/relationships/hyperlink" Target="https://striking-viking.com/es/products/striking-viking-tea-tree-biotin-beard-shampoo-conditioner-set-for-healthy-beard-care" TargetMode="External"/><Relationship Id="rId707" Type="http://schemas.openxmlformats.org/officeDocument/2006/relationships/hyperlink" Target="https://striking-viking.com/fr-ca/products/striking-viking-beard-growth-mastery-bundle-with-sandalwood-vanilla-biotin-oils-and-derma-roller" TargetMode="External"/><Relationship Id="rId708" Type="http://schemas.openxmlformats.org/officeDocument/2006/relationships/hyperlink" Target="https://striking-viking.com/fr-ca/products/striking-viking-citrus-beard-oil" TargetMode="External"/><Relationship Id="rId709" Type="http://schemas.openxmlformats.org/officeDocument/2006/relationships/hyperlink" Target="https://striking-viking.com/fr-ca/collections/subscribe-save" TargetMode="External"/><Relationship Id="rId710" Type="http://schemas.openxmlformats.org/officeDocument/2006/relationships/hyperlink" Target="https://striking-viking.com/it/products/striking-viking-battle-ready-beard-care-kit-with-beard-oils-balms-beard-filler-pen" TargetMode="External"/><Relationship Id="rId711" Type="http://schemas.openxmlformats.org/officeDocument/2006/relationships/hyperlink" Target="https://striking-viking.com/en-ca/products/ontaki-curved-fabric-scissors-6-5-inch-german-stainless-steel-embroidery-scissors" TargetMode="External"/><Relationship Id="rId712" Type="http://schemas.openxmlformats.org/officeDocument/2006/relationships/hyperlink" Target="https://striking-viking.com/es/products/striking-viking-unscented-beard-shampoo-conditioner-set-natural-beard-care-for-men" TargetMode="External"/><Relationship Id="rId713" Type="http://schemas.openxmlformats.org/officeDocument/2006/relationships/hyperlink" Target="https://striking-viking.com/fr-ca/blogs/learn/all-you-need-to-know-about-beard-filler-pens" TargetMode="External"/><Relationship Id="rId714" Type="http://schemas.openxmlformats.org/officeDocument/2006/relationships/hyperlink" Target="https://striking-viking.com/fr/products/charlemagne-original-hair-pomade-for-men-strong-hold-water-based-styling-pomade-100ml" TargetMode="External"/><Relationship Id="rId715" Type="http://schemas.openxmlformats.org/officeDocument/2006/relationships/hyperlink" Target="https://striking-viking.com/es/blogs/learn/the-ultimate-guide-to-grooming-with-ontaki-scissors" TargetMode="External"/><Relationship Id="rId716" Type="http://schemas.openxmlformats.org/officeDocument/2006/relationships/hyperlink" Target="https://striking-viking.com/en-gb/products/ontaki-japanese-steel-beard-hair-scissors-5-5-inch-professional-grooming-shears" TargetMode="External"/><Relationship Id="rId717" Type="http://schemas.openxmlformats.org/officeDocument/2006/relationships/hyperlink" Target="https://striking-viking.com/de/pages/beard-filler-pens" TargetMode="External"/><Relationship Id="rId718" Type="http://schemas.openxmlformats.org/officeDocument/2006/relationships/hyperlink" Target="https://striking-viking.com/no/blogs/learn/essential-grooming-supplies-for-the-bearded-man" TargetMode="External"/><Relationship Id="rId719" Type="http://schemas.openxmlformats.org/officeDocument/2006/relationships/hyperlink" Target="https://striking-viking.com/fr/blogs/learn/beard-grooming-tools-for-professional-styling-at-home" TargetMode="External"/><Relationship Id="rId720" Type="http://schemas.openxmlformats.org/officeDocument/2006/relationships/hyperlink" Target="https://striking-viking.com/es/products/striking-viking-unscented-beard-butter-for-moisturizing-softening-daily-beard-care" TargetMode="External"/><Relationship Id="rId721" Type="http://schemas.openxmlformats.org/officeDocument/2006/relationships/hyperlink" Target="https://striking-viking.com/no/blogs/learn/all-you-need-to-know-about-beard-filler-pens" TargetMode="External"/><Relationship Id="rId722" Type="http://schemas.openxmlformats.org/officeDocument/2006/relationships/hyperlink" Target="https://striking-viking.com/fr-ca/products/ontaki-curved-fabric-scissors-6-5-inch-german-stainless-steel-embroidery-scissors" TargetMode="External"/><Relationship Id="rId723" Type="http://schemas.openxmlformats.org/officeDocument/2006/relationships/hyperlink" Target="https://striking-viking.com/fi/products/striking-viking-vanilla-after-shave-balm-for-men-soothing-hydration-skin-care" TargetMode="External"/><Relationship Id="rId724" Type="http://schemas.openxmlformats.org/officeDocument/2006/relationships/hyperlink" Target="https://striking-viking.com/en-ca/products/striking-viking-sandalwood-shaving-cream-for-men-rich-lather-for-a-smooth-comfortable-shave" TargetMode="External"/><Relationship Id="rId725" Type="http://schemas.openxmlformats.org/officeDocument/2006/relationships/hyperlink" Target="https://striking-viking.com/fr/products/striking-viking-unscented-beard-balm-natural-beard-styling-conditioning" TargetMode="External"/><Relationship Id="rId726" Type="http://schemas.openxmlformats.org/officeDocument/2006/relationships/hyperlink" Target="https://striking-viking.com/es/products/striking-viking-unscented-beard-oil-and-balm-kit-natural-beard-grooming-set-for-men" TargetMode="External"/><Relationship Id="rId727" Type="http://schemas.openxmlformats.org/officeDocument/2006/relationships/hyperlink" Target="https://striking-viking.com/es/products/striking-viking-vanilla-beard-growth-oil-with-biotin-castor-oil-for-fuller-beard-growth" TargetMode="External"/><Relationship Id="rId728" Type="http://schemas.openxmlformats.org/officeDocument/2006/relationships/hyperlink" Target="https://striking-viking.com/fr-ca/products/ontaki-facial-hair-grooming-scissors-2-pack-precision-beard-nose-mustache-trimming" TargetMode="External"/><Relationship Id="rId729" Type="http://schemas.openxmlformats.org/officeDocument/2006/relationships/hyperlink" Target="https://striking-viking.com/no/blogs/learn/16918829-the-ingredients-and-why-they-matter" TargetMode="External"/><Relationship Id="rId730" Type="http://schemas.openxmlformats.org/officeDocument/2006/relationships/hyperlink" Target="https://striking-viking.com/en-gb/blogs/learn/top-10-beard-costumes-for-halloween" TargetMode="External"/><Relationship Id="rId731" Type="http://schemas.openxmlformats.org/officeDocument/2006/relationships/hyperlink" Target="https://striking-viking.com/es/products/striking-viking-sandalwood-shaving-cream-for-men-rich-lather-for-a-smooth-comfortable-shave" TargetMode="External"/><Relationship Id="rId732" Type="http://schemas.openxmlformats.org/officeDocument/2006/relationships/hyperlink" Target="https://striking-viking.com/es/products/striking-viking-bergamot-thunder-beard-oil-for-men-natural-beard-growth-oil-with-argan-jojoba" TargetMode="External"/><Relationship Id="rId733" Type="http://schemas.openxmlformats.org/officeDocument/2006/relationships/hyperlink" Target="https://striking-viking.com/de/products/after-shave-balsam" TargetMode="External"/><Relationship Id="rId734" Type="http://schemas.openxmlformats.org/officeDocument/2006/relationships/hyperlink" Target="https://striking-viking.com/fr-ca/collections/beard-essentials" TargetMode="External"/><Relationship Id="rId735" Type="http://schemas.openxmlformats.org/officeDocument/2006/relationships/hyperlink" Target="https://striking-viking.com/fr-ca/blogs/learn/beard-grooming-tools-for-professional-styling-at-home" TargetMode="External"/><Relationship Id="rId736" Type="http://schemas.openxmlformats.org/officeDocument/2006/relationships/hyperlink" Target="https://striking-viking.com/fi/products/striking-viking-vanilla-beard-growth-oil-with-biotin-castor-oil-for-fuller-beard-growth" TargetMode="External"/><Relationship Id="rId737" Type="http://schemas.openxmlformats.org/officeDocument/2006/relationships/hyperlink" Target="https://striking-viking.com/fi/blogs/learn/41234689-brian-wilson" TargetMode="External"/><Relationship Id="rId738" Type="http://schemas.openxmlformats.org/officeDocument/2006/relationships/hyperlink" Target="https://striking-viking.com/es/blogs/learn/essential-grooming-supplies-for-the-bearded-man" TargetMode="External"/><Relationship Id="rId739" Type="http://schemas.openxmlformats.org/officeDocument/2006/relationships/hyperlink" Target="https://striking-viking.com/it/blogs/learn/41241281-the-dude" TargetMode="External"/><Relationship Id="rId740" Type="http://schemas.openxmlformats.org/officeDocument/2006/relationships/hyperlink" Target="https://striking-viking.com/fi/blogs/learn/scented-beard-oil-by-striking-viking" TargetMode="External"/><Relationship Id="rId741" Type="http://schemas.openxmlformats.org/officeDocument/2006/relationships/hyperlink" Target="https://striking-viking.com/de/products/haarfasern-fur-manner" TargetMode="External"/><Relationship Id="rId742" Type="http://schemas.openxmlformats.org/officeDocument/2006/relationships/hyperlink" Target="https://striking-viking.com/es/blogs/learn/striking-viking-beard-comb-for-routine-beard-management" TargetMode="External"/><Relationship Id="rId743" Type="http://schemas.openxmlformats.org/officeDocument/2006/relationships/hyperlink" Target="https://striking-viking.com/products/hair-fiber-men" TargetMode="External"/><Relationship Id="rId744" Type="http://schemas.openxmlformats.org/officeDocument/2006/relationships/hyperlink" Target="https://striking-viking.com/fr-ca/products/striking-viking-unscented-beard-oil-and-balm-kit-natural-beard-grooming-set-for-men" TargetMode="External"/><Relationship Id="rId745" Type="http://schemas.openxmlformats.org/officeDocument/2006/relationships/hyperlink" Target="https://striking-viking.com/it/blogs/learn/how-to-use-beard-balm-properly-a-complete-guide" TargetMode="External"/><Relationship Id="rId746" Type="http://schemas.openxmlformats.org/officeDocument/2006/relationships/hyperlink" Target="https://striking-viking.com/es/products/striking-viking-battle-ready-beard-care-kit-with-beard-oils-balms-beard-filler-pen" TargetMode="External"/><Relationship Id="rId747" Type="http://schemas.openxmlformats.org/officeDocument/2006/relationships/hyperlink" Target="https://striking-viking.com/en-ca/blogs/learn/41241281-the-dude" TargetMode="External"/><Relationship Id="rId748" Type="http://schemas.openxmlformats.org/officeDocument/2006/relationships/hyperlink" Target="https://striking-viking.com/es/blogs/learn/how-to-choose-the-right-hair-cutting-scissors-for-home-or-salon-use" TargetMode="External"/><Relationship Id="rId749" Type="http://schemas.openxmlformats.org/officeDocument/2006/relationships/hyperlink" Target="https://striking-viking.com/fr-ca/products/striking-viking-hybrid-beard-growth-bundle-with-sandalwood-unscented-beard-oils-and-derma-roller" TargetMode="External"/><Relationship Id="rId750" Type="http://schemas.openxmlformats.org/officeDocument/2006/relationships/hyperlink" Target="https://striking-viking.com/no/products/striking-viking-beard-balm-variety-4-pack-citrus-vanilla-cedarwood-sandalwood" TargetMode="External"/><Relationship Id="rId751" Type="http://schemas.openxmlformats.org/officeDocument/2006/relationships/hyperlink" Target="https://striking-viking.com/fi/products/striking-viking-hair-styling-powder-for-men-light-hold-vanilla-natural-volume-texture" TargetMode="External"/><Relationship Id="rId752" Type="http://schemas.openxmlformats.org/officeDocument/2006/relationships/hyperlink" Target="https://striking-viking.com/fi/products/striking-viking-beard-growth-kit-with-beard-roller-vanilla-unscented-biotin-oils-for-men" TargetMode="External"/><Relationship Id="rId753" Type="http://schemas.openxmlformats.org/officeDocument/2006/relationships/hyperlink" Target="https://striking-viking.com/fr-ca/products/striking-viking-unscented-after-shave-balm-for-men-soothing-hydration-skin-care" TargetMode="External"/><Relationship Id="rId754" Type="http://schemas.openxmlformats.org/officeDocument/2006/relationships/hyperlink" Target="https://striking-viking.com/en-ca/products/ontaki-japanese-steel-beard-mustache-scissors-5-5-inch-professional-grooming-kit" TargetMode="External"/><Relationship Id="rId755" Type="http://schemas.openxmlformats.org/officeDocument/2006/relationships/hyperlink" Target="https://striking-viking.com/fr/products/striking-viking-beard-growth-power-kit-with-biotin-beard-oil-shampoo-derma-roller" TargetMode="External"/><Relationship Id="rId756" Type="http://schemas.openxmlformats.org/officeDocument/2006/relationships/hyperlink" Target="https://striking-viking.com/fr/blogs/learn/how-to-choose-the-right-hair-cutting-scissors-for-home-or-salon-use" TargetMode="External"/><Relationship Id="rId757" Type="http://schemas.openxmlformats.org/officeDocument/2006/relationships/hyperlink" Target="https://striking-viking.com/fr-ca/blogs/learn/41241281-the-dude" TargetMode="External"/><Relationship Id="rId758" Type="http://schemas.openxmlformats.org/officeDocument/2006/relationships/hyperlink" Target="https://striking-viking.com/de/blogs/learn/46928577-tips-to-protect-your-beard-from-the-cold" TargetMode="External"/><Relationship Id="rId759" Type="http://schemas.openxmlformats.org/officeDocument/2006/relationships/hyperlink" Target="https://striking-viking.com/fr-ca/products/charlemagne-original-hair-pomade-for-men-strong-hold-water-based-styling-pomade-100ml" TargetMode="External"/><Relationship Id="rId760" Type="http://schemas.openxmlformats.org/officeDocument/2006/relationships/hyperlink" Target="https://striking-viking.com/es/blogs/learn/beard-grooming-tools-for-professional-styling-at-home" TargetMode="External"/><Relationship Id="rId761" Type="http://schemas.openxmlformats.org/officeDocument/2006/relationships/hyperlink" Target="https://striking-viking.com/fr-ca/products/beard-growth-butter-with-biotin-4-oz-blue-ocean" TargetMode="External"/><Relationship Id="rId762" Type="http://schemas.openxmlformats.org/officeDocument/2006/relationships/hyperlink" Target="https://striking-viking.com/no/products/striking-viking-citrus-beard-oil" TargetMode="External"/><Relationship Id="rId763" Type="http://schemas.openxmlformats.org/officeDocument/2006/relationships/hyperlink" Target="https://striking-viking.com/it/products/striking-viking-hair-styling-powder-for-men-strong-hold-vanilla-volume-texture" TargetMode="External"/><Relationship Id="rId764" Type="http://schemas.openxmlformats.org/officeDocument/2006/relationships/hyperlink" Target="https://striking-viking.com/fr/pages/beard-filler-pens" TargetMode="External"/><Relationship Id="rId765" Type="http://schemas.openxmlformats.org/officeDocument/2006/relationships/hyperlink" Target="https://striking-viking.com/en-ca/products/ontaki-facial-hair-grooming-scissors-2-pack-precision-beard-nose-mustache-trimming" TargetMode="External"/><Relationship Id="rId766" Type="http://schemas.openxmlformats.org/officeDocument/2006/relationships/hyperlink" Target="https://striking-viking.com/es/products/striking-viking-vanilla-beard-growth-kit-with-biotin-oil-0-25mm-derma-roller" TargetMode="External"/><Relationship Id="rId767" Type="http://schemas.openxmlformats.org/officeDocument/2006/relationships/hyperlink" Target="https://striking-viking.com/it/blogs/learn/what-are-the-best-beard-scissors-for-precision-grooming" TargetMode="External"/><Relationship Id="rId768" Type="http://schemas.openxmlformats.org/officeDocument/2006/relationships/hyperlink" Target="https://striking-viking.com/it/products/striking-viking-beard-shampoo-with-natural-peppermint-eucalyptus-for-refreshing-beard-care" TargetMode="External"/><Relationship Id="rId769" Type="http://schemas.openxmlformats.org/officeDocument/2006/relationships/hyperlink" Target="https://striking-viking.com/fr/products/striking-viking-tea-tree-biotin-beard-wash-cologne-for-clean-fresh-healthy-beard-care" TargetMode="External"/><Relationship Id="rId770" Type="http://schemas.openxmlformats.org/officeDocument/2006/relationships/hyperlink" Target="https://striking-viking.com/fr-ca/products/striking-viking-unscented-beard-oil-natural-organic-beard-care" TargetMode="External"/><Relationship Id="rId771" Type="http://schemas.openxmlformats.org/officeDocument/2006/relationships/hyperlink" Target="https://striking-viking.com/es/blogs/learn/16918829-the-ingredients-and-why-they-matter" TargetMode="External"/><Relationship Id="rId772" Type="http://schemas.openxmlformats.org/officeDocument/2006/relationships/hyperlink" Target="https://striking-viking.com/es/products/striking-viking-sandalwood-beard-growth-kit-with-biotin-oil-0-25mm-derma-roller" TargetMode="External"/>
</Relationships>
</file>

<file path=xl/worksheets/_rels/sheet33.xml.rels><?xml version="1.0" encoding="UTF-8"?>
<Relationships xmlns="http://schemas.openxmlformats.org/package/2006/relationships"><Relationship Id="rId1" Type="http://schemas.openxmlformats.org/officeDocument/2006/relationships/hyperlink" Target="https://striking-viking.com/pages/contact-us" TargetMode="External"/><Relationship Id="rId2" Type="http://schemas.openxmlformats.org/officeDocument/2006/relationships/hyperlink" Target="https://striking-viking.com/pages/faqs" TargetMode="External"/><Relationship Id="rId3" Type="http://schemas.openxmlformats.org/officeDocument/2006/relationships/hyperlink" Target="https://striking-viking.com/pages/sign-up" TargetMode="External"/><Relationship Id="rId4" Type="http://schemas.openxmlformats.org/officeDocument/2006/relationships/hyperlink" Target="https://striking-viking.com/collections/2026-deals" TargetMode="External"/><Relationship Id="rId5" Type="http://schemas.openxmlformats.org/officeDocument/2006/relationships/hyperlink" Target="https://striking-viking.com/de/collections/2026-deals" TargetMode="External"/><Relationship Id="rId6" Type="http://schemas.openxmlformats.org/officeDocument/2006/relationships/hyperlink" Target="https://striking-viking.com/en-ca/pages/contact-us" TargetMode="External"/><Relationship Id="rId7" Type="http://schemas.openxmlformats.org/officeDocument/2006/relationships/hyperlink" Target="https://striking-viking.com/fr/pages/faqs" TargetMode="External"/><Relationship Id="rId8" Type="http://schemas.openxmlformats.org/officeDocument/2006/relationships/hyperlink" Target="https://striking-viking.com/it/pages/faqs" TargetMode="External"/><Relationship Id="rId9" Type="http://schemas.openxmlformats.org/officeDocument/2006/relationships/hyperlink" Target="https://striking-viking.com/it/pages/contact-us" TargetMode="External"/><Relationship Id="rId10" Type="http://schemas.openxmlformats.org/officeDocument/2006/relationships/hyperlink" Target="https://striking-viking.com/fr/collections/2026-deals" TargetMode="External"/><Relationship Id="rId11" Type="http://schemas.openxmlformats.org/officeDocument/2006/relationships/hyperlink" Target="https://striking-viking.com/no/pages/contact-us" TargetMode="External"/><Relationship Id="rId12" Type="http://schemas.openxmlformats.org/officeDocument/2006/relationships/hyperlink" Target="https://striking-viking.com/sv/pages/faqs" TargetMode="External"/><Relationship Id="rId13" Type="http://schemas.openxmlformats.org/officeDocument/2006/relationships/hyperlink" Target="https://striking-viking.com/fr/pages/contact-us" TargetMode="External"/><Relationship Id="rId14" Type="http://schemas.openxmlformats.org/officeDocument/2006/relationships/hyperlink" Target="https://striking-viking.com/es/collections/2026-deals" TargetMode="External"/><Relationship Id="rId15" Type="http://schemas.openxmlformats.org/officeDocument/2006/relationships/hyperlink" Target="https://striking-viking.com/en-gb/pages/contact-us" TargetMode="External"/><Relationship Id="rId16" Type="http://schemas.openxmlformats.org/officeDocument/2006/relationships/hyperlink" Target="https://striking-viking.com/sv/collections/2026-deals" TargetMode="External"/><Relationship Id="rId17" Type="http://schemas.openxmlformats.org/officeDocument/2006/relationships/hyperlink" Target="https://striking-viking.com/en-gb/pages/faqs" TargetMode="External"/><Relationship Id="rId18" Type="http://schemas.openxmlformats.org/officeDocument/2006/relationships/hyperlink" Target="https://striking-viking.com/no/collections/2026-deals" TargetMode="External"/><Relationship Id="rId19" Type="http://schemas.openxmlformats.org/officeDocument/2006/relationships/hyperlink" Target="https://striking-viking.com/es/pages/faqs" TargetMode="External"/><Relationship Id="rId20" Type="http://schemas.openxmlformats.org/officeDocument/2006/relationships/hyperlink" Target="https://striking-viking.com/de/pages/contact-us" TargetMode="External"/><Relationship Id="rId21" Type="http://schemas.openxmlformats.org/officeDocument/2006/relationships/hyperlink" Target="https://striking-viking.com/it/collections/2026-deals" TargetMode="External"/><Relationship Id="rId22" Type="http://schemas.openxmlformats.org/officeDocument/2006/relationships/hyperlink" Target="https://striking-viking.com/sv/pages/contact-us" TargetMode="External"/><Relationship Id="rId23" Type="http://schemas.openxmlformats.org/officeDocument/2006/relationships/hyperlink" Target="https://striking-viking.com/en-gb/collections/2026-deals" TargetMode="External"/><Relationship Id="rId24" Type="http://schemas.openxmlformats.org/officeDocument/2006/relationships/hyperlink" Target="https://striking-viking.com/en-ca/pages/faqs" TargetMode="External"/><Relationship Id="rId25" Type="http://schemas.openxmlformats.org/officeDocument/2006/relationships/hyperlink" Target="https://striking-viking.com/fi/pages/faqs" TargetMode="External"/><Relationship Id="rId26" Type="http://schemas.openxmlformats.org/officeDocument/2006/relationships/hyperlink" Target="https://striking-viking.com/no/pages/faqs" TargetMode="External"/><Relationship Id="rId27" Type="http://schemas.openxmlformats.org/officeDocument/2006/relationships/hyperlink" Target="https://striking-viking.com/en-ca/collections/2026-deals" TargetMode="External"/><Relationship Id="rId28" Type="http://schemas.openxmlformats.org/officeDocument/2006/relationships/hyperlink" Target="https://striking-viking.com/de/pages/faqs" TargetMode="External"/><Relationship Id="rId29" Type="http://schemas.openxmlformats.org/officeDocument/2006/relationships/hyperlink" Target="https://striking-viking.com/fi/collections/2026-deals" TargetMode="External"/><Relationship Id="rId30" Type="http://schemas.openxmlformats.org/officeDocument/2006/relationships/hyperlink" Target="https://striking-viking.com/fi/pages/contact-us" TargetMode="External"/><Relationship Id="rId31" Type="http://schemas.openxmlformats.org/officeDocument/2006/relationships/hyperlink" Target="https://striking-viking.com/es/pages/contact-us" TargetMode="External"/><Relationship Id="rId32" Type="http://schemas.openxmlformats.org/officeDocument/2006/relationships/hyperlink" Target="https://striking-viking.com/en-gb/pages/sign-up" TargetMode="External"/><Relationship Id="rId33" Type="http://schemas.openxmlformats.org/officeDocument/2006/relationships/hyperlink" Target="https://striking-viking.com/sv/pages/sign-up" TargetMode="External"/><Relationship Id="rId34" Type="http://schemas.openxmlformats.org/officeDocument/2006/relationships/hyperlink" Target="https://striking-viking.com/en-ca/pages/sign-up" TargetMode="External"/><Relationship Id="rId35" Type="http://schemas.openxmlformats.org/officeDocument/2006/relationships/hyperlink" Target="https://striking-viking.com/es/pages/sign-up" TargetMode="External"/><Relationship Id="rId36" Type="http://schemas.openxmlformats.org/officeDocument/2006/relationships/hyperlink" Target="https://striking-viking.com/collections/new-in-oils-balms" TargetMode="External"/><Relationship Id="rId37" Type="http://schemas.openxmlformats.org/officeDocument/2006/relationships/hyperlink" Target="https://striking-viking.com/de/pages/free-moustache-beard-scissors" TargetMode="External"/><Relationship Id="rId38" Type="http://schemas.openxmlformats.org/officeDocument/2006/relationships/hyperlink" Target="https://striking-viking.com/pages/free-moustache-beard-scissors" TargetMode="External"/><Relationship Id="rId39" Type="http://schemas.openxmlformats.org/officeDocument/2006/relationships/hyperlink" Target="https://striking-viking.com/fi/pages/sign-up" TargetMode="External"/><Relationship Id="rId40" Type="http://schemas.openxmlformats.org/officeDocument/2006/relationships/hyperlink" Target="https://striking-viking.com/en-gb/pages/free-moustache-beard-scissors" TargetMode="External"/><Relationship Id="rId41" Type="http://schemas.openxmlformats.org/officeDocument/2006/relationships/hyperlink" Target="https://striking-viking.com/sv/collections/new-in-oils-balms" TargetMode="External"/><Relationship Id="rId42" Type="http://schemas.openxmlformats.org/officeDocument/2006/relationships/hyperlink" Target="https://striking-viking.com/en-ca/collections/new-in-oils-balms" TargetMode="External"/><Relationship Id="rId43" Type="http://schemas.openxmlformats.org/officeDocument/2006/relationships/hyperlink" Target="https://striking-viking.com/de/pages/sign-up" TargetMode="External"/><Relationship Id="rId44" Type="http://schemas.openxmlformats.org/officeDocument/2006/relationships/hyperlink" Target="https://striking-viking.com/en-ca/pages/free-moustache-beard-scissors" TargetMode="External"/><Relationship Id="rId45" Type="http://schemas.openxmlformats.org/officeDocument/2006/relationships/hyperlink" Target="https://striking-viking.com/en-gb/collections/new-in-oils-balms" TargetMode="External"/><Relationship Id="rId46" Type="http://schemas.openxmlformats.org/officeDocument/2006/relationships/hyperlink" Target="https://striking-viking.com/es/collections/new-in-oils-balms" TargetMode="External"/><Relationship Id="rId47" Type="http://schemas.openxmlformats.org/officeDocument/2006/relationships/hyperlink" Target="https://striking-viking.com/de/collections/new-in-oils-balms" TargetMode="External"/><Relationship Id="rId48" Type="http://schemas.openxmlformats.org/officeDocument/2006/relationships/hyperlink" Target="https://striking-viking.com/fi/collections/new-in-oils-balms" TargetMode="External"/><Relationship Id="rId49" Type="http://schemas.openxmlformats.org/officeDocument/2006/relationships/hyperlink" Target="https://striking-viking.com/fr-ca/pages/contact-us" TargetMode="External"/><Relationship Id="rId50" Type="http://schemas.openxmlformats.org/officeDocument/2006/relationships/hyperlink" Target="https://striking-viking.com/fr-ca/collections/2026-deals" TargetMode="External"/><Relationship Id="rId51" Type="http://schemas.openxmlformats.org/officeDocument/2006/relationships/hyperlink" Target="https://striking-viking.com/fr-ca/pages/faqs" TargetMode="External"/><Relationship Id="rId52" Type="http://schemas.openxmlformats.org/officeDocument/2006/relationships/hyperlink" Target="https://striking-viking.com/de/pages/ilm2025" TargetMode="External"/><Relationship Id="rId53" Type="http://schemas.openxmlformats.org/officeDocument/2006/relationships/hyperlink" Target="https://striking-viking.com/no/pages/ilm2025" TargetMode="External"/><Relationship Id="rId54" Type="http://schemas.openxmlformats.org/officeDocument/2006/relationships/hyperlink" Target="https://striking-viking.com/fi/pages/ilm-2025-sign-up" TargetMode="External"/><Relationship Id="rId55" Type="http://schemas.openxmlformats.org/officeDocument/2006/relationships/hyperlink" Target="https://striking-viking.com/es/pages/free-moustache-beard-scissors" TargetMode="External"/><Relationship Id="rId56" Type="http://schemas.openxmlformats.org/officeDocument/2006/relationships/hyperlink" Target="https://striking-viking.com/sv/pages/ilm-2025-sign-up" TargetMode="External"/><Relationship Id="rId57" Type="http://schemas.openxmlformats.org/officeDocument/2006/relationships/hyperlink" Target="https://striking-viking.com/fi/pages/free-moustache-beard-scissors" TargetMode="External"/><Relationship Id="rId58" Type="http://schemas.openxmlformats.org/officeDocument/2006/relationships/hyperlink" Target="https://striking-viking.com/fr/collections/new-in-oils-balms" TargetMode="External"/><Relationship Id="rId59" Type="http://schemas.openxmlformats.org/officeDocument/2006/relationships/hyperlink" Target="https://striking-viking.com/fr-ca/collections/new-in-oils-balms" TargetMode="External"/><Relationship Id="rId60" Type="http://schemas.openxmlformats.org/officeDocument/2006/relationships/hyperlink" Target="https://striking-viking.com/no/pages/ilm-2025-sign-up" TargetMode="External"/><Relationship Id="rId61" Type="http://schemas.openxmlformats.org/officeDocument/2006/relationships/hyperlink" Target="https://striking-viking.com/fr/pages/free-moustache-beard-scissors" TargetMode="External"/><Relationship Id="rId62" Type="http://schemas.openxmlformats.org/officeDocument/2006/relationships/hyperlink" Target="https://striking-viking.com/de/pages/ilm-2025-sign-up" TargetMode="External"/><Relationship Id="rId63" Type="http://schemas.openxmlformats.org/officeDocument/2006/relationships/hyperlink" Target="https://striking-viking.com/en-ca/pages/ilm-2025-sign-up" TargetMode="External"/><Relationship Id="rId64" Type="http://schemas.openxmlformats.org/officeDocument/2006/relationships/hyperlink" Target="https://striking-viking.com/it/collections/new-in-oils-balms" TargetMode="External"/><Relationship Id="rId65" Type="http://schemas.openxmlformats.org/officeDocument/2006/relationships/hyperlink" Target="https://striking-viking.com/fr/pages/ilm2025" TargetMode="External"/><Relationship Id="rId66" Type="http://schemas.openxmlformats.org/officeDocument/2006/relationships/hyperlink" Target="https://striking-viking.com/en-gb/pages/ilm2025" TargetMode="External"/><Relationship Id="rId67" Type="http://schemas.openxmlformats.org/officeDocument/2006/relationships/hyperlink" Target="https://striking-viking.com/no/collections/new-in-oils-balms" TargetMode="External"/><Relationship Id="rId68" Type="http://schemas.openxmlformats.org/officeDocument/2006/relationships/hyperlink" Target="https://striking-viking.com/fr-ca/pages/ilm2025" TargetMode="External"/><Relationship Id="rId69" Type="http://schemas.openxmlformats.org/officeDocument/2006/relationships/hyperlink" Target="https://striking-viking.com/fr/pages/ilm-2025-sign-up" TargetMode="External"/><Relationship Id="rId70" Type="http://schemas.openxmlformats.org/officeDocument/2006/relationships/hyperlink" Target="https://striking-viking.com/no/pages/free-moustache-beard-scissors" TargetMode="External"/><Relationship Id="rId71" Type="http://schemas.openxmlformats.org/officeDocument/2006/relationships/hyperlink" Target="https://striking-viking.com/fr-ca/pages/sign-up" TargetMode="External"/><Relationship Id="rId72" Type="http://schemas.openxmlformats.org/officeDocument/2006/relationships/hyperlink" Target="https://striking-viking.com/sv/pages/free-moustache-beard-scissors" TargetMode="External"/><Relationship Id="rId73" Type="http://schemas.openxmlformats.org/officeDocument/2006/relationships/hyperlink" Target="https://striking-viking.com/it/pages/ilm-2025-sign-up" TargetMode="External"/><Relationship Id="rId74" Type="http://schemas.openxmlformats.org/officeDocument/2006/relationships/hyperlink" Target="https://striking-viking.com/fi/pages/ilm2025" TargetMode="External"/><Relationship Id="rId75" Type="http://schemas.openxmlformats.org/officeDocument/2006/relationships/hyperlink" Target="https://striking-viking.com/fr-ca/pages/free-moustache-beard-scissors" TargetMode="External"/><Relationship Id="rId76" Type="http://schemas.openxmlformats.org/officeDocument/2006/relationships/hyperlink" Target="https://striking-viking.com/it/pages/free-moustache-beard-scissors" TargetMode="External"/><Relationship Id="rId77" Type="http://schemas.openxmlformats.org/officeDocument/2006/relationships/hyperlink" Target="https://striking-viking.com/en-gb/pages/ilm-2025-sign-up" TargetMode="External"/><Relationship Id="rId78" Type="http://schemas.openxmlformats.org/officeDocument/2006/relationships/hyperlink" Target="https://striking-viking.com/sv/pages/ilm2025" TargetMode="External"/><Relationship Id="rId79" Type="http://schemas.openxmlformats.org/officeDocument/2006/relationships/hyperlink" Target="https://striking-viking.com/it/pages/sign-up" TargetMode="External"/><Relationship Id="rId80" Type="http://schemas.openxmlformats.org/officeDocument/2006/relationships/hyperlink" Target="https://striking-viking.com/it/pages/ilm2025" TargetMode="External"/><Relationship Id="rId81" Type="http://schemas.openxmlformats.org/officeDocument/2006/relationships/hyperlink" Target="https://striking-viking.com/no/pages/sign-up" TargetMode="External"/><Relationship Id="rId82" Type="http://schemas.openxmlformats.org/officeDocument/2006/relationships/hyperlink" Target="https://striking-viking.com/es/pages/ilm2025" TargetMode="External"/><Relationship Id="rId83" Type="http://schemas.openxmlformats.org/officeDocument/2006/relationships/hyperlink" Target="https://striking-viking.com/en-ca/pages/ilm2025" TargetMode="External"/><Relationship Id="rId84" Type="http://schemas.openxmlformats.org/officeDocument/2006/relationships/hyperlink" Target="https://striking-viking.com/pages/ilm2025" TargetMode="External"/><Relationship Id="rId85" Type="http://schemas.openxmlformats.org/officeDocument/2006/relationships/hyperlink" Target="https://striking-viking.com/fr/pages/sign-up" TargetMode="External"/><Relationship Id="rId86" Type="http://schemas.openxmlformats.org/officeDocument/2006/relationships/hyperlink" Target="https://striking-viking.com/pages/ilm-2025-sign-up" TargetMode="External"/><Relationship Id="rId87" Type="http://schemas.openxmlformats.org/officeDocument/2006/relationships/hyperlink" Target="https://striking-viking.com/es/pages/ilm-2025-sign-up" TargetMode="External"/><Relationship Id="rId88" Type="http://schemas.openxmlformats.org/officeDocument/2006/relationships/hyperlink" Target="https://striking-viking.com/fr-ca/pages/ilm-2025-sign-up" TargetMode="External"/>
</Relationships>
</file>

<file path=xl/worksheets/_rels/sheet34.xml.rels><?xml version="1.0" encoding="UTF-8"?>
<Relationships xmlns="http://schemas.openxmlformats.org/package/2006/relationships"><Relationship Id="rId1" Type="http://schemas.openxmlformats.org/officeDocument/2006/relationships/hyperlink" Target="https://striking-viking.com/de/blogs/learn/ride-the-wave-striking-viking-sea-salt-spray-for-effortless-men-s-style" TargetMode="External"/><Relationship Id="rId2" Type="http://schemas.openxmlformats.org/officeDocument/2006/relationships/hyperlink" Target="https://striking-viking.com/fi/blogs/learn/ride-the-wave-striking-viking-sea-salt-spray-for-effortless-men-s-style" TargetMode="External"/><Relationship Id="rId3" Type="http://schemas.openxmlformats.org/officeDocument/2006/relationships/hyperlink" Target="https://striking-viking.com/no/blogs/learn/ride-the-wave-striking-viking-sea-salt-spray-for-effortless-men-s-style" TargetMode="External"/><Relationship Id="rId4" Type="http://schemas.openxmlformats.org/officeDocument/2006/relationships/hyperlink" Target="https://striking-viking.com/sv/blogs/learn/ride-the-wave-striking-viking-sea-salt-spray-for-effortless-men-s-style" TargetMode="External"/><Relationship Id="rId5" Type="http://schemas.openxmlformats.org/officeDocument/2006/relationships/hyperlink" Target="https://striking-viking.com/sv/blogs/learn/the-ultimate-guide-to-grooming-with-ontaki-scissors" TargetMode="External"/><Relationship Id="rId6" Type="http://schemas.openxmlformats.org/officeDocument/2006/relationships/hyperlink" Target="https://striking-viking.com/es/pages/spurit-reminders-cancelled" TargetMode="External"/><Relationship Id="rId7" Type="http://schemas.openxmlformats.org/officeDocument/2006/relationships/hyperlink" Target="https://striking-viking.com/en-ca/pages/spurit-notifications-cancelled" TargetMode="External"/><Relationship Id="rId8" Type="http://schemas.openxmlformats.org/officeDocument/2006/relationships/hyperlink" Target="https://striking-viking.com/fr/products/shipping-protection" TargetMode="External"/><Relationship Id="rId9" Type="http://schemas.openxmlformats.org/officeDocument/2006/relationships/hyperlink" Target="https://striking-viking.com/no/pages/spurit-notifications-cancelled" TargetMode="External"/><Relationship Id="rId10" Type="http://schemas.openxmlformats.org/officeDocument/2006/relationships/hyperlink" Target="https://striking-viking.com/es/products/shipping-protection" TargetMode="External"/><Relationship Id="rId11" Type="http://schemas.openxmlformats.org/officeDocument/2006/relationships/hyperlink" Target="https://striking-viking.com/no/pages/spurit-merchant-notifications-cancelled" TargetMode="External"/><Relationship Id="rId12" Type="http://schemas.openxmlformats.org/officeDocument/2006/relationships/hyperlink" Target="https://striking-viking.com/pages/spurit-reminders-cancelled" TargetMode="External"/><Relationship Id="rId13" Type="http://schemas.openxmlformats.org/officeDocument/2006/relationships/hyperlink" Target="https://striking-viking.com/en-ca/pages/spurit-merchant-notifications-cancelled" TargetMode="External"/><Relationship Id="rId14" Type="http://schemas.openxmlformats.org/officeDocument/2006/relationships/hyperlink" Target="https://striking-viking.com/it/pages/spurit-reminders-cancelled" TargetMode="External"/><Relationship Id="rId15" Type="http://schemas.openxmlformats.org/officeDocument/2006/relationships/hyperlink" Target="https://striking-viking.com/pages/spurit-merchant-notifications-cancelled" TargetMode="External"/><Relationship Id="rId16" Type="http://schemas.openxmlformats.org/officeDocument/2006/relationships/hyperlink" Target="https://striking-viking.com/en-ca/pages/spurit-reminders-cancelled" TargetMode="External"/><Relationship Id="rId17" Type="http://schemas.openxmlformats.org/officeDocument/2006/relationships/hyperlink" Target="https://striking-viking.com/en-gb/pages/spurit-notifications-cancelled" TargetMode="External"/><Relationship Id="rId18" Type="http://schemas.openxmlformats.org/officeDocument/2006/relationships/hyperlink" Target="https://striking-viking.com/it/products/shipping-protection" TargetMode="External"/><Relationship Id="rId19" Type="http://schemas.openxmlformats.org/officeDocument/2006/relationships/hyperlink" Target="https://striking-viking.com/it/pages/spurit-notifications-cancelled" TargetMode="External"/><Relationship Id="rId20" Type="http://schemas.openxmlformats.org/officeDocument/2006/relationships/hyperlink" Target="https://striking-viking.com/fi/products/shipping-protection" TargetMode="External"/><Relationship Id="rId21" Type="http://schemas.openxmlformats.org/officeDocument/2006/relationships/hyperlink" Target="https://striking-viking.com/fr/pages/spurit-notifications-cancelled" TargetMode="External"/><Relationship Id="rId22" Type="http://schemas.openxmlformats.org/officeDocument/2006/relationships/hyperlink" Target="https://striking-viking.com/de/pages/spurit-notifications-cancelled" TargetMode="External"/><Relationship Id="rId23" Type="http://schemas.openxmlformats.org/officeDocument/2006/relationships/hyperlink" Target="https://striking-viking.com/en-ca/products/shipping-protection" TargetMode="External"/><Relationship Id="rId24" Type="http://schemas.openxmlformats.org/officeDocument/2006/relationships/hyperlink" Target="https://striking-viking.com/no/pages/spurit-reminders-cancelled" TargetMode="External"/><Relationship Id="rId25" Type="http://schemas.openxmlformats.org/officeDocument/2006/relationships/hyperlink" Target="https://striking-viking.com/de/products/shipping-protection" TargetMode="External"/><Relationship Id="rId26" Type="http://schemas.openxmlformats.org/officeDocument/2006/relationships/hyperlink" Target="https://striking-viking.com/fi/pages/spurit-notifications-cancelled" TargetMode="External"/><Relationship Id="rId27" Type="http://schemas.openxmlformats.org/officeDocument/2006/relationships/hyperlink" Target="https://striking-viking.com/fi/pages/spurit-reminders-cancelled" TargetMode="External"/><Relationship Id="rId28" Type="http://schemas.openxmlformats.org/officeDocument/2006/relationships/hyperlink" Target="https://striking-viking.com/fr/pages/spurit-reminders-cancelled" TargetMode="External"/><Relationship Id="rId29" Type="http://schemas.openxmlformats.org/officeDocument/2006/relationships/hyperlink" Target="https://striking-viking.com/products/shipping-protection" TargetMode="External"/><Relationship Id="rId30" Type="http://schemas.openxmlformats.org/officeDocument/2006/relationships/hyperlink" Target="https://striking-viking.com/de/pages/spurit-reminders-cancelled" TargetMode="External"/><Relationship Id="rId31" Type="http://schemas.openxmlformats.org/officeDocument/2006/relationships/hyperlink" Target="https://striking-viking.com/sv/pages/spurit-reminders-cancelled" TargetMode="External"/><Relationship Id="rId32" Type="http://schemas.openxmlformats.org/officeDocument/2006/relationships/hyperlink" Target="https://striking-viking.com/en-gb/pages/spurit-reminders-cancelled" TargetMode="External"/><Relationship Id="rId33" Type="http://schemas.openxmlformats.org/officeDocument/2006/relationships/hyperlink" Target="https://striking-viking.com/es/pages/spurit-notifications-cancelled" TargetMode="External"/><Relationship Id="rId34" Type="http://schemas.openxmlformats.org/officeDocument/2006/relationships/hyperlink" Target="https://striking-viking.com/no/blogs/learn/the-ultimate-guide-to-grooming-with-ontaki-scissors" TargetMode="External"/><Relationship Id="rId35" Type="http://schemas.openxmlformats.org/officeDocument/2006/relationships/hyperlink" Target="https://striking-viking.com/en-gb/products/shipping-protection" TargetMode="External"/><Relationship Id="rId36" Type="http://schemas.openxmlformats.org/officeDocument/2006/relationships/hyperlink" Target="https://striking-viking.com/pages/spurit-notifications-cancelled" TargetMode="External"/><Relationship Id="rId37" Type="http://schemas.openxmlformats.org/officeDocument/2006/relationships/hyperlink" Target="https://striking-viking.com/sv/pages/spurit-notifications-cancelled" TargetMode="External"/><Relationship Id="rId38" Type="http://schemas.openxmlformats.org/officeDocument/2006/relationships/hyperlink" Target="https://striking-viking.com/no/products/shipping-protection" TargetMode="External"/><Relationship Id="rId39" Type="http://schemas.openxmlformats.org/officeDocument/2006/relationships/hyperlink" Target="https://striking-viking.com/fr-ca/pages/spurit-notifications-cancelled" TargetMode="External"/><Relationship Id="rId40" Type="http://schemas.openxmlformats.org/officeDocument/2006/relationships/hyperlink" Target="https://striking-viking.com/fr-ca/pages/spurit-reminders-cancelled" TargetMode="External"/><Relationship Id="rId41" Type="http://schemas.openxmlformats.org/officeDocument/2006/relationships/hyperlink" Target="https://striking-viking.com/fi/pages/spurit-merchant-notifications-cancelled" TargetMode="External"/><Relationship Id="rId42" Type="http://schemas.openxmlformats.org/officeDocument/2006/relationships/hyperlink" Target="https://striking-viking.com/en-gb/pages/spurit-merchant-notifications-cancelled" TargetMode="External"/><Relationship Id="rId43" Type="http://schemas.openxmlformats.org/officeDocument/2006/relationships/hyperlink" Target="https://striking-viking.com/sv/products/shipping-protection" TargetMode="External"/><Relationship Id="rId44" Type="http://schemas.openxmlformats.org/officeDocument/2006/relationships/hyperlink" Target="https://striking-viking.com/fr-ca/products/shipping-protection" TargetMode="External"/>
</Relationships>
</file>

<file path=xl/worksheets/_rels/sheet35.xml.rels><?xml version="1.0" encoding="UTF-8"?>
<Relationships xmlns="http://schemas.openxmlformats.org/package/2006/relationships"><Relationship Id="rId1" Type="http://schemas.openxmlformats.org/officeDocument/2006/relationships/hyperlink" Target="https://striking-viking.com/pages/spurit-subscriptions" TargetMode="External"/><Relationship Id="rId2" Type="http://schemas.openxmlformats.org/officeDocument/2006/relationships/hyperlink" Target="https://striking-viking.com/en-gb/pages/spurit-subscriptions" TargetMode="External"/><Relationship Id="rId3" Type="http://schemas.openxmlformats.org/officeDocument/2006/relationships/hyperlink" Target="https://striking-viking.com/no/pages/spurit-subscriptions" TargetMode="External"/><Relationship Id="rId4" Type="http://schemas.openxmlformats.org/officeDocument/2006/relationships/hyperlink" Target="https://striking-viking.com/fr-ca/pages/spurit-subscriptions" TargetMode="External"/><Relationship Id="rId5" Type="http://schemas.openxmlformats.org/officeDocument/2006/relationships/hyperlink" Target="https://striking-viking.com/es/pages/spurit-subscriptions" TargetMode="External"/><Relationship Id="rId6" Type="http://schemas.openxmlformats.org/officeDocument/2006/relationships/hyperlink" Target="https://striking-viking.com/it/pages/spurit-subscriptions" TargetMode="External"/><Relationship Id="rId7" Type="http://schemas.openxmlformats.org/officeDocument/2006/relationships/hyperlink" Target="https://striking-viking.com/en-ca/pages/spurit-subscriptions" TargetMode="External"/><Relationship Id="rId8" Type="http://schemas.openxmlformats.org/officeDocument/2006/relationships/hyperlink" Target="https://striking-viking.com/fr/pages/spurit-subscriptions" TargetMode="External"/><Relationship Id="rId9" Type="http://schemas.openxmlformats.org/officeDocument/2006/relationships/hyperlink" Target="https://striking-viking.com/de/pages/spurit-subscriptions" TargetMode="External"/><Relationship Id="rId10" Type="http://schemas.openxmlformats.org/officeDocument/2006/relationships/hyperlink" Target="https://striking-viking.com/sv/pages/spurit-subscriptions" TargetMode="External"/>
</Relationships>
</file>

<file path=xl/worksheets/_rels/sheet36.xml.rels><?xml version="1.0" encoding="UTF-8"?>
<Relationships xmlns="http://schemas.openxmlformats.org/package/2006/relationships"><Relationship Id="rId1" Type="http://schemas.openxmlformats.org/officeDocument/2006/relationships/hyperlink" Target="https://striking-viking.com/collections/beard-balm" TargetMode="External"/><Relationship Id="rId2" Type="http://schemas.openxmlformats.org/officeDocument/2006/relationships/hyperlink" Target="https://striking-viking.com/collections/beard-care" TargetMode="External"/><Relationship Id="rId3" Type="http://schemas.openxmlformats.org/officeDocument/2006/relationships/hyperlink" Target="https://striking-viking.com/collections/beard-oil" TargetMode="External"/><Relationship Id="rId4" Type="http://schemas.openxmlformats.org/officeDocument/2006/relationships/hyperlink" Target="https://striking-viking.com/" TargetMode="External"/><Relationship Id="rId5" Type="http://schemas.openxmlformats.org/officeDocument/2006/relationships/hyperlink" Target="https://striking-viking.com/collections/beard-filler-pens" TargetMode="External"/><Relationship Id="rId6" Type="http://schemas.openxmlformats.org/officeDocument/2006/relationships/hyperlink" Target="https://striking-viking.com/collections/beard-butter" TargetMode="External"/><Relationship Id="rId7" Type="http://schemas.openxmlformats.org/officeDocument/2006/relationships/hyperlink" Target="https://striking-viking.com/collections/beard-wash" TargetMode="External"/><Relationship Id="rId8" Type="http://schemas.openxmlformats.org/officeDocument/2006/relationships/hyperlink" Target="https://striking-viking.com/blogs/learn/ride-the-wave-striking-viking-sea-salt-spray-for-effortless-men-s-style" TargetMode="External"/><Relationship Id="rId9" Type="http://schemas.openxmlformats.org/officeDocument/2006/relationships/hyperlink" Target="https://striking-viking.com/products/striking-viking-beard-filler-pencil-with-dual-tip-pen-brush-for-natural-beard-styling" TargetMode="External"/><Relationship Id="rId10" Type="http://schemas.openxmlformats.org/officeDocument/2006/relationships/hyperlink" Target="https://striking-viking.com/es/collections/beard-care" TargetMode="External"/><Relationship Id="rId11" Type="http://schemas.openxmlformats.org/officeDocument/2006/relationships/hyperlink" Target="https://striking-viking.com/fr/collections/beard-balm" TargetMode="External"/><Relationship Id="rId12" Type="http://schemas.openxmlformats.org/officeDocument/2006/relationships/hyperlink" Target="https://striking-viking.com/en-ca/collections/beard-balm" TargetMode="External"/><Relationship Id="rId13" Type="http://schemas.openxmlformats.org/officeDocument/2006/relationships/hyperlink" Target="https://striking-viking.com/de/collections/beard-filler-pens" TargetMode="External"/><Relationship Id="rId14" Type="http://schemas.openxmlformats.org/officeDocument/2006/relationships/hyperlink" Target="https://striking-viking.com/es/collections/beard-wash" TargetMode="External"/><Relationship Id="rId15" Type="http://schemas.openxmlformats.org/officeDocument/2006/relationships/hyperlink" Target="https://striking-viking.com/de/blogs/learn/ride-the-wave-striking-viking-sea-salt-spray-for-effortless-men-s-style" TargetMode="External"/><Relationship Id="rId16" Type="http://schemas.openxmlformats.org/officeDocument/2006/relationships/hyperlink" Target="https://striking-viking.com/de" TargetMode="External"/><Relationship Id="rId17" Type="http://schemas.openxmlformats.org/officeDocument/2006/relationships/hyperlink" Target="https://striking-viking.com/fi/collections/partavesi" TargetMode="External"/><Relationship Id="rId18" Type="http://schemas.openxmlformats.org/officeDocument/2006/relationships/hyperlink" Target="https://striking-viking.com/fi/collections/partavoide" TargetMode="External"/><Relationship Id="rId19" Type="http://schemas.openxmlformats.org/officeDocument/2006/relationships/hyperlink" Target="https://striking-viking.com/es" TargetMode="External"/><Relationship Id="rId20" Type="http://schemas.openxmlformats.org/officeDocument/2006/relationships/hyperlink" Target="https://striking-viking.com/en-ca/collections/beard-care" TargetMode="External"/><Relationship Id="rId21" Type="http://schemas.openxmlformats.org/officeDocument/2006/relationships/hyperlink" Target="https://striking-viking.com/en-ca/collections/beard-filler-pens" TargetMode="External"/><Relationship Id="rId22" Type="http://schemas.openxmlformats.org/officeDocument/2006/relationships/hyperlink" Target="https://striking-viking.com/it" TargetMode="External"/><Relationship Id="rId23" Type="http://schemas.openxmlformats.org/officeDocument/2006/relationships/hyperlink" Target="https://striking-viking.com/sv/collections/beard-balm" TargetMode="External"/><Relationship Id="rId24" Type="http://schemas.openxmlformats.org/officeDocument/2006/relationships/hyperlink" Target="https://striking-viking.com/fi/collections/parta-voide" TargetMode="External"/><Relationship Id="rId25" Type="http://schemas.openxmlformats.org/officeDocument/2006/relationships/hyperlink" Target="https://striking-viking.com/no/collections/beard-oil" TargetMode="External"/><Relationship Id="rId26" Type="http://schemas.openxmlformats.org/officeDocument/2006/relationships/hyperlink" Target="https://striking-viking.com/es/blogs/learn/ride-the-wave-striking-viking-sea-salt-spray-for-effortless-men-s-style" TargetMode="External"/><Relationship Id="rId27" Type="http://schemas.openxmlformats.org/officeDocument/2006/relationships/hyperlink" Target="https://striking-viking.com/it/collections/beard-balm" TargetMode="External"/><Relationship Id="rId28" Type="http://schemas.openxmlformats.org/officeDocument/2006/relationships/hyperlink" Target="https://striking-viking.com/fi" TargetMode="External"/><Relationship Id="rId29" Type="http://schemas.openxmlformats.org/officeDocument/2006/relationships/hyperlink" Target="https://striking-viking.com/en-gb/collections/beard-care" TargetMode="External"/><Relationship Id="rId30" Type="http://schemas.openxmlformats.org/officeDocument/2006/relationships/hyperlink" Target="https://striking-viking.com/de/collections/beard-wash" TargetMode="External"/><Relationship Id="rId31" Type="http://schemas.openxmlformats.org/officeDocument/2006/relationships/hyperlink" Target="https://striking-viking.com/no/collections/beard-butter" TargetMode="External"/><Relationship Id="rId32" Type="http://schemas.openxmlformats.org/officeDocument/2006/relationships/hyperlink" Target="https://striking-viking.com/sv/collections/beard-wash" TargetMode="External"/><Relationship Id="rId33" Type="http://schemas.openxmlformats.org/officeDocument/2006/relationships/hyperlink" Target="https://striking-viking.com/no/collections/beard-filler-pens" TargetMode="External"/><Relationship Id="rId34" Type="http://schemas.openxmlformats.org/officeDocument/2006/relationships/hyperlink" Target="https://striking-viking.com/fi/collections/parta-oljy" TargetMode="External"/><Relationship Id="rId35" Type="http://schemas.openxmlformats.org/officeDocument/2006/relationships/hyperlink" Target="https://striking-viking.com/it/blogs/learn/ride-the-wave-striking-viking-sea-salt-spray-for-effortless-men-s-style" TargetMode="External"/><Relationship Id="rId36" Type="http://schemas.openxmlformats.org/officeDocument/2006/relationships/hyperlink" Target="https://striking-viking.com/en-gb/collections/beard-butter" TargetMode="External"/><Relationship Id="rId37" Type="http://schemas.openxmlformats.org/officeDocument/2006/relationships/hyperlink" Target="https://striking-viking.com/sv/collections/beard-oil" TargetMode="External"/><Relationship Id="rId38" Type="http://schemas.openxmlformats.org/officeDocument/2006/relationships/hyperlink" Target="https://striking-viking.com/it/collections/beard-butter" TargetMode="External"/><Relationship Id="rId39" Type="http://schemas.openxmlformats.org/officeDocument/2006/relationships/hyperlink" Target="https://striking-viking.com/en-gb/collections/beard-wash" TargetMode="External"/><Relationship Id="rId40" Type="http://schemas.openxmlformats.org/officeDocument/2006/relationships/hyperlink" Target="https://striking-viking.com/fr" TargetMode="External"/><Relationship Id="rId41" Type="http://schemas.openxmlformats.org/officeDocument/2006/relationships/hyperlink" Target="https://striking-viking.com/de/collections/beard-balm" TargetMode="External"/><Relationship Id="rId42" Type="http://schemas.openxmlformats.org/officeDocument/2006/relationships/hyperlink" Target="https://striking-viking.com/fr/collections/beard-filler-pens" TargetMode="External"/><Relationship Id="rId43" Type="http://schemas.openxmlformats.org/officeDocument/2006/relationships/hyperlink" Target="https://striking-viking.com/no" TargetMode="External"/><Relationship Id="rId44" Type="http://schemas.openxmlformats.org/officeDocument/2006/relationships/hyperlink" Target="https://striking-viking.com/en-ca/collections/beard-butter" TargetMode="External"/><Relationship Id="rId45" Type="http://schemas.openxmlformats.org/officeDocument/2006/relationships/hyperlink" Target="https://striking-viking.com/sv/collections/beard-care" TargetMode="External"/><Relationship Id="rId46" Type="http://schemas.openxmlformats.org/officeDocument/2006/relationships/hyperlink" Target="https://striking-viking.com/fr/collections/beard-butter" TargetMode="External"/><Relationship Id="rId47" Type="http://schemas.openxmlformats.org/officeDocument/2006/relationships/hyperlink" Target="https://striking-viking.com/fr/blogs/learn/ride-the-wave-striking-viking-sea-salt-spray-for-effortless-men-s-style" TargetMode="External"/><Relationship Id="rId48" Type="http://schemas.openxmlformats.org/officeDocument/2006/relationships/hyperlink" Target="https://striking-viking.com/sv/collections/beard-butter" TargetMode="External"/><Relationship Id="rId49" Type="http://schemas.openxmlformats.org/officeDocument/2006/relationships/hyperlink" Target="https://striking-viking.com/en-gb/collections/beard-balm" TargetMode="External"/><Relationship Id="rId50" Type="http://schemas.openxmlformats.org/officeDocument/2006/relationships/hyperlink" Target="https://striking-viking.com/en-gb/collections/beard-filler-pens" TargetMode="External"/><Relationship Id="rId51" Type="http://schemas.openxmlformats.org/officeDocument/2006/relationships/hyperlink" Target="https://striking-viking.com/de/collections/beard-butter" TargetMode="External"/><Relationship Id="rId52" Type="http://schemas.openxmlformats.org/officeDocument/2006/relationships/hyperlink" Target="https://striking-viking.com/fr/collections/beard-care" TargetMode="External"/><Relationship Id="rId53" Type="http://schemas.openxmlformats.org/officeDocument/2006/relationships/hyperlink" Target="https://striking-viking.com/es/collections/beard-filler-pens" TargetMode="External"/><Relationship Id="rId54" Type="http://schemas.openxmlformats.org/officeDocument/2006/relationships/hyperlink" Target="https://striking-viking.com/sv" TargetMode="External"/><Relationship Id="rId55" Type="http://schemas.openxmlformats.org/officeDocument/2006/relationships/hyperlink" Target="https://striking-viking.com/en-gb/collections/beard-oil" TargetMode="External"/><Relationship Id="rId56" Type="http://schemas.openxmlformats.org/officeDocument/2006/relationships/hyperlink" Target="https://striking-viking.com/fi/blogs/learn/ride-the-wave-striking-viking-sea-salt-spray-for-effortless-men-s-style" TargetMode="External"/><Relationship Id="rId57" Type="http://schemas.openxmlformats.org/officeDocument/2006/relationships/hyperlink" Target="https://striking-viking.com/it/collections/beard-wash" TargetMode="External"/><Relationship Id="rId58" Type="http://schemas.openxmlformats.org/officeDocument/2006/relationships/hyperlink" Target="https://striking-viking.com/en-ca/blogs/learn/ride-the-wave-striking-viking-sea-salt-spray-for-effortless-men-s-style" TargetMode="External"/><Relationship Id="rId59" Type="http://schemas.openxmlformats.org/officeDocument/2006/relationships/hyperlink" Target="https://striking-viking.com/en-ca" TargetMode="External"/><Relationship Id="rId60" Type="http://schemas.openxmlformats.org/officeDocument/2006/relationships/hyperlink" Target="https://striking-viking.com/no/collections/beard-balm" TargetMode="External"/><Relationship Id="rId61" Type="http://schemas.openxmlformats.org/officeDocument/2006/relationships/hyperlink" Target="https://striking-viking.com/es/collections/beard-balm" TargetMode="External"/><Relationship Id="rId62" Type="http://schemas.openxmlformats.org/officeDocument/2006/relationships/hyperlink" Target="https://striking-viking.com/it/collections/beard-filler-pens" TargetMode="External"/><Relationship Id="rId63" Type="http://schemas.openxmlformats.org/officeDocument/2006/relationships/hyperlink" Target="https://striking-viking.com/sv/collections/beard-filler-pens" TargetMode="External"/><Relationship Id="rId64" Type="http://schemas.openxmlformats.org/officeDocument/2006/relationships/hyperlink" Target="https://striking-viking.com/fr/collections/beard-oil" TargetMode="External"/><Relationship Id="rId65" Type="http://schemas.openxmlformats.org/officeDocument/2006/relationships/hyperlink" Target="https://striking-viking.com/fr/collections/beard-wash" TargetMode="External"/><Relationship Id="rId66" Type="http://schemas.openxmlformats.org/officeDocument/2006/relationships/hyperlink" Target="https://striking-viking.com/en-ca/collections/beard-oil" TargetMode="External"/><Relationship Id="rId67" Type="http://schemas.openxmlformats.org/officeDocument/2006/relationships/hyperlink" Target="https://striking-viking.com/no/collections/beard-wash" TargetMode="External"/><Relationship Id="rId68" Type="http://schemas.openxmlformats.org/officeDocument/2006/relationships/hyperlink" Target="https://striking-viking.com/fi/collections/beard-filler-pens" TargetMode="External"/><Relationship Id="rId69" Type="http://schemas.openxmlformats.org/officeDocument/2006/relationships/hyperlink" Target="https://striking-viking.com/es/collections/beard-oil" TargetMode="External"/><Relationship Id="rId70" Type="http://schemas.openxmlformats.org/officeDocument/2006/relationships/hyperlink" Target="https://striking-viking.com/it/collections/beard-oil" TargetMode="External"/><Relationship Id="rId71" Type="http://schemas.openxmlformats.org/officeDocument/2006/relationships/hyperlink" Target="https://striking-viking.com/en-ca/collections/beard-wash" TargetMode="External"/><Relationship Id="rId72" Type="http://schemas.openxmlformats.org/officeDocument/2006/relationships/hyperlink" Target="https://striking-viking.com/no/blogs/learn/ride-the-wave-striking-viking-sea-salt-spray-for-effortless-men-s-style" TargetMode="External"/><Relationship Id="rId73" Type="http://schemas.openxmlformats.org/officeDocument/2006/relationships/hyperlink" Target="https://striking-viking.com/fi/collections/parta-ja-hiusten-hoito" TargetMode="External"/><Relationship Id="rId74" Type="http://schemas.openxmlformats.org/officeDocument/2006/relationships/hyperlink" Target="https://striking-viking.com/no/collections/beard-care" TargetMode="External"/><Relationship Id="rId75" Type="http://schemas.openxmlformats.org/officeDocument/2006/relationships/hyperlink" Target="https://striking-viking.com/sv/blogs/learn/ride-the-wave-striking-viking-sea-salt-spray-for-effortless-men-s-style" TargetMode="External"/><Relationship Id="rId76" Type="http://schemas.openxmlformats.org/officeDocument/2006/relationships/hyperlink" Target="https://striking-viking.com/de/collections/beard-oil" TargetMode="External"/><Relationship Id="rId77" Type="http://schemas.openxmlformats.org/officeDocument/2006/relationships/hyperlink" Target="https://striking-viking.com/es/collections/beard-butter" TargetMode="External"/><Relationship Id="rId78" Type="http://schemas.openxmlformats.org/officeDocument/2006/relationships/hyperlink" Target="https://striking-viking.com/de/collections/beard-care" TargetMode="External"/><Relationship Id="rId79" Type="http://schemas.openxmlformats.org/officeDocument/2006/relationships/hyperlink" Target="https://striking-viking.com/it/collections/beard-care" TargetMode="External"/><Relationship Id="rId80" Type="http://schemas.openxmlformats.org/officeDocument/2006/relationships/hyperlink" Target="https://striking-viking.com/products/striking-viking-beard-growth-mastery-bundle-with-sandalwood-vanilla-biotin-oils-and-derma-roller" TargetMode="External"/><Relationship Id="rId81" Type="http://schemas.openxmlformats.org/officeDocument/2006/relationships/hyperlink" Target="https://striking-viking.com/blogs/learn/unlock-your-beard-s-full-potential-beard-growth-kits-oils" TargetMode="External"/><Relationship Id="rId82" Type="http://schemas.openxmlformats.org/officeDocument/2006/relationships/hyperlink" Target="https://striking-viking.com/no/products/striking-viking-beard-growth-mastery-bundle-with-sandalwood-vanilla-biotin-oils-and-derma-roller" TargetMode="External"/><Relationship Id="rId83" Type="http://schemas.openxmlformats.org/officeDocument/2006/relationships/hyperlink" Target="https://striking-viking.com/en-gb/products/striking-viking-beard-filler-pencil-with-dual-tip-pen-brush-for-natural-beard-styling" TargetMode="External"/><Relationship Id="rId84" Type="http://schemas.openxmlformats.org/officeDocument/2006/relationships/hyperlink" Target="https://striking-viking.com/en-gb/products/striking-viking-sandalwood-beard-growth-bundle-with-titanium-derma-roller-beard-growth-serum" TargetMode="External"/><Relationship Id="rId85" Type="http://schemas.openxmlformats.org/officeDocument/2006/relationships/hyperlink" Target="https://striking-viking.com/products/striking-viking-vanilla-beard-growth-bundle-with-biotin-beard-serum-titanium-derma-roller" TargetMode="External"/><Relationship Id="rId86" Type="http://schemas.openxmlformats.org/officeDocument/2006/relationships/hyperlink" Target="https://striking-viking.com/no/products/striking-viking-sandalwood-beard-growth-kit-with-biotin-oil-0-25mm-derma-roller" TargetMode="External"/><Relationship Id="rId87" Type="http://schemas.openxmlformats.org/officeDocument/2006/relationships/hyperlink" Target="https://striking-viking.com/no/collections/viking-beard-kits" TargetMode="External"/><Relationship Id="rId88" Type="http://schemas.openxmlformats.org/officeDocument/2006/relationships/hyperlink" Target="https://striking-viking.com/en-gb/blogs/learn/ride-the-wave-striking-viking-sea-salt-spray-for-effortless-men-s-style" TargetMode="External"/><Relationship Id="rId89" Type="http://schemas.openxmlformats.org/officeDocument/2006/relationships/hyperlink" Target="https://striking-viking.com/it/products/striking-viking-vanilla-beard-growth-kit-with-biotin-oil-0-25mm-derma-roller" TargetMode="External"/><Relationship Id="rId90" Type="http://schemas.openxmlformats.org/officeDocument/2006/relationships/hyperlink" Target="https://striking-viking.com/en-ca/blogs/learn/beard-grooming-comparison" TargetMode="External"/><Relationship Id="rId91" Type="http://schemas.openxmlformats.org/officeDocument/2006/relationships/hyperlink" Target="https://striking-viking.com/en-ca/products/striking-viking-sandalwood-beard-growth-kit-with-biotin-oil-0-25mm-derma-roller" TargetMode="External"/><Relationship Id="rId92" Type="http://schemas.openxmlformats.org/officeDocument/2006/relationships/hyperlink" Target="https://striking-viking.com/products/striking-viking-beard-growth-kit-with-beard-roller-vanilla-unscented-biotin-oils-for-men" TargetMode="External"/><Relationship Id="rId93" Type="http://schemas.openxmlformats.org/officeDocument/2006/relationships/hyperlink" Target="https://striking-viking.com/products/striking-viking-vanilla-beard-growth-kit-with-biotin-oil-0-25mm-derma-roller" TargetMode="External"/><Relationship Id="rId94" Type="http://schemas.openxmlformats.org/officeDocument/2006/relationships/hyperlink" Target="https://striking-viking.com/en-ca/products/striking-viking-beard-shampoo-with-natural-peppermint-eucalyptus-for-refreshing-beard-care" TargetMode="External"/><Relationship Id="rId95" Type="http://schemas.openxmlformats.org/officeDocument/2006/relationships/hyperlink" Target="https://striking-viking.com/fi/blogs/learn/beard-grooming-comparison" TargetMode="External"/><Relationship Id="rId96" Type="http://schemas.openxmlformats.org/officeDocument/2006/relationships/hyperlink" Target="https://striking-viking.com/products/striking-viking-beard-shampoo-with-natural-peppermint-eucalyptus-for-refreshing-beard-care" TargetMode="External"/><Relationship Id="rId97" Type="http://schemas.openxmlformats.org/officeDocument/2006/relationships/hyperlink" Target="https://striking-viking.com/en-ca/products/striking-viking-hybrid-beard-growth-bundle-with-sandalwood-unscented-beard-oils-and-derma-roller" TargetMode="External"/><Relationship Id="rId98" Type="http://schemas.openxmlformats.org/officeDocument/2006/relationships/hyperlink" Target="https://striking-viking.com/sv/blogs/learn/beard-grooming-comparison" TargetMode="External"/><Relationship Id="rId99" Type="http://schemas.openxmlformats.org/officeDocument/2006/relationships/hyperlink" Target="https://striking-viking.com/no/products/striking-viking-vanilla-beard-growth-kit-with-biotin-oil-0-25mm-derma-roller" TargetMode="External"/><Relationship Id="rId100" Type="http://schemas.openxmlformats.org/officeDocument/2006/relationships/hyperlink" Target="https://striking-viking.com/it/products/striking-viking-sandalwood-beard-growth-kit-with-biotin-oil-0-25mm-derma-roller" TargetMode="External"/><Relationship Id="rId101" Type="http://schemas.openxmlformats.org/officeDocument/2006/relationships/hyperlink" Target="https://striking-viking.com/en-gb/products/striking-viking-hybrid-beard-growth-bundle-with-sandalwood-unscented-beard-oils-and-derma-roller" TargetMode="External"/><Relationship Id="rId102" Type="http://schemas.openxmlformats.org/officeDocument/2006/relationships/hyperlink" Target="https://striking-viking.com/en-ca/products/striking-viking-vanilla-beard-growth-kit-with-biotin-oil-0-25mm-derma-roller" TargetMode="External"/><Relationship Id="rId103" Type="http://schemas.openxmlformats.org/officeDocument/2006/relationships/hyperlink" Target="https://striking-viking.com/sv/collections/viking-beard-kits" TargetMode="External"/><Relationship Id="rId104" Type="http://schemas.openxmlformats.org/officeDocument/2006/relationships/hyperlink" Target="https://striking-viking.com/en-gb/products/striking-viking-beard-growth-kit-with-beard-roller-vanilla-unscented-biotin-oils-for-men" TargetMode="External"/><Relationship Id="rId105" Type="http://schemas.openxmlformats.org/officeDocument/2006/relationships/hyperlink" Target="https://striking-viking.com/en-ca/products/striking-viking-sandalwood-beard-growth-bundle-with-titanium-derma-roller-beard-growth-serum" TargetMode="External"/><Relationship Id="rId106" Type="http://schemas.openxmlformats.org/officeDocument/2006/relationships/hyperlink" Target="https://striking-viking.com/en-ca/collections/viking-beard-kits" TargetMode="External"/><Relationship Id="rId107" Type="http://schemas.openxmlformats.org/officeDocument/2006/relationships/hyperlink" Target="https://striking-viking.com/en-gb/blogs/learn/beard-grooming-comparison" TargetMode="External"/><Relationship Id="rId108" Type="http://schemas.openxmlformats.org/officeDocument/2006/relationships/hyperlink" Target="https://striking-viking.com/en-ca/products/striking-viking-beard-growth-kit-with-beard-roller-vanilla-unscented-biotin-oils-for-men" TargetMode="External"/><Relationship Id="rId109" Type="http://schemas.openxmlformats.org/officeDocument/2006/relationships/hyperlink" Target="https://striking-viking.com/blogs/learn/beard-grooming-comparison" TargetMode="External"/><Relationship Id="rId110" Type="http://schemas.openxmlformats.org/officeDocument/2006/relationships/hyperlink" Target="https://striking-viking.com/en-gb/products/striking-viking-vanilla-beard-growth-bundle-with-biotin-beard-serum-titanium-derma-roller" TargetMode="External"/><Relationship Id="rId111" Type="http://schemas.openxmlformats.org/officeDocument/2006/relationships/hyperlink" Target="https://striking-viking.com/en-ca/products/striking-viking-beard-growth-mastery-bundle-with-sandalwood-vanilla-biotin-oils-and-derma-roller" TargetMode="External"/><Relationship Id="rId112" Type="http://schemas.openxmlformats.org/officeDocument/2006/relationships/hyperlink" Target="https://striking-viking.com/en-gb/products/striking-viking-beard-shampoo-with-natural-peppermint-eucalyptus-for-refreshing-beard-care" TargetMode="External"/><Relationship Id="rId113" Type="http://schemas.openxmlformats.org/officeDocument/2006/relationships/hyperlink" Target="https://striking-viking.com/products/striking-viking-sandalwood-beard-growth-kit-with-biotin-oil-0-25mm-derma-roller" TargetMode="External"/><Relationship Id="rId114" Type="http://schemas.openxmlformats.org/officeDocument/2006/relationships/hyperlink" Target="https://striking-viking.com/no/blogs/learn/unlock-your-beard-s-full-potential-beard-growth-kits-oils" TargetMode="External"/><Relationship Id="rId115" Type="http://schemas.openxmlformats.org/officeDocument/2006/relationships/hyperlink" Target="https://striking-viking.com/en-gb/products/striking-viking-beard-growth-mastery-bundle-with-sandalwood-vanilla-biotin-oils-and-derma-roller" TargetMode="External"/><Relationship Id="rId116" Type="http://schemas.openxmlformats.org/officeDocument/2006/relationships/hyperlink" Target="https://striking-viking.com/collections/viking-beard-kits" TargetMode="External"/><Relationship Id="rId117" Type="http://schemas.openxmlformats.org/officeDocument/2006/relationships/hyperlink" Target="https://striking-viking.com/fi/collections/viikinki-partasetit" TargetMode="External"/><Relationship Id="rId118" Type="http://schemas.openxmlformats.org/officeDocument/2006/relationships/hyperlink" Target="https://striking-viking.com/sv/products/striking-viking-hybrid-beard-growth-bundle-with-sandalwood-unscented-beard-oils-and-derma-roller" TargetMode="External"/><Relationship Id="rId119" Type="http://schemas.openxmlformats.org/officeDocument/2006/relationships/hyperlink" Target="https://striking-viking.com/it/products/striking-viking-beard-filler-pen-2-pack-dual-tip-waterproof-beard-pen-for-natural-beard-filling" TargetMode="External"/><Relationship Id="rId120" Type="http://schemas.openxmlformats.org/officeDocument/2006/relationships/hyperlink" Target="https://striking-viking.com/products/striking-viking-sandalwood-beard-growth-bundle-with-titanium-derma-roller-beard-growth-serum" TargetMode="External"/><Relationship Id="rId121" Type="http://schemas.openxmlformats.org/officeDocument/2006/relationships/hyperlink" Target="https://striking-viking.com/it/collections/viking-beard-kits" TargetMode="External"/><Relationship Id="rId122" Type="http://schemas.openxmlformats.org/officeDocument/2006/relationships/hyperlink" Target="https://striking-viking.com/products/striking-viking-unscented-beard-butter-for-moisturizing-softening-daily-beard-care" TargetMode="External"/><Relationship Id="rId123" Type="http://schemas.openxmlformats.org/officeDocument/2006/relationships/hyperlink" Target="https://striking-viking.com/en-gb/collections/viking-beard-kits" TargetMode="External"/><Relationship Id="rId124" Type="http://schemas.openxmlformats.org/officeDocument/2006/relationships/hyperlink" Target="https://striking-viking.com/es/collections/viking-beard-kits" TargetMode="External"/><Relationship Id="rId125" Type="http://schemas.openxmlformats.org/officeDocument/2006/relationships/hyperlink" Target="https://striking-viking.com/sv/products/striking-viking-beard-rehab-growth-kit-with-sandalwood-beard-care-derma-roller" TargetMode="External"/><Relationship Id="rId126" Type="http://schemas.openxmlformats.org/officeDocument/2006/relationships/hyperlink" Target="https://striking-viking.com/fi/blogs/learn/unlock-your-beard-s-full-potential-beard-growth-kits-oils" TargetMode="External"/><Relationship Id="rId127" Type="http://schemas.openxmlformats.org/officeDocument/2006/relationships/hyperlink" Target="https://striking-viking.com/fi/products/striking-viking-sandalwood-beard-growth-kit-with-biotin-oil-0-25mm-derma-roller" TargetMode="External"/><Relationship Id="rId128" Type="http://schemas.openxmlformats.org/officeDocument/2006/relationships/hyperlink" Target="https://striking-viking.com/de/blogs/learn/unlock-your-beard-s-full-potential-beard-growth-kits-oils" TargetMode="External"/><Relationship Id="rId129" Type="http://schemas.openxmlformats.org/officeDocument/2006/relationships/hyperlink" Target="https://striking-viking.com/de/collections/viking-beard-kits" TargetMode="External"/><Relationship Id="rId130" Type="http://schemas.openxmlformats.org/officeDocument/2006/relationships/hyperlink" Target="https://striking-viking.com/de/products/striking-viking-beard-filler-pencil-with-dual-tip-pen-brush-for-natural-beard-styling" TargetMode="External"/><Relationship Id="rId131" Type="http://schemas.openxmlformats.org/officeDocument/2006/relationships/hyperlink" Target="https://striking-viking.com/en-ca/products/striking-viking-unscented-beard-butter-for-moisturizing-softening-daily-beard-care" TargetMode="External"/><Relationship Id="rId132" Type="http://schemas.openxmlformats.org/officeDocument/2006/relationships/hyperlink" Target="https://striking-viking.com/fr/products/striking-viking-vanilla-beard-growth-kit-with-biotin-oil-0-25mm-derma-roller" TargetMode="External"/><Relationship Id="rId133" Type="http://schemas.openxmlformats.org/officeDocument/2006/relationships/hyperlink" Target="https://striking-viking.com/fi/products/striking-viking-sandalwood-beard-growth-bundle-with-titanium-derma-roller-beard-growth-serum" TargetMode="External"/><Relationship Id="rId134" Type="http://schemas.openxmlformats.org/officeDocument/2006/relationships/hyperlink" Target="https://striking-viking.com/sv/blogs/learn/unlock-your-beard-s-full-potential-beard-growth-kits-oils" TargetMode="External"/><Relationship Id="rId135" Type="http://schemas.openxmlformats.org/officeDocument/2006/relationships/hyperlink" Target="https://striking-viking.com/fr/products/striking-viking-beard-filler-pencil-with-dual-tip-pen-brush-for-natural-beard-styling" TargetMode="External"/><Relationship Id="rId136" Type="http://schemas.openxmlformats.org/officeDocument/2006/relationships/hyperlink" Target="https://striking-viking.com/de/products/bartwuchs-kit" TargetMode="External"/><Relationship Id="rId137" Type="http://schemas.openxmlformats.org/officeDocument/2006/relationships/hyperlink" Target="https://striking-viking.com/de/products/bartwuchs-set" TargetMode="External"/><Relationship Id="rId138" Type="http://schemas.openxmlformats.org/officeDocument/2006/relationships/hyperlink" Target="https://striking-viking.com/fr/products/striking-viking-sandalwood-beard-growth-kit-with-biotin-oil-0-25mm-derma-roller" TargetMode="External"/><Relationship Id="rId139" Type="http://schemas.openxmlformats.org/officeDocument/2006/relationships/hyperlink" Target="https://striking-viking.com/en-gb/blogs/learn/unlock-your-beard-s-full-potential-beard-growth-kits-oils" TargetMode="External"/><Relationship Id="rId140" Type="http://schemas.openxmlformats.org/officeDocument/2006/relationships/hyperlink" Target="https://striking-viking.com/it/products/striking-viking-beard-filler-pencil-with-dual-tip-pen-brush-for-natural-beard-styling" TargetMode="External"/><Relationship Id="rId141" Type="http://schemas.openxmlformats.org/officeDocument/2006/relationships/hyperlink" Target="https://striking-viking.com/fr/blogs/learn/unlock-your-beard-s-full-potential-beard-growth-kits-oils" TargetMode="External"/><Relationship Id="rId142" Type="http://schemas.openxmlformats.org/officeDocument/2006/relationships/hyperlink" Target="https://striking-viking.com/es/blogs/learn/unlock-your-beard-s-full-potential-beard-growth-kits-oils" TargetMode="External"/><Relationship Id="rId143" Type="http://schemas.openxmlformats.org/officeDocument/2006/relationships/hyperlink" Target="https://striking-viking.com/sv/products/striking-viking-vanilla-beard-growth-kit-with-biotin-oil-0-25mm-derma-roller" TargetMode="External"/><Relationship Id="rId144" Type="http://schemas.openxmlformats.org/officeDocument/2006/relationships/hyperlink" Target="https://striking-viking.com/fi/products/striking-viking-hybrid-beard-growth-bundle-with-sandalwood-unscented-beard-oils-and-derma-roller" TargetMode="External"/><Relationship Id="rId145" Type="http://schemas.openxmlformats.org/officeDocument/2006/relationships/hyperlink" Target="https://striking-viking.com/fr/collections/viking-beard-kits" TargetMode="External"/><Relationship Id="rId146" Type="http://schemas.openxmlformats.org/officeDocument/2006/relationships/hyperlink" Target="https://striking-viking.com/sv/products/striking-viking-sandalwood-beard-growth-kit-with-biotin-oil-0-25mm-derma-roller" TargetMode="External"/><Relationship Id="rId147" Type="http://schemas.openxmlformats.org/officeDocument/2006/relationships/hyperlink" Target="https://striking-viking.com/it/blogs/learn/unlock-your-beard-s-full-potential-beard-growth-kits-oils" TargetMode="External"/><Relationship Id="rId148" Type="http://schemas.openxmlformats.org/officeDocument/2006/relationships/hyperlink" Target="https://striking-viking.com/de/products/striking-viking-beard-filler-pen-2-pack-dual-tip-waterproof-beard-pen-for-natural-beard-filling" TargetMode="External"/><Relationship Id="rId149" Type="http://schemas.openxmlformats.org/officeDocument/2006/relationships/hyperlink" Target="https://striking-viking.com/en-ca/products/striking-viking-beard-filler-pencil-with-dual-tip-pen-brush-for-natural-beard-styling" TargetMode="External"/><Relationship Id="rId150" Type="http://schemas.openxmlformats.org/officeDocument/2006/relationships/hyperlink" Target="https://striking-viking.com/en-ca/blogs/learn/unlock-your-beard-s-full-potential-beard-growth-kits-oils" TargetMode="External"/><Relationship Id="rId151" Type="http://schemas.openxmlformats.org/officeDocument/2006/relationships/hyperlink" Target="https://striking-viking.com/products/striking-viking-hybrid-beard-growth-bundle-with-sandalwood-unscented-beard-oils-and-derma-roller" TargetMode="External"/><Relationship Id="rId152" Type="http://schemas.openxmlformats.org/officeDocument/2006/relationships/hyperlink" Target="https://striking-viking.com/fr-ca/collections/beard-butter" TargetMode="External"/><Relationship Id="rId153" Type="http://schemas.openxmlformats.org/officeDocument/2006/relationships/hyperlink" Target="https://striking-viking.com/fr-ca/collections/beard-filler-pens" TargetMode="External"/><Relationship Id="rId154" Type="http://schemas.openxmlformats.org/officeDocument/2006/relationships/hyperlink" Target="https://striking-viking.com/fr-ca/collections/beard-wash" TargetMode="External"/><Relationship Id="rId155" Type="http://schemas.openxmlformats.org/officeDocument/2006/relationships/hyperlink" Target="https://striking-viking.com/fr-ca" TargetMode="External"/><Relationship Id="rId156" Type="http://schemas.openxmlformats.org/officeDocument/2006/relationships/hyperlink" Target="https://striking-viking.com/fr-ca/collections/beard-care" TargetMode="External"/><Relationship Id="rId157" Type="http://schemas.openxmlformats.org/officeDocument/2006/relationships/hyperlink" Target="https://striking-viking.com/fr-ca/collections/beard-oil" TargetMode="External"/><Relationship Id="rId158" Type="http://schemas.openxmlformats.org/officeDocument/2006/relationships/hyperlink" Target="https://striking-viking.com/fr-ca/collections/beard-balm" TargetMode="External"/><Relationship Id="rId159" Type="http://schemas.openxmlformats.org/officeDocument/2006/relationships/hyperlink" Target="https://striking-viking.com/fr-ca/blogs/learn/ride-the-wave-striking-viking-sea-salt-spray-for-effortless-men-s-style" TargetMode="External"/><Relationship Id="rId160" Type="http://schemas.openxmlformats.org/officeDocument/2006/relationships/hyperlink" Target="https://striking-viking.com/de/products/ontaki-japanese-steel-rounded-tip-beard-mustache-scissors-4-2-inch-grooming-kit" TargetMode="External"/><Relationship Id="rId161" Type="http://schemas.openxmlformats.org/officeDocument/2006/relationships/hyperlink" Target="https://striking-viking.com/it/products/striking-viking-beard-growth-kit-with-beard-roller-vanilla-unscented-biotin-oils-for-men" TargetMode="External"/><Relationship Id="rId162" Type="http://schemas.openxmlformats.org/officeDocument/2006/relationships/hyperlink" Target="https://striking-viking.com/no/products/striking-viking-sandalwood-beard-oil" TargetMode="External"/><Relationship Id="rId163" Type="http://schemas.openxmlformats.org/officeDocument/2006/relationships/hyperlink" Target="https://striking-viking.com/es/products/ontaki-duckbill-applique-scissors-4-5-inch-carbon-steel-fabric-thread-cutting-scissors" TargetMode="External"/><Relationship Id="rId164" Type="http://schemas.openxmlformats.org/officeDocument/2006/relationships/hyperlink" Target="https://striking-viking.com/fr/products/striking-viking-beard-growth-mastery-bundle-with-sandalwood-vanilla-biotin-oils-and-derma-roller" TargetMode="External"/><Relationship Id="rId165" Type="http://schemas.openxmlformats.org/officeDocument/2006/relationships/hyperlink" Target="https://striking-viking.com/it/products/striking-viking-hybrid-beard-growth-bundle-with-sandalwood-unscented-beard-oils-and-derma-roller" TargetMode="External"/><Relationship Id="rId166" Type="http://schemas.openxmlformats.org/officeDocument/2006/relationships/hyperlink" Target="https://striking-viking.com/it/products/ontaki-hair-thinning-shears-kit-7-inch-professional-hair-cutting-texturizing-set" TargetMode="External"/><Relationship Id="rId167" Type="http://schemas.openxmlformats.org/officeDocument/2006/relationships/hyperlink" Target="https://striking-viking.com/es/products/striking-viking-beard-growth-kit-with-beard-roller-vanilla-unscented-biotin-oils-for-men" TargetMode="External"/><Relationship Id="rId168" Type="http://schemas.openxmlformats.org/officeDocument/2006/relationships/hyperlink" Target="https://striking-viking.com/no/blogs/learn/beard-grooming-comparison" TargetMode="External"/><Relationship Id="rId169" Type="http://schemas.openxmlformats.org/officeDocument/2006/relationships/hyperlink" Target="https://striking-viking.com/de/products/bartol-sandelholz" TargetMode="External"/><Relationship Id="rId170" Type="http://schemas.openxmlformats.org/officeDocument/2006/relationships/hyperlink" Target="https://striking-viking.com/de/blogs/learn/beard-grooming-comparison" TargetMode="External"/><Relationship Id="rId171" Type="http://schemas.openxmlformats.org/officeDocument/2006/relationships/hyperlink" Target="https://striking-viking.com/fi/products/ontaki-hair-thinning-shears-kit-7-inch-professional-hair-cutting-texturizing-set" TargetMode="External"/><Relationship Id="rId172" Type="http://schemas.openxmlformats.org/officeDocument/2006/relationships/hyperlink" Target="https://striking-viking.com/it/products/striking-viking-sandalwood-beard-growth-bundle-with-titanium-derma-roller-beard-growth-serum" TargetMode="External"/><Relationship Id="rId173" Type="http://schemas.openxmlformats.org/officeDocument/2006/relationships/hyperlink" Target="https://striking-viking.com/fr/blogs/learn/beard-grooming-comparison" TargetMode="External"/><Relationship Id="rId174" Type="http://schemas.openxmlformats.org/officeDocument/2006/relationships/hyperlink" Target="https://striking-viking.com/fr/products/striking-viking-hybrid-beard-growth-bundle-with-sandalwood-unscented-beard-oils-and-derma-roller" TargetMode="External"/><Relationship Id="rId175" Type="http://schemas.openxmlformats.org/officeDocument/2006/relationships/hyperlink" Target="https://striking-viking.com/es/products/striking-viking-beard-filler-pencil-with-dual-tip-pen-brush-for-natural-beard-styling" TargetMode="External"/><Relationship Id="rId176" Type="http://schemas.openxmlformats.org/officeDocument/2006/relationships/hyperlink" Target="https://striking-viking.com/de/products/striking-viking-beard-rehab-growth-kit-with-sandalwood-beard-care-derma-roller" TargetMode="External"/><Relationship Id="rId177" Type="http://schemas.openxmlformats.org/officeDocument/2006/relationships/hyperlink" Target="https://striking-viking.com/no/products/striking-viking-sandalwood-beard-growth-bundle-with-titanium-derma-roller-beard-growth-serum" TargetMode="External"/><Relationship Id="rId178" Type="http://schemas.openxmlformats.org/officeDocument/2006/relationships/hyperlink" Target="https://striking-viking.com/no/products/striking-viking-beard-filler-pen-2-pack-dual-tip-waterproof-beard-pen-for-natural-beard-filling" TargetMode="External"/><Relationship Id="rId179" Type="http://schemas.openxmlformats.org/officeDocument/2006/relationships/hyperlink" Target="https://striking-viking.com/no/products/ontaki-hair-thinning-shears-kit-7-inch-professional-hair-cutting-texturizing-set" TargetMode="External"/><Relationship Id="rId180" Type="http://schemas.openxmlformats.org/officeDocument/2006/relationships/hyperlink" Target="https://striking-viking.com/sv/products/striking-viking-sandalwood-beard-growth-bundle-with-titanium-derma-roller-beard-growth-serum" TargetMode="External"/><Relationship Id="rId181" Type="http://schemas.openxmlformats.org/officeDocument/2006/relationships/hyperlink" Target="https://striking-viking.com/fi/products/striking-viking-sandalwood-beard-oil" TargetMode="External"/><Relationship Id="rId182" Type="http://schemas.openxmlformats.org/officeDocument/2006/relationships/hyperlink" Target="https://striking-viking.com/fr-ca/products/striking-viking-vanilla-beard-growth-bundle-with-biotin-beard-serum-titanium-derma-roller" TargetMode="External"/><Relationship Id="rId183" Type="http://schemas.openxmlformats.org/officeDocument/2006/relationships/hyperlink" Target="https://striking-viking.com/sv/products/striking-viking-vanilla-beard-growth-bundle-with-biotin-beard-serum-titanium-derma-roller" TargetMode="External"/><Relationship Id="rId184" Type="http://schemas.openxmlformats.org/officeDocument/2006/relationships/hyperlink" Target="https://striking-viking.com/de/products/striking-viking-sandalwood-beard-growth-bundle-with-titanium-derma-roller-beard-growth-serum" TargetMode="External"/><Relationship Id="rId185" Type="http://schemas.openxmlformats.org/officeDocument/2006/relationships/hyperlink" Target="https://striking-viking.com/fr-ca/products/striking-viking-unscented-beard-butter-for-moisturizing-softening-daily-beard-care" TargetMode="External"/><Relationship Id="rId186" Type="http://schemas.openxmlformats.org/officeDocument/2006/relationships/hyperlink" Target="https://striking-viking.com/it/blogs/learn/beard-grooming-comparison" TargetMode="External"/><Relationship Id="rId187" Type="http://schemas.openxmlformats.org/officeDocument/2006/relationships/hyperlink" Target="https://striking-viking.com/fr/products/striking-viking-beard-growth-kit-with-beard-roller-vanilla-unscented-biotin-oils-for-men" TargetMode="External"/><Relationship Id="rId188" Type="http://schemas.openxmlformats.org/officeDocument/2006/relationships/hyperlink" Target="https://striking-viking.com/fi/products/ontaki-japanese-steel-rounded-tip-beard-mustache-scissors-4-2-inch-grooming-kit" TargetMode="External"/><Relationship Id="rId189" Type="http://schemas.openxmlformats.org/officeDocument/2006/relationships/hyperlink" Target="https://striking-viking.com/sv/products/striking-viking-beard-filler-pencil-with-dual-tip-pen-brush-for-natural-beard-styling" TargetMode="External"/><Relationship Id="rId190" Type="http://schemas.openxmlformats.org/officeDocument/2006/relationships/hyperlink" Target="https://striking-viking.com/fr/products/striking-viking-vanilla-beard-growth-bundle-with-biotin-beard-serum-titanium-derma-roller" TargetMode="External"/><Relationship Id="rId191" Type="http://schemas.openxmlformats.org/officeDocument/2006/relationships/hyperlink" Target="https://striking-viking.com/fr-ca/products/striking-viking-vanilla-beard-growth-kit-with-biotin-oil-0-25mm-derma-roller" TargetMode="External"/><Relationship Id="rId192" Type="http://schemas.openxmlformats.org/officeDocument/2006/relationships/hyperlink" Target="https://striking-viking.com/it/products/striking-viking-beard-rehab-growth-kit-with-sandalwood-beard-care-derma-roller" TargetMode="External"/><Relationship Id="rId193" Type="http://schemas.openxmlformats.org/officeDocument/2006/relationships/hyperlink" Target="https://striking-viking.com/sv/products/ontaki-hair-thinning-shears-kit-7-inch-professional-hair-cutting-texturizing-set" TargetMode="External"/><Relationship Id="rId194" Type="http://schemas.openxmlformats.org/officeDocument/2006/relationships/hyperlink" Target="https://striking-viking.com/es/products/striking-viking-beard-growth-mastery-bundle-with-sandalwood-vanilla-biotin-oils-and-derma-roller" TargetMode="External"/><Relationship Id="rId195" Type="http://schemas.openxmlformats.org/officeDocument/2006/relationships/hyperlink" Target="https://striking-viking.com/it/products/striking-viking-sandalwood-beard-oil" TargetMode="External"/><Relationship Id="rId196" Type="http://schemas.openxmlformats.org/officeDocument/2006/relationships/hyperlink" Target="https://striking-viking.com/fi/products/striking-viking-beard-growth-mastery-bundle-with-sandalwood-vanilla-biotin-oils-and-derma-roller" TargetMode="External"/><Relationship Id="rId197" Type="http://schemas.openxmlformats.org/officeDocument/2006/relationships/hyperlink" Target="https://striking-viking.com/es/blogs/learn/beard-grooming-comparison" TargetMode="External"/><Relationship Id="rId198" Type="http://schemas.openxmlformats.org/officeDocument/2006/relationships/hyperlink" Target="https://striking-viking.com/it/products/ontaki-japanese-steel-rounded-tip-beard-mustache-scissors-4-2-inch-grooming-kit" TargetMode="External"/><Relationship Id="rId199" Type="http://schemas.openxmlformats.org/officeDocument/2006/relationships/hyperlink" Target="https://striking-viking.com/fr-ca/collections/viking-beard-kits" TargetMode="External"/><Relationship Id="rId200" Type="http://schemas.openxmlformats.org/officeDocument/2006/relationships/hyperlink" Target="https://striking-viking.com/es/products/striking-viking-beard-filler-pen-2-pack-dual-tip-waterproof-beard-pen-for-natural-beard-filling" TargetMode="External"/><Relationship Id="rId201" Type="http://schemas.openxmlformats.org/officeDocument/2006/relationships/hyperlink" Target="https://striking-viking.com/de/products/striking-viking-hybrid-beard-growth-bundle-with-sandalwood-unscented-beard-oils-and-derma-roller" TargetMode="External"/><Relationship Id="rId202" Type="http://schemas.openxmlformats.org/officeDocument/2006/relationships/hyperlink" Target="https://striking-viking.com/sv/products/ontaki-duckbill-applique-scissors-4-5-inch-carbon-steel-fabric-thread-cutting-scissors" TargetMode="External"/><Relationship Id="rId203" Type="http://schemas.openxmlformats.org/officeDocument/2006/relationships/hyperlink" Target="https://striking-viking.com/fr-ca/products/striking-viking-beard-shampoo-with-natural-peppermint-eucalyptus-for-refreshing-beard-care" TargetMode="External"/><Relationship Id="rId204" Type="http://schemas.openxmlformats.org/officeDocument/2006/relationships/hyperlink" Target="https://striking-viking.com/fr-ca/products/striking-viking-beard-filler-pencil-with-dual-tip-pen-brush-for-natural-beard-styling" TargetMode="External"/><Relationship Id="rId205" Type="http://schemas.openxmlformats.org/officeDocument/2006/relationships/hyperlink" Target="https://striking-viking.com/sv/products/striking-viking-beard-growth-kit-with-beard-roller-vanilla-unscented-biotin-oils-for-men" TargetMode="External"/><Relationship Id="rId206" Type="http://schemas.openxmlformats.org/officeDocument/2006/relationships/hyperlink" Target="https://striking-viking.com/it/products/striking-viking-vanilla-beard-growth-bundle-with-biotin-beard-serum-titanium-derma-roller" TargetMode="External"/><Relationship Id="rId207" Type="http://schemas.openxmlformats.org/officeDocument/2006/relationships/hyperlink" Target="https://striking-viking.com/fr/products/striking-viking-sandalwood-beard-growth-bundle-with-titanium-derma-roller-beard-growth-serum" TargetMode="External"/><Relationship Id="rId208" Type="http://schemas.openxmlformats.org/officeDocument/2006/relationships/hyperlink" Target="https://striking-viking.com/no/products/striking-viking-hybrid-beard-growth-bundle-with-sandalwood-unscented-beard-oils-and-derma-roller" TargetMode="External"/><Relationship Id="rId209" Type="http://schemas.openxmlformats.org/officeDocument/2006/relationships/hyperlink" Target="https://striking-viking.com/no/products/striking-viking-beard-growth-kit-with-beard-roller-vanilla-unscented-biotin-oils-for-men" TargetMode="External"/><Relationship Id="rId210" Type="http://schemas.openxmlformats.org/officeDocument/2006/relationships/hyperlink" Target="https://striking-viking.com/es/products/striking-viking-sandalwood-beard-oil" TargetMode="External"/><Relationship Id="rId211" Type="http://schemas.openxmlformats.org/officeDocument/2006/relationships/hyperlink" Target="https://striking-viking.com/fr-ca/products/striking-viking-sandalwood-beard-growth-bundle-with-titanium-derma-roller-beard-growth-serum" TargetMode="External"/><Relationship Id="rId212" Type="http://schemas.openxmlformats.org/officeDocument/2006/relationships/hyperlink" Target="https://striking-viking.com/fi/products/striking-viking-beard-rehab-growth-kit-with-sandalwood-beard-care-derma-roller" TargetMode="External"/><Relationship Id="rId213" Type="http://schemas.openxmlformats.org/officeDocument/2006/relationships/hyperlink" Target="https://striking-viking.com/fr-ca/blogs/learn/unlock-your-beard-s-full-potential-beard-growth-kits-oils" TargetMode="External"/><Relationship Id="rId214" Type="http://schemas.openxmlformats.org/officeDocument/2006/relationships/hyperlink" Target="https://striking-viking.com/sv/products/striking-viking-beard-growth-mastery-bundle-with-sandalwood-vanilla-biotin-oils-and-derma-roller" TargetMode="External"/><Relationship Id="rId215" Type="http://schemas.openxmlformats.org/officeDocument/2006/relationships/hyperlink" Target="https://striking-viking.com/de/products/ontaki-duckbill-applique-scissors-4-5-inch-carbon-steel-fabric-thread-cutting-scissors" TargetMode="External"/><Relationship Id="rId216" Type="http://schemas.openxmlformats.org/officeDocument/2006/relationships/hyperlink" Target="https://striking-viking.com/fr/products/striking-viking-unscented-beard-butter-for-moisturizing-softening-daily-beard-care" TargetMode="External"/><Relationship Id="rId217" Type="http://schemas.openxmlformats.org/officeDocument/2006/relationships/hyperlink" Target="https://striking-viking.com/no/products/striking-viking-beard-filler-pencil-with-dual-tip-pen-brush-for-natural-beard-styling" TargetMode="External"/><Relationship Id="rId218" Type="http://schemas.openxmlformats.org/officeDocument/2006/relationships/hyperlink" Target="https://striking-viking.com/fi/products/striking-viking-beard-filler-pen-2-pack-dual-tip-waterproof-beard-pen-for-natural-beard-filling" TargetMode="External"/><Relationship Id="rId219" Type="http://schemas.openxmlformats.org/officeDocument/2006/relationships/hyperlink" Target="https://striking-viking.com/fi/products/striking-viking-beard-filler-pencil-with-dual-tip-pen-brush-for-natural-beard-styling" TargetMode="External"/><Relationship Id="rId220" Type="http://schemas.openxmlformats.org/officeDocument/2006/relationships/hyperlink" Target="https://striking-viking.com/fr-ca/products/striking-viking-sandalwood-beard-growth-kit-with-biotin-oil-0-25mm-derma-roller" TargetMode="External"/><Relationship Id="rId221" Type="http://schemas.openxmlformats.org/officeDocument/2006/relationships/hyperlink" Target="https://striking-viking.com/fr-ca/products/striking-viking-beard-growth-kit-with-beard-roller-vanilla-unscented-biotin-oils-for-men" TargetMode="External"/><Relationship Id="rId222" Type="http://schemas.openxmlformats.org/officeDocument/2006/relationships/hyperlink" Target="https://striking-viking.com/es/products/ontaki-hair-thinning-shears-kit-7-inch-professional-hair-cutting-texturizing-set" TargetMode="External"/><Relationship Id="rId223" Type="http://schemas.openxmlformats.org/officeDocument/2006/relationships/hyperlink" Target="https://striking-viking.com/fr-ca/blogs/learn/beard-grooming-comparison" TargetMode="External"/><Relationship Id="rId224" Type="http://schemas.openxmlformats.org/officeDocument/2006/relationships/hyperlink" Target="https://striking-viking.com/es/products/striking-viking-vanilla-beard-growth-bundle-with-biotin-beard-serum-titanium-derma-roller" TargetMode="External"/><Relationship Id="rId225" Type="http://schemas.openxmlformats.org/officeDocument/2006/relationships/hyperlink" Target="https://striking-viking.com/sv/products/striking-viking-beard-filler-pen-2-pack-dual-tip-waterproof-beard-pen-for-natural-beard-filling" TargetMode="External"/><Relationship Id="rId226" Type="http://schemas.openxmlformats.org/officeDocument/2006/relationships/hyperlink" Target="https://striking-viking.com/en-ca/products/striking-viking-vanilla-beard-growth-bundle-with-biotin-beard-serum-titanium-derma-roller" TargetMode="External"/><Relationship Id="rId227" Type="http://schemas.openxmlformats.org/officeDocument/2006/relationships/hyperlink" Target="https://striking-viking.com/it/products/ontaki-duckbill-applique-scissors-4-5-inch-carbon-steel-fabric-thread-cutting-scissors" TargetMode="External"/><Relationship Id="rId228" Type="http://schemas.openxmlformats.org/officeDocument/2006/relationships/hyperlink" Target="https://striking-viking.com/en-gb/products/striking-viking-unscented-beard-butter-for-moisturizing-softening-daily-beard-care" TargetMode="External"/><Relationship Id="rId229" Type="http://schemas.openxmlformats.org/officeDocument/2006/relationships/hyperlink" Target="https://striking-viking.com/de/products/ontaki-hair-thinning-shears-kit-7-inch-professional-hair-cutting-texturizing-set" TargetMode="External"/><Relationship Id="rId230" Type="http://schemas.openxmlformats.org/officeDocument/2006/relationships/hyperlink" Target="https://striking-viking.com/fr/products/striking-viking-beard-shampoo-with-natural-peppermint-eucalyptus-for-refreshing-beard-care" TargetMode="External"/><Relationship Id="rId231" Type="http://schemas.openxmlformats.org/officeDocument/2006/relationships/hyperlink" Target="https://striking-viking.com/es/products/ontaki-japanese-steel-rounded-tip-beard-mustache-scissors-4-2-inch-grooming-kit" TargetMode="External"/><Relationship Id="rId232" Type="http://schemas.openxmlformats.org/officeDocument/2006/relationships/hyperlink" Target="https://striking-viking.com/fi/products/striking-viking-vanilla-beard-growth-bundle-with-biotin-beard-serum-titanium-derma-roller" TargetMode="External"/><Relationship Id="rId233" Type="http://schemas.openxmlformats.org/officeDocument/2006/relationships/hyperlink" Target="https://striking-viking.com/es/products/striking-viking-sandalwood-beard-growth-bundle-with-titanium-derma-roller-beard-growth-serum" TargetMode="External"/><Relationship Id="rId234" Type="http://schemas.openxmlformats.org/officeDocument/2006/relationships/hyperlink" Target="https://striking-viking.com/fi/products/striking-viking-vanilla-beard-growth-kit-with-biotin-oil-0-25mm-derma-roller" TargetMode="External"/><Relationship Id="rId235" Type="http://schemas.openxmlformats.org/officeDocument/2006/relationships/hyperlink" Target="https://striking-viking.com/no/products/ontaki-duckbill-applique-scissors-4-5-inch-carbon-steel-fabric-thread-cutting-scissors" TargetMode="External"/><Relationship Id="rId236" Type="http://schemas.openxmlformats.org/officeDocument/2006/relationships/hyperlink" Target="https://striking-viking.com/sv/products/striking-viking-sandalwood-beard-oil" TargetMode="External"/><Relationship Id="rId237" Type="http://schemas.openxmlformats.org/officeDocument/2006/relationships/hyperlink" Target="https://striking-viking.com/no/products/ontaki-japanese-steel-rounded-tip-beard-mustache-scissors-4-2-inch-grooming-kit" TargetMode="External"/><Relationship Id="rId238" Type="http://schemas.openxmlformats.org/officeDocument/2006/relationships/hyperlink" Target="https://striking-viking.com/fr-ca/products/striking-viking-beard-growth-mastery-bundle-with-sandalwood-vanilla-biotin-oils-and-derma-roller" TargetMode="External"/><Relationship Id="rId239" Type="http://schemas.openxmlformats.org/officeDocument/2006/relationships/hyperlink" Target="https://striking-viking.com/no/products/striking-viking-beard-rehab-growth-kit-with-sandalwood-beard-care-derma-roller" TargetMode="External"/><Relationship Id="rId240" Type="http://schemas.openxmlformats.org/officeDocument/2006/relationships/hyperlink" Target="https://striking-viking.com/es/products/striking-viking-beard-rehab-growth-kit-with-sandalwood-beard-care-derma-roller" TargetMode="External"/><Relationship Id="rId241" Type="http://schemas.openxmlformats.org/officeDocument/2006/relationships/hyperlink" Target="https://striking-viking.com/es/products/striking-viking-hybrid-beard-growth-bundle-with-sandalwood-unscented-beard-oils-and-derma-roller" TargetMode="External"/><Relationship Id="rId242" Type="http://schemas.openxmlformats.org/officeDocument/2006/relationships/hyperlink" Target="https://striking-viking.com/fi/products/ontaki-duckbill-applique-scissors-4-5-inch-carbon-steel-fabric-thread-cutting-scissors" TargetMode="External"/><Relationship Id="rId243" Type="http://schemas.openxmlformats.org/officeDocument/2006/relationships/hyperlink" Target="https://striking-viking.com/sv/products/ontaki-japanese-steel-rounded-tip-beard-mustache-scissors-4-2-inch-grooming-kit" TargetMode="External"/><Relationship Id="rId244" Type="http://schemas.openxmlformats.org/officeDocument/2006/relationships/hyperlink" Target="https://striking-viking.com/de/products/striking-viking-beard-growth-mastery-bundle-with-sandalwood-vanilla-biotin-oils-and-derma-roller" TargetMode="External"/><Relationship Id="rId245" Type="http://schemas.openxmlformats.org/officeDocument/2006/relationships/hyperlink" Target="https://striking-viking.com/fr-ca/products/striking-viking-hybrid-beard-growth-bundle-with-sandalwood-unscented-beard-oils-and-derma-roller" TargetMode="External"/><Relationship Id="rId246" Type="http://schemas.openxmlformats.org/officeDocument/2006/relationships/hyperlink" Target="https://striking-viking.com/fi/products/striking-viking-beard-growth-kit-with-beard-roller-vanilla-unscented-biotin-oils-for-men" TargetMode="External"/><Relationship Id="rId247" Type="http://schemas.openxmlformats.org/officeDocument/2006/relationships/hyperlink" Target="https://striking-viking.com/no/products/striking-viking-vanilla-beard-growth-bundle-with-biotin-beard-serum-titanium-derma-roller" TargetMode="External"/><Relationship Id="rId248" Type="http://schemas.openxmlformats.org/officeDocument/2006/relationships/hyperlink" Target="https://striking-viking.com/de/products/striking-viking-beard-growth-kit-with-beard-roller-vanilla-unscented-biotin-oils-for-men" TargetMode="External"/><Relationship Id="rId249" Type="http://schemas.openxmlformats.org/officeDocument/2006/relationships/hyperlink" Target="https://striking-viking.com/de/products/striking-viking-vanilla-beard-growth-bundle-with-biotin-beard-serum-titanium-derma-roller" TargetMode="External"/><Relationship Id="rId250" Type="http://schemas.openxmlformats.org/officeDocument/2006/relationships/hyperlink" Target="https://striking-viking.com/it/products/striking-viking-beard-growth-mastery-bundle-with-sandalwood-vanilla-biotin-oils-and-derma-roller" TargetMode="External"/><Relationship Id="rId251" Type="http://schemas.openxmlformats.org/officeDocument/2006/relationships/hyperlink" Target="https://striking-viking.com/es/products/striking-viking-vanilla-beard-growth-kit-with-biotin-oil-0-25mm-derma-roller" TargetMode="External"/><Relationship Id="rId252" Type="http://schemas.openxmlformats.org/officeDocument/2006/relationships/hyperlink" Target="https://striking-viking.com/es/products/striking-viking-sandalwood-beard-growth-kit-with-biotin-oil-0-25mm-derma-roller" TargetMode="External"/>
</Relationships>
</file>

<file path=xl/worksheets/_rels/sheet37.xml.rels><?xml version="1.0" encoding="UTF-8"?>
<Relationships xmlns="http://schemas.openxmlformats.org/package/2006/relationships"><Relationship Id="rId1" Type="http://schemas.openxmlformats.org/officeDocument/2006/relationships/hyperlink" Target="https://striking-viking.com/products/sandalwood-wooden-beard-comb-black-striking-viking" TargetMode="External"/>
</Relationships>
</file>

<file path=xl/worksheets/_rels/sheet38.xml.rels><?xml version="1.0" encoding="UTF-8"?>
<Relationships xmlns="http://schemas.openxmlformats.org/package/2006/relationships"><Relationship Id="rId1" Type="http://schemas.openxmlformats.org/officeDocument/2006/relationships/hyperlink" Target="https://striking-viking.com/" TargetMode="External"/><Relationship Id="rId2" Type="http://schemas.openxmlformats.org/officeDocument/2006/relationships/hyperlink" Target="https://striking-viking.com/products/striking-viking-mustache-wax-and-comb-kit" TargetMode="External"/><Relationship Id="rId3" Type="http://schemas.openxmlformats.org/officeDocument/2006/relationships/hyperlink" Target="https://striking-viking.com/cdn/shop/files/preview_images/bbf7ac2d6bcb4e9781033073d3e04183.thumbnail.0000000000_1024x1024.jpg?v=1786599449" TargetMode="External"/><Relationship Id="rId4" Type="http://schemas.openxmlformats.org/officeDocument/2006/relationships/hyperlink" Target="https://striking-viking.com/es/products/striking-viking-beard-filler-pen-2-pack-waterproof-beard-pen-for-filling-gaps-covering-patches" TargetMode="External"/><Relationship Id="rId5" Type="http://schemas.openxmlformats.org/officeDocument/2006/relationships/hyperlink" Target="https://striking-viking.com/cdn/shop/files/preview_images/49129432d5d543f2b09f1e3faab28f4a.thumbnail.0000000000_1024x1024.jpg?v=1786599719" TargetMode="External"/><Relationship Id="rId6" Type="http://schemas.openxmlformats.org/officeDocument/2006/relationships/hyperlink" Target="https://striking-viking.com/no/products/striking-viking-mustache-wax-and-comb-kit" TargetMode="External"/><Relationship Id="rId7" Type="http://schemas.openxmlformats.org/officeDocument/2006/relationships/hyperlink" Target="https://striking-viking.com/cdn/shop/files/preview_images/bbf7ac2d6bcb4e9781033073d3e04183.thumbnail.0000000000_1024x1024.jpg?v=1786599449" TargetMode="External"/><Relationship Id="rId8" Type="http://schemas.openxmlformats.org/officeDocument/2006/relationships/hyperlink" Target="https://striking-viking.com/fi/products/striking-viking-beard-filler-pen-2-pack-waterproof-beard-pen-for-filling-gaps-covering-patches" TargetMode="External"/><Relationship Id="rId9" Type="http://schemas.openxmlformats.org/officeDocument/2006/relationships/hyperlink" Target="https://striking-viking.com/cdn/shop/files/preview_images/49129432d5d543f2b09f1e3faab28f4a.thumbnail.0000000000_1024x1024.jpg?v=1786599719" TargetMode="External"/><Relationship Id="rId10" Type="http://schemas.openxmlformats.org/officeDocument/2006/relationships/hyperlink" Target="https://striking-viking.com/de" TargetMode="External"/><Relationship Id="rId11" Type="http://schemas.openxmlformats.org/officeDocument/2006/relationships/hyperlink" Target="https://striking-viking.com/it/products/striking-viking-beard-filler-pen-2-pack-waterproof-beard-pen-for-filling-gaps-covering-patches" TargetMode="External"/><Relationship Id="rId12" Type="http://schemas.openxmlformats.org/officeDocument/2006/relationships/hyperlink" Target="https://striking-viking.com/cdn/shop/files/preview_images/49129432d5d543f2b09f1e3faab28f4a.thumbnail.0000000000_1024x1024.jpg?v=1786599719" TargetMode="External"/><Relationship Id="rId13" Type="http://schemas.openxmlformats.org/officeDocument/2006/relationships/hyperlink" Target="https://striking-viking.com/es" TargetMode="External"/><Relationship Id="rId14" Type="http://schemas.openxmlformats.org/officeDocument/2006/relationships/hyperlink" Target="https://striking-viking.com/en-gb/products/striking-viking-mustache-wax-and-comb-kit" TargetMode="External"/><Relationship Id="rId15" Type="http://schemas.openxmlformats.org/officeDocument/2006/relationships/hyperlink" Target="https://striking-viking.com/cdn/shop/files/preview_images/bbf7ac2d6bcb4e9781033073d3e04183.thumbnail.0000000000_1024x1024.jpg?v=1786599449" TargetMode="External"/><Relationship Id="rId16" Type="http://schemas.openxmlformats.org/officeDocument/2006/relationships/hyperlink" Target="https://striking-viking.com/it" TargetMode="External"/><Relationship Id="rId17" Type="http://schemas.openxmlformats.org/officeDocument/2006/relationships/hyperlink" Target="https://striking-viking.com/it/products/striking-viking-beard-kit-caddy-complete-beard-grooming-kit" TargetMode="External"/><Relationship Id="rId18" Type="http://schemas.openxmlformats.org/officeDocument/2006/relationships/hyperlink" Target="https://striking-viking.com/cdn/shop/files/preview_images/ba5feb9f783d4fa1adb23a394602c871.thumbnail.0000000000_1024x1024.jpg?v=1786599826" TargetMode="External"/><Relationship Id="rId19" Type="http://schemas.openxmlformats.org/officeDocument/2006/relationships/hyperlink" Target="https://striking-viking.com/en-ca/products/striking-viking-beard-kit-caddy-complete-beard-grooming-kit" TargetMode="External"/><Relationship Id="rId20" Type="http://schemas.openxmlformats.org/officeDocument/2006/relationships/hyperlink" Target="https://striking-viking.com/cdn/shop/files/preview_images/ba5feb9f783d4fa1adb23a394602c871.thumbnail.0000000000_1024x1024.jpg?v=1786599826" TargetMode="External"/><Relationship Id="rId21" Type="http://schemas.openxmlformats.org/officeDocument/2006/relationships/hyperlink" Target="https://striking-viking.com/sv/products/striking-viking-mustache-wax-and-comb-kit" TargetMode="External"/><Relationship Id="rId22" Type="http://schemas.openxmlformats.org/officeDocument/2006/relationships/hyperlink" Target="https://striking-viking.com/cdn/shop/files/preview_images/bbf7ac2d6bcb4e9781033073d3e04183.thumbnail.0000000000_1024x1024.jpg?v=1786599449" TargetMode="External"/><Relationship Id="rId23" Type="http://schemas.openxmlformats.org/officeDocument/2006/relationships/hyperlink" Target="https://striking-viking.com/fr/products/striking-viking-beard-kit-caddy-complete-beard-grooming-kit" TargetMode="External"/><Relationship Id="rId24" Type="http://schemas.openxmlformats.org/officeDocument/2006/relationships/hyperlink" Target="https://striking-viking.com/cdn/shop/files/preview_images/ba5feb9f783d4fa1adb23a394602c871.thumbnail.0000000000_1024x1024.jpg?v=1786599826" TargetMode="External"/><Relationship Id="rId25" Type="http://schemas.openxmlformats.org/officeDocument/2006/relationships/hyperlink" Target="https://striking-viking.com/fi" TargetMode="External"/><Relationship Id="rId26" Type="http://schemas.openxmlformats.org/officeDocument/2006/relationships/hyperlink" Target="https://striking-viking.com/fi/products/striking-viking-mustache-wax-and-comb-kit" TargetMode="External"/><Relationship Id="rId27" Type="http://schemas.openxmlformats.org/officeDocument/2006/relationships/hyperlink" Target="https://striking-viking.com/cdn/shop/files/preview_images/bbf7ac2d6bcb4e9781033073d3e04183.thumbnail.0000000000_1024x1024.jpg?v=1786599449" TargetMode="External"/><Relationship Id="rId28" Type="http://schemas.openxmlformats.org/officeDocument/2006/relationships/hyperlink" Target="https://striking-viking.com/fr/products/striking-viking-beard-filler-pen-2-pack-waterproof-beard-pen-for-filling-gaps-covering-patches" TargetMode="External"/><Relationship Id="rId29" Type="http://schemas.openxmlformats.org/officeDocument/2006/relationships/hyperlink" Target="https://striking-viking.com/cdn/shop/files/preview_images/49129432d5d543f2b09f1e3faab28f4a.thumbnail.0000000000_1024x1024.jpg?v=1786599719" TargetMode="External"/><Relationship Id="rId30" Type="http://schemas.openxmlformats.org/officeDocument/2006/relationships/hyperlink" Target="https://striking-viking.com/no/products/striking-viking-beard-filler-pen-2-pack-waterproof-beard-pen-for-filling-gaps-covering-patches" TargetMode="External"/><Relationship Id="rId31" Type="http://schemas.openxmlformats.org/officeDocument/2006/relationships/hyperlink" Target="https://striking-viking.com/cdn/shop/files/preview_images/49129432d5d543f2b09f1e3faab28f4a.thumbnail.0000000000_1024x1024.jpg?v=1786599719" TargetMode="External"/><Relationship Id="rId32" Type="http://schemas.openxmlformats.org/officeDocument/2006/relationships/hyperlink" Target="https://striking-viking.com/de/products/schnurrbartwachs-und-kamm" TargetMode="External"/><Relationship Id="rId33" Type="http://schemas.openxmlformats.org/officeDocument/2006/relationships/hyperlink" Target="https://striking-viking.com/cdn/shop/files/preview_images/bbf7ac2d6bcb4e9781033073d3e04183.thumbnail.0000000000_1024x1024.jpg?v=1786599449" TargetMode="External"/><Relationship Id="rId34" Type="http://schemas.openxmlformats.org/officeDocument/2006/relationships/hyperlink" Target="https://striking-viking.com/fr" TargetMode="External"/><Relationship Id="rId35" Type="http://schemas.openxmlformats.org/officeDocument/2006/relationships/hyperlink" Target="https://striking-viking.com/de/products/bartfullstift" TargetMode="External"/><Relationship Id="rId36" Type="http://schemas.openxmlformats.org/officeDocument/2006/relationships/hyperlink" Target="https://striking-viking.com/cdn/shop/files/preview_images/49129432d5d543f2b09f1e3faab28f4a.thumbnail.0000000000_1024x1024.jpg?v=1786599719" TargetMode="External"/><Relationship Id="rId37" Type="http://schemas.openxmlformats.org/officeDocument/2006/relationships/hyperlink" Target="https://striking-viking.com/no" TargetMode="External"/><Relationship Id="rId38" Type="http://schemas.openxmlformats.org/officeDocument/2006/relationships/hyperlink" Target="https://striking-viking.com/no/products/striking-viking-beard-kit-caddy-complete-beard-grooming-kit" TargetMode="External"/><Relationship Id="rId39" Type="http://schemas.openxmlformats.org/officeDocument/2006/relationships/hyperlink" Target="https://striking-viking.com/cdn/shop/files/preview_images/ba5feb9f783d4fa1adb23a394602c871.thumbnail.0000000000_1024x1024.jpg?v=1786599826" TargetMode="External"/><Relationship Id="rId40" Type="http://schemas.openxmlformats.org/officeDocument/2006/relationships/hyperlink" Target="https://striking-viking.com/sv" TargetMode="External"/><Relationship Id="rId41" Type="http://schemas.openxmlformats.org/officeDocument/2006/relationships/hyperlink" Target="https://striking-viking.com/it/products/striking-viking-mustache-wax-and-comb-kit" TargetMode="External"/><Relationship Id="rId42" Type="http://schemas.openxmlformats.org/officeDocument/2006/relationships/hyperlink" Target="https://striking-viking.com/cdn/shop/files/preview_images/bbf7ac2d6bcb4e9781033073d3e04183.thumbnail.0000000000_1024x1024.jpg?v=1786599449" TargetMode="External"/><Relationship Id="rId43" Type="http://schemas.openxmlformats.org/officeDocument/2006/relationships/hyperlink" Target="https://striking-viking.com/de/products/bartset-mit-caddy" TargetMode="External"/><Relationship Id="rId44" Type="http://schemas.openxmlformats.org/officeDocument/2006/relationships/hyperlink" Target="https://striking-viking.com/cdn/shop/files/preview_images/ba5feb9f783d4fa1adb23a394602c871.thumbnail.0000000000_1024x1024.jpg?v=1786599826" TargetMode="External"/><Relationship Id="rId45" Type="http://schemas.openxmlformats.org/officeDocument/2006/relationships/hyperlink" Target="https://striking-viking.com/en-ca" TargetMode="External"/><Relationship Id="rId46" Type="http://schemas.openxmlformats.org/officeDocument/2006/relationships/hyperlink" Target="https://striking-viking.com/products/striking-viking-beard-kit-caddy-complete-beard-grooming-kit" TargetMode="External"/><Relationship Id="rId47" Type="http://schemas.openxmlformats.org/officeDocument/2006/relationships/hyperlink" Target="https://striking-viking.com/cdn/shop/files/preview_images/ba5feb9f783d4fa1adb23a394602c871.thumbnail.0000000000_1024x1024.jpg?v=1786599826" TargetMode="External"/><Relationship Id="rId48" Type="http://schemas.openxmlformats.org/officeDocument/2006/relationships/hyperlink" Target="https://striking-viking.com/fi/products/striking-viking-beard-kit-caddy-complete-beard-grooming-kit" TargetMode="External"/><Relationship Id="rId49" Type="http://schemas.openxmlformats.org/officeDocument/2006/relationships/hyperlink" Target="https://striking-viking.com/cdn/shop/files/preview_images/ba5feb9f783d4fa1adb23a394602c871.thumbnail.0000000000_1024x1024.jpg?v=1786599826" TargetMode="External"/><Relationship Id="rId50" Type="http://schemas.openxmlformats.org/officeDocument/2006/relationships/hyperlink" Target="https://striking-viking.com/es/products/striking-viking-beard-kit-caddy-complete-beard-grooming-kit" TargetMode="External"/><Relationship Id="rId51" Type="http://schemas.openxmlformats.org/officeDocument/2006/relationships/hyperlink" Target="https://striking-viking.com/cdn/shop/files/preview_images/ba5feb9f783d4fa1adb23a394602c871.thumbnail.0000000000_1024x1024.jpg?v=1786599826" TargetMode="External"/><Relationship Id="rId52" Type="http://schemas.openxmlformats.org/officeDocument/2006/relationships/hyperlink" Target="https://striking-viking.com/en-ca/products/striking-viking-beard-filler-pen-2-pack-waterproof-beard-pen-for-filling-gaps-covering-patches" TargetMode="External"/><Relationship Id="rId53" Type="http://schemas.openxmlformats.org/officeDocument/2006/relationships/hyperlink" Target="https://striking-viking.com/cdn/shop/files/preview_images/49129432d5d543f2b09f1e3faab28f4a.thumbnail.0000000000_1024x1024.jpg?v=1786599719" TargetMode="External"/><Relationship Id="rId54" Type="http://schemas.openxmlformats.org/officeDocument/2006/relationships/hyperlink" Target="https://striking-viking.com/es/products/striking-viking-mustache-wax-and-comb-kit" TargetMode="External"/><Relationship Id="rId55" Type="http://schemas.openxmlformats.org/officeDocument/2006/relationships/hyperlink" Target="https://striking-viking.com/cdn/shop/files/preview_images/bbf7ac2d6bcb4e9781033073d3e04183.thumbnail.0000000000_1024x1024.jpg?v=1786599449" TargetMode="External"/><Relationship Id="rId56" Type="http://schemas.openxmlformats.org/officeDocument/2006/relationships/hyperlink" Target="https://striking-viking.com/en-ca/products/striking-viking-mustache-wax-and-comb-kit" TargetMode="External"/><Relationship Id="rId57" Type="http://schemas.openxmlformats.org/officeDocument/2006/relationships/hyperlink" Target="https://striking-viking.com/cdn/shop/files/preview_images/bbf7ac2d6bcb4e9781033073d3e04183.thumbnail.0000000000_1024x1024.jpg?v=1786599449" TargetMode="External"/><Relationship Id="rId58" Type="http://schemas.openxmlformats.org/officeDocument/2006/relationships/hyperlink" Target="https://striking-viking.com/products/striking-viking-wooden-beard-care-caddy-board-only" TargetMode="External"/><Relationship Id="rId59" Type="http://schemas.openxmlformats.org/officeDocument/2006/relationships/hyperlink" Target="https://striking-viking.com/cdn/shop/files/preview_images/5ccb603517a94a8fbc089e8b0a2c2fb4.thumbnail.0000000000_1024x1024.jpg?v=1786600783" TargetMode="External"/><Relationship Id="rId60" Type="http://schemas.openxmlformats.org/officeDocument/2006/relationships/hyperlink" Target="https://striking-viking.com/products/striking-viking-beard-filler-pen-2-pack-waterproof-beard-pen-for-filling-gaps-covering-patches" TargetMode="External"/><Relationship Id="rId61" Type="http://schemas.openxmlformats.org/officeDocument/2006/relationships/hyperlink" Target="https://striking-viking.com/cdn/shop/files/preview_images/49129432d5d543f2b09f1e3faab28f4a.thumbnail.0000000000_1024x1024.jpg?v=1786599719" TargetMode="External"/><Relationship Id="rId62" Type="http://schemas.openxmlformats.org/officeDocument/2006/relationships/hyperlink" Target="https://striking-viking.com/fr/products/striking-viking-mustache-wax-and-comb-kit" TargetMode="External"/><Relationship Id="rId63" Type="http://schemas.openxmlformats.org/officeDocument/2006/relationships/hyperlink" Target="https://striking-viking.com/cdn/shop/files/preview_images/bbf7ac2d6bcb4e9781033073d3e04183.thumbnail.0000000000_1024x1024.jpg?v=1786599449" TargetMode="External"/><Relationship Id="rId64" Type="http://schemas.openxmlformats.org/officeDocument/2006/relationships/hyperlink" Target="https://striking-viking.com/it/products/striking-viking-vanilla-beard-balm" TargetMode="External"/><Relationship Id="rId65" Type="http://schemas.openxmlformats.org/officeDocument/2006/relationships/hyperlink" Target="https://striking-viking.com/cdn/shop/files/preview_images/654292f4a09e42b6b95c9ef48340e293.thumbnail.0000000000_1024x1024.jpg?v=1786600236" TargetMode="External"/><Relationship Id="rId66" Type="http://schemas.openxmlformats.org/officeDocument/2006/relationships/hyperlink" Target="https://striking-viking.com/en-ca/products/striking-viking-beard-balm-variety-4-pack-citrus-vanilla-cedarwood-sandalwood" TargetMode="External"/><Relationship Id="rId67" Type="http://schemas.openxmlformats.org/officeDocument/2006/relationships/hyperlink" Target="https://striking-viking.com/cdn/shop/files/preview_images/48bcbed35d964c5e8dffe8424e4076a8.thumbnail.0000000000_1024x1024.jpg?v=1786601016" TargetMode="External"/><Relationship Id="rId68" Type="http://schemas.openxmlformats.org/officeDocument/2006/relationships/hyperlink" Target="https://striking-viking.com/en-ca/products/striking-viking-wooden-beard-care-caddy-board-only" TargetMode="External"/><Relationship Id="rId69" Type="http://schemas.openxmlformats.org/officeDocument/2006/relationships/hyperlink" Target="https://striking-viking.com/cdn/shop/files/preview_images/5ccb603517a94a8fbc089e8b0a2c2fb4.thumbnail.0000000000_1024x1024.jpg?v=1786600783" TargetMode="External"/><Relationship Id="rId70" Type="http://schemas.openxmlformats.org/officeDocument/2006/relationships/hyperlink" Target="https://striking-viking.com/en-gb/products/striking-viking-sandalwood-beard-oil" TargetMode="External"/><Relationship Id="rId71" Type="http://schemas.openxmlformats.org/officeDocument/2006/relationships/hyperlink" Target="https://striking-viking.com/cdn/shop/files/preview_images/694214d8b7b34d50be83f74012b962d8.thumbnail.0000000000_1024x1024.jpg?v=1786601440" TargetMode="External"/><Relationship Id="rId72" Type="http://schemas.openxmlformats.org/officeDocument/2006/relationships/hyperlink" Target="https://striking-viking.com/products/striking-viking-cedarwood-beard-oil" TargetMode="External"/><Relationship Id="rId73" Type="http://schemas.openxmlformats.org/officeDocument/2006/relationships/hyperlink" Target="https://striking-viking.com/cdn/shop/files/preview_images/06fa7414903d4ace94cbe4e096befa28.thumbnail.0000000000_1024x1024.jpg?v=1786601229" TargetMode="External"/><Relationship Id="rId74" Type="http://schemas.openxmlformats.org/officeDocument/2006/relationships/hyperlink" Target="https://striking-viking.com/en-ca/products/striking-viking-beard-oil-variety-4-pack-citrus-vanilla-cedarwood-sandalwood" TargetMode="External"/><Relationship Id="rId75" Type="http://schemas.openxmlformats.org/officeDocument/2006/relationships/hyperlink" Target="https://striking-viking.com/cdn/shop/files/preview_images/2aac013d604940b58d3cb008c2f75bb9.thumbnail.0000000000_1024x1024.jpg?v=1786600897" TargetMode="External"/><Relationship Id="rId76" Type="http://schemas.openxmlformats.org/officeDocument/2006/relationships/hyperlink" Target="https://striking-viking.com/en-gb/products/striking-viking-vanilla-beard-balm" TargetMode="External"/><Relationship Id="rId77" Type="http://schemas.openxmlformats.org/officeDocument/2006/relationships/hyperlink" Target="https://striking-viking.com/cdn/shop/files/preview_images/654292f4a09e42b6b95c9ef48340e293.thumbnail.0000000000_1024x1024.jpg?v=1786600236" TargetMode="External"/><Relationship Id="rId78" Type="http://schemas.openxmlformats.org/officeDocument/2006/relationships/hyperlink" Target="https://striking-viking.com/en-gb/products/striking-viking-wooden-beard-care-caddy-board-only" TargetMode="External"/><Relationship Id="rId79" Type="http://schemas.openxmlformats.org/officeDocument/2006/relationships/hyperlink" Target="https://striking-viking.com/cdn/shop/files/preview_images/5ccb603517a94a8fbc089e8b0a2c2fb4.thumbnail.0000000000_1024x1024.jpg?v=1786600783" TargetMode="External"/><Relationship Id="rId80" Type="http://schemas.openxmlformats.org/officeDocument/2006/relationships/hyperlink" Target="https://striking-viking.com/products/striking-viking-folding-wooden-comb-sandalwood-beard-hair-comb" TargetMode="External"/><Relationship Id="rId81" Type="http://schemas.openxmlformats.org/officeDocument/2006/relationships/hyperlink" Target="https://striking-viking.com/cdn/shop/files/preview_images/3b2d1290045c417e8b589a319a2e2fbf.thumbnail.0000000000_1024x1024.jpg?v=1786616279" TargetMode="External"/><Relationship Id="rId82" Type="http://schemas.openxmlformats.org/officeDocument/2006/relationships/hyperlink" Target="https://striking-viking.com/en-ca/products/striking-viking-beard-shampoo-conditioner-cologne-argan-jojoba-oil" TargetMode="External"/><Relationship Id="rId83" Type="http://schemas.openxmlformats.org/officeDocument/2006/relationships/hyperlink" Target="https://striking-viking.com/cdn/shop/files/preview_images/223d982d630541b8bca51e5de6c59550.thumbnail.0000000000_1024x1024.jpg?v=1786603784" TargetMode="External"/><Relationship Id="rId84" Type="http://schemas.openxmlformats.org/officeDocument/2006/relationships/hyperlink" Target="https://striking-viking.com/fi/products/striking-viking-wooden-beard-care-caddy-board-only" TargetMode="External"/><Relationship Id="rId85" Type="http://schemas.openxmlformats.org/officeDocument/2006/relationships/hyperlink" Target="https://striking-viking.com/cdn/shop/files/preview_images/5ccb603517a94a8fbc089e8b0a2c2fb4.thumbnail.0000000000_1024x1024.jpg?v=1786600783" TargetMode="External"/><Relationship Id="rId86" Type="http://schemas.openxmlformats.org/officeDocument/2006/relationships/hyperlink" Target="https://striking-viking.com/fr/products/striking-viking-wooden-beard-care-caddy-board-only" TargetMode="External"/><Relationship Id="rId87" Type="http://schemas.openxmlformats.org/officeDocument/2006/relationships/hyperlink" Target="https://striking-viking.com/cdn/shop/files/preview_images/5ccb603517a94a8fbc089e8b0a2c2fb4.thumbnail.0000000000_1024x1024.jpg?v=1786600783" TargetMode="External"/><Relationship Id="rId88" Type="http://schemas.openxmlformats.org/officeDocument/2006/relationships/hyperlink" Target="https://striking-viking.com/en-ca/products/striking-viking-beard-shampoo-with-natural-peppermint-eucalyptus-for-refreshing-beard-care" TargetMode="External"/><Relationship Id="rId89" Type="http://schemas.openxmlformats.org/officeDocument/2006/relationships/hyperlink" Target="https://striking-viking.com/cdn/shop/files/preview_images/133175d72f9a4cf5aaecad8194713d87.thumbnail.0000000000_1024x1024.jpg?v=1783943838" TargetMode="External"/><Relationship Id="rId90" Type="http://schemas.openxmlformats.org/officeDocument/2006/relationships/hyperlink" Target="https://striking-viking.com/en-gb/products/sandalwood-wooden-beard-comb-black-striking-viking" TargetMode="External"/><Relationship Id="rId91" Type="http://schemas.openxmlformats.org/officeDocument/2006/relationships/hyperlink" Target="https://striking-viking.com/cdn/shop/files/preview_images/630e16646ea940d38a7dbfb0a14c8ee6.thumbnail.0000000000_1024x1024.jpg?v=1786617599" TargetMode="External"/><Relationship Id="rId92" Type="http://schemas.openxmlformats.org/officeDocument/2006/relationships/hyperlink" Target="https://striking-viking.com/no/products/striking-viking-wooden-beard-care-caddy-board-only" TargetMode="External"/><Relationship Id="rId93" Type="http://schemas.openxmlformats.org/officeDocument/2006/relationships/hyperlink" Target="https://striking-viking.com/cdn/shop/files/preview_images/5ccb603517a94a8fbc089e8b0a2c2fb4.thumbnail.0000000000_1024x1024.jpg?v=1786600783" TargetMode="External"/><Relationship Id="rId94" Type="http://schemas.openxmlformats.org/officeDocument/2006/relationships/hyperlink" Target="https://striking-viking.com/en-gb/products/charlemagne-original-hair-pomade-for-men-strong-hold-water-based-styling-pomade-100ml" TargetMode="External"/><Relationship Id="rId95" Type="http://schemas.openxmlformats.org/officeDocument/2006/relationships/hyperlink" Target="https://striking-viking.com/cdn/shop/files/preview_images/ea71e2ed828246ed942cb9b167fb5a7e.thumbnail.0000000000_1024x1024.jpg?v=1783948364" TargetMode="External"/><Relationship Id="rId96" Type="http://schemas.openxmlformats.org/officeDocument/2006/relationships/hyperlink" Target="https://striking-viking.com/en-gb/products/striking-viking-beard-oil-variety-4-pack-citrus-vanilla-cedarwood-sandalwood" TargetMode="External"/><Relationship Id="rId97" Type="http://schemas.openxmlformats.org/officeDocument/2006/relationships/hyperlink" Target="https://striking-viking.com/cdn/shop/files/preview_images/2aac013d604940b58d3cb008c2f75bb9.thumbnail.0000000000_1024x1024.jpg?v=1786600897" TargetMode="External"/><Relationship Id="rId98" Type="http://schemas.openxmlformats.org/officeDocument/2006/relationships/hyperlink" Target="https://striking-viking.com/products/striking-viking-beard-shampoo-with-natural-peppermint-eucalyptus-for-refreshing-beard-care" TargetMode="External"/><Relationship Id="rId99" Type="http://schemas.openxmlformats.org/officeDocument/2006/relationships/hyperlink" Target="https://striking-viking.com/cdn/shop/files/preview_images/133175d72f9a4cf5aaecad8194713d87.thumbnail.0000000000_1024x1024.jpg?v=1783943838" TargetMode="External"/><Relationship Id="rId100" Type="http://schemas.openxmlformats.org/officeDocument/2006/relationships/hyperlink" Target="https://striking-viking.com/it/products/striking-viking-beard-oil-variety-4-pack-citrus-vanilla-cedarwood-sandalwood" TargetMode="External"/><Relationship Id="rId101" Type="http://schemas.openxmlformats.org/officeDocument/2006/relationships/hyperlink" Target="https://striking-viking.com/cdn/shop/files/preview_images/2aac013d604940b58d3cb008c2f75bb9.thumbnail.0000000000_1024x1024.jpg?v=1786600897" TargetMode="External"/><Relationship Id="rId102" Type="http://schemas.openxmlformats.org/officeDocument/2006/relationships/hyperlink" Target="https://striking-viking.com/en-gb/products/charlemagne-carbon-wide-tooth-comb-for-men-heat-resistant-carbon-fiber-hair-comb" TargetMode="External"/><Relationship Id="rId103" Type="http://schemas.openxmlformats.org/officeDocument/2006/relationships/hyperlink" Target="https://striking-viking.com/cdn/shop/files/preview_images/ea71e2ed828246ed942cb9b167fb5a7e.thumbnail.0000000000_1024x1024.jpg?v=1783948364" TargetMode="External"/><Relationship Id="rId104" Type="http://schemas.openxmlformats.org/officeDocument/2006/relationships/hyperlink" Target="https://striking-viking.com/de/products/bartbutter-vanille-1" TargetMode="External"/><Relationship Id="rId105" Type="http://schemas.openxmlformats.org/officeDocument/2006/relationships/hyperlink" Target="https://striking-viking.com/cdn/shop/files/preview_images/e5633e001a744211bc5b12bd22e9862c.thumbnail.0000000000_1024x1024.jpg?v=1783945120" TargetMode="External"/><Relationship Id="rId106" Type="http://schemas.openxmlformats.org/officeDocument/2006/relationships/hyperlink" Target="https://striking-viking.com/no/products/striking-viking-beard-growth-oil-with-biotin-sandalwood" TargetMode="External"/><Relationship Id="rId107" Type="http://schemas.openxmlformats.org/officeDocument/2006/relationships/hyperlink" Target="https://striking-viking.com/cdn/shop/files/preview_images/032fdd356ead42c19de3ca802ac3a37b.thumbnail.0000000000_1024x1024.jpg?v=1786599587" TargetMode="External"/><Relationship Id="rId108" Type="http://schemas.openxmlformats.org/officeDocument/2006/relationships/hyperlink" Target="https://striking-viking.com/it/products/striking-viking-beard-balm-variety-4-pack-citrus-vanilla-cedarwood-sandalwood" TargetMode="External"/><Relationship Id="rId109" Type="http://schemas.openxmlformats.org/officeDocument/2006/relationships/hyperlink" Target="https://striking-viking.com/cdn/shop/files/preview_images/48bcbed35d964c5e8dffe8424e4076a8.thumbnail.0000000000_1024x1024.jpg?v=1786601016" TargetMode="External"/><Relationship Id="rId110" Type="http://schemas.openxmlformats.org/officeDocument/2006/relationships/hyperlink" Target="https://striking-viking.com/products/sandalwood-wooden-beard-comb-black-striking-viking" TargetMode="External"/><Relationship Id="rId111" Type="http://schemas.openxmlformats.org/officeDocument/2006/relationships/hyperlink" Target="https://striking-viking.com/cdn/shop/files/preview_images/630e16646ea940d38a7dbfb0a14c8ee6.thumbnail.0000000000_1024x1024.jpg?v=1786617599" TargetMode="External"/><Relationship Id="rId112" Type="http://schemas.openxmlformats.org/officeDocument/2006/relationships/hyperlink" Target="https://striking-viking.com/en-ca/products/striking-viking-beard-growth-oil-with-biotin-sandalwood" TargetMode="External"/><Relationship Id="rId113" Type="http://schemas.openxmlformats.org/officeDocument/2006/relationships/hyperlink" Target="https://striking-viking.com/cdn/shop/files/preview_images/032fdd356ead42c19de3ca802ac3a37b.thumbnail.0000000000_1024x1024.jpg?v=1786599587" TargetMode="External"/><Relationship Id="rId114" Type="http://schemas.openxmlformats.org/officeDocument/2006/relationships/hyperlink" Target="https://striking-viking.com/products/striking-viking-sandalwood-beard-oil" TargetMode="External"/><Relationship Id="rId115" Type="http://schemas.openxmlformats.org/officeDocument/2006/relationships/hyperlink" Target="https://striking-viking.com/cdn/shop/files/preview_images/694214d8b7b34d50be83f74012b962d8.thumbnail.0000000000_1024x1024.jpg?v=1786601440" TargetMode="External"/><Relationship Id="rId116" Type="http://schemas.openxmlformats.org/officeDocument/2006/relationships/hyperlink" Target="https://striking-viking.com/en-ca/products/striking-viking-sandalwood-wooden-beard-comb-brown" TargetMode="External"/><Relationship Id="rId117" Type="http://schemas.openxmlformats.org/officeDocument/2006/relationships/hyperlink" Target="https://striking-viking.com/cdn/shop/files/preview_images/32f6dad1813c4e97ac84d74390b8e3ba.thumbnail.0000000000_1024x1024.jpg?v=1786604633" TargetMode="External"/><Relationship Id="rId118" Type="http://schemas.openxmlformats.org/officeDocument/2006/relationships/hyperlink" Target="https://striking-viking.com/de/products/bartpflege" TargetMode="External"/><Relationship Id="rId119" Type="http://schemas.openxmlformats.org/officeDocument/2006/relationships/hyperlink" Target="https://striking-viking.com/cdn/shop/files/preview_images/5ccb603517a94a8fbc089e8b0a2c2fb4.thumbnail.0000000000_1024x1024.jpg?v=1786600783" TargetMode="External"/><Relationship Id="rId120" Type="http://schemas.openxmlformats.org/officeDocument/2006/relationships/hyperlink" Target="https://striking-viking.com/en-ca/products/striking-viking-unscented-beard-oil-natural-organic-beard-care" TargetMode="External"/><Relationship Id="rId121" Type="http://schemas.openxmlformats.org/officeDocument/2006/relationships/hyperlink" Target="https://striking-viking.com/cdn/shop/files/preview_images/8a045c5fae8942ea962f142b6e25d24a.thumbnail.0000000000_1024x1024.jpg?v=1786610842" TargetMode="External"/><Relationship Id="rId122" Type="http://schemas.openxmlformats.org/officeDocument/2006/relationships/hyperlink" Target="https://striking-viking.com/es/products/striking-viking-wooden-beard-care-caddy-board-only" TargetMode="External"/><Relationship Id="rId123" Type="http://schemas.openxmlformats.org/officeDocument/2006/relationships/hyperlink" Target="https://striking-viking.com/cdn/shop/files/preview_images/5ccb603517a94a8fbc089e8b0a2c2fb4.thumbnail.0000000000_1024x1024.jpg?v=1786600783" TargetMode="External"/><Relationship Id="rId124" Type="http://schemas.openxmlformats.org/officeDocument/2006/relationships/hyperlink" Target="https://striking-viking.com/en-gb/products/striking-viking-beard-shampoo-with-natural-peppermint-eucalyptus-for-refreshing-beard-care" TargetMode="External"/><Relationship Id="rId125" Type="http://schemas.openxmlformats.org/officeDocument/2006/relationships/hyperlink" Target="https://striking-viking.com/cdn/shop/files/preview_images/133175d72f9a4cf5aaecad8194713d87.thumbnail.0000000000_1024x1024.jpg?v=1783943838" TargetMode="External"/><Relationship Id="rId126" Type="http://schemas.openxmlformats.org/officeDocument/2006/relationships/hyperlink" Target="https://striking-viking.com/en-ca/products/striking-viking-folding-wooden-comb-sandalwood-beard-hair-comb" TargetMode="External"/><Relationship Id="rId127" Type="http://schemas.openxmlformats.org/officeDocument/2006/relationships/hyperlink" Target="https://striking-viking.com/cdn/shop/files/preview_images/3b2d1290045c417e8b589a319a2e2fbf.thumbnail.0000000000_1024x1024.jpg?v=1786616279" TargetMode="External"/><Relationship Id="rId128" Type="http://schemas.openxmlformats.org/officeDocument/2006/relationships/hyperlink" Target="https://striking-viking.com/products/striking-viking-sandalwood-wooden-beard-comb-brown" TargetMode="External"/><Relationship Id="rId129" Type="http://schemas.openxmlformats.org/officeDocument/2006/relationships/hyperlink" Target="https://striking-viking.com/cdn/shop/files/preview_images/32f6dad1813c4e97ac84d74390b8e3ba.thumbnail.0000000000_1024x1024.jpg?v=1786604633" TargetMode="External"/><Relationship Id="rId130" Type="http://schemas.openxmlformats.org/officeDocument/2006/relationships/hyperlink" Target="https://striking-viking.com/it/products/striking-viking-folding-wooden-comb-sandalwood-beard-hair-comb" TargetMode="External"/><Relationship Id="rId131" Type="http://schemas.openxmlformats.org/officeDocument/2006/relationships/hyperlink" Target="https://striking-viking.com/cdn/shop/files/preview_images/3b2d1290045c417e8b589a319a2e2fbf.thumbnail.0000000000_1024x1024.jpg?v=1786616279" TargetMode="External"/><Relationship Id="rId132" Type="http://schemas.openxmlformats.org/officeDocument/2006/relationships/hyperlink" Target="https://striking-viking.com/products/striking-viking-beard-oil-variety-4-pack-citrus-vanilla-cedarwood-sandalwood" TargetMode="External"/><Relationship Id="rId133" Type="http://schemas.openxmlformats.org/officeDocument/2006/relationships/hyperlink" Target="https://striking-viking.com/cdn/shop/files/preview_images/2aac013d604940b58d3cb008c2f75bb9.thumbnail.0000000000_1024x1024.jpg?v=1786600897" TargetMode="External"/><Relationship Id="rId134" Type="http://schemas.openxmlformats.org/officeDocument/2006/relationships/hyperlink" Target="https://striking-viking.com/products/striking-viking-beard-balm-variety-4-pack-citrus-vanilla-cedarwood-sandalwood" TargetMode="External"/><Relationship Id="rId135" Type="http://schemas.openxmlformats.org/officeDocument/2006/relationships/hyperlink" Target="https://striking-viking.com/cdn/shop/files/preview_images/48bcbed35d964c5e8dffe8424e4076a8.thumbnail.0000000000_1024x1024.jpg?v=1786601016" TargetMode="External"/><Relationship Id="rId136" Type="http://schemas.openxmlformats.org/officeDocument/2006/relationships/hyperlink" Target="https://striking-viking.com/it/products/striking-viking-cedarwood-beard-oil" TargetMode="External"/><Relationship Id="rId137" Type="http://schemas.openxmlformats.org/officeDocument/2006/relationships/hyperlink" Target="https://striking-viking.com/cdn/shop/files/preview_images/06fa7414903d4ace94cbe4e096befa28.thumbnail.0000000000_1024x1024.jpg?v=1786601229" TargetMode="External"/><Relationship Id="rId138" Type="http://schemas.openxmlformats.org/officeDocument/2006/relationships/hyperlink" Target="https://striking-viking.com/en-gb/products/striking-viking-beard-balm-variety-4-pack-citrus-vanilla-cedarwood-sandalwood" TargetMode="External"/><Relationship Id="rId139" Type="http://schemas.openxmlformats.org/officeDocument/2006/relationships/hyperlink" Target="https://striking-viking.com/cdn/shop/files/preview_images/48bcbed35d964c5e8dffe8424e4076a8.thumbnail.0000000000_1024x1024.jpg?v=1786601016" TargetMode="External"/><Relationship Id="rId140" Type="http://schemas.openxmlformats.org/officeDocument/2006/relationships/hyperlink" Target="https://striking-viking.com/it/products/striking-viking-wooden-beard-care-caddy-board-only" TargetMode="External"/><Relationship Id="rId141" Type="http://schemas.openxmlformats.org/officeDocument/2006/relationships/hyperlink" Target="https://striking-viking.com/cdn/shop/files/preview_images/5ccb603517a94a8fbc089e8b0a2c2fb4.thumbnail.0000000000_1024x1024.jpg?v=1786600783" TargetMode="External"/><Relationship Id="rId142" Type="http://schemas.openxmlformats.org/officeDocument/2006/relationships/hyperlink" Target="https://striking-viking.com/en-ca/products/striking-viking-cedarwood-beard-balm" TargetMode="External"/><Relationship Id="rId143" Type="http://schemas.openxmlformats.org/officeDocument/2006/relationships/hyperlink" Target="https://striking-viking.com/cdn/shop/files/preview_images/c89d3523362c428dade03256b113e919.thumbnail.0000000000_1024x1024.jpg?v=1786600350" TargetMode="External"/><Relationship Id="rId144" Type="http://schemas.openxmlformats.org/officeDocument/2006/relationships/hyperlink" Target="https://striking-viking.com/de/products/striking-viking-sandalwood-wooden-beard-comb-brown" TargetMode="External"/><Relationship Id="rId145" Type="http://schemas.openxmlformats.org/officeDocument/2006/relationships/hyperlink" Target="https://striking-viking.com/cdn/shop/files/preview_images/32f6dad1813c4e97ac84d74390b8e3ba.thumbnail.0000000000_1024x1024.jpg?v=1786604633" TargetMode="External"/><Relationship Id="rId146" Type="http://schemas.openxmlformats.org/officeDocument/2006/relationships/hyperlink" Target="https://striking-viking.com/it/products/striking-viking-beard-growth-oil-with-biotin-sandalwood" TargetMode="External"/><Relationship Id="rId147" Type="http://schemas.openxmlformats.org/officeDocument/2006/relationships/hyperlink" Target="https://striking-viking.com/cdn/shop/files/preview_images/032fdd356ead42c19de3ca802ac3a37b.thumbnail.0000000000_1024x1024.jpg?v=1786599587" TargetMode="External"/><Relationship Id="rId148" Type="http://schemas.openxmlformats.org/officeDocument/2006/relationships/hyperlink" Target="https://striking-viking.com/fr/products/striking-viking-vanilla-beard-balm" TargetMode="External"/><Relationship Id="rId149" Type="http://schemas.openxmlformats.org/officeDocument/2006/relationships/hyperlink" Target="https://striking-viking.com/cdn/shop/files/preview_images/654292f4a09e42b6b95c9ef48340e293.thumbnail.0000000000_1024x1024.jpg?v=1786600236" TargetMode="External"/><Relationship Id="rId150" Type="http://schemas.openxmlformats.org/officeDocument/2006/relationships/hyperlink" Target="https://striking-viking.com/products/striking-viking-beard-shampoo-conditioner-cologne-argan-jojoba-oil" TargetMode="External"/><Relationship Id="rId151" Type="http://schemas.openxmlformats.org/officeDocument/2006/relationships/hyperlink" Target="https://striking-viking.com/cdn/shop/files/preview_images/223d982d630541b8bca51e5de6c59550.thumbnail.0000000000_1024x1024.jpg?v=1786603784" TargetMode="External"/><Relationship Id="rId152" Type="http://schemas.openxmlformats.org/officeDocument/2006/relationships/hyperlink" Target="https://striking-viking.com/en-gb/products/striking-viking-sandalwood-beard-balm" TargetMode="External"/><Relationship Id="rId153" Type="http://schemas.openxmlformats.org/officeDocument/2006/relationships/hyperlink" Target="https://striking-viking.com/cdn/shop/files/preview_images/61498a206a02426392439b9e42809c58.thumbnail.0000000000_1024x1024.jpg?v=1786600477" TargetMode="External"/><Relationship Id="rId154" Type="http://schemas.openxmlformats.org/officeDocument/2006/relationships/hyperlink" Target="https://striking-viking.com/en-ca/products/striking-viking-unscented-beard-balm-natural-beard-styling-conditioning" TargetMode="External"/><Relationship Id="rId155" Type="http://schemas.openxmlformats.org/officeDocument/2006/relationships/hyperlink" Target="https://striking-viking.com/cdn/shop/files/preview_images/0ebc618aebb84e839189ab492bd964c1.thumbnail.0000000000_1024x1024.jpg?v=1786615713" TargetMode="External"/><Relationship Id="rId156" Type="http://schemas.openxmlformats.org/officeDocument/2006/relationships/hyperlink" Target="https://striking-viking.com/fr/products/striking-viking-beard-shampoo-conditioner-cologne-argan-jojoba-oil" TargetMode="External"/><Relationship Id="rId157" Type="http://schemas.openxmlformats.org/officeDocument/2006/relationships/hyperlink" Target="https://striking-viking.com/cdn/shop/files/preview_images/223d982d630541b8bca51e5de6c59550.thumbnail.0000000000_1024x1024.jpg?v=1786603784" TargetMode="External"/><Relationship Id="rId158" Type="http://schemas.openxmlformats.org/officeDocument/2006/relationships/hyperlink" Target="https://striking-viking.com/products/striking-viking-unscented-beard-butter-for-moisturizing-softening-daily-beard-care" TargetMode="External"/><Relationship Id="rId159" Type="http://schemas.openxmlformats.org/officeDocument/2006/relationships/hyperlink" Target="https://striking-viking.com/cdn/shop/files/preview_images/e5633e001a744211bc5b12bd22e9862c.thumbnail.0000000000_1024x1024.jpg?v=1783945120" TargetMode="External"/><Relationship Id="rId160" Type="http://schemas.openxmlformats.org/officeDocument/2006/relationships/hyperlink" Target="https://striking-viking.com/de/products/bartkamm" TargetMode="External"/><Relationship Id="rId161" Type="http://schemas.openxmlformats.org/officeDocument/2006/relationships/hyperlink" Target="https://striking-viking.com/cdn/shop/files/preview_images/630e16646ea940d38a7dbfb0a14c8ee6.thumbnail.0000000000_1024x1024.jpg?v=1786617599" TargetMode="External"/><Relationship Id="rId162" Type="http://schemas.openxmlformats.org/officeDocument/2006/relationships/hyperlink" Target="https://striking-viking.com/products/striking-viking-cedarwood-beard-balm" TargetMode="External"/><Relationship Id="rId163" Type="http://schemas.openxmlformats.org/officeDocument/2006/relationships/hyperlink" Target="https://striking-viking.com/cdn/shop/files/preview_images/c89d3523362c428dade03256b113e919.thumbnail.0000000000_1024x1024.jpg?v=1786600350" TargetMode="External"/><Relationship Id="rId164" Type="http://schemas.openxmlformats.org/officeDocument/2006/relationships/hyperlink" Target="https://striking-viking.com/products/striking-viking-vanilla-beard-balm" TargetMode="External"/><Relationship Id="rId165" Type="http://schemas.openxmlformats.org/officeDocument/2006/relationships/hyperlink" Target="https://striking-viking.com/cdn/shop/files/preview_images/654292f4a09e42b6b95c9ef48340e293.thumbnail.0000000000_1024x1024.jpg?v=1786600236" TargetMode="External"/><Relationship Id="rId166" Type="http://schemas.openxmlformats.org/officeDocument/2006/relationships/hyperlink" Target="https://striking-viking.com/de/products/bartol-zedernholz" TargetMode="External"/><Relationship Id="rId167" Type="http://schemas.openxmlformats.org/officeDocument/2006/relationships/hyperlink" Target="https://striking-viking.com/cdn/shop/files/preview_images/06fa7414903d4ace94cbe4e096befa28.thumbnail.0000000000_1024x1024.jpg?v=1786601229" TargetMode="External"/><Relationship Id="rId168" Type="http://schemas.openxmlformats.org/officeDocument/2006/relationships/hyperlink" Target="https://striking-viking.com/fr/products/striking-viking-sandalwood-wooden-beard-comb-brown" TargetMode="External"/><Relationship Id="rId169" Type="http://schemas.openxmlformats.org/officeDocument/2006/relationships/hyperlink" Target="https://striking-viking.com/cdn/shop/files/preview_images/32f6dad1813c4e97ac84d74390b8e3ba.thumbnail.0000000000_1024x1024.jpg?v=1786604633" TargetMode="External"/><Relationship Id="rId170" Type="http://schemas.openxmlformats.org/officeDocument/2006/relationships/hyperlink" Target="https://striking-viking.com/fr/products/striking-viking-folding-wooden-comb-sandalwood-beard-hair-comb" TargetMode="External"/><Relationship Id="rId171" Type="http://schemas.openxmlformats.org/officeDocument/2006/relationships/hyperlink" Target="https://striking-viking.com/cdn/shop/files/preview_images/3b2d1290045c417e8b589a319a2e2fbf.thumbnail.0000000000_1024x1024.jpg?v=1786616279" TargetMode="External"/><Relationship Id="rId172" Type="http://schemas.openxmlformats.org/officeDocument/2006/relationships/hyperlink" Target="https://striking-viking.com/fr/products/striking-viking-cedarwood-beard-oil" TargetMode="External"/><Relationship Id="rId173" Type="http://schemas.openxmlformats.org/officeDocument/2006/relationships/hyperlink" Target="https://striking-viking.com/cdn/shop/files/preview_images/06fa7414903d4ace94cbe4e096befa28.thumbnail.0000000000_1024x1024.jpg?v=1786601229" TargetMode="External"/><Relationship Id="rId174" Type="http://schemas.openxmlformats.org/officeDocument/2006/relationships/hyperlink" Target="https://striking-viking.com/de/products/bartshampoo-und-spulung" TargetMode="External"/><Relationship Id="rId175" Type="http://schemas.openxmlformats.org/officeDocument/2006/relationships/hyperlink" Target="https://striking-viking.com/cdn/shop/files/preview_images/223d982d630541b8bca51e5de6c59550.thumbnail.0000000000_1024x1024.jpg?v=1786603784" TargetMode="External"/><Relationship Id="rId176" Type="http://schemas.openxmlformats.org/officeDocument/2006/relationships/hyperlink" Target="https://striking-viking.com/en-ca/products/sandalwood-wooden-beard-comb-black-striking-viking" TargetMode="External"/><Relationship Id="rId177" Type="http://schemas.openxmlformats.org/officeDocument/2006/relationships/hyperlink" Target="https://striking-viking.com/cdn/shop/files/preview_images/630e16646ea940d38a7dbfb0a14c8ee6.thumbnail.0000000000_1024x1024.jpg?v=1786617599" TargetMode="External"/><Relationship Id="rId178" Type="http://schemas.openxmlformats.org/officeDocument/2006/relationships/hyperlink" Target="https://striking-viking.com/en-ca/products/striking-viking-unscented-beard-butter-for-moisturizing-softening-daily-beard-care" TargetMode="External"/><Relationship Id="rId179" Type="http://schemas.openxmlformats.org/officeDocument/2006/relationships/hyperlink" Target="https://striking-viking.com/cdn/shop/files/preview_images/e5633e001a744211bc5b12bd22e9862c.thumbnail.0000000000_1024x1024.jpg?v=1783945120" TargetMode="External"/><Relationship Id="rId180" Type="http://schemas.openxmlformats.org/officeDocument/2006/relationships/hyperlink" Target="https://striking-viking.com/de/products/bartbalsam-vielfalt-set" TargetMode="External"/><Relationship Id="rId181" Type="http://schemas.openxmlformats.org/officeDocument/2006/relationships/hyperlink" Target="https://striking-viking.com/cdn/shop/files/preview_images/48bcbed35d964c5e8dffe8424e4076a8.thumbnail.0000000000_1024x1024.jpg?v=1786601016" TargetMode="External"/><Relationship Id="rId182" Type="http://schemas.openxmlformats.org/officeDocument/2006/relationships/hyperlink" Target="https://striking-viking.com/de/products/bartol-vielfalt-set" TargetMode="External"/><Relationship Id="rId183" Type="http://schemas.openxmlformats.org/officeDocument/2006/relationships/hyperlink" Target="https://striking-viking.com/cdn/shop/files/preview_images/2aac013d604940b58d3cb008c2f75bb9.thumbnail.0000000000_1024x1024.jpg?v=1786600897" TargetMode="External"/><Relationship Id="rId184" Type="http://schemas.openxmlformats.org/officeDocument/2006/relationships/hyperlink" Target="https://striking-viking.com/it/products/striking-viking-sandalwood-wooden-beard-comb-brown" TargetMode="External"/><Relationship Id="rId185" Type="http://schemas.openxmlformats.org/officeDocument/2006/relationships/hyperlink" Target="https://striking-viking.com/cdn/shop/files/preview_images/32f6dad1813c4e97ac84d74390b8e3ba.thumbnail.0000000000_1024x1024.jpg?v=1786604633" TargetMode="External"/><Relationship Id="rId186" Type="http://schemas.openxmlformats.org/officeDocument/2006/relationships/hyperlink" Target="https://striking-viking.com/en-gb/products/striking-viking-beard-shampoo-conditioner-cologne-argan-jojoba-oil" TargetMode="External"/><Relationship Id="rId187" Type="http://schemas.openxmlformats.org/officeDocument/2006/relationships/hyperlink" Target="https://striking-viking.com/cdn/shop/files/preview_images/223d982d630541b8bca51e5de6c59550.thumbnail.0000000000_1024x1024.jpg?v=1786603784" TargetMode="External"/><Relationship Id="rId188" Type="http://schemas.openxmlformats.org/officeDocument/2006/relationships/hyperlink" Target="https://striking-viking.com/en-ca/products/striking-viking-cedarwood-beard-oil" TargetMode="External"/><Relationship Id="rId189" Type="http://schemas.openxmlformats.org/officeDocument/2006/relationships/hyperlink" Target="https://striking-viking.com/cdn/shop/files/preview_images/06fa7414903d4ace94cbe4e096befa28.thumbnail.0000000000_1024x1024.jpg?v=1786601229" TargetMode="External"/><Relationship Id="rId190" Type="http://schemas.openxmlformats.org/officeDocument/2006/relationships/hyperlink" Target="https://striking-viking.com/it/products/striking-viking-beard-shampoo-conditioner-cologne-argan-jojoba-oil" TargetMode="External"/><Relationship Id="rId191" Type="http://schemas.openxmlformats.org/officeDocument/2006/relationships/hyperlink" Target="https://striking-viking.com/cdn/shop/files/preview_images/223d982d630541b8bca51e5de6c59550.thumbnail.0000000000_1024x1024.jpg?v=1786603784" TargetMode="External"/><Relationship Id="rId192" Type="http://schemas.openxmlformats.org/officeDocument/2006/relationships/hyperlink" Target="https://striking-viking.com/de/products/klappbarer-holzkamm" TargetMode="External"/><Relationship Id="rId193" Type="http://schemas.openxmlformats.org/officeDocument/2006/relationships/hyperlink" Target="https://striking-viking.com/cdn/shop/files/preview_images/3b2d1290045c417e8b589a319a2e2fbf.thumbnail.0000000000_1024x1024.jpg?v=1786616279" TargetMode="External"/><Relationship Id="rId194" Type="http://schemas.openxmlformats.org/officeDocument/2006/relationships/hyperlink" Target="https://striking-viking.com/en-ca/products/striking-viking-vanilla-beard-balm" TargetMode="External"/><Relationship Id="rId195" Type="http://schemas.openxmlformats.org/officeDocument/2006/relationships/hyperlink" Target="https://striking-viking.com/cdn/shop/files/preview_images/654292f4a09e42b6b95c9ef48340e293.thumbnail.0000000000_1024x1024.jpg?v=1786600236" TargetMode="External"/><Relationship Id="rId196" Type="http://schemas.openxmlformats.org/officeDocument/2006/relationships/hyperlink" Target="https://striking-viking.com/products/charlemagne-original-hair-pomade-for-men-strong-hold-water-based-styling-pomade-100ml" TargetMode="External"/><Relationship Id="rId197" Type="http://schemas.openxmlformats.org/officeDocument/2006/relationships/hyperlink" Target="https://striking-viking.com/cdn/shop/files/preview_images/ea71e2ed828246ed942cb9b167fb5a7e.thumbnail.0000000000_1024x1024.jpg?v=1783948364" TargetMode="External"/><Relationship Id="rId198" Type="http://schemas.openxmlformats.org/officeDocument/2006/relationships/hyperlink" Target="https://striking-viking.com/en-ca/products/charlemagne-carbon-wide-tooth-comb-for-men-heat-resistant-carbon-fiber-hair-comb" TargetMode="External"/><Relationship Id="rId199" Type="http://schemas.openxmlformats.org/officeDocument/2006/relationships/hyperlink" Target="https://striking-viking.com/cdn/shop/files/preview_images/ea71e2ed828246ed942cb9b167fb5a7e.thumbnail.0000000000_1024x1024.jpg?v=1783948364" TargetMode="External"/><Relationship Id="rId200" Type="http://schemas.openxmlformats.org/officeDocument/2006/relationships/hyperlink" Target="https://striking-viking.com/sv/products/striking-viking-beard-oil-variety-4-pack-citrus-vanilla-cedarwood-sandalwood" TargetMode="External"/><Relationship Id="rId201" Type="http://schemas.openxmlformats.org/officeDocument/2006/relationships/hyperlink" Target="https://striking-viking.com/cdn/shop/files/preview_images/2aac013d604940b58d3cb008c2f75bb9.thumbnail.0000000000_1024x1024.jpg?v=1786600897" TargetMode="External"/><Relationship Id="rId202" Type="http://schemas.openxmlformats.org/officeDocument/2006/relationships/hyperlink" Target="https://striking-viking.com/fr/products/striking-viking-beard-oil-variety-4-pack-citrus-vanilla-cedarwood-sandalwood" TargetMode="External"/><Relationship Id="rId203" Type="http://schemas.openxmlformats.org/officeDocument/2006/relationships/hyperlink" Target="https://striking-viking.com/cdn/shop/files/preview_images/2aac013d604940b58d3cb008c2f75bb9.thumbnail.0000000000_1024x1024.jpg?v=1786600897" TargetMode="External"/><Relationship Id="rId204" Type="http://schemas.openxmlformats.org/officeDocument/2006/relationships/hyperlink" Target="https://striking-viking.com/fr/products/sandalwood-wooden-beard-comb-black-striking-viking" TargetMode="External"/><Relationship Id="rId205" Type="http://schemas.openxmlformats.org/officeDocument/2006/relationships/hyperlink" Target="https://striking-viking.com/cdn/shop/files/preview_images/630e16646ea940d38a7dbfb0a14c8ee6.thumbnail.0000000000_1024x1024.jpg?v=1786617599" TargetMode="External"/><Relationship Id="rId206" Type="http://schemas.openxmlformats.org/officeDocument/2006/relationships/hyperlink" Target="https://striking-viking.com/en-gb/products/striking-viking-folding-wooden-comb-sandalwood-beard-hair-comb" TargetMode="External"/><Relationship Id="rId207" Type="http://schemas.openxmlformats.org/officeDocument/2006/relationships/hyperlink" Target="https://striking-viking.com/cdn/shop/files/preview_images/3b2d1290045c417e8b589a319a2e2fbf.thumbnail.0000000000_1024x1024.jpg?v=1786616279" TargetMode="External"/><Relationship Id="rId208" Type="http://schemas.openxmlformats.org/officeDocument/2006/relationships/hyperlink" Target="https://striking-viking.com/fr/products/striking-viking-beard-balm-variety-4-pack-citrus-vanilla-cedarwood-sandalwood" TargetMode="External"/><Relationship Id="rId209" Type="http://schemas.openxmlformats.org/officeDocument/2006/relationships/hyperlink" Target="https://striking-viking.com/cdn/shop/files/preview_images/48bcbed35d964c5e8dffe8424e4076a8.thumbnail.0000000000_1024x1024.jpg?v=1786601016" TargetMode="External"/><Relationship Id="rId210" Type="http://schemas.openxmlformats.org/officeDocument/2006/relationships/hyperlink" Target="https://striking-viking.com/de/products/bartbalsam-manner" TargetMode="External"/><Relationship Id="rId211" Type="http://schemas.openxmlformats.org/officeDocument/2006/relationships/hyperlink" Target="https://striking-viking.com/cdn/shop/files/preview_images/654292f4a09e42b6b95c9ef48340e293.thumbnail.0000000000_1024x1024.jpg?v=1786600236" TargetMode="External"/><Relationship Id="rId212" Type="http://schemas.openxmlformats.org/officeDocument/2006/relationships/hyperlink" Target="https://striking-viking.com/it/products/sandalwood-wooden-beard-comb-black-striking-viking" TargetMode="External"/><Relationship Id="rId213" Type="http://schemas.openxmlformats.org/officeDocument/2006/relationships/hyperlink" Target="https://striking-viking.com/cdn/shop/files/preview_images/630e16646ea940d38a7dbfb0a14c8ee6.thumbnail.0000000000_1024x1024.jpg?v=1786617599" TargetMode="External"/><Relationship Id="rId214" Type="http://schemas.openxmlformats.org/officeDocument/2006/relationships/hyperlink" Target="https://striking-viking.com/fr-ca/products/striking-viking-mustache-wax-and-comb-kit" TargetMode="External"/><Relationship Id="rId215" Type="http://schemas.openxmlformats.org/officeDocument/2006/relationships/hyperlink" Target="https://striking-viking.com/cdn/shop/files/preview_images/bbf7ac2d6bcb4e9781033073d3e04183.thumbnail.0000000000_1024x1024.jpg?v=1786599449" TargetMode="External"/><Relationship Id="rId216" Type="http://schemas.openxmlformats.org/officeDocument/2006/relationships/hyperlink" Target="https://striking-viking.com/products/striking-viking-beard-filler-pen-2-pack-waterproof-beard-pen-for-filling-gaps-covering-patches?variant=40283191017526" TargetMode="External"/><Relationship Id="rId217" Type="http://schemas.openxmlformats.org/officeDocument/2006/relationships/hyperlink" Target="https://striking-viking.com/cdn/shop/files/preview_images/49129432d5d543f2b09f1e3faab28f4a.thumbnail.0000000000_1024x1024.jpg?v=1786599719" TargetMode="External"/><Relationship Id="rId218" Type="http://schemas.openxmlformats.org/officeDocument/2006/relationships/hyperlink" Target="https://striking-viking.com/products/striking-viking-beard-filler-pen-2-pack-waterproof-beard-pen-for-filling-gaps-covering-patches?variant=51787893113174" TargetMode="External"/><Relationship Id="rId219" Type="http://schemas.openxmlformats.org/officeDocument/2006/relationships/hyperlink" Target="https://striking-viking.com/cdn/shop/files/preview_images/49129432d5d543f2b09f1e3faab28f4a.thumbnail.0000000000_1024x1024.jpg?v=1786599719" TargetMode="External"/><Relationship Id="rId220" Type="http://schemas.openxmlformats.org/officeDocument/2006/relationships/hyperlink" Target="https://striking-viking.com/products/striking-viking-beard-filler-pen-2-pack-waterproof-beard-pen-for-filling-gaps-covering-patches?variant=50685199712598" TargetMode="External"/><Relationship Id="rId221" Type="http://schemas.openxmlformats.org/officeDocument/2006/relationships/hyperlink" Target="https://striking-viking.com/cdn/shop/files/preview_images/49129432d5d543f2b09f1e3faab28f4a.thumbnail.0000000000_1024x1024.jpg?v=1786599719" TargetMode="External"/><Relationship Id="rId222" Type="http://schemas.openxmlformats.org/officeDocument/2006/relationships/hyperlink" Target="https://striking-viking.com/products/striking-viking-beard-filler-pen-2-pack-waterproof-beard-pen-for-filling-gaps-covering-patches?variant=50685239787862" TargetMode="External"/><Relationship Id="rId223" Type="http://schemas.openxmlformats.org/officeDocument/2006/relationships/hyperlink" Target="https://striking-viking.com/cdn/shop/files/preview_images/49129432d5d543f2b09f1e3faab28f4a.thumbnail.0000000000_1024x1024.jpg?v=1786599719" TargetMode="External"/><Relationship Id="rId224" Type="http://schemas.openxmlformats.org/officeDocument/2006/relationships/hyperlink" Target="https://striking-viking.com/products/striking-viking-beard-filler-pen-2-pack-waterproof-beard-pen-for-filling-gaps-covering-patches?variant=40283199242294" TargetMode="External"/><Relationship Id="rId225" Type="http://schemas.openxmlformats.org/officeDocument/2006/relationships/hyperlink" Target="https://striking-viking.com/cdn/shop/files/preview_images/49129432d5d543f2b09f1e3faab28f4a.thumbnail.0000000000_1024x1024.jpg?v=1786599719" TargetMode="External"/><Relationship Id="rId226" Type="http://schemas.openxmlformats.org/officeDocument/2006/relationships/hyperlink" Target="https://striking-viking.com/fr-ca" TargetMode="External"/><Relationship Id="rId227" Type="http://schemas.openxmlformats.org/officeDocument/2006/relationships/hyperlink" Target="https://striking-viking.com/products/striking-viking-beard-filler-pen-2-pack-waterproof-beard-pen-for-filling-gaps-covering-patches?variant=50685239755094" TargetMode="External"/><Relationship Id="rId228" Type="http://schemas.openxmlformats.org/officeDocument/2006/relationships/hyperlink" Target="https://striking-viking.com/cdn/shop/files/preview_images/49129432d5d543f2b09f1e3faab28f4a.thumbnail.0000000000_1024x1024.jpg?v=1786599719" TargetMode="External"/><Relationship Id="rId229" Type="http://schemas.openxmlformats.org/officeDocument/2006/relationships/hyperlink" Target="https://striking-viking.com/fr-ca/products/striking-viking-wooden-beard-care-caddy-board-only" TargetMode="External"/><Relationship Id="rId230" Type="http://schemas.openxmlformats.org/officeDocument/2006/relationships/hyperlink" Target="https://striking-viking.com/cdn/shop/files/preview_images/5ccb603517a94a8fbc089e8b0a2c2fb4.thumbnail.0000000000_1024x1024.jpg?v=1786600783" TargetMode="External"/><Relationship Id="rId231" Type="http://schemas.openxmlformats.org/officeDocument/2006/relationships/hyperlink" Target="https://striking-viking.com/sv/products/striking-viking-beard-kit-caddy-complete-beard-grooming-kit" TargetMode="External"/><Relationship Id="rId232" Type="http://schemas.openxmlformats.org/officeDocument/2006/relationships/hyperlink" Target="https://striking-viking.com/cdn/shop/files/preview_images/ba5feb9f783d4fa1adb23a394602c871.thumbnail.0000000000_1024x1024.jpg?v=1786599826" TargetMode="External"/><Relationship Id="rId233" Type="http://schemas.openxmlformats.org/officeDocument/2006/relationships/hyperlink" Target="https://striking-viking.com/fr-ca/products/striking-viking-beard-filler-pen-2-pack-waterproof-beard-pen-for-filling-gaps-covering-patches" TargetMode="External"/><Relationship Id="rId234" Type="http://schemas.openxmlformats.org/officeDocument/2006/relationships/hyperlink" Target="https://striking-viking.com/cdn/shop/files/preview_images/49129432d5d543f2b09f1e3faab28f4a.thumbnail.0000000000_1024x1024.jpg?v=1786599719" TargetMode="External"/><Relationship Id="rId235" Type="http://schemas.openxmlformats.org/officeDocument/2006/relationships/hyperlink" Target="https://striking-viking.com/fr-ca/products/striking-viking-beard-kit-caddy-complete-beard-grooming-kit" TargetMode="External"/><Relationship Id="rId236" Type="http://schemas.openxmlformats.org/officeDocument/2006/relationships/hyperlink" Target="https://striking-viking.com/cdn/shop/files/preview_images/ba5feb9f783d4fa1adb23a394602c871.thumbnail.0000000000_1024x1024.jpg?v=1786599826" TargetMode="External"/><Relationship Id="rId237" Type="http://schemas.openxmlformats.org/officeDocument/2006/relationships/hyperlink" Target="https://striking-viking.com/sv/products/striking-viking-wooden-beard-care-caddy-board-only" TargetMode="External"/><Relationship Id="rId238" Type="http://schemas.openxmlformats.org/officeDocument/2006/relationships/hyperlink" Target="https://striking-viking.com/cdn/shop/files/preview_images/5ccb603517a94a8fbc089e8b0a2c2fb4.thumbnail.0000000000_1024x1024.jpg?v=1786600783" TargetMode="External"/><Relationship Id="rId239" Type="http://schemas.openxmlformats.org/officeDocument/2006/relationships/hyperlink" Target="https://striking-viking.com/sv/products/striking-viking-beard-filler-pen-2-pack-waterproof-beard-pen-for-filling-gaps-covering-patches" TargetMode="External"/><Relationship Id="rId240" Type="http://schemas.openxmlformats.org/officeDocument/2006/relationships/hyperlink" Target="https://striking-viking.com/cdn/shop/files/preview_images/49129432d5d543f2b09f1e3faab28f4a.thumbnail.0000000000_1024x1024.jpg?v=1786599719" TargetMode="External"/><Relationship Id="rId241" Type="http://schemas.openxmlformats.org/officeDocument/2006/relationships/hyperlink" Target="https://striking-viking.com/fi/products/striking-viking-cedarwood-beard-balm" TargetMode="External"/><Relationship Id="rId242" Type="http://schemas.openxmlformats.org/officeDocument/2006/relationships/hyperlink" Target="https://striking-viking.com/cdn/shop/files/preview_images/c89d3523362c428dade03256b113e919.thumbnail.0000000000_1024x1024.jpg?v=1786600350" TargetMode="External"/><Relationship Id="rId243" Type="http://schemas.openxmlformats.org/officeDocument/2006/relationships/hyperlink" Target="https://striking-viking.com/sv/products/striking-viking-unscented-beard-oil-natural-organic-beard-care" TargetMode="External"/><Relationship Id="rId244" Type="http://schemas.openxmlformats.org/officeDocument/2006/relationships/hyperlink" Target="https://striking-viking.com/cdn/shop/files/preview_images/8a045c5fae8942ea962f142b6e25d24a.thumbnail.0000000000_1024x1024.jpg?v=1786610842" TargetMode="External"/><Relationship Id="rId245" Type="http://schemas.openxmlformats.org/officeDocument/2006/relationships/hyperlink" Target="https://striking-viking.com/no/products/striking-viking-sandalwood-beard-balm" TargetMode="External"/><Relationship Id="rId246" Type="http://schemas.openxmlformats.org/officeDocument/2006/relationships/hyperlink" Target="https://striking-viking.com/cdn/shop/files/preview_images/61498a206a02426392439b9e42809c58.thumbnail.0000000000_1024x1024.jpg?v=1786600477" TargetMode="External"/><Relationship Id="rId247" Type="http://schemas.openxmlformats.org/officeDocument/2006/relationships/hyperlink" Target="https://striking-viking.com/no/products/striking-viking-sandalwood-beard-oil" TargetMode="External"/><Relationship Id="rId248" Type="http://schemas.openxmlformats.org/officeDocument/2006/relationships/hyperlink" Target="https://striking-viking.com/cdn/shop/files/preview_images/694214d8b7b34d50be83f74012b962d8.thumbnail.0000000000_1024x1024.jpg?v=1786601440" TargetMode="External"/><Relationship Id="rId249" Type="http://schemas.openxmlformats.org/officeDocument/2006/relationships/hyperlink" Target="https://striking-viking.com/de/blogs/learn/41241281-the-dude" TargetMode="External"/><Relationship Id="rId250" Type="http://schemas.openxmlformats.org/officeDocument/2006/relationships/hyperlink" Target="https://striking-viking.com/fi/products/striking-viking-beard-shampoo-conditioner-cologne-argan-jojoba-oil" TargetMode="External"/><Relationship Id="rId251" Type="http://schemas.openxmlformats.org/officeDocument/2006/relationships/hyperlink" Target="https://striking-viking.com/cdn/shop/files/preview_images/223d982d630541b8bca51e5de6c59550.thumbnail.0000000000_1024x1024.jpg?v=1786603784" TargetMode="External"/><Relationship Id="rId252" Type="http://schemas.openxmlformats.org/officeDocument/2006/relationships/hyperlink" Target="https://striking-viking.com/fi/products/charlemagne-carbon-hair-comb-for-men-professional-heat-resistant-styling-detangling-comb" TargetMode="External"/><Relationship Id="rId253" Type="http://schemas.openxmlformats.org/officeDocument/2006/relationships/hyperlink" Target="https://striking-viking.com/cdn/shop/files/preview_images/ea71e2ed828246ed942cb9b167fb5a7e.thumbnail.0000000000_1024x1024.jpg?v=1783948364" TargetMode="External"/><Relationship Id="rId254" Type="http://schemas.openxmlformats.org/officeDocument/2006/relationships/hyperlink" Target="https://striking-viking.com/en-gb/blogs/learn/41234689-brian-wilson" TargetMode="External"/><Relationship Id="rId255" Type="http://schemas.openxmlformats.org/officeDocument/2006/relationships/hyperlink" Target="https://striking-viking.com/es/products/charlemagne-carbon-hair-comb-for-men-professional-heat-resistant-styling-detangling-comb" TargetMode="External"/><Relationship Id="rId256" Type="http://schemas.openxmlformats.org/officeDocument/2006/relationships/hyperlink" Target="https://striking-viking.com/cdn/shop/files/preview_images/ea71e2ed828246ed942cb9b167fb5a7e.thumbnail.0000000000_1024x1024.jpg?v=1783948364" TargetMode="External"/><Relationship Id="rId257" Type="http://schemas.openxmlformats.org/officeDocument/2006/relationships/hyperlink" Target="https://striking-viking.com/es/products/charlemagne-round-hair-brush-for-men-professional-styling-brush-for-volume-blow-drying" TargetMode="External"/><Relationship Id="rId258" Type="http://schemas.openxmlformats.org/officeDocument/2006/relationships/hyperlink" Target="https://striking-viking.com/cdn/shop/files/preview_images/ea71e2ed828246ed942cb9b167fb5a7e.thumbnail.0000000000_1024x1024.jpg?v=1783948364" TargetMode="External"/><Relationship Id="rId259" Type="http://schemas.openxmlformats.org/officeDocument/2006/relationships/hyperlink" Target="https://striking-viking.com/sv/products/charlemagne-original-hair-pomade-for-men-strong-hold-water-based-styling-pomade-100ml" TargetMode="External"/><Relationship Id="rId260" Type="http://schemas.openxmlformats.org/officeDocument/2006/relationships/hyperlink" Target="https://striking-viking.com/cdn/shop/files/preview_images/ea71e2ed828246ed942cb9b167fb5a7e.thumbnail.0000000000_1024x1024.jpg?v=1783948364" TargetMode="External"/><Relationship Id="rId261" Type="http://schemas.openxmlformats.org/officeDocument/2006/relationships/hyperlink" Target="https://striking-viking.com/fi/products/charlemagne-round-hair-brush-for-men-professional-styling-brush-for-volume-blow-drying" TargetMode="External"/><Relationship Id="rId262" Type="http://schemas.openxmlformats.org/officeDocument/2006/relationships/hyperlink" Target="https://striking-viking.com/cdn/shop/files/preview_images/ea71e2ed828246ed942cb9b167fb5a7e.thumbnail.0000000000_1024x1024.jpg?v=1783948364" TargetMode="External"/><Relationship Id="rId263" Type="http://schemas.openxmlformats.org/officeDocument/2006/relationships/hyperlink" Target="https://striking-viking.com/fi/products/striking-viking-beard-balm-variety-4-pack-citrus-vanilla-cedarwood-sandalwood" TargetMode="External"/><Relationship Id="rId264" Type="http://schemas.openxmlformats.org/officeDocument/2006/relationships/hyperlink" Target="https://striking-viking.com/cdn/shop/files/preview_images/48bcbed35d964c5e8dffe8424e4076a8.thumbnail.0000000000_1024x1024.jpg?v=1786601016" TargetMode="External"/><Relationship Id="rId265" Type="http://schemas.openxmlformats.org/officeDocument/2006/relationships/hyperlink" Target="https://striking-viking.com/fi/products/charlemagne-original-hair-pomade-for-men-strong-hold-water-based-styling-pomade-100ml" TargetMode="External"/><Relationship Id="rId266" Type="http://schemas.openxmlformats.org/officeDocument/2006/relationships/hyperlink" Target="https://striking-viking.com/cdn/shop/files/preview_images/ea71e2ed828246ed942cb9b167fb5a7e.thumbnail.0000000000_1024x1024.jpg?v=1783948364" TargetMode="External"/><Relationship Id="rId267" Type="http://schemas.openxmlformats.org/officeDocument/2006/relationships/hyperlink" Target="https://striking-viking.com/no/products/striking-viking-citrus-beard-balm" TargetMode="External"/><Relationship Id="rId268" Type="http://schemas.openxmlformats.org/officeDocument/2006/relationships/hyperlink" Target="https://striking-viking.com/cdn/shop/files/preview_images/54420569ea0440298c3f837092838622.thumbnail.0000000000_1024x1024.jpg?v=1786600582" TargetMode="External"/><Relationship Id="rId269" Type="http://schemas.openxmlformats.org/officeDocument/2006/relationships/hyperlink" Target="https://striking-viking.com/it/products/striking-viking-unscented-beard-butter-for-moisturizing-softening-daily-beard-care" TargetMode="External"/><Relationship Id="rId270" Type="http://schemas.openxmlformats.org/officeDocument/2006/relationships/hyperlink" Target="https://striking-viking.com/cdn/shop/files/preview_images/e5633e001a744211bc5b12bd22e9862c.thumbnail.0000000000_1024x1024.jpg?v=1783945120" TargetMode="External"/><Relationship Id="rId271" Type="http://schemas.openxmlformats.org/officeDocument/2006/relationships/hyperlink" Target="https://striking-viking.com/products/charlemagne-carbon-hair-comb-for-men-professional-heat-resistant-styling-detangling-comb" TargetMode="External"/><Relationship Id="rId272" Type="http://schemas.openxmlformats.org/officeDocument/2006/relationships/hyperlink" Target="https://striking-viking.com/cdn/shop/files/preview_images/ea71e2ed828246ed942cb9b167fb5a7e.thumbnail.0000000000_1024x1024.jpg?v=1783948364" TargetMode="External"/><Relationship Id="rId273" Type="http://schemas.openxmlformats.org/officeDocument/2006/relationships/hyperlink" Target="https://striking-viking.com/sv/products/charlemagne-carbon-wide-tooth-comb-for-men-heat-resistant-carbon-fiber-hair-comb" TargetMode="External"/><Relationship Id="rId274" Type="http://schemas.openxmlformats.org/officeDocument/2006/relationships/hyperlink" Target="https://striking-viking.com/cdn/shop/files/preview_images/ea71e2ed828246ed942cb9b167fb5a7e.thumbnail.0000000000_1024x1024.jpg?v=1783948364" TargetMode="External"/><Relationship Id="rId275" Type="http://schemas.openxmlformats.org/officeDocument/2006/relationships/hyperlink" Target="https://striking-viking.com/de/products/bartbalsam" TargetMode="External"/><Relationship Id="rId276" Type="http://schemas.openxmlformats.org/officeDocument/2006/relationships/hyperlink" Target="https://striking-viking.com/cdn/shop/files/preview_images/61498a206a02426392439b9e42809c58.thumbnail.0000000000_1024x1024.jpg?v=1786600477" TargetMode="External"/><Relationship Id="rId277" Type="http://schemas.openxmlformats.org/officeDocument/2006/relationships/hyperlink" Target="https://striking-viking.com/en-ca/blogs/learn/41234689-brian-wilson" TargetMode="External"/><Relationship Id="rId278" Type="http://schemas.openxmlformats.org/officeDocument/2006/relationships/hyperlink" Target="https://striking-viking.com/no/products/striking-viking-folding-wooden-comb-sandalwood-beard-hair-comb" TargetMode="External"/><Relationship Id="rId279" Type="http://schemas.openxmlformats.org/officeDocument/2006/relationships/hyperlink" Target="https://striking-viking.com/cdn/shop/files/preview_images/3b2d1290045c417e8b589a319a2e2fbf.thumbnail.0000000000_1024x1024.jpg?v=1786616279" TargetMode="External"/><Relationship Id="rId280" Type="http://schemas.openxmlformats.org/officeDocument/2006/relationships/hyperlink" Target="https://striking-viking.com/en-ca/products/charlemagne-round-hair-brush-for-men-professional-styling-brush-for-volume-blow-drying" TargetMode="External"/><Relationship Id="rId281" Type="http://schemas.openxmlformats.org/officeDocument/2006/relationships/hyperlink" Target="https://striking-viking.com/cdn/shop/files/preview_images/ea71e2ed828246ed942cb9b167fb5a7e.thumbnail.0000000000_1024x1024.jpg?v=1783948364" TargetMode="External"/><Relationship Id="rId282" Type="http://schemas.openxmlformats.org/officeDocument/2006/relationships/hyperlink" Target="https://striking-viking.com/fr/products/striking-viking-unscented-beard-oil-natural-organic-beard-care" TargetMode="External"/><Relationship Id="rId283" Type="http://schemas.openxmlformats.org/officeDocument/2006/relationships/hyperlink" Target="https://striking-viking.com/cdn/shop/files/preview_images/8a045c5fae8942ea962f142b6e25d24a.thumbnail.0000000000_1024x1024.jpg?v=1786610842" TargetMode="External"/><Relationship Id="rId284" Type="http://schemas.openxmlformats.org/officeDocument/2006/relationships/hyperlink" Target="https://striking-viking.com/de/products/bartol-sandelholz" TargetMode="External"/><Relationship Id="rId285" Type="http://schemas.openxmlformats.org/officeDocument/2006/relationships/hyperlink" Target="https://striking-viking.com/cdn/shop/files/preview_images/694214d8b7b34d50be83f74012b962d8.thumbnail.0000000000_1024x1024.jpg?v=1786601440" TargetMode="External"/><Relationship Id="rId286" Type="http://schemas.openxmlformats.org/officeDocument/2006/relationships/hyperlink" Target="https://striking-viking.com/fr-ca/products/striking-viking-beard-growth-oil-with-biotin-sandalwood" TargetMode="External"/><Relationship Id="rId287" Type="http://schemas.openxmlformats.org/officeDocument/2006/relationships/hyperlink" Target="https://striking-viking.com/cdn/shop/files/preview_images/032fdd356ead42c19de3ca802ac3a37b.thumbnail.0000000000_1024x1024.jpg?v=1786599587" TargetMode="External"/><Relationship Id="rId288" Type="http://schemas.openxmlformats.org/officeDocument/2006/relationships/hyperlink" Target="https://striking-viking.com/de/products/bartwasche-pfefferminze" TargetMode="External"/><Relationship Id="rId289" Type="http://schemas.openxmlformats.org/officeDocument/2006/relationships/hyperlink" Target="https://striking-viking.com/cdn/shop/files/preview_images/133175d72f9a4cf5aaecad8194713d87.thumbnail.0000000000_1024x1024.jpg?v=1783943838" TargetMode="External"/><Relationship Id="rId290" Type="http://schemas.openxmlformats.org/officeDocument/2006/relationships/hyperlink" Target="https://striking-viking.com/products/striking-viking-citrus-beard-balm" TargetMode="External"/><Relationship Id="rId291" Type="http://schemas.openxmlformats.org/officeDocument/2006/relationships/hyperlink" Target="https://striking-viking.com/cdn/shop/files/preview_images/54420569ea0440298c3f837092838622.thumbnail.0000000000_1024x1024.jpg?v=1786600582" TargetMode="External"/><Relationship Id="rId292" Type="http://schemas.openxmlformats.org/officeDocument/2006/relationships/hyperlink" Target="https://striking-viking.com/products/striking-viking-sandalwood-beard-balm" TargetMode="External"/><Relationship Id="rId293" Type="http://schemas.openxmlformats.org/officeDocument/2006/relationships/hyperlink" Target="https://striking-viking.com/cdn/shop/files/preview_images/61498a206a02426392439b9e42809c58.thumbnail.0000000000_1024x1024.jpg?v=1786600477" TargetMode="External"/><Relationship Id="rId294" Type="http://schemas.openxmlformats.org/officeDocument/2006/relationships/hyperlink" Target="https://striking-viking.com/es/products/striking-viking-beard-growth-oil-with-biotin-sandalwood" TargetMode="External"/><Relationship Id="rId295" Type="http://schemas.openxmlformats.org/officeDocument/2006/relationships/hyperlink" Target="https://striking-viking.com/cdn/shop/files/preview_images/032fdd356ead42c19de3ca802ac3a37b.thumbnail.0000000000_1024x1024.jpg?v=1786599587" TargetMode="External"/><Relationship Id="rId296" Type="http://schemas.openxmlformats.org/officeDocument/2006/relationships/hyperlink" Target="https://striking-viking.com/en-ca/products/charlemagne-original-hair-pomade-for-men-strong-hold-water-based-styling-pomade-100ml" TargetMode="External"/><Relationship Id="rId297" Type="http://schemas.openxmlformats.org/officeDocument/2006/relationships/hyperlink" Target="https://striking-viking.com/cdn/shop/files/preview_images/ea71e2ed828246ed942cb9b167fb5a7e.thumbnail.0000000000_1024x1024.jpg?v=1783948364" TargetMode="External"/><Relationship Id="rId298" Type="http://schemas.openxmlformats.org/officeDocument/2006/relationships/hyperlink" Target="https://striking-viking.com/it/products/charlemagne-carbon-hair-comb-for-men-professional-heat-resistant-styling-detangling-comb" TargetMode="External"/><Relationship Id="rId299" Type="http://schemas.openxmlformats.org/officeDocument/2006/relationships/hyperlink" Target="https://striking-viking.com/cdn/shop/files/preview_images/ea71e2ed828246ed942cb9b167fb5a7e.thumbnail.0000000000_1024x1024.jpg?v=1783948364" TargetMode="External"/><Relationship Id="rId300" Type="http://schemas.openxmlformats.org/officeDocument/2006/relationships/hyperlink" Target="https://striking-viking.com/it/products/striking-viking-citrus-beard-oil" TargetMode="External"/><Relationship Id="rId301" Type="http://schemas.openxmlformats.org/officeDocument/2006/relationships/hyperlink" Target="https://striking-viking.com/cdn/shop/files/preview_images/59360cd09ea240a0b2661030d5829c72.thumbnail.0000000000_1024x1024.jpg?v=1786601332" TargetMode="External"/><Relationship Id="rId302" Type="http://schemas.openxmlformats.org/officeDocument/2006/relationships/hyperlink" Target="https://striking-viking.com/es/products/striking-viking-cedarwood-beard-balm" TargetMode="External"/><Relationship Id="rId303" Type="http://schemas.openxmlformats.org/officeDocument/2006/relationships/hyperlink" Target="https://striking-viking.com/cdn/shop/files/preview_images/c89d3523362c428dade03256b113e919.thumbnail.0000000000_1024x1024.jpg?v=1786600350" TargetMode="External"/><Relationship Id="rId304" Type="http://schemas.openxmlformats.org/officeDocument/2006/relationships/hyperlink" Target="https://striking-viking.com/it/products/striking-viking-cedarwood-beard-balm" TargetMode="External"/><Relationship Id="rId305" Type="http://schemas.openxmlformats.org/officeDocument/2006/relationships/hyperlink" Target="https://striking-viking.com/cdn/shop/files/preview_images/c89d3523362c428dade03256b113e919.thumbnail.0000000000_1024x1024.jpg?v=1786600350" TargetMode="External"/><Relationship Id="rId306" Type="http://schemas.openxmlformats.org/officeDocument/2006/relationships/hyperlink" Target="https://striking-viking.com/fi/products/striking-viking-citrus-beard-balm" TargetMode="External"/><Relationship Id="rId307" Type="http://schemas.openxmlformats.org/officeDocument/2006/relationships/hyperlink" Target="https://striking-viking.com/cdn/shop/files/preview_images/54420569ea0440298c3f837092838622.thumbnail.0000000000_1024x1024.jpg?v=1786600582" TargetMode="External"/><Relationship Id="rId308" Type="http://schemas.openxmlformats.org/officeDocument/2006/relationships/hyperlink" Target="https://striking-viking.com/fi/products/striking-viking-unscented-beard-oil-natural-organic-beard-care" TargetMode="External"/><Relationship Id="rId309" Type="http://schemas.openxmlformats.org/officeDocument/2006/relationships/hyperlink" Target="https://striking-viking.com/cdn/shop/files/preview_images/8a045c5fae8942ea962f142b6e25d24a.thumbnail.0000000000_1024x1024.jpg?v=1786610842" TargetMode="External"/><Relationship Id="rId310" Type="http://schemas.openxmlformats.org/officeDocument/2006/relationships/hyperlink" Target="https://striking-viking.com/products/striking-viking-unscented-beard-oil-natural-organic-beard-care" TargetMode="External"/><Relationship Id="rId311" Type="http://schemas.openxmlformats.org/officeDocument/2006/relationships/hyperlink" Target="https://striking-viking.com/cdn/shop/files/preview_images/8a045c5fae8942ea962f142b6e25d24a.thumbnail.0000000000_1024x1024.jpg?v=1786610842" TargetMode="External"/><Relationship Id="rId312" Type="http://schemas.openxmlformats.org/officeDocument/2006/relationships/hyperlink" Target="https://striking-viking.com/en-gb/products/striking-viking-unscented-beard-oil-natural-organic-beard-care" TargetMode="External"/><Relationship Id="rId313" Type="http://schemas.openxmlformats.org/officeDocument/2006/relationships/hyperlink" Target="https://striking-viking.com/cdn/shop/files/preview_images/8a045c5fae8942ea962f142b6e25d24a.thumbnail.0000000000_1024x1024.jpg?v=1786610842" TargetMode="External"/><Relationship Id="rId314" Type="http://schemas.openxmlformats.org/officeDocument/2006/relationships/hyperlink" Target="https://striking-viking.com/fi/products/striking-viking-beard-oil-variety-4-pack-citrus-vanilla-cedarwood-sandalwood" TargetMode="External"/><Relationship Id="rId315" Type="http://schemas.openxmlformats.org/officeDocument/2006/relationships/hyperlink" Target="https://striking-viking.com/cdn/shop/files/preview_images/2aac013d604940b58d3cb008c2f75bb9.thumbnail.0000000000_1024x1024.jpg?v=1786600897" TargetMode="External"/><Relationship Id="rId316" Type="http://schemas.openxmlformats.org/officeDocument/2006/relationships/hyperlink" Target="https://striking-viking.com/fi/products/charlemagne-carbon-wide-tooth-comb-for-men-heat-resistant-carbon-fiber-hair-comb" TargetMode="External"/><Relationship Id="rId317" Type="http://schemas.openxmlformats.org/officeDocument/2006/relationships/hyperlink" Target="https://striking-viking.com/cdn/shop/files/preview_images/ea71e2ed828246ed942cb9b167fb5a7e.thumbnail.0000000000_1024x1024.jpg?v=1783948364" TargetMode="External"/><Relationship Id="rId318" Type="http://schemas.openxmlformats.org/officeDocument/2006/relationships/hyperlink" Target="https://striking-viking.com/it/products/charlemagne-round-hair-brush-for-men-professional-styling-brush-for-volume-blow-drying" TargetMode="External"/><Relationship Id="rId319" Type="http://schemas.openxmlformats.org/officeDocument/2006/relationships/hyperlink" Target="https://striking-viking.com/cdn/shop/files/preview_images/ea71e2ed828246ed942cb9b167fb5a7e.thumbnail.0000000000_1024x1024.jpg?v=1783948364" TargetMode="External"/><Relationship Id="rId320" Type="http://schemas.openxmlformats.org/officeDocument/2006/relationships/hyperlink" Target="https://striking-viking.com/es/products/sandalwood-wooden-beard-comb-black-striking-viking" TargetMode="External"/><Relationship Id="rId321" Type="http://schemas.openxmlformats.org/officeDocument/2006/relationships/hyperlink" Target="https://striking-viking.com/cdn/shop/files/preview_images/630e16646ea940d38a7dbfb0a14c8ee6.thumbnail.0000000000_1024x1024.jpg?v=1786617599" TargetMode="External"/><Relationship Id="rId322" Type="http://schemas.openxmlformats.org/officeDocument/2006/relationships/hyperlink" Target="https://striking-viking.com/sv/products/striking-viking-beard-shampoo-with-natural-peppermint-eucalyptus-for-refreshing-beard-care" TargetMode="External"/><Relationship Id="rId323" Type="http://schemas.openxmlformats.org/officeDocument/2006/relationships/hyperlink" Target="https://striking-viking.com/cdn/shop/files/preview_images/133175d72f9a4cf5aaecad8194713d87.thumbnail.0000000000_1024x1024.jpg?v=1783943838" TargetMode="External"/><Relationship Id="rId324" Type="http://schemas.openxmlformats.org/officeDocument/2006/relationships/hyperlink" Target="https://striking-viking.com/es/products/striking-viking-beard-oil-variety-4-pack-citrus-vanilla-cedarwood-sandalwood" TargetMode="External"/><Relationship Id="rId325" Type="http://schemas.openxmlformats.org/officeDocument/2006/relationships/hyperlink" Target="https://striking-viking.com/cdn/shop/files/preview_images/2aac013d604940b58d3cb008c2f75bb9.thumbnail.0000000000_1024x1024.jpg?v=1786600897" TargetMode="External"/><Relationship Id="rId326" Type="http://schemas.openxmlformats.org/officeDocument/2006/relationships/hyperlink" Target="https://striking-viking.com/it/products/charlemagne-original-hair-pomade-for-men-strong-hold-water-based-styling-pomade-100ml" TargetMode="External"/><Relationship Id="rId327" Type="http://schemas.openxmlformats.org/officeDocument/2006/relationships/hyperlink" Target="https://striking-viking.com/cdn/shop/files/preview_images/ea71e2ed828246ed942cb9b167fb5a7e.thumbnail.0000000000_1024x1024.jpg?v=1783948364" TargetMode="External"/><Relationship Id="rId328" Type="http://schemas.openxmlformats.org/officeDocument/2006/relationships/hyperlink" Target="https://striking-viking.com/en-gb/products/striking-viking-citrus-beard-oil" TargetMode="External"/><Relationship Id="rId329" Type="http://schemas.openxmlformats.org/officeDocument/2006/relationships/hyperlink" Target="https://striking-viking.com/cdn/shop/files/preview_images/59360cd09ea240a0b2661030d5829c72.thumbnail.0000000000_1024x1024.jpg?v=1786601332" TargetMode="External"/><Relationship Id="rId330" Type="http://schemas.openxmlformats.org/officeDocument/2006/relationships/hyperlink" Target="https://striking-viking.com/blogs/learn/41241281-the-dude" TargetMode="External"/><Relationship Id="rId331" Type="http://schemas.openxmlformats.org/officeDocument/2006/relationships/hyperlink" Target="https://striking-viking.com/en-gb/products/striking-viking-cedarwood-beard-oil" TargetMode="External"/><Relationship Id="rId332" Type="http://schemas.openxmlformats.org/officeDocument/2006/relationships/hyperlink" Target="https://striking-viking.com/cdn/shop/files/preview_images/06fa7414903d4ace94cbe4e096befa28.thumbnail.0000000000_1024x1024.jpg?v=1786601229" TargetMode="External"/><Relationship Id="rId333" Type="http://schemas.openxmlformats.org/officeDocument/2006/relationships/hyperlink" Target="https://striking-viking.com/es/blogs/learn/41234689-brian-wilson" TargetMode="External"/><Relationship Id="rId334" Type="http://schemas.openxmlformats.org/officeDocument/2006/relationships/hyperlink" Target="https://striking-viking.com/no/blogs/learn/41234689-brian-wilson" TargetMode="External"/><Relationship Id="rId335" Type="http://schemas.openxmlformats.org/officeDocument/2006/relationships/hyperlink" Target="https://striking-viking.com/fr/products/striking-viking-citrus-beard-balm" TargetMode="External"/><Relationship Id="rId336" Type="http://schemas.openxmlformats.org/officeDocument/2006/relationships/hyperlink" Target="https://striking-viking.com/cdn/shop/files/preview_images/54420569ea0440298c3f837092838622.thumbnail.0000000000_1024x1024.jpg?v=1786600582" TargetMode="External"/><Relationship Id="rId337" Type="http://schemas.openxmlformats.org/officeDocument/2006/relationships/hyperlink" Target="https://striking-viking.com/es/products/striking-viking-cedarwood-beard-oil" TargetMode="External"/><Relationship Id="rId338" Type="http://schemas.openxmlformats.org/officeDocument/2006/relationships/hyperlink" Target="https://striking-viking.com/cdn/shop/files/preview_images/06fa7414903d4ace94cbe4e096befa28.thumbnail.0000000000_1024x1024.jpg?v=1786601229" TargetMode="External"/><Relationship Id="rId339" Type="http://schemas.openxmlformats.org/officeDocument/2006/relationships/hyperlink" Target="https://striking-viking.com/de/products/bartbalsam-zedernholz" TargetMode="External"/><Relationship Id="rId340" Type="http://schemas.openxmlformats.org/officeDocument/2006/relationships/hyperlink" Target="https://striking-viking.com/cdn/shop/files/preview_images/c89d3523362c428dade03256b113e919.thumbnail.0000000000_1024x1024.jpg?v=1786600350" TargetMode="External"/><Relationship Id="rId341" Type="http://schemas.openxmlformats.org/officeDocument/2006/relationships/hyperlink" Target="https://striking-viking.com/no/products/striking-viking-unscented-beard-oil-natural-organic-beard-care" TargetMode="External"/><Relationship Id="rId342" Type="http://schemas.openxmlformats.org/officeDocument/2006/relationships/hyperlink" Target="https://striking-viking.com/cdn/shop/files/preview_images/8a045c5fae8942ea962f142b6e25d24a.thumbnail.0000000000_1024x1024.jpg?v=1786610842" TargetMode="External"/><Relationship Id="rId343" Type="http://schemas.openxmlformats.org/officeDocument/2006/relationships/hyperlink" Target="https://striking-viking.com/fi/products/striking-viking-sandalwood-beard-oil" TargetMode="External"/><Relationship Id="rId344" Type="http://schemas.openxmlformats.org/officeDocument/2006/relationships/hyperlink" Target="https://striking-viking.com/cdn/shop/files/preview_images/694214d8b7b34d50be83f74012b962d8.thumbnail.0000000000_1024x1024.jpg?v=1786601440" TargetMode="External"/><Relationship Id="rId345" Type="http://schemas.openxmlformats.org/officeDocument/2006/relationships/hyperlink" Target="https://striking-viking.com/de/products/charlemagne-round-hair-brush-for-men-professional-styling-brush-for-volume-blow-drying" TargetMode="External"/><Relationship Id="rId346" Type="http://schemas.openxmlformats.org/officeDocument/2006/relationships/hyperlink" Target="https://striking-viking.com/cdn/shop/files/preview_images/ea71e2ed828246ed942cb9b167fb5a7e.thumbnail.0000000000_1024x1024.jpg?v=1783948364" TargetMode="External"/><Relationship Id="rId347" Type="http://schemas.openxmlformats.org/officeDocument/2006/relationships/hyperlink" Target="https://striking-viking.com/en-ca/products/striking-viking-sandalwood-beard-balm" TargetMode="External"/><Relationship Id="rId348" Type="http://schemas.openxmlformats.org/officeDocument/2006/relationships/hyperlink" Target="https://striking-viking.com/cdn/shop/files/preview_images/61498a206a02426392439b9e42809c58.thumbnail.0000000000_1024x1024.jpg?v=1786600477" TargetMode="External"/><Relationship Id="rId349" Type="http://schemas.openxmlformats.org/officeDocument/2006/relationships/hyperlink" Target="https://striking-viking.com/blogs/learn/41234689-brian-wilson" TargetMode="External"/><Relationship Id="rId350" Type="http://schemas.openxmlformats.org/officeDocument/2006/relationships/hyperlink" Target="https://striking-viking.com/fr-ca/products/striking-viking-sandalwood-beard-oil" TargetMode="External"/><Relationship Id="rId351" Type="http://schemas.openxmlformats.org/officeDocument/2006/relationships/hyperlink" Target="https://striking-viking.com/cdn/shop/files/preview_images/694214d8b7b34d50be83f74012b962d8.thumbnail.0000000000_1024x1024.jpg?v=1786601440" TargetMode="External"/><Relationship Id="rId352" Type="http://schemas.openxmlformats.org/officeDocument/2006/relationships/hyperlink" Target="https://striking-viking.com/fr-ca/blogs/learn/41234689-brian-wilson" TargetMode="External"/><Relationship Id="rId353" Type="http://schemas.openxmlformats.org/officeDocument/2006/relationships/hyperlink" Target="https://striking-viking.com/fr-ca/products/striking-viking-unscented-beard-butter-for-moisturizing-softening-daily-beard-care" TargetMode="External"/><Relationship Id="rId354" Type="http://schemas.openxmlformats.org/officeDocument/2006/relationships/hyperlink" Target="https://striking-viking.com/cdn/shop/files/preview_images/e5633e001a744211bc5b12bd22e9862c.thumbnail.0000000000_1024x1024.jpg?v=1783945120" TargetMode="External"/><Relationship Id="rId355" Type="http://schemas.openxmlformats.org/officeDocument/2006/relationships/hyperlink" Target="https://striking-viking.com/fi/products/sandalwood-wooden-beard-comb-black-striking-viking" TargetMode="External"/><Relationship Id="rId356" Type="http://schemas.openxmlformats.org/officeDocument/2006/relationships/hyperlink" Target="https://striking-viking.com/cdn/shop/files/preview_images/630e16646ea940d38a7dbfb0a14c8ee6.thumbnail.0000000000_1024x1024.jpg?v=1786617599" TargetMode="External"/><Relationship Id="rId357" Type="http://schemas.openxmlformats.org/officeDocument/2006/relationships/hyperlink" Target="https://striking-viking.com/fr/blogs/learn/41241281-the-dude" TargetMode="External"/><Relationship Id="rId358" Type="http://schemas.openxmlformats.org/officeDocument/2006/relationships/hyperlink" Target="https://striking-viking.com/es/products/charlemagne-original-hair-pomade-for-men-strong-hold-water-based-styling-pomade-100ml" TargetMode="External"/><Relationship Id="rId359" Type="http://schemas.openxmlformats.org/officeDocument/2006/relationships/hyperlink" Target="https://striking-viking.com/cdn/shop/files/preview_images/ea71e2ed828246ed942cb9b167fb5a7e.thumbnail.0000000000_1024x1024.jpg?v=1783948364" TargetMode="External"/><Relationship Id="rId360" Type="http://schemas.openxmlformats.org/officeDocument/2006/relationships/hyperlink" Target="https://striking-viking.com/fi/products/striking-viking-sandalwood-wooden-beard-comb-brown" TargetMode="External"/><Relationship Id="rId361" Type="http://schemas.openxmlformats.org/officeDocument/2006/relationships/hyperlink" Target="https://striking-viking.com/cdn/shop/files/preview_images/32f6dad1813c4e97ac84d74390b8e3ba.thumbnail.0000000000_1024x1024.jpg?v=1786604633" TargetMode="External"/><Relationship Id="rId362" Type="http://schemas.openxmlformats.org/officeDocument/2006/relationships/hyperlink" Target="https://striking-viking.com/de/products/charlemagne-carbon-hair-comb-for-men-professional-heat-resistant-styling-detangling-comb" TargetMode="External"/><Relationship Id="rId363" Type="http://schemas.openxmlformats.org/officeDocument/2006/relationships/hyperlink" Target="https://striking-viking.com/cdn/shop/files/preview_images/ea71e2ed828246ed942cb9b167fb5a7e.thumbnail.0000000000_1024x1024.jpg?v=1783948364" TargetMode="External"/><Relationship Id="rId364" Type="http://schemas.openxmlformats.org/officeDocument/2006/relationships/hyperlink" Target="https://striking-viking.com/sv/products/striking-viking-beard-growth-oil-with-biotin-sandalwood" TargetMode="External"/><Relationship Id="rId365" Type="http://schemas.openxmlformats.org/officeDocument/2006/relationships/hyperlink" Target="https://striking-viking.com/cdn/shop/files/preview_images/032fdd356ead42c19de3ca802ac3a37b.thumbnail.0000000000_1024x1024.jpg?v=1786599587" TargetMode="External"/><Relationship Id="rId366" Type="http://schemas.openxmlformats.org/officeDocument/2006/relationships/hyperlink" Target="https://striking-viking.com/en-gb/blogs/learn/41241281-the-dude" TargetMode="External"/><Relationship Id="rId367" Type="http://schemas.openxmlformats.org/officeDocument/2006/relationships/hyperlink" Target="https://striking-viking.com/no/products/sandalwood-wooden-beard-comb-black-striking-viking" TargetMode="External"/><Relationship Id="rId368" Type="http://schemas.openxmlformats.org/officeDocument/2006/relationships/hyperlink" Target="https://striking-viking.com/cdn/shop/files/preview_images/630e16646ea940d38a7dbfb0a14c8ee6.thumbnail.0000000000_1024x1024.jpg?v=1786617599" TargetMode="External"/><Relationship Id="rId369" Type="http://schemas.openxmlformats.org/officeDocument/2006/relationships/hyperlink" Target="https://striking-viking.com/fr-ca/products/striking-viking-sandalwood-wooden-beard-comb-brown" TargetMode="External"/><Relationship Id="rId370" Type="http://schemas.openxmlformats.org/officeDocument/2006/relationships/hyperlink" Target="https://striking-viking.com/cdn/shop/files/preview_images/32f6dad1813c4e97ac84d74390b8e3ba.thumbnail.0000000000_1024x1024.jpg?v=1786604633" TargetMode="External"/><Relationship Id="rId371" Type="http://schemas.openxmlformats.org/officeDocument/2006/relationships/hyperlink" Target="https://striking-viking.com/es/products/charlemagne-carbon-wide-tooth-comb-for-men-heat-resistant-carbon-fiber-hair-comb" TargetMode="External"/><Relationship Id="rId372" Type="http://schemas.openxmlformats.org/officeDocument/2006/relationships/hyperlink" Target="https://striking-viking.com/cdn/shop/files/preview_images/ea71e2ed828246ed942cb9b167fb5a7e.thumbnail.0000000000_1024x1024.jpg?v=1783948364" TargetMode="External"/><Relationship Id="rId373" Type="http://schemas.openxmlformats.org/officeDocument/2006/relationships/hyperlink" Target="https://striking-viking.com/en-gb/products/charlemagne-round-hair-brush-for-men-professional-styling-brush-for-volume-blow-drying" TargetMode="External"/><Relationship Id="rId374" Type="http://schemas.openxmlformats.org/officeDocument/2006/relationships/hyperlink" Target="https://striking-viking.com/cdn/shop/files/preview_images/ea71e2ed828246ed942cb9b167fb5a7e.thumbnail.0000000000_1024x1024.jpg?v=1783948364" TargetMode="External"/><Relationship Id="rId375" Type="http://schemas.openxmlformats.org/officeDocument/2006/relationships/hyperlink" Target="https://striking-viking.com/de/blogs/learn/41234689-brian-wilson" TargetMode="External"/><Relationship Id="rId376" Type="http://schemas.openxmlformats.org/officeDocument/2006/relationships/hyperlink" Target="https://striking-viking.com/es/products/striking-viking-vanilla-beard-balm" TargetMode="External"/><Relationship Id="rId377" Type="http://schemas.openxmlformats.org/officeDocument/2006/relationships/hyperlink" Target="https://striking-viking.com/cdn/shop/files/preview_images/654292f4a09e42b6b95c9ef48340e293.thumbnail.0000000000_1024x1024.jpg?v=1786600236" TargetMode="External"/><Relationship Id="rId378" Type="http://schemas.openxmlformats.org/officeDocument/2006/relationships/hyperlink" Target="https://striking-viking.com/en-gb/products/striking-viking-unscented-beard-balm-natural-beard-styling-conditioning" TargetMode="External"/><Relationship Id="rId379" Type="http://schemas.openxmlformats.org/officeDocument/2006/relationships/hyperlink" Target="https://striking-viking.com/cdn/shop/files/preview_images/0ebc618aebb84e839189ab492bd964c1.thumbnail.0000000000_1024x1024.jpg?v=1786615713" TargetMode="External"/><Relationship Id="rId380" Type="http://schemas.openxmlformats.org/officeDocument/2006/relationships/hyperlink" Target="https://striking-viking.com/it/products/striking-viking-sandalwood-beard-oil" TargetMode="External"/><Relationship Id="rId381" Type="http://schemas.openxmlformats.org/officeDocument/2006/relationships/hyperlink" Target="https://striking-viking.com/cdn/shop/files/preview_images/694214d8b7b34d50be83f74012b962d8.thumbnail.0000000000_1024x1024.jpg?v=1786601440" TargetMode="External"/><Relationship Id="rId382" Type="http://schemas.openxmlformats.org/officeDocument/2006/relationships/hyperlink" Target="https://striking-viking.com/fr/products/striking-viking-cedarwood-beard-balm" TargetMode="External"/><Relationship Id="rId383" Type="http://schemas.openxmlformats.org/officeDocument/2006/relationships/hyperlink" Target="https://striking-viking.com/cdn/shop/files/preview_images/c89d3523362c428dade03256b113e919.thumbnail.0000000000_1024x1024.jpg?v=1786600350" TargetMode="External"/><Relationship Id="rId384" Type="http://schemas.openxmlformats.org/officeDocument/2006/relationships/hyperlink" Target="https://striking-viking.com/sv/products/striking-viking-folding-wooden-comb-sandalwood-beard-hair-comb" TargetMode="External"/><Relationship Id="rId385" Type="http://schemas.openxmlformats.org/officeDocument/2006/relationships/hyperlink" Target="https://striking-viking.com/cdn/shop/files/preview_images/3b2d1290045c417e8b589a319a2e2fbf.thumbnail.0000000000_1024x1024.jpg?v=1786616279" TargetMode="External"/><Relationship Id="rId386" Type="http://schemas.openxmlformats.org/officeDocument/2006/relationships/hyperlink" Target="https://striking-viking.com/no/products/striking-viking-beard-shampoo-conditioner-cologne-argan-jojoba-oil" TargetMode="External"/><Relationship Id="rId387" Type="http://schemas.openxmlformats.org/officeDocument/2006/relationships/hyperlink" Target="https://striking-viking.com/cdn/shop/files/preview_images/223d982d630541b8bca51e5de6c59550.thumbnail.0000000000_1024x1024.jpg?v=1786603784" TargetMode="External"/><Relationship Id="rId388" Type="http://schemas.openxmlformats.org/officeDocument/2006/relationships/hyperlink" Target="https://striking-viking.com/it/blogs/learn/41234689-brian-wilson" TargetMode="External"/><Relationship Id="rId389" Type="http://schemas.openxmlformats.org/officeDocument/2006/relationships/hyperlink" Target="https://striking-viking.com/es/products/striking-viking-sandalwood-beard-balm" TargetMode="External"/><Relationship Id="rId390" Type="http://schemas.openxmlformats.org/officeDocument/2006/relationships/hyperlink" Target="https://striking-viking.com/cdn/shop/files/preview_images/61498a206a02426392439b9e42809c58.thumbnail.0000000000_1024x1024.jpg?v=1786600477" TargetMode="External"/><Relationship Id="rId391" Type="http://schemas.openxmlformats.org/officeDocument/2006/relationships/hyperlink" Target="https://striking-viking.com/products/charlemagne-round-hair-brush-for-men-professional-styling-brush-for-volume-blow-drying" TargetMode="External"/><Relationship Id="rId392" Type="http://schemas.openxmlformats.org/officeDocument/2006/relationships/hyperlink" Target="https://striking-viking.com/cdn/shop/files/preview_images/ea71e2ed828246ed942cb9b167fb5a7e.thumbnail.0000000000_1024x1024.jpg?v=1783948364" TargetMode="External"/><Relationship Id="rId393" Type="http://schemas.openxmlformats.org/officeDocument/2006/relationships/hyperlink" Target="https://striking-viking.com/fr-ca/products/striking-viking-beard-shampoo-with-natural-peppermint-eucalyptus-for-refreshing-beard-care" TargetMode="External"/><Relationship Id="rId394" Type="http://schemas.openxmlformats.org/officeDocument/2006/relationships/hyperlink" Target="https://striking-viking.com/cdn/shop/files/preview_images/133175d72f9a4cf5aaecad8194713d87.thumbnail.0000000000_1024x1024.jpg?v=1783943838" TargetMode="External"/><Relationship Id="rId395" Type="http://schemas.openxmlformats.org/officeDocument/2006/relationships/hyperlink" Target="https://striking-viking.com/fr-ca/products/striking-viking-folding-wooden-comb-sandalwood-beard-hair-comb" TargetMode="External"/><Relationship Id="rId396" Type="http://schemas.openxmlformats.org/officeDocument/2006/relationships/hyperlink" Target="https://striking-viking.com/cdn/shop/files/preview_images/3b2d1290045c417e8b589a319a2e2fbf.thumbnail.0000000000_1024x1024.jpg?v=1786616279" TargetMode="External"/><Relationship Id="rId397" Type="http://schemas.openxmlformats.org/officeDocument/2006/relationships/hyperlink" Target="https://striking-viking.com/fi/products/striking-viking-sandalwood-beard-balm" TargetMode="External"/><Relationship Id="rId398" Type="http://schemas.openxmlformats.org/officeDocument/2006/relationships/hyperlink" Target="https://striking-viking.com/cdn/shop/files/preview_images/61498a206a02426392439b9e42809c58.thumbnail.0000000000_1024x1024.jpg?v=1786600477" TargetMode="External"/><Relationship Id="rId399" Type="http://schemas.openxmlformats.org/officeDocument/2006/relationships/hyperlink" Target="https://striking-viking.com/sv/products/striking-viking-citrus-beard-oil" TargetMode="External"/><Relationship Id="rId400" Type="http://schemas.openxmlformats.org/officeDocument/2006/relationships/hyperlink" Target="https://striking-viking.com/cdn/shop/files/preview_images/59360cd09ea240a0b2661030d5829c72.thumbnail.0000000000_1024x1024.jpg?v=1786601332" TargetMode="External"/><Relationship Id="rId401" Type="http://schemas.openxmlformats.org/officeDocument/2006/relationships/hyperlink" Target="https://striking-viking.com/es/products/striking-viking-unscented-beard-oil-natural-organic-beard-care" TargetMode="External"/><Relationship Id="rId402" Type="http://schemas.openxmlformats.org/officeDocument/2006/relationships/hyperlink" Target="https://striking-viking.com/cdn/shop/files/preview_images/8a045c5fae8942ea962f142b6e25d24a.thumbnail.0000000000_1024x1024.jpg?v=1786610842" TargetMode="External"/><Relationship Id="rId403" Type="http://schemas.openxmlformats.org/officeDocument/2006/relationships/hyperlink" Target="https://striking-viking.com/fi/products/striking-viking-beard-shampoo-with-natural-peppermint-eucalyptus-for-refreshing-beard-care" TargetMode="External"/><Relationship Id="rId404" Type="http://schemas.openxmlformats.org/officeDocument/2006/relationships/hyperlink" Target="https://striking-viking.com/cdn/shop/files/preview_images/133175d72f9a4cf5aaecad8194713d87.thumbnail.0000000000_1024x1024.jpg?v=1783943838" TargetMode="External"/><Relationship Id="rId405" Type="http://schemas.openxmlformats.org/officeDocument/2006/relationships/hyperlink" Target="https://striking-viking.com/fr-ca/products/striking-viking-vanilla-beard-balm" TargetMode="External"/><Relationship Id="rId406" Type="http://schemas.openxmlformats.org/officeDocument/2006/relationships/hyperlink" Target="https://striking-viking.com/cdn/shop/files/preview_images/654292f4a09e42b6b95c9ef48340e293.thumbnail.0000000000_1024x1024.jpg?v=1786600236" TargetMode="External"/><Relationship Id="rId407" Type="http://schemas.openxmlformats.org/officeDocument/2006/relationships/hyperlink" Target="https://striking-viking.com/es/products/striking-viking-beard-shampoo-with-natural-peppermint-eucalyptus-for-refreshing-beard-care" TargetMode="External"/><Relationship Id="rId408" Type="http://schemas.openxmlformats.org/officeDocument/2006/relationships/hyperlink" Target="https://striking-viking.com/cdn/shop/files/preview_images/133175d72f9a4cf5aaecad8194713d87.thumbnail.0000000000_1024x1024.jpg?v=1783943838" TargetMode="External"/><Relationship Id="rId409" Type="http://schemas.openxmlformats.org/officeDocument/2006/relationships/hyperlink" Target="https://striking-viking.com/sv/products/striking-viking-cedarwood-beard-balm" TargetMode="External"/><Relationship Id="rId410" Type="http://schemas.openxmlformats.org/officeDocument/2006/relationships/hyperlink" Target="https://striking-viking.com/cdn/shop/files/preview_images/c89d3523362c428dade03256b113e919.thumbnail.0000000000_1024x1024.jpg?v=1786600350" TargetMode="External"/><Relationship Id="rId411" Type="http://schemas.openxmlformats.org/officeDocument/2006/relationships/hyperlink" Target="https://striking-viking.com/fr/products/charlemagne-carbon-wide-tooth-comb-for-men-heat-resistant-carbon-fiber-hair-comb" TargetMode="External"/><Relationship Id="rId412" Type="http://schemas.openxmlformats.org/officeDocument/2006/relationships/hyperlink" Target="https://striking-viking.com/cdn/shop/files/preview_images/ea71e2ed828246ed942cb9b167fb5a7e.thumbnail.0000000000_1024x1024.jpg?v=1783948364" TargetMode="External"/><Relationship Id="rId413" Type="http://schemas.openxmlformats.org/officeDocument/2006/relationships/hyperlink" Target="https://striking-viking.com/products/charlemagne-carbon-wide-tooth-comb-for-men-heat-resistant-carbon-fiber-hair-comb" TargetMode="External"/><Relationship Id="rId414" Type="http://schemas.openxmlformats.org/officeDocument/2006/relationships/hyperlink" Target="https://striking-viking.com/cdn/shop/files/preview_images/ea71e2ed828246ed942cb9b167fb5a7e.thumbnail.0000000000_1024x1024.jpg?v=1783948364" TargetMode="External"/><Relationship Id="rId415" Type="http://schemas.openxmlformats.org/officeDocument/2006/relationships/hyperlink" Target="https://striking-viking.com/products/striking-viking-beard-growth-oil-with-biotin-sandalwood" TargetMode="External"/><Relationship Id="rId416" Type="http://schemas.openxmlformats.org/officeDocument/2006/relationships/hyperlink" Target="https://striking-viking.com/cdn/shop/files/preview_images/032fdd356ead42c19de3ca802ac3a37b.thumbnail.0000000000_1024x1024.jpg?v=1786599587" TargetMode="External"/><Relationship Id="rId417" Type="http://schemas.openxmlformats.org/officeDocument/2006/relationships/hyperlink" Target="https://striking-viking.com/es/products/striking-viking-sandalwood-beard-oil" TargetMode="External"/><Relationship Id="rId418" Type="http://schemas.openxmlformats.org/officeDocument/2006/relationships/hyperlink" Target="https://striking-viking.com/cdn/shop/files/preview_images/694214d8b7b34d50be83f74012b962d8.thumbnail.0000000000_1024x1024.jpg?v=1786601440" TargetMode="External"/><Relationship Id="rId419" Type="http://schemas.openxmlformats.org/officeDocument/2006/relationships/hyperlink" Target="https://striking-viking.com/es/products/striking-viking-unscented-beard-balm-natural-beard-styling-conditioning" TargetMode="External"/><Relationship Id="rId420" Type="http://schemas.openxmlformats.org/officeDocument/2006/relationships/hyperlink" Target="https://striking-viking.com/cdn/shop/files/preview_images/0ebc618aebb84e839189ab492bd964c1.thumbnail.0000000000_1024x1024.jpg?v=1786615713" TargetMode="External"/><Relationship Id="rId421" Type="http://schemas.openxmlformats.org/officeDocument/2006/relationships/hyperlink" Target="https://striking-viking.com/products/striking-viking-unscented-beard-balm-natural-beard-styling-conditioning" TargetMode="External"/><Relationship Id="rId422" Type="http://schemas.openxmlformats.org/officeDocument/2006/relationships/hyperlink" Target="https://striking-viking.com/cdn/shop/files/preview_images/0ebc618aebb84e839189ab492bd964c1.thumbnail.0000000000_1024x1024.jpg?v=1786615713" TargetMode="External"/><Relationship Id="rId423" Type="http://schemas.openxmlformats.org/officeDocument/2006/relationships/hyperlink" Target="https://striking-viking.com/fi/products/striking-viking-citrus-beard-oil" TargetMode="External"/><Relationship Id="rId424" Type="http://schemas.openxmlformats.org/officeDocument/2006/relationships/hyperlink" Target="https://striking-viking.com/cdn/shop/files/preview_images/59360cd09ea240a0b2661030d5829c72.thumbnail.0000000000_1024x1024.jpg?v=1786601332" TargetMode="External"/><Relationship Id="rId425" Type="http://schemas.openxmlformats.org/officeDocument/2006/relationships/hyperlink" Target="https://striking-viking.com/fr/products/charlemagne-carbon-hair-comb-for-men-professional-heat-resistant-styling-detangling-comb" TargetMode="External"/><Relationship Id="rId426" Type="http://schemas.openxmlformats.org/officeDocument/2006/relationships/hyperlink" Target="https://striking-viking.com/cdn/shop/files/preview_images/ea71e2ed828246ed942cb9b167fb5a7e.thumbnail.0000000000_1024x1024.jpg?v=1783948364" TargetMode="External"/><Relationship Id="rId427" Type="http://schemas.openxmlformats.org/officeDocument/2006/relationships/hyperlink" Target="https://striking-viking.com/no/products/charlemagne-original-hair-pomade-for-men-strong-hold-water-based-styling-pomade-100ml" TargetMode="External"/><Relationship Id="rId428" Type="http://schemas.openxmlformats.org/officeDocument/2006/relationships/hyperlink" Target="https://striking-viking.com/cdn/shop/files/preview_images/ea71e2ed828246ed942cb9b167fb5a7e.thumbnail.0000000000_1024x1024.jpg?v=1783948364" TargetMode="External"/><Relationship Id="rId429" Type="http://schemas.openxmlformats.org/officeDocument/2006/relationships/hyperlink" Target="https://striking-viking.com/fi/products/striking-viking-folding-wooden-comb-sandalwood-beard-hair-comb" TargetMode="External"/><Relationship Id="rId430" Type="http://schemas.openxmlformats.org/officeDocument/2006/relationships/hyperlink" Target="https://striking-viking.com/cdn/shop/files/preview_images/3b2d1290045c417e8b589a319a2e2fbf.thumbnail.0000000000_1024x1024.jpg?v=1786616279" TargetMode="External"/><Relationship Id="rId431" Type="http://schemas.openxmlformats.org/officeDocument/2006/relationships/hyperlink" Target="https://striking-viking.com/no/products/striking-viking-sandalwood-wooden-beard-comb-brown" TargetMode="External"/><Relationship Id="rId432" Type="http://schemas.openxmlformats.org/officeDocument/2006/relationships/hyperlink" Target="https://striking-viking.com/cdn/shop/files/preview_images/32f6dad1813c4e97ac84d74390b8e3ba.thumbnail.0000000000_1024x1024.jpg?v=1786604633" TargetMode="External"/><Relationship Id="rId433" Type="http://schemas.openxmlformats.org/officeDocument/2006/relationships/hyperlink" Target="https://striking-viking.com/it/products/striking-viking-unscented-beard-oil-natural-organic-beard-care" TargetMode="External"/><Relationship Id="rId434" Type="http://schemas.openxmlformats.org/officeDocument/2006/relationships/hyperlink" Target="https://striking-viking.com/cdn/shop/files/preview_images/8a045c5fae8942ea962f142b6e25d24a.thumbnail.0000000000_1024x1024.jpg?v=1786610842" TargetMode="External"/><Relationship Id="rId435" Type="http://schemas.openxmlformats.org/officeDocument/2006/relationships/hyperlink" Target="https://striking-viking.com/fi/products/striking-viking-cedarwood-beard-oil" TargetMode="External"/><Relationship Id="rId436" Type="http://schemas.openxmlformats.org/officeDocument/2006/relationships/hyperlink" Target="https://striking-viking.com/cdn/shop/files/preview_images/06fa7414903d4ace94cbe4e096befa28.thumbnail.0000000000_1024x1024.jpg?v=1786601229" TargetMode="External"/><Relationship Id="rId437" Type="http://schemas.openxmlformats.org/officeDocument/2006/relationships/hyperlink" Target="https://striking-viking.com/en-ca/products/striking-viking-citrus-beard-balm" TargetMode="External"/><Relationship Id="rId438" Type="http://schemas.openxmlformats.org/officeDocument/2006/relationships/hyperlink" Target="https://striking-viking.com/cdn/shop/files/preview_images/54420569ea0440298c3f837092838622.thumbnail.0000000000_1024x1024.jpg?v=1786600582" TargetMode="External"/><Relationship Id="rId439" Type="http://schemas.openxmlformats.org/officeDocument/2006/relationships/hyperlink" Target="https://striking-viking.com/fr-ca/products/striking-viking-citrus-beard-balm" TargetMode="External"/><Relationship Id="rId440" Type="http://schemas.openxmlformats.org/officeDocument/2006/relationships/hyperlink" Target="https://striking-viking.com/cdn/shop/files/preview_images/54420569ea0440298c3f837092838622.thumbnail.0000000000_1024x1024.jpg?v=1786600582" TargetMode="External"/><Relationship Id="rId441" Type="http://schemas.openxmlformats.org/officeDocument/2006/relationships/hyperlink" Target="https://striking-viking.com/sv/products/striking-viking-cedarwood-beard-oil" TargetMode="External"/><Relationship Id="rId442" Type="http://schemas.openxmlformats.org/officeDocument/2006/relationships/hyperlink" Target="https://striking-viking.com/cdn/shop/files/preview_images/06fa7414903d4ace94cbe4e096befa28.thumbnail.0000000000_1024x1024.jpg?v=1786601229" TargetMode="External"/><Relationship Id="rId443" Type="http://schemas.openxmlformats.org/officeDocument/2006/relationships/hyperlink" Target="https://striking-viking.com/es/products/striking-viking-beard-shampoo-conditioner-cologne-argan-jojoba-oil" TargetMode="External"/><Relationship Id="rId444" Type="http://schemas.openxmlformats.org/officeDocument/2006/relationships/hyperlink" Target="https://striking-viking.com/cdn/shop/files/preview_images/223d982d630541b8bca51e5de6c59550.thumbnail.0000000000_1024x1024.jpg?v=1786603784" TargetMode="External"/><Relationship Id="rId445" Type="http://schemas.openxmlformats.org/officeDocument/2006/relationships/hyperlink" Target="https://striking-viking.com/fr-ca/products/sandalwood-wooden-beard-comb-black-striking-viking" TargetMode="External"/><Relationship Id="rId446" Type="http://schemas.openxmlformats.org/officeDocument/2006/relationships/hyperlink" Target="https://striking-viking.com/cdn/shop/files/preview_images/630e16646ea940d38a7dbfb0a14c8ee6.thumbnail.0000000000_1024x1024.jpg?v=1786617599" TargetMode="External"/><Relationship Id="rId447" Type="http://schemas.openxmlformats.org/officeDocument/2006/relationships/hyperlink" Target="https://striking-viking.com/fr-ca/products/charlemagne-carbon-wide-tooth-comb-for-men-heat-resistant-carbon-fiber-hair-comb" TargetMode="External"/><Relationship Id="rId448" Type="http://schemas.openxmlformats.org/officeDocument/2006/relationships/hyperlink" Target="https://striking-viking.com/cdn/shop/files/preview_images/ea71e2ed828246ed942cb9b167fb5a7e.thumbnail.0000000000_1024x1024.jpg?v=1783948364" TargetMode="External"/><Relationship Id="rId449" Type="http://schemas.openxmlformats.org/officeDocument/2006/relationships/hyperlink" Target="https://striking-viking.com/fr/products/striking-viking-unscented-beard-butter-for-moisturizing-softening-daily-beard-care" TargetMode="External"/><Relationship Id="rId450" Type="http://schemas.openxmlformats.org/officeDocument/2006/relationships/hyperlink" Target="https://striking-viking.com/cdn/shop/files/preview_images/e5633e001a744211bc5b12bd22e9862c.thumbnail.0000000000_1024x1024.jpg?v=1783945120" TargetMode="External"/><Relationship Id="rId451" Type="http://schemas.openxmlformats.org/officeDocument/2006/relationships/hyperlink" Target="https://striking-viking.com/en-gb/products/striking-viking-citrus-beard-balm" TargetMode="External"/><Relationship Id="rId452" Type="http://schemas.openxmlformats.org/officeDocument/2006/relationships/hyperlink" Target="https://striking-viking.com/cdn/shop/files/preview_images/54420569ea0440298c3f837092838622.thumbnail.0000000000_1024x1024.jpg?v=1786600582" TargetMode="External"/><Relationship Id="rId453" Type="http://schemas.openxmlformats.org/officeDocument/2006/relationships/hyperlink" Target="https://striking-viking.com/fi/blogs/learn/41241281-the-dude" TargetMode="External"/><Relationship Id="rId454" Type="http://schemas.openxmlformats.org/officeDocument/2006/relationships/hyperlink" Target="https://striking-viking.com/no/products/striking-viking-vanilla-beard-balm" TargetMode="External"/><Relationship Id="rId455" Type="http://schemas.openxmlformats.org/officeDocument/2006/relationships/hyperlink" Target="https://striking-viking.com/cdn/shop/files/preview_images/654292f4a09e42b6b95c9ef48340e293.thumbnail.0000000000_1024x1024.jpg?v=1786600236" TargetMode="External"/><Relationship Id="rId456" Type="http://schemas.openxmlformats.org/officeDocument/2006/relationships/hyperlink" Target="https://striking-viking.com/fr/products/striking-viking-sandalwood-beard-oil" TargetMode="External"/><Relationship Id="rId457" Type="http://schemas.openxmlformats.org/officeDocument/2006/relationships/hyperlink" Target="https://striking-viking.com/cdn/shop/files/preview_images/694214d8b7b34d50be83f74012b962d8.thumbnail.0000000000_1024x1024.jpg?v=1786601440" TargetMode="External"/><Relationship Id="rId458" Type="http://schemas.openxmlformats.org/officeDocument/2006/relationships/hyperlink" Target="https://striking-viking.com/sv/products/striking-viking-vanilla-beard-balm" TargetMode="External"/><Relationship Id="rId459" Type="http://schemas.openxmlformats.org/officeDocument/2006/relationships/hyperlink" Target="https://striking-viking.com/cdn/shop/files/preview_images/654292f4a09e42b6b95c9ef48340e293.thumbnail.0000000000_1024x1024.jpg?v=1786600236" TargetMode="External"/><Relationship Id="rId460" Type="http://schemas.openxmlformats.org/officeDocument/2006/relationships/hyperlink" Target="https://striking-viking.com/fr-ca/products/striking-viking-beard-oil-variety-4-pack-citrus-vanilla-cedarwood-sandalwood" TargetMode="External"/><Relationship Id="rId461" Type="http://schemas.openxmlformats.org/officeDocument/2006/relationships/hyperlink" Target="https://striking-viking.com/cdn/shop/files/preview_images/2aac013d604940b58d3cb008c2f75bb9.thumbnail.0000000000_1024x1024.jpg?v=1786600897" TargetMode="External"/><Relationship Id="rId462" Type="http://schemas.openxmlformats.org/officeDocument/2006/relationships/hyperlink" Target="https://striking-viking.com/fr-ca/products/charlemagne-round-hair-brush-for-men-professional-styling-brush-for-volume-blow-drying" TargetMode="External"/><Relationship Id="rId463" Type="http://schemas.openxmlformats.org/officeDocument/2006/relationships/hyperlink" Target="https://striking-viking.com/cdn/shop/files/preview_images/ea71e2ed828246ed942cb9b167fb5a7e.thumbnail.0000000000_1024x1024.jpg?v=1783948364" TargetMode="External"/><Relationship Id="rId464" Type="http://schemas.openxmlformats.org/officeDocument/2006/relationships/hyperlink" Target="https://striking-viking.com/fr-ca/products/charlemagne-carbon-hair-comb-for-men-professional-heat-resistant-styling-detangling-comb" TargetMode="External"/><Relationship Id="rId465" Type="http://schemas.openxmlformats.org/officeDocument/2006/relationships/hyperlink" Target="https://striking-viking.com/cdn/shop/files/preview_images/ea71e2ed828246ed942cb9b167fb5a7e.thumbnail.0000000000_1024x1024.jpg?v=1783948364" TargetMode="External"/><Relationship Id="rId466" Type="http://schemas.openxmlformats.org/officeDocument/2006/relationships/hyperlink" Target="https://striking-viking.com/fi/products/striking-viking-unscented-beard-balm-natural-beard-styling-conditioning" TargetMode="External"/><Relationship Id="rId467" Type="http://schemas.openxmlformats.org/officeDocument/2006/relationships/hyperlink" Target="https://striking-viking.com/cdn/shop/files/preview_images/0ebc618aebb84e839189ab492bd964c1.thumbnail.0000000000_1024x1024.jpg?v=1786615713" TargetMode="External"/><Relationship Id="rId468" Type="http://schemas.openxmlformats.org/officeDocument/2006/relationships/hyperlink" Target="https://striking-viking.com/de/products/bartol-unparfumiert" TargetMode="External"/><Relationship Id="rId469" Type="http://schemas.openxmlformats.org/officeDocument/2006/relationships/hyperlink" Target="https://striking-viking.com/cdn/shop/files/preview_images/8a045c5fae8942ea962f142b6e25d24a.thumbnail.0000000000_1024x1024.jpg?v=1786610842" TargetMode="External"/><Relationship Id="rId470" Type="http://schemas.openxmlformats.org/officeDocument/2006/relationships/hyperlink" Target="https://striking-viking.com/sv/products/striking-viking-sandalwood-beard-balm" TargetMode="External"/><Relationship Id="rId471" Type="http://schemas.openxmlformats.org/officeDocument/2006/relationships/hyperlink" Target="https://striking-viking.com/cdn/shop/files/preview_images/61498a206a02426392439b9e42809c58.thumbnail.0000000000_1024x1024.jpg?v=1786600477" TargetMode="External"/><Relationship Id="rId472" Type="http://schemas.openxmlformats.org/officeDocument/2006/relationships/hyperlink" Target="https://striking-viking.com/es/blogs/learn/41241281-the-dude" TargetMode="External"/><Relationship Id="rId473" Type="http://schemas.openxmlformats.org/officeDocument/2006/relationships/hyperlink" Target="https://striking-viking.com/sv/products/striking-viking-beard-shampoo-conditioner-cologne-argan-jojoba-oil" TargetMode="External"/><Relationship Id="rId474" Type="http://schemas.openxmlformats.org/officeDocument/2006/relationships/hyperlink" Target="https://striking-viking.com/cdn/shop/files/preview_images/223d982d630541b8bca51e5de6c59550.thumbnail.0000000000_1024x1024.jpg?v=1786603784" TargetMode="External"/><Relationship Id="rId475" Type="http://schemas.openxmlformats.org/officeDocument/2006/relationships/hyperlink" Target="https://striking-viking.com/fr-ca/products/striking-viking-cedarwood-beard-balm" TargetMode="External"/><Relationship Id="rId476" Type="http://schemas.openxmlformats.org/officeDocument/2006/relationships/hyperlink" Target="https://striking-viking.com/cdn/shop/files/preview_images/c89d3523362c428dade03256b113e919.thumbnail.0000000000_1024x1024.jpg?v=1786600350" TargetMode="External"/><Relationship Id="rId477" Type="http://schemas.openxmlformats.org/officeDocument/2006/relationships/hyperlink" Target="https://striking-viking.com/fr-ca/products/striking-viking-beard-shampoo-conditioner-cologne-argan-jojoba-oil" TargetMode="External"/><Relationship Id="rId478" Type="http://schemas.openxmlformats.org/officeDocument/2006/relationships/hyperlink" Target="https://striking-viking.com/cdn/shop/files/preview_images/223d982d630541b8bca51e5de6c59550.thumbnail.0000000000_1024x1024.jpg?v=1786603784" TargetMode="External"/><Relationship Id="rId479" Type="http://schemas.openxmlformats.org/officeDocument/2006/relationships/hyperlink" Target="https://striking-viking.com/en-gb/products/charlemagne-carbon-hair-comb-for-men-professional-heat-resistant-styling-detangling-comb" TargetMode="External"/><Relationship Id="rId480" Type="http://schemas.openxmlformats.org/officeDocument/2006/relationships/hyperlink" Target="https://striking-viking.com/cdn/shop/files/preview_images/ea71e2ed828246ed942cb9b167fb5a7e.thumbnail.0000000000_1024x1024.jpg?v=1783948364" TargetMode="External"/><Relationship Id="rId481" Type="http://schemas.openxmlformats.org/officeDocument/2006/relationships/hyperlink" Target="https://striking-viking.com/fr/products/charlemagne-round-hair-brush-for-men-professional-styling-brush-for-volume-blow-drying" TargetMode="External"/><Relationship Id="rId482" Type="http://schemas.openxmlformats.org/officeDocument/2006/relationships/hyperlink" Target="https://striking-viking.com/cdn/shop/files/preview_images/ea71e2ed828246ed942cb9b167fb5a7e.thumbnail.0000000000_1024x1024.jpg?v=1783948364" TargetMode="External"/><Relationship Id="rId483" Type="http://schemas.openxmlformats.org/officeDocument/2006/relationships/hyperlink" Target="https://striking-viking.com/it/products/striking-viking-sandalwood-beard-balm" TargetMode="External"/><Relationship Id="rId484" Type="http://schemas.openxmlformats.org/officeDocument/2006/relationships/hyperlink" Target="https://striking-viking.com/cdn/shop/files/preview_images/61498a206a02426392439b9e42809c58.thumbnail.0000000000_1024x1024.jpg?v=1786600477" TargetMode="External"/><Relationship Id="rId485" Type="http://schemas.openxmlformats.org/officeDocument/2006/relationships/hyperlink" Target="https://striking-viking.com/sv/products/striking-viking-unscented-beard-balm-natural-beard-styling-conditioning" TargetMode="External"/><Relationship Id="rId486" Type="http://schemas.openxmlformats.org/officeDocument/2006/relationships/hyperlink" Target="https://striking-viking.com/cdn/shop/files/preview_images/0ebc618aebb84e839189ab492bd964c1.thumbnail.0000000000_1024x1024.jpg?v=1786615713" TargetMode="External"/><Relationship Id="rId487" Type="http://schemas.openxmlformats.org/officeDocument/2006/relationships/hyperlink" Target="https://striking-viking.com/no/products/striking-viking-cedarwood-beard-oil" TargetMode="External"/><Relationship Id="rId488" Type="http://schemas.openxmlformats.org/officeDocument/2006/relationships/hyperlink" Target="https://striking-viking.com/cdn/shop/files/preview_images/06fa7414903d4ace94cbe4e096befa28.thumbnail.0000000000_1024x1024.jpg?v=1786601229" TargetMode="External"/><Relationship Id="rId489" Type="http://schemas.openxmlformats.org/officeDocument/2006/relationships/hyperlink" Target="https://striking-viking.com/de/products/bartol-zitrus" TargetMode="External"/><Relationship Id="rId490" Type="http://schemas.openxmlformats.org/officeDocument/2006/relationships/hyperlink" Target="https://striking-viking.com/cdn/shop/files/preview_images/59360cd09ea240a0b2661030d5829c72.thumbnail.0000000000_1024x1024.jpg?v=1786601332" TargetMode="External"/><Relationship Id="rId491" Type="http://schemas.openxmlformats.org/officeDocument/2006/relationships/hyperlink" Target="https://striking-viking.com/fr/products/striking-viking-citrus-beard-oil" TargetMode="External"/><Relationship Id="rId492" Type="http://schemas.openxmlformats.org/officeDocument/2006/relationships/hyperlink" Target="https://striking-viking.com/cdn/shop/files/preview_images/59360cd09ea240a0b2661030d5829c72.thumbnail.0000000000_1024x1024.jpg?v=1786601332" TargetMode="External"/><Relationship Id="rId493" Type="http://schemas.openxmlformats.org/officeDocument/2006/relationships/hyperlink" Target="https://striking-viking.com/no/products/striking-viking-cedarwood-beard-balm" TargetMode="External"/><Relationship Id="rId494" Type="http://schemas.openxmlformats.org/officeDocument/2006/relationships/hyperlink" Target="https://striking-viking.com/cdn/shop/files/preview_images/c89d3523362c428dade03256b113e919.thumbnail.0000000000_1024x1024.jpg?v=1786600350" TargetMode="External"/><Relationship Id="rId495" Type="http://schemas.openxmlformats.org/officeDocument/2006/relationships/hyperlink" Target="https://striking-viking.com/fr/blogs/learn/41234689-brian-wilson" TargetMode="External"/><Relationship Id="rId496" Type="http://schemas.openxmlformats.org/officeDocument/2006/relationships/hyperlink" Target="https://striking-viking.com/fr-ca/products/striking-viking-cedarwood-beard-oil" TargetMode="External"/><Relationship Id="rId497" Type="http://schemas.openxmlformats.org/officeDocument/2006/relationships/hyperlink" Target="https://striking-viking.com/cdn/shop/files/preview_images/06fa7414903d4ace94cbe4e096befa28.thumbnail.0000000000_1024x1024.jpg?v=1786601229" TargetMode="External"/><Relationship Id="rId498" Type="http://schemas.openxmlformats.org/officeDocument/2006/relationships/hyperlink" Target="https://striking-viking.com/it/products/striking-viking-unscented-beard-balm-natural-beard-styling-conditioning" TargetMode="External"/><Relationship Id="rId499" Type="http://schemas.openxmlformats.org/officeDocument/2006/relationships/hyperlink" Target="https://striking-viking.com/cdn/shop/files/preview_images/0ebc618aebb84e839189ab492bd964c1.thumbnail.0000000000_1024x1024.jpg?v=1786615713" TargetMode="External"/><Relationship Id="rId500" Type="http://schemas.openxmlformats.org/officeDocument/2006/relationships/hyperlink" Target="https://striking-viking.com/de/products/charlemagne-carbon-wide-tooth-comb-for-men-heat-resistant-carbon-fiber-hair-comb" TargetMode="External"/><Relationship Id="rId501" Type="http://schemas.openxmlformats.org/officeDocument/2006/relationships/hyperlink" Target="https://striking-viking.com/cdn/shop/files/preview_images/ea71e2ed828246ed942cb9b167fb5a7e.thumbnail.0000000000_1024x1024.jpg?v=1783948364" TargetMode="External"/><Relationship Id="rId502" Type="http://schemas.openxmlformats.org/officeDocument/2006/relationships/hyperlink" Target="https://striking-viking.com/en-gb/products/striking-viking-unscented-beard-butter-for-moisturizing-softening-daily-beard-care" TargetMode="External"/><Relationship Id="rId503" Type="http://schemas.openxmlformats.org/officeDocument/2006/relationships/hyperlink" Target="https://striking-viking.com/cdn/shop/files/preview_images/e5633e001a744211bc5b12bd22e9862c.thumbnail.0000000000_1024x1024.jpg?v=1783945120" TargetMode="External"/><Relationship Id="rId504" Type="http://schemas.openxmlformats.org/officeDocument/2006/relationships/hyperlink" Target="https://striking-viking.com/fi/products/striking-viking-unscented-beard-butter-for-moisturizing-softening-daily-beard-care" TargetMode="External"/><Relationship Id="rId505" Type="http://schemas.openxmlformats.org/officeDocument/2006/relationships/hyperlink" Target="https://striking-viking.com/cdn/shop/files/preview_images/e5633e001a744211bc5b12bd22e9862c.thumbnail.0000000000_1024x1024.jpg?v=1783945120" TargetMode="External"/><Relationship Id="rId506" Type="http://schemas.openxmlformats.org/officeDocument/2006/relationships/hyperlink" Target="https://striking-viking.com/sv/blogs/learn/41241281-the-dude" TargetMode="External"/><Relationship Id="rId507" Type="http://schemas.openxmlformats.org/officeDocument/2006/relationships/hyperlink" Target="https://striking-viking.com/de/products/bartbalsam-zitrus" TargetMode="External"/><Relationship Id="rId508" Type="http://schemas.openxmlformats.org/officeDocument/2006/relationships/hyperlink" Target="https://striking-viking.com/cdn/shop/files/preview_images/54420569ea0440298c3f837092838622.thumbnail.0000000000_1024x1024.jpg?v=1786600582" TargetMode="External"/><Relationship Id="rId509" Type="http://schemas.openxmlformats.org/officeDocument/2006/relationships/hyperlink" Target="https://striking-viking.com/fr/products/striking-viking-beard-shampoo-with-natural-peppermint-eucalyptus-for-refreshing-beard-care" TargetMode="External"/><Relationship Id="rId510" Type="http://schemas.openxmlformats.org/officeDocument/2006/relationships/hyperlink" Target="https://striking-viking.com/cdn/shop/files/preview_images/133175d72f9a4cf5aaecad8194713d87.thumbnail.0000000000_1024x1024.jpg?v=1783943838" TargetMode="External"/><Relationship Id="rId511" Type="http://schemas.openxmlformats.org/officeDocument/2006/relationships/hyperlink" Target="https://striking-viking.com/it/products/striking-viking-citrus-beard-balm" TargetMode="External"/><Relationship Id="rId512" Type="http://schemas.openxmlformats.org/officeDocument/2006/relationships/hyperlink" Target="https://striking-viking.com/cdn/shop/files/preview_images/54420569ea0440298c3f837092838622.thumbnail.0000000000_1024x1024.jpg?v=1786600582" TargetMode="External"/><Relationship Id="rId513" Type="http://schemas.openxmlformats.org/officeDocument/2006/relationships/hyperlink" Target="https://striking-viking.com/sv/products/charlemagne-round-hair-brush-for-men-professional-styling-brush-for-volume-blow-drying" TargetMode="External"/><Relationship Id="rId514" Type="http://schemas.openxmlformats.org/officeDocument/2006/relationships/hyperlink" Target="https://striking-viking.com/cdn/shop/files/preview_images/ea71e2ed828246ed942cb9b167fb5a7e.thumbnail.0000000000_1024x1024.jpg?v=1783948364" TargetMode="External"/><Relationship Id="rId515" Type="http://schemas.openxmlformats.org/officeDocument/2006/relationships/hyperlink" Target="https://striking-viking.com/sv/blogs/learn/41234689-brian-wilson" TargetMode="External"/><Relationship Id="rId516" Type="http://schemas.openxmlformats.org/officeDocument/2006/relationships/hyperlink" Target="https://striking-viking.com/sv/products/charlemagne-carbon-hair-comb-for-men-professional-heat-resistant-styling-detangling-comb" TargetMode="External"/><Relationship Id="rId517" Type="http://schemas.openxmlformats.org/officeDocument/2006/relationships/hyperlink" Target="https://striking-viking.com/cdn/shop/files/preview_images/ea71e2ed828246ed942cb9b167fb5a7e.thumbnail.0000000000_1024x1024.jpg?v=1783948364" TargetMode="External"/><Relationship Id="rId518" Type="http://schemas.openxmlformats.org/officeDocument/2006/relationships/hyperlink" Target="https://striking-viking.com/no/blogs/learn/41241281-the-dude" TargetMode="External"/><Relationship Id="rId519" Type="http://schemas.openxmlformats.org/officeDocument/2006/relationships/hyperlink" Target="https://striking-viking.com/de/products/charlemagne-original-hair-pomade-for-men-strong-hold-water-based-styling-pomade-100ml" TargetMode="External"/><Relationship Id="rId520" Type="http://schemas.openxmlformats.org/officeDocument/2006/relationships/hyperlink" Target="https://striking-viking.com/cdn/shop/files/preview_images/ea71e2ed828246ed942cb9b167fb5a7e.thumbnail.0000000000_1024x1024.jpg?v=1783948364" TargetMode="External"/><Relationship Id="rId521" Type="http://schemas.openxmlformats.org/officeDocument/2006/relationships/hyperlink" Target="https://striking-viking.com/no/products/striking-viking-unscented-beard-butter-for-moisturizing-softening-daily-beard-care" TargetMode="External"/><Relationship Id="rId522" Type="http://schemas.openxmlformats.org/officeDocument/2006/relationships/hyperlink" Target="https://striking-viking.com/cdn/shop/files/preview_images/e5633e001a744211bc5b12bd22e9862c.thumbnail.0000000000_1024x1024.jpg?v=1783945120" TargetMode="External"/><Relationship Id="rId523" Type="http://schemas.openxmlformats.org/officeDocument/2006/relationships/hyperlink" Target="https://striking-viking.com/fr/products/striking-viking-beard-growth-oil-with-biotin-sandalwood" TargetMode="External"/><Relationship Id="rId524" Type="http://schemas.openxmlformats.org/officeDocument/2006/relationships/hyperlink" Target="https://striking-viking.com/cdn/shop/files/preview_images/032fdd356ead42c19de3ca802ac3a37b.thumbnail.0000000000_1024x1024.jpg?v=1786599587" TargetMode="External"/><Relationship Id="rId525" Type="http://schemas.openxmlformats.org/officeDocument/2006/relationships/hyperlink" Target="https://striking-viking.com/es/products/striking-viking-citrus-beard-balm" TargetMode="External"/><Relationship Id="rId526" Type="http://schemas.openxmlformats.org/officeDocument/2006/relationships/hyperlink" Target="https://striking-viking.com/cdn/shop/files/preview_images/54420569ea0440298c3f837092838622.thumbnail.0000000000_1024x1024.jpg?v=1786600582" TargetMode="External"/><Relationship Id="rId527" Type="http://schemas.openxmlformats.org/officeDocument/2006/relationships/hyperlink" Target="https://striking-viking.com/en-ca/products/charlemagne-carbon-hair-comb-for-men-professional-heat-resistant-styling-detangling-comb" TargetMode="External"/><Relationship Id="rId528" Type="http://schemas.openxmlformats.org/officeDocument/2006/relationships/hyperlink" Target="https://striking-viking.com/cdn/shop/files/preview_images/ea71e2ed828246ed942cb9b167fb5a7e.thumbnail.0000000000_1024x1024.jpg?v=1783948364" TargetMode="External"/><Relationship Id="rId529" Type="http://schemas.openxmlformats.org/officeDocument/2006/relationships/hyperlink" Target="https://striking-viking.com/fr/products/striking-viking-sandalwood-beard-balm" TargetMode="External"/><Relationship Id="rId530" Type="http://schemas.openxmlformats.org/officeDocument/2006/relationships/hyperlink" Target="https://striking-viking.com/cdn/shop/files/preview_images/61498a206a02426392439b9e42809c58.thumbnail.0000000000_1024x1024.jpg?v=1786600477" TargetMode="External"/><Relationship Id="rId531" Type="http://schemas.openxmlformats.org/officeDocument/2006/relationships/hyperlink" Target="https://striking-viking.com/fr-ca/products/striking-viking-beard-balm-variety-4-pack-citrus-vanilla-cedarwood-sandalwood" TargetMode="External"/><Relationship Id="rId532" Type="http://schemas.openxmlformats.org/officeDocument/2006/relationships/hyperlink" Target="https://striking-viking.com/cdn/shop/files/preview_images/48bcbed35d964c5e8dffe8424e4076a8.thumbnail.0000000000_1024x1024.jpg?v=1786601016" TargetMode="External"/><Relationship Id="rId533" Type="http://schemas.openxmlformats.org/officeDocument/2006/relationships/hyperlink" Target="https://striking-viking.com/de/products/bartbalsam-geruchsneutral" TargetMode="External"/><Relationship Id="rId534" Type="http://schemas.openxmlformats.org/officeDocument/2006/relationships/hyperlink" Target="https://striking-viking.com/cdn/shop/files/preview_images/0ebc618aebb84e839189ab492bd964c1.thumbnail.0000000000_1024x1024.jpg?v=1786615713" TargetMode="External"/><Relationship Id="rId535" Type="http://schemas.openxmlformats.org/officeDocument/2006/relationships/hyperlink" Target="https://striking-viking.com/en-gb/products/striking-viking-beard-growth-oil-with-biotin-sandalwood" TargetMode="External"/><Relationship Id="rId536" Type="http://schemas.openxmlformats.org/officeDocument/2006/relationships/hyperlink" Target="https://striking-viking.com/cdn/shop/files/preview_images/032fdd356ead42c19de3ca802ac3a37b.thumbnail.0000000000_1024x1024.jpg?v=1786599587" TargetMode="External"/><Relationship Id="rId537" Type="http://schemas.openxmlformats.org/officeDocument/2006/relationships/hyperlink" Target="https://striking-viking.com/es/products/striking-viking-citrus-beard-oil" TargetMode="External"/><Relationship Id="rId538" Type="http://schemas.openxmlformats.org/officeDocument/2006/relationships/hyperlink" Target="https://striking-viking.com/cdn/shop/files/preview_images/59360cd09ea240a0b2661030d5829c72.thumbnail.0000000000_1024x1024.jpg?v=1786601332" TargetMode="External"/><Relationship Id="rId539" Type="http://schemas.openxmlformats.org/officeDocument/2006/relationships/hyperlink" Target="https://striking-viking.com/fr-ca/products/striking-viking-unscented-beard-balm-natural-beard-styling-conditioning" TargetMode="External"/><Relationship Id="rId540" Type="http://schemas.openxmlformats.org/officeDocument/2006/relationships/hyperlink" Target="https://striking-viking.com/cdn/shop/files/preview_images/0ebc618aebb84e839189ab492bd964c1.thumbnail.0000000000_1024x1024.jpg?v=1786615713" TargetMode="External"/><Relationship Id="rId541" Type="http://schemas.openxmlformats.org/officeDocument/2006/relationships/hyperlink" Target="https://striking-viking.com/no/products/striking-viking-unscented-beard-balm-natural-beard-styling-conditioning" TargetMode="External"/><Relationship Id="rId542" Type="http://schemas.openxmlformats.org/officeDocument/2006/relationships/hyperlink" Target="https://striking-viking.com/cdn/shop/files/preview_images/0ebc618aebb84e839189ab492bd964c1.thumbnail.0000000000_1024x1024.jpg?v=1786615713" TargetMode="External"/><Relationship Id="rId543" Type="http://schemas.openxmlformats.org/officeDocument/2006/relationships/hyperlink" Target="https://striking-viking.com/products/striking-viking-citrus-beard-oil" TargetMode="External"/><Relationship Id="rId544" Type="http://schemas.openxmlformats.org/officeDocument/2006/relationships/hyperlink" Target="https://striking-viking.com/cdn/shop/files/preview_images/59360cd09ea240a0b2661030d5829c72.thumbnail.0000000000_1024x1024.jpg?v=1786601332" TargetMode="External"/><Relationship Id="rId545" Type="http://schemas.openxmlformats.org/officeDocument/2006/relationships/hyperlink" Target="https://striking-viking.com/it/products/charlemagne-carbon-wide-tooth-comb-for-men-heat-resistant-carbon-fiber-hair-comb" TargetMode="External"/><Relationship Id="rId546" Type="http://schemas.openxmlformats.org/officeDocument/2006/relationships/hyperlink" Target="https://striking-viking.com/cdn/shop/files/preview_images/ea71e2ed828246ed942cb9b167fb5a7e.thumbnail.0000000000_1024x1024.jpg?v=1783948364" TargetMode="External"/><Relationship Id="rId547" Type="http://schemas.openxmlformats.org/officeDocument/2006/relationships/hyperlink" Target="https://striking-viking.com/fr-ca/products/striking-viking-sandalwood-beard-balm" TargetMode="External"/><Relationship Id="rId548" Type="http://schemas.openxmlformats.org/officeDocument/2006/relationships/hyperlink" Target="https://striking-viking.com/cdn/shop/files/preview_images/61498a206a02426392439b9e42809c58.thumbnail.0000000000_1024x1024.jpg?v=1786600477" TargetMode="External"/><Relationship Id="rId549" Type="http://schemas.openxmlformats.org/officeDocument/2006/relationships/hyperlink" Target="https://striking-viking.com/sv/products/striking-viking-sandalwood-beard-oil" TargetMode="External"/><Relationship Id="rId550" Type="http://schemas.openxmlformats.org/officeDocument/2006/relationships/hyperlink" Target="https://striking-viking.com/cdn/shop/files/preview_images/694214d8b7b34d50be83f74012b962d8.thumbnail.0000000000_1024x1024.jpg?v=1786601440" TargetMode="External"/><Relationship Id="rId551" Type="http://schemas.openxmlformats.org/officeDocument/2006/relationships/hyperlink" Target="https://striking-viking.com/no/products/striking-viking-beard-oil-variety-4-pack-citrus-vanilla-cedarwood-sandalwood" TargetMode="External"/><Relationship Id="rId552" Type="http://schemas.openxmlformats.org/officeDocument/2006/relationships/hyperlink" Target="https://striking-viking.com/cdn/shop/files/preview_images/2aac013d604940b58d3cb008c2f75bb9.thumbnail.0000000000_1024x1024.jpg?v=1786600897" TargetMode="External"/><Relationship Id="rId553" Type="http://schemas.openxmlformats.org/officeDocument/2006/relationships/hyperlink" Target="https://striking-viking.com/en-ca/products/striking-viking-sandalwood-beard-oil" TargetMode="External"/><Relationship Id="rId554" Type="http://schemas.openxmlformats.org/officeDocument/2006/relationships/hyperlink" Target="https://striking-viking.com/cdn/shop/files/preview_images/694214d8b7b34d50be83f74012b962d8.thumbnail.0000000000_1024x1024.jpg?v=1786601440" TargetMode="External"/><Relationship Id="rId555" Type="http://schemas.openxmlformats.org/officeDocument/2006/relationships/hyperlink" Target="https://striking-viking.com/fr-ca/products/striking-viking-citrus-beard-oil" TargetMode="External"/><Relationship Id="rId556" Type="http://schemas.openxmlformats.org/officeDocument/2006/relationships/hyperlink" Target="https://striking-viking.com/cdn/shop/files/preview_images/59360cd09ea240a0b2661030d5829c72.thumbnail.0000000000_1024x1024.jpg?v=1786601332" TargetMode="External"/><Relationship Id="rId557" Type="http://schemas.openxmlformats.org/officeDocument/2006/relationships/hyperlink" Target="https://striking-viking.com/fi/products/striking-viking-vanilla-beard-balm" TargetMode="External"/><Relationship Id="rId558" Type="http://schemas.openxmlformats.org/officeDocument/2006/relationships/hyperlink" Target="https://striking-viking.com/cdn/shop/files/preview_images/654292f4a09e42b6b95c9ef48340e293.thumbnail.0000000000_1024x1024.jpg?v=1786600236" TargetMode="External"/><Relationship Id="rId559" Type="http://schemas.openxmlformats.org/officeDocument/2006/relationships/hyperlink" Target="https://striking-viking.com/es/products/striking-viking-folding-wooden-comb-sandalwood-beard-hair-comb" TargetMode="External"/><Relationship Id="rId560" Type="http://schemas.openxmlformats.org/officeDocument/2006/relationships/hyperlink" Target="https://striking-viking.com/cdn/shop/files/preview_images/3b2d1290045c417e8b589a319a2e2fbf.thumbnail.0000000000_1024x1024.jpg?v=1786616279" TargetMode="External"/><Relationship Id="rId561" Type="http://schemas.openxmlformats.org/officeDocument/2006/relationships/hyperlink" Target="https://striking-viking.com/fr/products/charlemagne-original-hair-pomade-for-men-strong-hold-water-based-styling-pomade-100ml" TargetMode="External"/><Relationship Id="rId562" Type="http://schemas.openxmlformats.org/officeDocument/2006/relationships/hyperlink" Target="https://striking-viking.com/cdn/shop/files/preview_images/ea71e2ed828246ed942cb9b167fb5a7e.thumbnail.0000000000_1024x1024.jpg?v=1783948364" TargetMode="External"/><Relationship Id="rId563" Type="http://schemas.openxmlformats.org/officeDocument/2006/relationships/hyperlink" Target="https://striking-viking.com/sv/products/sandalwood-wooden-beard-comb-black-striking-viking" TargetMode="External"/><Relationship Id="rId564" Type="http://schemas.openxmlformats.org/officeDocument/2006/relationships/hyperlink" Target="https://striking-viking.com/cdn/shop/files/preview_images/630e16646ea940d38a7dbfb0a14c8ee6.thumbnail.0000000000_1024x1024.jpg?v=1786617599" TargetMode="External"/><Relationship Id="rId565" Type="http://schemas.openxmlformats.org/officeDocument/2006/relationships/hyperlink" Target="https://striking-viking.com/es/products/striking-viking-unscented-beard-butter-for-moisturizing-softening-daily-beard-care" TargetMode="External"/><Relationship Id="rId566" Type="http://schemas.openxmlformats.org/officeDocument/2006/relationships/hyperlink" Target="https://striking-viking.com/cdn/shop/files/preview_images/e5633e001a744211bc5b12bd22e9862c.thumbnail.0000000000_1024x1024.jpg?v=1783945120" TargetMode="External"/><Relationship Id="rId567" Type="http://schemas.openxmlformats.org/officeDocument/2006/relationships/hyperlink" Target="https://striking-viking.com/no/products/charlemagne-round-hair-brush-for-men-professional-styling-brush-for-volume-blow-drying" TargetMode="External"/><Relationship Id="rId568" Type="http://schemas.openxmlformats.org/officeDocument/2006/relationships/hyperlink" Target="https://striking-viking.com/cdn/shop/files/preview_images/ea71e2ed828246ed942cb9b167fb5a7e.thumbnail.0000000000_1024x1024.jpg?v=1783948364" TargetMode="External"/><Relationship Id="rId569" Type="http://schemas.openxmlformats.org/officeDocument/2006/relationships/hyperlink" Target="https://striking-viking.com/fr/products/striking-viking-unscented-beard-balm-natural-beard-styling-conditioning" TargetMode="External"/><Relationship Id="rId570" Type="http://schemas.openxmlformats.org/officeDocument/2006/relationships/hyperlink" Target="https://striking-viking.com/cdn/shop/files/preview_images/0ebc618aebb84e839189ab492bd964c1.thumbnail.0000000000_1024x1024.jpg?v=1786615713" TargetMode="External"/><Relationship Id="rId571" Type="http://schemas.openxmlformats.org/officeDocument/2006/relationships/hyperlink" Target="https://striking-viking.com/fi/blogs/learn/41234689-brian-wilson" TargetMode="External"/><Relationship Id="rId572" Type="http://schemas.openxmlformats.org/officeDocument/2006/relationships/hyperlink" Target="https://striking-viking.com/it/blogs/learn/41241281-the-dude" TargetMode="External"/><Relationship Id="rId573" Type="http://schemas.openxmlformats.org/officeDocument/2006/relationships/hyperlink" Target="https://striking-viking.com/sv/products/striking-viking-citrus-beard-balm" TargetMode="External"/><Relationship Id="rId574" Type="http://schemas.openxmlformats.org/officeDocument/2006/relationships/hyperlink" Target="https://striking-viking.com/cdn/shop/files/preview_images/54420569ea0440298c3f837092838622.thumbnail.0000000000_1024x1024.jpg?v=1786600582" TargetMode="External"/><Relationship Id="rId575" Type="http://schemas.openxmlformats.org/officeDocument/2006/relationships/hyperlink" Target="https://striking-viking.com/en-ca/blogs/learn/41241281-the-dude" TargetMode="External"/><Relationship Id="rId576" Type="http://schemas.openxmlformats.org/officeDocument/2006/relationships/hyperlink" Target="https://striking-viking.com/no/products/striking-viking-beard-balm-variety-4-pack-citrus-vanilla-cedarwood-sandalwood" TargetMode="External"/><Relationship Id="rId577" Type="http://schemas.openxmlformats.org/officeDocument/2006/relationships/hyperlink" Target="https://striking-viking.com/cdn/shop/files/preview_images/48bcbed35d964c5e8dffe8424e4076a8.thumbnail.0000000000_1024x1024.jpg?v=1786601016" TargetMode="External"/><Relationship Id="rId578" Type="http://schemas.openxmlformats.org/officeDocument/2006/relationships/hyperlink" Target="https://striking-viking.com/de/products/bartwuchsol-biotin" TargetMode="External"/><Relationship Id="rId579" Type="http://schemas.openxmlformats.org/officeDocument/2006/relationships/hyperlink" Target="https://striking-viking.com/cdn/shop/files/preview_images/032fdd356ead42c19de3ca802ac3a37b.thumbnail.0000000000_1024x1024.jpg?v=1786599587" TargetMode="External"/><Relationship Id="rId580" Type="http://schemas.openxmlformats.org/officeDocument/2006/relationships/hyperlink" Target="https://striking-viking.com/sv/products/striking-viking-beard-balm-variety-4-pack-citrus-vanilla-cedarwood-sandalwood" TargetMode="External"/><Relationship Id="rId581" Type="http://schemas.openxmlformats.org/officeDocument/2006/relationships/hyperlink" Target="https://striking-viking.com/cdn/shop/files/preview_images/48bcbed35d964c5e8dffe8424e4076a8.thumbnail.0000000000_1024x1024.jpg?v=1786601016" TargetMode="External"/><Relationship Id="rId582" Type="http://schemas.openxmlformats.org/officeDocument/2006/relationships/hyperlink" Target="https://striking-viking.com/sv/products/striking-viking-unscented-beard-butter-for-moisturizing-softening-daily-beard-care" TargetMode="External"/><Relationship Id="rId583" Type="http://schemas.openxmlformats.org/officeDocument/2006/relationships/hyperlink" Target="https://striking-viking.com/cdn/shop/files/preview_images/e5633e001a744211bc5b12bd22e9862c.thumbnail.0000000000_1024x1024.jpg?v=1783945120" TargetMode="External"/><Relationship Id="rId584" Type="http://schemas.openxmlformats.org/officeDocument/2006/relationships/hyperlink" Target="https://striking-viking.com/fr-ca/blogs/learn/41241281-the-dude" TargetMode="External"/><Relationship Id="rId585" Type="http://schemas.openxmlformats.org/officeDocument/2006/relationships/hyperlink" Target="https://striking-viking.com/no/products/charlemagne-carbon-wide-tooth-comb-for-men-heat-resistant-carbon-fiber-hair-comb" TargetMode="External"/><Relationship Id="rId586" Type="http://schemas.openxmlformats.org/officeDocument/2006/relationships/hyperlink" Target="https://striking-viking.com/cdn/shop/files/preview_images/ea71e2ed828246ed942cb9b167fb5a7e.thumbnail.0000000000_1024x1024.jpg?v=1783948364" TargetMode="External"/><Relationship Id="rId587" Type="http://schemas.openxmlformats.org/officeDocument/2006/relationships/hyperlink" Target="https://striking-viking.com/sv/products/striking-viking-sandalwood-wooden-beard-comb-brown" TargetMode="External"/><Relationship Id="rId588" Type="http://schemas.openxmlformats.org/officeDocument/2006/relationships/hyperlink" Target="https://striking-viking.com/cdn/shop/files/preview_images/32f6dad1813c4e97ac84d74390b8e3ba.thumbnail.0000000000_1024x1024.jpg?v=1786604633" TargetMode="External"/><Relationship Id="rId589" Type="http://schemas.openxmlformats.org/officeDocument/2006/relationships/hyperlink" Target="https://striking-viking.com/fr-ca/products/charlemagne-original-hair-pomade-for-men-strong-hold-water-based-styling-pomade-100ml" TargetMode="External"/><Relationship Id="rId590" Type="http://schemas.openxmlformats.org/officeDocument/2006/relationships/hyperlink" Target="https://striking-viking.com/cdn/shop/files/preview_images/ea71e2ed828246ed942cb9b167fb5a7e.thumbnail.0000000000_1024x1024.jpg?v=1783948364" TargetMode="External"/><Relationship Id="rId591" Type="http://schemas.openxmlformats.org/officeDocument/2006/relationships/hyperlink" Target="https://striking-viking.com/no/products/striking-viking-citrus-beard-oil" TargetMode="External"/><Relationship Id="rId592" Type="http://schemas.openxmlformats.org/officeDocument/2006/relationships/hyperlink" Target="https://striking-viking.com/cdn/shop/files/preview_images/59360cd09ea240a0b2661030d5829c72.thumbnail.0000000000_1024x1024.jpg?v=1786601332" TargetMode="External"/><Relationship Id="rId593" Type="http://schemas.openxmlformats.org/officeDocument/2006/relationships/hyperlink" Target="https://striking-viking.com/no/products/charlemagne-carbon-hair-comb-for-men-professional-heat-resistant-styling-detangling-comb" TargetMode="External"/><Relationship Id="rId594" Type="http://schemas.openxmlformats.org/officeDocument/2006/relationships/hyperlink" Target="https://striking-viking.com/cdn/shop/files/preview_images/ea71e2ed828246ed942cb9b167fb5a7e.thumbnail.0000000000_1024x1024.jpg?v=1783948364" TargetMode="External"/><Relationship Id="rId595" Type="http://schemas.openxmlformats.org/officeDocument/2006/relationships/hyperlink" Target="https://striking-viking.com/es/products/striking-viking-beard-balm-variety-4-pack-citrus-vanilla-cedarwood-sandalwood" TargetMode="External"/><Relationship Id="rId596" Type="http://schemas.openxmlformats.org/officeDocument/2006/relationships/hyperlink" Target="https://striking-viking.com/cdn/shop/files/preview_images/48bcbed35d964c5e8dffe8424e4076a8.thumbnail.0000000000_1024x1024.jpg?v=1786601016" TargetMode="External"/><Relationship Id="rId597" Type="http://schemas.openxmlformats.org/officeDocument/2006/relationships/hyperlink" Target="https://striking-viking.com/no/products/striking-viking-beard-shampoo-with-natural-peppermint-eucalyptus-for-refreshing-beard-care" TargetMode="External"/><Relationship Id="rId598" Type="http://schemas.openxmlformats.org/officeDocument/2006/relationships/hyperlink" Target="https://striking-viking.com/cdn/shop/files/preview_images/133175d72f9a4cf5aaecad8194713d87.thumbnail.0000000000_1024x1024.jpg?v=1783943838" TargetMode="External"/><Relationship Id="rId599" Type="http://schemas.openxmlformats.org/officeDocument/2006/relationships/hyperlink" Target="https://striking-viking.com/en-gb/products/striking-viking-cedarwood-beard-balm" TargetMode="External"/><Relationship Id="rId600" Type="http://schemas.openxmlformats.org/officeDocument/2006/relationships/hyperlink" Target="https://striking-viking.com/cdn/shop/files/preview_images/c89d3523362c428dade03256b113e919.thumbnail.0000000000_1024x1024.jpg?v=1786600350" TargetMode="External"/><Relationship Id="rId601" Type="http://schemas.openxmlformats.org/officeDocument/2006/relationships/hyperlink" Target="https://striking-viking.com/fi/products/striking-viking-beard-growth-oil-with-biotin-sandalwood" TargetMode="External"/><Relationship Id="rId602" Type="http://schemas.openxmlformats.org/officeDocument/2006/relationships/hyperlink" Target="https://striking-viking.com/cdn/shop/files/preview_images/032fdd356ead42c19de3ca802ac3a37b.thumbnail.0000000000_1024x1024.jpg?v=1786599587" TargetMode="External"/><Relationship Id="rId603" Type="http://schemas.openxmlformats.org/officeDocument/2006/relationships/hyperlink" Target="https://striking-viking.com/it/products/striking-viking-beard-shampoo-with-natural-peppermint-eucalyptus-for-refreshing-beard-care" TargetMode="External"/><Relationship Id="rId604" Type="http://schemas.openxmlformats.org/officeDocument/2006/relationships/hyperlink" Target="https://striking-viking.com/cdn/shop/files/preview_images/133175d72f9a4cf5aaecad8194713d87.thumbnail.0000000000_1024x1024.jpg?v=1783943838" TargetMode="External"/><Relationship Id="rId605" Type="http://schemas.openxmlformats.org/officeDocument/2006/relationships/hyperlink" Target="https://striking-viking.com/fr-ca/products/striking-viking-unscented-beard-oil-natural-organic-beard-care" TargetMode="External"/><Relationship Id="rId606" Type="http://schemas.openxmlformats.org/officeDocument/2006/relationships/hyperlink" Target="https://striking-viking.com/cdn/shop/files/preview_images/8a045c5fae8942ea962f142b6e25d24a.thumbnail.0000000000_1024x1024.jpg?v=1786610842" TargetMode="External"/><Relationship Id="rId607" Type="http://schemas.openxmlformats.org/officeDocument/2006/relationships/hyperlink" Target="https://striking-viking.com/es/products/striking-viking-sandalwood-wooden-beard-comb-brown" TargetMode="External"/><Relationship Id="rId608" Type="http://schemas.openxmlformats.org/officeDocument/2006/relationships/hyperlink" Target="https://striking-viking.com/cdn/shop/files/preview_images/32f6dad1813c4e97ac84d74390b8e3ba.thumbnail.0000000000_1024x1024.jpg?v=1786604633" TargetMode="External"/><Relationship Id="rId609" Type="http://schemas.openxmlformats.org/officeDocument/2006/relationships/hyperlink" Target="https://striking-viking.com/en-ca/products/striking-viking-citrus-beard-oil" TargetMode="External"/><Relationship Id="rId610" Type="http://schemas.openxmlformats.org/officeDocument/2006/relationships/hyperlink" Target="https://striking-viking.com/cdn/shop/files/preview_images/59360cd09ea240a0b2661030d5829c72.thumbnail.0000000000_1024x1024.jpg?v=1786601332" TargetMode="External"/>
</Relationships>
</file>

<file path=xl/worksheets/_rels/sheet39.xml.rels><?xml version="1.0" encoding="UTF-8"?>
<Relationships xmlns="http://schemas.openxmlformats.org/package/2006/relationships"><Relationship Id="rId1" Type="http://schemas.openxmlformats.org/officeDocument/2006/relationships/hyperlink" Target="https://striking-viking.com/de/blogs/learn/beard-grooming-quintessential-regime-for-the-modern-man" TargetMode="External"/><Relationship Id="rId2" Type="http://schemas.openxmlformats.org/officeDocument/2006/relationships/hyperlink" Target="https://vikingbeardgear.com/collections/all/products/striking-viking-wooden-beard-comb" TargetMode="External"/><Relationship Id="rId3" Type="http://schemas.openxmlformats.org/officeDocument/2006/relationships/hyperlink" Target="https://striking-viking.com/fr/blogs/learn/heads-shoulders-knees-and-toes-but-why-forget-the-beard" TargetMode="External"/><Relationship Id="rId4" Type="http://schemas.openxmlformats.org/officeDocument/2006/relationships/hyperlink" Target="https://vikingbeardgear.com/collections/all/products/striking-viking-beard-grooming-kit-for-men" TargetMode="External"/><Relationship Id="rId5" Type="http://schemas.openxmlformats.org/officeDocument/2006/relationships/hyperlink" Target="https://striking-viking.com/de/blogs/learn/why-your-beard-needs-more-than-just-a-comb" TargetMode="External"/><Relationship Id="rId6" Type="http://schemas.openxmlformats.org/officeDocument/2006/relationships/hyperlink" Target="https://vikingbeardgear.com/collections/beard-and-hair-care/products/beard-wash-shampoo-beard-conditioner-set?variant=31075723673654" TargetMode="External"/><Relationship Id="rId7" Type="http://schemas.openxmlformats.org/officeDocument/2006/relationships/hyperlink" Target="https://striking-viking.com/de/blogs/learn/heads-shoulders-knees-and-toes-but-why-forget-the-beard" TargetMode="External"/><Relationship Id="rId8" Type="http://schemas.openxmlformats.org/officeDocument/2006/relationships/hyperlink" Target="https://vikingbeardgear.com/collections/all/products/striking-viking-beard-grooming-kit-for-men" TargetMode="External"/><Relationship Id="rId9" Type="http://schemas.openxmlformats.org/officeDocument/2006/relationships/hyperlink" Target="https://striking-viking.com/en-gb/blogs/learn/beard-grooming-quintessential-regime-for-the-modern-man" TargetMode="External"/><Relationship Id="rId10" Type="http://schemas.openxmlformats.org/officeDocument/2006/relationships/hyperlink" Target="https://vikingbeardgear.com/collections/all/products/striking-viking-wooden-beard-comb" TargetMode="External"/><Relationship Id="rId11" Type="http://schemas.openxmlformats.org/officeDocument/2006/relationships/hyperlink" Target="https://striking-viking.com/sv/blogs/learn/why-your-beard-needs-more-than-just-a-comb" TargetMode="External"/><Relationship Id="rId12" Type="http://schemas.openxmlformats.org/officeDocument/2006/relationships/hyperlink" Target="https://vikingbeardgear.com/collections/beard-and-hair-care/products/beard-wash-shampoo-beard-conditioner-set?variant=31075723673654" TargetMode="External"/><Relationship Id="rId13" Type="http://schemas.openxmlformats.org/officeDocument/2006/relationships/hyperlink" Target="https://striking-viking.com/fi/blogs/learn/grooming-products-to-pamper-your-beard-flyaway" TargetMode="External"/><Relationship Id="rId14" Type="http://schemas.openxmlformats.org/officeDocument/2006/relationships/hyperlink" Target="https://vikingbeardgear.com/collections/beard-and-hair-care/products/beard-wash-shampoo-beard-conditioner-set?variant=31075723673654" TargetMode="External"/><Relationship Id="rId15" Type="http://schemas.openxmlformats.org/officeDocument/2006/relationships/hyperlink" Target="https://striking-viking.com/sv/blogs/learn/beard-grooming-quintessential-regime-for-the-modern-man" TargetMode="External"/><Relationship Id="rId16" Type="http://schemas.openxmlformats.org/officeDocument/2006/relationships/hyperlink" Target="https://vikingbeardgear.com/collections/all/products/striking-viking-wooden-beard-comb" TargetMode="External"/><Relationship Id="rId17" Type="http://schemas.openxmlformats.org/officeDocument/2006/relationships/hyperlink" Target="https://striking-viking.com/it/blogs/learn/beard-grooming-quintessential-regime-for-the-modern-man" TargetMode="External"/><Relationship Id="rId18" Type="http://schemas.openxmlformats.org/officeDocument/2006/relationships/hyperlink" Target="https://vikingbeardgear.com/collections/all/products/striking-viking-wooden-beard-comb" TargetMode="External"/><Relationship Id="rId19" Type="http://schemas.openxmlformats.org/officeDocument/2006/relationships/hyperlink" Target="https://striking-viking.com/en-ca/blogs/learn/grooming-kit-a-perfect-gift-for-the-modern-man" TargetMode="External"/><Relationship Id="rId20" Type="http://schemas.openxmlformats.org/officeDocument/2006/relationships/hyperlink" Target="https://vikingbeardgear.com/collections/viking-beard-kits/products/striking-viking-ultimate-beard-grooming-kit" TargetMode="External"/><Relationship Id="rId21" Type="http://schemas.openxmlformats.org/officeDocument/2006/relationships/hyperlink" Target="https://striking-viking.com/fi/blogs/learn/grooming-kit-a-perfect-gift-for-the-modern-man" TargetMode="External"/><Relationship Id="rId22" Type="http://schemas.openxmlformats.org/officeDocument/2006/relationships/hyperlink" Target="https://vikingbeardgear.com/collections/viking-beard-kits/products/striking-viking-ultimate-beard-grooming-kit" TargetMode="External"/><Relationship Id="rId23" Type="http://schemas.openxmlformats.org/officeDocument/2006/relationships/hyperlink" Target="https://striking-viking.com/fr-ca/blogs/learn/grooming-kit-a-perfect-gift-for-the-modern-man" TargetMode="External"/><Relationship Id="rId24" Type="http://schemas.openxmlformats.org/officeDocument/2006/relationships/hyperlink" Target="https://vikingbeardgear.com/collections/viking-beard-kits/products/striking-viking-ultimate-beard-grooming-kit" TargetMode="External"/><Relationship Id="rId25" Type="http://schemas.openxmlformats.org/officeDocument/2006/relationships/hyperlink" Target="https://striking-viking.com/blogs/learn/heads-shoulders-knees-and-toes-but-why-forget-the-beard" TargetMode="External"/><Relationship Id="rId26" Type="http://schemas.openxmlformats.org/officeDocument/2006/relationships/hyperlink" Target="https://vikingbeardgear.com/collections/all/products/striking-viking-beard-grooming-kit-for-men" TargetMode="External"/><Relationship Id="rId27" Type="http://schemas.openxmlformats.org/officeDocument/2006/relationships/hyperlink" Target="https://striking-viking.com/fr-ca/blogs/learn/heads-shoulders-knees-and-toes-but-why-forget-the-beard" TargetMode="External"/><Relationship Id="rId28" Type="http://schemas.openxmlformats.org/officeDocument/2006/relationships/hyperlink" Target="https://vikingbeardgear.com/collections/all/products/striking-viking-beard-grooming-kit-for-men" TargetMode="External"/><Relationship Id="rId29" Type="http://schemas.openxmlformats.org/officeDocument/2006/relationships/hyperlink" Target="https://striking-viking.com/fr/blogs/learn/grooming-kit-a-perfect-gift-for-the-modern-man" TargetMode="External"/><Relationship Id="rId30" Type="http://schemas.openxmlformats.org/officeDocument/2006/relationships/hyperlink" Target="https://vikingbeardgear.com/collections/viking-beard-kits/products/striking-viking-ultimate-beard-grooming-kit" TargetMode="External"/><Relationship Id="rId31" Type="http://schemas.openxmlformats.org/officeDocument/2006/relationships/hyperlink" Target="https://striking-viking.com/no/blogs/learn/beard-grooming-quintessential-regime-for-the-modern-man" TargetMode="External"/><Relationship Id="rId32" Type="http://schemas.openxmlformats.org/officeDocument/2006/relationships/hyperlink" Target="https://vikingbeardgear.com/collections/all/products/striking-viking-wooden-beard-comb" TargetMode="External"/><Relationship Id="rId33" Type="http://schemas.openxmlformats.org/officeDocument/2006/relationships/hyperlink" Target="https://striking-viking.com/blogs/learn/grooming-products-to-pamper-your-beard-flyaway" TargetMode="External"/><Relationship Id="rId34" Type="http://schemas.openxmlformats.org/officeDocument/2006/relationships/hyperlink" Target="https://vikingbeardgear.com/collections/beard-and-hair-care/products/beard-wash-shampoo-beard-conditioner-set?variant=31075723673654" TargetMode="External"/><Relationship Id="rId35" Type="http://schemas.openxmlformats.org/officeDocument/2006/relationships/hyperlink" Target="https://striking-viking.com/es/blogs/learn/why-your-beard-needs-more-than-just-a-comb" TargetMode="External"/><Relationship Id="rId36" Type="http://schemas.openxmlformats.org/officeDocument/2006/relationships/hyperlink" Target="https://vikingbeardgear.com/collections/beard-and-hair-care/products/beard-wash-shampoo-beard-conditioner-set?variant=31075723673654" TargetMode="External"/><Relationship Id="rId37" Type="http://schemas.openxmlformats.org/officeDocument/2006/relationships/hyperlink" Target="https://striking-viking.com/sv/blogs/learn/heads-shoulders-knees-and-toes-but-why-forget-the-beard" TargetMode="External"/><Relationship Id="rId38" Type="http://schemas.openxmlformats.org/officeDocument/2006/relationships/hyperlink" Target="https://vikingbeardgear.com/collections/all/products/striking-viking-ultimate-beard-grooming-kit" TargetMode="External"/><Relationship Id="rId39" Type="http://schemas.openxmlformats.org/officeDocument/2006/relationships/hyperlink" Target="https://striking-viking.com/en-ca/blogs/learn/heads-shoulders-knees-and-toes-but-why-forget-the-beard" TargetMode="External"/><Relationship Id="rId40" Type="http://schemas.openxmlformats.org/officeDocument/2006/relationships/hyperlink" Target="https://vikingbeardgear.com/collections/all/products/striking-viking-beard-grooming-kit-for-men" TargetMode="External"/><Relationship Id="rId41" Type="http://schemas.openxmlformats.org/officeDocument/2006/relationships/hyperlink" Target="https://striking-viking.com/es/blogs/learn/grooming-kit-a-perfect-gift-for-the-modern-man" TargetMode="External"/><Relationship Id="rId42" Type="http://schemas.openxmlformats.org/officeDocument/2006/relationships/hyperlink" Target="https://vikingbeardgear.com/collections/viking-beard-kits/products/striking-viking-ultimate-beard-grooming-kit" TargetMode="External"/><Relationship Id="rId43" Type="http://schemas.openxmlformats.org/officeDocument/2006/relationships/hyperlink" Target="https://striking-viking.com/fr/blogs/learn/beard-grooming-quintessential-regime-for-the-modern-man" TargetMode="External"/><Relationship Id="rId44" Type="http://schemas.openxmlformats.org/officeDocument/2006/relationships/hyperlink" Target="https://vikingbeardgear.com/collections/all/products/striking-viking-wooden-beard-comb" TargetMode="External"/><Relationship Id="rId45" Type="http://schemas.openxmlformats.org/officeDocument/2006/relationships/hyperlink" Target="https://striking-viking.com/en-gb/blogs/learn/grooming-products-to-pamper-your-beard-flyaway" TargetMode="External"/><Relationship Id="rId46" Type="http://schemas.openxmlformats.org/officeDocument/2006/relationships/hyperlink" Target="https://vikingbeardgear.com/collections/beard-and-hair-care/products/beard-wash-shampoo-beard-conditioner-set?variant=31075723673654" TargetMode="External"/><Relationship Id="rId47" Type="http://schemas.openxmlformats.org/officeDocument/2006/relationships/hyperlink" Target="https://striking-viking.com/blogs/learn/why-your-beard-needs-more-than-just-a-comb" TargetMode="External"/><Relationship Id="rId48" Type="http://schemas.openxmlformats.org/officeDocument/2006/relationships/hyperlink" Target="https://vikingbeardgear.com/collections/beard-and-hair-care/products/beard-wash-shampoo-beard-conditioner-set?variant=31075723673654" TargetMode="External"/><Relationship Id="rId49" Type="http://schemas.openxmlformats.org/officeDocument/2006/relationships/hyperlink" Target="https://striking-viking.com/fr-ca/blogs/learn/heads-shoulders-knees-and-toes-but-why-forget-the-beard" TargetMode="External"/><Relationship Id="rId50" Type="http://schemas.openxmlformats.org/officeDocument/2006/relationships/hyperlink" Target="https://vikingbeardgear.com/collections/all/products/striking-viking-ultimate-beard-grooming-kit" TargetMode="External"/><Relationship Id="rId51" Type="http://schemas.openxmlformats.org/officeDocument/2006/relationships/hyperlink" Target="https://striking-viking.com/en-gb/blogs/learn/grooming-kit-a-perfect-gift-for-the-modern-man" TargetMode="External"/><Relationship Id="rId52" Type="http://schemas.openxmlformats.org/officeDocument/2006/relationships/hyperlink" Target="https://vikingbeardgear.com/collections/viking-beard-kits/products/striking-viking-ultimate-beard-grooming-kit" TargetMode="External"/><Relationship Id="rId53" Type="http://schemas.openxmlformats.org/officeDocument/2006/relationships/hyperlink" Target="https://striking-viking.com/fi/blogs/learn/heads-shoulders-knees-and-toes-but-why-forget-the-beard" TargetMode="External"/><Relationship Id="rId54" Type="http://schemas.openxmlformats.org/officeDocument/2006/relationships/hyperlink" Target="https://vikingbeardgear.com/collections/all/products/striking-viking-ultimate-beard-grooming-kit" TargetMode="External"/><Relationship Id="rId55" Type="http://schemas.openxmlformats.org/officeDocument/2006/relationships/hyperlink" Target="https://striking-viking.com/es/blogs/learn/beard-grooming-quintessential-regime-for-the-modern-man" TargetMode="External"/><Relationship Id="rId56" Type="http://schemas.openxmlformats.org/officeDocument/2006/relationships/hyperlink" Target="https://vikingbeardgear.com/collections/all/products/striking-viking-wooden-beard-comb" TargetMode="External"/><Relationship Id="rId57" Type="http://schemas.openxmlformats.org/officeDocument/2006/relationships/hyperlink" Target="https://striking-viking.com/en-ca/blogs/learn/grooming-products-to-pamper-your-beard-flyaway" TargetMode="External"/><Relationship Id="rId58" Type="http://schemas.openxmlformats.org/officeDocument/2006/relationships/hyperlink" Target="https://vikingbeardgear.com/collections/beard-and-hair-care/products/beard-wash-shampoo-beard-conditioner-set?variant=31075723673654" TargetMode="External"/><Relationship Id="rId59" Type="http://schemas.openxmlformats.org/officeDocument/2006/relationships/hyperlink" Target="https://striking-viking.com/en-ca/blogs/learn/heads-shoulders-knees-and-toes-but-why-forget-the-beard" TargetMode="External"/><Relationship Id="rId60" Type="http://schemas.openxmlformats.org/officeDocument/2006/relationships/hyperlink" Target="https://vikingbeardgear.com/collections/all/products/striking-viking-ultimate-beard-grooming-kit" TargetMode="External"/><Relationship Id="rId61" Type="http://schemas.openxmlformats.org/officeDocument/2006/relationships/hyperlink" Target="https://striking-viking.com/it/blogs/learn/grooming-kit-a-perfect-gift-for-the-modern-man" TargetMode="External"/><Relationship Id="rId62" Type="http://schemas.openxmlformats.org/officeDocument/2006/relationships/hyperlink" Target="https://vikingbeardgear.com/collections/viking-beard-kits/products/striking-viking-ultimate-beard-grooming-kit" TargetMode="External"/><Relationship Id="rId63" Type="http://schemas.openxmlformats.org/officeDocument/2006/relationships/hyperlink" Target="https://striking-viking.com/de/blogs/learn/grooming-kit-a-perfect-gift-for-the-modern-man" TargetMode="External"/><Relationship Id="rId64" Type="http://schemas.openxmlformats.org/officeDocument/2006/relationships/hyperlink" Target="https://vikingbeardgear.com/collections/viking-beard-kits/products/striking-viking-ultimate-beard-grooming-kit" TargetMode="External"/><Relationship Id="rId65" Type="http://schemas.openxmlformats.org/officeDocument/2006/relationships/hyperlink" Target="https://striking-viking.com/blogs/learn/heads-shoulders-knees-and-toes-but-why-forget-the-beard" TargetMode="External"/><Relationship Id="rId66" Type="http://schemas.openxmlformats.org/officeDocument/2006/relationships/hyperlink" Target="https://vikingbeardgear.com/collections/all/products/striking-viking-ultimate-beard-grooming-kit" TargetMode="External"/><Relationship Id="rId67" Type="http://schemas.openxmlformats.org/officeDocument/2006/relationships/hyperlink" Target="https://striking-viking.com/blogs/learn/beard-grooming-quintessential-regime-for-the-modern-man" TargetMode="External"/><Relationship Id="rId68" Type="http://schemas.openxmlformats.org/officeDocument/2006/relationships/hyperlink" Target="https://vikingbeardgear.com/collections/all/products/striking-viking-wooden-beard-comb" TargetMode="External"/><Relationship Id="rId69" Type="http://schemas.openxmlformats.org/officeDocument/2006/relationships/hyperlink" Target="https://striking-viking.com/es/blogs/learn/heads-shoulders-knees-and-toes-but-why-forget-the-beard" TargetMode="External"/><Relationship Id="rId70" Type="http://schemas.openxmlformats.org/officeDocument/2006/relationships/hyperlink" Target="https://vikingbeardgear.com/collections/all/products/striking-viking-ultimate-beard-grooming-kit" TargetMode="External"/><Relationship Id="rId71" Type="http://schemas.openxmlformats.org/officeDocument/2006/relationships/hyperlink" Target="https://striking-viking.com/it/blogs/learn/heads-shoulders-knees-and-toes-but-why-forget-the-beard" TargetMode="External"/><Relationship Id="rId72" Type="http://schemas.openxmlformats.org/officeDocument/2006/relationships/hyperlink" Target="https://vikingbeardgear.com/collections/all/products/striking-viking-beard-grooming-kit-for-men" TargetMode="External"/><Relationship Id="rId73" Type="http://schemas.openxmlformats.org/officeDocument/2006/relationships/hyperlink" Target="https://striking-viking.com/fi/blogs/learn/heads-shoulders-knees-and-toes-but-why-forget-the-beard" TargetMode="External"/><Relationship Id="rId74" Type="http://schemas.openxmlformats.org/officeDocument/2006/relationships/hyperlink" Target="https://vikingbeardgear.com/collections/all/products/striking-viking-beard-grooming-kit-for-men" TargetMode="External"/><Relationship Id="rId75" Type="http://schemas.openxmlformats.org/officeDocument/2006/relationships/hyperlink" Target="https://striking-viking.com/fr/blogs/learn/why-your-beard-needs-more-than-just-a-comb" TargetMode="External"/><Relationship Id="rId76" Type="http://schemas.openxmlformats.org/officeDocument/2006/relationships/hyperlink" Target="https://vikingbeardgear.com/collections/beard-and-hair-care/products/beard-wash-shampoo-beard-conditioner-set?variant=31075723673654" TargetMode="External"/><Relationship Id="rId77" Type="http://schemas.openxmlformats.org/officeDocument/2006/relationships/hyperlink" Target="https://striking-viking.com/en-gb/blogs/learn/heads-shoulders-knees-and-toes-but-why-forget-the-beard" TargetMode="External"/><Relationship Id="rId78" Type="http://schemas.openxmlformats.org/officeDocument/2006/relationships/hyperlink" Target="https://vikingbeardgear.com/collections/all/products/striking-viking-ultimate-beard-grooming-kit" TargetMode="External"/><Relationship Id="rId79" Type="http://schemas.openxmlformats.org/officeDocument/2006/relationships/hyperlink" Target="https://striking-viking.com/no/blogs/learn/why-your-beard-needs-more-than-just-a-comb" TargetMode="External"/><Relationship Id="rId80" Type="http://schemas.openxmlformats.org/officeDocument/2006/relationships/hyperlink" Target="https://vikingbeardgear.com/collections/beard-and-hair-care/products/beard-wash-shampoo-beard-conditioner-set?variant=31075723673654" TargetMode="External"/><Relationship Id="rId81" Type="http://schemas.openxmlformats.org/officeDocument/2006/relationships/hyperlink" Target="https://striking-viking.com/no/blogs/learn/grooming-kit-a-perfect-gift-for-the-modern-man" TargetMode="External"/><Relationship Id="rId82" Type="http://schemas.openxmlformats.org/officeDocument/2006/relationships/hyperlink" Target="https://vikingbeardgear.com/collections/viking-beard-kits/products/striking-viking-ultimate-beard-grooming-kit" TargetMode="External"/><Relationship Id="rId83" Type="http://schemas.openxmlformats.org/officeDocument/2006/relationships/hyperlink" Target="https://striking-viking.com/no/blogs/learn/grooming-products-to-pamper-your-beard-flyaway" TargetMode="External"/><Relationship Id="rId84" Type="http://schemas.openxmlformats.org/officeDocument/2006/relationships/hyperlink" Target="https://vikingbeardgear.com/collections/beard-and-hair-care/products/beard-wash-shampoo-beard-conditioner-set?variant=31075723673654" TargetMode="External"/><Relationship Id="rId85" Type="http://schemas.openxmlformats.org/officeDocument/2006/relationships/hyperlink" Target="https://striking-viking.com/es/blogs/learn/heads-shoulders-knees-and-toes-but-why-forget-the-beard" TargetMode="External"/><Relationship Id="rId86" Type="http://schemas.openxmlformats.org/officeDocument/2006/relationships/hyperlink" Target="https://vikingbeardgear.com/collections/all/products/striking-viking-beard-grooming-kit-for-men" TargetMode="External"/><Relationship Id="rId87" Type="http://schemas.openxmlformats.org/officeDocument/2006/relationships/hyperlink" Target="https://striking-viking.com/en-ca/blogs/learn/why-your-beard-needs-more-than-just-a-comb" TargetMode="External"/><Relationship Id="rId88" Type="http://schemas.openxmlformats.org/officeDocument/2006/relationships/hyperlink" Target="https://vikingbeardgear.com/collections/beard-and-hair-care/products/beard-wash-shampoo-beard-conditioner-set?variant=31075723673654" TargetMode="External"/><Relationship Id="rId89" Type="http://schemas.openxmlformats.org/officeDocument/2006/relationships/hyperlink" Target="https://striking-viking.com/it/blogs/learn/heads-shoulders-knees-and-toes-but-why-forget-the-beard" TargetMode="External"/><Relationship Id="rId90" Type="http://schemas.openxmlformats.org/officeDocument/2006/relationships/hyperlink" Target="https://vikingbeardgear.com/collections/all/products/striking-viking-ultimate-beard-grooming-kit" TargetMode="External"/><Relationship Id="rId91" Type="http://schemas.openxmlformats.org/officeDocument/2006/relationships/hyperlink" Target="https://striking-viking.com/fi/blogs/learn/beard-grooming-quintessential-regime-for-the-modern-man" TargetMode="External"/><Relationship Id="rId92" Type="http://schemas.openxmlformats.org/officeDocument/2006/relationships/hyperlink" Target="https://vikingbeardgear.com/collections/all/products/striking-viking-wooden-beard-comb" TargetMode="External"/><Relationship Id="rId93" Type="http://schemas.openxmlformats.org/officeDocument/2006/relationships/hyperlink" Target="https://striking-viking.com/it/blogs/learn/why-your-beard-needs-more-than-just-a-comb" TargetMode="External"/><Relationship Id="rId94" Type="http://schemas.openxmlformats.org/officeDocument/2006/relationships/hyperlink" Target="https://vikingbeardgear.com/collections/beard-and-hair-care/products/beard-wash-shampoo-beard-conditioner-set?variant=31075723673654" TargetMode="External"/><Relationship Id="rId95" Type="http://schemas.openxmlformats.org/officeDocument/2006/relationships/hyperlink" Target="https://striking-viking.com/en-gb/blogs/learn/heads-shoulders-knees-and-toes-but-why-forget-the-beard" TargetMode="External"/><Relationship Id="rId96" Type="http://schemas.openxmlformats.org/officeDocument/2006/relationships/hyperlink" Target="https://vikingbeardgear.com/collections/all/products/striking-viking-beard-grooming-kit-for-men" TargetMode="External"/><Relationship Id="rId97" Type="http://schemas.openxmlformats.org/officeDocument/2006/relationships/hyperlink" Target="https://striking-viking.com/sv/blogs/learn/heads-shoulders-knees-and-toes-but-why-forget-the-beard" TargetMode="External"/><Relationship Id="rId98" Type="http://schemas.openxmlformats.org/officeDocument/2006/relationships/hyperlink" Target="https://vikingbeardgear.com/collections/all/products/striking-viking-beard-grooming-kit-for-men" TargetMode="External"/><Relationship Id="rId99" Type="http://schemas.openxmlformats.org/officeDocument/2006/relationships/hyperlink" Target="https://striking-viking.com/fr-ca/blogs/learn/beard-grooming-quintessential-regime-for-the-modern-man" TargetMode="External"/><Relationship Id="rId100" Type="http://schemas.openxmlformats.org/officeDocument/2006/relationships/hyperlink" Target="https://vikingbeardgear.com/collections/all/products/striking-viking-wooden-beard-comb" TargetMode="External"/><Relationship Id="rId101" Type="http://schemas.openxmlformats.org/officeDocument/2006/relationships/hyperlink" Target="https://striking-viking.com/de/blogs/learn/grooming-products-to-pamper-your-beard-flyaway" TargetMode="External"/><Relationship Id="rId102" Type="http://schemas.openxmlformats.org/officeDocument/2006/relationships/hyperlink" Target="https://vikingbeardgear.com/collections/beard-and-hair-care/products/beard-wash-shampoo-beard-conditioner-set?variant=31075723673654" TargetMode="External"/><Relationship Id="rId103" Type="http://schemas.openxmlformats.org/officeDocument/2006/relationships/hyperlink" Target="https://striking-viking.com/fr/blogs/learn/heads-shoulders-knees-and-toes-but-why-forget-the-beard" TargetMode="External"/><Relationship Id="rId104" Type="http://schemas.openxmlformats.org/officeDocument/2006/relationships/hyperlink" Target="https://vikingbeardgear.com/collections/all/products/striking-viking-ultimate-beard-grooming-kit" TargetMode="External"/><Relationship Id="rId105" Type="http://schemas.openxmlformats.org/officeDocument/2006/relationships/hyperlink" Target="https://striking-viking.com/blogs/learn/grooming-kit-a-perfect-gift-for-the-modern-man" TargetMode="External"/><Relationship Id="rId106" Type="http://schemas.openxmlformats.org/officeDocument/2006/relationships/hyperlink" Target="https://vikingbeardgear.com/collections/viking-beard-kits/products/striking-viking-ultimate-beard-grooming-kit" TargetMode="External"/><Relationship Id="rId107" Type="http://schemas.openxmlformats.org/officeDocument/2006/relationships/hyperlink" Target="https://striking-viking.com/it/blogs/learn/grooming-products-to-pamper-your-beard-flyaway" TargetMode="External"/><Relationship Id="rId108" Type="http://schemas.openxmlformats.org/officeDocument/2006/relationships/hyperlink" Target="https://vikingbeardgear.com/collections/beard-and-hair-care/products/beard-wash-shampoo-beard-conditioner-set?variant=31075723673654" TargetMode="External"/><Relationship Id="rId109" Type="http://schemas.openxmlformats.org/officeDocument/2006/relationships/hyperlink" Target="https://striking-viking.com/fr/blogs/learn/grooming-products-to-pamper-your-beard-flyaway" TargetMode="External"/><Relationship Id="rId110" Type="http://schemas.openxmlformats.org/officeDocument/2006/relationships/hyperlink" Target="https://vikingbeardgear.com/collections/beard-and-hair-care/products/beard-wash-shampoo-beard-conditioner-set?variant=31075723673654" TargetMode="External"/><Relationship Id="rId111" Type="http://schemas.openxmlformats.org/officeDocument/2006/relationships/hyperlink" Target="https://striking-viking.com/de/blogs/learn/heads-shoulders-knees-and-toes-but-why-forget-the-beard" TargetMode="External"/><Relationship Id="rId112" Type="http://schemas.openxmlformats.org/officeDocument/2006/relationships/hyperlink" Target="https://vikingbeardgear.com/collections/all/products/striking-viking-ultimate-beard-grooming-kit" TargetMode="External"/><Relationship Id="rId113" Type="http://schemas.openxmlformats.org/officeDocument/2006/relationships/hyperlink" Target="https://striking-viking.com/fr-ca/blogs/learn/why-your-beard-needs-more-than-just-a-comb" TargetMode="External"/><Relationship Id="rId114" Type="http://schemas.openxmlformats.org/officeDocument/2006/relationships/hyperlink" Target="https://vikingbeardgear.com/collections/beard-and-hair-care/products/beard-wash-shampoo-beard-conditioner-set?variant=31075723673654" TargetMode="External"/><Relationship Id="rId115" Type="http://schemas.openxmlformats.org/officeDocument/2006/relationships/hyperlink" Target="https://striking-viking.com/en-gb/blogs/learn/why-your-beard-needs-more-than-just-a-comb" TargetMode="External"/><Relationship Id="rId116" Type="http://schemas.openxmlformats.org/officeDocument/2006/relationships/hyperlink" Target="https://vikingbeardgear.com/collections/beard-and-hair-care/products/beard-wash-shampoo-beard-conditioner-set?variant=31075723673654" TargetMode="External"/><Relationship Id="rId117" Type="http://schemas.openxmlformats.org/officeDocument/2006/relationships/hyperlink" Target="https://striking-viking.com/sv/blogs/learn/grooming-kit-a-perfect-gift-for-the-modern-man" TargetMode="External"/><Relationship Id="rId118" Type="http://schemas.openxmlformats.org/officeDocument/2006/relationships/hyperlink" Target="https://vikingbeardgear.com/collections/viking-beard-kits/products/striking-viking-ultimate-beard-grooming-kit" TargetMode="External"/><Relationship Id="rId119" Type="http://schemas.openxmlformats.org/officeDocument/2006/relationships/hyperlink" Target="https://striking-viking.com/fi/blogs/learn/why-your-beard-needs-more-than-just-a-comb" TargetMode="External"/><Relationship Id="rId120" Type="http://schemas.openxmlformats.org/officeDocument/2006/relationships/hyperlink" Target="https://vikingbeardgear.com/collections/beard-and-hair-care/products/beard-wash-shampoo-beard-conditioner-set?variant=31075723673654" TargetMode="External"/><Relationship Id="rId121" Type="http://schemas.openxmlformats.org/officeDocument/2006/relationships/hyperlink" Target="https://striking-viking.com/sv/blogs/learn/grooming-products-to-pamper-your-beard-flyaway" TargetMode="External"/><Relationship Id="rId122" Type="http://schemas.openxmlformats.org/officeDocument/2006/relationships/hyperlink" Target="https://vikingbeardgear.com/collections/beard-and-hair-care/products/beard-wash-shampoo-beard-conditioner-set?variant=31075723673654" TargetMode="External"/><Relationship Id="rId123" Type="http://schemas.openxmlformats.org/officeDocument/2006/relationships/hyperlink" Target="https://striking-viking.com/no/blogs/learn/heads-shoulders-knees-and-toes-but-why-forget-the-beard" TargetMode="External"/><Relationship Id="rId124" Type="http://schemas.openxmlformats.org/officeDocument/2006/relationships/hyperlink" Target="https://vikingbeardgear.com/collections/all/products/striking-viking-ultimate-beard-grooming-kit" TargetMode="External"/><Relationship Id="rId125" Type="http://schemas.openxmlformats.org/officeDocument/2006/relationships/hyperlink" Target="https://striking-viking.com/no/blogs/learn/heads-shoulders-knees-and-toes-but-why-forget-the-beard" TargetMode="External"/><Relationship Id="rId126" Type="http://schemas.openxmlformats.org/officeDocument/2006/relationships/hyperlink" Target="https://vikingbeardgear.com/collections/all/products/striking-viking-beard-grooming-kit-for-men" TargetMode="External"/><Relationship Id="rId127" Type="http://schemas.openxmlformats.org/officeDocument/2006/relationships/hyperlink" Target="https://striking-viking.com/fr-ca/blogs/learn/grooming-products-to-pamper-your-beard-flyaway" TargetMode="External"/><Relationship Id="rId128" Type="http://schemas.openxmlformats.org/officeDocument/2006/relationships/hyperlink" Target="https://vikingbeardgear.com/collections/beard-and-hair-care/products/beard-wash-shampoo-beard-conditioner-set?variant=31075723673654" TargetMode="External"/><Relationship Id="rId129" Type="http://schemas.openxmlformats.org/officeDocument/2006/relationships/hyperlink" Target="https://striking-viking.com/en-ca/blogs/learn/beard-grooming-quintessential-regime-for-the-modern-man" TargetMode="External"/><Relationship Id="rId130" Type="http://schemas.openxmlformats.org/officeDocument/2006/relationships/hyperlink" Target="https://vikingbeardgear.com/collections/all/products/striking-viking-wooden-beard-comb" TargetMode="External"/><Relationship Id="rId131" Type="http://schemas.openxmlformats.org/officeDocument/2006/relationships/hyperlink" Target="https://striking-viking.com/es/blogs/learn/grooming-products-to-pamper-your-beard-flyaway" TargetMode="External"/><Relationship Id="rId132" Type="http://schemas.openxmlformats.org/officeDocument/2006/relationships/hyperlink" Target="https://vikingbeardgear.com/collections/beard-and-hair-care/products/beard-wash-shampoo-beard-conditioner-set?variant=3107572367365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4" min="3" style="0" width="12"/>
    <col collapsed="false" customWidth="true" hidden="false" outlineLevel="0" max="5" min="5" style="0" width="13"/>
    <col collapsed="false" customWidth="true" hidden="false" outlineLevel="0" max="6" min="6" style="0" width="26"/>
    <col collapsed="false" customWidth="true" hidden="false" outlineLevel="0" max="7" min="7" style="0" width="30"/>
    <col collapsed="false" customWidth="true" hidden="false" outlineLevel="0" max="8" min="8" style="0" width="10"/>
    <col collapsed="false" customWidth="true" hidden="false" outlineLevel="0" max="9" min="9" style="0" width="14"/>
    <col collapsed="false" customWidth="true" hidden="false" outlineLevel="0" max="10" min="10" style="0" width="40"/>
    <col collapsed="false" customWidth="true" hidden="false" outlineLevel="0" max="12" min="11" style="0" width="9"/>
    <col collapsed="false" customWidth="true" hidden="false" outlineLevel="0" max="13" min="13" style="0" width="10"/>
    <col collapsed="false" customWidth="true" hidden="false" outlineLevel="0" max="14" min="14" style="0" width="11"/>
    <col collapsed="false" customWidth="true" hidden="false" outlineLevel="0" max="15" min="15" style="0" width="32"/>
    <col collapsed="false" customWidth="true" hidden="false" outlineLevel="0" max="16" min="16" style="0" width="50"/>
  </cols>
  <sheetData>
    <row r="1" customFormat="false" ht="17.35" hidden="false" customHeight="false" outlineLevel="0" collapsed="false">
      <c r="A1" s="1" t="s">
        <v>0</v>
      </c>
    </row>
    <row r="2" customFormat="false" ht="15" hidden="false" customHeight="false" outlineLevel="0" collapsed="false">
      <c r="A2" s="2" t="s">
        <v>1</v>
      </c>
    </row>
    <row r="4" customFormat="false" ht="35.0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23.85" hidden="false" customHeight="false" outlineLevel="0" collapsed="false">
      <c r="A5" s="4" t="n">
        <v>1</v>
      </c>
      <c r="B5" s="4" t="s">
        <v>18</v>
      </c>
      <c r="C5" s="5" t="n">
        <v>1661</v>
      </c>
      <c r="D5" s="5" t="n">
        <v>3036</v>
      </c>
      <c r="E5" s="4" t="s">
        <v>19</v>
      </c>
      <c r="F5" s="6" t="s">
        <v>20</v>
      </c>
      <c r="G5" s="6" t="s">
        <v>21</v>
      </c>
      <c r="H5" s="7" t="n">
        <f aca="false">IF(AND(ISNUMBER(C5),ISNUMBER(D5),D5&lt;&gt;0),C5/D5,"-")</f>
        <v>0.547101449275362</v>
      </c>
      <c r="I5" s="8" t="str">
        <f aca="false">IF(K5=0,"Not started",IF(L5=0,"Complete","Audit delivered"))</f>
        <v>Audit delivered</v>
      </c>
      <c r="J5" s="9" t="s">
        <v>22</v>
      </c>
      <c r="K5" s="10" t="n">
        <f aca="false">COUNTIF('Issue Tracker'!$B$5:$B$84,B5)</f>
        <v>1</v>
      </c>
      <c r="L5" s="10" t="n">
        <f aca="false">K5-COUNTIFS('Issue Tracker'!$B$5:$B$84,B5,'Issue Tracker'!$J$5:$J$84,"Fixed")-COUNTIFS('Issue Tracker'!$B$5:$B$84,B5,'Issue Tracker'!$J$5:$J$84,"Already Fixed")</f>
        <v>1</v>
      </c>
      <c r="M5" s="10" t="n">
        <f aca="false">COUNTIFS('Issue Tracker'!$B$5:$B$84,B5,'Issue Tracker'!$I$5:$I$84,"High",'Issue Tracker'!$J$5:$J$84,"&lt;&gt;Fixed",'Issue Tracker'!$J$5:$J$84,"&lt;&gt;Already Fixed")+COUNTIFS('Issue Tracker'!$B$5:$B$84,B5,'Issue Tracker'!$I$5:$I$84,"Critical",'Issue Tracker'!$J$5:$J$84,"&lt;&gt;Fixed",'Issue Tracker'!$J$5:$J$84,"&lt;&gt;Already Fixed")</f>
        <v>1</v>
      </c>
      <c r="N5" s="10" t="n">
        <f aca="false">SUMIF('Issue Tracker'!$B$5:$B$84,B5,'Issue Tracker'!$G$5:$G$84)</f>
        <v>3</v>
      </c>
      <c r="O5" s="11" t="s">
        <v>23</v>
      </c>
      <c r="P5" s="9" t="s">
        <v>24</v>
      </c>
    </row>
    <row r="6" customFormat="false" ht="23.85" hidden="false" customHeight="false" outlineLevel="0" collapsed="false">
      <c r="A6" s="4" t="n">
        <v>2</v>
      </c>
      <c r="B6" s="4" t="s">
        <v>25</v>
      </c>
      <c r="C6" s="5" t="n">
        <v>325</v>
      </c>
      <c r="D6" s="5" t="n">
        <v>1650</v>
      </c>
      <c r="E6" s="4"/>
      <c r="F6" s="6" t="s">
        <v>26</v>
      </c>
      <c r="G6" s="6" t="s">
        <v>27</v>
      </c>
      <c r="H6" s="7" t="n">
        <f aca="false">IF(AND(ISNUMBER(C6),ISNUMBER(D6),D6&lt;&gt;0),C6/D6,"-")</f>
        <v>0.196969696969697</v>
      </c>
      <c r="I6" s="8" t="str">
        <f aca="false">IF(K6=0,"Not started",IF(L6=0,"Complete","Audit delivered"))</f>
        <v>Audit delivered</v>
      </c>
      <c r="J6" s="9" t="s">
        <v>28</v>
      </c>
      <c r="K6" s="10" t="n">
        <f aca="false">COUNTIF('Issue Tracker'!$B$5:$B$84,B6)</f>
        <v>19</v>
      </c>
      <c r="L6" s="10" t="n">
        <f aca="false">K6-COUNTIFS('Issue Tracker'!$B$5:$B$84,B6,'Issue Tracker'!$J$5:$J$84,"Fixed")-COUNTIFS('Issue Tracker'!$B$5:$B$84,B6,'Issue Tracker'!$J$5:$J$84,"Already Fixed")</f>
        <v>19</v>
      </c>
      <c r="M6" s="10" t="n">
        <f aca="false">COUNTIFS('Issue Tracker'!$B$5:$B$84,B6,'Issue Tracker'!$I$5:$I$84,"High",'Issue Tracker'!$J$5:$J$84,"&lt;&gt;Fixed",'Issue Tracker'!$J$5:$J$84,"&lt;&gt;Already Fixed")+COUNTIFS('Issue Tracker'!$B$5:$B$84,B6,'Issue Tracker'!$I$5:$I$84,"Critical",'Issue Tracker'!$J$5:$J$84,"&lt;&gt;Fixed",'Issue Tracker'!$J$5:$J$84,"&lt;&gt;Already Fixed")</f>
        <v>10</v>
      </c>
      <c r="N6" s="10" t="n">
        <f aca="false">SUMIF('Issue Tracker'!$B$5:$B$84,B6,'Issue Tracker'!$G$5:$G$84)</f>
        <v>4912</v>
      </c>
      <c r="O6" s="11" t="s">
        <v>29</v>
      </c>
      <c r="P6" s="9" t="s">
        <v>30</v>
      </c>
    </row>
    <row r="7" customFormat="false" ht="23.85" hidden="false" customHeight="false" outlineLevel="0" collapsed="false">
      <c r="A7" s="4" t="n">
        <v>3</v>
      </c>
      <c r="B7" s="4" t="s">
        <v>31</v>
      </c>
      <c r="C7" s="5" t="n">
        <v>323</v>
      </c>
      <c r="D7" s="5" t="n">
        <v>513</v>
      </c>
      <c r="E7" s="4" t="s">
        <v>19</v>
      </c>
      <c r="F7" s="6" t="s">
        <v>32</v>
      </c>
      <c r="G7" s="6"/>
      <c r="H7" s="7" t="n">
        <f aca="false">IF(AND(ISNUMBER(C7),ISNUMBER(D7),D7&lt;&gt;0),C7/D7,"-")</f>
        <v>0.62962962962963</v>
      </c>
      <c r="I7" s="8" t="str">
        <f aca="false">IF(K7=0,"Not started",IF(L7=0,"Complete","Audit delivered"))</f>
        <v>Audit delivered</v>
      </c>
      <c r="J7" s="9" t="s">
        <v>33</v>
      </c>
      <c r="K7" s="10" t="n">
        <f aca="false">COUNTIF('Issue Tracker'!$B$5:$B$84,B7)</f>
        <v>6</v>
      </c>
      <c r="L7" s="10" t="n">
        <f aca="false">K7-COUNTIFS('Issue Tracker'!$B$5:$B$84,B7,'Issue Tracker'!$J$5:$J$84,"Fixed")-COUNTIFS('Issue Tracker'!$B$5:$B$84,B7,'Issue Tracker'!$J$5:$J$84,"Already Fixed")</f>
        <v>6</v>
      </c>
      <c r="M7" s="10" t="n">
        <f aca="false">COUNTIFS('Issue Tracker'!$B$5:$B$84,B7,'Issue Tracker'!$I$5:$I$84,"High",'Issue Tracker'!$J$5:$J$84,"&lt;&gt;Fixed",'Issue Tracker'!$J$5:$J$84,"&lt;&gt;Already Fixed")+COUNTIFS('Issue Tracker'!$B$5:$B$84,B7,'Issue Tracker'!$I$5:$I$84,"Critical",'Issue Tracker'!$J$5:$J$84,"&lt;&gt;Fixed",'Issue Tracker'!$J$5:$J$84,"&lt;&gt;Already Fixed")</f>
        <v>4</v>
      </c>
      <c r="N7" s="10" t="n">
        <f aca="false">SUMIF('Issue Tracker'!$B$5:$B$84,B7,'Issue Tracker'!$G$5:$G$84)</f>
        <v>0</v>
      </c>
      <c r="O7" s="9" t="s">
        <v>34</v>
      </c>
      <c r="P7" s="9" t="s">
        <v>35</v>
      </c>
    </row>
    <row r="8" customFormat="false" ht="15" hidden="false" customHeight="false" outlineLevel="0" collapsed="false">
      <c r="A8" s="4" t="n">
        <v>4</v>
      </c>
      <c r="B8" s="4" t="s">
        <v>36</v>
      </c>
      <c r="C8" s="5" t="n">
        <v>119</v>
      </c>
      <c r="D8" s="5" t="n">
        <v>682</v>
      </c>
      <c r="E8" s="4"/>
      <c r="F8" s="6" t="s">
        <v>37</v>
      </c>
      <c r="G8" s="6" t="s">
        <v>38</v>
      </c>
      <c r="H8" s="7" t="n">
        <f aca="false">IF(AND(ISNUMBER(C8),ISNUMBER(D8),D8&lt;&gt;0),C8/D8,"-")</f>
        <v>0.174486803519062</v>
      </c>
      <c r="I8" s="8" t="str">
        <f aca="false">IF(K8=0,"Not started",IF(L8=0,"Complete","Audit delivered"))</f>
        <v>Not started</v>
      </c>
      <c r="J8" s="9" t="s">
        <v>39</v>
      </c>
      <c r="K8" s="10" t="n">
        <f aca="false">COUNTIF('Issue Tracker'!$B$5:$B$84,B8)</f>
        <v>0</v>
      </c>
      <c r="L8" s="10" t="n">
        <f aca="false">K8-COUNTIFS('Issue Tracker'!$B$5:$B$84,B8,'Issue Tracker'!$J$5:$J$84,"Fixed")-COUNTIFS('Issue Tracker'!$B$5:$B$84,B8,'Issue Tracker'!$J$5:$J$84,"Already Fixed")</f>
        <v>0</v>
      </c>
      <c r="M8" s="10" t="n">
        <f aca="false">COUNTIFS('Issue Tracker'!$B$5:$B$84,B8,'Issue Tracker'!$I$5:$I$84,"High",'Issue Tracker'!$J$5:$J$84,"&lt;&gt;Fixed",'Issue Tracker'!$J$5:$J$84,"&lt;&gt;Already Fixed")+COUNTIFS('Issue Tracker'!$B$5:$B$84,B8,'Issue Tracker'!$I$5:$I$84,"Critical",'Issue Tracker'!$J$5:$J$84,"&lt;&gt;Fixed",'Issue Tracker'!$J$5:$J$84,"&lt;&gt;Already Fixed")</f>
        <v>0</v>
      </c>
      <c r="N8" s="10" t="n">
        <f aca="false">SUMIF('Issue Tracker'!$B$5:$B$84,B8,'Issue Tracker'!$G$5:$G$84)</f>
        <v>0</v>
      </c>
      <c r="O8" s="9" t="s">
        <v>34</v>
      </c>
      <c r="P8" s="9"/>
    </row>
    <row r="9" customFormat="false" ht="23.85" hidden="false" customHeight="false" outlineLevel="0" collapsed="false">
      <c r="A9" s="4" t="n">
        <v>5</v>
      </c>
      <c r="B9" s="4" t="s">
        <v>40</v>
      </c>
      <c r="C9" s="5" t="n">
        <v>117</v>
      </c>
      <c r="D9" s="5" t="n">
        <v>1750</v>
      </c>
      <c r="E9" s="4"/>
      <c r="F9" s="6" t="s">
        <v>41</v>
      </c>
      <c r="G9" s="6" t="s">
        <v>42</v>
      </c>
      <c r="H9" s="7" t="n">
        <f aca="false">IF(AND(ISNUMBER(C9),ISNUMBER(D9),D9&lt;&gt;0),C9/D9,"-")</f>
        <v>0.0668571428571429</v>
      </c>
      <c r="I9" s="8" t="str">
        <f aca="false">IF(K9=0,"Not started",IF(L9=0,"Complete","Audit delivered"))</f>
        <v>Not started</v>
      </c>
      <c r="J9" s="9" t="s">
        <v>39</v>
      </c>
      <c r="K9" s="10" t="n">
        <f aca="false">COUNTIF('Issue Tracker'!$B$5:$B$84,B9)</f>
        <v>0</v>
      </c>
      <c r="L9" s="10" t="n">
        <f aca="false">K9-COUNTIFS('Issue Tracker'!$B$5:$B$84,B9,'Issue Tracker'!$J$5:$J$84,"Fixed")-COUNTIFS('Issue Tracker'!$B$5:$B$84,B9,'Issue Tracker'!$J$5:$J$84,"Already Fixed")</f>
        <v>0</v>
      </c>
      <c r="M9" s="10" t="n">
        <f aca="false">COUNTIFS('Issue Tracker'!$B$5:$B$84,B9,'Issue Tracker'!$I$5:$I$84,"High",'Issue Tracker'!$J$5:$J$84,"&lt;&gt;Fixed",'Issue Tracker'!$J$5:$J$84,"&lt;&gt;Already Fixed")+COUNTIFS('Issue Tracker'!$B$5:$B$84,B9,'Issue Tracker'!$I$5:$I$84,"Critical",'Issue Tracker'!$J$5:$J$84,"&lt;&gt;Fixed",'Issue Tracker'!$J$5:$J$84,"&lt;&gt;Already Fixed")</f>
        <v>0</v>
      </c>
      <c r="N9" s="10" t="n">
        <f aca="false">SUMIF('Issue Tracker'!$B$5:$B$84,B9,'Issue Tracker'!$G$5:$G$84)</f>
        <v>0</v>
      </c>
      <c r="O9" s="9" t="s">
        <v>34</v>
      </c>
      <c r="P9" s="9"/>
    </row>
    <row r="10" customFormat="false" ht="15" hidden="false" customHeight="false" outlineLevel="0" collapsed="false">
      <c r="A10" s="4" t="n">
        <v>6</v>
      </c>
      <c r="B10" s="4" t="s">
        <v>43</v>
      </c>
      <c r="C10" s="5" t="n">
        <v>91</v>
      </c>
      <c r="D10" s="5"/>
      <c r="E10" s="4"/>
      <c r="F10" s="6" t="s">
        <v>44</v>
      </c>
      <c r="G10" s="6" t="s">
        <v>45</v>
      </c>
      <c r="H10" s="7" t="str">
        <f aca="false">IF(AND(ISNUMBER(C10),ISNUMBER(D10),D10&lt;&gt;0),C10/D10,"-")</f>
        <v>-</v>
      </c>
      <c r="I10" s="8" t="str">
        <f aca="false">IF(K10=0,"Not started",IF(L10=0,"Complete","Audit delivered"))</f>
        <v>Audit delivered</v>
      </c>
      <c r="J10" s="9" t="s">
        <v>46</v>
      </c>
      <c r="K10" s="10" t="n">
        <f aca="false">COUNTIF('Issue Tracker'!$B$5:$B$84,B10)</f>
        <v>1</v>
      </c>
      <c r="L10" s="10" t="n">
        <f aca="false">K10-COUNTIFS('Issue Tracker'!$B$5:$B$84,B10,'Issue Tracker'!$J$5:$J$84,"Fixed")-COUNTIFS('Issue Tracker'!$B$5:$B$84,B10,'Issue Tracker'!$J$5:$J$84,"Already Fixed")</f>
        <v>1</v>
      </c>
      <c r="M10" s="10" t="n">
        <f aca="false">COUNTIFS('Issue Tracker'!$B$5:$B$84,B10,'Issue Tracker'!$I$5:$I$84,"High",'Issue Tracker'!$J$5:$J$84,"&lt;&gt;Fixed",'Issue Tracker'!$J$5:$J$84,"&lt;&gt;Already Fixed")+COUNTIFS('Issue Tracker'!$B$5:$B$84,B10,'Issue Tracker'!$I$5:$I$84,"Critical",'Issue Tracker'!$J$5:$J$84,"&lt;&gt;Fixed",'Issue Tracker'!$J$5:$J$84,"&lt;&gt;Already Fixed")</f>
        <v>1</v>
      </c>
      <c r="N10" s="10" t="n">
        <f aca="false">SUMIF('Issue Tracker'!$B$5:$B$84,B10,'Issue Tracker'!$G$5:$G$84)</f>
        <v>3</v>
      </c>
      <c r="O10" s="9" t="s">
        <v>34</v>
      </c>
      <c r="P10" s="9" t="s">
        <v>47</v>
      </c>
    </row>
    <row r="11" customFormat="false" ht="15" hidden="false" customHeight="false" outlineLevel="0" collapsed="false">
      <c r="A11" s="4" t="n">
        <v>7</v>
      </c>
      <c r="B11" s="4" t="s">
        <v>48</v>
      </c>
      <c r="C11" s="5" t="n">
        <v>71</v>
      </c>
      <c r="D11" s="5" t="n">
        <v>1404</v>
      </c>
      <c r="E11" s="4"/>
      <c r="F11" s="6" t="s">
        <v>49</v>
      </c>
      <c r="G11" s="6"/>
      <c r="H11" s="7" t="n">
        <f aca="false">IF(AND(ISNUMBER(C11),ISNUMBER(D11),D11&lt;&gt;0),C11/D11,"-")</f>
        <v>0.0505698005698006</v>
      </c>
      <c r="I11" s="8" t="str">
        <f aca="false">IF(K11=0,"Not started",IF(L11=0,"Complete","Audit delivered"))</f>
        <v>Audit delivered</v>
      </c>
      <c r="J11" s="9" t="s">
        <v>50</v>
      </c>
      <c r="K11" s="10" t="n">
        <f aca="false">COUNTIF('Issue Tracker'!$B$5:$B$84,B11)</f>
        <v>2</v>
      </c>
      <c r="L11" s="10" t="n">
        <f aca="false">K11-COUNTIFS('Issue Tracker'!$B$5:$B$84,B11,'Issue Tracker'!$J$5:$J$84,"Fixed")-COUNTIFS('Issue Tracker'!$B$5:$B$84,B11,'Issue Tracker'!$J$5:$J$84,"Already Fixed")</f>
        <v>2</v>
      </c>
      <c r="M11" s="10" t="n">
        <f aca="false">COUNTIFS('Issue Tracker'!$B$5:$B$84,B11,'Issue Tracker'!$I$5:$I$84,"High",'Issue Tracker'!$J$5:$J$84,"&lt;&gt;Fixed",'Issue Tracker'!$J$5:$J$84,"&lt;&gt;Already Fixed")+COUNTIFS('Issue Tracker'!$B$5:$B$84,B11,'Issue Tracker'!$I$5:$I$84,"Critical",'Issue Tracker'!$J$5:$J$84,"&lt;&gt;Fixed",'Issue Tracker'!$J$5:$J$84,"&lt;&gt;Already Fixed")</f>
        <v>1</v>
      </c>
      <c r="N11" s="10" t="n">
        <f aca="false">SUMIF('Issue Tracker'!$B$5:$B$84,B11,'Issue Tracker'!$G$5:$G$84)</f>
        <v>0</v>
      </c>
      <c r="O11" s="9" t="s">
        <v>34</v>
      </c>
      <c r="P11" s="9" t="s">
        <v>51</v>
      </c>
    </row>
    <row r="12" customFormat="false" ht="15" hidden="false" customHeight="false" outlineLevel="0" collapsed="false">
      <c r="A12" s="4" t="n">
        <v>8</v>
      </c>
      <c r="B12" s="4" t="s">
        <v>52</v>
      </c>
      <c r="C12" s="5" t="n">
        <v>60</v>
      </c>
      <c r="D12" s="5" t="n">
        <v>232</v>
      </c>
      <c r="E12" s="4"/>
      <c r="F12" s="6" t="s">
        <v>20</v>
      </c>
      <c r="G12" s="6" t="s">
        <v>53</v>
      </c>
      <c r="H12" s="7" t="n">
        <f aca="false">IF(AND(ISNUMBER(C12),ISNUMBER(D12),D12&lt;&gt;0),C12/D12,"-")</f>
        <v>0.258620689655172</v>
      </c>
      <c r="I12" s="8" t="str">
        <f aca="false">IF(K12=0,"Not started",IF(L12=0,"Complete","Audit delivered"))</f>
        <v>Not started</v>
      </c>
      <c r="J12" s="9" t="s">
        <v>39</v>
      </c>
      <c r="K12" s="10" t="n">
        <f aca="false">COUNTIF('Issue Tracker'!$B$5:$B$84,B12)</f>
        <v>0</v>
      </c>
      <c r="L12" s="10" t="n">
        <f aca="false">K12-COUNTIFS('Issue Tracker'!$B$5:$B$84,B12,'Issue Tracker'!$J$5:$J$84,"Fixed")-COUNTIFS('Issue Tracker'!$B$5:$B$84,B12,'Issue Tracker'!$J$5:$J$84,"Already Fixed")</f>
        <v>0</v>
      </c>
      <c r="M12" s="10" t="n">
        <f aca="false">COUNTIFS('Issue Tracker'!$B$5:$B$84,B12,'Issue Tracker'!$I$5:$I$84,"High",'Issue Tracker'!$J$5:$J$84,"&lt;&gt;Fixed",'Issue Tracker'!$J$5:$J$84,"&lt;&gt;Already Fixed")+COUNTIFS('Issue Tracker'!$B$5:$B$84,B12,'Issue Tracker'!$I$5:$I$84,"Critical",'Issue Tracker'!$J$5:$J$84,"&lt;&gt;Fixed",'Issue Tracker'!$J$5:$J$84,"&lt;&gt;Already Fixed")</f>
        <v>0</v>
      </c>
      <c r="N12" s="10" t="n">
        <f aca="false">SUMIF('Issue Tracker'!$B$5:$B$84,B12,'Issue Tracker'!$G$5:$G$84)</f>
        <v>0</v>
      </c>
      <c r="O12" s="9" t="s">
        <v>34</v>
      </c>
      <c r="P12" s="9"/>
    </row>
    <row r="13" customFormat="false" ht="15" hidden="false" customHeight="false" outlineLevel="0" collapsed="false">
      <c r="A13" s="4" t="n">
        <v>9</v>
      </c>
      <c r="B13" s="4" t="s">
        <v>54</v>
      </c>
      <c r="C13" s="5" t="n">
        <v>56</v>
      </c>
      <c r="D13" s="5" t="n">
        <v>352</v>
      </c>
      <c r="E13" s="4"/>
      <c r="F13" s="6" t="s">
        <v>55</v>
      </c>
      <c r="G13" s="6"/>
      <c r="H13" s="7" t="n">
        <f aca="false">IF(AND(ISNUMBER(C13),ISNUMBER(D13),D13&lt;&gt;0),C13/D13,"-")</f>
        <v>0.159090909090909</v>
      </c>
      <c r="I13" s="8" t="str">
        <f aca="false">IF(K13=0,"Not started",IF(L13=0,"Complete","Audit delivered"))</f>
        <v>Not started</v>
      </c>
      <c r="J13" s="9" t="s">
        <v>39</v>
      </c>
      <c r="K13" s="10" t="n">
        <f aca="false">COUNTIF('Issue Tracker'!$B$5:$B$84,B13)</f>
        <v>0</v>
      </c>
      <c r="L13" s="10" t="n">
        <f aca="false">K13-COUNTIFS('Issue Tracker'!$B$5:$B$84,B13,'Issue Tracker'!$J$5:$J$84,"Fixed")-COUNTIFS('Issue Tracker'!$B$5:$B$84,B13,'Issue Tracker'!$J$5:$J$84,"Already Fixed")</f>
        <v>0</v>
      </c>
      <c r="M13" s="10" t="n">
        <f aca="false">COUNTIFS('Issue Tracker'!$B$5:$B$84,B13,'Issue Tracker'!$I$5:$I$84,"High",'Issue Tracker'!$J$5:$J$84,"&lt;&gt;Fixed",'Issue Tracker'!$J$5:$J$84,"&lt;&gt;Already Fixed")+COUNTIFS('Issue Tracker'!$B$5:$B$84,B13,'Issue Tracker'!$I$5:$I$84,"Critical",'Issue Tracker'!$J$5:$J$84,"&lt;&gt;Fixed",'Issue Tracker'!$J$5:$J$84,"&lt;&gt;Already Fixed")</f>
        <v>0</v>
      </c>
      <c r="N13" s="10" t="n">
        <f aca="false">SUMIF('Issue Tracker'!$B$5:$B$84,B13,'Issue Tracker'!$G$5:$G$84)</f>
        <v>0</v>
      </c>
      <c r="O13" s="9" t="s">
        <v>34</v>
      </c>
      <c r="P13" s="9"/>
    </row>
    <row r="14" customFormat="false" ht="23.85" hidden="false" customHeight="false" outlineLevel="0" collapsed="false">
      <c r="A14" s="4" t="n">
        <v>10</v>
      </c>
      <c r="B14" s="4" t="s">
        <v>56</v>
      </c>
      <c r="C14" s="5" t="n">
        <v>54</v>
      </c>
      <c r="D14" s="5" t="n">
        <v>668</v>
      </c>
      <c r="E14" s="4"/>
      <c r="F14" s="6" t="s">
        <v>57</v>
      </c>
      <c r="G14" s="6" t="s">
        <v>27</v>
      </c>
      <c r="H14" s="7" t="n">
        <f aca="false">IF(AND(ISNUMBER(C14),ISNUMBER(D14),D14&lt;&gt;0),C14/D14,"-")</f>
        <v>0.0808383233532934</v>
      </c>
      <c r="I14" s="8" t="str">
        <f aca="false">IF(K14=0,"Not started",IF(L14=0,"Complete","Audit delivered"))</f>
        <v>Audit delivered</v>
      </c>
      <c r="J14" s="9" t="s">
        <v>58</v>
      </c>
      <c r="K14" s="10" t="n">
        <f aca="false">COUNTIF('Issue Tracker'!$B$5:$B$84,B14)</f>
        <v>8</v>
      </c>
      <c r="L14" s="10" t="n">
        <f aca="false">K14-COUNTIFS('Issue Tracker'!$B$5:$B$84,B14,'Issue Tracker'!$J$5:$J$84,"Fixed")-COUNTIFS('Issue Tracker'!$B$5:$B$84,B14,'Issue Tracker'!$J$5:$J$84,"Already Fixed")</f>
        <v>8</v>
      </c>
      <c r="M14" s="10" t="n">
        <f aca="false">COUNTIFS('Issue Tracker'!$B$5:$B$84,B14,'Issue Tracker'!$I$5:$I$84,"High",'Issue Tracker'!$J$5:$J$84,"&lt;&gt;Fixed",'Issue Tracker'!$J$5:$J$84,"&lt;&gt;Already Fixed")+COUNTIFS('Issue Tracker'!$B$5:$B$84,B14,'Issue Tracker'!$I$5:$I$84,"Critical",'Issue Tracker'!$J$5:$J$84,"&lt;&gt;Fixed",'Issue Tracker'!$J$5:$J$84,"&lt;&gt;Already Fixed")</f>
        <v>2</v>
      </c>
      <c r="N14" s="10" t="n">
        <f aca="false">SUMIF('Issue Tracker'!$B$5:$B$84,B14,'Issue Tracker'!$G$5:$G$84)</f>
        <v>1704</v>
      </c>
      <c r="O14" s="11" t="s">
        <v>59</v>
      </c>
      <c r="P14" s="9" t="s">
        <v>60</v>
      </c>
    </row>
    <row r="15" customFormat="false" ht="23.85" hidden="false" customHeight="false" outlineLevel="0" collapsed="false">
      <c r="A15" s="4" t="n">
        <v>11</v>
      </c>
      <c r="B15" s="4" t="s">
        <v>61</v>
      </c>
      <c r="C15" s="5" t="n">
        <v>53</v>
      </c>
      <c r="D15" s="5" t="n">
        <v>4107</v>
      </c>
      <c r="E15" s="4"/>
      <c r="F15" s="6" t="s">
        <v>62</v>
      </c>
      <c r="G15" s="6" t="s">
        <v>63</v>
      </c>
      <c r="H15" s="7" t="n">
        <f aca="false">IF(AND(ISNUMBER(C15),ISNUMBER(D15),D15&lt;&gt;0),C15/D15,"-")</f>
        <v>0.0129047966885805</v>
      </c>
      <c r="I15" s="8" t="str">
        <f aca="false">IF(K15=0,"Not started",IF(L15=0,"Complete","Audit delivered"))</f>
        <v>Audit delivered</v>
      </c>
      <c r="J15" s="9" t="s">
        <v>64</v>
      </c>
      <c r="K15" s="10" t="n">
        <f aca="false">COUNTIF('Issue Tracker'!$B$5:$B$84,B15)</f>
        <v>12</v>
      </c>
      <c r="L15" s="10" t="n">
        <f aca="false">K15-COUNTIFS('Issue Tracker'!$B$5:$B$84,B15,'Issue Tracker'!$J$5:$J$84,"Fixed")-COUNTIFS('Issue Tracker'!$B$5:$B$84,B15,'Issue Tracker'!$J$5:$J$84,"Already Fixed")</f>
        <v>12</v>
      </c>
      <c r="M15" s="10" t="n">
        <f aca="false">COUNTIFS('Issue Tracker'!$B$5:$B$84,B15,'Issue Tracker'!$I$5:$I$84,"High",'Issue Tracker'!$J$5:$J$84,"&lt;&gt;Fixed",'Issue Tracker'!$J$5:$J$84,"&lt;&gt;Already Fixed")+COUNTIFS('Issue Tracker'!$B$5:$B$84,B15,'Issue Tracker'!$I$5:$I$84,"Critical",'Issue Tracker'!$J$5:$J$84,"&lt;&gt;Fixed",'Issue Tracker'!$J$5:$J$84,"&lt;&gt;Already Fixed")</f>
        <v>5</v>
      </c>
      <c r="N15" s="10" t="n">
        <f aca="false">SUMIF('Issue Tracker'!$B$5:$B$84,B15,'Issue Tracker'!$G$5:$G$84)</f>
        <v>3127</v>
      </c>
      <c r="O15" s="11" t="s">
        <v>65</v>
      </c>
      <c r="P15" s="9" t="s">
        <v>66</v>
      </c>
    </row>
    <row r="16" customFormat="false" ht="23.85" hidden="false" customHeight="false" outlineLevel="0" collapsed="false">
      <c r="A16" s="4" t="n">
        <v>12</v>
      </c>
      <c r="B16" s="4" t="s">
        <v>67</v>
      </c>
      <c r="C16" s="5" t="n">
        <v>50</v>
      </c>
      <c r="D16" s="5" t="n">
        <v>2004</v>
      </c>
      <c r="E16" s="4"/>
      <c r="F16" s="6" t="s">
        <v>68</v>
      </c>
      <c r="G16" s="6"/>
      <c r="H16" s="7" t="n">
        <f aca="false">IF(AND(ISNUMBER(C16),ISNUMBER(D16),D16&lt;&gt;0),C16/D16,"-")</f>
        <v>0.0249500998003992</v>
      </c>
      <c r="I16" s="8" t="str">
        <f aca="false">IF(K16=0,"Not started",IF(L16=0,"Complete","Audit delivered"))</f>
        <v>Audit delivered</v>
      </c>
      <c r="J16" s="9" t="s">
        <v>69</v>
      </c>
      <c r="K16" s="10" t="n">
        <f aca="false">COUNTIF('Issue Tracker'!$B$5:$B$84,B16)</f>
        <v>9</v>
      </c>
      <c r="L16" s="10" t="n">
        <f aca="false">K16-COUNTIFS('Issue Tracker'!$B$5:$B$84,B16,'Issue Tracker'!$J$5:$J$84,"Fixed")-COUNTIFS('Issue Tracker'!$B$5:$B$84,B16,'Issue Tracker'!$J$5:$J$84,"Already Fixed")</f>
        <v>8</v>
      </c>
      <c r="M16" s="10" t="n">
        <f aca="false">COUNTIFS('Issue Tracker'!$B$5:$B$84,B16,'Issue Tracker'!$I$5:$I$84,"High",'Issue Tracker'!$J$5:$J$84,"&lt;&gt;Fixed",'Issue Tracker'!$J$5:$J$84,"&lt;&gt;Already Fixed")+COUNTIFS('Issue Tracker'!$B$5:$B$84,B16,'Issue Tracker'!$I$5:$I$84,"Critical",'Issue Tracker'!$J$5:$J$84,"&lt;&gt;Fixed",'Issue Tracker'!$J$5:$J$84,"&lt;&gt;Already Fixed")</f>
        <v>4</v>
      </c>
      <c r="N16" s="10" t="n">
        <f aca="false">SUMIF('Issue Tracker'!$B$5:$B$84,B16,'Issue Tracker'!$G$5:$G$84)</f>
        <v>3</v>
      </c>
      <c r="O16" s="9" t="s">
        <v>34</v>
      </c>
      <c r="P16" s="9" t="s">
        <v>70</v>
      </c>
    </row>
    <row r="17" customFormat="false" ht="23.85" hidden="false" customHeight="false" outlineLevel="0" collapsed="false">
      <c r="A17" s="4" t="s">
        <v>34</v>
      </c>
      <c r="B17" s="4" t="s">
        <v>71</v>
      </c>
      <c r="C17" s="5"/>
      <c r="D17" s="5"/>
      <c r="E17" s="4"/>
      <c r="F17" s="6"/>
      <c r="G17" s="6" t="s">
        <v>72</v>
      </c>
      <c r="H17" s="7" t="str">
        <f aca="false">IF(AND(ISNUMBER(C17),ISNUMBER(D17),D17&lt;&gt;0),C17/D17,"-")</f>
        <v>-</v>
      </c>
      <c r="I17" s="8" t="str">
        <f aca="false">IF(K17=0,"Not started",IF(L17=0,"Complete","Audit delivered"))</f>
        <v>Audit delivered</v>
      </c>
      <c r="J17" s="9" t="s">
        <v>73</v>
      </c>
      <c r="K17" s="10" t="n">
        <f aca="false">COUNTIF('Issue Tracker'!$B$5:$B$84,B17)</f>
        <v>10</v>
      </c>
      <c r="L17" s="10" t="n">
        <f aca="false">K17-COUNTIFS('Issue Tracker'!$B$5:$B$84,B17,'Issue Tracker'!$J$5:$J$84,"Fixed")-COUNTIFS('Issue Tracker'!$B$5:$B$84,B17,'Issue Tracker'!$J$5:$J$84,"Already Fixed")</f>
        <v>10</v>
      </c>
      <c r="M17" s="10" t="n">
        <f aca="false">COUNTIFS('Issue Tracker'!$B$5:$B$84,B17,'Issue Tracker'!$I$5:$I$84,"High",'Issue Tracker'!$J$5:$J$84,"&lt;&gt;Fixed",'Issue Tracker'!$J$5:$J$84,"&lt;&gt;Already Fixed")+COUNTIFS('Issue Tracker'!$B$5:$B$84,B17,'Issue Tracker'!$I$5:$I$84,"Critical",'Issue Tracker'!$J$5:$J$84,"&lt;&gt;Fixed",'Issue Tracker'!$J$5:$J$84,"&lt;&gt;Already Fixed")</f>
        <v>1</v>
      </c>
      <c r="N17" s="10" t="n">
        <f aca="false">SUMIF('Issue Tracker'!$B$5:$B$84,B17,'Issue Tracker'!$G$5:$G$84)</f>
        <v>150</v>
      </c>
      <c r="O17" s="9" t="s">
        <v>34</v>
      </c>
      <c r="P17" s="9" t="s">
        <v>74</v>
      </c>
    </row>
    <row r="18" customFormat="false" ht="15" hidden="false" customHeight="false" outlineLevel="0" collapsed="false">
      <c r="A18" s="4" t="s">
        <v>34</v>
      </c>
      <c r="B18" s="4" t="s">
        <v>75</v>
      </c>
      <c r="C18" s="5"/>
      <c r="D18" s="5"/>
      <c r="E18" s="4"/>
      <c r="F18" s="6"/>
      <c r="G18" s="6" t="s">
        <v>72</v>
      </c>
      <c r="H18" s="7" t="str">
        <f aca="false">IF(AND(ISNUMBER(C18),ISNUMBER(D18),D18&lt;&gt;0),C18/D18,"-")</f>
        <v>-</v>
      </c>
      <c r="I18" s="8" t="str">
        <f aca="false">IF(K18=0,"Not started",IF(L18=0,"Complete","Audit delivered"))</f>
        <v>Audit delivered</v>
      </c>
      <c r="J18" s="9" t="s">
        <v>76</v>
      </c>
      <c r="K18" s="10" t="n">
        <f aca="false">COUNTIF('Issue Tracker'!$B$5:$B$84,B18)</f>
        <v>12</v>
      </c>
      <c r="L18" s="10" t="n">
        <f aca="false">K18-COUNTIFS('Issue Tracker'!$B$5:$B$84,B18,'Issue Tracker'!$J$5:$J$84,"Fixed")-COUNTIFS('Issue Tracker'!$B$5:$B$84,B18,'Issue Tracker'!$J$5:$J$84,"Already Fixed")</f>
        <v>12</v>
      </c>
      <c r="M18" s="10" t="n">
        <f aca="false">COUNTIFS('Issue Tracker'!$B$5:$B$84,B18,'Issue Tracker'!$I$5:$I$84,"High",'Issue Tracker'!$J$5:$J$84,"&lt;&gt;Fixed",'Issue Tracker'!$J$5:$J$84,"&lt;&gt;Already Fixed")+COUNTIFS('Issue Tracker'!$B$5:$B$84,B18,'Issue Tracker'!$I$5:$I$84,"Critical",'Issue Tracker'!$J$5:$J$84,"&lt;&gt;Fixed",'Issue Tracker'!$J$5:$J$84,"&lt;&gt;Already Fixed")</f>
        <v>5</v>
      </c>
      <c r="N18" s="10" t="n">
        <f aca="false">SUMIF('Issue Tracker'!$B$5:$B$84,B18,'Issue Tracker'!$G$5:$G$84)</f>
        <v>5</v>
      </c>
      <c r="O18" s="9" t="s">
        <v>34</v>
      </c>
      <c r="P18" s="9" t="s">
        <v>77</v>
      </c>
    </row>
    <row r="19" customFormat="false" ht="15" hidden="false" customHeight="false" outlineLevel="0" collapsed="false">
      <c r="A19" s="12"/>
      <c r="B19" s="12" t="s">
        <v>78</v>
      </c>
      <c r="C19" s="13" t="n">
        <f aca="false">SUM(C5:C16)-C12</f>
        <v>2920</v>
      </c>
      <c r="D19" s="13" t="n">
        <f aca="false">SUM(D5:D16)-D12</f>
        <v>16166</v>
      </c>
      <c r="E19" s="12"/>
      <c r="F19" s="12"/>
      <c r="G19" s="12"/>
      <c r="H19" s="14" t="n">
        <f aca="false">IF(D19&lt;&gt;0,C19/D19,"-")</f>
        <v>0.180626005196091</v>
      </c>
      <c r="I19" s="12"/>
      <c r="J19" s="12"/>
      <c r="K19" s="12" t="n">
        <f aca="false">SUM(K5:K18)</f>
        <v>80</v>
      </c>
      <c r="L19" s="12" t="n">
        <f aca="false">SUM(L5:L18)</f>
        <v>79</v>
      </c>
      <c r="M19" s="12" t="n">
        <f aca="false">SUM(M5:M18)</f>
        <v>34</v>
      </c>
      <c r="N19" s="12" t="n">
        <f aca="false">SUM(N5:N18)</f>
        <v>9907</v>
      </c>
      <c r="O19" s="12"/>
      <c r="P19" s="12"/>
    </row>
    <row r="20" customFormat="false" ht="15" hidden="false" customHeight="false" outlineLevel="0" collapsed="false">
      <c r="B20" s="2" t="s">
        <v>79</v>
      </c>
    </row>
    <row r="22" customFormat="false" ht="15" hidden="false" customHeight="false" outlineLevel="0" collapsed="false">
      <c r="B22" s="15" t="s">
        <v>80</v>
      </c>
    </row>
    <row r="23" customFormat="false" ht="15" hidden="false" customHeight="false" outlineLevel="0" collapsed="false">
      <c r="B23" s="16" t="s">
        <v>81</v>
      </c>
      <c r="C23" s="16" t="s">
        <v>82</v>
      </c>
      <c r="D23" s="16" t="s">
        <v>83</v>
      </c>
    </row>
    <row r="24" customFormat="false" ht="15" hidden="false" customHeight="false" outlineLevel="0" collapsed="false">
      <c r="B24" s="17" t="s">
        <v>84</v>
      </c>
      <c r="C24" s="17" t="n">
        <f aca="false">COUNTIF('Issue Tracker'!$J$5:$J$84,B24)</f>
        <v>78</v>
      </c>
      <c r="D24" s="18" t="n">
        <f aca="false">IF($C$30=0,0,C24/$C$30)</f>
        <v>0.975</v>
      </c>
    </row>
    <row r="25" customFormat="false" ht="15" hidden="false" customHeight="false" outlineLevel="0" collapsed="false">
      <c r="B25" s="17" t="s">
        <v>85</v>
      </c>
      <c r="C25" s="17" t="n">
        <f aca="false">COUNTIF('Issue Tracker'!$J$5:$J$84,B25)</f>
        <v>0</v>
      </c>
      <c r="D25" s="18" t="n">
        <f aca="false">IF($C$30=0,0,C25/$C$30)</f>
        <v>0</v>
      </c>
    </row>
    <row r="26" customFormat="false" ht="15" hidden="false" customHeight="false" outlineLevel="0" collapsed="false">
      <c r="B26" s="17" t="s">
        <v>86</v>
      </c>
      <c r="C26" s="17" t="n">
        <f aca="false">COUNTIF('Issue Tracker'!$J$5:$J$84,B26)</f>
        <v>1</v>
      </c>
      <c r="D26" s="18" t="n">
        <f aca="false">IF($C$30=0,0,C26/$C$30)</f>
        <v>0.0125</v>
      </c>
    </row>
    <row r="27" customFormat="false" ht="15" hidden="false" customHeight="false" outlineLevel="0" collapsed="false">
      <c r="B27" s="17" t="s">
        <v>87</v>
      </c>
      <c r="C27" s="17" t="n">
        <f aca="false">COUNTIF('Issue Tracker'!$J$5:$J$84,B27)</f>
        <v>0</v>
      </c>
      <c r="D27" s="18" t="n">
        <f aca="false">IF($C$30=0,0,C27/$C$30)</f>
        <v>0</v>
      </c>
    </row>
    <row r="28" customFormat="false" ht="15" hidden="false" customHeight="false" outlineLevel="0" collapsed="false">
      <c r="B28" s="17" t="s">
        <v>88</v>
      </c>
      <c r="C28" s="17" t="n">
        <f aca="false">COUNTIF('Issue Tracker'!$J$5:$J$84,B28)</f>
        <v>1</v>
      </c>
      <c r="D28" s="18" t="n">
        <f aca="false">IF($C$30=0,0,C28/$C$30)</f>
        <v>0.0125</v>
      </c>
    </row>
    <row r="29" customFormat="false" ht="15" hidden="false" customHeight="false" outlineLevel="0" collapsed="false">
      <c r="B29" s="17" t="s">
        <v>89</v>
      </c>
      <c r="C29" s="17" t="n">
        <f aca="false">COUNTIF('Issue Tracker'!$J$5:$J$84,B29)</f>
        <v>0</v>
      </c>
      <c r="D29" s="18" t="n">
        <f aca="false">IF($C$30=0,0,C29/$C$30)</f>
        <v>0</v>
      </c>
    </row>
    <row r="30" customFormat="false" ht="15" hidden="false" customHeight="false" outlineLevel="0" collapsed="false">
      <c r="B30" s="12" t="s">
        <v>90</v>
      </c>
      <c r="C30" s="12" t="n">
        <f aca="false">SUM(C24:C29)</f>
        <v>80</v>
      </c>
      <c r="D30" s="14" t="n">
        <f aca="false">SUM(D24:D29)</f>
        <v>1</v>
      </c>
    </row>
    <row r="31" customFormat="false" ht="15" hidden="false" customHeight="false" outlineLevel="0" collapsed="false">
      <c r="B31" s="2" t="s">
        <v>91</v>
      </c>
    </row>
  </sheetData>
  <hyperlinks>
    <hyperlink ref="O5" r:id="rId1" location="'OGU_Blog%20Pages'!A1" display="OGU_Blog Pages, OGU_Countries, OGU_Filters"/>
    <hyperlink ref="O6" r:id="rId2" location="'BBB_Master%20Checklist'!A1" display="BBB_Master Checklist, BBB_Broken Links, BBB_Broken Internal Link, BBB_Pages Marked No Index, BBB_Not submitted to IndexNow, BBB_Page has links to broken pa, BBB_Redirecting URLs, BBB_Too Long Meta Title, BBB_Too Long Meta Description, BBB_Missing H1 Tag, BBB_Missing Meta Description, BBB_Multiple H1 Tag, BBB_Page and SERP titles do not, BBB_Twitter and Open Graph tags, BBB_Image file size too large, BBB_Images Missing ALT text"/>
    <hyperlink ref="O14" r:id="rId3" location="'HS_Missing%20H1%20Tag'!A1" display="HS_Missing H1 Tag, HS_Multiple H1 Tag, HS_Too Long Meta Title, HS_Too Long Meta Description, HS_Pages droped from top 10 Pos"/>
    <hyperlink ref="O15" r:id="rId4" location="'SV_4xx'!A1" display="SV_4xx, SV_3xx Redirection, SV_Page has links to broken pag, SV_Meta description too long, SV_Title too long, SV_Missing H1, SV_Meta description too short, SV_Meta description tag missing, SV_Multiple H1 tags, SV_Pages have high AI content l, SV_Missing alt text, SV_External 4X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8"/>
    <col collapsed="false" customWidth="true" hidden="false" outlineLevel="0" max="4" min="4" style="0" width="24"/>
    <col collapsed="false" customWidth="true" hidden="false" outlineLevel="0" max="5" min="5" style="0" width="10"/>
    <col collapsed="false" customWidth="true" hidden="false" outlineLevel="0" max="6" min="6" style="0" width="38"/>
    <col collapsed="false" customWidth="true" hidden="false" outlineLevel="0" max="7" min="7" style="0" width="12"/>
    <col collapsed="false" customWidth="true" hidden="false" outlineLevel="0" max="8" min="8" style="0" width="16"/>
    <col collapsed="false" customWidth="true" hidden="false" outlineLevel="0" max="9" min="9" style="0" width="10"/>
    <col collapsed="false" customWidth="true" hidden="false" outlineLevel="0" max="11" min="10" style="0" width="14"/>
    <col collapsed="false" customWidth="true" hidden="false" outlineLevel="0" max="12" min="12" style="0" width="12"/>
    <col collapsed="false" customWidth="true" hidden="false" outlineLevel="0" max="13" min="13" style="0" width="44"/>
  </cols>
  <sheetData>
    <row r="1" customFormat="false" ht="17.35" hidden="false" customHeight="false" outlineLevel="0" collapsed="false">
      <c r="A1" s="1" t="s">
        <v>92</v>
      </c>
    </row>
    <row r="2" customFormat="false" ht="15" hidden="false" customHeight="false" outlineLevel="0" collapsed="false">
      <c r="A2" s="2" t="s">
        <v>93</v>
      </c>
    </row>
    <row r="4" customFormat="false" ht="35.05" hidden="false" customHeight="false" outlineLevel="0" collapsed="false">
      <c r="A4" s="3" t="s">
        <v>2</v>
      </c>
      <c r="B4" s="3" t="s">
        <v>94</v>
      </c>
      <c r="C4" s="3" t="s">
        <v>95</v>
      </c>
      <c r="D4" s="3" t="s">
        <v>96</v>
      </c>
      <c r="E4" s="3" t="s">
        <v>97</v>
      </c>
      <c r="F4" s="3" t="s">
        <v>98</v>
      </c>
      <c r="G4" s="3" t="s">
        <v>15</v>
      </c>
      <c r="H4" s="3" t="s">
        <v>99</v>
      </c>
      <c r="I4" s="3" t="s">
        <v>100</v>
      </c>
      <c r="J4" s="3" t="s">
        <v>81</v>
      </c>
      <c r="K4" s="3" t="s">
        <v>101</v>
      </c>
      <c r="L4" s="3" t="s">
        <v>102</v>
      </c>
      <c r="M4" s="3" t="s">
        <v>103</v>
      </c>
    </row>
    <row r="5" customFormat="false" ht="15" hidden="false" customHeight="false" outlineLevel="0" collapsed="false">
      <c r="A5" s="8" t="n">
        <v>1</v>
      </c>
      <c r="B5" s="8" t="s">
        <v>25</v>
      </c>
      <c r="C5" s="9" t="s">
        <v>104</v>
      </c>
      <c r="D5" s="8" t="s">
        <v>105</v>
      </c>
      <c r="E5" s="8" t="s">
        <v>106</v>
      </c>
      <c r="F5" s="9" t="s">
        <v>107</v>
      </c>
      <c r="G5" s="10" t="n">
        <f aca="false">COUNTA('BBB_Broken Links'!B2:B32)</f>
        <v>31</v>
      </c>
      <c r="H5" s="19" t="str">
        <f aca="false">HYPERLINK("#'BBB_Broken Links'!A1","BBB_Broken Links")</f>
        <v>BBB_Broken Links</v>
      </c>
      <c r="I5" s="20" t="s">
        <v>108</v>
      </c>
      <c r="J5" s="20" t="s">
        <v>84</v>
      </c>
      <c r="K5" s="20"/>
      <c r="L5" s="21"/>
      <c r="M5" s="22"/>
    </row>
    <row r="6" customFormat="false" ht="15" hidden="false" customHeight="false" outlineLevel="0" collapsed="false">
      <c r="A6" s="8" t="n">
        <v>2</v>
      </c>
      <c r="B6" s="8" t="s">
        <v>25</v>
      </c>
      <c r="C6" s="9" t="s">
        <v>109</v>
      </c>
      <c r="D6" s="8" t="s">
        <v>105</v>
      </c>
      <c r="E6" s="8" t="s">
        <v>106</v>
      </c>
      <c r="F6" s="9" t="s">
        <v>107</v>
      </c>
      <c r="G6" s="10" t="n">
        <f aca="false">COUNTA('BBB_Broken Internal Link'!B2:B32)</f>
        <v>31</v>
      </c>
      <c r="H6" s="19" t="str">
        <f aca="false">HYPERLINK("#'BBB_Broken Internal Link'!A1","BBB_Broken Internal Link")</f>
        <v>BBB_Broken Internal Link</v>
      </c>
      <c r="I6" s="20" t="s">
        <v>108</v>
      </c>
      <c r="J6" s="20" t="s">
        <v>84</v>
      </c>
      <c r="K6" s="20"/>
      <c r="L6" s="21"/>
      <c r="M6" s="22"/>
    </row>
    <row r="7" customFormat="false" ht="15" hidden="false" customHeight="false" outlineLevel="0" collapsed="false">
      <c r="A7" s="8" t="n">
        <v>3</v>
      </c>
      <c r="B7" s="8" t="s">
        <v>25</v>
      </c>
      <c r="C7" s="9" t="s">
        <v>110</v>
      </c>
      <c r="D7" s="8" t="s">
        <v>111</v>
      </c>
      <c r="E7" s="8" t="s">
        <v>106</v>
      </c>
      <c r="F7" s="9" t="s">
        <v>107</v>
      </c>
      <c r="G7" s="10" t="n">
        <f aca="false">COUNTA('BBB_Pages Marked No Index'!B2:B6)</f>
        <v>5</v>
      </c>
      <c r="H7" s="19" t="str">
        <f aca="false">HYPERLINK("#'BBB_Pages Marked No Index'!A1","BBB_Pages Marked No Index")</f>
        <v>BBB_Pages Marked No Index</v>
      </c>
      <c r="I7" s="20" t="s">
        <v>108</v>
      </c>
      <c r="J7" s="20" t="s">
        <v>84</v>
      </c>
      <c r="K7" s="20"/>
      <c r="L7" s="21"/>
      <c r="M7" s="22"/>
    </row>
    <row r="8" customFormat="false" ht="15" hidden="false" customHeight="false" outlineLevel="0" collapsed="false">
      <c r="A8" s="8" t="n">
        <v>4</v>
      </c>
      <c r="B8" s="8" t="s">
        <v>25</v>
      </c>
      <c r="C8" s="9" t="s">
        <v>112</v>
      </c>
      <c r="D8" s="8" t="s">
        <v>111</v>
      </c>
      <c r="E8" s="8" t="s">
        <v>106</v>
      </c>
      <c r="F8" s="9" t="s">
        <v>107</v>
      </c>
      <c r="G8" s="10" t="n">
        <f aca="false">COUNTA('BBB_Not submitted to IndexNow'!B2:B2111)</f>
        <v>2110</v>
      </c>
      <c r="H8" s="19" t="str">
        <f aca="false">HYPERLINK("#'BBB_Not submitted to IndexNow'!A1","BBB_Not submitted to IndexNow")</f>
        <v>BBB_Not submitted to IndexNow</v>
      </c>
      <c r="I8" s="20" t="s">
        <v>108</v>
      </c>
      <c r="J8" s="20" t="s">
        <v>84</v>
      </c>
      <c r="K8" s="20"/>
      <c r="L8" s="21"/>
      <c r="M8" s="22"/>
    </row>
    <row r="9" customFormat="false" ht="15" hidden="false" customHeight="false" outlineLevel="0" collapsed="false">
      <c r="A9" s="8" t="n">
        <v>5</v>
      </c>
      <c r="B9" s="8" t="s">
        <v>25</v>
      </c>
      <c r="C9" s="9" t="s">
        <v>113</v>
      </c>
      <c r="D9" s="8" t="s">
        <v>105</v>
      </c>
      <c r="E9" s="8" t="s">
        <v>106</v>
      </c>
      <c r="F9" s="9" t="s">
        <v>107</v>
      </c>
      <c r="G9" s="10" t="n">
        <f aca="false">COUNTA('BBB_Page has links to broken pa'!B2:B28)</f>
        <v>27</v>
      </c>
      <c r="H9" s="19" t="str">
        <f aca="false">HYPERLINK("#'BBB_Page has links to broken pa'!A1","BBB_Page has links to broken pa")</f>
        <v>BBB_Page has links to broken pa</v>
      </c>
      <c r="I9" s="20" t="s">
        <v>108</v>
      </c>
      <c r="J9" s="20" t="s">
        <v>84</v>
      </c>
      <c r="K9" s="20"/>
      <c r="L9" s="21"/>
      <c r="M9" s="22"/>
    </row>
    <row r="10" customFormat="false" ht="15" hidden="false" customHeight="false" outlineLevel="0" collapsed="false">
      <c r="A10" s="8" t="n">
        <v>6</v>
      </c>
      <c r="B10" s="8" t="s">
        <v>25</v>
      </c>
      <c r="C10" s="9" t="s">
        <v>114</v>
      </c>
      <c r="D10" s="8" t="s">
        <v>105</v>
      </c>
      <c r="E10" s="8" t="s">
        <v>106</v>
      </c>
      <c r="F10" s="9" t="s">
        <v>107</v>
      </c>
      <c r="G10" s="10" t="n">
        <f aca="false">COUNTA('BBB_Redirecting URLs'!B2:B33)</f>
        <v>32</v>
      </c>
      <c r="H10" s="19" t="str">
        <f aca="false">HYPERLINK("#'BBB_Redirecting URLs'!A1","BBB_Redirecting URLs")</f>
        <v>BBB_Redirecting URLs</v>
      </c>
      <c r="I10" s="20" t="s">
        <v>108</v>
      </c>
      <c r="J10" s="20" t="s">
        <v>84</v>
      </c>
      <c r="K10" s="20"/>
      <c r="L10" s="21"/>
      <c r="M10" s="22"/>
    </row>
    <row r="11" customFormat="false" ht="15" hidden="false" customHeight="false" outlineLevel="0" collapsed="false">
      <c r="A11" s="8" t="n">
        <v>7</v>
      </c>
      <c r="B11" s="8" t="s">
        <v>25</v>
      </c>
      <c r="C11" s="9" t="s">
        <v>115</v>
      </c>
      <c r="D11" s="8" t="s">
        <v>116</v>
      </c>
      <c r="E11" s="8" t="s">
        <v>106</v>
      </c>
      <c r="F11" s="9" t="s">
        <v>107</v>
      </c>
      <c r="G11" s="10" t="n">
        <f aca="false">COUNTA('BBB_Too Long Meta Title'!B2:B1747)</f>
        <v>1746</v>
      </c>
      <c r="H11" s="19" t="str">
        <f aca="false">HYPERLINK("#'BBB_Too Long Meta Title'!A1","BBB_Too Long Meta Title")</f>
        <v>BBB_Too Long Meta Title</v>
      </c>
      <c r="I11" s="20" t="s">
        <v>117</v>
      </c>
      <c r="J11" s="20" t="s">
        <v>84</v>
      </c>
      <c r="K11" s="20"/>
      <c r="L11" s="21"/>
      <c r="M11" s="22"/>
    </row>
    <row r="12" customFormat="false" ht="15" hidden="false" customHeight="false" outlineLevel="0" collapsed="false">
      <c r="A12" s="8" t="n">
        <v>8</v>
      </c>
      <c r="B12" s="8" t="s">
        <v>25</v>
      </c>
      <c r="C12" s="9" t="s">
        <v>118</v>
      </c>
      <c r="D12" s="8" t="s">
        <v>116</v>
      </c>
      <c r="E12" s="8" t="s">
        <v>106</v>
      </c>
      <c r="F12" s="9" t="s">
        <v>107</v>
      </c>
      <c r="G12" s="10" t="n">
        <f aca="false">COUNTA('BBB_Too Long Meta Description'!B2:B193)</f>
        <v>192</v>
      </c>
      <c r="H12" s="19" t="str">
        <f aca="false">HYPERLINK("#'BBB_Too Long Meta Description'!A1","BBB_Too Long Meta Description")</f>
        <v>BBB_Too Long Meta Description</v>
      </c>
      <c r="I12" s="20" t="s">
        <v>117</v>
      </c>
      <c r="J12" s="20" t="s">
        <v>84</v>
      </c>
      <c r="K12" s="20"/>
      <c r="L12" s="21"/>
      <c r="M12" s="22"/>
    </row>
    <row r="13" customFormat="false" ht="15" hidden="false" customHeight="false" outlineLevel="0" collapsed="false">
      <c r="A13" s="8" t="n">
        <v>9</v>
      </c>
      <c r="B13" s="8" t="s">
        <v>25</v>
      </c>
      <c r="C13" s="9" t="s">
        <v>119</v>
      </c>
      <c r="D13" s="8" t="s">
        <v>116</v>
      </c>
      <c r="E13" s="8" t="s">
        <v>106</v>
      </c>
      <c r="F13" s="9" t="s">
        <v>107</v>
      </c>
      <c r="G13" s="10" t="n">
        <f aca="false">COUNTA('BBB_Missing H1 Tag'!B2:B109)</f>
        <v>108</v>
      </c>
      <c r="H13" s="19" t="str">
        <f aca="false">HYPERLINK("#'BBB_Missing H1 Tag'!A1","BBB_Missing H1 Tag")</f>
        <v>BBB_Missing H1 Tag</v>
      </c>
      <c r="I13" s="20" t="s">
        <v>117</v>
      </c>
      <c r="J13" s="20" t="s">
        <v>84</v>
      </c>
      <c r="K13" s="20"/>
      <c r="L13" s="21"/>
      <c r="M13" s="22"/>
    </row>
    <row r="14" customFormat="false" ht="15" hidden="false" customHeight="false" outlineLevel="0" collapsed="false">
      <c r="A14" s="8" t="n">
        <v>10</v>
      </c>
      <c r="B14" s="8" t="s">
        <v>25</v>
      </c>
      <c r="C14" s="9" t="s">
        <v>120</v>
      </c>
      <c r="D14" s="8" t="s">
        <v>116</v>
      </c>
      <c r="E14" s="8" t="s">
        <v>106</v>
      </c>
      <c r="F14" s="9" t="s">
        <v>107</v>
      </c>
      <c r="G14" s="10" t="n">
        <f aca="false">COUNTA('BBB_Missing Meta Description'!B2:B7)</f>
        <v>6</v>
      </c>
      <c r="H14" s="19" t="str">
        <f aca="false">HYPERLINK("#'BBB_Missing Meta Description'!A1","BBB_Missing Meta Description")</f>
        <v>BBB_Missing Meta Description</v>
      </c>
      <c r="I14" s="20" t="s">
        <v>117</v>
      </c>
      <c r="J14" s="20" t="s">
        <v>84</v>
      </c>
      <c r="K14" s="20"/>
      <c r="L14" s="21"/>
      <c r="M14" s="22"/>
    </row>
    <row r="15" customFormat="false" ht="15" hidden="false" customHeight="false" outlineLevel="0" collapsed="false">
      <c r="A15" s="8" t="n">
        <v>11</v>
      </c>
      <c r="B15" s="8" t="s">
        <v>25</v>
      </c>
      <c r="C15" s="9" t="s">
        <v>121</v>
      </c>
      <c r="D15" s="8" t="s">
        <v>116</v>
      </c>
      <c r="E15" s="8" t="s">
        <v>106</v>
      </c>
      <c r="F15" s="9" t="s">
        <v>107</v>
      </c>
      <c r="G15" s="10" t="n">
        <f aca="false">COUNTA('BBB_Multiple H1 Tag'!B2:B291)</f>
        <v>290</v>
      </c>
      <c r="H15" s="19" t="str">
        <f aca="false">HYPERLINK("#'BBB_Multiple H1 Tag'!A1","BBB_Multiple H1 Tag")</f>
        <v>BBB_Multiple H1 Tag</v>
      </c>
      <c r="I15" s="20" t="s">
        <v>117</v>
      </c>
      <c r="J15" s="20" t="s">
        <v>84</v>
      </c>
      <c r="K15" s="20"/>
      <c r="L15" s="21"/>
      <c r="M15" s="22"/>
    </row>
    <row r="16" customFormat="false" ht="15" hidden="false" customHeight="false" outlineLevel="0" collapsed="false">
      <c r="A16" s="8" t="n">
        <v>12</v>
      </c>
      <c r="B16" s="8" t="s">
        <v>25</v>
      </c>
      <c r="C16" s="9" t="s">
        <v>122</v>
      </c>
      <c r="D16" s="8" t="s">
        <v>116</v>
      </c>
      <c r="E16" s="8" t="s">
        <v>106</v>
      </c>
      <c r="F16" s="9" t="s">
        <v>107</v>
      </c>
      <c r="G16" s="10" t="n">
        <f aca="false">COUNTA('BBB_Page and SERP titles do not'!B2:B30)</f>
        <v>29</v>
      </c>
      <c r="H16" s="19" t="str">
        <f aca="false">HYPERLINK("#'BBB_Page and SERP titles do not'!A1","BBB_Page and SERP titles do not")</f>
        <v>BBB_Page and SERP titles do not</v>
      </c>
      <c r="I16" s="20" t="s">
        <v>117</v>
      </c>
      <c r="J16" s="20" t="s">
        <v>84</v>
      </c>
      <c r="K16" s="20"/>
      <c r="L16" s="21"/>
      <c r="M16" s="22"/>
    </row>
    <row r="17" customFormat="false" ht="15" hidden="false" customHeight="false" outlineLevel="0" collapsed="false">
      <c r="A17" s="8" t="n">
        <v>13</v>
      </c>
      <c r="B17" s="8" t="s">
        <v>25</v>
      </c>
      <c r="C17" s="9" t="s">
        <v>123</v>
      </c>
      <c r="D17" s="8" t="s">
        <v>124</v>
      </c>
      <c r="E17" s="8" t="s">
        <v>106</v>
      </c>
      <c r="F17" s="9" t="s">
        <v>107</v>
      </c>
      <c r="G17" s="10" t="n">
        <f aca="false">COUNTA('BBB_Twitter and Open Graph tags'!B2:B7)</f>
        <v>6</v>
      </c>
      <c r="H17" s="19" t="str">
        <f aca="false">HYPERLINK("#'BBB_Twitter and Open Graph tags'!A1","BBB_Twitter and Open Graph tags")</f>
        <v>BBB_Twitter and Open Graph tags</v>
      </c>
      <c r="I17" s="20" t="s">
        <v>125</v>
      </c>
      <c r="J17" s="20" t="s">
        <v>84</v>
      </c>
      <c r="K17" s="20"/>
      <c r="L17" s="21"/>
      <c r="M17" s="22"/>
    </row>
    <row r="18" customFormat="false" ht="15" hidden="false" customHeight="false" outlineLevel="0" collapsed="false">
      <c r="A18" s="8" t="n">
        <v>14</v>
      </c>
      <c r="B18" s="8" t="s">
        <v>25</v>
      </c>
      <c r="C18" s="9" t="s">
        <v>126</v>
      </c>
      <c r="D18" s="8" t="s">
        <v>127</v>
      </c>
      <c r="E18" s="8" t="s">
        <v>106</v>
      </c>
      <c r="F18" s="9" t="s">
        <v>107</v>
      </c>
      <c r="G18" s="10" t="n">
        <f aca="false">COUNTA('BBB_Image file size too large'!B2:B96)</f>
        <v>95</v>
      </c>
      <c r="H18" s="19" t="str">
        <f aca="false">HYPERLINK("#'BBB_Image file size too large'!A1","BBB_Image file size too large")</f>
        <v>BBB_Image file size too large</v>
      </c>
      <c r="I18" s="20" t="s">
        <v>117</v>
      </c>
      <c r="J18" s="20" t="s">
        <v>84</v>
      </c>
      <c r="K18" s="20"/>
      <c r="L18" s="21"/>
      <c r="M18" s="22"/>
    </row>
    <row r="19" customFormat="false" ht="15" hidden="false" customHeight="false" outlineLevel="0" collapsed="false">
      <c r="A19" s="8" t="n">
        <v>15</v>
      </c>
      <c r="B19" s="8" t="s">
        <v>25</v>
      </c>
      <c r="C19" s="9" t="s">
        <v>128</v>
      </c>
      <c r="D19" s="8" t="s">
        <v>127</v>
      </c>
      <c r="E19" s="8" t="s">
        <v>106</v>
      </c>
      <c r="F19" s="9" t="s">
        <v>107</v>
      </c>
      <c r="G19" s="10" t="n">
        <f aca="false">COUNTA('BBB_Images Missing ALT text'!B2:B7)</f>
        <v>6</v>
      </c>
      <c r="H19" s="19" t="str">
        <f aca="false">HYPERLINK("#'BBB_Images Missing ALT text'!A1","BBB_Images Missing ALT text")</f>
        <v>BBB_Images Missing ALT text</v>
      </c>
      <c r="I19" s="20" t="s">
        <v>117</v>
      </c>
      <c r="J19" s="20" t="s">
        <v>84</v>
      </c>
      <c r="K19" s="20"/>
      <c r="L19" s="21"/>
      <c r="M19" s="22"/>
    </row>
    <row r="20" customFormat="false" ht="15" hidden="false" customHeight="false" outlineLevel="0" collapsed="false">
      <c r="A20" s="8" t="n">
        <v>16</v>
      </c>
      <c r="B20" s="8" t="s">
        <v>56</v>
      </c>
      <c r="C20" s="9" t="s">
        <v>119</v>
      </c>
      <c r="D20" s="8" t="s">
        <v>116</v>
      </c>
      <c r="E20" s="8" t="s">
        <v>106</v>
      </c>
      <c r="F20" s="9" t="s">
        <v>129</v>
      </c>
      <c r="G20" s="10" t="n">
        <f aca="false">COUNTA('HS_Missing H1 Tag'!A2:A175)</f>
        <v>174</v>
      </c>
      <c r="H20" s="19" t="str">
        <f aca="false">HYPERLINK("#'HS_Missing H1 Tag'!A1","HS_Missing H1 Tag")</f>
        <v>HS_Missing H1 Tag</v>
      </c>
      <c r="I20" s="20" t="s">
        <v>117</v>
      </c>
      <c r="J20" s="20" t="s">
        <v>84</v>
      </c>
      <c r="K20" s="20"/>
      <c r="L20" s="21"/>
      <c r="M20" s="22"/>
    </row>
    <row r="21" customFormat="false" ht="15" hidden="false" customHeight="false" outlineLevel="0" collapsed="false">
      <c r="A21" s="8" t="n">
        <v>17</v>
      </c>
      <c r="B21" s="8" t="s">
        <v>56</v>
      </c>
      <c r="C21" s="9" t="s">
        <v>121</v>
      </c>
      <c r="D21" s="8" t="s">
        <v>116</v>
      </c>
      <c r="E21" s="8" t="s">
        <v>106</v>
      </c>
      <c r="F21" s="9" t="s">
        <v>129</v>
      </c>
      <c r="G21" s="10" t="n">
        <f aca="false">COUNTA('HS_Multiple H1 Tag'!A2:A103)</f>
        <v>102</v>
      </c>
      <c r="H21" s="19" t="str">
        <f aca="false">HYPERLINK("#'HS_Multiple H1 Tag'!A1","HS_Multiple H1 Tag")</f>
        <v>HS_Multiple H1 Tag</v>
      </c>
      <c r="I21" s="20" t="s">
        <v>117</v>
      </c>
      <c r="J21" s="20" t="s">
        <v>84</v>
      </c>
      <c r="K21" s="20"/>
      <c r="L21" s="21"/>
      <c r="M21" s="22"/>
    </row>
    <row r="22" customFormat="false" ht="15" hidden="false" customHeight="false" outlineLevel="0" collapsed="false">
      <c r="A22" s="8" t="n">
        <v>18</v>
      </c>
      <c r="B22" s="8" t="s">
        <v>56</v>
      </c>
      <c r="C22" s="9" t="s">
        <v>115</v>
      </c>
      <c r="D22" s="8" t="s">
        <v>116</v>
      </c>
      <c r="E22" s="8" t="s">
        <v>106</v>
      </c>
      <c r="F22" s="9" t="s">
        <v>129</v>
      </c>
      <c r="G22" s="10" t="n">
        <f aca="false">COUNTA('HS_Too Long Meta Title'!A2:A335)</f>
        <v>334</v>
      </c>
      <c r="H22" s="19" t="str">
        <f aca="false">HYPERLINK("#'HS_Too Long Meta Title'!A1","HS_Too Long Meta Title")</f>
        <v>HS_Too Long Meta Title</v>
      </c>
      <c r="I22" s="20" t="s">
        <v>117</v>
      </c>
      <c r="J22" s="20" t="s">
        <v>84</v>
      </c>
      <c r="K22" s="20"/>
      <c r="L22" s="21"/>
      <c r="M22" s="22"/>
    </row>
    <row r="23" customFormat="false" ht="15" hidden="false" customHeight="false" outlineLevel="0" collapsed="false">
      <c r="A23" s="8" t="n">
        <v>19</v>
      </c>
      <c r="B23" s="8" t="s">
        <v>56</v>
      </c>
      <c r="C23" s="9" t="s">
        <v>118</v>
      </c>
      <c r="D23" s="8" t="s">
        <v>116</v>
      </c>
      <c r="E23" s="8" t="s">
        <v>106</v>
      </c>
      <c r="F23" s="9" t="s">
        <v>129</v>
      </c>
      <c r="G23" s="10" t="n">
        <f aca="false">COUNTA('HS_Too Long Meta Description'!A2:A997)</f>
        <v>996</v>
      </c>
      <c r="H23" s="19" t="str">
        <f aca="false">HYPERLINK("#'HS_Too Long Meta Description'!A1","HS_Too Long Meta Description")</f>
        <v>HS_Too Long Meta Description</v>
      </c>
      <c r="I23" s="20" t="s">
        <v>117</v>
      </c>
      <c r="J23" s="20" t="s">
        <v>84</v>
      </c>
      <c r="K23" s="20"/>
      <c r="L23" s="21"/>
      <c r="M23" s="22"/>
    </row>
    <row r="24" customFormat="false" ht="15" hidden="false" customHeight="false" outlineLevel="0" collapsed="false">
      <c r="A24" s="8" t="n">
        <v>20</v>
      </c>
      <c r="B24" s="8" t="s">
        <v>56</v>
      </c>
      <c r="C24" s="9" t="s">
        <v>130</v>
      </c>
      <c r="D24" s="8" t="s">
        <v>111</v>
      </c>
      <c r="E24" s="8" t="s">
        <v>106</v>
      </c>
      <c r="F24" s="9" t="s">
        <v>129</v>
      </c>
      <c r="G24" s="10" t="n">
        <f aca="false">COUNTA('HS_Pages droped from top 10 Pos'!A2:A99)</f>
        <v>98</v>
      </c>
      <c r="H24" s="19" t="str">
        <f aca="false">HYPERLINK("#'HS_Pages droped from top 10 Pos'!A1","HS_Pages droped from top 10 Pos")</f>
        <v>HS_Pages droped from top 10 Pos</v>
      </c>
      <c r="I24" s="20" t="s">
        <v>108</v>
      </c>
      <c r="J24" s="20" t="s">
        <v>84</v>
      </c>
      <c r="K24" s="20"/>
      <c r="L24" s="21"/>
      <c r="M24" s="22"/>
    </row>
    <row r="25" customFormat="false" ht="15" hidden="false" customHeight="false" outlineLevel="0" collapsed="false">
      <c r="A25" s="8" t="n">
        <v>21</v>
      </c>
      <c r="B25" s="8" t="s">
        <v>61</v>
      </c>
      <c r="C25" s="9" t="s">
        <v>131</v>
      </c>
      <c r="D25" s="8" t="s">
        <v>105</v>
      </c>
      <c r="E25" s="8" t="s">
        <v>106</v>
      </c>
      <c r="F25" s="9" t="s">
        <v>132</v>
      </c>
      <c r="G25" s="10" t="n">
        <f aca="false">COUNTA(SV_4xx!B5:B85)</f>
        <v>81</v>
      </c>
      <c r="H25" s="19" t="str">
        <f aca="false">HYPERLINK("#'SV_4xx'!A1","SV_4xx")</f>
        <v>SV_4xx</v>
      </c>
      <c r="I25" s="20" t="s">
        <v>108</v>
      </c>
      <c r="J25" s="20" t="s">
        <v>84</v>
      </c>
      <c r="K25" s="20"/>
      <c r="L25" s="21"/>
      <c r="M25" s="22"/>
    </row>
    <row r="26" customFormat="false" ht="15" hidden="false" customHeight="false" outlineLevel="0" collapsed="false">
      <c r="A26" s="8" t="n">
        <v>22</v>
      </c>
      <c r="B26" s="8" t="s">
        <v>61</v>
      </c>
      <c r="C26" s="9" t="s">
        <v>133</v>
      </c>
      <c r="D26" s="8" t="s">
        <v>105</v>
      </c>
      <c r="E26" s="8" t="s">
        <v>106</v>
      </c>
      <c r="F26" s="9" t="s">
        <v>132</v>
      </c>
      <c r="G26" s="10" t="n">
        <f aca="false">COUNTA('SV_3xx Redirection'!A6:A215)</f>
        <v>210</v>
      </c>
      <c r="H26" s="19" t="str">
        <f aca="false">HYPERLINK("#'SV_3xx Redirection'!A1","SV_3xx Redirection")</f>
        <v>SV_3xx Redirection</v>
      </c>
      <c r="I26" s="20" t="s">
        <v>108</v>
      </c>
      <c r="J26" s="20" t="s">
        <v>84</v>
      </c>
      <c r="K26" s="20"/>
      <c r="L26" s="21"/>
      <c r="M26" s="22"/>
    </row>
    <row r="27" customFormat="false" ht="15" hidden="false" customHeight="false" outlineLevel="0" collapsed="false">
      <c r="A27" s="8" t="n">
        <v>23</v>
      </c>
      <c r="B27" s="8" t="s">
        <v>61</v>
      </c>
      <c r="C27" s="9" t="s">
        <v>113</v>
      </c>
      <c r="D27" s="8" t="s">
        <v>105</v>
      </c>
      <c r="E27" s="8" t="s">
        <v>106</v>
      </c>
      <c r="F27" s="9" t="s">
        <v>132</v>
      </c>
      <c r="G27" s="10" t="n">
        <f aca="false">COUNTA('SV_Page has links to broken pag'!B5:B70)</f>
        <v>66</v>
      </c>
      <c r="H27" s="19" t="str">
        <f aca="false">HYPERLINK("#'SV_Page has links to broken pag'!A1","SV_Page has links to broken pag")</f>
        <v>SV_Page has links to broken pag</v>
      </c>
      <c r="I27" s="20" t="s">
        <v>108</v>
      </c>
      <c r="J27" s="20" t="s">
        <v>84</v>
      </c>
      <c r="K27" s="20"/>
      <c r="L27" s="21"/>
      <c r="M27" s="22"/>
    </row>
    <row r="28" customFormat="false" ht="15" hidden="false" customHeight="false" outlineLevel="0" collapsed="false">
      <c r="A28" s="8" t="n">
        <v>24</v>
      </c>
      <c r="B28" s="8" t="s">
        <v>61</v>
      </c>
      <c r="C28" s="9" t="s">
        <v>134</v>
      </c>
      <c r="D28" s="8" t="s">
        <v>116</v>
      </c>
      <c r="E28" s="8" t="s">
        <v>106</v>
      </c>
      <c r="F28" s="9" t="s">
        <v>132</v>
      </c>
      <c r="G28" s="10" t="n">
        <f aca="false">COUNTA('SV_Meta description too long'!C5:C1220)</f>
        <v>1216</v>
      </c>
      <c r="H28" s="19" t="str">
        <f aca="false">HYPERLINK("#'SV_Meta description too long'!A1","SV_Meta description too long")</f>
        <v>SV_Meta description too long</v>
      </c>
      <c r="I28" s="20" t="s">
        <v>117</v>
      </c>
      <c r="J28" s="20" t="s">
        <v>84</v>
      </c>
      <c r="K28" s="20"/>
      <c r="L28" s="21"/>
      <c r="M28" s="22"/>
    </row>
    <row r="29" customFormat="false" ht="15" hidden="false" customHeight="false" outlineLevel="0" collapsed="false">
      <c r="A29" s="8" t="n">
        <v>25</v>
      </c>
      <c r="B29" s="8" t="s">
        <v>61</v>
      </c>
      <c r="C29" s="9" t="s">
        <v>135</v>
      </c>
      <c r="D29" s="8" t="s">
        <v>116</v>
      </c>
      <c r="E29" s="8" t="s">
        <v>106</v>
      </c>
      <c r="F29" s="9" t="s">
        <v>132</v>
      </c>
      <c r="G29" s="10" t="n">
        <f aca="false">COUNTA('SV_Title too long'!B4:B775)</f>
        <v>772</v>
      </c>
      <c r="H29" s="19" t="str">
        <f aca="false">HYPERLINK("#'SV_Title too long'!A1","SV_Title too long")</f>
        <v>SV_Title too long</v>
      </c>
      <c r="I29" s="20" t="s">
        <v>117</v>
      </c>
      <c r="J29" s="20" t="s">
        <v>84</v>
      </c>
      <c r="K29" s="20"/>
      <c r="L29" s="21"/>
      <c r="M29" s="22"/>
    </row>
    <row r="30" customFormat="false" ht="15" hidden="false" customHeight="false" outlineLevel="0" collapsed="false">
      <c r="A30" s="8" t="n">
        <v>26</v>
      </c>
      <c r="B30" s="8" t="s">
        <v>61</v>
      </c>
      <c r="C30" s="9" t="s">
        <v>136</v>
      </c>
      <c r="D30" s="8" t="s">
        <v>116</v>
      </c>
      <c r="E30" s="8" t="s">
        <v>106</v>
      </c>
      <c r="F30" s="9" t="s">
        <v>132</v>
      </c>
      <c r="G30" s="10" t="n">
        <f aca="false">COUNTA('SV_Missing H1'!C4:C91)</f>
        <v>88</v>
      </c>
      <c r="H30" s="19" t="str">
        <f aca="false">HYPERLINK("#'SV_Missing H1'!A1","SV_Missing H1")</f>
        <v>SV_Missing H1</v>
      </c>
      <c r="I30" s="20" t="s">
        <v>117</v>
      </c>
      <c r="J30" s="20" t="s">
        <v>84</v>
      </c>
      <c r="K30" s="20"/>
      <c r="L30" s="21"/>
      <c r="M30" s="22"/>
    </row>
    <row r="31" customFormat="false" ht="15" hidden="false" customHeight="false" outlineLevel="0" collapsed="false">
      <c r="A31" s="8" t="n">
        <v>27</v>
      </c>
      <c r="B31" s="8" t="s">
        <v>61</v>
      </c>
      <c r="C31" s="9" t="s">
        <v>137</v>
      </c>
      <c r="D31" s="8" t="s">
        <v>116</v>
      </c>
      <c r="E31" s="8" t="s">
        <v>106</v>
      </c>
      <c r="F31" s="9" t="s">
        <v>132</v>
      </c>
      <c r="G31" s="10" t="n">
        <f aca="false">COUNTA('SV_Meta description too short'!C5:C48)</f>
        <v>44</v>
      </c>
      <c r="H31" s="19" t="str">
        <f aca="false">HYPERLINK("#'SV_Meta description too short'!A1","SV_Meta description too short")</f>
        <v>SV_Meta description too short</v>
      </c>
      <c r="I31" s="20" t="s">
        <v>117</v>
      </c>
      <c r="J31" s="20" t="s">
        <v>84</v>
      </c>
      <c r="K31" s="20"/>
      <c r="L31" s="21"/>
      <c r="M31" s="22"/>
    </row>
    <row r="32" customFormat="false" ht="15" hidden="false" customHeight="false" outlineLevel="0" collapsed="false">
      <c r="A32" s="8" t="n">
        <v>28</v>
      </c>
      <c r="B32" s="8" t="s">
        <v>61</v>
      </c>
      <c r="C32" s="9" t="s">
        <v>138</v>
      </c>
      <c r="D32" s="8" t="s">
        <v>116</v>
      </c>
      <c r="E32" s="8" t="s">
        <v>106</v>
      </c>
      <c r="F32" s="9" t="s">
        <v>132</v>
      </c>
      <c r="G32" s="10" t="n">
        <f aca="false">COUNTA('SV_Meta description tag missing'!C6:C15)</f>
        <v>10</v>
      </c>
      <c r="H32" s="19" t="str">
        <f aca="false">HYPERLINK("#'SV_Meta description tag missing'!A1","SV_Meta description tag missing")</f>
        <v>SV_Meta description tag missing</v>
      </c>
      <c r="I32" s="20" t="s">
        <v>117</v>
      </c>
      <c r="J32" s="20" t="s">
        <v>84</v>
      </c>
      <c r="K32" s="20"/>
      <c r="L32" s="21"/>
      <c r="M32" s="22"/>
    </row>
    <row r="33" customFormat="false" ht="15" hidden="false" customHeight="false" outlineLevel="0" collapsed="false">
      <c r="A33" s="8" t="n">
        <v>29</v>
      </c>
      <c r="B33" s="8" t="s">
        <v>61</v>
      </c>
      <c r="C33" s="9" t="s">
        <v>139</v>
      </c>
      <c r="D33" s="8" t="s">
        <v>116</v>
      </c>
      <c r="E33" s="8" t="s">
        <v>106</v>
      </c>
      <c r="F33" s="9" t="s">
        <v>132</v>
      </c>
      <c r="G33" s="10" t="n">
        <f aca="false">COUNTA('SV_Multiple H1 tags'!C4:C255)</f>
        <v>252</v>
      </c>
      <c r="H33" s="19" t="str">
        <f aca="false">HYPERLINK("#'SV_Multiple H1 tags'!A1","SV_Multiple H1 tags")</f>
        <v>SV_Multiple H1 tags</v>
      </c>
      <c r="I33" s="20" t="s">
        <v>117</v>
      </c>
      <c r="J33" s="20" t="s">
        <v>84</v>
      </c>
      <c r="K33" s="20"/>
      <c r="L33" s="21"/>
      <c r="M33" s="22"/>
    </row>
    <row r="34" customFormat="false" ht="15" hidden="false" customHeight="false" outlineLevel="0" collapsed="false">
      <c r="A34" s="8" t="n">
        <v>30</v>
      </c>
      <c r="B34" s="8" t="s">
        <v>61</v>
      </c>
      <c r="C34" s="9" t="s">
        <v>140</v>
      </c>
      <c r="D34" s="8" t="s">
        <v>111</v>
      </c>
      <c r="E34" s="8" t="s">
        <v>106</v>
      </c>
      <c r="F34" s="9" t="s">
        <v>132</v>
      </c>
      <c r="G34" s="10" t="n">
        <f aca="false">COUNTA('SV_Pages have high AI content l'!C5:C5)</f>
        <v>1</v>
      </c>
      <c r="H34" s="19" t="str">
        <f aca="false">HYPERLINK("#'SV_Pages have high AI content l'!A1","SV_Pages have high AI content l")</f>
        <v>SV_Pages have high AI content l</v>
      </c>
      <c r="I34" s="20" t="s">
        <v>108</v>
      </c>
      <c r="J34" s="20" t="s">
        <v>84</v>
      </c>
      <c r="K34" s="20"/>
      <c r="L34" s="21"/>
      <c r="M34" s="22"/>
    </row>
    <row r="35" customFormat="false" ht="15" hidden="false" customHeight="false" outlineLevel="0" collapsed="false">
      <c r="A35" s="8" t="n">
        <v>31</v>
      </c>
      <c r="B35" s="8" t="s">
        <v>61</v>
      </c>
      <c r="C35" s="9" t="s">
        <v>141</v>
      </c>
      <c r="D35" s="8" t="s">
        <v>124</v>
      </c>
      <c r="E35" s="8" t="s">
        <v>106</v>
      </c>
      <c r="F35" s="9" t="s">
        <v>132</v>
      </c>
      <c r="G35" s="10" t="n">
        <f aca="false">COUNTA('SV_Missing alt text'!C4:C324)</f>
        <v>321</v>
      </c>
      <c r="H35" s="19" t="str">
        <f aca="false">HYPERLINK("#'SV_Missing alt text'!A1","SV_Missing alt text")</f>
        <v>SV_Missing alt text</v>
      </c>
      <c r="I35" s="20" t="s">
        <v>125</v>
      </c>
      <c r="J35" s="20" t="s">
        <v>84</v>
      </c>
      <c r="K35" s="20"/>
      <c r="L35" s="21"/>
      <c r="M35" s="22"/>
    </row>
    <row r="36" customFormat="false" ht="15" hidden="false" customHeight="false" outlineLevel="0" collapsed="false">
      <c r="A36" s="8" t="n">
        <v>32</v>
      </c>
      <c r="B36" s="8" t="s">
        <v>61</v>
      </c>
      <c r="C36" s="9" t="s">
        <v>142</v>
      </c>
      <c r="D36" s="8" t="s">
        <v>105</v>
      </c>
      <c r="E36" s="8" t="s">
        <v>106</v>
      </c>
      <c r="F36" s="9" t="s">
        <v>132</v>
      </c>
      <c r="G36" s="10" t="n">
        <f aca="false">COUNTA('SV_External 4XX'!B6:B71)</f>
        <v>66</v>
      </c>
      <c r="H36" s="19" t="str">
        <f aca="false">HYPERLINK("#'SV_External 4XX'!A1","SV_External 4XX")</f>
        <v>SV_External 4XX</v>
      </c>
      <c r="I36" s="20" t="s">
        <v>108</v>
      </c>
      <c r="J36" s="20" t="s">
        <v>84</v>
      </c>
      <c r="K36" s="20"/>
      <c r="L36" s="21"/>
      <c r="M36" s="22"/>
    </row>
    <row r="37" customFormat="false" ht="15" hidden="false" customHeight="false" outlineLevel="0" collapsed="false">
      <c r="A37" s="8" t="n">
        <v>33</v>
      </c>
      <c r="B37" s="8" t="s">
        <v>25</v>
      </c>
      <c r="C37" s="9" t="s">
        <v>143</v>
      </c>
      <c r="D37" s="8" t="s">
        <v>111</v>
      </c>
      <c r="E37" s="8" t="s">
        <v>144</v>
      </c>
      <c r="F37" s="9" t="s">
        <v>145</v>
      </c>
      <c r="G37" s="23" t="n">
        <v>170</v>
      </c>
      <c r="H37" s="8"/>
      <c r="I37" s="20" t="s">
        <v>108</v>
      </c>
      <c r="J37" s="20" t="s">
        <v>84</v>
      </c>
      <c r="K37" s="20"/>
      <c r="L37" s="21"/>
      <c r="M37" s="22" t="s">
        <v>146</v>
      </c>
    </row>
    <row r="38" customFormat="false" ht="23.85" hidden="false" customHeight="false" outlineLevel="0" collapsed="false">
      <c r="A38" s="8" t="n">
        <v>34</v>
      </c>
      <c r="B38" s="8" t="s">
        <v>25</v>
      </c>
      <c r="C38" s="9" t="s">
        <v>147</v>
      </c>
      <c r="D38" s="8" t="s">
        <v>111</v>
      </c>
      <c r="E38" s="8" t="s">
        <v>144</v>
      </c>
      <c r="F38" s="9" t="s">
        <v>145</v>
      </c>
      <c r="G38" s="10"/>
      <c r="H38" s="8"/>
      <c r="I38" s="20" t="s">
        <v>148</v>
      </c>
      <c r="J38" s="20" t="s">
        <v>84</v>
      </c>
      <c r="K38" s="20"/>
      <c r="L38" s="21"/>
      <c r="M38" s="22" t="s">
        <v>149</v>
      </c>
    </row>
    <row r="39" customFormat="false" ht="15" hidden="false" customHeight="false" outlineLevel="0" collapsed="false">
      <c r="A39" s="8" t="n">
        <v>35</v>
      </c>
      <c r="B39" s="8" t="s">
        <v>25</v>
      </c>
      <c r="C39" s="9" t="s">
        <v>150</v>
      </c>
      <c r="D39" s="8" t="s">
        <v>111</v>
      </c>
      <c r="E39" s="8" t="s">
        <v>144</v>
      </c>
      <c r="F39" s="9" t="s">
        <v>145</v>
      </c>
      <c r="G39" s="23" t="n">
        <v>10</v>
      </c>
      <c r="H39" s="8"/>
      <c r="I39" s="20" t="s">
        <v>108</v>
      </c>
      <c r="J39" s="20" t="s">
        <v>84</v>
      </c>
      <c r="K39" s="20"/>
      <c r="L39" s="21"/>
      <c r="M39" s="22" t="s">
        <v>151</v>
      </c>
    </row>
    <row r="40" customFormat="false" ht="23.85" hidden="false" customHeight="false" outlineLevel="0" collapsed="false">
      <c r="A40" s="8" t="n">
        <v>36</v>
      </c>
      <c r="B40" s="8" t="s">
        <v>25</v>
      </c>
      <c r="C40" s="9" t="s">
        <v>152</v>
      </c>
      <c r="D40" s="8" t="s">
        <v>111</v>
      </c>
      <c r="E40" s="8" t="s">
        <v>144</v>
      </c>
      <c r="F40" s="9" t="s">
        <v>153</v>
      </c>
      <c r="G40" s="23" t="n">
        <v>18</v>
      </c>
      <c r="H40" s="8"/>
      <c r="I40" s="20" t="s">
        <v>108</v>
      </c>
      <c r="J40" s="20" t="s">
        <v>84</v>
      </c>
      <c r="K40" s="20"/>
      <c r="L40" s="21"/>
      <c r="M40" s="22" t="s">
        <v>154</v>
      </c>
    </row>
    <row r="41" customFormat="false" ht="23.85" hidden="false" customHeight="false" outlineLevel="0" collapsed="false">
      <c r="A41" s="8" t="n">
        <v>37</v>
      </c>
      <c r="B41" s="8" t="s">
        <v>31</v>
      </c>
      <c r="C41" s="9" t="s">
        <v>155</v>
      </c>
      <c r="D41" s="8" t="s">
        <v>156</v>
      </c>
      <c r="E41" s="8" t="s">
        <v>144</v>
      </c>
      <c r="F41" s="9" t="s">
        <v>157</v>
      </c>
      <c r="G41" s="10"/>
      <c r="H41" s="8"/>
      <c r="I41" s="20" t="s">
        <v>117</v>
      </c>
      <c r="J41" s="20" t="s">
        <v>84</v>
      </c>
      <c r="K41" s="20"/>
      <c r="L41" s="21"/>
      <c r="M41" s="22" t="s">
        <v>158</v>
      </c>
    </row>
    <row r="42" customFormat="false" ht="15" hidden="false" customHeight="false" outlineLevel="0" collapsed="false">
      <c r="A42" s="8" t="n">
        <v>38</v>
      </c>
      <c r="B42" s="8" t="s">
        <v>31</v>
      </c>
      <c r="C42" s="9" t="s">
        <v>159</v>
      </c>
      <c r="D42" s="8" t="s">
        <v>156</v>
      </c>
      <c r="E42" s="8" t="s">
        <v>144</v>
      </c>
      <c r="F42" s="9" t="s">
        <v>157</v>
      </c>
      <c r="G42" s="10"/>
      <c r="H42" s="8"/>
      <c r="I42" s="20" t="s">
        <v>117</v>
      </c>
      <c r="J42" s="20" t="s">
        <v>84</v>
      </c>
      <c r="K42" s="20"/>
      <c r="L42" s="21"/>
      <c r="M42" s="22"/>
    </row>
    <row r="43" customFormat="false" ht="23.85" hidden="false" customHeight="false" outlineLevel="0" collapsed="false">
      <c r="A43" s="8" t="n">
        <v>39</v>
      </c>
      <c r="B43" s="8" t="s">
        <v>31</v>
      </c>
      <c r="C43" s="9" t="s">
        <v>160</v>
      </c>
      <c r="D43" s="8" t="s">
        <v>111</v>
      </c>
      <c r="E43" s="8" t="s">
        <v>144</v>
      </c>
      <c r="F43" s="9" t="s">
        <v>157</v>
      </c>
      <c r="G43" s="10"/>
      <c r="H43" s="8"/>
      <c r="I43" s="20" t="s">
        <v>108</v>
      </c>
      <c r="J43" s="20" t="s">
        <v>84</v>
      </c>
      <c r="K43" s="20"/>
      <c r="L43" s="21"/>
      <c r="M43" s="22" t="s">
        <v>161</v>
      </c>
    </row>
    <row r="44" customFormat="false" ht="15" hidden="false" customHeight="false" outlineLevel="0" collapsed="false">
      <c r="A44" s="8" t="n">
        <v>40</v>
      </c>
      <c r="B44" s="8" t="s">
        <v>31</v>
      </c>
      <c r="C44" s="9" t="s">
        <v>162</v>
      </c>
      <c r="D44" s="8" t="s">
        <v>105</v>
      </c>
      <c r="E44" s="8" t="s">
        <v>144</v>
      </c>
      <c r="F44" s="9" t="s">
        <v>163</v>
      </c>
      <c r="G44" s="10"/>
      <c r="H44" s="8"/>
      <c r="I44" s="20" t="s">
        <v>108</v>
      </c>
      <c r="J44" s="20" t="s">
        <v>84</v>
      </c>
      <c r="K44" s="20"/>
      <c r="L44" s="21"/>
      <c r="M44" s="22" t="s">
        <v>164</v>
      </c>
    </row>
    <row r="45" customFormat="false" ht="15" hidden="false" customHeight="false" outlineLevel="0" collapsed="false">
      <c r="A45" s="8" t="n">
        <v>41</v>
      </c>
      <c r="B45" s="8" t="s">
        <v>31</v>
      </c>
      <c r="C45" s="9" t="s">
        <v>165</v>
      </c>
      <c r="D45" s="8" t="s">
        <v>105</v>
      </c>
      <c r="E45" s="8" t="s">
        <v>144</v>
      </c>
      <c r="F45" s="9" t="s">
        <v>163</v>
      </c>
      <c r="G45" s="10"/>
      <c r="H45" s="8"/>
      <c r="I45" s="20" t="s">
        <v>108</v>
      </c>
      <c r="J45" s="20" t="s">
        <v>84</v>
      </c>
      <c r="K45" s="20"/>
      <c r="L45" s="21"/>
      <c r="M45" s="22"/>
    </row>
    <row r="46" customFormat="false" ht="15" hidden="false" customHeight="false" outlineLevel="0" collapsed="false">
      <c r="A46" s="8" t="n">
        <v>42</v>
      </c>
      <c r="B46" s="8" t="s">
        <v>31</v>
      </c>
      <c r="C46" s="9" t="s">
        <v>166</v>
      </c>
      <c r="D46" s="8" t="s">
        <v>111</v>
      </c>
      <c r="E46" s="8" t="s">
        <v>144</v>
      </c>
      <c r="F46" s="9" t="s">
        <v>163</v>
      </c>
      <c r="G46" s="10"/>
      <c r="H46" s="8"/>
      <c r="I46" s="20" t="s">
        <v>108</v>
      </c>
      <c r="J46" s="20" t="s">
        <v>84</v>
      </c>
      <c r="K46" s="20"/>
      <c r="L46" s="21"/>
      <c r="M46" s="22"/>
    </row>
    <row r="47" customFormat="false" ht="15" hidden="false" customHeight="false" outlineLevel="0" collapsed="false">
      <c r="A47" s="8" t="n">
        <v>43</v>
      </c>
      <c r="B47" s="8" t="s">
        <v>48</v>
      </c>
      <c r="C47" s="9" t="s">
        <v>167</v>
      </c>
      <c r="D47" s="8" t="s">
        <v>111</v>
      </c>
      <c r="E47" s="8" t="s">
        <v>144</v>
      </c>
      <c r="F47" s="9" t="s">
        <v>168</v>
      </c>
      <c r="G47" s="10"/>
      <c r="H47" s="8"/>
      <c r="I47" s="20" t="s">
        <v>108</v>
      </c>
      <c r="J47" s="20" t="s">
        <v>84</v>
      </c>
      <c r="K47" s="20"/>
      <c r="L47" s="21"/>
      <c r="M47" s="22" t="s">
        <v>169</v>
      </c>
    </row>
    <row r="48" customFormat="false" ht="15" hidden="false" customHeight="false" outlineLevel="0" collapsed="false">
      <c r="A48" s="8" t="n">
        <v>44</v>
      </c>
      <c r="B48" s="8" t="s">
        <v>48</v>
      </c>
      <c r="C48" s="9" t="s">
        <v>170</v>
      </c>
      <c r="D48" s="8" t="s">
        <v>156</v>
      </c>
      <c r="E48" s="8" t="s">
        <v>144</v>
      </c>
      <c r="F48" s="9" t="s">
        <v>168</v>
      </c>
      <c r="G48" s="10"/>
      <c r="H48" s="8"/>
      <c r="I48" s="20" t="s">
        <v>117</v>
      </c>
      <c r="J48" s="20" t="s">
        <v>84</v>
      </c>
      <c r="K48" s="20"/>
      <c r="L48" s="21"/>
      <c r="M48" s="22" t="s">
        <v>171</v>
      </c>
    </row>
    <row r="49" customFormat="false" ht="23.85" hidden="false" customHeight="false" outlineLevel="0" collapsed="false">
      <c r="A49" s="8" t="n">
        <v>45</v>
      </c>
      <c r="B49" s="8" t="s">
        <v>18</v>
      </c>
      <c r="C49" s="9" t="s">
        <v>172</v>
      </c>
      <c r="D49" s="8" t="s">
        <v>111</v>
      </c>
      <c r="E49" s="8" t="s">
        <v>144</v>
      </c>
      <c r="F49" s="9" t="s">
        <v>173</v>
      </c>
      <c r="G49" s="23" t="n">
        <v>3</v>
      </c>
      <c r="H49" s="8"/>
      <c r="I49" s="20" t="s">
        <v>108</v>
      </c>
      <c r="J49" s="20" t="s">
        <v>84</v>
      </c>
      <c r="K49" s="20"/>
      <c r="L49" s="21"/>
      <c r="M49" s="22" t="s">
        <v>174</v>
      </c>
    </row>
    <row r="50" customFormat="false" ht="23.85" hidden="false" customHeight="false" outlineLevel="0" collapsed="false">
      <c r="A50" s="8" t="n">
        <v>46</v>
      </c>
      <c r="B50" s="8" t="s">
        <v>43</v>
      </c>
      <c r="C50" s="9" t="s">
        <v>172</v>
      </c>
      <c r="D50" s="8" t="s">
        <v>111</v>
      </c>
      <c r="E50" s="8" t="s">
        <v>144</v>
      </c>
      <c r="F50" s="9" t="s">
        <v>173</v>
      </c>
      <c r="G50" s="23" t="n">
        <v>3</v>
      </c>
      <c r="H50" s="8"/>
      <c r="I50" s="20" t="s">
        <v>108</v>
      </c>
      <c r="J50" s="20" t="s">
        <v>84</v>
      </c>
      <c r="K50" s="20"/>
      <c r="L50" s="21"/>
      <c r="M50" s="22" t="s">
        <v>175</v>
      </c>
    </row>
    <row r="51" customFormat="false" ht="23.85" hidden="false" customHeight="false" outlineLevel="0" collapsed="false">
      <c r="A51" s="8" t="n">
        <v>47</v>
      </c>
      <c r="B51" s="8" t="s">
        <v>56</v>
      </c>
      <c r="C51" s="9" t="s">
        <v>176</v>
      </c>
      <c r="D51" s="8" t="s">
        <v>127</v>
      </c>
      <c r="E51" s="8" t="s">
        <v>144</v>
      </c>
      <c r="F51" s="9" t="s">
        <v>177</v>
      </c>
      <c r="G51" s="10"/>
      <c r="H51" s="8"/>
      <c r="I51" s="20" t="s">
        <v>117</v>
      </c>
      <c r="J51" s="20" t="s">
        <v>84</v>
      </c>
      <c r="K51" s="20"/>
      <c r="L51" s="21"/>
      <c r="M51" s="22" t="s">
        <v>178</v>
      </c>
    </row>
    <row r="52" customFormat="false" ht="23.85" hidden="false" customHeight="false" outlineLevel="0" collapsed="false">
      <c r="A52" s="8" t="n">
        <v>48</v>
      </c>
      <c r="B52" s="8" t="s">
        <v>56</v>
      </c>
      <c r="C52" s="9" t="s">
        <v>179</v>
      </c>
      <c r="D52" s="8" t="s">
        <v>156</v>
      </c>
      <c r="E52" s="8" t="s">
        <v>144</v>
      </c>
      <c r="F52" s="9" t="s">
        <v>177</v>
      </c>
      <c r="G52" s="10"/>
      <c r="H52" s="8"/>
      <c r="I52" s="20" t="s">
        <v>117</v>
      </c>
      <c r="J52" s="20" t="s">
        <v>84</v>
      </c>
      <c r="K52" s="20"/>
      <c r="L52" s="21"/>
      <c r="M52" s="22"/>
    </row>
    <row r="53" customFormat="false" ht="23.85" hidden="false" customHeight="false" outlineLevel="0" collapsed="false">
      <c r="A53" s="8" t="n">
        <v>49</v>
      </c>
      <c r="B53" s="8" t="s">
        <v>56</v>
      </c>
      <c r="C53" s="9" t="s">
        <v>180</v>
      </c>
      <c r="D53" s="8" t="s">
        <v>111</v>
      </c>
      <c r="E53" s="8" t="s">
        <v>144</v>
      </c>
      <c r="F53" s="9" t="s">
        <v>177</v>
      </c>
      <c r="G53" s="10"/>
      <c r="H53" s="8"/>
      <c r="I53" s="20" t="s">
        <v>108</v>
      </c>
      <c r="J53" s="20" t="s">
        <v>84</v>
      </c>
      <c r="K53" s="20"/>
      <c r="L53" s="21"/>
      <c r="M53" s="22"/>
    </row>
    <row r="54" customFormat="false" ht="15" hidden="false" customHeight="false" outlineLevel="0" collapsed="false">
      <c r="A54" s="8" t="n">
        <v>50</v>
      </c>
      <c r="B54" s="8" t="s">
        <v>67</v>
      </c>
      <c r="C54" s="9" t="s">
        <v>181</v>
      </c>
      <c r="D54" s="8" t="s">
        <v>111</v>
      </c>
      <c r="E54" s="8" t="s">
        <v>144</v>
      </c>
      <c r="F54" s="9" t="s">
        <v>182</v>
      </c>
      <c r="G54" s="10"/>
      <c r="H54" s="8"/>
      <c r="I54" s="20" t="s">
        <v>108</v>
      </c>
      <c r="J54" s="20" t="s">
        <v>84</v>
      </c>
      <c r="K54" s="20"/>
      <c r="L54" s="21"/>
      <c r="M54" s="22"/>
    </row>
    <row r="55" customFormat="false" ht="15" hidden="false" customHeight="false" outlineLevel="0" collapsed="false">
      <c r="A55" s="8" t="n">
        <v>51</v>
      </c>
      <c r="B55" s="8" t="s">
        <v>67</v>
      </c>
      <c r="C55" s="9" t="s">
        <v>183</v>
      </c>
      <c r="D55" s="8" t="s">
        <v>111</v>
      </c>
      <c r="E55" s="8" t="s">
        <v>144</v>
      </c>
      <c r="F55" s="9" t="s">
        <v>182</v>
      </c>
      <c r="G55" s="10"/>
      <c r="H55" s="8"/>
      <c r="I55" s="20" t="s">
        <v>108</v>
      </c>
      <c r="J55" s="20" t="s">
        <v>84</v>
      </c>
      <c r="K55" s="20"/>
      <c r="L55" s="21"/>
      <c r="M55" s="22"/>
    </row>
    <row r="56" customFormat="false" ht="15" hidden="false" customHeight="false" outlineLevel="0" collapsed="false">
      <c r="A56" s="8" t="n">
        <v>52</v>
      </c>
      <c r="B56" s="8" t="s">
        <v>67</v>
      </c>
      <c r="C56" s="9" t="s">
        <v>184</v>
      </c>
      <c r="D56" s="8" t="s">
        <v>111</v>
      </c>
      <c r="E56" s="8" t="s">
        <v>144</v>
      </c>
      <c r="F56" s="9" t="s">
        <v>182</v>
      </c>
      <c r="G56" s="10"/>
      <c r="H56" s="8"/>
      <c r="I56" s="20" t="s">
        <v>108</v>
      </c>
      <c r="J56" s="20" t="s">
        <v>88</v>
      </c>
      <c r="K56" s="20"/>
      <c r="L56" s="21"/>
      <c r="M56" s="22" t="s">
        <v>185</v>
      </c>
    </row>
    <row r="57" customFormat="false" ht="15" hidden="false" customHeight="false" outlineLevel="0" collapsed="false">
      <c r="A57" s="8" t="n">
        <v>53</v>
      </c>
      <c r="B57" s="8" t="s">
        <v>67</v>
      </c>
      <c r="C57" s="9" t="s">
        <v>186</v>
      </c>
      <c r="D57" s="8" t="s">
        <v>156</v>
      </c>
      <c r="E57" s="8" t="s">
        <v>144</v>
      </c>
      <c r="F57" s="9" t="s">
        <v>182</v>
      </c>
      <c r="G57" s="23" t="n">
        <v>1</v>
      </c>
      <c r="H57" s="8"/>
      <c r="I57" s="20" t="s">
        <v>117</v>
      </c>
      <c r="J57" s="20" t="s">
        <v>84</v>
      </c>
      <c r="K57" s="20"/>
      <c r="L57" s="21"/>
      <c r="M57" s="22"/>
    </row>
    <row r="58" customFormat="false" ht="23.85" hidden="false" customHeight="false" outlineLevel="0" collapsed="false">
      <c r="A58" s="8" t="n">
        <v>54</v>
      </c>
      <c r="B58" s="8" t="s">
        <v>67</v>
      </c>
      <c r="C58" s="9" t="s">
        <v>187</v>
      </c>
      <c r="D58" s="8" t="s">
        <v>156</v>
      </c>
      <c r="E58" s="8" t="s">
        <v>144</v>
      </c>
      <c r="F58" s="9" t="s">
        <v>182</v>
      </c>
      <c r="G58" s="23" t="n">
        <v>2</v>
      </c>
      <c r="H58" s="8"/>
      <c r="I58" s="20" t="s">
        <v>117</v>
      </c>
      <c r="J58" s="20" t="s">
        <v>84</v>
      </c>
      <c r="K58" s="20"/>
      <c r="L58" s="21"/>
      <c r="M58" s="22"/>
    </row>
    <row r="59" customFormat="false" ht="15" hidden="false" customHeight="false" outlineLevel="0" collapsed="false">
      <c r="A59" s="8" t="n">
        <v>55</v>
      </c>
      <c r="B59" s="8" t="s">
        <v>67</v>
      </c>
      <c r="C59" s="9" t="s">
        <v>188</v>
      </c>
      <c r="D59" s="8" t="s">
        <v>156</v>
      </c>
      <c r="E59" s="8" t="s">
        <v>144</v>
      </c>
      <c r="F59" s="9" t="s">
        <v>182</v>
      </c>
      <c r="G59" s="10"/>
      <c r="H59" s="8"/>
      <c r="I59" s="20" t="s">
        <v>117</v>
      </c>
      <c r="J59" s="20" t="s">
        <v>86</v>
      </c>
      <c r="K59" s="20"/>
      <c r="L59" s="21"/>
      <c r="M59" s="22" t="s">
        <v>189</v>
      </c>
    </row>
    <row r="60" customFormat="false" ht="15" hidden="false" customHeight="false" outlineLevel="0" collapsed="false">
      <c r="A60" s="8" t="n">
        <v>56</v>
      </c>
      <c r="B60" s="8" t="s">
        <v>67</v>
      </c>
      <c r="C60" s="9" t="s">
        <v>190</v>
      </c>
      <c r="D60" s="8" t="s">
        <v>111</v>
      </c>
      <c r="E60" s="8" t="s">
        <v>144</v>
      </c>
      <c r="F60" s="9" t="s">
        <v>182</v>
      </c>
      <c r="G60" s="10"/>
      <c r="H60" s="8"/>
      <c r="I60" s="20" t="s">
        <v>108</v>
      </c>
      <c r="J60" s="20" t="s">
        <v>84</v>
      </c>
      <c r="K60" s="20"/>
      <c r="L60" s="21"/>
      <c r="M60" s="22"/>
    </row>
    <row r="61" customFormat="false" ht="15" hidden="false" customHeight="false" outlineLevel="0" collapsed="false">
      <c r="A61" s="8" t="n">
        <v>57</v>
      </c>
      <c r="B61" s="8" t="s">
        <v>67</v>
      </c>
      <c r="C61" s="9" t="s">
        <v>191</v>
      </c>
      <c r="D61" s="8" t="s">
        <v>105</v>
      </c>
      <c r="E61" s="8" t="s">
        <v>144</v>
      </c>
      <c r="F61" s="9" t="s">
        <v>182</v>
      </c>
      <c r="G61" s="10"/>
      <c r="H61" s="8"/>
      <c r="I61" s="20" t="s">
        <v>108</v>
      </c>
      <c r="J61" s="20" t="s">
        <v>84</v>
      </c>
      <c r="K61" s="20"/>
      <c r="L61" s="21"/>
      <c r="M61" s="22"/>
    </row>
    <row r="62" customFormat="false" ht="15" hidden="false" customHeight="false" outlineLevel="0" collapsed="false">
      <c r="A62" s="8" t="n">
        <v>58</v>
      </c>
      <c r="B62" s="8" t="s">
        <v>67</v>
      </c>
      <c r="C62" s="9" t="s">
        <v>192</v>
      </c>
      <c r="D62" s="8" t="s">
        <v>127</v>
      </c>
      <c r="E62" s="8" t="s">
        <v>144</v>
      </c>
      <c r="F62" s="9" t="s">
        <v>182</v>
      </c>
      <c r="G62" s="10"/>
      <c r="H62" s="8"/>
      <c r="I62" s="20" t="s">
        <v>117</v>
      </c>
      <c r="J62" s="20" t="s">
        <v>84</v>
      </c>
      <c r="K62" s="20"/>
      <c r="L62" s="21"/>
      <c r="M62" s="22" t="s">
        <v>193</v>
      </c>
    </row>
    <row r="63" customFormat="false" ht="23.85" hidden="false" customHeight="false" outlineLevel="0" collapsed="false">
      <c r="A63" s="8" t="n">
        <v>59</v>
      </c>
      <c r="B63" s="8" t="s">
        <v>71</v>
      </c>
      <c r="C63" s="9" t="s">
        <v>194</v>
      </c>
      <c r="D63" s="8" t="s">
        <v>111</v>
      </c>
      <c r="E63" s="8" t="s">
        <v>144</v>
      </c>
      <c r="F63" s="9" t="s">
        <v>195</v>
      </c>
      <c r="G63" s="23" t="n">
        <v>120</v>
      </c>
      <c r="H63" s="8"/>
      <c r="I63" s="20" t="s">
        <v>108</v>
      </c>
      <c r="J63" s="20" t="s">
        <v>84</v>
      </c>
      <c r="K63" s="20"/>
      <c r="L63" s="21"/>
      <c r="M63" s="22"/>
    </row>
    <row r="64" customFormat="false" ht="23.85" hidden="false" customHeight="false" outlineLevel="0" collapsed="false">
      <c r="A64" s="8" t="n">
        <v>60</v>
      </c>
      <c r="B64" s="8" t="s">
        <v>71</v>
      </c>
      <c r="C64" s="9" t="s">
        <v>196</v>
      </c>
      <c r="D64" s="8" t="s">
        <v>116</v>
      </c>
      <c r="E64" s="8" t="s">
        <v>144</v>
      </c>
      <c r="F64" s="9" t="s">
        <v>195</v>
      </c>
      <c r="G64" s="23" t="n">
        <v>3</v>
      </c>
      <c r="H64" s="8"/>
      <c r="I64" s="20" t="s">
        <v>117</v>
      </c>
      <c r="J64" s="20" t="s">
        <v>84</v>
      </c>
      <c r="K64" s="20"/>
      <c r="L64" s="21"/>
      <c r="M64" s="22" t="s">
        <v>197</v>
      </c>
    </row>
    <row r="65" customFormat="false" ht="23.85" hidden="false" customHeight="false" outlineLevel="0" collapsed="false">
      <c r="A65" s="8" t="n">
        <v>61</v>
      </c>
      <c r="B65" s="8" t="s">
        <v>71</v>
      </c>
      <c r="C65" s="9" t="s">
        <v>198</v>
      </c>
      <c r="D65" s="8" t="s">
        <v>116</v>
      </c>
      <c r="E65" s="8" t="s">
        <v>144</v>
      </c>
      <c r="F65" s="9" t="s">
        <v>195</v>
      </c>
      <c r="G65" s="23" t="n">
        <v>3</v>
      </c>
      <c r="H65" s="8"/>
      <c r="I65" s="20" t="s">
        <v>117</v>
      </c>
      <c r="J65" s="20" t="s">
        <v>84</v>
      </c>
      <c r="K65" s="20"/>
      <c r="L65" s="21"/>
      <c r="M65" s="22"/>
    </row>
    <row r="66" customFormat="false" ht="23.85" hidden="false" customHeight="false" outlineLevel="0" collapsed="false">
      <c r="A66" s="8" t="n">
        <v>62</v>
      </c>
      <c r="B66" s="8" t="s">
        <v>71</v>
      </c>
      <c r="C66" s="9" t="s">
        <v>199</v>
      </c>
      <c r="D66" s="8" t="s">
        <v>116</v>
      </c>
      <c r="E66" s="8" t="s">
        <v>144</v>
      </c>
      <c r="F66" s="9" t="s">
        <v>195</v>
      </c>
      <c r="G66" s="10"/>
      <c r="H66" s="8"/>
      <c r="I66" s="20" t="s">
        <v>117</v>
      </c>
      <c r="J66" s="20" t="s">
        <v>84</v>
      </c>
      <c r="K66" s="20"/>
      <c r="L66" s="21"/>
      <c r="M66" s="22"/>
    </row>
    <row r="67" customFormat="false" ht="23.85" hidden="false" customHeight="false" outlineLevel="0" collapsed="false">
      <c r="A67" s="8" t="n">
        <v>63</v>
      </c>
      <c r="B67" s="8" t="s">
        <v>71</v>
      </c>
      <c r="C67" s="9" t="s">
        <v>200</v>
      </c>
      <c r="D67" s="8" t="s">
        <v>116</v>
      </c>
      <c r="E67" s="8" t="s">
        <v>144</v>
      </c>
      <c r="F67" s="9" t="s">
        <v>195</v>
      </c>
      <c r="G67" s="10"/>
      <c r="H67" s="8"/>
      <c r="I67" s="20" t="s">
        <v>117</v>
      </c>
      <c r="J67" s="20" t="s">
        <v>84</v>
      </c>
      <c r="K67" s="20"/>
      <c r="L67" s="21"/>
      <c r="M67" s="22"/>
    </row>
    <row r="68" customFormat="false" ht="23.85" hidden="false" customHeight="false" outlineLevel="0" collapsed="false">
      <c r="A68" s="8" t="n">
        <v>64</v>
      </c>
      <c r="B68" s="8" t="s">
        <v>71</v>
      </c>
      <c r="C68" s="9" t="s">
        <v>201</v>
      </c>
      <c r="D68" s="8" t="s">
        <v>116</v>
      </c>
      <c r="E68" s="8" t="s">
        <v>144</v>
      </c>
      <c r="F68" s="9" t="s">
        <v>195</v>
      </c>
      <c r="G68" s="23" t="n">
        <v>8</v>
      </c>
      <c r="H68" s="8"/>
      <c r="I68" s="20" t="s">
        <v>117</v>
      </c>
      <c r="J68" s="20" t="s">
        <v>84</v>
      </c>
      <c r="K68" s="20"/>
      <c r="L68" s="21"/>
      <c r="M68" s="22"/>
    </row>
    <row r="69" customFormat="false" ht="23.85" hidden="false" customHeight="false" outlineLevel="0" collapsed="false">
      <c r="A69" s="8" t="n">
        <v>65</v>
      </c>
      <c r="B69" s="8" t="s">
        <v>71</v>
      </c>
      <c r="C69" s="9" t="s">
        <v>202</v>
      </c>
      <c r="D69" s="8" t="s">
        <v>127</v>
      </c>
      <c r="E69" s="8" t="s">
        <v>144</v>
      </c>
      <c r="F69" s="9" t="s">
        <v>195</v>
      </c>
      <c r="G69" s="10"/>
      <c r="H69" s="8"/>
      <c r="I69" s="20" t="s">
        <v>117</v>
      </c>
      <c r="J69" s="20" t="s">
        <v>84</v>
      </c>
      <c r="K69" s="20"/>
      <c r="L69" s="21"/>
      <c r="M69" s="22"/>
    </row>
    <row r="70" customFormat="false" ht="23.85" hidden="false" customHeight="false" outlineLevel="0" collapsed="false">
      <c r="A70" s="8" t="n">
        <v>66</v>
      </c>
      <c r="B70" s="8" t="s">
        <v>71</v>
      </c>
      <c r="C70" s="9" t="s">
        <v>203</v>
      </c>
      <c r="D70" s="8" t="s">
        <v>124</v>
      </c>
      <c r="E70" s="8" t="s">
        <v>144</v>
      </c>
      <c r="F70" s="9" t="s">
        <v>195</v>
      </c>
      <c r="G70" s="10"/>
      <c r="H70" s="8"/>
      <c r="I70" s="20" t="s">
        <v>125</v>
      </c>
      <c r="J70" s="20" t="s">
        <v>84</v>
      </c>
      <c r="K70" s="20"/>
      <c r="L70" s="21"/>
      <c r="M70" s="22"/>
    </row>
    <row r="71" customFormat="false" ht="23.85" hidden="false" customHeight="false" outlineLevel="0" collapsed="false">
      <c r="A71" s="8" t="n">
        <v>67</v>
      </c>
      <c r="B71" s="8" t="s">
        <v>71</v>
      </c>
      <c r="C71" s="9" t="s">
        <v>204</v>
      </c>
      <c r="D71" s="8" t="s">
        <v>127</v>
      </c>
      <c r="E71" s="8" t="s">
        <v>144</v>
      </c>
      <c r="F71" s="9" t="s">
        <v>195</v>
      </c>
      <c r="G71" s="23" t="n">
        <v>1</v>
      </c>
      <c r="H71" s="8"/>
      <c r="I71" s="20" t="s">
        <v>117</v>
      </c>
      <c r="J71" s="20" t="s">
        <v>84</v>
      </c>
      <c r="K71" s="20"/>
      <c r="L71" s="21"/>
      <c r="M71" s="22"/>
    </row>
    <row r="72" customFormat="false" ht="23.85" hidden="false" customHeight="false" outlineLevel="0" collapsed="false">
      <c r="A72" s="8" t="n">
        <v>68</v>
      </c>
      <c r="B72" s="8" t="s">
        <v>71</v>
      </c>
      <c r="C72" s="9" t="s">
        <v>205</v>
      </c>
      <c r="D72" s="8" t="s">
        <v>156</v>
      </c>
      <c r="E72" s="8" t="s">
        <v>144</v>
      </c>
      <c r="F72" s="9" t="s">
        <v>195</v>
      </c>
      <c r="G72" s="23" t="n">
        <v>15</v>
      </c>
      <c r="H72" s="8"/>
      <c r="I72" s="20" t="s">
        <v>117</v>
      </c>
      <c r="J72" s="20" t="s">
        <v>84</v>
      </c>
      <c r="K72" s="20"/>
      <c r="L72" s="21"/>
      <c r="M72" s="22"/>
    </row>
    <row r="73" customFormat="false" ht="23.85" hidden="false" customHeight="false" outlineLevel="0" collapsed="false">
      <c r="A73" s="8" t="n">
        <v>69</v>
      </c>
      <c r="B73" s="8" t="s">
        <v>75</v>
      </c>
      <c r="C73" s="9" t="s">
        <v>206</v>
      </c>
      <c r="D73" s="8" t="s">
        <v>105</v>
      </c>
      <c r="E73" s="8" t="s">
        <v>144</v>
      </c>
      <c r="F73" s="9" t="s">
        <v>207</v>
      </c>
      <c r="G73" s="10"/>
      <c r="H73" s="8"/>
      <c r="I73" s="20" t="s">
        <v>108</v>
      </c>
      <c r="J73" s="20" t="s">
        <v>84</v>
      </c>
      <c r="K73" s="20"/>
      <c r="L73" s="21"/>
      <c r="M73" s="22" t="s">
        <v>208</v>
      </c>
    </row>
    <row r="74" customFormat="false" ht="23.85" hidden="false" customHeight="false" outlineLevel="0" collapsed="false">
      <c r="A74" s="8" t="n">
        <v>70</v>
      </c>
      <c r="B74" s="8" t="s">
        <v>75</v>
      </c>
      <c r="C74" s="9" t="s">
        <v>209</v>
      </c>
      <c r="D74" s="8" t="s">
        <v>111</v>
      </c>
      <c r="E74" s="8" t="s">
        <v>144</v>
      </c>
      <c r="F74" s="9" t="s">
        <v>207</v>
      </c>
      <c r="G74" s="10"/>
      <c r="H74" s="8"/>
      <c r="I74" s="20" t="s">
        <v>108</v>
      </c>
      <c r="J74" s="20" t="s">
        <v>84</v>
      </c>
      <c r="K74" s="20"/>
      <c r="L74" s="21"/>
      <c r="M74" s="22"/>
    </row>
    <row r="75" customFormat="false" ht="23.85" hidden="false" customHeight="false" outlineLevel="0" collapsed="false">
      <c r="A75" s="8" t="n">
        <v>71</v>
      </c>
      <c r="B75" s="8" t="s">
        <v>75</v>
      </c>
      <c r="C75" s="9" t="s">
        <v>210</v>
      </c>
      <c r="D75" s="8" t="s">
        <v>116</v>
      </c>
      <c r="E75" s="8" t="s">
        <v>144</v>
      </c>
      <c r="F75" s="9" t="s">
        <v>207</v>
      </c>
      <c r="G75" s="23" t="n">
        <v>5</v>
      </c>
      <c r="H75" s="8"/>
      <c r="I75" s="20" t="s">
        <v>117</v>
      </c>
      <c r="J75" s="20" t="s">
        <v>84</v>
      </c>
      <c r="K75" s="20"/>
      <c r="L75" s="21"/>
      <c r="M75" s="22"/>
    </row>
    <row r="76" customFormat="false" ht="23.85" hidden="false" customHeight="false" outlineLevel="0" collapsed="false">
      <c r="A76" s="8" t="n">
        <v>72</v>
      </c>
      <c r="B76" s="8" t="s">
        <v>75</v>
      </c>
      <c r="C76" s="9" t="s">
        <v>211</v>
      </c>
      <c r="D76" s="8" t="s">
        <v>124</v>
      </c>
      <c r="E76" s="8" t="s">
        <v>144</v>
      </c>
      <c r="F76" s="9" t="s">
        <v>207</v>
      </c>
      <c r="G76" s="10"/>
      <c r="H76" s="8"/>
      <c r="I76" s="20" t="s">
        <v>125</v>
      </c>
      <c r="J76" s="20" t="s">
        <v>84</v>
      </c>
      <c r="K76" s="20"/>
      <c r="L76" s="21"/>
      <c r="M76" s="22"/>
    </row>
    <row r="77" customFormat="false" ht="23.85" hidden="false" customHeight="false" outlineLevel="0" collapsed="false">
      <c r="A77" s="8" t="n">
        <v>73</v>
      </c>
      <c r="B77" s="8" t="s">
        <v>75</v>
      </c>
      <c r="C77" s="9" t="s">
        <v>212</v>
      </c>
      <c r="D77" s="8" t="s">
        <v>111</v>
      </c>
      <c r="E77" s="8" t="s">
        <v>144</v>
      </c>
      <c r="F77" s="9" t="s">
        <v>207</v>
      </c>
      <c r="G77" s="10"/>
      <c r="H77" s="8"/>
      <c r="I77" s="20" t="s">
        <v>108</v>
      </c>
      <c r="J77" s="20" t="s">
        <v>84</v>
      </c>
      <c r="K77" s="20"/>
      <c r="L77" s="21"/>
      <c r="M77" s="22"/>
    </row>
    <row r="78" customFormat="false" ht="23.85" hidden="false" customHeight="false" outlineLevel="0" collapsed="false">
      <c r="A78" s="8" t="n">
        <v>74</v>
      </c>
      <c r="B78" s="8" t="s">
        <v>75</v>
      </c>
      <c r="C78" s="9" t="s">
        <v>213</v>
      </c>
      <c r="D78" s="8" t="s">
        <v>127</v>
      </c>
      <c r="E78" s="8" t="s">
        <v>144</v>
      </c>
      <c r="F78" s="9" t="s">
        <v>207</v>
      </c>
      <c r="G78" s="10"/>
      <c r="H78" s="8"/>
      <c r="I78" s="20" t="s">
        <v>117</v>
      </c>
      <c r="J78" s="20" t="s">
        <v>84</v>
      </c>
      <c r="K78" s="20"/>
      <c r="L78" s="21"/>
      <c r="M78" s="22"/>
    </row>
    <row r="79" customFormat="false" ht="23.85" hidden="false" customHeight="false" outlineLevel="0" collapsed="false">
      <c r="A79" s="8" t="n">
        <v>75</v>
      </c>
      <c r="B79" s="8" t="s">
        <v>75</v>
      </c>
      <c r="C79" s="9" t="s">
        <v>214</v>
      </c>
      <c r="D79" s="8" t="s">
        <v>127</v>
      </c>
      <c r="E79" s="8" t="s">
        <v>144</v>
      </c>
      <c r="F79" s="9" t="s">
        <v>207</v>
      </c>
      <c r="G79" s="10"/>
      <c r="H79" s="8"/>
      <c r="I79" s="20" t="s">
        <v>117</v>
      </c>
      <c r="J79" s="20" t="s">
        <v>84</v>
      </c>
      <c r="K79" s="20"/>
      <c r="L79" s="21"/>
      <c r="M79" s="22"/>
    </row>
    <row r="80" customFormat="false" ht="23.85" hidden="false" customHeight="false" outlineLevel="0" collapsed="false">
      <c r="A80" s="8" t="n">
        <v>76</v>
      </c>
      <c r="B80" s="8" t="s">
        <v>75</v>
      </c>
      <c r="C80" s="9" t="s">
        <v>215</v>
      </c>
      <c r="D80" s="8" t="s">
        <v>156</v>
      </c>
      <c r="E80" s="8" t="s">
        <v>144</v>
      </c>
      <c r="F80" s="9" t="s">
        <v>207</v>
      </c>
      <c r="G80" s="10"/>
      <c r="H80" s="8"/>
      <c r="I80" s="20" t="s">
        <v>117</v>
      </c>
      <c r="J80" s="20" t="s">
        <v>84</v>
      </c>
      <c r="K80" s="20"/>
      <c r="L80" s="21"/>
      <c r="M80" s="22"/>
    </row>
    <row r="81" customFormat="false" ht="23.85" hidden="false" customHeight="false" outlineLevel="0" collapsed="false">
      <c r="A81" s="8" t="n">
        <v>77</v>
      </c>
      <c r="B81" s="8" t="s">
        <v>75</v>
      </c>
      <c r="C81" s="9" t="s">
        <v>216</v>
      </c>
      <c r="D81" s="8" t="s">
        <v>111</v>
      </c>
      <c r="E81" s="8" t="s">
        <v>144</v>
      </c>
      <c r="F81" s="9" t="s">
        <v>207</v>
      </c>
      <c r="G81" s="10"/>
      <c r="H81" s="8"/>
      <c r="I81" s="20" t="s">
        <v>108</v>
      </c>
      <c r="J81" s="20" t="s">
        <v>84</v>
      </c>
      <c r="K81" s="20"/>
      <c r="L81" s="21"/>
      <c r="M81" s="22"/>
    </row>
    <row r="82" customFormat="false" ht="23.85" hidden="false" customHeight="false" outlineLevel="0" collapsed="false">
      <c r="A82" s="8" t="n">
        <v>78</v>
      </c>
      <c r="B82" s="8" t="s">
        <v>75</v>
      </c>
      <c r="C82" s="9" t="s">
        <v>217</v>
      </c>
      <c r="D82" s="8" t="s">
        <v>116</v>
      </c>
      <c r="E82" s="8" t="s">
        <v>144</v>
      </c>
      <c r="F82" s="9" t="s">
        <v>207</v>
      </c>
      <c r="G82" s="10"/>
      <c r="H82" s="8"/>
      <c r="I82" s="20" t="s">
        <v>117</v>
      </c>
      <c r="J82" s="20" t="s">
        <v>84</v>
      </c>
      <c r="K82" s="20"/>
      <c r="L82" s="21"/>
      <c r="M82" s="22"/>
    </row>
    <row r="83" customFormat="false" ht="23.85" hidden="false" customHeight="false" outlineLevel="0" collapsed="false">
      <c r="A83" s="8" t="n">
        <v>79</v>
      </c>
      <c r="B83" s="8" t="s">
        <v>75</v>
      </c>
      <c r="C83" s="9" t="s">
        <v>218</v>
      </c>
      <c r="D83" s="8" t="s">
        <v>156</v>
      </c>
      <c r="E83" s="8" t="s">
        <v>144</v>
      </c>
      <c r="F83" s="9" t="s">
        <v>207</v>
      </c>
      <c r="G83" s="10"/>
      <c r="H83" s="8"/>
      <c r="I83" s="20" t="s">
        <v>117</v>
      </c>
      <c r="J83" s="20" t="s">
        <v>84</v>
      </c>
      <c r="K83" s="20"/>
      <c r="L83" s="21"/>
      <c r="M83" s="22"/>
    </row>
    <row r="84" customFormat="false" ht="23.85" hidden="false" customHeight="false" outlineLevel="0" collapsed="false">
      <c r="A84" s="8" t="n">
        <v>80</v>
      </c>
      <c r="B84" s="8" t="s">
        <v>75</v>
      </c>
      <c r="C84" s="9" t="s">
        <v>219</v>
      </c>
      <c r="D84" s="8" t="s">
        <v>111</v>
      </c>
      <c r="E84" s="8" t="s">
        <v>144</v>
      </c>
      <c r="F84" s="9" t="s">
        <v>207</v>
      </c>
      <c r="G84" s="10"/>
      <c r="H84" s="8"/>
      <c r="I84" s="20" t="s">
        <v>108</v>
      </c>
      <c r="J84" s="20" t="s">
        <v>84</v>
      </c>
      <c r="K84" s="20"/>
      <c r="L84" s="21"/>
      <c r="M84" s="22"/>
    </row>
  </sheetData>
  <autoFilter ref="A4:M84"/>
  <conditionalFormatting sqref="J5:J84">
    <cfRule type="cellIs" priority="2" operator="equal" aboveAverage="0" equalAverage="0" bottom="0" percent="0" rank="0" text="" dxfId="10">
      <formula>"Fixed"</formula>
    </cfRule>
    <cfRule type="cellIs" priority="3" operator="equal" aboveAverage="0" equalAverage="0" bottom="0" percent="0" rank="0" text="" dxfId="10">
      <formula>"Already Fixed"</formula>
    </cfRule>
    <cfRule type="cellIs" priority="4" operator="equal" aboveAverage="0" equalAverage="0" bottom="0" percent="0" rank="0" text="" dxfId="11">
      <formula>"In Progress"</formula>
    </cfRule>
  </conditionalFormatting>
  <conditionalFormatting sqref="I5:I84">
    <cfRule type="cellIs" priority="5" operator="equal" aboveAverage="0" equalAverage="0" bottom="0" percent="0" rank="0" text="" dxfId="12">
      <formula>"Critical"</formula>
    </cfRule>
    <cfRule type="cellIs" priority="6" operator="equal" aboveAverage="0" equalAverage="0" bottom="0" percent="0" rank="0" text="" dxfId="13">
      <formula>"High"</formula>
    </cfRule>
  </conditionalFormatting>
  <dataValidations count="2">
    <dataValidation allowBlank="true" errorStyle="stop" operator="between" showDropDown="false" showErrorMessage="false" showInputMessage="false" sqref="J5:J84" type="list">
      <formula1>"Need to Fix,In Progress,Fixed,Already Fixed,To Validate,Won't Fix"</formula1>
      <formula2>0</formula2>
    </dataValidation>
    <dataValidation allowBlank="true" errorStyle="stop" operator="between" showDropDown="false" showErrorMessage="false" showInputMessage="false" sqref="I5:I84"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7"/>
    <col collapsed="false" customWidth="true" hidden="false" outlineLevel="0" max="4" min="4" style="0" width="22"/>
    <col collapsed="false" customWidth="true" hidden="false" outlineLevel="0" max="5" min="5" style="0" width="13"/>
    <col collapsed="false" customWidth="true" hidden="false" outlineLevel="0" max="6" min="6" style="0" width="46"/>
    <col collapsed="false" customWidth="true" hidden="false" outlineLevel="0" max="7" min="7" style="0" width="34"/>
    <col collapsed="false" customWidth="true" hidden="false" outlineLevel="0" max="8" min="8" style="0" width="40"/>
  </cols>
  <sheetData>
    <row r="1" customFormat="false" ht="17.35" hidden="false" customHeight="false" outlineLevel="0" collapsed="false">
      <c r="A1" s="1" t="s">
        <v>220</v>
      </c>
    </row>
    <row r="2" customFormat="false" ht="15" hidden="false" customHeight="false" outlineLevel="0" collapsed="false">
      <c r="A2" s="2" t="s">
        <v>221</v>
      </c>
    </row>
    <row r="4" customFormat="false" ht="15" hidden="false" customHeight="false" outlineLevel="0" collapsed="false">
      <c r="A4" s="3" t="s">
        <v>2</v>
      </c>
      <c r="B4" s="3" t="s">
        <v>222</v>
      </c>
      <c r="C4" s="3" t="s">
        <v>223</v>
      </c>
      <c r="D4" s="3" t="s">
        <v>94</v>
      </c>
      <c r="E4" s="3" t="s">
        <v>224</v>
      </c>
      <c r="F4" s="3" t="s">
        <v>225</v>
      </c>
      <c r="G4" s="3" t="s">
        <v>226</v>
      </c>
      <c r="H4" s="3" t="s">
        <v>227</v>
      </c>
    </row>
    <row r="5" customFormat="false" ht="147" hidden="false" customHeight="false" outlineLevel="0" collapsed="false">
      <c r="A5" s="8" t="n">
        <v>1</v>
      </c>
      <c r="B5" s="9" t="s">
        <v>107</v>
      </c>
      <c r="C5" s="8" t="s">
        <v>228</v>
      </c>
      <c r="D5" s="8" t="s">
        <v>25</v>
      </c>
      <c r="E5" s="24" t="n">
        <v>46276</v>
      </c>
      <c r="F5" s="9" t="s">
        <v>229</v>
      </c>
      <c r="G5" s="9" t="s">
        <v>29</v>
      </c>
      <c r="H5" s="9"/>
    </row>
    <row r="6" customFormat="false" ht="15" hidden="false" customHeight="false" outlineLevel="0" collapsed="false">
      <c r="A6" s="8" t="n">
        <v>2</v>
      </c>
      <c r="B6" s="9" t="s">
        <v>145</v>
      </c>
      <c r="C6" s="8" t="s">
        <v>230</v>
      </c>
      <c r="D6" s="8" t="s">
        <v>25</v>
      </c>
      <c r="E6" s="24" t="n">
        <v>46279</v>
      </c>
      <c r="F6" s="9" t="s">
        <v>231</v>
      </c>
      <c r="G6" s="9" t="s">
        <v>232</v>
      </c>
      <c r="H6" s="9"/>
    </row>
    <row r="7" customFormat="false" ht="15" hidden="false" customHeight="false" outlineLevel="0" collapsed="false">
      <c r="A7" s="8" t="n">
        <v>3</v>
      </c>
      <c r="B7" s="9" t="s">
        <v>153</v>
      </c>
      <c r="C7" s="8" t="s">
        <v>230</v>
      </c>
      <c r="D7" s="8" t="s">
        <v>25</v>
      </c>
      <c r="E7" s="24" t="n">
        <v>46280</v>
      </c>
      <c r="F7" s="9" t="s">
        <v>233</v>
      </c>
      <c r="G7" s="9" t="s">
        <v>232</v>
      </c>
      <c r="H7" s="9"/>
    </row>
    <row r="8" customFormat="false" ht="46.25" hidden="false" customHeight="false" outlineLevel="0" collapsed="false">
      <c r="A8" s="8" t="n">
        <v>4</v>
      </c>
      <c r="B8" s="9" t="s">
        <v>129</v>
      </c>
      <c r="C8" s="8" t="s">
        <v>228</v>
      </c>
      <c r="D8" s="8" t="s">
        <v>56</v>
      </c>
      <c r="E8" s="24" t="n">
        <v>46304</v>
      </c>
      <c r="F8" s="9" t="s">
        <v>234</v>
      </c>
      <c r="G8" s="9" t="s">
        <v>59</v>
      </c>
      <c r="H8" s="9"/>
    </row>
    <row r="9" customFormat="false" ht="23.85" hidden="false" customHeight="false" outlineLevel="0" collapsed="false">
      <c r="A9" s="8" t="n">
        <v>5</v>
      </c>
      <c r="B9" s="9" t="s">
        <v>177</v>
      </c>
      <c r="C9" s="8" t="s">
        <v>230</v>
      </c>
      <c r="D9" s="8" t="s">
        <v>56</v>
      </c>
      <c r="E9" s="24" t="n">
        <v>46304</v>
      </c>
      <c r="F9" s="9" t="s">
        <v>235</v>
      </c>
      <c r="G9" s="9" t="s">
        <v>232</v>
      </c>
      <c r="H9" s="9"/>
    </row>
    <row r="10" customFormat="false" ht="23.85" hidden="false" customHeight="false" outlineLevel="0" collapsed="false">
      <c r="A10" s="8" t="n">
        <v>6</v>
      </c>
      <c r="B10" s="9" t="s">
        <v>236</v>
      </c>
      <c r="C10" s="8" t="s">
        <v>228</v>
      </c>
      <c r="D10" s="8" t="s">
        <v>18</v>
      </c>
      <c r="E10" s="24" t="n">
        <v>46280</v>
      </c>
      <c r="F10" s="9" t="s">
        <v>237</v>
      </c>
      <c r="G10" s="9" t="s">
        <v>23</v>
      </c>
      <c r="H10" s="9"/>
    </row>
    <row r="11" customFormat="false" ht="15" hidden="false" customHeight="false" outlineLevel="0" collapsed="false">
      <c r="A11" s="8" t="n">
        <v>7</v>
      </c>
      <c r="B11" s="9" t="s">
        <v>238</v>
      </c>
      <c r="C11" s="8" t="s">
        <v>230</v>
      </c>
      <c r="D11" s="8" t="s">
        <v>18</v>
      </c>
      <c r="E11" s="24" t="n">
        <v>46275</v>
      </c>
      <c r="F11" s="9" t="s">
        <v>239</v>
      </c>
      <c r="G11" s="9" t="s">
        <v>34</v>
      </c>
      <c r="H11" s="9" t="s">
        <v>240</v>
      </c>
    </row>
    <row r="12" customFormat="false" ht="15" hidden="false" customHeight="false" outlineLevel="0" collapsed="false">
      <c r="A12" s="8" t="n">
        <v>8</v>
      </c>
      <c r="B12" s="9" t="s">
        <v>173</v>
      </c>
      <c r="C12" s="8" t="s">
        <v>230</v>
      </c>
      <c r="D12" s="8" t="s">
        <v>241</v>
      </c>
      <c r="E12" s="24" t="n">
        <v>46280</v>
      </c>
      <c r="F12" s="9" t="s">
        <v>242</v>
      </c>
      <c r="G12" s="9" t="s">
        <v>232</v>
      </c>
      <c r="H12" s="9"/>
    </row>
    <row r="13" customFormat="false" ht="91" hidden="false" customHeight="false" outlineLevel="0" collapsed="false">
      <c r="A13" s="8" t="n">
        <v>9</v>
      </c>
      <c r="B13" s="9" t="s">
        <v>132</v>
      </c>
      <c r="C13" s="8" t="s">
        <v>228</v>
      </c>
      <c r="D13" s="8" t="s">
        <v>61</v>
      </c>
      <c r="E13" s="24" t="n">
        <v>46299</v>
      </c>
      <c r="F13" s="9" t="s">
        <v>243</v>
      </c>
      <c r="G13" s="9" t="s">
        <v>65</v>
      </c>
      <c r="H13" s="9"/>
    </row>
    <row r="14" customFormat="false" ht="23.85" hidden="false" customHeight="false" outlineLevel="0" collapsed="false">
      <c r="A14" s="8" t="n">
        <v>10</v>
      </c>
      <c r="B14" s="9" t="s">
        <v>157</v>
      </c>
      <c r="C14" s="8" t="s">
        <v>230</v>
      </c>
      <c r="D14" s="8" t="s">
        <v>31</v>
      </c>
      <c r="E14" s="24" t="n">
        <v>46283</v>
      </c>
      <c r="F14" s="9" t="s">
        <v>244</v>
      </c>
      <c r="G14" s="9" t="s">
        <v>232</v>
      </c>
      <c r="H14" s="9"/>
    </row>
    <row r="15" customFormat="false" ht="23.85" hidden="false" customHeight="false" outlineLevel="0" collapsed="false">
      <c r="A15" s="8" t="n">
        <v>11</v>
      </c>
      <c r="B15" s="9" t="s">
        <v>245</v>
      </c>
      <c r="C15" s="8" t="s">
        <v>230</v>
      </c>
      <c r="D15" s="8" t="s">
        <v>31</v>
      </c>
      <c r="E15" s="24" t="n">
        <v>46282</v>
      </c>
      <c r="F15" s="9" t="s">
        <v>246</v>
      </c>
      <c r="G15" s="9" t="s">
        <v>34</v>
      </c>
      <c r="H15" s="9" t="s">
        <v>247</v>
      </c>
    </row>
    <row r="16" customFormat="false" ht="23.85" hidden="false" customHeight="false" outlineLevel="0" collapsed="false">
      <c r="A16" s="8" t="n">
        <v>12</v>
      </c>
      <c r="B16" s="9" t="s">
        <v>163</v>
      </c>
      <c r="C16" s="8" t="s">
        <v>230</v>
      </c>
      <c r="D16" s="8" t="s">
        <v>31</v>
      </c>
      <c r="E16" s="24" t="n">
        <v>46288</v>
      </c>
      <c r="F16" s="9" t="s">
        <v>248</v>
      </c>
      <c r="G16" s="9" t="s">
        <v>232</v>
      </c>
      <c r="H16" s="9"/>
    </row>
    <row r="17" customFormat="false" ht="15" hidden="false" customHeight="false" outlineLevel="0" collapsed="false">
      <c r="A17" s="8" t="n">
        <v>13</v>
      </c>
      <c r="B17" s="9" t="s">
        <v>168</v>
      </c>
      <c r="C17" s="8" t="s">
        <v>230</v>
      </c>
      <c r="D17" s="8" t="s">
        <v>48</v>
      </c>
      <c r="E17" s="24" t="n">
        <v>46287</v>
      </c>
      <c r="F17" s="9" t="s">
        <v>249</v>
      </c>
      <c r="G17" s="9" t="s">
        <v>232</v>
      </c>
      <c r="H17" s="9"/>
    </row>
    <row r="18" customFormat="false" ht="15" hidden="false" customHeight="false" outlineLevel="0" collapsed="false">
      <c r="A18" s="8" t="n">
        <v>14</v>
      </c>
      <c r="B18" s="9" t="s">
        <v>182</v>
      </c>
      <c r="C18" s="8" t="s">
        <v>230</v>
      </c>
      <c r="D18" s="8" t="s">
        <v>67</v>
      </c>
      <c r="E18" s="24" t="n">
        <v>46302</v>
      </c>
      <c r="F18" s="9" t="s">
        <v>250</v>
      </c>
      <c r="G18" s="9" t="s">
        <v>232</v>
      </c>
      <c r="H18" s="9"/>
    </row>
    <row r="19" customFormat="false" ht="15" hidden="false" customHeight="false" outlineLevel="0" collapsed="false">
      <c r="A19" s="8" t="n">
        <v>15</v>
      </c>
      <c r="B19" s="9" t="s">
        <v>195</v>
      </c>
      <c r="C19" s="8" t="s">
        <v>230</v>
      </c>
      <c r="D19" s="8" t="s">
        <v>71</v>
      </c>
      <c r="E19" s="24" t="n">
        <v>46304</v>
      </c>
      <c r="F19" s="9" t="s">
        <v>251</v>
      </c>
      <c r="G19" s="9" t="s">
        <v>232</v>
      </c>
      <c r="H19" s="9" t="s">
        <v>252</v>
      </c>
    </row>
    <row r="20" customFormat="false" ht="15" hidden="false" customHeight="false" outlineLevel="0" collapsed="false">
      <c r="A20" s="8" t="n">
        <v>16</v>
      </c>
      <c r="B20" s="9" t="s">
        <v>253</v>
      </c>
      <c r="C20" s="8" t="s">
        <v>230</v>
      </c>
      <c r="D20" s="8" t="s">
        <v>71</v>
      </c>
      <c r="E20" s="24" t="n">
        <v>46304</v>
      </c>
      <c r="F20" s="9" t="s">
        <v>254</v>
      </c>
      <c r="G20" s="9" t="s">
        <v>34</v>
      </c>
      <c r="H20" s="9" t="s">
        <v>255</v>
      </c>
    </row>
    <row r="21" customFormat="false" ht="15" hidden="false" customHeight="false" outlineLevel="0" collapsed="false">
      <c r="A21" s="8" t="n">
        <v>17</v>
      </c>
      <c r="B21" s="9" t="s">
        <v>256</v>
      </c>
      <c r="C21" s="8" t="s">
        <v>230</v>
      </c>
      <c r="D21" s="8" t="s">
        <v>71</v>
      </c>
      <c r="E21" s="24" t="n">
        <v>46304</v>
      </c>
      <c r="F21" s="9" t="s">
        <v>254</v>
      </c>
      <c r="G21" s="9" t="s">
        <v>34</v>
      </c>
      <c r="H21" s="9" t="s">
        <v>255</v>
      </c>
    </row>
    <row r="22" customFormat="false" ht="15" hidden="false" customHeight="false" outlineLevel="0" collapsed="false">
      <c r="A22" s="8" t="n">
        <v>18</v>
      </c>
      <c r="B22" s="9" t="s">
        <v>207</v>
      </c>
      <c r="C22" s="8" t="s">
        <v>230</v>
      </c>
      <c r="D22" s="8" t="s">
        <v>75</v>
      </c>
      <c r="E22" s="24" t="n">
        <v>46303</v>
      </c>
      <c r="F22" s="9" t="s">
        <v>257</v>
      </c>
      <c r="G22" s="9" t="s">
        <v>232</v>
      </c>
      <c r="H22" s="9"/>
    </row>
    <row r="23" customFormat="false" ht="15" hidden="false" customHeight="false" outlineLevel="0" collapsed="false">
      <c r="A23" s="8" t="n">
        <v>19</v>
      </c>
      <c r="B23" s="9" t="s">
        <v>258</v>
      </c>
      <c r="C23" s="8" t="s">
        <v>228</v>
      </c>
      <c r="D23" s="8" t="s">
        <v>34</v>
      </c>
      <c r="E23" s="24" t="n">
        <v>46275</v>
      </c>
      <c r="F23" s="9" t="s">
        <v>259</v>
      </c>
      <c r="G23" s="9" t="s">
        <v>34</v>
      </c>
      <c r="H23" s="9" t="s">
        <v>260</v>
      </c>
    </row>
    <row r="24" customFormat="false" ht="15" hidden="false" customHeight="false" outlineLevel="0" collapsed="false">
      <c r="A24" s="8" t="n">
        <v>20</v>
      </c>
      <c r="B24" s="9" t="s">
        <v>261</v>
      </c>
      <c r="C24" s="8" t="s">
        <v>262</v>
      </c>
      <c r="D24" s="8" t="s">
        <v>75</v>
      </c>
      <c r="E24" s="24"/>
      <c r="F24" s="9" t="s">
        <v>263</v>
      </c>
      <c r="G24" s="9" t="s">
        <v>34</v>
      </c>
      <c r="H24" s="9"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0.88"/>
    <col collapsed="false" customWidth="true" hidden="false" outlineLevel="0" max="3" min="3" style="0" width="22"/>
    <col collapsed="false" customWidth="true" hidden="false" outlineLevel="0" max="5" min="5" style="0" width="22"/>
  </cols>
  <sheetData>
    <row r="1" customFormat="false" ht="15" hidden="false" customHeight="false" outlineLevel="0" collapsed="false">
      <c r="A1" s="25" t="s">
        <v>265</v>
      </c>
      <c r="B1" s="25"/>
      <c r="E1" s="26" t="str">
        <f aca="false">HYPERLINK("#'Master Overview'!A1","&lt;&lt; Master Overview")</f>
        <v>&lt;&lt; Master Overview</v>
      </c>
    </row>
    <row r="2" customFormat="false" ht="15" hidden="false" customHeight="false" outlineLevel="0" collapsed="false">
      <c r="A2" s="25" t="s">
        <v>266</v>
      </c>
      <c r="B2" s="25"/>
      <c r="E2" s="2" t="s">
        <v>267</v>
      </c>
    </row>
    <row r="3" customFormat="false" ht="15" hidden="false" customHeight="false" outlineLevel="0" collapsed="false">
      <c r="A3" s="25" t="s">
        <v>268</v>
      </c>
      <c r="B3" s="25"/>
    </row>
    <row r="7" customFormat="false" ht="15" hidden="false" customHeight="false" outlineLevel="0" collapsed="false">
      <c r="A7" s="27" t="s">
        <v>269</v>
      </c>
      <c r="B7" s="27" t="s">
        <v>82</v>
      </c>
      <c r="C7" s="27" t="s">
        <v>81</v>
      </c>
    </row>
    <row r="8" customFormat="false" ht="15" hidden="false" customHeight="false" outlineLevel="0" collapsed="false">
      <c r="A8" s="28" t="n">
        <v>1</v>
      </c>
      <c r="B8" s="29" t="s">
        <v>270</v>
      </c>
      <c r="C8" s="28" t="s">
        <v>84</v>
      </c>
    </row>
    <row r="9" customFormat="false" ht="15" hidden="false" customHeight="false" outlineLevel="0" collapsed="false">
      <c r="A9" s="28" t="n">
        <v>2</v>
      </c>
      <c r="B9" s="29" t="s">
        <v>271</v>
      </c>
      <c r="C9" s="28" t="s">
        <v>84</v>
      </c>
    </row>
    <row r="10" customFormat="false" ht="15" hidden="false" customHeight="false" outlineLevel="0" collapsed="false">
      <c r="A10" s="28" t="n">
        <v>3</v>
      </c>
      <c r="B10" s="29" t="s">
        <v>110</v>
      </c>
      <c r="C10" s="28" t="s">
        <v>84</v>
      </c>
    </row>
    <row r="11" customFormat="false" ht="15" hidden="false" customHeight="false" outlineLevel="0" collapsed="false">
      <c r="A11" s="28" t="n">
        <v>4</v>
      </c>
      <c r="B11" s="29" t="s">
        <v>272</v>
      </c>
      <c r="C11" s="28" t="s">
        <v>84</v>
      </c>
    </row>
    <row r="12" customFormat="false" ht="15" hidden="false" customHeight="false" outlineLevel="0" collapsed="false">
      <c r="A12" s="28" t="n">
        <v>5</v>
      </c>
      <c r="B12" s="29" t="s">
        <v>113</v>
      </c>
      <c r="C12" s="28" t="s">
        <v>84</v>
      </c>
    </row>
    <row r="13" customFormat="false" ht="15" hidden="false" customHeight="false" outlineLevel="0" collapsed="false">
      <c r="A13" s="28" t="n">
        <v>6</v>
      </c>
      <c r="B13" s="29" t="s">
        <v>114</v>
      </c>
      <c r="C13" s="28" t="s">
        <v>84</v>
      </c>
    </row>
    <row r="14" customFormat="false" ht="15" hidden="false" customHeight="false" outlineLevel="0" collapsed="false">
      <c r="A14" s="28" t="n">
        <v>7</v>
      </c>
      <c r="B14" s="29" t="s">
        <v>115</v>
      </c>
      <c r="C14" s="28" t="s">
        <v>84</v>
      </c>
    </row>
    <row r="15" customFormat="false" ht="15" hidden="false" customHeight="false" outlineLevel="0" collapsed="false">
      <c r="A15" s="28" t="n">
        <v>8</v>
      </c>
      <c r="B15" s="29" t="s">
        <v>118</v>
      </c>
      <c r="C15" s="28" t="s">
        <v>84</v>
      </c>
    </row>
    <row r="16" customFormat="false" ht="15" hidden="false" customHeight="false" outlineLevel="0" collapsed="false">
      <c r="A16" s="28" t="n">
        <v>9</v>
      </c>
      <c r="B16" s="29" t="s">
        <v>119</v>
      </c>
      <c r="C16" s="28" t="s">
        <v>84</v>
      </c>
    </row>
    <row r="17" customFormat="false" ht="15" hidden="false" customHeight="false" outlineLevel="0" collapsed="false">
      <c r="A17" s="28" t="n">
        <v>10</v>
      </c>
      <c r="B17" s="29" t="s">
        <v>120</v>
      </c>
      <c r="C17" s="28" t="s">
        <v>84</v>
      </c>
    </row>
    <row r="18" customFormat="false" ht="15" hidden="false" customHeight="false" outlineLevel="0" collapsed="false">
      <c r="A18" s="28" t="n">
        <v>11</v>
      </c>
      <c r="B18" s="29" t="s">
        <v>121</v>
      </c>
      <c r="C18" s="28" t="s">
        <v>84</v>
      </c>
    </row>
    <row r="19" customFormat="false" ht="15" hidden="false" customHeight="false" outlineLevel="0" collapsed="false">
      <c r="A19" s="28" t="n">
        <v>12</v>
      </c>
      <c r="B19" s="29" t="s">
        <v>122</v>
      </c>
      <c r="C19" s="28" t="s">
        <v>84</v>
      </c>
    </row>
    <row r="20" customFormat="false" ht="15" hidden="false" customHeight="false" outlineLevel="0" collapsed="false">
      <c r="A20" s="28" t="n">
        <v>13</v>
      </c>
      <c r="B20" s="29" t="s">
        <v>273</v>
      </c>
      <c r="C20" s="28" t="s">
        <v>84</v>
      </c>
    </row>
    <row r="21" customFormat="false" ht="15" hidden="false" customHeight="false" outlineLevel="0" collapsed="false">
      <c r="A21" s="28" t="n">
        <v>14</v>
      </c>
      <c r="B21" s="29" t="s">
        <v>126</v>
      </c>
      <c r="C21" s="28" t="s">
        <v>84</v>
      </c>
    </row>
    <row r="22" customFormat="false" ht="15" hidden="false" customHeight="false" outlineLevel="0" collapsed="false">
      <c r="A22" s="28" t="n">
        <v>15</v>
      </c>
      <c r="B22" s="29" t="s">
        <v>128</v>
      </c>
      <c r="C22" s="28" t="s">
        <v>84</v>
      </c>
    </row>
  </sheetData>
  <mergeCells count="3">
    <mergeCell ref="A1:B1"/>
    <mergeCell ref="A2:B2"/>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09.38"/>
    <col collapsed="false" customWidth="true" hidden="false" outlineLevel="0" max="4" min="4" style="0" width="22"/>
  </cols>
  <sheetData>
    <row r="1" customFormat="false" ht="15" hidden="false" customHeight="false" outlineLevel="0" collapsed="false">
      <c r="A1" s="27" t="s">
        <v>269</v>
      </c>
      <c r="B1" s="30" t="s">
        <v>274</v>
      </c>
      <c r="D1" s="26" t="str">
        <f aca="false">HYPERLINK("#'Master Overview'!A1","&lt;&lt; Master Overview")</f>
        <v>&lt;&lt; Master Overview</v>
      </c>
    </row>
    <row r="2" customFormat="false" ht="15" hidden="false" customHeight="false" outlineLevel="0" collapsed="false">
      <c r="A2" s="28" t="n">
        <v>1</v>
      </c>
      <c r="B2" s="31" t="s">
        <v>275</v>
      </c>
      <c r="D2" s="2" t="s">
        <v>276</v>
      </c>
    </row>
    <row r="3" customFormat="false" ht="15" hidden="false" customHeight="false" outlineLevel="0" collapsed="false">
      <c r="A3" s="28" t="n">
        <v>2</v>
      </c>
      <c r="B3" s="31" t="s">
        <v>277</v>
      </c>
    </row>
    <row r="4" customFormat="false" ht="15" hidden="false" customHeight="false" outlineLevel="0" collapsed="false">
      <c r="A4" s="28" t="n">
        <v>3</v>
      </c>
      <c r="B4" s="31" t="s">
        <v>278</v>
      </c>
    </row>
    <row r="5" customFormat="false" ht="15" hidden="false" customHeight="false" outlineLevel="0" collapsed="false">
      <c r="A5" s="28" t="n">
        <v>4</v>
      </c>
      <c r="B5" s="31" t="s">
        <v>279</v>
      </c>
    </row>
    <row r="6" customFormat="false" ht="15" hidden="false" customHeight="false" outlineLevel="0" collapsed="false">
      <c r="A6" s="28" t="n">
        <v>5</v>
      </c>
      <c r="B6" s="31" t="s">
        <v>280</v>
      </c>
    </row>
    <row r="7" customFormat="false" ht="15" hidden="false" customHeight="false" outlineLevel="0" collapsed="false">
      <c r="A7" s="28" t="n">
        <v>6</v>
      </c>
      <c r="B7" s="31" t="s">
        <v>281</v>
      </c>
    </row>
    <row r="8" customFormat="false" ht="15" hidden="false" customHeight="false" outlineLevel="0" collapsed="false">
      <c r="A8" s="28" t="n">
        <v>7</v>
      </c>
      <c r="B8" s="31" t="s">
        <v>282</v>
      </c>
    </row>
    <row r="9" customFormat="false" ht="15" hidden="false" customHeight="false" outlineLevel="0" collapsed="false">
      <c r="A9" s="28" t="n">
        <v>8</v>
      </c>
      <c r="B9" s="31" t="s">
        <v>283</v>
      </c>
    </row>
    <row r="10" customFormat="false" ht="15" hidden="false" customHeight="false" outlineLevel="0" collapsed="false">
      <c r="A10" s="28" t="n">
        <v>9</v>
      </c>
      <c r="B10" s="31" t="s">
        <v>284</v>
      </c>
    </row>
    <row r="11" customFormat="false" ht="15" hidden="false" customHeight="false" outlineLevel="0" collapsed="false">
      <c r="A11" s="28" t="n">
        <v>10</v>
      </c>
      <c r="B11" s="31" t="s">
        <v>285</v>
      </c>
    </row>
    <row r="12" customFormat="false" ht="15" hidden="false" customHeight="false" outlineLevel="0" collapsed="false">
      <c r="A12" s="28" t="n">
        <v>11</v>
      </c>
      <c r="B12" s="31" t="s">
        <v>286</v>
      </c>
    </row>
    <row r="13" customFormat="false" ht="15" hidden="false" customHeight="false" outlineLevel="0" collapsed="false">
      <c r="A13" s="28" t="n">
        <v>12</v>
      </c>
      <c r="B13" s="31" t="s">
        <v>287</v>
      </c>
    </row>
    <row r="14" customFormat="false" ht="15" hidden="false" customHeight="false" outlineLevel="0" collapsed="false">
      <c r="A14" s="28" t="n">
        <v>13</v>
      </c>
      <c r="B14" s="31" t="s">
        <v>288</v>
      </c>
    </row>
    <row r="15" customFormat="false" ht="15" hidden="false" customHeight="false" outlineLevel="0" collapsed="false">
      <c r="A15" s="28" t="n">
        <v>14</v>
      </c>
      <c r="B15" s="31" t="s">
        <v>289</v>
      </c>
    </row>
    <row r="16" customFormat="false" ht="15" hidden="false" customHeight="false" outlineLevel="0" collapsed="false">
      <c r="A16" s="28" t="n">
        <v>15</v>
      </c>
      <c r="B16" s="31" t="s">
        <v>290</v>
      </c>
    </row>
    <row r="17" customFormat="false" ht="15" hidden="false" customHeight="false" outlineLevel="0" collapsed="false">
      <c r="A17" s="28" t="n">
        <v>16</v>
      </c>
      <c r="B17" s="31" t="s">
        <v>291</v>
      </c>
    </row>
    <row r="18" customFormat="false" ht="15" hidden="false" customHeight="false" outlineLevel="0" collapsed="false">
      <c r="A18" s="28" t="n">
        <v>17</v>
      </c>
      <c r="B18" s="31" t="s">
        <v>292</v>
      </c>
    </row>
    <row r="19" customFormat="false" ht="15" hidden="false" customHeight="false" outlineLevel="0" collapsed="false">
      <c r="A19" s="28" t="n">
        <v>18</v>
      </c>
      <c r="B19" s="31" t="s">
        <v>293</v>
      </c>
    </row>
    <row r="20" customFormat="false" ht="15" hidden="false" customHeight="false" outlineLevel="0" collapsed="false">
      <c r="A20" s="28" t="n">
        <v>19</v>
      </c>
      <c r="B20" s="31" t="s">
        <v>294</v>
      </c>
    </row>
    <row r="21" customFormat="false" ht="15" hidden="false" customHeight="false" outlineLevel="0" collapsed="false">
      <c r="A21" s="28" t="n">
        <v>20</v>
      </c>
      <c r="B21" s="31" t="s">
        <v>295</v>
      </c>
    </row>
    <row r="22" customFormat="false" ht="15" hidden="false" customHeight="false" outlineLevel="0" collapsed="false">
      <c r="A22" s="28" t="n">
        <v>21</v>
      </c>
      <c r="B22" s="31" t="s">
        <v>296</v>
      </c>
    </row>
    <row r="23" customFormat="false" ht="15" hidden="false" customHeight="false" outlineLevel="0" collapsed="false">
      <c r="A23" s="28" t="n">
        <v>22</v>
      </c>
      <c r="B23" s="31" t="s">
        <v>297</v>
      </c>
    </row>
    <row r="24" customFormat="false" ht="15" hidden="false" customHeight="false" outlineLevel="0" collapsed="false">
      <c r="A24" s="28" t="n">
        <v>23</v>
      </c>
      <c r="B24" s="31" t="s">
        <v>298</v>
      </c>
    </row>
    <row r="25" customFormat="false" ht="15" hidden="false" customHeight="false" outlineLevel="0" collapsed="false">
      <c r="A25" s="28" t="n">
        <v>24</v>
      </c>
      <c r="B25" s="31" t="s">
        <v>299</v>
      </c>
    </row>
    <row r="26" customFormat="false" ht="15" hidden="false" customHeight="false" outlineLevel="0" collapsed="false">
      <c r="A26" s="28" t="n">
        <v>25</v>
      </c>
      <c r="B26" s="31" t="s">
        <v>300</v>
      </c>
    </row>
    <row r="27" customFormat="false" ht="15" hidden="false" customHeight="false" outlineLevel="0" collapsed="false">
      <c r="A27" s="28" t="n">
        <v>26</v>
      </c>
      <c r="B27" s="31" t="s">
        <v>301</v>
      </c>
    </row>
    <row r="28" customFormat="false" ht="15" hidden="false" customHeight="false" outlineLevel="0" collapsed="false">
      <c r="A28" s="28" t="n">
        <v>27</v>
      </c>
      <c r="B28" s="31" t="s">
        <v>302</v>
      </c>
    </row>
    <row r="29" customFormat="false" ht="15" hidden="false" customHeight="false" outlineLevel="0" collapsed="false">
      <c r="A29" s="28" t="n">
        <v>28</v>
      </c>
      <c r="B29" s="31" t="s">
        <v>303</v>
      </c>
    </row>
    <row r="30" customFormat="false" ht="15" hidden="false" customHeight="false" outlineLevel="0" collapsed="false">
      <c r="A30" s="28" t="n">
        <v>29</v>
      </c>
      <c r="B30" s="31" t="s">
        <v>304</v>
      </c>
    </row>
    <row r="31" customFormat="false" ht="15" hidden="false" customHeight="false" outlineLevel="0" collapsed="false">
      <c r="A31" s="28" t="n">
        <v>30</v>
      </c>
      <c r="B31" s="31" t="s">
        <v>305</v>
      </c>
    </row>
    <row r="32" customFormat="false" ht="15" hidden="false" customHeight="false" outlineLevel="0" collapsed="false">
      <c r="A32" s="28" t="n">
        <v>31</v>
      </c>
      <c r="B32" s="31"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70.38"/>
    <col collapsed="false" customWidth="true" hidden="false" outlineLevel="0" max="3" min="3" style="0" width="41.13"/>
    <col collapsed="false" customWidth="true" hidden="false" outlineLevel="0" max="5" min="5" style="0" width="22"/>
  </cols>
  <sheetData>
    <row r="1" customFormat="false" ht="15" hidden="false" customHeight="false" outlineLevel="0" collapsed="false">
      <c r="A1" s="27" t="s">
        <v>269</v>
      </c>
      <c r="B1" s="27" t="s">
        <v>274</v>
      </c>
      <c r="C1" s="27" t="s">
        <v>109</v>
      </c>
      <c r="E1" s="26" t="str">
        <f aca="false">HYPERLINK("#'Master Overview'!A1","&lt;&lt; Master Overview")</f>
        <v>&lt;&lt; Master Overview</v>
      </c>
    </row>
    <row r="2" customFormat="false" ht="15" hidden="false" customHeight="false" outlineLevel="0" collapsed="false">
      <c r="A2" s="28" t="n">
        <v>1</v>
      </c>
      <c r="B2" s="31" t="s">
        <v>307</v>
      </c>
      <c r="C2" s="31" t="s">
        <v>275</v>
      </c>
      <c r="E2" s="2" t="s">
        <v>308</v>
      </c>
    </row>
    <row r="3" customFormat="false" ht="15" hidden="false" customHeight="false" outlineLevel="0" collapsed="false">
      <c r="A3" s="28" t="n">
        <v>2</v>
      </c>
      <c r="B3" s="31" t="s">
        <v>309</v>
      </c>
      <c r="C3" s="31" t="s">
        <v>277</v>
      </c>
    </row>
    <row r="4" customFormat="false" ht="15" hidden="false" customHeight="false" outlineLevel="0" collapsed="false">
      <c r="A4" s="28" t="n">
        <v>3</v>
      </c>
      <c r="B4" s="31" t="s">
        <v>310</v>
      </c>
      <c r="C4" s="31" t="s">
        <v>278</v>
      </c>
    </row>
    <row r="5" customFormat="false" ht="15" hidden="false" customHeight="false" outlineLevel="0" collapsed="false">
      <c r="A5" s="28" t="n">
        <v>4</v>
      </c>
      <c r="B5" s="31" t="s">
        <v>311</v>
      </c>
      <c r="C5" s="31" t="s">
        <v>279</v>
      </c>
    </row>
    <row r="6" customFormat="false" ht="15" hidden="false" customHeight="false" outlineLevel="0" collapsed="false">
      <c r="A6" s="28" t="n">
        <v>5</v>
      </c>
      <c r="B6" s="31" t="s">
        <v>312</v>
      </c>
      <c r="C6" s="31" t="s">
        <v>280</v>
      </c>
    </row>
    <row r="7" customFormat="false" ht="15" hidden="false" customHeight="false" outlineLevel="0" collapsed="false">
      <c r="A7" s="28" t="n">
        <v>6</v>
      </c>
      <c r="B7" s="31" t="s">
        <v>313</v>
      </c>
      <c r="C7" s="31" t="s">
        <v>281</v>
      </c>
    </row>
    <row r="8" customFormat="false" ht="15" hidden="false" customHeight="false" outlineLevel="0" collapsed="false">
      <c r="A8" s="28" t="n">
        <v>7</v>
      </c>
      <c r="B8" s="31" t="s">
        <v>314</v>
      </c>
      <c r="C8" s="31" t="s">
        <v>282</v>
      </c>
    </row>
    <row r="9" customFormat="false" ht="15" hidden="false" customHeight="false" outlineLevel="0" collapsed="false">
      <c r="A9" s="28" t="n">
        <v>8</v>
      </c>
      <c r="B9" s="31" t="s">
        <v>314</v>
      </c>
      <c r="C9" s="31" t="s">
        <v>283</v>
      </c>
    </row>
    <row r="10" customFormat="false" ht="15" hidden="false" customHeight="false" outlineLevel="0" collapsed="false">
      <c r="A10" s="28" t="n">
        <v>9</v>
      </c>
      <c r="B10" s="31" t="s">
        <v>315</v>
      </c>
      <c r="C10" s="31" t="s">
        <v>284</v>
      </c>
    </row>
    <row r="11" customFormat="false" ht="15" hidden="false" customHeight="false" outlineLevel="0" collapsed="false">
      <c r="A11" s="28" t="n">
        <v>10</v>
      </c>
      <c r="B11" s="31" t="s">
        <v>316</v>
      </c>
      <c r="C11" s="31" t="s">
        <v>285</v>
      </c>
    </row>
    <row r="12" customFormat="false" ht="15" hidden="false" customHeight="false" outlineLevel="0" collapsed="false">
      <c r="A12" s="28" t="n">
        <v>11</v>
      </c>
      <c r="B12" s="31" t="s">
        <v>317</v>
      </c>
      <c r="C12" s="31" t="s">
        <v>286</v>
      </c>
    </row>
    <row r="13" customFormat="false" ht="15" hidden="false" customHeight="false" outlineLevel="0" collapsed="false">
      <c r="A13" s="28" t="n">
        <v>12</v>
      </c>
      <c r="B13" s="31" t="s">
        <v>318</v>
      </c>
      <c r="C13" s="31" t="s">
        <v>287</v>
      </c>
    </row>
    <row r="14" customFormat="false" ht="15" hidden="false" customHeight="false" outlineLevel="0" collapsed="false">
      <c r="A14" s="28" t="n">
        <v>13</v>
      </c>
      <c r="B14" s="31" t="s">
        <v>315</v>
      </c>
      <c r="C14" s="31" t="s">
        <v>288</v>
      </c>
    </row>
    <row r="15" customFormat="false" ht="15" hidden="false" customHeight="false" outlineLevel="0" collapsed="false">
      <c r="A15" s="28" t="n">
        <v>14</v>
      </c>
      <c r="B15" s="31" t="s">
        <v>314</v>
      </c>
      <c r="C15" s="31" t="s">
        <v>289</v>
      </c>
    </row>
    <row r="16" customFormat="false" ht="15" hidden="false" customHeight="false" outlineLevel="0" collapsed="false">
      <c r="A16" s="28" t="n">
        <v>15</v>
      </c>
      <c r="B16" s="31" t="s">
        <v>319</v>
      </c>
      <c r="C16" s="31" t="s">
        <v>290</v>
      </c>
    </row>
    <row r="17" customFormat="false" ht="15" hidden="false" customHeight="false" outlineLevel="0" collapsed="false">
      <c r="A17" s="28" t="n">
        <v>16</v>
      </c>
      <c r="B17" s="31" t="s">
        <v>313</v>
      </c>
      <c r="C17" s="31" t="s">
        <v>291</v>
      </c>
    </row>
    <row r="18" customFormat="false" ht="15" hidden="false" customHeight="false" outlineLevel="0" collapsed="false">
      <c r="A18" s="28" t="n">
        <v>17</v>
      </c>
      <c r="B18" s="31" t="s">
        <v>320</v>
      </c>
      <c r="C18" s="31" t="s">
        <v>292</v>
      </c>
    </row>
    <row r="19" customFormat="false" ht="15" hidden="false" customHeight="false" outlineLevel="0" collapsed="false">
      <c r="A19" s="28" t="n">
        <v>18</v>
      </c>
      <c r="B19" s="31" t="s">
        <v>316</v>
      </c>
      <c r="C19" s="31" t="s">
        <v>293</v>
      </c>
    </row>
    <row r="20" customFormat="false" ht="15" hidden="false" customHeight="false" outlineLevel="0" collapsed="false">
      <c r="A20" s="28" t="n">
        <v>19</v>
      </c>
      <c r="B20" s="31" t="s">
        <v>321</v>
      </c>
      <c r="C20" s="31" t="s">
        <v>294</v>
      </c>
    </row>
    <row r="21" customFormat="false" ht="15" hidden="false" customHeight="false" outlineLevel="0" collapsed="false">
      <c r="A21" s="28" t="n">
        <v>20</v>
      </c>
      <c r="B21" s="31" t="s">
        <v>317</v>
      </c>
      <c r="C21" s="31" t="s">
        <v>295</v>
      </c>
    </row>
    <row r="22" customFormat="false" ht="15" hidden="false" customHeight="false" outlineLevel="0" collapsed="false">
      <c r="A22" s="28" t="n">
        <v>21</v>
      </c>
      <c r="B22" s="31" t="s">
        <v>322</v>
      </c>
      <c r="C22" s="31" t="s">
        <v>296</v>
      </c>
    </row>
    <row r="23" customFormat="false" ht="15" hidden="false" customHeight="false" outlineLevel="0" collapsed="false">
      <c r="A23" s="28" t="n">
        <v>22</v>
      </c>
      <c r="B23" s="31" t="s">
        <v>323</v>
      </c>
      <c r="C23" s="31" t="s">
        <v>297</v>
      </c>
    </row>
    <row r="24" customFormat="false" ht="15" hidden="false" customHeight="false" outlineLevel="0" collapsed="false">
      <c r="A24" s="28" t="n">
        <v>23</v>
      </c>
      <c r="B24" s="31" t="s">
        <v>324</v>
      </c>
      <c r="C24" s="31" t="s">
        <v>298</v>
      </c>
    </row>
    <row r="25" customFormat="false" ht="15" hidden="false" customHeight="false" outlineLevel="0" collapsed="false">
      <c r="A25" s="28" t="n">
        <v>24</v>
      </c>
      <c r="B25" s="31" t="s">
        <v>315</v>
      </c>
      <c r="C25" s="31" t="s">
        <v>299</v>
      </c>
    </row>
    <row r="26" customFormat="false" ht="15" hidden="false" customHeight="false" outlineLevel="0" collapsed="false">
      <c r="A26" s="28" t="n">
        <v>25</v>
      </c>
      <c r="B26" s="31" t="s">
        <v>316</v>
      </c>
      <c r="C26" s="31" t="s">
        <v>300</v>
      </c>
    </row>
    <row r="27" customFormat="false" ht="15" hidden="false" customHeight="false" outlineLevel="0" collapsed="false">
      <c r="A27" s="28" t="n">
        <v>26</v>
      </c>
      <c r="B27" s="31" t="s">
        <v>325</v>
      </c>
      <c r="C27" s="31" t="s">
        <v>301</v>
      </c>
    </row>
    <row r="28" customFormat="false" ht="15" hidden="false" customHeight="false" outlineLevel="0" collapsed="false">
      <c r="A28" s="28" t="n">
        <v>27</v>
      </c>
      <c r="B28" s="31" t="s">
        <v>313</v>
      </c>
      <c r="C28" s="31" t="s">
        <v>302</v>
      </c>
    </row>
    <row r="29" customFormat="false" ht="15" hidden="false" customHeight="false" outlineLevel="0" collapsed="false">
      <c r="A29" s="28" t="n">
        <v>28</v>
      </c>
      <c r="B29" s="31" t="s">
        <v>317</v>
      </c>
      <c r="C29" s="31" t="s">
        <v>303</v>
      </c>
    </row>
    <row r="30" customFormat="false" ht="15" hidden="false" customHeight="false" outlineLevel="0" collapsed="false">
      <c r="A30" s="28" t="n">
        <v>29</v>
      </c>
      <c r="B30" s="31" t="s">
        <v>326</v>
      </c>
      <c r="C30" s="31" t="s">
        <v>304</v>
      </c>
    </row>
    <row r="31" customFormat="false" ht="15" hidden="false" customHeight="false" outlineLevel="0" collapsed="false">
      <c r="A31" s="28" t="n">
        <v>30</v>
      </c>
      <c r="B31" s="31" t="s">
        <v>326</v>
      </c>
      <c r="C31" s="31" t="s">
        <v>305</v>
      </c>
    </row>
    <row r="32" customFormat="false" ht="15" hidden="false" customHeight="false" outlineLevel="0" collapsed="false">
      <c r="A32" s="28" t="n">
        <v>31</v>
      </c>
      <c r="B32" s="31" t="s">
        <v>326</v>
      </c>
      <c r="C32" s="31"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4.51"/>
    <col collapsed="false" customWidth="true" hidden="false" outlineLevel="0" max="4" min="4" style="0" width="22"/>
  </cols>
  <sheetData>
    <row r="1" customFormat="false" ht="15" hidden="false" customHeight="false" outlineLevel="0" collapsed="false">
      <c r="A1" s="27" t="s">
        <v>269</v>
      </c>
      <c r="B1" s="27" t="s">
        <v>274</v>
      </c>
      <c r="D1" s="26" t="str">
        <f aca="false">HYPERLINK("#'Master Overview'!A1","&lt;&lt; Master Overview")</f>
        <v>&lt;&lt; Master Overview</v>
      </c>
    </row>
    <row r="2" customFormat="false" ht="15" hidden="false" customHeight="false" outlineLevel="0" collapsed="false">
      <c r="A2" s="28" t="n">
        <v>1</v>
      </c>
      <c r="B2" s="31" t="s">
        <v>327</v>
      </c>
      <c r="D2" s="2" t="s">
        <v>328</v>
      </c>
    </row>
    <row r="3" customFormat="false" ht="15" hidden="false" customHeight="false" outlineLevel="0" collapsed="false">
      <c r="A3" s="28" t="n">
        <v>2</v>
      </c>
      <c r="B3" s="31" t="s">
        <v>329</v>
      </c>
    </row>
    <row r="4" customFormat="false" ht="15" hidden="false" customHeight="false" outlineLevel="0" collapsed="false">
      <c r="A4" s="28" t="n">
        <v>3</v>
      </c>
      <c r="B4" s="31" t="s">
        <v>330</v>
      </c>
    </row>
    <row r="5" customFormat="false" ht="15" hidden="false" customHeight="false" outlineLevel="0" collapsed="false">
      <c r="A5" s="28" t="n">
        <v>4</v>
      </c>
      <c r="B5" s="31" t="s">
        <v>331</v>
      </c>
    </row>
    <row r="6" customFormat="false" ht="15" hidden="false" customHeight="false" outlineLevel="0" collapsed="false">
      <c r="A6" s="28" t="n">
        <v>5</v>
      </c>
      <c r="B6" s="31" t="s">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D2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16"/>
    <col collapsed="false" customWidth="true" hidden="false" outlineLevel="0" max="4" min="4" style="0" width="22"/>
  </cols>
  <sheetData>
    <row r="1" customFormat="false" ht="15" hidden="false" customHeight="false" outlineLevel="0" collapsed="false">
      <c r="A1" s="27" t="s">
        <v>269</v>
      </c>
      <c r="B1" s="27" t="s">
        <v>274</v>
      </c>
      <c r="D1" s="26" t="str">
        <f aca="false">HYPERLINK("#'Master Overview'!A1","&lt;&lt; Master Overview")</f>
        <v>&lt;&lt; Master Overview</v>
      </c>
    </row>
    <row r="2" customFormat="false" ht="15" hidden="false" customHeight="false" outlineLevel="0" collapsed="false">
      <c r="A2" s="28" t="n">
        <v>1</v>
      </c>
      <c r="B2" s="32" t="s">
        <v>333</v>
      </c>
      <c r="D2" s="2" t="s">
        <v>334</v>
      </c>
    </row>
    <row r="3" customFormat="false" ht="15" hidden="false" customHeight="false" outlineLevel="0" collapsed="false">
      <c r="A3" s="28" t="n">
        <v>2</v>
      </c>
      <c r="B3" s="32" t="s">
        <v>335</v>
      </c>
    </row>
    <row r="4" customFormat="false" ht="15" hidden="false" customHeight="false" outlineLevel="0" collapsed="false">
      <c r="A4" s="28" t="n">
        <v>3</v>
      </c>
      <c r="B4" s="32" t="s">
        <v>336</v>
      </c>
    </row>
    <row r="5" customFormat="false" ht="15" hidden="false" customHeight="false" outlineLevel="0" collapsed="false">
      <c r="A5" s="28" t="n">
        <v>4</v>
      </c>
      <c r="B5" s="32" t="s">
        <v>337</v>
      </c>
    </row>
    <row r="6" customFormat="false" ht="15" hidden="false" customHeight="false" outlineLevel="0" collapsed="false">
      <c r="A6" s="28" t="n">
        <v>5</v>
      </c>
      <c r="B6" s="32" t="s">
        <v>338</v>
      </c>
    </row>
    <row r="7" customFormat="false" ht="15" hidden="false" customHeight="false" outlineLevel="0" collapsed="false">
      <c r="A7" s="28" t="n">
        <v>6</v>
      </c>
      <c r="B7" s="32" t="s">
        <v>339</v>
      </c>
    </row>
    <row r="8" customFormat="false" ht="15" hidden="false" customHeight="false" outlineLevel="0" collapsed="false">
      <c r="A8" s="28" t="n">
        <v>7</v>
      </c>
      <c r="B8" s="32" t="s">
        <v>340</v>
      </c>
    </row>
    <row r="9" customFormat="false" ht="15" hidden="false" customHeight="false" outlineLevel="0" collapsed="false">
      <c r="A9" s="28" t="n">
        <v>8</v>
      </c>
      <c r="B9" s="32" t="s">
        <v>341</v>
      </c>
    </row>
    <row r="10" customFormat="false" ht="15" hidden="false" customHeight="false" outlineLevel="0" collapsed="false">
      <c r="A10" s="28" t="n">
        <v>9</v>
      </c>
      <c r="B10" s="32" t="s">
        <v>342</v>
      </c>
    </row>
    <row r="11" customFormat="false" ht="15" hidden="false" customHeight="false" outlineLevel="0" collapsed="false">
      <c r="A11" s="28" t="n">
        <v>10</v>
      </c>
      <c r="B11" s="32" t="s">
        <v>343</v>
      </c>
    </row>
    <row r="12" customFormat="false" ht="15" hidden="false" customHeight="false" outlineLevel="0" collapsed="false">
      <c r="A12" s="28" t="n">
        <v>11</v>
      </c>
      <c r="B12" s="32" t="s">
        <v>344</v>
      </c>
    </row>
    <row r="13" customFormat="false" ht="15" hidden="false" customHeight="false" outlineLevel="0" collapsed="false">
      <c r="A13" s="28" t="n">
        <v>12</v>
      </c>
      <c r="B13" s="32" t="s">
        <v>345</v>
      </c>
    </row>
    <row r="14" customFormat="false" ht="15" hidden="false" customHeight="false" outlineLevel="0" collapsed="false">
      <c r="A14" s="28" t="n">
        <v>13</v>
      </c>
      <c r="B14" s="32" t="s">
        <v>346</v>
      </c>
    </row>
    <row r="15" customFormat="false" ht="15" hidden="false" customHeight="false" outlineLevel="0" collapsed="false">
      <c r="A15" s="28" t="n">
        <v>14</v>
      </c>
      <c r="B15" s="32" t="s">
        <v>347</v>
      </c>
    </row>
    <row r="16" customFormat="false" ht="15" hidden="false" customHeight="false" outlineLevel="0" collapsed="false">
      <c r="A16" s="28" t="n">
        <v>15</v>
      </c>
      <c r="B16" s="32" t="s">
        <v>348</v>
      </c>
    </row>
    <row r="17" customFormat="false" ht="15" hidden="false" customHeight="false" outlineLevel="0" collapsed="false">
      <c r="A17" s="28" t="n">
        <v>16</v>
      </c>
      <c r="B17" s="32" t="s">
        <v>349</v>
      </c>
    </row>
    <row r="18" customFormat="false" ht="15" hidden="false" customHeight="false" outlineLevel="0" collapsed="false">
      <c r="A18" s="28" t="n">
        <v>17</v>
      </c>
      <c r="B18" s="32" t="s">
        <v>350</v>
      </c>
    </row>
    <row r="19" customFormat="false" ht="15" hidden="false" customHeight="false" outlineLevel="0" collapsed="false">
      <c r="A19" s="28" t="n">
        <v>18</v>
      </c>
      <c r="B19" s="32" t="s">
        <v>351</v>
      </c>
    </row>
    <row r="20" customFormat="false" ht="15" hidden="false" customHeight="false" outlineLevel="0" collapsed="false">
      <c r="A20" s="28" t="n">
        <v>19</v>
      </c>
      <c r="B20" s="32" t="s">
        <v>352</v>
      </c>
    </row>
    <row r="21" customFormat="false" ht="15" hidden="false" customHeight="false" outlineLevel="0" collapsed="false">
      <c r="A21" s="28" t="n">
        <v>20</v>
      </c>
      <c r="B21" s="32" t="s">
        <v>353</v>
      </c>
    </row>
    <row r="22" customFormat="false" ht="15" hidden="false" customHeight="false" outlineLevel="0" collapsed="false">
      <c r="A22" s="28" t="n">
        <v>21</v>
      </c>
      <c r="B22" s="32" t="s">
        <v>354</v>
      </c>
    </row>
    <row r="23" customFormat="false" ht="15" hidden="false" customHeight="false" outlineLevel="0" collapsed="false">
      <c r="A23" s="28" t="n">
        <v>22</v>
      </c>
      <c r="B23" s="32" t="s">
        <v>355</v>
      </c>
    </row>
    <row r="24" customFormat="false" ht="15" hidden="false" customHeight="false" outlineLevel="0" collapsed="false">
      <c r="A24" s="28" t="n">
        <v>23</v>
      </c>
      <c r="B24" s="32" t="s">
        <v>356</v>
      </c>
    </row>
    <row r="25" customFormat="false" ht="15" hidden="false" customHeight="false" outlineLevel="0" collapsed="false">
      <c r="A25" s="28" t="n">
        <v>24</v>
      </c>
      <c r="B25" s="32" t="s">
        <v>357</v>
      </c>
    </row>
    <row r="26" customFormat="false" ht="15" hidden="false" customHeight="false" outlineLevel="0" collapsed="false">
      <c r="A26" s="28" t="n">
        <v>25</v>
      </c>
      <c r="B26" s="32" t="s">
        <v>358</v>
      </c>
    </row>
    <row r="27" customFormat="false" ht="15" hidden="false" customHeight="false" outlineLevel="0" collapsed="false">
      <c r="A27" s="28" t="n">
        <v>26</v>
      </c>
      <c r="B27" s="32" t="s">
        <v>359</v>
      </c>
    </row>
    <row r="28" customFormat="false" ht="15" hidden="false" customHeight="false" outlineLevel="0" collapsed="false">
      <c r="A28" s="28" t="n">
        <v>27</v>
      </c>
      <c r="B28" s="32" t="s">
        <v>360</v>
      </c>
    </row>
    <row r="29" customFormat="false" ht="15" hidden="false" customHeight="false" outlineLevel="0" collapsed="false">
      <c r="A29" s="28" t="n">
        <v>28</v>
      </c>
      <c r="B29" s="32" t="s">
        <v>361</v>
      </c>
    </row>
    <row r="30" customFormat="false" ht="15" hidden="false" customHeight="false" outlineLevel="0" collapsed="false">
      <c r="A30" s="28" t="n">
        <v>29</v>
      </c>
      <c r="B30" s="32" t="s">
        <v>362</v>
      </c>
    </row>
    <row r="31" customFormat="false" ht="15" hidden="false" customHeight="false" outlineLevel="0" collapsed="false">
      <c r="A31" s="28" t="n">
        <v>30</v>
      </c>
      <c r="B31" s="32" t="s">
        <v>363</v>
      </c>
    </row>
    <row r="32" customFormat="false" ht="15" hidden="false" customHeight="false" outlineLevel="0" collapsed="false">
      <c r="A32" s="28" t="n">
        <v>31</v>
      </c>
      <c r="B32" s="32" t="s">
        <v>364</v>
      </c>
    </row>
    <row r="33" customFormat="false" ht="15" hidden="false" customHeight="false" outlineLevel="0" collapsed="false">
      <c r="A33" s="28" t="n">
        <v>32</v>
      </c>
      <c r="B33" s="32" t="s">
        <v>365</v>
      </c>
    </row>
    <row r="34" customFormat="false" ht="15" hidden="false" customHeight="false" outlineLevel="0" collapsed="false">
      <c r="A34" s="28" t="n">
        <v>33</v>
      </c>
      <c r="B34" s="32" t="s">
        <v>323</v>
      </c>
    </row>
    <row r="35" customFormat="false" ht="15" hidden="false" customHeight="false" outlineLevel="0" collapsed="false">
      <c r="A35" s="28" t="n">
        <v>34</v>
      </c>
      <c r="B35" s="32" t="s">
        <v>366</v>
      </c>
    </row>
    <row r="36" customFormat="false" ht="15" hidden="false" customHeight="false" outlineLevel="0" collapsed="false">
      <c r="A36" s="28" t="n">
        <v>35</v>
      </c>
      <c r="B36" s="32" t="s">
        <v>367</v>
      </c>
    </row>
    <row r="37" customFormat="false" ht="15" hidden="false" customHeight="false" outlineLevel="0" collapsed="false">
      <c r="A37" s="28" t="n">
        <v>36</v>
      </c>
      <c r="B37" s="32" t="s">
        <v>368</v>
      </c>
    </row>
    <row r="38" customFormat="false" ht="15" hidden="false" customHeight="false" outlineLevel="0" collapsed="false">
      <c r="A38" s="28" t="n">
        <v>37</v>
      </c>
      <c r="B38" s="32" t="s">
        <v>369</v>
      </c>
    </row>
    <row r="39" customFormat="false" ht="15" hidden="false" customHeight="false" outlineLevel="0" collapsed="false">
      <c r="A39" s="28" t="n">
        <v>38</v>
      </c>
      <c r="B39" s="32" t="s">
        <v>370</v>
      </c>
    </row>
    <row r="40" customFormat="false" ht="15" hidden="false" customHeight="false" outlineLevel="0" collapsed="false">
      <c r="A40" s="28" t="n">
        <v>39</v>
      </c>
      <c r="B40" s="32" t="s">
        <v>371</v>
      </c>
    </row>
    <row r="41" customFormat="false" ht="15" hidden="false" customHeight="false" outlineLevel="0" collapsed="false">
      <c r="A41" s="28" t="n">
        <v>40</v>
      </c>
      <c r="B41" s="32" t="s">
        <v>372</v>
      </c>
    </row>
    <row r="42" customFormat="false" ht="15" hidden="false" customHeight="false" outlineLevel="0" collapsed="false">
      <c r="A42" s="28" t="n">
        <v>41</v>
      </c>
      <c r="B42" s="32" t="s">
        <v>373</v>
      </c>
    </row>
    <row r="43" customFormat="false" ht="15" hidden="false" customHeight="false" outlineLevel="0" collapsed="false">
      <c r="A43" s="28" t="n">
        <v>42</v>
      </c>
      <c r="B43" s="32" t="s">
        <v>374</v>
      </c>
    </row>
    <row r="44" customFormat="false" ht="15" hidden="false" customHeight="false" outlineLevel="0" collapsed="false">
      <c r="A44" s="28" t="n">
        <v>43</v>
      </c>
      <c r="B44" s="32" t="s">
        <v>324</v>
      </c>
    </row>
    <row r="45" customFormat="false" ht="15" hidden="false" customHeight="false" outlineLevel="0" collapsed="false">
      <c r="A45" s="28" t="n">
        <v>44</v>
      </c>
      <c r="B45" s="32" t="s">
        <v>375</v>
      </c>
    </row>
    <row r="46" customFormat="false" ht="15" hidden="false" customHeight="false" outlineLevel="0" collapsed="false">
      <c r="A46" s="28" t="n">
        <v>45</v>
      </c>
      <c r="B46" s="32" t="s">
        <v>376</v>
      </c>
    </row>
    <row r="47" customFormat="false" ht="15" hidden="false" customHeight="false" outlineLevel="0" collapsed="false">
      <c r="A47" s="28" t="n">
        <v>46</v>
      </c>
      <c r="B47" s="32" t="s">
        <v>377</v>
      </c>
    </row>
    <row r="48" customFormat="false" ht="15" hidden="false" customHeight="false" outlineLevel="0" collapsed="false">
      <c r="A48" s="28" t="n">
        <v>47</v>
      </c>
      <c r="B48" s="32" t="s">
        <v>378</v>
      </c>
    </row>
    <row r="49" customFormat="false" ht="15" hidden="false" customHeight="false" outlineLevel="0" collapsed="false">
      <c r="A49" s="28" t="n">
        <v>48</v>
      </c>
      <c r="B49" s="32" t="s">
        <v>379</v>
      </c>
    </row>
    <row r="50" customFormat="false" ht="15" hidden="false" customHeight="false" outlineLevel="0" collapsed="false">
      <c r="A50" s="28" t="n">
        <v>49</v>
      </c>
      <c r="B50" s="32" t="s">
        <v>380</v>
      </c>
    </row>
    <row r="51" customFormat="false" ht="15" hidden="false" customHeight="false" outlineLevel="0" collapsed="false">
      <c r="A51" s="28" t="n">
        <v>50</v>
      </c>
      <c r="B51" s="32" t="s">
        <v>381</v>
      </c>
    </row>
    <row r="52" customFormat="false" ht="15" hidden="false" customHeight="false" outlineLevel="0" collapsed="false">
      <c r="A52" s="28" t="n">
        <v>51</v>
      </c>
      <c r="B52" s="32" t="s">
        <v>382</v>
      </c>
    </row>
    <row r="53" customFormat="false" ht="15" hidden="false" customHeight="false" outlineLevel="0" collapsed="false">
      <c r="A53" s="28" t="n">
        <v>52</v>
      </c>
      <c r="B53" s="32" t="s">
        <v>383</v>
      </c>
    </row>
    <row r="54" customFormat="false" ht="15" hidden="false" customHeight="false" outlineLevel="0" collapsed="false">
      <c r="A54" s="28" t="n">
        <v>53</v>
      </c>
      <c r="B54" s="32" t="s">
        <v>384</v>
      </c>
    </row>
    <row r="55" customFormat="false" ht="15" hidden="false" customHeight="false" outlineLevel="0" collapsed="false">
      <c r="A55" s="28" t="n">
        <v>54</v>
      </c>
      <c r="B55" s="32" t="s">
        <v>385</v>
      </c>
    </row>
    <row r="56" customFormat="false" ht="15" hidden="false" customHeight="false" outlineLevel="0" collapsed="false">
      <c r="A56" s="28" t="n">
        <v>55</v>
      </c>
      <c r="B56" s="32" t="s">
        <v>386</v>
      </c>
    </row>
    <row r="57" customFormat="false" ht="15" hidden="false" customHeight="false" outlineLevel="0" collapsed="false">
      <c r="A57" s="28" t="n">
        <v>56</v>
      </c>
      <c r="B57" s="32" t="s">
        <v>387</v>
      </c>
    </row>
    <row r="58" customFormat="false" ht="15" hidden="false" customHeight="false" outlineLevel="0" collapsed="false">
      <c r="A58" s="28" t="n">
        <v>57</v>
      </c>
      <c r="B58" s="32" t="s">
        <v>388</v>
      </c>
    </row>
    <row r="59" customFormat="false" ht="15" hidden="false" customHeight="false" outlineLevel="0" collapsed="false">
      <c r="A59" s="28" t="n">
        <v>58</v>
      </c>
      <c r="B59" s="32" t="s">
        <v>389</v>
      </c>
    </row>
    <row r="60" customFormat="false" ht="15" hidden="false" customHeight="false" outlineLevel="0" collapsed="false">
      <c r="A60" s="28" t="n">
        <v>59</v>
      </c>
      <c r="B60" s="32" t="s">
        <v>390</v>
      </c>
    </row>
    <row r="61" customFormat="false" ht="15" hidden="false" customHeight="false" outlineLevel="0" collapsed="false">
      <c r="A61" s="28" t="n">
        <v>60</v>
      </c>
      <c r="B61" s="32" t="s">
        <v>391</v>
      </c>
    </row>
    <row r="62" customFormat="false" ht="15" hidden="false" customHeight="false" outlineLevel="0" collapsed="false">
      <c r="A62" s="28" t="n">
        <v>61</v>
      </c>
      <c r="B62" s="32" t="s">
        <v>392</v>
      </c>
    </row>
    <row r="63" customFormat="false" ht="15" hidden="false" customHeight="false" outlineLevel="0" collapsed="false">
      <c r="A63" s="28" t="n">
        <v>62</v>
      </c>
      <c r="B63" s="32" t="s">
        <v>393</v>
      </c>
    </row>
    <row r="64" customFormat="false" ht="15" hidden="false" customHeight="false" outlineLevel="0" collapsed="false">
      <c r="A64" s="28" t="n">
        <v>63</v>
      </c>
      <c r="B64" s="32" t="s">
        <v>394</v>
      </c>
    </row>
    <row r="65" customFormat="false" ht="15" hidden="false" customHeight="false" outlineLevel="0" collapsed="false">
      <c r="A65" s="28" t="n">
        <v>64</v>
      </c>
      <c r="B65" s="32" t="s">
        <v>320</v>
      </c>
    </row>
    <row r="66" customFormat="false" ht="15" hidden="false" customHeight="false" outlineLevel="0" collapsed="false">
      <c r="A66" s="28" t="n">
        <v>65</v>
      </c>
      <c r="B66" s="32" t="s">
        <v>395</v>
      </c>
    </row>
    <row r="67" customFormat="false" ht="15" hidden="false" customHeight="false" outlineLevel="0" collapsed="false">
      <c r="A67" s="28" t="n">
        <v>66</v>
      </c>
      <c r="B67" s="32" t="s">
        <v>396</v>
      </c>
    </row>
    <row r="68" customFormat="false" ht="15" hidden="false" customHeight="false" outlineLevel="0" collapsed="false">
      <c r="A68" s="28" t="n">
        <v>67</v>
      </c>
      <c r="B68" s="32" t="s">
        <v>397</v>
      </c>
    </row>
    <row r="69" customFormat="false" ht="15" hidden="false" customHeight="false" outlineLevel="0" collapsed="false">
      <c r="A69" s="28" t="n">
        <v>68</v>
      </c>
      <c r="B69" s="32" t="s">
        <v>398</v>
      </c>
    </row>
    <row r="70" customFormat="false" ht="15" hidden="false" customHeight="false" outlineLevel="0" collapsed="false">
      <c r="A70" s="28" t="n">
        <v>69</v>
      </c>
      <c r="B70" s="32" t="s">
        <v>399</v>
      </c>
    </row>
    <row r="71" customFormat="false" ht="15" hidden="false" customHeight="false" outlineLevel="0" collapsed="false">
      <c r="A71" s="28" t="n">
        <v>70</v>
      </c>
      <c r="B71" s="32" t="s">
        <v>400</v>
      </c>
    </row>
    <row r="72" customFormat="false" ht="15" hidden="false" customHeight="false" outlineLevel="0" collapsed="false">
      <c r="A72" s="28" t="n">
        <v>71</v>
      </c>
      <c r="B72" s="32" t="s">
        <v>401</v>
      </c>
    </row>
    <row r="73" customFormat="false" ht="15" hidden="false" customHeight="false" outlineLevel="0" collapsed="false">
      <c r="A73" s="28" t="n">
        <v>72</v>
      </c>
      <c r="B73" s="32" t="s">
        <v>402</v>
      </c>
    </row>
    <row r="74" customFormat="false" ht="15" hidden="false" customHeight="false" outlineLevel="0" collapsed="false">
      <c r="A74" s="28" t="n">
        <v>73</v>
      </c>
      <c r="B74" s="32" t="s">
        <v>403</v>
      </c>
    </row>
    <row r="75" customFormat="false" ht="15" hidden="false" customHeight="false" outlineLevel="0" collapsed="false">
      <c r="A75" s="28" t="n">
        <v>74</v>
      </c>
      <c r="B75" s="32" t="s">
        <v>404</v>
      </c>
    </row>
    <row r="76" customFormat="false" ht="15" hidden="false" customHeight="false" outlineLevel="0" collapsed="false">
      <c r="A76" s="28" t="n">
        <v>75</v>
      </c>
      <c r="B76" s="32" t="s">
        <v>405</v>
      </c>
    </row>
    <row r="77" customFormat="false" ht="15" hidden="false" customHeight="false" outlineLevel="0" collapsed="false">
      <c r="A77" s="28" t="n">
        <v>76</v>
      </c>
      <c r="B77" s="32" t="s">
        <v>406</v>
      </c>
    </row>
    <row r="78" customFormat="false" ht="15" hidden="false" customHeight="false" outlineLevel="0" collapsed="false">
      <c r="A78" s="28" t="n">
        <v>77</v>
      </c>
      <c r="B78" s="32" t="s">
        <v>407</v>
      </c>
    </row>
    <row r="79" customFormat="false" ht="15" hidden="false" customHeight="false" outlineLevel="0" collapsed="false">
      <c r="A79" s="28" t="n">
        <v>78</v>
      </c>
      <c r="B79" s="32" t="s">
        <v>315</v>
      </c>
    </row>
    <row r="80" customFormat="false" ht="15" hidden="false" customHeight="false" outlineLevel="0" collapsed="false">
      <c r="A80" s="28" t="n">
        <v>79</v>
      </c>
      <c r="B80" s="32" t="s">
        <v>408</v>
      </c>
    </row>
    <row r="81" customFormat="false" ht="15" hidden="false" customHeight="false" outlineLevel="0" collapsed="false">
      <c r="A81" s="28" t="n">
        <v>80</v>
      </c>
      <c r="B81" s="32" t="s">
        <v>409</v>
      </c>
    </row>
    <row r="82" customFormat="false" ht="15" hidden="false" customHeight="false" outlineLevel="0" collapsed="false">
      <c r="A82" s="28" t="n">
        <v>81</v>
      </c>
      <c r="B82" s="32" t="s">
        <v>410</v>
      </c>
    </row>
    <row r="83" customFormat="false" ht="15" hidden="false" customHeight="false" outlineLevel="0" collapsed="false">
      <c r="A83" s="28" t="n">
        <v>82</v>
      </c>
      <c r="B83" s="32" t="s">
        <v>411</v>
      </c>
    </row>
    <row r="84" customFormat="false" ht="15" hidden="false" customHeight="false" outlineLevel="0" collapsed="false">
      <c r="A84" s="28" t="n">
        <v>83</v>
      </c>
      <c r="B84" s="32" t="s">
        <v>412</v>
      </c>
    </row>
    <row r="85" customFormat="false" ht="15" hidden="false" customHeight="false" outlineLevel="0" collapsed="false">
      <c r="A85" s="28" t="n">
        <v>84</v>
      </c>
      <c r="B85" s="32" t="s">
        <v>413</v>
      </c>
    </row>
    <row r="86" customFormat="false" ht="15" hidden="false" customHeight="false" outlineLevel="0" collapsed="false">
      <c r="A86" s="28" t="n">
        <v>85</v>
      </c>
      <c r="B86" s="32" t="s">
        <v>414</v>
      </c>
    </row>
    <row r="87" customFormat="false" ht="15" hidden="false" customHeight="false" outlineLevel="0" collapsed="false">
      <c r="A87" s="28" t="n">
        <v>86</v>
      </c>
      <c r="B87" s="32" t="s">
        <v>415</v>
      </c>
    </row>
    <row r="88" customFormat="false" ht="15" hidden="false" customHeight="false" outlineLevel="0" collapsed="false">
      <c r="A88" s="28" t="n">
        <v>87</v>
      </c>
      <c r="B88" s="32" t="s">
        <v>416</v>
      </c>
    </row>
    <row r="89" customFormat="false" ht="15" hidden="false" customHeight="false" outlineLevel="0" collapsed="false">
      <c r="A89" s="28" t="n">
        <v>88</v>
      </c>
      <c r="B89" s="32" t="s">
        <v>417</v>
      </c>
    </row>
    <row r="90" customFormat="false" ht="15" hidden="false" customHeight="false" outlineLevel="0" collapsed="false">
      <c r="A90" s="28" t="n">
        <v>89</v>
      </c>
      <c r="B90" s="32" t="s">
        <v>418</v>
      </c>
    </row>
    <row r="91" customFormat="false" ht="15" hidden="false" customHeight="false" outlineLevel="0" collapsed="false">
      <c r="A91" s="28" t="n">
        <v>90</v>
      </c>
      <c r="B91" s="32" t="s">
        <v>419</v>
      </c>
    </row>
    <row r="92" customFormat="false" ht="15" hidden="false" customHeight="false" outlineLevel="0" collapsed="false">
      <c r="A92" s="28" t="n">
        <v>91</v>
      </c>
      <c r="B92" s="32" t="s">
        <v>420</v>
      </c>
    </row>
    <row r="93" customFormat="false" ht="15" hidden="false" customHeight="false" outlineLevel="0" collapsed="false">
      <c r="A93" s="28" t="n">
        <v>92</v>
      </c>
      <c r="B93" s="32" t="s">
        <v>421</v>
      </c>
    </row>
    <row r="94" customFormat="false" ht="15" hidden="false" customHeight="false" outlineLevel="0" collapsed="false">
      <c r="A94" s="28" t="n">
        <v>93</v>
      </c>
      <c r="B94" s="32" t="s">
        <v>422</v>
      </c>
    </row>
    <row r="95" customFormat="false" ht="15" hidden="false" customHeight="false" outlineLevel="0" collapsed="false">
      <c r="A95" s="28" t="n">
        <v>94</v>
      </c>
      <c r="B95" s="32" t="s">
        <v>423</v>
      </c>
    </row>
    <row r="96" customFormat="false" ht="15" hidden="false" customHeight="false" outlineLevel="0" collapsed="false">
      <c r="A96" s="28" t="n">
        <v>95</v>
      </c>
      <c r="B96" s="32" t="s">
        <v>424</v>
      </c>
    </row>
    <row r="97" customFormat="false" ht="15" hidden="false" customHeight="false" outlineLevel="0" collapsed="false">
      <c r="A97" s="28" t="n">
        <v>96</v>
      </c>
      <c r="B97" s="32" t="s">
        <v>425</v>
      </c>
    </row>
    <row r="98" customFormat="false" ht="15" hidden="false" customHeight="false" outlineLevel="0" collapsed="false">
      <c r="A98" s="28" t="n">
        <v>97</v>
      </c>
      <c r="B98" s="32" t="s">
        <v>426</v>
      </c>
    </row>
    <row r="99" customFormat="false" ht="15" hidden="false" customHeight="false" outlineLevel="0" collapsed="false">
      <c r="A99" s="28" t="n">
        <v>98</v>
      </c>
      <c r="B99" s="32" t="s">
        <v>427</v>
      </c>
    </row>
    <row r="100" customFormat="false" ht="15" hidden="false" customHeight="false" outlineLevel="0" collapsed="false">
      <c r="A100" s="28" t="n">
        <v>99</v>
      </c>
      <c r="B100" s="32" t="s">
        <v>428</v>
      </c>
    </row>
    <row r="101" customFormat="false" ht="15" hidden="false" customHeight="false" outlineLevel="0" collapsed="false">
      <c r="A101" s="28" t="n">
        <v>100</v>
      </c>
      <c r="B101" s="32" t="s">
        <v>429</v>
      </c>
    </row>
    <row r="102" customFormat="false" ht="15" hidden="false" customHeight="false" outlineLevel="0" collapsed="false">
      <c r="A102" s="28" t="n">
        <v>101</v>
      </c>
      <c r="B102" s="32" t="s">
        <v>430</v>
      </c>
    </row>
    <row r="103" customFormat="false" ht="15" hidden="false" customHeight="false" outlineLevel="0" collapsed="false">
      <c r="A103" s="28" t="n">
        <v>102</v>
      </c>
      <c r="B103" s="32" t="s">
        <v>431</v>
      </c>
    </row>
    <row r="104" customFormat="false" ht="15" hidden="false" customHeight="false" outlineLevel="0" collapsed="false">
      <c r="A104" s="28" t="n">
        <v>103</v>
      </c>
      <c r="B104" s="32" t="s">
        <v>432</v>
      </c>
    </row>
    <row r="105" customFormat="false" ht="15" hidden="false" customHeight="false" outlineLevel="0" collapsed="false">
      <c r="A105" s="28" t="n">
        <v>104</v>
      </c>
      <c r="B105" s="32" t="s">
        <v>433</v>
      </c>
    </row>
    <row r="106" customFormat="false" ht="15" hidden="false" customHeight="false" outlineLevel="0" collapsed="false">
      <c r="A106" s="28" t="n">
        <v>105</v>
      </c>
      <c r="B106" s="32" t="s">
        <v>434</v>
      </c>
    </row>
    <row r="107" customFormat="false" ht="15" hidden="false" customHeight="false" outlineLevel="0" collapsed="false">
      <c r="A107" s="28" t="n">
        <v>106</v>
      </c>
      <c r="B107" s="32" t="s">
        <v>435</v>
      </c>
    </row>
    <row r="108" customFormat="false" ht="15" hidden="false" customHeight="false" outlineLevel="0" collapsed="false">
      <c r="A108" s="28" t="n">
        <v>107</v>
      </c>
      <c r="B108" s="32" t="s">
        <v>436</v>
      </c>
    </row>
    <row r="109" customFormat="false" ht="15" hidden="false" customHeight="false" outlineLevel="0" collapsed="false">
      <c r="A109" s="28" t="n">
        <v>108</v>
      </c>
      <c r="B109" s="32" t="s">
        <v>437</v>
      </c>
    </row>
    <row r="110" customFormat="false" ht="15" hidden="false" customHeight="false" outlineLevel="0" collapsed="false">
      <c r="A110" s="28" t="n">
        <v>109</v>
      </c>
      <c r="B110" s="32" t="s">
        <v>438</v>
      </c>
    </row>
    <row r="111" customFormat="false" ht="15" hidden="false" customHeight="false" outlineLevel="0" collapsed="false">
      <c r="A111" s="28" t="n">
        <v>110</v>
      </c>
      <c r="B111" s="32" t="s">
        <v>439</v>
      </c>
    </row>
    <row r="112" customFormat="false" ht="15" hidden="false" customHeight="false" outlineLevel="0" collapsed="false">
      <c r="A112" s="28" t="n">
        <v>111</v>
      </c>
      <c r="B112" s="32" t="s">
        <v>440</v>
      </c>
    </row>
    <row r="113" customFormat="false" ht="15" hidden="false" customHeight="false" outlineLevel="0" collapsed="false">
      <c r="A113" s="28" t="n">
        <v>112</v>
      </c>
      <c r="B113" s="32" t="s">
        <v>441</v>
      </c>
    </row>
    <row r="114" customFormat="false" ht="15" hidden="false" customHeight="false" outlineLevel="0" collapsed="false">
      <c r="A114" s="28" t="n">
        <v>113</v>
      </c>
      <c r="B114" s="32" t="s">
        <v>442</v>
      </c>
    </row>
    <row r="115" customFormat="false" ht="15" hidden="false" customHeight="false" outlineLevel="0" collapsed="false">
      <c r="A115" s="28" t="n">
        <v>114</v>
      </c>
      <c r="B115" s="32" t="s">
        <v>443</v>
      </c>
    </row>
    <row r="116" customFormat="false" ht="15" hidden="false" customHeight="false" outlineLevel="0" collapsed="false">
      <c r="A116" s="28" t="n">
        <v>115</v>
      </c>
      <c r="B116" s="32" t="s">
        <v>444</v>
      </c>
    </row>
    <row r="117" customFormat="false" ht="15" hidden="false" customHeight="false" outlineLevel="0" collapsed="false">
      <c r="A117" s="28" t="n">
        <v>116</v>
      </c>
      <c r="B117" s="32" t="s">
        <v>445</v>
      </c>
    </row>
    <row r="118" customFormat="false" ht="15" hidden="false" customHeight="false" outlineLevel="0" collapsed="false">
      <c r="A118" s="28" t="n">
        <v>117</v>
      </c>
      <c r="B118" s="32" t="s">
        <v>446</v>
      </c>
    </row>
    <row r="119" customFormat="false" ht="15" hidden="false" customHeight="false" outlineLevel="0" collapsed="false">
      <c r="A119" s="28" t="n">
        <v>118</v>
      </c>
      <c r="B119" s="32" t="s">
        <v>447</v>
      </c>
    </row>
    <row r="120" customFormat="false" ht="15" hidden="false" customHeight="false" outlineLevel="0" collapsed="false">
      <c r="A120" s="28" t="n">
        <v>119</v>
      </c>
      <c r="B120" s="32" t="s">
        <v>448</v>
      </c>
    </row>
    <row r="121" customFormat="false" ht="15" hidden="false" customHeight="false" outlineLevel="0" collapsed="false">
      <c r="A121" s="28" t="n">
        <v>120</v>
      </c>
      <c r="B121" s="32" t="s">
        <v>449</v>
      </c>
    </row>
    <row r="122" customFormat="false" ht="15" hidden="false" customHeight="false" outlineLevel="0" collapsed="false">
      <c r="A122" s="28" t="n">
        <v>121</v>
      </c>
      <c r="B122" s="32" t="s">
        <v>450</v>
      </c>
    </row>
    <row r="123" customFormat="false" ht="15" hidden="false" customHeight="false" outlineLevel="0" collapsed="false">
      <c r="A123" s="28" t="n">
        <v>122</v>
      </c>
      <c r="B123" s="32" t="s">
        <v>451</v>
      </c>
    </row>
    <row r="124" customFormat="false" ht="15" hidden="false" customHeight="false" outlineLevel="0" collapsed="false">
      <c r="A124" s="28" t="n">
        <v>123</v>
      </c>
      <c r="B124" s="32" t="s">
        <v>452</v>
      </c>
    </row>
    <row r="125" customFormat="false" ht="15" hidden="false" customHeight="false" outlineLevel="0" collapsed="false">
      <c r="A125" s="28" t="n">
        <v>124</v>
      </c>
      <c r="B125" s="32" t="s">
        <v>453</v>
      </c>
    </row>
    <row r="126" customFormat="false" ht="15" hidden="false" customHeight="false" outlineLevel="0" collapsed="false">
      <c r="A126" s="28" t="n">
        <v>125</v>
      </c>
      <c r="B126" s="32" t="s">
        <v>454</v>
      </c>
    </row>
    <row r="127" customFormat="false" ht="15" hidden="false" customHeight="false" outlineLevel="0" collapsed="false">
      <c r="A127" s="28" t="n">
        <v>126</v>
      </c>
      <c r="B127" s="32" t="s">
        <v>455</v>
      </c>
    </row>
    <row r="128" customFormat="false" ht="15" hidden="false" customHeight="false" outlineLevel="0" collapsed="false">
      <c r="A128" s="28" t="n">
        <v>127</v>
      </c>
      <c r="B128" s="32" t="s">
        <v>456</v>
      </c>
    </row>
    <row r="129" customFormat="false" ht="15" hidden="false" customHeight="false" outlineLevel="0" collapsed="false">
      <c r="A129" s="28" t="n">
        <v>128</v>
      </c>
      <c r="B129" s="32" t="s">
        <v>457</v>
      </c>
    </row>
    <row r="130" customFormat="false" ht="15" hidden="false" customHeight="false" outlineLevel="0" collapsed="false">
      <c r="A130" s="28" t="n">
        <v>129</v>
      </c>
      <c r="B130" s="32" t="s">
        <v>458</v>
      </c>
    </row>
    <row r="131" customFormat="false" ht="15" hidden="false" customHeight="false" outlineLevel="0" collapsed="false">
      <c r="A131" s="28" t="n">
        <v>130</v>
      </c>
      <c r="B131" s="32" t="s">
        <v>459</v>
      </c>
    </row>
    <row r="132" customFormat="false" ht="15" hidden="false" customHeight="false" outlineLevel="0" collapsed="false">
      <c r="A132" s="28" t="n">
        <v>131</v>
      </c>
      <c r="B132" s="32" t="s">
        <v>460</v>
      </c>
    </row>
    <row r="133" customFormat="false" ht="15" hidden="false" customHeight="false" outlineLevel="0" collapsed="false">
      <c r="A133" s="28" t="n">
        <v>132</v>
      </c>
      <c r="B133" s="32" t="s">
        <v>461</v>
      </c>
    </row>
    <row r="134" customFormat="false" ht="15" hidden="false" customHeight="false" outlineLevel="0" collapsed="false">
      <c r="A134" s="28" t="n">
        <v>133</v>
      </c>
      <c r="B134" s="32" t="s">
        <v>462</v>
      </c>
    </row>
    <row r="135" customFormat="false" ht="15" hidden="false" customHeight="false" outlineLevel="0" collapsed="false">
      <c r="A135" s="28" t="n">
        <v>134</v>
      </c>
      <c r="B135" s="32" t="s">
        <v>463</v>
      </c>
    </row>
    <row r="136" customFormat="false" ht="15" hidden="false" customHeight="false" outlineLevel="0" collapsed="false">
      <c r="A136" s="28" t="n">
        <v>135</v>
      </c>
      <c r="B136" s="32" t="s">
        <v>464</v>
      </c>
    </row>
    <row r="137" customFormat="false" ht="15" hidden="false" customHeight="false" outlineLevel="0" collapsed="false">
      <c r="A137" s="28" t="n">
        <v>136</v>
      </c>
      <c r="B137" s="32" t="s">
        <v>465</v>
      </c>
    </row>
    <row r="138" customFormat="false" ht="15" hidden="false" customHeight="false" outlineLevel="0" collapsed="false">
      <c r="A138" s="28" t="n">
        <v>137</v>
      </c>
      <c r="B138" s="32" t="s">
        <v>466</v>
      </c>
    </row>
    <row r="139" customFormat="false" ht="15" hidden="false" customHeight="false" outlineLevel="0" collapsed="false">
      <c r="A139" s="28" t="n">
        <v>138</v>
      </c>
      <c r="B139" s="32" t="s">
        <v>467</v>
      </c>
    </row>
    <row r="140" customFormat="false" ht="15" hidden="false" customHeight="false" outlineLevel="0" collapsed="false">
      <c r="A140" s="28" t="n">
        <v>139</v>
      </c>
      <c r="B140" s="32" t="s">
        <v>468</v>
      </c>
    </row>
    <row r="141" customFormat="false" ht="15" hidden="false" customHeight="false" outlineLevel="0" collapsed="false">
      <c r="A141" s="28" t="n">
        <v>140</v>
      </c>
      <c r="B141" s="32" t="s">
        <v>469</v>
      </c>
    </row>
    <row r="142" customFormat="false" ht="15" hidden="false" customHeight="false" outlineLevel="0" collapsed="false">
      <c r="A142" s="28" t="n">
        <v>141</v>
      </c>
      <c r="B142" s="32" t="s">
        <v>470</v>
      </c>
    </row>
    <row r="143" customFormat="false" ht="15" hidden="false" customHeight="false" outlineLevel="0" collapsed="false">
      <c r="A143" s="28" t="n">
        <v>142</v>
      </c>
      <c r="B143" s="32" t="s">
        <v>471</v>
      </c>
    </row>
    <row r="144" customFormat="false" ht="15" hidden="false" customHeight="false" outlineLevel="0" collapsed="false">
      <c r="A144" s="28" t="n">
        <v>143</v>
      </c>
      <c r="B144" s="32" t="s">
        <v>472</v>
      </c>
    </row>
    <row r="145" customFormat="false" ht="15" hidden="false" customHeight="false" outlineLevel="0" collapsed="false">
      <c r="A145" s="28" t="n">
        <v>144</v>
      </c>
      <c r="B145" s="32" t="s">
        <v>473</v>
      </c>
    </row>
    <row r="146" customFormat="false" ht="15" hidden="false" customHeight="false" outlineLevel="0" collapsed="false">
      <c r="A146" s="28" t="n">
        <v>145</v>
      </c>
      <c r="B146" s="32" t="s">
        <v>474</v>
      </c>
    </row>
    <row r="147" customFormat="false" ht="15" hidden="false" customHeight="false" outlineLevel="0" collapsed="false">
      <c r="A147" s="28" t="n">
        <v>146</v>
      </c>
      <c r="B147" s="32" t="s">
        <v>475</v>
      </c>
    </row>
    <row r="148" customFormat="false" ht="15" hidden="false" customHeight="false" outlineLevel="0" collapsed="false">
      <c r="A148" s="28" t="n">
        <v>147</v>
      </c>
      <c r="B148" s="32" t="s">
        <v>476</v>
      </c>
    </row>
    <row r="149" customFormat="false" ht="15" hidden="false" customHeight="false" outlineLevel="0" collapsed="false">
      <c r="A149" s="28" t="n">
        <v>148</v>
      </c>
      <c r="B149" s="32" t="s">
        <v>477</v>
      </c>
    </row>
    <row r="150" customFormat="false" ht="15" hidden="false" customHeight="false" outlineLevel="0" collapsed="false">
      <c r="A150" s="28" t="n">
        <v>149</v>
      </c>
      <c r="B150" s="32" t="s">
        <v>478</v>
      </c>
    </row>
    <row r="151" customFormat="false" ht="15" hidden="false" customHeight="false" outlineLevel="0" collapsed="false">
      <c r="A151" s="28" t="n">
        <v>150</v>
      </c>
      <c r="B151" s="32" t="s">
        <v>479</v>
      </c>
    </row>
    <row r="152" customFormat="false" ht="15" hidden="false" customHeight="false" outlineLevel="0" collapsed="false">
      <c r="A152" s="28" t="n">
        <v>151</v>
      </c>
      <c r="B152" s="32" t="s">
        <v>480</v>
      </c>
    </row>
    <row r="153" customFormat="false" ht="15" hidden="false" customHeight="false" outlineLevel="0" collapsed="false">
      <c r="A153" s="28" t="n">
        <v>152</v>
      </c>
      <c r="B153" s="32" t="s">
        <v>481</v>
      </c>
    </row>
    <row r="154" customFormat="false" ht="15" hidden="false" customHeight="false" outlineLevel="0" collapsed="false">
      <c r="A154" s="28" t="n">
        <v>153</v>
      </c>
      <c r="B154" s="32" t="s">
        <v>482</v>
      </c>
    </row>
    <row r="155" customFormat="false" ht="15" hidden="false" customHeight="false" outlineLevel="0" collapsed="false">
      <c r="A155" s="28" t="n">
        <v>154</v>
      </c>
      <c r="B155" s="32" t="s">
        <v>483</v>
      </c>
    </row>
    <row r="156" customFormat="false" ht="15" hidden="false" customHeight="false" outlineLevel="0" collapsed="false">
      <c r="A156" s="28" t="n">
        <v>155</v>
      </c>
      <c r="B156" s="32" t="s">
        <v>484</v>
      </c>
    </row>
    <row r="157" customFormat="false" ht="15" hidden="false" customHeight="false" outlineLevel="0" collapsed="false">
      <c r="A157" s="28" t="n">
        <v>156</v>
      </c>
      <c r="B157" s="32" t="s">
        <v>485</v>
      </c>
    </row>
    <row r="158" customFormat="false" ht="15" hidden="false" customHeight="false" outlineLevel="0" collapsed="false">
      <c r="A158" s="28" t="n">
        <v>157</v>
      </c>
      <c r="B158" s="32" t="s">
        <v>486</v>
      </c>
    </row>
    <row r="159" customFormat="false" ht="15" hidden="false" customHeight="false" outlineLevel="0" collapsed="false">
      <c r="A159" s="28" t="n">
        <v>158</v>
      </c>
      <c r="B159" s="32" t="s">
        <v>487</v>
      </c>
    </row>
    <row r="160" customFormat="false" ht="15" hidden="false" customHeight="false" outlineLevel="0" collapsed="false">
      <c r="A160" s="28" t="n">
        <v>159</v>
      </c>
      <c r="B160" s="32" t="s">
        <v>488</v>
      </c>
    </row>
    <row r="161" customFormat="false" ht="15" hidden="false" customHeight="false" outlineLevel="0" collapsed="false">
      <c r="A161" s="28" t="n">
        <v>160</v>
      </c>
      <c r="B161" s="32" t="s">
        <v>489</v>
      </c>
    </row>
    <row r="162" customFormat="false" ht="15" hidden="false" customHeight="false" outlineLevel="0" collapsed="false">
      <c r="A162" s="28" t="n">
        <v>161</v>
      </c>
      <c r="B162" s="32" t="s">
        <v>490</v>
      </c>
    </row>
    <row r="163" customFormat="false" ht="15" hidden="false" customHeight="false" outlineLevel="0" collapsed="false">
      <c r="A163" s="28" t="n">
        <v>162</v>
      </c>
      <c r="B163" s="32" t="s">
        <v>491</v>
      </c>
    </row>
    <row r="164" customFormat="false" ht="15" hidden="false" customHeight="false" outlineLevel="0" collapsed="false">
      <c r="A164" s="28" t="n">
        <v>163</v>
      </c>
      <c r="B164" s="32" t="s">
        <v>492</v>
      </c>
    </row>
    <row r="165" customFormat="false" ht="15" hidden="false" customHeight="false" outlineLevel="0" collapsed="false">
      <c r="A165" s="28" t="n">
        <v>164</v>
      </c>
      <c r="B165" s="32" t="s">
        <v>493</v>
      </c>
    </row>
    <row r="166" customFormat="false" ht="15" hidden="false" customHeight="false" outlineLevel="0" collapsed="false">
      <c r="A166" s="28" t="n">
        <v>165</v>
      </c>
      <c r="B166" s="32" t="s">
        <v>494</v>
      </c>
    </row>
    <row r="167" customFormat="false" ht="15" hidden="false" customHeight="false" outlineLevel="0" collapsed="false">
      <c r="A167" s="28" t="n">
        <v>166</v>
      </c>
      <c r="B167" s="32" t="s">
        <v>495</v>
      </c>
    </row>
    <row r="168" customFormat="false" ht="15" hidden="false" customHeight="false" outlineLevel="0" collapsed="false">
      <c r="A168" s="28" t="n">
        <v>167</v>
      </c>
      <c r="B168" s="32" t="s">
        <v>496</v>
      </c>
    </row>
    <row r="169" customFormat="false" ht="15" hidden="false" customHeight="false" outlineLevel="0" collapsed="false">
      <c r="A169" s="28" t="n">
        <v>168</v>
      </c>
      <c r="B169" s="32" t="s">
        <v>497</v>
      </c>
    </row>
    <row r="170" customFormat="false" ht="15" hidden="false" customHeight="false" outlineLevel="0" collapsed="false">
      <c r="A170" s="28" t="n">
        <v>169</v>
      </c>
      <c r="B170" s="32" t="s">
        <v>498</v>
      </c>
    </row>
    <row r="171" customFormat="false" ht="15" hidden="false" customHeight="false" outlineLevel="0" collapsed="false">
      <c r="A171" s="28" t="n">
        <v>170</v>
      </c>
      <c r="B171" s="32" t="s">
        <v>499</v>
      </c>
    </row>
    <row r="172" customFormat="false" ht="15" hidden="false" customHeight="false" outlineLevel="0" collapsed="false">
      <c r="A172" s="28" t="n">
        <v>171</v>
      </c>
      <c r="B172" s="32" t="s">
        <v>500</v>
      </c>
    </row>
    <row r="173" customFormat="false" ht="15" hidden="false" customHeight="false" outlineLevel="0" collapsed="false">
      <c r="A173" s="28" t="n">
        <v>172</v>
      </c>
      <c r="B173" s="32" t="s">
        <v>501</v>
      </c>
    </row>
    <row r="174" customFormat="false" ht="15" hidden="false" customHeight="false" outlineLevel="0" collapsed="false">
      <c r="A174" s="28" t="n">
        <v>173</v>
      </c>
      <c r="B174" s="32" t="s">
        <v>502</v>
      </c>
    </row>
    <row r="175" customFormat="false" ht="15" hidden="false" customHeight="false" outlineLevel="0" collapsed="false">
      <c r="A175" s="28" t="n">
        <v>174</v>
      </c>
      <c r="B175" s="32" t="s">
        <v>503</v>
      </c>
    </row>
    <row r="176" customFormat="false" ht="15" hidden="false" customHeight="false" outlineLevel="0" collapsed="false">
      <c r="A176" s="28" t="n">
        <v>175</v>
      </c>
      <c r="B176" s="32" t="s">
        <v>504</v>
      </c>
    </row>
    <row r="177" customFormat="false" ht="15" hidden="false" customHeight="false" outlineLevel="0" collapsed="false">
      <c r="A177" s="28" t="n">
        <v>176</v>
      </c>
      <c r="B177" s="32" t="s">
        <v>505</v>
      </c>
    </row>
    <row r="178" customFormat="false" ht="15" hidden="false" customHeight="false" outlineLevel="0" collapsed="false">
      <c r="A178" s="28" t="n">
        <v>177</v>
      </c>
      <c r="B178" s="32" t="s">
        <v>506</v>
      </c>
    </row>
    <row r="179" customFormat="false" ht="15" hidden="false" customHeight="false" outlineLevel="0" collapsed="false">
      <c r="A179" s="28" t="n">
        <v>178</v>
      </c>
      <c r="B179" s="32" t="s">
        <v>507</v>
      </c>
    </row>
    <row r="180" customFormat="false" ht="15" hidden="false" customHeight="false" outlineLevel="0" collapsed="false">
      <c r="A180" s="28" t="n">
        <v>179</v>
      </c>
      <c r="B180" s="32" t="s">
        <v>508</v>
      </c>
    </row>
    <row r="181" customFormat="false" ht="15" hidden="false" customHeight="false" outlineLevel="0" collapsed="false">
      <c r="A181" s="28" t="n">
        <v>180</v>
      </c>
      <c r="B181" s="32" t="s">
        <v>509</v>
      </c>
    </row>
    <row r="182" customFormat="false" ht="15" hidden="false" customHeight="false" outlineLevel="0" collapsed="false">
      <c r="A182" s="28" t="n">
        <v>181</v>
      </c>
      <c r="B182" s="32" t="s">
        <v>510</v>
      </c>
    </row>
    <row r="183" customFormat="false" ht="15" hidden="false" customHeight="false" outlineLevel="0" collapsed="false">
      <c r="A183" s="28" t="n">
        <v>182</v>
      </c>
      <c r="B183" s="32" t="s">
        <v>511</v>
      </c>
    </row>
    <row r="184" customFormat="false" ht="15" hidden="false" customHeight="false" outlineLevel="0" collapsed="false">
      <c r="A184" s="28" t="n">
        <v>183</v>
      </c>
      <c r="B184" s="32" t="s">
        <v>512</v>
      </c>
    </row>
    <row r="185" customFormat="false" ht="15" hidden="false" customHeight="false" outlineLevel="0" collapsed="false">
      <c r="A185" s="28" t="n">
        <v>184</v>
      </c>
      <c r="B185" s="32" t="s">
        <v>513</v>
      </c>
    </row>
    <row r="186" customFormat="false" ht="15" hidden="false" customHeight="false" outlineLevel="0" collapsed="false">
      <c r="A186" s="28" t="n">
        <v>185</v>
      </c>
      <c r="B186" s="32" t="s">
        <v>514</v>
      </c>
    </row>
    <row r="187" customFormat="false" ht="15" hidden="false" customHeight="false" outlineLevel="0" collapsed="false">
      <c r="A187" s="28" t="n">
        <v>186</v>
      </c>
      <c r="B187" s="32" t="s">
        <v>515</v>
      </c>
    </row>
    <row r="188" customFormat="false" ht="15" hidden="false" customHeight="false" outlineLevel="0" collapsed="false">
      <c r="A188" s="28" t="n">
        <v>187</v>
      </c>
      <c r="B188" s="32" t="s">
        <v>516</v>
      </c>
    </row>
    <row r="189" customFormat="false" ht="15" hidden="false" customHeight="false" outlineLevel="0" collapsed="false">
      <c r="A189" s="28" t="n">
        <v>188</v>
      </c>
      <c r="B189" s="32" t="s">
        <v>517</v>
      </c>
    </row>
    <row r="190" customFormat="false" ht="15" hidden="false" customHeight="false" outlineLevel="0" collapsed="false">
      <c r="A190" s="28" t="n">
        <v>189</v>
      </c>
      <c r="B190" s="32" t="s">
        <v>518</v>
      </c>
    </row>
    <row r="191" customFormat="false" ht="15" hidden="false" customHeight="false" outlineLevel="0" collapsed="false">
      <c r="A191" s="28" t="n">
        <v>190</v>
      </c>
      <c r="B191" s="32" t="s">
        <v>519</v>
      </c>
    </row>
    <row r="192" customFormat="false" ht="15" hidden="false" customHeight="false" outlineLevel="0" collapsed="false">
      <c r="A192" s="28" t="n">
        <v>191</v>
      </c>
      <c r="B192" s="32" t="s">
        <v>520</v>
      </c>
    </row>
    <row r="193" customFormat="false" ht="15" hidden="false" customHeight="false" outlineLevel="0" collapsed="false">
      <c r="A193" s="28" t="n">
        <v>192</v>
      </c>
      <c r="B193" s="32" t="s">
        <v>521</v>
      </c>
    </row>
    <row r="194" customFormat="false" ht="15" hidden="false" customHeight="false" outlineLevel="0" collapsed="false">
      <c r="A194" s="28" t="n">
        <v>193</v>
      </c>
      <c r="B194" s="32" t="s">
        <v>522</v>
      </c>
    </row>
    <row r="195" customFormat="false" ht="15" hidden="false" customHeight="false" outlineLevel="0" collapsed="false">
      <c r="A195" s="28" t="n">
        <v>194</v>
      </c>
      <c r="B195" s="32" t="s">
        <v>523</v>
      </c>
    </row>
    <row r="196" customFormat="false" ht="15" hidden="false" customHeight="false" outlineLevel="0" collapsed="false">
      <c r="A196" s="28" t="n">
        <v>195</v>
      </c>
      <c r="B196" s="32" t="s">
        <v>524</v>
      </c>
    </row>
    <row r="197" customFormat="false" ht="15" hidden="false" customHeight="false" outlineLevel="0" collapsed="false">
      <c r="A197" s="28" t="n">
        <v>196</v>
      </c>
      <c r="B197" s="32" t="s">
        <v>525</v>
      </c>
    </row>
    <row r="198" customFormat="false" ht="15" hidden="false" customHeight="false" outlineLevel="0" collapsed="false">
      <c r="A198" s="28" t="n">
        <v>197</v>
      </c>
      <c r="B198" s="32" t="s">
        <v>526</v>
      </c>
    </row>
    <row r="199" customFormat="false" ht="15" hidden="false" customHeight="false" outlineLevel="0" collapsed="false">
      <c r="A199" s="28" t="n">
        <v>198</v>
      </c>
      <c r="B199" s="32" t="s">
        <v>527</v>
      </c>
    </row>
    <row r="200" customFormat="false" ht="15" hidden="false" customHeight="false" outlineLevel="0" collapsed="false">
      <c r="A200" s="28" t="n">
        <v>199</v>
      </c>
      <c r="B200" s="32" t="s">
        <v>528</v>
      </c>
    </row>
    <row r="201" customFormat="false" ht="15" hidden="false" customHeight="false" outlineLevel="0" collapsed="false">
      <c r="A201" s="28" t="n">
        <v>200</v>
      </c>
      <c r="B201" s="32" t="s">
        <v>529</v>
      </c>
    </row>
    <row r="202" customFormat="false" ht="15" hidden="false" customHeight="false" outlineLevel="0" collapsed="false">
      <c r="A202" s="28" t="n">
        <v>201</v>
      </c>
      <c r="B202" s="32" t="s">
        <v>530</v>
      </c>
    </row>
    <row r="203" customFormat="false" ht="15" hidden="false" customHeight="false" outlineLevel="0" collapsed="false">
      <c r="A203" s="28" t="n">
        <v>202</v>
      </c>
      <c r="B203" s="32" t="s">
        <v>531</v>
      </c>
    </row>
    <row r="204" customFormat="false" ht="15" hidden="false" customHeight="false" outlineLevel="0" collapsed="false">
      <c r="A204" s="28" t="n">
        <v>203</v>
      </c>
      <c r="B204" s="32" t="s">
        <v>532</v>
      </c>
    </row>
    <row r="205" customFormat="false" ht="15" hidden="false" customHeight="false" outlineLevel="0" collapsed="false">
      <c r="A205" s="28" t="n">
        <v>204</v>
      </c>
      <c r="B205" s="32" t="s">
        <v>533</v>
      </c>
    </row>
    <row r="206" customFormat="false" ht="15" hidden="false" customHeight="false" outlineLevel="0" collapsed="false">
      <c r="A206" s="28" t="n">
        <v>205</v>
      </c>
      <c r="B206" s="32" t="s">
        <v>534</v>
      </c>
    </row>
    <row r="207" customFormat="false" ht="15" hidden="false" customHeight="false" outlineLevel="0" collapsed="false">
      <c r="A207" s="28" t="n">
        <v>206</v>
      </c>
      <c r="B207" s="32" t="s">
        <v>535</v>
      </c>
    </row>
    <row r="208" customFormat="false" ht="15" hidden="false" customHeight="false" outlineLevel="0" collapsed="false">
      <c r="A208" s="28" t="n">
        <v>207</v>
      </c>
      <c r="B208" s="32" t="s">
        <v>536</v>
      </c>
    </row>
    <row r="209" customFormat="false" ht="15" hidden="false" customHeight="false" outlineLevel="0" collapsed="false">
      <c r="A209" s="28" t="n">
        <v>208</v>
      </c>
      <c r="B209" s="32" t="s">
        <v>537</v>
      </c>
    </row>
    <row r="210" customFormat="false" ht="15" hidden="false" customHeight="false" outlineLevel="0" collapsed="false">
      <c r="A210" s="28" t="n">
        <v>209</v>
      </c>
      <c r="B210" s="32" t="s">
        <v>538</v>
      </c>
    </row>
    <row r="211" customFormat="false" ht="15" hidden="false" customHeight="false" outlineLevel="0" collapsed="false">
      <c r="A211" s="28" t="n">
        <v>210</v>
      </c>
      <c r="B211" s="32" t="s">
        <v>539</v>
      </c>
    </row>
    <row r="212" customFormat="false" ht="15" hidden="false" customHeight="false" outlineLevel="0" collapsed="false">
      <c r="A212" s="28" t="n">
        <v>211</v>
      </c>
      <c r="B212" s="32" t="s">
        <v>540</v>
      </c>
    </row>
    <row r="213" customFormat="false" ht="15" hidden="false" customHeight="false" outlineLevel="0" collapsed="false">
      <c r="A213" s="28" t="n">
        <v>212</v>
      </c>
      <c r="B213" s="32" t="s">
        <v>541</v>
      </c>
    </row>
    <row r="214" customFormat="false" ht="15" hidden="false" customHeight="false" outlineLevel="0" collapsed="false">
      <c r="A214" s="28" t="n">
        <v>213</v>
      </c>
      <c r="B214" s="32" t="s">
        <v>542</v>
      </c>
    </row>
    <row r="215" customFormat="false" ht="15" hidden="false" customHeight="false" outlineLevel="0" collapsed="false">
      <c r="A215" s="28" t="n">
        <v>214</v>
      </c>
      <c r="B215" s="32" t="s">
        <v>543</v>
      </c>
    </row>
    <row r="216" customFormat="false" ht="15" hidden="false" customHeight="false" outlineLevel="0" collapsed="false">
      <c r="A216" s="28" t="n">
        <v>215</v>
      </c>
      <c r="B216" s="32" t="s">
        <v>544</v>
      </c>
    </row>
    <row r="217" customFormat="false" ht="15" hidden="false" customHeight="false" outlineLevel="0" collapsed="false">
      <c r="A217" s="28" t="n">
        <v>216</v>
      </c>
      <c r="B217" s="32" t="s">
        <v>545</v>
      </c>
    </row>
    <row r="218" customFormat="false" ht="15" hidden="false" customHeight="false" outlineLevel="0" collapsed="false">
      <c r="A218" s="28" t="n">
        <v>217</v>
      </c>
      <c r="B218" s="32" t="s">
        <v>546</v>
      </c>
    </row>
    <row r="219" customFormat="false" ht="15" hidden="false" customHeight="false" outlineLevel="0" collapsed="false">
      <c r="A219" s="28" t="n">
        <v>218</v>
      </c>
      <c r="B219" s="32" t="s">
        <v>547</v>
      </c>
    </row>
    <row r="220" customFormat="false" ht="15" hidden="false" customHeight="false" outlineLevel="0" collapsed="false">
      <c r="A220" s="28" t="n">
        <v>219</v>
      </c>
      <c r="B220" s="32" t="s">
        <v>548</v>
      </c>
    </row>
    <row r="221" customFormat="false" ht="15" hidden="false" customHeight="false" outlineLevel="0" collapsed="false">
      <c r="A221" s="28" t="n">
        <v>220</v>
      </c>
      <c r="B221" s="32" t="s">
        <v>549</v>
      </c>
    </row>
    <row r="222" customFormat="false" ht="15" hidden="false" customHeight="false" outlineLevel="0" collapsed="false">
      <c r="A222" s="28" t="n">
        <v>221</v>
      </c>
      <c r="B222" s="32" t="s">
        <v>550</v>
      </c>
    </row>
    <row r="223" customFormat="false" ht="15" hidden="false" customHeight="false" outlineLevel="0" collapsed="false">
      <c r="A223" s="28" t="n">
        <v>222</v>
      </c>
      <c r="B223" s="32" t="s">
        <v>551</v>
      </c>
    </row>
    <row r="224" customFormat="false" ht="15" hidden="false" customHeight="false" outlineLevel="0" collapsed="false">
      <c r="A224" s="28" t="n">
        <v>223</v>
      </c>
      <c r="B224" s="32" t="s">
        <v>552</v>
      </c>
    </row>
    <row r="225" customFormat="false" ht="15" hidden="false" customHeight="false" outlineLevel="0" collapsed="false">
      <c r="A225" s="28" t="n">
        <v>224</v>
      </c>
      <c r="B225" s="32" t="s">
        <v>553</v>
      </c>
    </row>
    <row r="226" customFormat="false" ht="15" hidden="false" customHeight="false" outlineLevel="0" collapsed="false">
      <c r="A226" s="28" t="n">
        <v>225</v>
      </c>
      <c r="B226" s="32" t="s">
        <v>554</v>
      </c>
    </row>
    <row r="227" customFormat="false" ht="15" hidden="false" customHeight="false" outlineLevel="0" collapsed="false">
      <c r="A227" s="28" t="n">
        <v>226</v>
      </c>
      <c r="B227" s="32" t="s">
        <v>555</v>
      </c>
    </row>
    <row r="228" customFormat="false" ht="15" hidden="false" customHeight="false" outlineLevel="0" collapsed="false">
      <c r="A228" s="28" t="n">
        <v>227</v>
      </c>
      <c r="B228" s="32" t="s">
        <v>556</v>
      </c>
    </row>
    <row r="229" customFormat="false" ht="15" hidden="false" customHeight="false" outlineLevel="0" collapsed="false">
      <c r="A229" s="28" t="n">
        <v>228</v>
      </c>
      <c r="B229" s="32" t="s">
        <v>557</v>
      </c>
    </row>
    <row r="230" customFormat="false" ht="15" hidden="false" customHeight="false" outlineLevel="0" collapsed="false">
      <c r="A230" s="28" t="n">
        <v>229</v>
      </c>
      <c r="B230" s="32" t="s">
        <v>558</v>
      </c>
    </row>
    <row r="231" customFormat="false" ht="15" hidden="false" customHeight="false" outlineLevel="0" collapsed="false">
      <c r="A231" s="28" t="n">
        <v>230</v>
      </c>
      <c r="B231" s="32" t="s">
        <v>559</v>
      </c>
    </row>
    <row r="232" customFormat="false" ht="15" hidden="false" customHeight="false" outlineLevel="0" collapsed="false">
      <c r="A232" s="28" t="n">
        <v>231</v>
      </c>
      <c r="B232" s="32" t="s">
        <v>560</v>
      </c>
    </row>
    <row r="233" customFormat="false" ht="15" hidden="false" customHeight="false" outlineLevel="0" collapsed="false">
      <c r="A233" s="28" t="n">
        <v>232</v>
      </c>
      <c r="B233" s="32" t="s">
        <v>561</v>
      </c>
    </row>
    <row r="234" customFormat="false" ht="15" hidden="false" customHeight="false" outlineLevel="0" collapsed="false">
      <c r="A234" s="28" t="n">
        <v>233</v>
      </c>
      <c r="B234" s="32" t="s">
        <v>562</v>
      </c>
    </row>
    <row r="235" customFormat="false" ht="15" hidden="false" customHeight="false" outlineLevel="0" collapsed="false">
      <c r="A235" s="28" t="n">
        <v>234</v>
      </c>
      <c r="B235" s="32" t="s">
        <v>563</v>
      </c>
    </row>
    <row r="236" customFormat="false" ht="15" hidden="false" customHeight="false" outlineLevel="0" collapsed="false">
      <c r="A236" s="28" t="n">
        <v>235</v>
      </c>
      <c r="B236" s="32" t="s">
        <v>564</v>
      </c>
    </row>
    <row r="237" customFormat="false" ht="15" hidden="false" customHeight="false" outlineLevel="0" collapsed="false">
      <c r="A237" s="28" t="n">
        <v>236</v>
      </c>
      <c r="B237" s="32" t="s">
        <v>565</v>
      </c>
    </row>
    <row r="238" customFormat="false" ht="15" hidden="false" customHeight="false" outlineLevel="0" collapsed="false">
      <c r="A238" s="28" t="n">
        <v>237</v>
      </c>
      <c r="B238" s="32" t="s">
        <v>566</v>
      </c>
    </row>
    <row r="239" customFormat="false" ht="15" hidden="false" customHeight="false" outlineLevel="0" collapsed="false">
      <c r="A239" s="28" t="n">
        <v>238</v>
      </c>
      <c r="B239" s="32" t="s">
        <v>567</v>
      </c>
    </row>
    <row r="240" customFormat="false" ht="15" hidden="false" customHeight="false" outlineLevel="0" collapsed="false">
      <c r="A240" s="28" t="n">
        <v>239</v>
      </c>
      <c r="B240" s="32" t="s">
        <v>568</v>
      </c>
    </row>
    <row r="241" customFormat="false" ht="15" hidden="false" customHeight="false" outlineLevel="0" collapsed="false">
      <c r="A241" s="28" t="n">
        <v>240</v>
      </c>
      <c r="B241" s="32" t="s">
        <v>569</v>
      </c>
    </row>
    <row r="242" customFormat="false" ht="15" hidden="false" customHeight="false" outlineLevel="0" collapsed="false">
      <c r="A242" s="28" t="n">
        <v>241</v>
      </c>
      <c r="B242" s="32" t="s">
        <v>570</v>
      </c>
    </row>
    <row r="243" customFormat="false" ht="15" hidden="false" customHeight="false" outlineLevel="0" collapsed="false">
      <c r="A243" s="28" t="n">
        <v>242</v>
      </c>
      <c r="B243" s="32" t="s">
        <v>571</v>
      </c>
    </row>
    <row r="244" customFormat="false" ht="15" hidden="false" customHeight="false" outlineLevel="0" collapsed="false">
      <c r="A244" s="28" t="n">
        <v>243</v>
      </c>
      <c r="B244" s="32" t="s">
        <v>572</v>
      </c>
    </row>
    <row r="245" customFormat="false" ht="15" hidden="false" customHeight="false" outlineLevel="0" collapsed="false">
      <c r="A245" s="28" t="n">
        <v>244</v>
      </c>
      <c r="B245" s="32" t="s">
        <v>573</v>
      </c>
    </row>
    <row r="246" customFormat="false" ht="15" hidden="false" customHeight="false" outlineLevel="0" collapsed="false">
      <c r="A246" s="28" t="n">
        <v>245</v>
      </c>
      <c r="B246" s="32" t="s">
        <v>574</v>
      </c>
    </row>
    <row r="247" customFormat="false" ht="15" hidden="false" customHeight="false" outlineLevel="0" collapsed="false">
      <c r="A247" s="28" t="n">
        <v>246</v>
      </c>
      <c r="B247" s="32" t="s">
        <v>575</v>
      </c>
    </row>
    <row r="248" customFormat="false" ht="15" hidden="false" customHeight="false" outlineLevel="0" collapsed="false">
      <c r="A248" s="28" t="n">
        <v>247</v>
      </c>
      <c r="B248" s="32" t="s">
        <v>576</v>
      </c>
    </row>
    <row r="249" customFormat="false" ht="15" hidden="false" customHeight="false" outlineLevel="0" collapsed="false">
      <c r="A249" s="28" t="n">
        <v>248</v>
      </c>
      <c r="B249" s="32" t="s">
        <v>577</v>
      </c>
    </row>
    <row r="250" customFormat="false" ht="15" hidden="false" customHeight="false" outlineLevel="0" collapsed="false">
      <c r="A250" s="28" t="n">
        <v>249</v>
      </c>
      <c r="B250" s="32" t="s">
        <v>578</v>
      </c>
    </row>
    <row r="251" customFormat="false" ht="15" hidden="false" customHeight="false" outlineLevel="0" collapsed="false">
      <c r="A251" s="28" t="n">
        <v>250</v>
      </c>
      <c r="B251" s="32" t="s">
        <v>579</v>
      </c>
    </row>
    <row r="252" customFormat="false" ht="15" hidden="false" customHeight="false" outlineLevel="0" collapsed="false">
      <c r="A252" s="28" t="n">
        <v>251</v>
      </c>
      <c r="B252" s="32" t="s">
        <v>580</v>
      </c>
    </row>
    <row r="253" customFormat="false" ht="15" hidden="false" customHeight="false" outlineLevel="0" collapsed="false">
      <c r="A253" s="28" t="n">
        <v>252</v>
      </c>
      <c r="B253" s="32" t="s">
        <v>581</v>
      </c>
    </row>
    <row r="254" customFormat="false" ht="15" hidden="false" customHeight="false" outlineLevel="0" collapsed="false">
      <c r="A254" s="28" t="n">
        <v>253</v>
      </c>
      <c r="B254" s="32" t="s">
        <v>582</v>
      </c>
    </row>
    <row r="255" customFormat="false" ht="15" hidden="false" customHeight="false" outlineLevel="0" collapsed="false">
      <c r="A255" s="28" t="n">
        <v>254</v>
      </c>
      <c r="B255" s="32" t="s">
        <v>583</v>
      </c>
    </row>
    <row r="256" customFormat="false" ht="15" hidden="false" customHeight="false" outlineLevel="0" collapsed="false">
      <c r="A256" s="28" t="n">
        <v>255</v>
      </c>
      <c r="B256" s="32" t="s">
        <v>584</v>
      </c>
    </row>
    <row r="257" customFormat="false" ht="15" hidden="false" customHeight="false" outlineLevel="0" collapsed="false">
      <c r="A257" s="28" t="n">
        <v>256</v>
      </c>
      <c r="B257" s="32" t="s">
        <v>585</v>
      </c>
    </row>
    <row r="258" customFormat="false" ht="15" hidden="false" customHeight="false" outlineLevel="0" collapsed="false">
      <c r="A258" s="28" t="n">
        <v>257</v>
      </c>
      <c r="B258" s="32" t="s">
        <v>586</v>
      </c>
    </row>
    <row r="259" customFormat="false" ht="15" hidden="false" customHeight="false" outlineLevel="0" collapsed="false">
      <c r="A259" s="28" t="n">
        <v>258</v>
      </c>
      <c r="B259" s="32" t="s">
        <v>587</v>
      </c>
    </row>
    <row r="260" customFormat="false" ht="15" hidden="false" customHeight="false" outlineLevel="0" collapsed="false">
      <c r="A260" s="28" t="n">
        <v>259</v>
      </c>
      <c r="B260" s="32" t="s">
        <v>588</v>
      </c>
    </row>
    <row r="261" customFormat="false" ht="15" hidden="false" customHeight="false" outlineLevel="0" collapsed="false">
      <c r="A261" s="28" t="n">
        <v>260</v>
      </c>
      <c r="B261" s="32" t="s">
        <v>589</v>
      </c>
    </row>
    <row r="262" customFormat="false" ht="15" hidden="false" customHeight="false" outlineLevel="0" collapsed="false">
      <c r="A262" s="28" t="n">
        <v>261</v>
      </c>
      <c r="B262" s="32" t="s">
        <v>590</v>
      </c>
    </row>
    <row r="263" customFormat="false" ht="15" hidden="false" customHeight="false" outlineLevel="0" collapsed="false">
      <c r="A263" s="28" t="n">
        <v>262</v>
      </c>
      <c r="B263" s="32" t="s">
        <v>591</v>
      </c>
    </row>
    <row r="264" customFormat="false" ht="15" hidden="false" customHeight="false" outlineLevel="0" collapsed="false">
      <c r="A264" s="28" t="n">
        <v>263</v>
      </c>
      <c r="B264" s="32" t="s">
        <v>592</v>
      </c>
    </row>
    <row r="265" customFormat="false" ht="15" hidden="false" customHeight="false" outlineLevel="0" collapsed="false">
      <c r="A265" s="28" t="n">
        <v>264</v>
      </c>
      <c r="B265" s="32" t="s">
        <v>593</v>
      </c>
    </row>
    <row r="266" customFormat="false" ht="15" hidden="false" customHeight="false" outlineLevel="0" collapsed="false">
      <c r="A266" s="28" t="n">
        <v>265</v>
      </c>
      <c r="B266" s="32" t="s">
        <v>594</v>
      </c>
    </row>
    <row r="267" customFormat="false" ht="15" hidden="false" customHeight="false" outlineLevel="0" collapsed="false">
      <c r="A267" s="28" t="n">
        <v>266</v>
      </c>
      <c r="B267" s="32" t="s">
        <v>595</v>
      </c>
    </row>
    <row r="268" customFormat="false" ht="15" hidden="false" customHeight="false" outlineLevel="0" collapsed="false">
      <c r="A268" s="28" t="n">
        <v>267</v>
      </c>
      <c r="B268" s="32" t="s">
        <v>596</v>
      </c>
    </row>
    <row r="269" customFormat="false" ht="15" hidden="false" customHeight="false" outlineLevel="0" collapsed="false">
      <c r="A269" s="28" t="n">
        <v>268</v>
      </c>
      <c r="B269" s="32" t="s">
        <v>597</v>
      </c>
    </row>
    <row r="270" customFormat="false" ht="15" hidden="false" customHeight="false" outlineLevel="0" collapsed="false">
      <c r="A270" s="28" t="n">
        <v>269</v>
      </c>
      <c r="B270" s="32" t="s">
        <v>598</v>
      </c>
    </row>
    <row r="271" customFormat="false" ht="15" hidden="false" customHeight="false" outlineLevel="0" collapsed="false">
      <c r="A271" s="28" t="n">
        <v>270</v>
      </c>
      <c r="B271" s="32" t="s">
        <v>599</v>
      </c>
    </row>
    <row r="272" customFormat="false" ht="15" hidden="false" customHeight="false" outlineLevel="0" collapsed="false">
      <c r="A272" s="28" t="n">
        <v>271</v>
      </c>
      <c r="B272" s="32" t="s">
        <v>600</v>
      </c>
    </row>
    <row r="273" customFormat="false" ht="15" hidden="false" customHeight="false" outlineLevel="0" collapsed="false">
      <c r="A273" s="28" t="n">
        <v>272</v>
      </c>
      <c r="B273" s="32" t="s">
        <v>601</v>
      </c>
    </row>
    <row r="274" customFormat="false" ht="15" hidden="false" customHeight="false" outlineLevel="0" collapsed="false">
      <c r="A274" s="28" t="n">
        <v>273</v>
      </c>
      <c r="B274" s="32" t="s">
        <v>602</v>
      </c>
    </row>
    <row r="275" customFormat="false" ht="15" hidden="false" customHeight="false" outlineLevel="0" collapsed="false">
      <c r="A275" s="28" t="n">
        <v>274</v>
      </c>
      <c r="B275" s="32" t="s">
        <v>603</v>
      </c>
    </row>
    <row r="276" customFormat="false" ht="15" hidden="false" customHeight="false" outlineLevel="0" collapsed="false">
      <c r="A276" s="28" t="n">
        <v>275</v>
      </c>
      <c r="B276" s="32" t="s">
        <v>604</v>
      </c>
    </row>
    <row r="277" customFormat="false" ht="15" hidden="false" customHeight="false" outlineLevel="0" collapsed="false">
      <c r="A277" s="28" t="n">
        <v>276</v>
      </c>
      <c r="B277" s="32" t="s">
        <v>605</v>
      </c>
    </row>
    <row r="278" customFormat="false" ht="15" hidden="false" customHeight="false" outlineLevel="0" collapsed="false">
      <c r="A278" s="28" t="n">
        <v>277</v>
      </c>
      <c r="B278" s="32" t="s">
        <v>606</v>
      </c>
    </row>
    <row r="279" customFormat="false" ht="15" hidden="false" customHeight="false" outlineLevel="0" collapsed="false">
      <c r="A279" s="28" t="n">
        <v>278</v>
      </c>
      <c r="B279" s="32" t="s">
        <v>607</v>
      </c>
    </row>
    <row r="280" customFormat="false" ht="15" hidden="false" customHeight="false" outlineLevel="0" collapsed="false">
      <c r="A280" s="28" t="n">
        <v>279</v>
      </c>
      <c r="B280" s="32" t="s">
        <v>608</v>
      </c>
    </row>
    <row r="281" customFormat="false" ht="15" hidden="false" customHeight="false" outlineLevel="0" collapsed="false">
      <c r="A281" s="28" t="n">
        <v>280</v>
      </c>
      <c r="B281" s="32" t="s">
        <v>609</v>
      </c>
    </row>
    <row r="282" customFormat="false" ht="15" hidden="false" customHeight="false" outlineLevel="0" collapsed="false">
      <c r="A282" s="28" t="n">
        <v>281</v>
      </c>
      <c r="B282" s="32" t="s">
        <v>610</v>
      </c>
    </row>
    <row r="283" customFormat="false" ht="15" hidden="false" customHeight="false" outlineLevel="0" collapsed="false">
      <c r="A283" s="28" t="n">
        <v>282</v>
      </c>
      <c r="B283" s="32" t="s">
        <v>611</v>
      </c>
    </row>
    <row r="284" customFormat="false" ht="15" hidden="false" customHeight="false" outlineLevel="0" collapsed="false">
      <c r="A284" s="28" t="n">
        <v>283</v>
      </c>
      <c r="B284" s="32" t="s">
        <v>612</v>
      </c>
    </row>
    <row r="285" customFormat="false" ht="15" hidden="false" customHeight="false" outlineLevel="0" collapsed="false">
      <c r="A285" s="28" t="n">
        <v>284</v>
      </c>
      <c r="B285" s="32" t="s">
        <v>613</v>
      </c>
    </row>
    <row r="286" customFormat="false" ht="15" hidden="false" customHeight="false" outlineLevel="0" collapsed="false">
      <c r="A286" s="28" t="n">
        <v>285</v>
      </c>
      <c r="B286" s="32" t="s">
        <v>614</v>
      </c>
    </row>
    <row r="287" customFormat="false" ht="15" hidden="false" customHeight="false" outlineLevel="0" collapsed="false">
      <c r="A287" s="28" t="n">
        <v>286</v>
      </c>
      <c r="B287" s="32" t="s">
        <v>615</v>
      </c>
    </row>
    <row r="288" customFormat="false" ht="15" hidden="false" customHeight="false" outlineLevel="0" collapsed="false">
      <c r="A288" s="28" t="n">
        <v>287</v>
      </c>
      <c r="B288" s="32" t="s">
        <v>616</v>
      </c>
    </row>
    <row r="289" customFormat="false" ht="15" hidden="false" customHeight="false" outlineLevel="0" collapsed="false">
      <c r="A289" s="28" t="n">
        <v>288</v>
      </c>
      <c r="B289" s="32" t="s">
        <v>617</v>
      </c>
    </row>
    <row r="290" customFormat="false" ht="15" hidden="false" customHeight="false" outlineLevel="0" collapsed="false">
      <c r="A290" s="28" t="n">
        <v>289</v>
      </c>
      <c r="B290" s="32" t="s">
        <v>618</v>
      </c>
    </row>
    <row r="291" customFormat="false" ht="15" hidden="false" customHeight="false" outlineLevel="0" collapsed="false">
      <c r="A291" s="28" t="n">
        <v>290</v>
      </c>
      <c r="B291" s="32" t="s">
        <v>619</v>
      </c>
    </row>
    <row r="292" customFormat="false" ht="15" hidden="false" customHeight="false" outlineLevel="0" collapsed="false">
      <c r="A292" s="28" t="n">
        <v>291</v>
      </c>
      <c r="B292" s="32" t="s">
        <v>620</v>
      </c>
    </row>
    <row r="293" customFormat="false" ht="15" hidden="false" customHeight="false" outlineLevel="0" collapsed="false">
      <c r="A293" s="28" t="n">
        <v>292</v>
      </c>
      <c r="B293" s="32" t="s">
        <v>621</v>
      </c>
    </row>
    <row r="294" customFormat="false" ht="15" hidden="false" customHeight="false" outlineLevel="0" collapsed="false">
      <c r="A294" s="28" t="n">
        <v>293</v>
      </c>
      <c r="B294" s="32" t="s">
        <v>622</v>
      </c>
    </row>
    <row r="295" customFormat="false" ht="15" hidden="false" customHeight="false" outlineLevel="0" collapsed="false">
      <c r="A295" s="28" t="n">
        <v>294</v>
      </c>
      <c r="B295" s="32" t="s">
        <v>623</v>
      </c>
    </row>
    <row r="296" customFormat="false" ht="15" hidden="false" customHeight="false" outlineLevel="0" collapsed="false">
      <c r="A296" s="28" t="n">
        <v>295</v>
      </c>
      <c r="B296" s="32" t="s">
        <v>624</v>
      </c>
    </row>
    <row r="297" customFormat="false" ht="15" hidden="false" customHeight="false" outlineLevel="0" collapsed="false">
      <c r="A297" s="28" t="n">
        <v>296</v>
      </c>
      <c r="B297" s="32" t="s">
        <v>625</v>
      </c>
    </row>
    <row r="298" customFormat="false" ht="15" hidden="false" customHeight="false" outlineLevel="0" collapsed="false">
      <c r="A298" s="28" t="n">
        <v>297</v>
      </c>
      <c r="B298" s="32" t="s">
        <v>626</v>
      </c>
    </row>
    <row r="299" customFormat="false" ht="15" hidden="false" customHeight="false" outlineLevel="0" collapsed="false">
      <c r="A299" s="28" t="n">
        <v>298</v>
      </c>
      <c r="B299" s="32" t="s">
        <v>627</v>
      </c>
    </row>
    <row r="300" customFormat="false" ht="15" hidden="false" customHeight="false" outlineLevel="0" collapsed="false">
      <c r="A300" s="28" t="n">
        <v>299</v>
      </c>
      <c r="B300" s="32" t="s">
        <v>628</v>
      </c>
    </row>
    <row r="301" customFormat="false" ht="15" hidden="false" customHeight="false" outlineLevel="0" collapsed="false">
      <c r="A301" s="28" t="n">
        <v>300</v>
      </c>
      <c r="B301" s="32" t="s">
        <v>629</v>
      </c>
    </row>
    <row r="302" customFormat="false" ht="15" hidden="false" customHeight="false" outlineLevel="0" collapsed="false">
      <c r="A302" s="28" t="n">
        <v>301</v>
      </c>
      <c r="B302" s="32" t="s">
        <v>630</v>
      </c>
    </row>
    <row r="303" customFormat="false" ht="15" hidden="false" customHeight="false" outlineLevel="0" collapsed="false">
      <c r="A303" s="28" t="n">
        <v>302</v>
      </c>
      <c r="B303" s="32" t="s">
        <v>631</v>
      </c>
    </row>
    <row r="304" customFormat="false" ht="15" hidden="false" customHeight="false" outlineLevel="0" collapsed="false">
      <c r="A304" s="28" t="n">
        <v>303</v>
      </c>
      <c r="B304" s="32" t="s">
        <v>632</v>
      </c>
    </row>
    <row r="305" customFormat="false" ht="15" hidden="false" customHeight="false" outlineLevel="0" collapsed="false">
      <c r="A305" s="28" t="n">
        <v>304</v>
      </c>
      <c r="B305" s="32" t="s">
        <v>633</v>
      </c>
    </row>
    <row r="306" customFormat="false" ht="15" hidden="false" customHeight="false" outlineLevel="0" collapsed="false">
      <c r="A306" s="28" t="n">
        <v>305</v>
      </c>
      <c r="B306" s="32" t="s">
        <v>634</v>
      </c>
    </row>
    <row r="307" customFormat="false" ht="15" hidden="false" customHeight="false" outlineLevel="0" collapsed="false">
      <c r="A307" s="28" t="n">
        <v>306</v>
      </c>
      <c r="B307" s="32" t="s">
        <v>635</v>
      </c>
    </row>
    <row r="308" customFormat="false" ht="15" hidden="false" customHeight="false" outlineLevel="0" collapsed="false">
      <c r="A308" s="28" t="n">
        <v>307</v>
      </c>
      <c r="B308" s="32" t="s">
        <v>636</v>
      </c>
    </row>
    <row r="309" customFormat="false" ht="15" hidden="false" customHeight="false" outlineLevel="0" collapsed="false">
      <c r="A309" s="28" t="n">
        <v>308</v>
      </c>
      <c r="B309" s="32" t="s">
        <v>637</v>
      </c>
    </row>
    <row r="310" customFormat="false" ht="15" hidden="false" customHeight="false" outlineLevel="0" collapsed="false">
      <c r="A310" s="28" t="n">
        <v>309</v>
      </c>
      <c r="B310" s="32" t="s">
        <v>638</v>
      </c>
    </row>
    <row r="311" customFormat="false" ht="15" hidden="false" customHeight="false" outlineLevel="0" collapsed="false">
      <c r="A311" s="28" t="n">
        <v>310</v>
      </c>
      <c r="B311" s="32" t="s">
        <v>639</v>
      </c>
    </row>
    <row r="312" customFormat="false" ht="15" hidden="false" customHeight="false" outlineLevel="0" collapsed="false">
      <c r="A312" s="28" t="n">
        <v>311</v>
      </c>
      <c r="B312" s="32" t="s">
        <v>640</v>
      </c>
    </row>
    <row r="313" customFormat="false" ht="15" hidden="false" customHeight="false" outlineLevel="0" collapsed="false">
      <c r="A313" s="28" t="n">
        <v>312</v>
      </c>
      <c r="B313" s="32" t="s">
        <v>641</v>
      </c>
    </row>
    <row r="314" customFormat="false" ht="15" hidden="false" customHeight="false" outlineLevel="0" collapsed="false">
      <c r="A314" s="28" t="n">
        <v>313</v>
      </c>
      <c r="B314" s="32" t="s">
        <v>642</v>
      </c>
    </row>
    <row r="315" customFormat="false" ht="15" hidden="false" customHeight="false" outlineLevel="0" collapsed="false">
      <c r="A315" s="28" t="n">
        <v>314</v>
      </c>
      <c r="B315" s="32" t="s">
        <v>643</v>
      </c>
    </row>
    <row r="316" customFormat="false" ht="15" hidden="false" customHeight="false" outlineLevel="0" collapsed="false">
      <c r="A316" s="28" t="n">
        <v>315</v>
      </c>
      <c r="B316" s="32" t="s">
        <v>644</v>
      </c>
    </row>
    <row r="317" customFormat="false" ht="15" hidden="false" customHeight="false" outlineLevel="0" collapsed="false">
      <c r="A317" s="28" t="n">
        <v>316</v>
      </c>
      <c r="B317" s="32" t="s">
        <v>645</v>
      </c>
    </row>
    <row r="318" customFormat="false" ht="15" hidden="false" customHeight="false" outlineLevel="0" collapsed="false">
      <c r="A318" s="28" t="n">
        <v>317</v>
      </c>
      <c r="B318" s="32" t="s">
        <v>646</v>
      </c>
    </row>
    <row r="319" customFormat="false" ht="15" hidden="false" customHeight="false" outlineLevel="0" collapsed="false">
      <c r="A319" s="28" t="n">
        <v>318</v>
      </c>
      <c r="B319" s="32" t="s">
        <v>647</v>
      </c>
    </row>
    <row r="320" customFormat="false" ht="15" hidden="false" customHeight="false" outlineLevel="0" collapsed="false">
      <c r="A320" s="28" t="n">
        <v>319</v>
      </c>
      <c r="B320" s="32" t="s">
        <v>648</v>
      </c>
    </row>
    <row r="321" customFormat="false" ht="15" hidden="false" customHeight="false" outlineLevel="0" collapsed="false">
      <c r="A321" s="28" t="n">
        <v>320</v>
      </c>
      <c r="B321" s="32" t="s">
        <v>649</v>
      </c>
    </row>
    <row r="322" customFormat="false" ht="15" hidden="false" customHeight="false" outlineLevel="0" collapsed="false">
      <c r="A322" s="28" t="n">
        <v>321</v>
      </c>
      <c r="B322" s="32" t="s">
        <v>650</v>
      </c>
    </row>
    <row r="323" customFormat="false" ht="15" hidden="false" customHeight="false" outlineLevel="0" collapsed="false">
      <c r="A323" s="28" t="n">
        <v>322</v>
      </c>
      <c r="B323" s="32" t="s">
        <v>651</v>
      </c>
    </row>
    <row r="324" customFormat="false" ht="15" hidden="false" customHeight="false" outlineLevel="0" collapsed="false">
      <c r="A324" s="28" t="n">
        <v>323</v>
      </c>
      <c r="B324" s="32" t="s">
        <v>652</v>
      </c>
    </row>
    <row r="325" customFormat="false" ht="15" hidden="false" customHeight="false" outlineLevel="0" collapsed="false">
      <c r="A325" s="28" t="n">
        <v>324</v>
      </c>
      <c r="B325" s="32" t="s">
        <v>653</v>
      </c>
    </row>
    <row r="326" customFormat="false" ht="15" hidden="false" customHeight="false" outlineLevel="0" collapsed="false">
      <c r="A326" s="28" t="n">
        <v>325</v>
      </c>
      <c r="B326" s="32" t="s">
        <v>654</v>
      </c>
    </row>
    <row r="327" customFormat="false" ht="15" hidden="false" customHeight="false" outlineLevel="0" collapsed="false">
      <c r="A327" s="28" t="n">
        <v>326</v>
      </c>
      <c r="B327" s="32" t="s">
        <v>655</v>
      </c>
    </row>
    <row r="328" customFormat="false" ht="15" hidden="false" customHeight="false" outlineLevel="0" collapsed="false">
      <c r="A328" s="28" t="n">
        <v>327</v>
      </c>
      <c r="B328" s="32" t="s">
        <v>656</v>
      </c>
    </row>
    <row r="329" customFormat="false" ht="15" hidden="false" customHeight="false" outlineLevel="0" collapsed="false">
      <c r="A329" s="28" t="n">
        <v>328</v>
      </c>
      <c r="B329" s="32" t="s">
        <v>657</v>
      </c>
    </row>
    <row r="330" customFormat="false" ht="15" hidden="false" customHeight="false" outlineLevel="0" collapsed="false">
      <c r="A330" s="28" t="n">
        <v>329</v>
      </c>
      <c r="B330" s="32" t="s">
        <v>658</v>
      </c>
    </row>
    <row r="331" customFormat="false" ht="15" hidden="false" customHeight="false" outlineLevel="0" collapsed="false">
      <c r="A331" s="28" t="n">
        <v>330</v>
      </c>
      <c r="B331" s="32" t="s">
        <v>659</v>
      </c>
    </row>
    <row r="332" customFormat="false" ht="15" hidden="false" customHeight="false" outlineLevel="0" collapsed="false">
      <c r="A332" s="28" t="n">
        <v>331</v>
      </c>
      <c r="B332" s="32" t="s">
        <v>660</v>
      </c>
    </row>
    <row r="333" customFormat="false" ht="15" hidden="false" customHeight="false" outlineLevel="0" collapsed="false">
      <c r="A333" s="28" t="n">
        <v>332</v>
      </c>
      <c r="B333" s="32" t="s">
        <v>661</v>
      </c>
    </row>
    <row r="334" customFormat="false" ht="15" hidden="false" customHeight="false" outlineLevel="0" collapsed="false">
      <c r="A334" s="28" t="n">
        <v>333</v>
      </c>
      <c r="B334" s="32" t="s">
        <v>662</v>
      </c>
    </row>
    <row r="335" customFormat="false" ht="15" hidden="false" customHeight="false" outlineLevel="0" collapsed="false">
      <c r="A335" s="28" t="n">
        <v>334</v>
      </c>
      <c r="B335" s="32" t="s">
        <v>663</v>
      </c>
    </row>
    <row r="336" customFormat="false" ht="15" hidden="false" customHeight="false" outlineLevel="0" collapsed="false">
      <c r="A336" s="28" t="n">
        <v>335</v>
      </c>
      <c r="B336" s="32" t="s">
        <v>664</v>
      </c>
    </row>
    <row r="337" customFormat="false" ht="15" hidden="false" customHeight="false" outlineLevel="0" collapsed="false">
      <c r="A337" s="28" t="n">
        <v>336</v>
      </c>
      <c r="B337" s="32" t="s">
        <v>665</v>
      </c>
    </row>
    <row r="338" customFormat="false" ht="15" hidden="false" customHeight="false" outlineLevel="0" collapsed="false">
      <c r="A338" s="28" t="n">
        <v>337</v>
      </c>
      <c r="B338" s="32" t="s">
        <v>666</v>
      </c>
    </row>
    <row r="339" customFormat="false" ht="15" hidden="false" customHeight="false" outlineLevel="0" collapsed="false">
      <c r="A339" s="28" t="n">
        <v>338</v>
      </c>
      <c r="B339" s="32" t="s">
        <v>667</v>
      </c>
    </row>
    <row r="340" customFormat="false" ht="15" hidden="false" customHeight="false" outlineLevel="0" collapsed="false">
      <c r="A340" s="28" t="n">
        <v>339</v>
      </c>
      <c r="B340" s="32" t="s">
        <v>668</v>
      </c>
    </row>
    <row r="341" customFormat="false" ht="15" hidden="false" customHeight="false" outlineLevel="0" collapsed="false">
      <c r="A341" s="28" t="n">
        <v>340</v>
      </c>
      <c r="B341" s="32" t="s">
        <v>669</v>
      </c>
    </row>
    <row r="342" customFormat="false" ht="15" hidden="false" customHeight="false" outlineLevel="0" collapsed="false">
      <c r="A342" s="28" t="n">
        <v>341</v>
      </c>
      <c r="B342" s="32" t="s">
        <v>670</v>
      </c>
    </row>
    <row r="343" customFormat="false" ht="15" hidden="false" customHeight="false" outlineLevel="0" collapsed="false">
      <c r="A343" s="28" t="n">
        <v>342</v>
      </c>
      <c r="B343" s="32" t="s">
        <v>671</v>
      </c>
    </row>
    <row r="344" customFormat="false" ht="15" hidden="false" customHeight="false" outlineLevel="0" collapsed="false">
      <c r="A344" s="28" t="n">
        <v>343</v>
      </c>
      <c r="B344" s="32" t="s">
        <v>672</v>
      </c>
    </row>
    <row r="345" customFormat="false" ht="15" hidden="false" customHeight="false" outlineLevel="0" collapsed="false">
      <c r="A345" s="28" t="n">
        <v>344</v>
      </c>
      <c r="B345" s="32" t="s">
        <v>673</v>
      </c>
    </row>
    <row r="346" customFormat="false" ht="15" hidden="false" customHeight="false" outlineLevel="0" collapsed="false">
      <c r="A346" s="28" t="n">
        <v>345</v>
      </c>
      <c r="B346" s="32" t="s">
        <v>674</v>
      </c>
    </row>
    <row r="347" customFormat="false" ht="15" hidden="false" customHeight="false" outlineLevel="0" collapsed="false">
      <c r="A347" s="28" t="n">
        <v>346</v>
      </c>
      <c r="B347" s="32" t="s">
        <v>675</v>
      </c>
    </row>
    <row r="348" customFormat="false" ht="15" hidden="false" customHeight="false" outlineLevel="0" collapsed="false">
      <c r="A348" s="28" t="n">
        <v>347</v>
      </c>
      <c r="B348" s="32" t="s">
        <v>676</v>
      </c>
    </row>
    <row r="349" customFormat="false" ht="15" hidden="false" customHeight="false" outlineLevel="0" collapsed="false">
      <c r="A349" s="28" t="n">
        <v>348</v>
      </c>
      <c r="B349" s="32" t="s">
        <v>677</v>
      </c>
    </row>
    <row r="350" customFormat="false" ht="15" hidden="false" customHeight="false" outlineLevel="0" collapsed="false">
      <c r="A350" s="28" t="n">
        <v>349</v>
      </c>
      <c r="B350" s="32" t="s">
        <v>678</v>
      </c>
    </row>
    <row r="351" customFormat="false" ht="15" hidden="false" customHeight="false" outlineLevel="0" collapsed="false">
      <c r="A351" s="28" t="n">
        <v>350</v>
      </c>
      <c r="B351" s="32" t="s">
        <v>679</v>
      </c>
    </row>
    <row r="352" customFormat="false" ht="15" hidden="false" customHeight="false" outlineLevel="0" collapsed="false">
      <c r="A352" s="28" t="n">
        <v>351</v>
      </c>
      <c r="B352" s="32" t="s">
        <v>680</v>
      </c>
    </row>
    <row r="353" customFormat="false" ht="15" hidden="false" customHeight="false" outlineLevel="0" collapsed="false">
      <c r="A353" s="28" t="n">
        <v>352</v>
      </c>
      <c r="B353" s="32" t="s">
        <v>681</v>
      </c>
    </row>
    <row r="354" customFormat="false" ht="15" hidden="false" customHeight="false" outlineLevel="0" collapsed="false">
      <c r="A354" s="28" t="n">
        <v>353</v>
      </c>
      <c r="B354" s="32" t="s">
        <v>682</v>
      </c>
    </row>
    <row r="355" customFormat="false" ht="15" hidden="false" customHeight="false" outlineLevel="0" collapsed="false">
      <c r="A355" s="28" t="n">
        <v>354</v>
      </c>
      <c r="B355" s="32" t="s">
        <v>683</v>
      </c>
    </row>
    <row r="356" customFormat="false" ht="15" hidden="false" customHeight="false" outlineLevel="0" collapsed="false">
      <c r="A356" s="28" t="n">
        <v>355</v>
      </c>
      <c r="B356" s="32" t="s">
        <v>684</v>
      </c>
    </row>
    <row r="357" customFormat="false" ht="15" hidden="false" customHeight="false" outlineLevel="0" collapsed="false">
      <c r="A357" s="28" t="n">
        <v>356</v>
      </c>
      <c r="B357" s="32" t="s">
        <v>685</v>
      </c>
    </row>
    <row r="358" customFormat="false" ht="15" hidden="false" customHeight="false" outlineLevel="0" collapsed="false">
      <c r="A358" s="28" t="n">
        <v>357</v>
      </c>
      <c r="B358" s="32" t="s">
        <v>686</v>
      </c>
    </row>
    <row r="359" customFormat="false" ht="15" hidden="false" customHeight="false" outlineLevel="0" collapsed="false">
      <c r="A359" s="28" t="n">
        <v>358</v>
      </c>
      <c r="B359" s="32" t="s">
        <v>687</v>
      </c>
    </row>
    <row r="360" customFormat="false" ht="15" hidden="false" customHeight="false" outlineLevel="0" collapsed="false">
      <c r="A360" s="28" t="n">
        <v>359</v>
      </c>
      <c r="B360" s="32" t="s">
        <v>688</v>
      </c>
    </row>
    <row r="361" customFormat="false" ht="15" hidden="false" customHeight="false" outlineLevel="0" collapsed="false">
      <c r="A361" s="28" t="n">
        <v>360</v>
      </c>
      <c r="B361" s="32" t="s">
        <v>689</v>
      </c>
    </row>
    <row r="362" customFormat="false" ht="15" hidden="false" customHeight="false" outlineLevel="0" collapsed="false">
      <c r="A362" s="28" t="n">
        <v>361</v>
      </c>
      <c r="B362" s="32" t="s">
        <v>690</v>
      </c>
    </row>
    <row r="363" customFormat="false" ht="15" hidden="false" customHeight="false" outlineLevel="0" collapsed="false">
      <c r="A363" s="28" t="n">
        <v>362</v>
      </c>
      <c r="B363" s="32" t="s">
        <v>691</v>
      </c>
    </row>
    <row r="364" customFormat="false" ht="15" hidden="false" customHeight="false" outlineLevel="0" collapsed="false">
      <c r="A364" s="28" t="n">
        <v>363</v>
      </c>
      <c r="B364" s="32" t="s">
        <v>692</v>
      </c>
    </row>
    <row r="365" customFormat="false" ht="15" hidden="false" customHeight="false" outlineLevel="0" collapsed="false">
      <c r="A365" s="28" t="n">
        <v>364</v>
      </c>
      <c r="B365" s="32" t="s">
        <v>693</v>
      </c>
    </row>
    <row r="366" customFormat="false" ht="15" hidden="false" customHeight="false" outlineLevel="0" collapsed="false">
      <c r="A366" s="28" t="n">
        <v>365</v>
      </c>
      <c r="B366" s="32" t="s">
        <v>694</v>
      </c>
    </row>
    <row r="367" customFormat="false" ht="15" hidden="false" customHeight="false" outlineLevel="0" collapsed="false">
      <c r="A367" s="28" t="n">
        <v>366</v>
      </c>
      <c r="B367" s="32" t="s">
        <v>695</v>
      </c>
    </row>
    <row r="368" customFormat="false" ht="15" hidden="false" customHeight="false" outlineLevel="0" collapsed="false">
      <c r="A368" s="28" t="n">
        <v>367</v>
      </c>
      <c r="B368" s="32" t="s">
        <v>696</v>
      </c>
    </row>
    <row r="369" customFormat="false" ht="15" hidden="false" customHeight="false" outlineLevel="0" collapsed="false">
      <c r="A369" s="28" t="n">
        <v>368</v>
      </c>
      <c r="B369" s="32" t="s">
        <v>697</v>
      </c>
    </row>
    <row r="370" customFormat="false" ht="15" hidden="false" customHeight="false" outlineLevel="0" collapsed="false">
      <c r="A370" s="28" t="n">
        <v>369</v>
      </c>
      <c r="B370" s="32" t="s">
        <v>698</v>
      </c>
    </row>
    <row r="371" customFormat="false" ht="15" hidden="false" customHeight="false" outlineLevel="0" collapsed="false">
      <c r="A371" s="28" t="n">
        <v>370</v>
      </c>
      <c r="B371" s="32" t="s">
        <v>699</v>
      </c>
    </row>
    <row r="372" customFormat="false" ht="15" hidden="false" customHeight="false" outlineLevel="0" collapsed="false">
      <c r="A372" s="28" t="n">
        <v>371</v>
      </c>
      <c r="B372" s="32" t="s">
        <v>700</v>
      </c>
    </row>
    <row r="373" customFormat="false" ht="15" hidden="false" customHeight="false" outlineLevel="0" collapsed="false">
      <c r="A373" s="28" t="n">
        <v>372</v>
      </c>
      <c r="B373" s="32" t="s">
        <v>701</v>
      </c>
    </row>
    <row r="374" customFormat="false" ht="15" hidden="false" customHeight="false" outlineLevel="0" collapsed="false">
      <c r="A374" s="28" t="n">
        <v>373</v>
      </c>
      <c r="B374" s="32" t="s">
        <v>702</v>
      </c>
    </row>
    <row r="375" customFormat="false" ht="15" hidden="false" customHeight="false" outlineLevel="0" collapsed="false">
      <c r="A375" s="28" t="n">
        <v>374</v>
      </c>
      <c r="B375" s="32" t="s">
        <v>703</v>
      </c>
    </row>
    <row r="376" customFormat="false" ht="15" hidden="false" customHeight="false" outlineLevel="0" collapsed="false">
      <c r="A376" s="28" t="n">
        <v>375</v>
      </c>
      <c r="B376" s="32" t="s">
        <v>704</v>
      </c>
    </row>
    <row r="377" customFormat="false" ht="15" hidden="false" customHeight="false" outlineLevel="0" collapsed="false">
      <c r="A377" s="28" t="n">
        <v>376</v>
      </c>
      <c r="B377" s="32" t="s">
        <v>705</v>
      </c>
    </row>
    <row r="378" customFormat="false" ht="15" hidden="false" customHeight="false" outlineLevel="0" collapsed="false">
      <c r="A378" s="28" t="n">
        <v>377</v>
      </c>
      <c r="B378" s="32" t="s">
        <v>706</v>
      </c>
    </row>
    <row r="379" customFormat="false" ht="15" hidden="false" customHeight="false" outlineLevel="0" collapsed="false">
      <c r="A379" s="28" t="n">
        <v>378</v>
      </c>
      <c r="B379" s="32" t="s">
        <v>707</v>
      </c>
    </row>
    <row r="380" customFormat="false" ht="15" hidden="false" customHeight="false" outlineLevel="0" collapsed="false">
      <c r="A380" s="28" t="n">
        <v>379</v>
      </c>
      <c r="B380" s="32" t="s">
        <v>708</v>
      </c>
    </row>
    <row r="381" customFormat="false" ht="15" hidden="false" customHeight="false" outlineLevel="0" collapsed="false">
      <c r="A381" s="28" t="n">
        <v>380</v>
      </c>
      <c r="B381" s="32" t="s">
        <v>709</v>
      </c>
    </row>
    <row r="382" customFormat="false" ht="15" hidden="false" customHeight="false" outlineLevel="0" collapsed="false">
      <c r="A382" s="28" t="n">
        <v>381</v>
      </c>
      <c r="B382" s="32" t="s">
        <v>710</v>
      </c>
    </row>
    <row r="383" customFormat="false" ht="15" hidden="false" customHeight="false" outlineLevel="0" collapsed="false">
      <c r="A383" s="28" t="n">
        <v>382</v>
      </c>
      <c r="B383" s="32" t="s">
        <v>711</v>
      </c>
    </row>
    <row r="384" customFormat="false" ht="15" hidden="false" customHeight="false" outlineLevel="0" collapsed="false">
      <c r="A384" s="28" t="n">
        <v>383</v>
      </c>
      <c r="B384" s="32" t="s">
        <v>712</v>
      </c>
    </row>
    <row r="385" customFormat="false" ht="15" hidden="false" customHeight="false" outlineLevel="0" collapsed="false">
      <c r="A385" s="28" t="n">
        <v>384</v>
      </c>
      <c r="B385" s="32" t="s">
        <v>713</v>
      </c>
    </row>
    <row r="386" customFormat="false" ht="15" hidden="false" customHeight="false" outlineLevel="0" collapsed="false">
      <c r="A386" s="28" t="n">
        <v>385</v>
      </c>
      <c r="B386" s="32" t="s">
        <v>714</v>
      </c>
    </row>
    <row r="387" customFormat="false" ht="15" hidden="false" customHeight="false" outlineLevel="0" collapsed="false">
      <c r="A387" s="28" t="n">
        <v>386</v>
      </c>
      <c r="B387" s="32" t="s">
        <v>715</v>
      </c>
    </row>
    <row r="388" customFormat="false" ht="15" hidden="false" customHeight="false" outlineLevel="0" collapsed="false">
      <c r="A388" s="28" t="n">
        <v>387</v>
      </c>
      <c r="B388" s="32" t="s">
        <v>716</v>
      </c>
    </row>
    <row r="389" customFormat="false" ht="15" hidden="false" customHeight="false" outlineLevel="0" collapsed="false">
      <c r="A389" s="28" t="n">
        <v>388</v>
      </c>
      <c r="B389" s="32" t="s">
        <v>717</v>
      </c>
    </row>
    <row r="390" customFormat="false" ht="15" hidden="false" customHeight="false" outlineLevel="0" collapsed="false">
      <c r="A390" s="28" t="n">
        <v>389</v>
      </c>
      <c r="B390" s="32" t="s">
        <v>718</v>
      </c>
    </row>
    <row r="391" customFormat="false" ht="15" hidden="false" customHeight="false" outlineLevel="0" collapsed="false">
      <c r="A391" s="28" t="n">
        <v>390</v>
      </c>
      <c r="B391" s="32" t="s">
        <v>719</v>
      </c>
    </row>
    <row r="392" customFormat="false" ht="15" hidden="false" customHeight="false" outlineLevel="0" collapsed="false">
      <c r="A392" s="28" t="n">
        <v>391</v>
      </c>
      <c r="B392" s="32" t="s">
        <v>720</v>
      </c>
    </row>
    <row r="393" customFormat="false" ht="15" hidden="false" customHeight="false" outlineLevel="0" collapsed="false">
      <c r="A393" s="28" t="n">
        <v>392</v>
      </c>
      <c r="B393" s="32" t="s">
        <v>721</v>
      </c>
    </row>
    <row r="394" customFormat="false" ht="15" hidden="false" customHeight="false" outlineLevel="0" collapsed="false">
      <c r="A394" s="28" t="n">
        <v>393</v>
      </c>
      <c r="B394" s="32" t="s">
        <v>722</v>
      </c>
    </row>
    <row r="395" customFormat="false" ht="15" hidden="false" customHeight="false" outlineLevel="0" collapsed="false">
      <c r="A395" s="28" t="n">
        <v>394</v>
      </c>
      <c r="B395" s="32" t="s">
        <v>723</v>
      </c>
    </row>
    <row r="396" customFormat="false" ht="15" hidden="false" customHeight="false" outlineLevel="0" collapsed="false">
      <c r="A396" s="28" t="n">
        <v>395</v>
      </c>
      <c r="B396" s="32" t="s">
        <v>724</v>
      </c>
    </row>
    <row r="397" customFormat="false" ht="15" hidden="false" customHeight="false" outlineLevel="0" collapsed="false">
      <c r="A397" s="28" t="n">
        <v>396</v>
      </c>
      <c r="B397" s="32" t="s">
        <v>725</v>
      </c>
    </row>
    <row r="398" customFormat="false" ht="15" hidden="false" customHeight="false" outlineLevel="0" collapsed="false">
      <c r="A398" s="28" t="n">
        <v>397</v>
      </c>
      <c r="B398" s="32" t="s">
        <v>726</v>
      </c>
    </row>
    <row r="399" customFormat="false" ht="15" hidden="false" customHeight="false" outlineLevel="0" collapsed="false">
      <c r="A399" s="28" t="n">
        <v>398</v>
      </c>
      <c r="B399" s="32" t="s">
        <v>727</v>
      </c>
    </row>
    <row r="400" customFormat="false" ht="15" hidden="false" customHeight="false" outlineLevel="0" collapsed="false">
      <c r="A400" s="28" t="n">
        <v>399</v>
      </c>
      <c r="B400" s="32" t="s">
        <v>728</v>
      </c>
    </row>
    <row r="401" customFormat="false" ht="15" hidden="false" customHeight="false" outlineLevel="0" collapsed="false">
      <c r="A401" s="28" t="n">
        <v>400</v>
      </c>
      <c r="B401" s="32" t="s">
        <v>729</v>
      </c>
    </row>
    <row r="402" customFormat="false" ht="15" hidden="false" customHeight="false" outlineLevel="0" collapsed="false">
      <c r="A402" s="28" t="n">
        <v>401</v>
      </c>
      <c r="B402" s="32" t="s">
        <v>730</v>
      </c>
    </row>
    <row r="403" customFormat="false" ht="15" hidden="false" customHeight="false" outlineLevel="0" collapsed="false">
      <c r="A403" s="28" t="n">
        <v>402</v>
      </c>
      <c r="B403" s="32" t="s">
        <v>731</v>
      </c>
    </row>
    <row r="404" customFormat="false" ht="15" hidden="false" customHeight="false" outlineLevel="0" collapsed="false">
      <c r="A404" s="28" t="n">
        <v>403</v>
      </c>
      <c r="B404" s="32" t="s">
        <v>732</v>
      </c>
    </row>
    <row r="405" customFormat="false" ht="15" hidden="false" customHeight="false" outlineLevel="0" collapsed="false">
      <c r="A405" s="28" t="n">
        <v>404</v>
      </c>
      <c r="B405" s="32" t="s">
        <v>733</v>
      </c>
    </row>
    <row r="406" customFormat="false" ht="15" hidden="false" customHeight="false" outlineLevel="0" collapsed="false">
      <c r="A406" s="28" t="n">
        <v>405</v>
      </c>
      <c r="B406" s="32" t="s">
        <v>734</v>
      </c>
    </row>
    <row r="407" customFormat="false" ht="15" hidden="false" customHeight="false" outlineLevel="0" collapsed="false">
      <c r="A407" s="28" t="n">
        <v>406</v>
      </c>
      <c r="B407" s="32" t="s">
        <v>735</v>
      </c>
    </row>
    <row r="408" customFormat="false" ht="15" hidden="false" customHeight="false" outlineLevel="0" collapsed="false">
      <c r="A408" s="28" t="n">
        <v>407</v>
      </c>
      <c r="B408" s="32" t="s">
        <v>736</v>
      </c>
    </row>
    <row r="409" customFormat="false" ht="15" hidden="false" customHeight="false" outlineLevel="0" collapsed="false">
      <c r="A409" s="28" t="n">
        <v>408</v>
      </c>
      <c r="B409" s="32" t="s">
        <v>737</v>
      </c>
    </row>
    <row r="410" customFormat="false" ht="15" hidden="false" customHeight="false" outlineLevel="0" collapsed="false">
      <c r="A410" s="28" t="n">
        <v>409</v>
      </c>
      <c r="B410" s="32" t="s">
        <v>738</v>
      </c>
    </row>
    <row r="411" customFormat="false" ht="15" hidden="false" customHeight="false" outlineLevel="0" collapsed="false">
      <c r="A411" s="28" t="n">
        <v>410</v>
      </c>
      <c r="B411" s="32" t="s">
        <v>739</v>
      </c>
    </row>
    <row r="412" customFormat="false" ht="15" hidden="false" customHeight="false" outlineLevel="0" collapsed="false">
      <c r="A412" s="28" t="n">
        <v>411</v>
      </c>
      <c r="B412" s="32" t="s">
        <v>740</v>
      </c>
    </row>
    <row r="413" customFormat="false" ht="15" hidden="false" customHeight="false" outlineLevel="0" collapsed="false">
      <c r="A413" s="28" t="n">
        <v>412</v>
      </c>
      <c r="B413" s="32" t="s">
        <v>741</v>
      </c>
    </row>
    <row r="414" customFormat="false" ht="15" hidden="false" customHeight="false" outlineLevel="0" collapsed="false">
      <c r="A414" s="28" t="n">
        <v>413</v>
      </c>
      <c r="B414" s="32" t="s">
        <v>742</v>
      </c>
    </row>
    <row r="415" customFormat="false" ht="15" hidden="false" customHeight="false" outlineLevel="0" collapsed="false">
      <c r="A415" s="28" t="n">
        <v>414</v>
      </c>
      <c r="B415" s="32" t="s">
        <v>743</v>
      </c>
    </row>
    <row r="416" customFormat="false" ht="15" hidden="false" customHeight="false" outlineLevel="0" collapsed="false">
      <c r="A416" s="28" t="n">
        <v>415</v>
      </c>
      <c r="B416" s="32" t="s">
        <v>744</v>
      </c>
    </row>
    <row r="417" customFormat="false" ht="15" hidden="false" customHeight="false" outlineLevel="0" collapsed="false">
      <c r="A417" s="28" t="n">
        <v>416</v>
      </c>
      <c r="B417" s="32" t="s">
        <v>745</v>
      </c>
    </row>
    <row r="418" customFormat="false" ht="15" hidden="false" customHeight="false" outlineLevel="0" collapsed="false">
      <c r="A418" s="28" t="n">
        <v>417</v>
      </c>
      <c r="B418" s="32" t="s">
        <v>746</v>
      </c>
    </row>
    <row r="419" customFormat="false" ht="15" hidden="false" customHeight="false" outlineLevel="0" collapsed="false">
      <c r="A419" s="28" t="n">
        <v>418</v>
      </c>
      <c r="B419" s="32" t="s">
        <v>747</v>
      </c>
    </row>
    <row r="420" customFormat="false" ht="15" hidden="false" customHeight="false" outlineLevel="0" collapsed="false">
      <c r="A420" s="28" t="n">
        <v>419</v>
      </c>
      <c r="B420" s="32" t="s">
        <v>748</v>
      </c>
    </row>
    <row r="421" customFormat="false" ht="15" hidden="false" customHeight="false" outlineLevel="0" collapsed="false">
      <c r="A421" s="28" t="n">
        <v>420</v>
      </c>
      <c r="B421" s="32" t="s">
        <v>749</v>
      </c>
    </row>
    <row r="422" customFormat="false" ht="15" hidden="false" customHeight="false" outlineLevel="0" collapsed="false">
      <c r="A422" s="28" t="n">
        <v>421</v>
      </c>
      <c r="B422" s="32" t="s">
        <v>750</v>
      </c>
    </row>
    <row r="423" customFormat="false" ht="15" hidden="false" customHeight="false" outlineLevel="0" collapsed="false">
      <c r="A423" s="28" t="n">
        <v>422</v>
      </c>
      <c r="B423" s="32" t="s">
        <v>751</v>
      </c>
    </row>
    <row r="424" customFormat="false" ht="15" hidden="false" customHeight="false" outlineLevel="0" collapsed="false">
      <c r="A424" s="28" t="n">
        <v>423</v>
      </c>
      <c r="B424" s="32" t="s">
        <v>752</v>
      </c>
    </row>
    <row r="425" customFormat="false" ht="15" hidden="false" customHeight="false" outlineLevel="0" collapsed="false">
      <c r="A425" s="28" t="n">
        <v>424</v>
      </c>
      <c r="B425" s="32" t="s">
        <v>753</v>
      </c>
    </row>
    <row r="426" customFormat="false" ht="15" hidden="false" customHeight="false" outlineLevel="0" collapsed="false">
      <c r="A426" s="28" t="n">
        <v>425</v>
      </c>
      <c r="B426" s="32" t="s">
        <v>754</v>
      </c>
    </row>
    <row r="427" customFormat="false" ht="15" hidden="false" customHeight="false" outlineLevel="0" collapsed="false">
      <c r="A427" s="28" t="n">
        <v>426</v>
      </c>
      <c r="B427" s="32" t="s">
        <v>755</v>
      </c>
    </row>
    <row r="428" customFormat="false" ht="15" hidden="false" customHeight="false" outlineLevel="0" collapsed="false">
      <c r="A428" s="28" t="n">
        <v>427</v>
      </c>
      <c r="B428" s="32" t="s">
        <v>756</v>
      </c>
    </row>
    <row r="429" customFormat="false" ht="15" hidden="false" customHeight="false" outlineLevel="0" collapsed="false">
      <c r="A429" s="28" t="n">
        <v>428</v>
      </c>
      <c r="B429" s="32" t="s">
        <v>757</v>
      </c>
    </row>
    <row r="430" customFormat="false" ht="15" hidden="false" customHeight="false" outlineLevel="0" collapsed="false">
      <c r="A430" s="28" t="n">
        <v>429</v>
      </c>
      <c r="B430" s="32" t="s">
        <v>758</v>
      </c>
    </row>
    <row r="431" customFormat="false" ht="15" hidden="false" customHeight="false" outlineLevel="0" collapsed="false">
      <c r="A431" s="28" t="n">
        <v>430</v>
      </c>
      <c r="B431" s="32" t="s">
        <v>759</v>
      </c>
    </row>
    <row r="432" customFormat="false" ht="15" hidden="false" customHeight="false" outlineLevel="0" collapsed="false">
      <c r="A432" s="28" t="n">
        <v>431</v>
      </c>
      <c r="B432" s="32" t="s">
        <v>760</v>
      </c>
    </row>
    <row r="433" customFormat="false" ht="15" hidden="false" customHeight="false" outlineLevel="0" collapsed="false">
      <c r="A433" s="28" t="n">
        <v>432</v>
      </c>
      <c r="B433" s="32" t="s">
        <v>761</v>
      </c>
    </row>
    <row r="434" customFormat="false" ht="15" hidden="false" customHeight="false" outlineLevel="0" collapsed="false">
      <c r="A434" s="28" t="n">
        <v>433</v>
      </c>
      <c r="B434" s="32" t="s">
        <v>762</v>
      </c>
    </row>
    <row r="435" customFormat="false" ht="15" hidden="false" customHeight="false" outlineLevel="0" collapsed="false">
      <c r="A435" s="28" t="n">
        <v>434</v>
      </c>
      <c r="B435" s="32" t="s">
        <v>763</v>
      </c>
    </row>
    <row r="436" customFormat="false" ht="15" hidden="false" customHeight="false" outlineLevel="0" collapsed="false">
      <c r="A436" s="28" t="n">
        <v>435</v>
      </c>
      <c r="B436" s="32" t="s">
        <v>764</v>
      </c>
    </row>
    <row r="437" customFormat="false" ht="15" hidden="false" customHeight="false" outlineLevel="0" collapsed="false">
      <c r="A437" s="28" t="n">
        <v>436</v>
      </c>
      <c r="B437" s="32" t="s">
        <v>765</v>
      </c>
    </row>
    <row r="438" customFormat="false" ht="15" hidden="false" customHeight="false" outlineLevel="0" collapsed="false">
      <c r="A438" s="28" t="n">
        <v>437</v>
      </c>
      <c r="B438" s="32" t="s">
        <v>766</v>
      </c>
    </row>
    <row r="439" customFormat="false" ht="15" hidden="false" customHeight="false" outlineLevel="0" collapsed="false">
      <c r="A439" s="28" t="n">
        <v>438</v>
      </c>
      <c r="B439" s="32" t="s">
        <v>767</v>
      </c>
    </row>
    <row r="440" customFormat="false" ht="15" hidden="false" customHeight="false" outlineLevel="0" collapsed="false">
      <c r="A440" s="28" t="n">
        <v>439</v>
      </c>
      <c r="B440" s="32" t="s">
        <v>768</v>
      </c>
    </row>
    <row r="441" customFormat="false" ht="15" hidden="false" customHeight="false" outlineLevel="0" collapsed="false">
      <c r="A441" s="28" t="n">
        <v>440</v>
      </c>
      <c r="B441" s="32" t="s">
        <v>769</v>
      </c>
    </row>
    <row r="442" customFormat="false" ht="15" hidden="false" customHeight="false" outlineLevel="0" collapsed="false">
      <c r="A442" s="28" t="n">
        <v>441</v>
      </c>
      <c r="B442" s="32" t="s">
        <v>770</v>
      </c>
    </row>
    <row r="443" customFormat="false" ht="15" hidden="false" customHeight="false" outlineLevel="0" collapsed="false">
      <c r="A443" s="28" t="n">
        <v>442</v>
      </c>
      <c r="B443" s="32" t="s">
        <v>771</v>
      </c>
    </row>
    <row r="444" customFormat="false" ht="15" hidden="false" customHeight="false" outlineLevel="0" collapsed="false">
      <c r="A444" s="28" t="n">
        <v>443</v>
      </c>
      <c r="B444" s="32" t="s">
        <v>772</v>
      </c>
    </row>
    <row r="445" customFormat="false" ht="15" hidden="false" customHeight="false" outlineLevel="0" collapsed="false">
      <c r="A445" s="28" t="n">
        <v>444</v>
      </c>
      <c r="B445" s="32" t="s">
        <v>773</v>
      </c>
    </row>
    <row r="446" customFormat="false" ht="15" hidden="false" customHeight="false" outlineLevel="0" collapsed="false">
      <c r="A446" s="28" t="n">
        <v>445</v>
      </c>
      <c r="B446" s="32" t="s">
        <v>774</v>
      </c>
    </row>
    <row r="447" customFormat="false" ht="15" hidden="false" customHeight="false" outlineLevel="0" collapsed="false">
      <c r="A447" s="28" t="n">
        <v>446</v>
      </c>
      <c r="B447" s="32" t="s">
        <v>775</v>
      </c>
    </row>
    <row r="448" customFormat="false" ht="15" hidden="false" customHeight="false" outlineLevel="0" collapsed="false">
      <c r="A448" s="28" t="n">
        <v>447</v>
      </c>
      <c r="B448" s="32" t="s">
        <v>776</v>
      </c>
    </row>
    <row r="449" customFormat="false" ht="15" hidden="false" customHeight="false" outlineLevel="0" collapsed="false">
      <c r="A449" s="28" t="n">
        <v>448</v>
      </c>
      <c r="B449" s="32" t="s">
        <v>777</v>
      </c>
    </row>
    <row r="450" customFormat="false" ht="15" hidden="false" customHeight="false" outlineLevel="0" collapsed="false">
      <c r="A450" s="28" t="n">
        <v>449</v>
      </c>
      <c r="B450" s="32" t="s">
        <v>778</v>
      </c>
    </row>
    <row r="451" customFormat="false" ht="15" hidden="false" customHeight="false" outlineLevel="0" collapsed="false">
      <c r="A451" s="28" t="n">
        <v>450</v>
      </c>
      <c r="B451" s="32" t="s">
        <v>779</v>
      </c>
    </row>
    <row r="452" customFormat="false" ht="15" hidden="false" customHeight="false" outlineLevel="0" collapsed="false">
      <c r="A452" s="28" t="n">
        <v>451</v>
      </c>
      <c r="B452" s="32" t="s">
        <v>780</v>
      </c>
    </row>
    <row r="453" customFormat="false" ht="15" hidden="false" customHeight="false" outlineLevel="0" collapsed="false">
      <c r="A453" s="28" t="n">
        <v>452</v>
      </c>
      <c r="B453" s="32" t="s">
        <v>781</v>
      </c>
    </row>
    <row r="454" customFormat="false" ht="15" hidden="false" customHeight="false" outlineLevel="0" collapsed="false">
      <c r="A454" s="28" t="n">
        <v>453</v>
      </c>
      <c r="B454" s="32" t="s">
        <v>782</v>
      </c>
    </row>
    <row r="455" customFormat="false" ht="15" hidden="false" customHeight="false" outlineLevel="0" collapsed="false">
      <c r="A455" s="28" t="n">
        <v>454</v>
      </c>
      <c r="B455" s="32" t="s">
        <v>783</v>
      </c>
    </row>
    <row r="456" customFormat="false" ht="15" hidden="false" customHeight="false" outlineLevel="0" collapsed="false">
      <c r="A456" s="28" t="n">
        <v>455</v>
      </c>
      <c r="B456" s="32" t="s">
        <v>784</v>
      </c>
    </row>
    <row r="457" customFormat="false" ht="15" hidden="false" customHeight="false" outlineLevel="0" collapsed="false">
      <c r="A457" s="28" t="n">
        <v>456</v>
      </c>
      <c r="B457" s="32" t="s">
        <v>785</v>
      </c>
    </row>
    <row r="458" customFormat="false" ht="15" hidden="false" customHeight="false" outlineLevel="0" collapsed="false">
      <c r="A458" s="28" t="n">
        <v>457</v>
      </c>
      <c r="B458" s="32" t="s">
        <v>786</v>
      </c>
    </row>
    <row r="459" customFormat="false" ht="15" hidden="false" customHeight="false" outlineLevel="0" collapsed="false">
      <c r="A459" s="28" t="n">
        <v>458</v>
      </c>
      <c r="B459" s="32" t="s">
        <v>787</v>
      </c>
    </row>
    <row r="460" customFormat="false" ht="15" hidden="false" customHeight="false" outlineLevel="0" collapsed="false">
      <c r="A460" s="28" t="n">
        <v>459</v>
      </c>
      <c r="B460" s="32" t="s">
        <v>788</v>
      </c>
    </row>
    <row r="461" customFormat="false" ht="15" hidden="false" customHeight="false" outlineLevel="0" collapsed="false">
      <c r="A461" s="28" t="n">
        <v>460</v>
      </c>
      <c r="B461" s="32" t="s">
        <v>789</v>
      </c>
    </row>
    <row r="462" customFormat="false" ht="15" hidden="false" customHeight="false" outlineLevel="0" collapsed="false">
      <c r="A462" s="28" t="n">
        <v>461</v>
      </c>
      <c r="B462" s="32" t="s">
        <v>790</v>
      </c>
    </row>
    <row r="463" customFormat="false" ht="15" hidden="false" customHeight="false" outlineLevel="0" collapsed="false">
      <c r="A463" s="28" t="n">
        <v>462</v>
      </c>
      <c r="B463" s="32" t="s">
        <v>791</v>
      </c>
    </row>
    <row r="464" customFormat="false" ht="15" hidden="false" customHeight="false" outlineLevel="0" collapsed="false">
      <c r="A464" s="28" t="n">
        <v>463</v>
      </c>
      <c r="B464" s="32" t="s">
        <v>792</v>
      </c>
    </row>
    <row r="465" customFormat="false" ht="15" hidden="false" customHeight="false" outlineLevel="0" collapsed="false">
      <c r="A465" s="28" t="n">
        <v>464</v>
      </c>
      <c r="B465" s="32" t="s">
        <v>793</v>
      </c>
    </row>
    <row r="466" customFormat="false" ht="15" hidden="false" customHeight="false" outlineLevel="0" collapsed="false">
      <c r="A466" s="28" t="n">
        <v>465</v>
      </c>
      <c r="B466" s="32" t="s">
        <v>794</v>
      </c>
    </row>
    <row r="467" customFormat="false" ht="15" hidden="false" customHeight="false" outlineLevel="0" collapsed="false">
      <c r="A467" s="28" t="n">
        <v>466</v>
      </c>
      <c r="B467" s="32" t="s">
        <v>795</v>
      </c>
    </row>
    <row r="468" customFormat="false" ht="15" hidden="false" customHeight="false" outlineLevel="0" collapsed="false">
      <c r="A468" s="28" t="n">
        <v>467</v>
      </c>
      <c r="B468" s="32" t="s">
        <v>796</v>
      </c>
    </row>
    <row r="469" customFormat="false" ht="15" hidden="false" customHeight="false" outlineLevel="0" collapsed="false">
      <c r="A469" s="28" t="n">
        <v>468</v>
      </c>
      <c r="B469" s="32" t="s">
        <v>797</v>
      </c>
    </row>
    <row r="470" customFormat="false" ht="15" hidden="false" customHeight="false" outlineLevel="0" collapsed="false">
      <c r="A470" s="28" t="n">
        <v>469</v>
      </c>
      <c r="B470" s="32" t="s">
        <v>798</v>
      </c>
    </row>
    <row r="471" customFormat="false" ht="15" hidden="false" customHeight="false" outlineLevel="0" collapsed="false">
      <c r="A471" s="28" t="n">
        <v>470</v>
      </c>
      <c r="B471" s="32" t="s">
        <v>799</v>
      </c>
    </row>
    <row r="472" customFormat="false" ht="15" hidden="false" customHeight="false" outlineLevel="0" collapsed="false">
      <c r="A472" s="28" t="n">
        <v>471</v>
      </c>
      <c r="B472" s="32" t="s">
        <v>800</v>
      </c>
    </row>
    <row r="473" customFormat="false" ht="15" hidden="false" customHeight="false" outlineLevel="0" collapsed="false">
      <c r="A473" s="28" t="n">
        <v>472</v>
      </c>
      <c r="B473" s="32" t="s">
        <v>801</v>
      </c>
    </row>
    <row r="474" customFormat="false" ht="15" hidden="false" customHeight="false" outlineLevel="0" collapsed="false">
      <c r="A474" s="28" t="n">
        <v>473</v>
      </c>
      <c r="B474" s="32" t="s">
        <v>802</v>
      </c>
    </row>
    <row r="475" customFormat="false" ht="15" hidden="false" customHeight="false" outlineLevel="0" collapsed="false">
      <c r="A475" s="28" t="n">
        <v>474</v>
      </c>
      <c r="B475" s="32" t="s">
        <v>803</v>
      </c>
    </row>
    <row r="476" customFormat="false" ht="15" hidden="false" customHeight="false" outlineLevel="0" collapsed="false">
      <c r="A476" s="28" t="n">
        <v>475</v>
      </c>
      <c r="B476" s="32" t="s">
        <v>804</v>
      </c>
    </row>
    <row r="477" customFormat="false" ht="15" hidden="false" customHeight="false" outlineLevel="0" collapsed="false">
      <c r="A477" s="28" t="n">
        <v>476</v>
      </c>
      <c r="B477" s="32" t="s">
        <v>805</v>
      </c>
    </row>
    <row r="478" customFormat="false" ht="15" hidden="false" customHeight="false" outlineLevel="0" collapsed="false">
      <c r="A478" s="28" t="n">
        <v>477</v>
      </c>
      <c r="B478" s="32" t="s">
        <v>806</v>
      </c>
    </row>
    <row r="479" customFormat="false" ht="15" hidden="false" customHeight="false" outlineLevel="0" collapsed="false">
      <c r="A479" s="28" t="n">
        <v>478</v>
      </c>
      <c r="B479" s="32" t="s">
        <v>807</v>
      </c>
    </row>
    <row r="480" customFormat="false" ht="15" hidden="false" customHeight="false" outlineLevel="0" collapsed="false">
      <c r="A480" s="28" t="n">
        <v>479</v>
      </c>
      <c r="B480" s="32" t="s">
        <v>808</v>
      </c>
    </row>
    <row r="481" customFormat="false" ht="15" hidden="false" customHeight="false" outlineLevel="0" collapsed="false">
      <c r="A481" s="28" t="n">
        <v>480</v>
      </c>
      <c r="B481" s="32" t="s">
        <v>809</v>
      </c>
    </row>
    <row r="482" customFormat="false" ht="15" hidden="false" customHeight="false" outlineLevel="0" collapsed="false">
      <c r="A482" s="28" t="n">
        <v>481</v>
      </c>
      <c r="B482" s="32" t="s">
        <v>810</v>
      </c>
    </row>
    <row r="483" customFormat="false" ht="15" hidden="false" customHeight="false" outlineLevel="0" collapsed="false">
      <c r="A483" s="28" t="n">
        <v>482</v>
      </c>
      <c r="B483" s="32" t="s">
        <v>811</v>
      </c>
    </row>
    <row r="484" customFormat="false" ht="15" hidden="false" customHeight="false" outlineLevel="0" collapsed="false">
      <c r="A484" s="28" t="n">
        <v>483</v>
      </c>
      <c r="B484" s="32" t="s">
        <v>812</v>
      </c>
    </row>
    <row r="485" customFormat="false" ht="15" hidden="false" customHeight="false" outlineLevel="0" collapsed="false">
      <c r="A485" s="28" t="n">
        <v>484</v>
      </c>
      <c r="B485" s="32" t="s">
        <v>813</v>
      </c>
    </row>
    <row r="486" customFormat="false" ht="15" hidden="false" customHeight="false" outlineLevel="0" collapsed="false">
      <c r="A486" s="28" t="n">
        <v>485</v>
      </c>
      <c r="B486" s="32" t="s">
        <v>814</v>
      </c>
    </row>
    <row r="487" customFormat="false" ht="15" hidden="false" customHeight="false" outlineLevel="0" collapsed="false">
      <c r="A487" s="28" t="n">
        <v>486</v>
      </c>
      <c r="B487" s="32" t="s">
        <v>815</v>
      </c>
    </row>
    <row r="488" customFormat="false" ht="15" hidden="false" customHeight="false" outlineLevel="0" collapsed="false">
      <c r="A488" s="28" t="n">
        <v>487</v>
      </c>
      <c r="B488" s="32" t="s">
        <v>816</v>
      </c>
    </row>
    <row r="489" customFormat="false" ht="15" hidden="false" customHeight="false" outlineLevel="0" collapsed="false">
      <c r="A489" s="28" t="n">
        <v>488</v>
      </c>
      <c r="B489" s="32" t="s">
        <v>817</v>
      </c>
    </row>
    <row r="490" customFormat="false" ht="15" hidden="false" customHeight="false" outlineLevel="0" collapsed="false">
      <c r="A490" s="28" t="n">
        <v>489</v>
      </c>
      <c r="B490" s="32" t="s">
        <v>818</v>
      </c>
    </row>
    <row r="491" customFormat="false" ht="15" hidden="false" customHeight="false" outlineLevel="0" collapsed="false">
      <c r="A491" s="28" t="n">
        <v>490</v>
      </c>
      <c r="B491" s="32" t="s">
        <v>819</v>
      </c>
    </row>
    <row r="492" customFormat="false" ht="15" hidden="false" customHeight="false" outlineLevel="0" collapsed="false">
      <c r="A492" s="28" t="n">
        <v>491</v>
      </c>
      <c r="B492" s="32" t="s">
        <v>820</v>
      </c>
    </row>
    <row r="493" customFormat="false" ht="15" hidden="false" customHeight="false" outlineLevel="0" collapsed="false">
      <c r="A493" s="28" t="n">
        <v>492</v>
      </c>
      <c r="B493" s="32" t="s">
        <v>821</v>
      </c>
    </row>
    <row r="494" customFormat="false" ht="15" hidden="false" customHeight="false" outlineLevel="0" collapsed="false">
      <c r="A494" s="28" t="n">
        <v>493</v>
      </c>
      <c r="B494" s="32" t="s">
        <v>822</v>
      </c>
    </row>
    <row r="495" customFormat="false" ht="15" hidden="false" customHeight="false" outlineLevel="0" collapsed="false">
      <c r="A495" s="28" t="n">
        <v>494</v>
      </c>
      <c r="B495" s="32" t="s">
        <v>823</v>
      </c>
    </row>
    <row r="496" customFormat="false" ht="15" hidden="false" customHeight="false" outlineLevel="0" collapsed="false">
      <c r="A496" s="28" t="n">
        <v>495</v>
      </c>
      <c r="B496" s="32" t="s">
        <v>824</v>
      </c>
    </row>
    <row r="497" customFormat="false" ht="15" hidden="false" customHeight="false" outlineLevel="0" collapsed="false">
      <c r="A497" s="28" t="n">
        <v>496</v>
      </c>
      <c r="B497" s="32" t="s">
        <v>825</v>
      </c>
    </row>
    <row r="498" customFormat="false" ht="15" hidden="false" customHeight="false" outlineLevel="0" collapsed="false">
      <c r="A498" s="28" t="n">
        <v>497</v>
      </c>
      <c r="B498" s="32" t="s">
        <v>826</v>
      </c>
    </row>
    <row r="499" customFormat="false" ht="15" hidden="false" customHeight="false" outlineLevel="0" collapsed="false">
      <c r="A499" s="28" t="n">
        <v>498</v>
      </c>
      <c r="B499" s="32" t="s">
        <v>827</v>
      </c>
    </row>
    <row r="500" customFormat="false" ht="15" hidden="false" customHeight="false" outlineLevel="0" collapsed="false">
      <c r="A500" s="28" t="n">
        <v>499</v>
      </c>
      <c r="B500" s="32" t="s">
        <v>828</v>
      </c>
    </row>
    <row r="501" customFormat="false" ht="15" hidden="false" customHeight="false" outlineLevel="0" collapsed="false">
      <c r="A501" s="28" t="n">
        <v>500</v>
      </c>
      <c r="B501" s="32" t="s">
        <v>829</v>
      </c>
    </row>
    <row r="502" customFormat="false" ht="15" hidden="false" customHeight="false" outlineLevel="0" collapsed="false">
      <c r="A502" s="28" t="n">
        <v>501</v>
      </c>
      <c r="B502" s="32" t="s">
        <v>830</v>
      </c>
    </row>
    <row r="503" customFormat="false" ht="15" hidden="false" customHeight="false" outlineLevel="0" collapsed="false">
      <c r="A503" s="28" t="n">
        <v>502</v>
      </c>
      <c r="B503" s="32" t="s">
        <v>831</v>
      </c>
    </row>
    <row r="504" customFormat="false" ht="15" hidden="false" customHeight="false" outlineLevel="0" collapsed="false">
      <c r="A504" s="28" t="n">
        <v>503</v>
      </c>
      <c r="B504" s="32" t="s">
        <v>832</v>
      </c>
    </row>
    <row r="505" customFormat="false" ht="15" hidden="false" customHeight="false" outlineLevel="0" collapsed="false">
      <c r="A505" s="28" t="n">
        <v>504</v>
      </c>
      <c r="B505" s="32" t="s">
        <v>833</v>
      </c>
    </row>
    <row r="506" customFormat="false" ht="15" hidden="false" customHeight="false" outlineLevel="0" collapsed="false">
      <c r="A506" s="28" t="n">
        <v>505</v>
      </c>
      <c r="B506" s="32" t="s">
        <v>834</v>
      </c>
    </row>
    <row r="507" customFormat="false" ht="15" hidden="false" customHeight="false" outlineLevel="0" collapsed="false">
      <c r="A507" s="28" t="n">
        <v>506</v>
      </c>
      <c r="B507" s="32" t="s">
        <v>835</v>
      </c>
    </row>
    <row r="508" customFormat="false" ht="15" hidden="false" customHeight="false" outlineLevel="0" collapsed="false">
      <c r="A508" s="28" t="n">
        <v>507</v>
      </c>
      <c r="B508" s="32" t="s">
        <v>836</v>
      </c>
    </row>
    <row r="509" customFormat="false" ht="15" hidden="false" customHeight="false" outlineLevel="0" collapsed="false">
      <c r="A509" s="28" t="n">
        <v>508</v>
      </c>
      <c r="B509" s="32" t="s">
        <v>837</v>
      </c>
    </row>
    <row r="510" customFormat="false" ht="15" hidden="false" customHeight="false" outlineLevel="0" collapsed="false">
      <c r="A510" s="28" t="n">
        <v>509</v>
      </c>
      <c r="B510" s="32" t="s">
        <v>838</v>
      </c>
    </row>
    <row r="511" customFormat="false" ht="15" hidden="false" customHeight="false" outlineLevel="0" collapsed="false">
      <c r="A511" s="28" t="n">
        <v>510</v>
      </c>
      <c r="B511" s="32" t="s">
        <v>839</v>
      </c>
    </row>
    <row r="512" customFormat="false" ht="15" hidden="false" customHeight="false" outlineLevel="0" collapsed="false">
      <c r="A512" s="28" t="n">
        <v>511</v>
      </c>
      <c r="B512" s="32" t="s">
        <v>840</v>
      </c>
    </row>
    <row r="513" customFormat="false" ht="15" hidden="false" customHeight="false" outlineLevel="0" collapsed="false">
      <c r="A513" s="28" t="n">
        <v>512</v>
      </c>
      <c r="B513" s="32" t="s">
        <v>841</v>
      </c>
    </row>
    <row r="514" customFormat="false" ht="15" hidden="false" customHeight="false" outlineLevel="0" collapsed="false">
      <c r="A514" s="28" t="n">
        <v>513</v>
      </c>
      <c r="B514" s="32" t="s">
        <v>842</v>
      </c>
    </row>
    <row r="515" customFormat="false" ht="15" hidden="false" customHeight="false" outlineLevel="0" collapsed="false">
      <c r="A515" s="28" t="n">
        <v>514</v>
      </c>
      <c r="B515" s="32" t="s">
        <v>843</v>
      </c>
    </row>
    <row r="516" customFormat="false" ht="15" hidden="false" customHeight="false" outlineLevel="0" collapsed="false">
      <c r="A516" s="28" t="n">
        <v>515</v>
      </c>
      <c r="B516" s="32" t="s">
        <v>844</v>
      </c>
    </row>
    <row r="517" customFormat="false" ht="15" hidden="false" customHeight="false" outlineLevel="0" collapsed="false">
      <c r="A517" s="28" t="n">
        <v>516</v>
      </c>
      <c r="B517" s="32" t="s">
        <v>845</v>
      </c>
    </row>
    <row r="518" customFormat="false" ht="15" hidden="false" customHeight="false" outlineLevel="0" collapsed="false">
      <c r="A518" s="28" t="n">
        <v>517</v>
      </c>
      <c r="B518" s="32" t="s">
        <v>846</v>
      </c>
    </row>
    <row r="519" customFormat="false" ht="15" hidden="false" customHeight="false" outlineLevel="0" collapsed="false">
      <c r="A519" s="28" t="n">
        <v>518</v>
      </c>
      <c r="B519" s="32" t="s">
        <v>847</v>
      </c>
    </row>
    <row r="520" customFormat="false" ht="15" hidden="false" customHeight="false" outlineLevel="0" collapsed="false">
      <c r="A520" s="28" t="n">
        <v>519</v>
      </c>
      <c r="B520" s="32" t="s">
        <v>848</v>
      </c>
    </row>
    <row r="521" customFormat="false" ht="15" hidden="false" customHeight="false" outlineLevel="0" collapsed="false">
      <c r="A521" s="28" t="n">
        <v>520</v>
      </c>
      <c r="B521" s="32" t="s">
        <v>849</v>
      </c>
    </row>
    <row r="522" customFormat="false" ht="15" hidden="false" customHeight="false" outlineLevel="0" collapsed="false">
      <c r="A522" s="28" t="n">
        <v>521</v>
      </c>
      <c r="B522" s="32" t="s">
        <v>850</v>
      </c>
    </row>
    <row r="523" customFormat="false" ht="15" hidden="false" customHeight="false" outlineLevel="0" collapsed="false">
      <c r="A523" s="28" t="n">
        <v>522</v>
      </c>
      <c r="B523" s="32" t="s">
        <v>851</v>
      </c>
    </row>
    <row r="524" customFormat="false" ht="15" hidden="false" customHeight="false" outlineLevel="0" collapsed="false">
      <c r="A524" s="28" t="n">
        <v>523</v>
      </c>
      <c r="B524" s="32" t="s">
        <v>852</v>
      </c>
    </row>
    <row r="525" customFormat="false" ht="15" hidden="false" customHeight="false" outlineLevel="0" collapsed="false">
      <c r="A525" s="28" t="n">
        <v>524</v>
      </c>
      <c r="B525" s="32" t="s">
        <v>853</v>
      </c>
    </row>
    <row r="526" customFormat="false" ht="15" hidden="false" customHeight="false" outlineLevel="0" collapsed="false">
      <c r="A526" s="28" t="n">
        <v>525</v>
      </c>
      <c r="B526" s="32" t="s">
        <v>854</v>
      </c>
    </row>
    <row r="527" customFormat="false" ht="15" hidden="false" customHeight="false" outlineLevel="0" collapsed="false">
      <c r="A527" s="28" t="n">
        <v>526</v>
      </c>
      <c r="B527" s="32" t="s">
        <v>855</v>
      </c>
    </row>
    <row r="528" customFormat="false" ht="15" hidden="false" customHeight="false" outlineLevel="0" collapsed="false">
      <c r="A528" s="28" t="n">
        <v>527</v>
      </c>
      <c r="B528" s="32" t="s">
        <v>856</v>
      </c>
    </row>
    <row r="529" customFormat="false" ht="15" hidden="false" customHeight="false" outlineLevel="0" collapsed="false">
      <c r="A529" s="28" t="n">
        <v>528</v>
      </c>
      <c r="B529" s="32" t="s">
        <v>857</v>
      </c>
    </row>
    <row r="530" customFormat="false" ht="15" hidden="false" customHeight="false" outlineLevel="0" collapsed="false">
      <c r="A530" s="28" t="n">
        <v>529</v>
      </c>
      <c r="B530" s="32" t="s">
        <v>858</v>
      </c>
    </row>
    <row r="531" customFormat="false" ht="15" hidden="false" customHeight="false" outlineLevel="0" collapsed="false">
      <c r="A531" s="28" t="n">
        <v>530</v>
      </c>
      <c r="B531" s="32" t="s">
        <v>859</v>
      </c>
    </row>
    <row r="532" customFormat="false" ht="15" hidden="false" customHeight="false" outlineLevel="0" collapsed="false">
      <c r="A532" s="28" t="n">
        <v>531</v>
      </c>
      <c r="B532" s="32" t="s">
        <v>860</v>
      </c>
    </row>
    <row r="533" customFormat="false" ht="15" hidden="false" customHeight="false" outlineLevel="0" collapsed="false">
      <c r="A533" s="28" t="n">
        <v>532</v>
      </c>
      <c r="B533" s="32" t="s">
        <v>861</v>
      </c>
    </row>
    <row r="534" customFormat="false" ht="15" hidden="false" customHeight="false" outlineLevel="0" collapsed="false">
      <c r="A534" s="28" t="n">
        <v>533</v>
      </c>
      <c r="B534" s="32" t="s">
        <v>862</v>
      </c>
    </row>
    <row r="535" customFormat="false" ht="15" hidden="false" customHeight="false" outlineLevel="0" collapsed="false">
      <c r="A535" s="28" t="n">
        <v>534</v>
      </c>
      <c r="B535" s="32" t="s">
        <v>863</v>
      </c>
    </row>
    <row r="536" customFormat="false" ht="15" hidden="false" customHeight="false" outlineLevel="0" collapsed="false">
      <c r="A536" s="28" t="n">
        <v>535</v>
      </c>
      <c r="B536" s="32" t="s">
        <v>864</v>
      </c>
    </row>
    <row r="537" customFormat="false" ht="15" hidden="false" customHeight="false" outlineLevel="0" collapsed="false">
      <c r="A537" s="28" t="n">
        <v>536</v>
      </c>
      <c r="B537" s="32" t="s">
        <v>865</v>
      </c>
    </row>
    <row r="538" customFormat="false" ht="15" hidden="false" customHeight="false" outlineLevel="0" collapsed="false">
      <c r="A538" s="28" t="n">
        <v>537</v>
      </c>
      <c r="B538" s="32" t="s">
        <v>866</v>
      </c>
    </row>
    <row r="539" customFormat="false" ht="15" hidden="false" customHeight="false" outlineLevel="0" collapsed="false">
      <c r="A539" s="28" t="n">
        <v>538</v>
      </c>
      <c r="B539" s="32" t="s">
        <v>867</v>
      </c>
    </row>
    <row r="540" customFormat="false" ht="15" hidden="false" customHeight="false" outlineLevel="0" collapsed="false">
      <c r="A540" s="28" t="n">
        <v>539</v>
      </c>
      <c r="B540" s="32" t="s">
        <v>868</v>
      </c>
    </row>
    <row r="541" customFormat="false" ht="15" hidden="false" customHeight="false" outlineLevel="0" collapsed="false">
      <c r="A541" s="28" t="n">
        <v>540</v>
      </c>
      <c r="B541" s="32" t="s">
        <v>869</v>
      </c>
    </row>
    <row r="542" customFormat="false" ht="15" hidden="false" customHeight="false" outlineLevel="0" collapsed="false">
      <c r="A542" s="28" t="n">
        <v>541</v>
      </c>
      <c r="B542" s="32" t="s">
        <v>870</v>
      </c>
    </row>
    <row r="543" customFormat="false" ht="15" hidden="false" customHeight="false" outlineLevel="0" collapsed="false">
      <c r="A543" s="28" t="n">
        <v>542</v>
      </c>
      <c r="B543" s="32" t="s">
        <v>871</v>
      </c>
    </row>
    <row r="544" customFormat="false" ht="15" hidden="false" customHeight="false" outlineLevel="0" collapsed="false">
      <c r="A544" s="28" t="n">
        <v>543</v>
      </c>
      <c r="B544" s="32" t="s">
        <v>872</v>
      </c>
    </row>
    <row r="545" customFormat="false" ht="15" hidden="false" customHeight="false" outlineLevel="0" collapsed="false">
      <c r="A545" s="28" t="n">
        <v>544</v>
      </c>
      <c r="B545" s="32" t="s">
        <v>873</v>
      </c>
    </row>
    <row r="546" customFormat="false" ht="15" hidden="false" customHeight="false" outlineLevel="0" collapsed="false">
      <c r="A546" s="28" t="n">
        <v>545</v>
      </c>
      <c r="B546" s="32" t="s">
        <v>874</v>
      </c>
    </row>
    <row r="547" customFormat="false" ht="15" hidden="false" customHeight="false" outlineLevel="0" collapsed="false">
      <c r="A547" s="28" t="n">
        <v>546</v>
      </c>
      <c r="B547" s="32" t="s">
        <v>875</v>
      </c>
    </row>
    <row r="548" customFormat="false" ht="15" hidden="false" customHeight="false" outlineLevel="0" collapsed="false">
      <c r="A548" s="28" t="n">
        <v>547</v>
      </c>
      <c r="B548" s="32" t="s">
        <v>876</v>
      </c>
    </row>
    <row r="549" customFormat="false" ht="15" hidden="false" customHeight="false" outlineLevel="0" collapsed="false">
      <c r="A549" s="28" t="n">
        <v>548</v>
      </c>
      <c r="B549" s="32" t="s">
        <v>877</v>
      </c>
    </row>
    <row r="550" customFormat="false" ht="15" hidden="false" customHeight="false" outlineLevel="0" collapsed="false">
      <c r="A550" s="28" t="n">
        <v>549</v>
      </c>
      <c r="B550" s="32" t="s">
        <v>878</v>
      </c>
    </row>
    <row r="551" customFormat="false" ht="15" hidden="false" customHeight="false" outlineLevel="0" collapsed="false">
      <c r="A551" s="28" t="n">
        <v>550</v>
      </c>
      <c r="B551" s="32" t="s">
        <v>879</v>
      </c>
    </row>
    <row r="552" customFormat="false" ht="15" hidden="false" customHeight="false" outlineLevel="0" collapsed="false">
      <c r="A552" s="28" t="n">
        <v>551</v>
      </c>
      <c r="B552" s="32" t="s">
        <v>880</v>
      </c>
    </row>
    <row r="553" customFormat="false" ht="15" hidden="false" customHeight="false" outlineLevel="0" collapsed="false">
      <c r="A553" s="28" t="n">
        <v>552</v>
      </c>
      <c r="B553" s="32" t="s">
        <v>881</v>
      </c>
    </row>
    <row r="554" customFormat="false" ht="15" hidden="false" customHeight="false" outlineLevel="0" collapsed="false">
      <c r="A554" s="28" t="n">
        <v>553</v>
      </c>
      <c r="B554" s="32" t="s">
        <v>882</v>
      </c>
    </row>
    <row r="555" customFormat="false" ht="15" hidden="false" customHeight="false" outlineLevel="0" collapsed="false">
      <c r="A555" s="28" t="n">
        <v>554</v>
      </c>
      <c r="B555" s="32" t="s">
        <v>883</v>
      </c>
    </row>
    <row r="556" customFormat="false" ht="15" hidden="false" customHeight="false" outlineLevel="0" collapsed="false">
      <c r="A556" s="28" t="n">
        <v>555</v>
      </c>
      <c r="B556" s="32" t="s">
        <v>884</v>
      </c>
    </row>
    <row r="557" customFormat="false" ht="15" hidden="false" customHeight="false" outlineLevel="0" collapsed="false">
      <c r="A557" s="28" t="n">
        <v>556</v>
      </c>
      <c r="B557" s="32" t="s">
        <v>885</v>
      </c>
    </row>
    <row r="558" customFormat="false" ht="15" hidden="false" customHeight="false" outlineLevel="0" collapsed="false">
      <c r="A558" s="28" t="n">
        <v>557</v>
      </c>
      <c r="B558" s="32" t="s">
        <v>886</v>
      </c>
    </row>
    <row r="559" customFormat="false" ht="15" hidden="false" customHeight="false" outlineLevel="0" collapsed="false">
      <c r="A559" s="28" t="n">
        <v>558</v>
      </c>
      <c r="B559" s="32" t="s">
        <v>887</v>
      </c>
    </row>
    <row r="560" customFormat="false" ht="15" hidden="false" customHeight="false" outlineLevel="0" collapsed="false">
      <c r="A560" s="28" t="n">
        <v>559</v>
      </c>
      <c r="B560" s="32" t="s">
        <v>888</v>
      </c>
    </row>
    <row r="561" customFormat="false" ht="15" hidden="false" customHeight="false" outlineLevel="0" collapsed="false">
      <c r="A561" s="28" t="n">
        <v>560</v>
      </c>
      <c r="B561" s="32" t="s">
        <v>889</v>
      </c>
    </row>
    <row r="562" customFormat="false" ht="15" hidden="false" customHeight="false" outlineLevel="0" collapsed="false">
      <c r="A562" s="28" t="n">
        <v>561</v>
      </c>
      <c r="B562" s="32" t="s">
        <v>890</v>
      </c>
    </row>
    <row r="563" customFormat="false" ht="15" hidden="false" customHeight="false" outlineLevel="0" collapsed="false">
      <c r="A563" s="28" t="n">
        <v>562</v>
      </c>
      <c r="B563" s="32" t="s">
        <v>891</v>
      </c>
    </row>
    <row r="564" customFormat="false" ht="15" hidden="false" customHeight="false" outlineLevel="0" collapsed="false">
      <c r="A564" s="28" t="n">
        <v>563</v>
      </c>
      <c r="B564" s="32" t="s">
        <v>892</v>
      </c>
    </row>
    <row r="565" customFormat="false" ht="15" hidden="false" customHeight="false" outlineLevel="0" collapsed="false">
      <c r="A565" s="28" t="n">
        <v>564</v>
      </c>
      <c r="B565" s="32" t="s">
        <v>893</v>
      </c>
    </row>
    <row r="566" customFormat="false" ht="15" hidden="false" customHeight="false" outlineLevel="0" collapsed="false">
      <c r="A566" s="28" t="n">
        <v>565</v>
      </c>
      <c r="B566" s="32" t="s">
        <v>894</v>
      </c>
    </row>
    <row r="567" customFormat="false" ht="15" hidden="false" customHeight="false" outlineLevel="0" collapsed="false">
      <c r="A567" s="28" t="n">
        <v>566</v>
      </c>
      <c r="B567" s="32" t="s">
        <v>895</v>
      </c>
    </row>
    <row r="568" customFormat="false" ht="15" hidden="false" customHeight="false" outlineLevel="0" collapsed="false">
      <c r="A568" s="28" t="n">
        <v>567</v>
      </c>
      <c r="B568" s="32" t="s">
        <v>896</v>
      </c>
    </row>
    <row r="569" customFormat="false" ht="15" hidden="false" customHeight="false" outlineLevel="0" collapsed="false">
      <c r="A569" s="28" t="n">
        <v>568</v>
      </c>
      <c r="B569" s="32" t="s">
        <v>897</v>
      </c>
    </row>
    <row r="570" customFormat="false" ht="15" hidden="false" customHeight="false" outlineLevel="0" collapsed="false">
      <c r="A570" s="28" t="n">
        <v>569</v>
      </c>
      <c r="B570" s="32" t="s">
        <v>898</v>
      </c>
    </row>
    <row r="571" customFormat="false" ht="15" hidden="false" customHeight="false" outlineLevel="0" collapsed="false">
      <c r="A571" s="28" t="n">
        <v>570</v>
      </c>
      <c r="B571" s="32" t="s">
        <v>899</v>
      </c>
    </row>
    <row r="572" customFormat="false" ht="15" hidden="false" customHeight="false" outlineLevel="0" collapsed="false">
      <c r="A572" s="28" t="n">
        <v>571</v>
      </c>
      <c r="B572" s="32" t="s">
        <v>900</v>
      </c>
    </row>
    <row r="573" customFormat="false" ht="15" hidden="false" customHeight="false" outlineLevel="0" collapsed="false">
      <c r="A573" s="28" t="n">
        <v>572</v>
      </c>
      <c r="B573" s="32" t="s">
        <v>901</v>
      </c>
    </row>
    <row r="574" customFormat="false" ht="15" hidden="false" customHeight="false" outlineLevel="0" collapsed="false">
      <c r="A574" s="28" t="n">
        <v>573</v>
      </c>
      <c r="B574" s="32" t="s">
        <v>902</v>
      </c>
    </row>
    <row r="575" customFormat="false" ht="15" hidden="false" customHeight="false" outlineLevel="0" collapsed="false">
      <c r="A575" s="28" t="n">
        <v>574</v>
      </c>
      <c r="B575" s="32" t="s">
        <v>903</v>
      </c>
    </row>
    <row r="576" customFormat="false" ht="15" hidden="false" customHeight="false" outlineLevel="0" collapsed="false">
      <c r="A576" s="28" t="n">
        <v>575</v>
      </c>
      <c r="B576" s="32" t="s">
        <v>904</v>
      </c>
    </row>
    <row r="577" customFormat="false" ht="15" hidden="false" customHeight="false" outlineLevel="0" collapsed="false">
      <c r="A577" s="28" t="n">
        <v>576</v>
      </c>
      <c r="B577" s="32" t="s">
        <v>905</v>
      </c>
    </row>
    <row r="578" customFormat="false" ht="15" hidden="false" customHeight="false" outlineLevel="0" collapsed="false">
      <c r="A578" s="28" t="n">
        <v>577</v>
      </c>
      <c r="B578" s="32" t="s">
        <v>906</v>
      </c>
    </row>
    <row r="579" customFormat="false" ht="15" hidden="false" customHeight="false" outlineLevel="0" collapsed="false">
      <c r="A579" s="28" t="n">
        <v>578</v>
      </c>
      <c r="B579" s="32" t="s">
        <v>907</v>
      </c>
    </row>
    <row r="580" customFormat="false" ht="15" hidden="false" customHeight="false" outlineLevel="0" collapsed="false">
      <c r="A580" s="28" t="n">
        <v>579</v>
      </c>
      <c r="B580" s="32" t="s">
        <v>908</v>
      </c>
    </row>
    <row r="581" customFormat="false" ht="15" hidden="false" customHeight="false" outlineLevel="0" collapsed="false">
      <c r="A581" s="28" t="n">
        <v>580</v>
      </c>
      <c r="B581" s="32" t="s">
        <v>909</v>
      </c>
    </row>
    <row r="582" customFormat="false" ht="15" hidden="false" customHeight="false" outlineLevel="0" collapsed="false">
      <c r="A582" s="28" t="n">
        <v>581</v>
      </c>
      <c r="B582" s="32" t="s">
        <v>910</v>
      </c>
    </row>
    <row r="583" customFormat="false" ht="15" hidden="false" customHeight="false" outlineLevel="0" collapsed="false">
      <c r="A583" s="28" t="n">
        <v>582</v>
      </c>
      <c r="B583" s="32" t="s">
        <v>911</v>
      </c>
    </row>
    <row r="584" customFormat="false" ht="15" hidden="false" customHeight="false" outlineLevel="0" collapsed="false">
      <c r="A584" s="28" t="n">
        <v>583</v>
      </c>
      <c r="B584" s="32" t="s">
        <v>912</v>
      </c>
    </row>
    <row r="585" customFormat="false" ht="15" hidden="false" customHeight="false" outlineLevel="0" collapsed="false">
      <c r="A585" s="28" t="n">
        <v>584</v>
      </c>
      <c r="B585" s="32" t="s">
        <v>913</v>
      </c>
    </row>
    <row r="586" customFormat="false" ht="15" hidden="false" customHeight="false" outlineLevel="0" collapsed="false">
      <c r="A586" s="28" t="n">
        <v>585</v>
      </c>
      <c r="B586" s="32" t="s">
        <v>914</v>
      </c>
    </row>
    <row r="587" customFormat="false" ht="15" hidden="false" customHeight="false" outlineLevel="0" collapsed="false">
      <c r="A587" s="28" t="n">
        <v>586</v>
      </c>
      <c r="B587" s="32" t="s">
        <v>915</v>
      </c>
    </row>
    <row r="588" customFormat="false" ht="15" hidden="false" customHeight="false" outlineLevel="0" collapsed="false">
      <c r="A588" s="28" t="n">
        <v>587</v>
      </c>
      <c r="B588" s="32" t="s">
        <v>916</v>
      </c>
    </row>
    <row r="589" customFormat="false" ht="15" hidden="false" customHeight="false" outlineLevel="0" collapsed="false">
      <c r="A589" s="28" t="n">
        <v>588</v>
      </c>
      <c r="B589" s="32" t="s">
        <v>917</v>
      </c>
    </row>
    <row r="590" customFormat="false" ht="15" hidden="false" customHeight="false" outlineLevel="0" collapsed="false">
      <c r="A590" s="28" t="n">
        <v>589</v>
      </c>
      <c r="B590" s="32" t="s">
        <v>918</v>
      </c>
    </row>
    <row r="591" customFormat="false" ht="15" hidden="false" customHeight="false" outlineLevel="0" collapsed="false">
      <c r="A591" s="28" t="n">
        <v>590</v>
      </c>
      <c r="B591" s="32" t="s">
        <v>919</v>
      </c>
    </row>
    <row r="592" customFormat="false" ht="15" hidden="false" customHeight="false" outlineLevel="0" collapsed="false">
      <c r="A592" s="28" t="n">
        <v>591</v>
      </c>
      <c r="B592" s="32" t="s">
        <v>920</v>
      </c>
    </row>
    <row r="593" customFormat="false" ht="15" hidden="false" customHeight="false" outlineLevel="0" collapsed="false">
      <c r="A593" s="28" t="n">
        <v>592</v>
      </c>
      <c r="B593" s="32" t="s">
        <v>921</v>
      </c>
    </row>
    <row r="594" customFormat="false" ht="15" hidden="false" customHeight="false" outlineLevel="0" collapsed="false">
      <c r="A594" s="28" t="n">
        <v>593</v>
      </c>
      <c r="B594" s="32" t="s">
        <v>922</v>
      </c>
    </row>
    <row r="595" customFormat="false" ht="15" hidden="false" customHeight="false" outlineLevel="0" collapsed="false">
      <c r="A595" s="28" t="n">
        <v>594</v>
      </c>
      <c r="B595" s="32" t="s">
        <v>923</v>
      </c>
    </row>
    <row r="596" customFormat="false" ht="15" hidden="false" customHeight="false" outlineLevel="0" collapsed="false">
      <c r="A596" s="28" t="n">
        <v>595</v>
      </c>
      <c r="B596" s="32" t="s">
        <v>924</v>
      </c>
    </row>
    <row r="597" customFormat="false" ht="15" hidden="false" customHeight="false" outlineLevel="0" collapsed="false">
      <c r="A597" s="28" t="n">
        <v>596</v>
      </c>
      <c r="B597" s="32" t="s">
        <v>925</v>
      </c>
    </row>
    <row r="598" customFormat="false" ht="15" hidden="false" customHeight="false" outlineLevel="0" collapsed="false">
      <c r="A598" s="28" t="n">
        <v>597</v>
      </c>
      <c r="B598" s="32" t="s">
        <v>926</v>
      </c>
    </row>
    <row r="599" customFormat="false" ht="15" hidden="false" customHeight="false" outlineLevel="0" collapsed="false">
      <c r="A599" s="28" t="n">
        <v>598</v>
      </c>
      <c r="B599" s="32" t="s">
        <v>927</v>
      </c>
    </row>
    <row r="600" customFormat="false" ht="15" hidden="false" customHeight="false" outlineLevel="0" collapsed="false">
      <c r="A600" s="28" t="n">
        <v>599</v>
      </c>
      <c r="B600" s="32" t="s">
        <v>928</v>
      </c>
    </row>
    <row r="601" customFormat="false" ht="15" hidden="false" customHeight="false" outlineLevel="0" collapsed="false">
      <c r="A601" s="28" t="n">
        <v>600</v>
      </c>
      <c r="B601" s="32" t="s">
        <v>929</v>
      </c>
    </row>
    <row r="602" customFormat="false" ht="15" hidden="false" customHeight="false" outlineLevel="0" collapsed="false">
      <c r="A602" s="28" t="n">
        <v>601</v>
      </c>
      <c r="B602" s="32" t="s">
        <v>930</v>
      </c>
    </row>
    <row r="603" customFormat="false" ht="15" hidden="false" customHeight="false" outlineLevel="0" collapsed="false">
      <c r="A603" s="28" t="n">
        <v>602</v>
      </c>
      <c r="B603" s="32" t="s">
        <v>931</v>
      </c>
    </row>
    <row r="604" customFormat="false" ht="15" hidden="false" customHeight="false" outlineLevel="0" collapsed="false">
      <c r="A604" s="28" t="n">
        <v>603</v>
      </c>
      <c r="B604" s="32" t="s">
        <v>932</v>
      </c>
    </row>
    <row r="605" customFormat="false" ht="15" hidden="false" customHeight="false" outlineLevel="0" collapsed="false">
      <c r="A605" s="28" t="n">
        <v>604</v>
      </c>
      <c r="B605" s="32" t="s">
        <v>933</v>
      </c>
    </row>
    <row r="606" customFormat="false" ht="15" hidden="false" customHeight="false" outlineLevel="0" collapsed="false">
      <c r="A606" s="28" t="n">
        <v>605</v>
      </c>
      <c r="B606" s="32" t="s">
        <v>934</v>
      </c>
    </row>
    <row r="607" customFormat="false" ht="15" hidden="false" customHeight="false" outlineLevel="0" collapsed="false">
      <c r="A607" s="28" t="n">
        <v>606</v>
      </c>
      <c r="B607" s="32" t="s">
        <v>935</v>
      </c>
    </row>
    <row r="608" customFormat="false" ht="15" hidden="false" customHeight="false" outlineLevel="0" collapsed="false">
      <c r="A608" s="28" t="n">
        <v>607</v>
      </c>
      <c r="B608" s="32" t="s">
        <v>936</v>
      </c>
    </row>
    <row r="609" customFormat="false" ht="15" hidden="false" customHeight="false" outlineLevel="0" collapsed="false">
      <c r="A609" s="28" t="n">
        <v>608</v>
      </c>
      <c r="B609" s="32" t="s">
        <v>937</v>
      </c>
    </row>
    <row r="610" customFormat="false" ht="15" hidden="false" customHeight="false" outlineLevel="0" collapsed="false">
      <c r="A610" s="28" t="n">
        <v>609</v>
      </c>
      <c r="B610" s="32" t="s">
        <v>938</v>
      </c>
    </row>
    <row r="611" customFormat="false" ht="15" hidden="false" customHeight="false" outlineLevel="0" collapsed="false">
      <c r="A611" s="28" t="n">
        <v>610</v>
      </c>
      <c r="B611" s="32" t="s">
        <v>939</v>
      </c>
    </row>
    <row r="612" customFormat="false" ht="15" hidden="false" customHeight="false" outlineLevel="0" collapsed="false">
      <c r="A612" s="28" t="n">
        <v>611</v>
      </c>
      <c r="B612" s="32" t="s">
        <v>940</v>
      </c>
    </row>
    <row r="613" customFormat="false" ht="15" hidden="false" customHeight="false" outlineLevel="0" collapsed="false">
      <c r="A613" s="28" t="n">
        <v>612</v>
      </c>
      <c r="B613" s="32" t="s">
        <v>941</v>
      </c>
    </row>
    <row r="614" customFormat="false" ht="15" hidden="false" customHeight="false" outlineLevel="0" collapsed="false">
      <c r="A614" s="28" t="n">
        <v>613</v>
      </c>
      <c r="B614" s="32" t="s">
        <v>942</v>
      </c>
    </row>
    <row r="615" customFormat="false" ht="15" hidden="false" customHeight="false" outlineLevel="0" collapsed="false">
      <c r="A615" s="28" t="n">
        <v>614</v>
      </c>
      <c r="B615" s="32" t="s">
        <v>943</v>
      </c>
    </row>
    <row r="616" customFormat="false" ht="15" hidden="false" customHeight="false" outlineLevel="0" collapsed="false">
      <c r="A616" s="28" t="n">
        <v>615</v>
      </c>
      <c r="B616" s="32" t="s">
        <v>944</v>
      </c>
    </row>
    <row r="617" customFormat="false" ht="15" hidden="false" customHeight="false" outlineLevel="0" collapsed="false">
      <c r="A617" s="28" t="n">
        <v>616</v>
      </c>
      <c r="B617" s="32" t="s">
        <v>945</v>
      </c>
    </row>
    <row r="618" customFormat="false" ht="15" hidden="false" customHeight="false" outlineLevel="0" collapsed="false">
      <c r="A618" s="28" t="n">
        <v>617</v>
      </c>
      <c r="B618" s="32" t="s">
        <v>946</v>
      </c>
    </row>
    <row r="619" customFormat="false" ht="15" hidden="false" customHeight="false" outlineLevel="0" collapsed="false">
      <c r="A619" s="28" t="n">
        <v>618</v>
      </c>
      <c r="B619" s="32" t="s">
        <v>947</v>
      </c>
    </row>
    <row r="620" customFormat="false" ht="15" hidden="false" customHeight="false" outlineLevel="0" collapsed="false">
      <c r="A620" s="28" t="n">
        <v>619</v>
      </c>
      <c r="B620" s="32" t="s">
        <v>948</v>
      </c>
    </row>
    <row r="621" customFormat="false" ht="15" hidden="false" customHeight="false" outlineLevel="0" collapsed="false">
      <c r="A621" s="28" t="n">
        <v>620</v>
      </c>
      <c r="B621" s="32" t="s">
        <v>949</v>
      </c>
    </row>
    <row r="622" customFormat="false" ht="15" hidden="false" customHeight="false" outlineLevel="0" collapsed="false">
      <c r="A622" s="28" t="n">
        <v>621</v>
      </c>
      <c r="B622" s="32" t="s">
        <v>950</v>
      </c>
    </row>
    <row r="623" customFormat="false" ht="15" hidden="false" customHeight="false" outlineLevel="0" collapsed="false">
      <c r="A623" s="28" t="n">
        <v>622</v>
      </c>
      <c r="B623" s="32" t="s">
        <v>951</v>
      </c>
    </row>
    <row r="624" customFormat="false" ht="15" hidden="false" customHeight="false" outlineLevel="0" collapsed="false">
      <c r="A624" s="28" t="n">
        <v>623</v>
      </c>
      <c r="B624" s="32" t="s">
        <v>952</v>
      </c>
    </row>
    <row r="625" customFormat="false" ht="15" hidden="false" customHeight="false" outlineLevel="0" collapsed="false">
      <c r="A625" s="28" t="n">
        <v>624</v>
      </c>
      <c r="B625" s="32" t="s">
        <v>953</v>
      </c>
    </row>
    <row r="626" customFormat="false" ht="15" hidden="false" customHeight="false" outlineLevel="0" collapsed="false">
      <c r="A626" s="28" t="n">
        <v>625</v>
      </c>
      <c r="B626" s="32" t="s">
        <v>954</v>
      </c>
    </row>
    <row r="627" customFormat="false" ht="15" hidden="false" customHeight="false" outlineLevel="0" collapsed="false">
      <c r="A627" s="28" t="n">
        <v>626</v>
      </c>
      <c r="B627" s="32" t="s">
        <v>955</v>
      </c>
    </row>
    <row r="628" customFormat="false" ht="15" hidden="false" customHeight="false" outlineLevel="0" collapsed="false">
      <c r="A628" s="28" t="n">
        <v>627</v>
      </c>
      <c r="B628" s="32" t="s">
        <v>956</v>
      </c>
    </row>
    <row r="629" customFormat="false" ht="15" hidden="false" customHeight="false" outlineLevel="0" collapsed="false">
      <c r="A629" s="28" t="n">
        <v>628</v>
      </c>
      <c r="B629" s="32" t="s">
        <v>957</v>
      </c>
    </row>
    <row r="630" customFormat="false" ht="15" hidden="false" customHeight="false" outlineLevel="0" collapsed="false">
      <c r="A630" s="28" t="n">
        <v>629</v>
      </c>
      <c r="B630" s="32" t="s">
        <v>958</v>
      </c>
    </row>
    <row r="631" customFormat="false" ht="15" hidden="false" customHeight="false" outlineLevel="0" collapsed="false">
      <c r="A631" s="28" t="n">
        <v>630</v>
      </c>
      <c r="B631" s="32" t="s">
        <v>959</v>
      </c>
    </row>
    <row r="632" customFormat="false" ht="15" hidden="false" customHeight="false" outlineLevel="0" collapsed="false">
      <c r="A632" s="28" t="n">
        <v>631</v>
      </c>
      <c r="B632" s="32" t="s">
        <v>960</v>
      </c>
    </row>
    <row r="633" customFormat="false" ht="15" hidden="false" customHeight="false" outlineLevel="0" collapsed="false">
      <c r="A633" s="28" t="n">
        <v>632</v>
      </c>
      <c r="B633" s="32" t="s">
        <v>961</v>
      </c>
    </row>
    <row r="634" customFormat="false" ht="15" hidden="false" customHeight="false" outlineLevel="0" collapsed="false">
      <c r="A634" s="28" t="n">
        <v>633</v>
      </c>
      <c r="B634" s="32" t="s">
        <v>962</v>
      </c>
    </row>
    <row r="635" customFormat="false" ht="15" hidden="false" customHeight="false" outlineLevel="0" collapsed="false">
      <c r="A635" s="28" t="n">
        <v>634</v>
      </c>
      <c r="B635" s="32" t="s">
        <v>963</v>
      </c>
    </row>
    <row r="636" customFormat="false" ht="15" hidden="false" customHeight="false" outlineLevel="0" collapsed="false">
      <c r="A636" s="28" t="n">
        <v>635</v>
      </c>
      <c r="B636" s="32" t="s">
        <v>964</v>
      </c>
    </row>
    <row r="637" customFormat="false" ht="15" hidden="false" customHeight="false" outlineLevel="0" collapsed="false">
      <c r="A637" s="28" t="n">
        <v>636</v>
      </c>
      <c r="B637" s="32" t="s">
        <v>965</v>
      </c>
    </row>
    <row r="638" customFormat="false" ht="15" hidden="false" customHeight="false" outlineLevel="0" collapsed="false">
      <c r="A638" s="28" t="n">
        <v>637</v>
      </c>
      <c r="B638" s="32" t="s">
        <v>966</v>
      </c>
    </row>
    <row r="639" customFormat="false" ht="15" hidden="false" customHeight="false" outlineLevel="0" collapsed="false">
      <c r="A639" s="28" t="n">
        <v>638</v>
      </c>
      <c r="B639" s="32" t="s">
        <v>967</v>
      </c>
    </row>
    <row r="640" customFormat="false" ht="15" hidden="false" customHeight="false" outlineLevel="0" collapsed="false">
      <c r="A640" s="28" t="n">
        <v>639</v>
      </c>
      <c r="B640" s="32" t="s">
        <v>968</v>
      </c>
    </row>
    <row r="641" customFormat="false" ht="15" hidden="false" customHeight="false" outlineLevel="0" collapsed="false">
      <c r="A641" s="28" t="n">
        <v>640</v>
      </c>
      <c r="B641" s="32" t="s">
        <v>969</v>
      </c>
    </row>
    <row r="642" customFormat="false" ht="15" hidden="false" customHeight="false" outlineLevel="0" collapsed="false">
      <c r="A642" s="28" t="n">
        <v>641</v>
      </c>
      <c r="B642" s="32" t="s">
        <v>970</v>
      </c>
    </row>
    <row r="643" customFormat="false" ht="15" hidden="false" customHeight="false" outlineLevel="0" collapsed="false">
      <c r="A643" s="28" t="n">
        <v>642</v>
      </c>
      <c r="B643" s="32" t="s">
        <v>971</v>
      </c>
    </row>
    <row r="644" customFormat="false" ht="15" hidden="false" customHeight="false" outlineLevel="0" collapsed="false">
      <c r="A644" s="28" t="n">
        <v>643</v>
      </c>
      <c r="B644" s="32" t="s">
        <v>972</v>
      </c>
    </row>
    <row r="645" customFormat="false" ht="15" hidden="false" customHeight="false" outlineLevel="0" collapsed="false">
      <c r="A645" s="28" t="n">
        <v>644</v>
      </c>
      <c r="B645" s="32" t="s">
        <v>973</v>
      </c>
    </row>
    <row r="646" customFormat="false" ht="15" hidden="false" customHeight="false" outlineLevel="0" collapsed="false">
      <c r="A646" s="28" t="n">
        <v>645</v>
      </c>
      <c r="B646" s="32" t="s">
        <v>974</v>
      </c>
    </row>
    <row r="647" customFormat="false" ht="15" hidden="false" customHeight="false" outlineLevel="0" collapsed="false">
      <c r="A647" s="28" t="n">
        <v>646</v>
      </c>
      <c r="B647" s="32" t="s">
        <v>975</v>
      </c>
    </row>
    <row r="648" customFormat="false" ht="15" hidden="false" customHeight="false" outlineLevel="0" collapsed="false">
      <c r="A648" s="28" t="n">
        <v>647</v>
      </c>
      <c r="B648" s="32" t="s">
        <v>976</v>
      </c>
    </row>
    <row r="649" customFormat="false" ht="15" hidden="false" customHeight="false" outlineLevel="0" collapsed="false">
      <c r="A649" s="28" t="n">
        <v>648</v>
      </c>
      <c r="B649" s="32" t="s">
        <v>977</v>
      </c>
    </row>
    <row r="650" customFormat="false" ht="15" hidden="false" customHeight="false" outlineLevel="0" collapsed="false">
      <c r="A650" s="28" t="n">
        <v>649</v>
      </c>
      <c r="B650" s="32" t="s">
        <v>978</v>
      </c>
    </row>
    <row r="651" customFormat="false" ht="15" hidden="false" customHeight="false" outlineLevel="0" collapsed="false">
      <c r="A651" s="28" t="n">
        <v>650</v>
      </c>
      <c r="B651" s="32" t="s">
        <v>979</v>
      </c>
    </row>
    <row r="652" customFormat="false" ht="15" hidden="false" customHeight="false" outlineLevel="0" collapsed="false">
      <c r="A652" s="28" t="n">
        <v>651</v>
      </c>
      <c r="B652" s="32" t="s">
        <v>980</v>
      </c>
    </row>
    <row r="653" customFormat="false" ht="15" hidden="false" customHeight="false" outlineLevel="0" collapsed="false">
      <c r="A653" s="28" t="n">
        <v>652</v>
      </c>
      <c r="B653" s="32" t="s">
        <v>981</v>
      </c>
    </row>
    <row r="654" customFormat="false" ht="15" hidden="false" customHeight="false" outlineLevel="0" collapsed="false">
      <c r="A654" s="28" t="n">
        <v>653</v>
      </c>
      <c r="B654" s="32" t="s">
        <v>982</v>
      </c>
    </row>
    <row r="655" customFormat="false" ht="15" hidden="false" customHeight="false" outlineLevel="0" collapsed="false">
      <c r="A655" s="28" t="n">
        <v>654</v>
      </c>
      <c r="B655" s="32" t="s">
        <v>983</v>
      </c>
    </row>
    <row r="656" customFormat="false" ht="15" hidden="false" customHeight="false" outlineLevel="0" collapsed="false">
      <c r="A656" s="28" t="n">
        <v>655</v>
      </c>
      <c r="B656" s="32" t="s">
        <v>984</v>
      </c>
    </row>
    <row r="657" customFormat="false" ht="15" hidden="false" customHeight="false" outlineLevel="0" collapsed="false">
      <c r="A657" s="28" t="n">
        <v>656</v>
      </c>
      <c r="B657" s="32" t="s">
        <v>985</v>
      </c>
    </row>
    <row r="658" customFormat="false" ht="15" hidden="false" customHeight="false" outlineLevel="0" collapsed="false">
      <c r="A658" s="28" t="n">
        <v>657</v>
      </c>
      <c r="B658" s="32" t="s">
        <v>986</v>
      </c>
    </row>
    <row r="659" customFormat="false" ht="15" hidden="false" customHeight="false" outlineLevel="0" collapsed="false">
      <c r="A659" s="28" t="n">
        <v>658</v>
      </c>
      <c r="B659" s="32" t="s">
        <v>987</v>
      </c>
    </row>
    <row r="660" customFormat="false" ht="15" hidden="false" customHeight="false" outlineLevel="0" collapsed="false">
      <c r="A660" s="28" t="n">
        <v>659</v>
      </c>
      <c r="B660" s="32" t="s">
        <v>988</v>
      </c>
    </row>
    <row r="661" customFormat="false" ht="15" hidden="false" customHeight="false" outlineLevel="0" collapsed="false">
      <c r="A661" s="28" t="n">
        <v>660</v>
      </c>
      <c r="B661" s="32" t="s">
        <v>989</v>
      </c>
    </row>
    <row r="662" customFormat="false" ht="15" hidden="false" customHeight="false" outlineLevel="0" collapsed="false">
      <c r="A662" s="28" t="n">
        <v>661</v>
      </c>
      <c r="B662" s="32" t="s">
        <v>990</v>
      </c>
    </row>
    <row r="663" customFormat="false" ht="15" hidden="false" customHeight="false" outlineLevel="0" collapsed="false">
      <c r="A663" s="28" t="n">
        <v>662</v>
      </c>
      <c r="B663" s="32" t="s">
        <v>991</v>
      </c>
    </row>
    <row r="664" customFormat="false" ht="15" hidden="false" customHeight="false" outlineLevel="0" collapsed="false">
      <c r="A664" s="28" t="n">
        <v>663</v>
      </c>
      <c r="B664" s="32" t="s">
        <v>992</v>
      </c>
    </row>
    <row r="665" customFormat="false" ht="15" hidden="false" customHeight="false" outlineLevel="0" collapsed="false">
      <c r="A665" s="28" t="n">
        <v>664</v>
      </c>
      <c r="B665" s="32" t="s">
        <v>993</v>
      </c>
    </row>
    <row r="666" customFormat="false" ht="15" hidden="false" customHeight="false" outlineLevel="0" collapsed="false">
      <c r="A666" s="28" t="n">
        <v>665</v>
      </c>
      <c r="B666" s="32" t="s">
        <v>994</v>
      </c>
    </row>
    <row r="667" customFormat="false" ht="15" hidden="false" customHeight="false" outlineLevel="0" collapsed="false">
      <c r="A667" s="28" t="n">
        <v>666</v>
      </c>
      <c r="B667" s="32" t="s">
        <v>995</v>
      </c>
    </row>
    <row r="668" customFormat="false" ht="15" hidden="false" customHeight="false" outlineLevel="0" collapsed="false">
      <c r="A668" s="28" t="n">
        <v>667</v>
      </c>
      <c r="B668" s="32" t="s">
        <v>996</v>
      </c>
    </row>
    <row r="669" customFormat="false" ht="15" hidden="false" customHeight="false" outlineLevel="0" collapsed="false">
      <c r="A669" s="28" t="n">
        <v>668</v>
      </c>
      <c r="B669" s="32" t="s">
        <v>997</v>
      </c>
    </row>
    <row r="670" customFormat="false" ht="15" hidden="false" customHeight="false" outlineLevel="0" collapsed="false">
      <c r="A670" s="28" t="n">
        <v>669</v>
      </c>
      <c r="B670" s="32" t="s">
        <v>998</v>
      </c>
    </row>
    <row r="671" customFormat="false" ht="15" hidden="false" customHeight="false" outlineLevel="0" collapsed="false">
      <c r="A671" s="28" t="n">
        <v>670</v>
      </c>
      <c r="B671" s="32" t="s">
        <v>999</v>
      </c>
    </row>
    <row r="672" customFormat="false" ht="15" hidden="false" customHeight="false" outlineLevel="0" collapsed="false">
      <c r="A672" s="28" t="n">
        <v>671</v>
      </c>
      <c r="B672" s="32" t="s">
        <v>1000</v>
      </c>
    </row>
    <row r="673" customFormat="false" ht="15" hidden="false" customHeight="false" outlineLevel="0" collapsed="false">
      <c r="A673" s="28" t="n">
        <v>672</v>
      </c>
      <c r="B673" s="32" t="s">
        <v>1001</v>
      </c>
    </row>
    <row r="674" customFormat="false" ht="15" hidden="false" customHeight="false" outlineLevel="0" collapsed="false">
      <c r="A674" s="28" t="n">
        <v>673</v>
      </c>
      <c r="B674" s="32" t="s">
        <v>1002</v>
      </c>
    </row>
    <row r="675" customFormat="false" ht="15" hidden="false" customHeight="false" outlineLevel="0" collapsed="false">
      <c r="A675" s="28" t="n">
        <v>674</v>
      </c>
      <c r="B675" s="32" t="s">
        <v>1003</v>
      </c>
    </row>
    <row r="676" customFormat="false" ht="15" hidden="false" customHeight="false" outlineLevel="0" collapsed="false">
      <c r="A676" s="28" t="n">
        <v>675</v>
      </c>
      <c r="B676" s="32" t="s">
        <v>1004</v>
      </c>
    </row>
    <row r="677" customFormat="false" ht="15" hidden="false" customHeight="false" outlineLevel="0" collapsed="false">
      <c r="A677" s="28" t="n">
        <v>676</v>
      </c>
      <c r="B677" s="32" t="s">
        <v>1005</v>
      </c>
    </row>
    <row r="678" customFormat="false" ht="15" hidden="false" customHeight="false" outlineLevel="0" collapsed="false">
      <c r="A678" s="28" t="n">
        <v>677</v>
      </c>
      <c r="B678" s="32" t="s">
        <v>1006</v>
      </c>
    </row>
    <row r="679" customFormat="false" ht="15" hidden="false" customHeight="false" outlineLevel="0" collapsed="false">
      <c r="A679" s="28" t="n">
        <v>678</v>
      </c>
      <c r="B679" s="32" t="s">
        <v>1007</v>
      </c>
    </row>
    <row r="680" customFormat="false" ht="15" hidden="false" customHeight="false" outlineLevel="0" collapsed="false">
      <c r="A680" s="28" t="n">
        <v>679</v>
      </c>
      <c r="B680" s="32" t="s">
        <v>1008</v>
      </c>
    </row>
    <row r="681" customFormat="false" ht="15" hidden="false" customHeight="false" outlineLevel="0" collapsed="false">
      <c r="A681" s="28" t="n">
        <v>680</v>
      </c>
      <c r="B681" s="32" t="s">
        <v>1009</v>
      </c>
    </row>
    <row r="682" customFormat="false" ht="15" hidden="false" customHeight="false" outlineLevel="0" collapsed="false">
      <c r="A682" s="28" t="n">
        <v>681</v>
      </c>
      <c r="B682" s="32" t="s">
        <v>1010</v>
      </c>
    </row>
    <row r="683" customFormat="false" ht="15" hidden="false" customHeight="false" outlineLevel="0" collapsed="false">
      <c r="A683" s="28" t="n">
        <v>682</v>
      </c>
      <c r="B683" s="32" t="s">
        <v>1011</v>
      </c>
    </row>
    <row r="684" customFormat="false" ht="15" hidden="false" customHeight="false" outlineLevel="0" collapsed="false">
      <c r="A684" s="28" t="n">
        <v>683</v>
      </c>
      <c r="B684" s="32" t="s">
        <v>1012</v>
      </c>
    </row>
    <row r="685" customFormat="false" ht="15" hidden="false" customHeight="false" outlineLevel="0" collapsed="false">
      <c r="A685" s="28" t="n">
        <v>684</v>
      </c>
      <c r="B685" s="32" t="s">
        <v>1013</v>
      </c>
    </row>
    <row r="686" customFormat="false" ht="15" hidden="false" customHeight="false" outlineLevel="0" collapsed="false">
      <c r="A686" s="28" t="n">
        <v>685</v>
      </c>
      <c r="B686" s="32" t="s">
        <v>1014</v>
      </c>
    </row>
    <row r="687" customFormat="false" ht="15" hidden="false" customHeight="false" outlineLevel="0" collapsed="false">
      <c r="A687" s="28" t="n">
        <v>686</v>
      </c>
      <c r="B687" s="32" t="s">
        <v>1015</v>
      </c>
    </row>
    <row r="688" customFormat="false" ht="15" hidden="false" customHeight="false" outlineLevel="0" collapsed="false">
      <c r="A688" s="28" t="n">
        <v>687</v>
      </c>
      <c r="B688" s="32" t="s">
        <v>1016</v>
      </c>
    </row>
    <row r="689" customFormat="false" ht="15" hidden="false" customHeight="false" outlineLevel="0" collapsed="false">
      <c r="A689" s="28" t="n">
        <v>688</v>
      </c>
      <c r="B689" s="32" t="s">
        <v>1017</v>
      </c>
    </row>
    <row r="690" customFormat="false" ht="15" hidden="false" customHeight="false" outlineLevel="0" collapsed="false">
      <c r="A690" s="28" t="n">
        <v>689</v>
      </c>
      <c r="B690" s="32" t="s">
        <v>1018</v>
      </c>
    </row>
    <row r="691" customFormat="false" ht="15" hidden="false" customHeight="false" outlineLevel="0" collapsed="false">
      <c r="A691" s="28" t="n">
        <v>690</v>
      </c>
      <c r="B691" s="32" t="s">
        <v>1019</v>
      </c>
    </row>
    <row r="692" customFormat="false" ht="15" hidden="false" customHeight="false" outlineLevel="0" collapsed="false">
      <c r="A692" s="28" t="n">
        <v>691</v>
      </c>
      <c r="B692" s="32" t="s">
        <v>1020</v>
      </c>
    </row>
    <row r="693" customFormat="false" ht="15" hidden="false" customHeight="false" outlineLevel="0" collapsed="false">
      <c r="A693" s="28" t="n">
        <v>692</v>
      </c>
      <c r="B693" s="32" t="s">
        <v>1021</v>
      </c>
    </row>
    <row r="694" customFormat="false" ht="15" hidden="false" customHeight="false" outlineLevel="0" collapsed="false">
      <c r="A694" s="28" t="n">
        <v>693</v>
      </c>
      <c r="B694" s="32" t="s">
        <v>1022</v>
      </c>
    </row>
    <row r="695" customFormat="false" ht="15" hidden="false" customHeight="false" outlineLevel="0" collapsed="false">
      <c r="A695" s="28" t="n">
        <v>694</v>
      </c>
      <c r="B695" s="32" t="s">
        <v>1023</v>
      </c>
    </row>
    <row r="696" customFormat="false" ht="15" hidden="false" customHeight="false" outlineLevel="0" collapsed="false">
      <c r="A696" s="28" t="n">
        <v>695</v>
      </c>
      <c r="B696" s="32" t="s">
        <v>1024</v>
      </c>
    </row>
    <row r="697" customFormat="false" ht="15" hidden="false" customHeight="false" outlineLevel="0" collapsed="false">
      <c r="A697" s="28" t="n">
        <v>696</v>
      </c>
      <c r="B697" s="32" t="s">
        <v>1025</v>
      </c>
    </row>
    <row r="698" customFormat="false" ht="15" hidden="false" customHeight="false" outlineLevel="0" collapsed="false">
      <c r="A698" s="28" t="n">
        <v>697</v>
      </c>
      <c r="B698" s="32" t="s">
        <v>1026</v>
      </c>
    </row>
    <row r="699" customFormat="false" ht="15" hidden="false" customHeight="false" outlineLevel="0" collapsed="false">
      <c r="A699" s="28" t="n">
        <v>698</v>
      </c>
      <c r="B699" s="32" t="s">
        <v>1027</v>
      </c>
    </row>
    <row r="700" customFormat="false" ht="15" hidden="false" customHeight="false" outlineLevel="0" collapsed="false">
      <c r="A700" s="28" t="n">
        <v>699</v>
      </c>
      <c r="B700" s="32" t="s">
        <v>1028</v>
      </c>
    </row>
    <row r="701" customFormat="false" ht="15" hidden="false" customHeight="false" outlineLevel="0" collapsed="false">
      <c r="A701" s="28" t="n">
        <v>700</v>
      </c>
      <c r="B701" s="32" t="s">
        <v>1029</v>
      </c>
    </row>
    <row r="702" customFormat="false" ht="15" hidden="false" customHeight="false" outlineLevel="0" collapsed="false">
      <c r="A702" s="28" t="n">
        <v>701</v>
      </c>
      <c r="B702" s="32" t="s">
        <v>1030</v>
      </c>
    </row>
    <row r="703" customFormat="false" ht="15" hidden="false" customHeight="false" outlineLevel="0" collapsed="false">
      <c r="A703" s="28" t="n">
        <v>702</v>
      </c>
      <c r="B703" s="32" t="s">
        <v>1031</v>
      </c>
    </row>
    <row r="704" customFormat="false" ht="15" hidden="false" customHeight="false" outlineLevel="0" collapsed="false">
      <c r="A704" s="28" t="n">
        <v>703</v>
      </c>
      <c r="B704" s="32" t="s">
        <v>1032</v>
      </c>
    </row>
    <row r="705" customFormat="false" ht="15" hidden="false" customHeight="false" outlineLevel="0" collapsed="false">
      <c r="A705" s="28" t="n">
        <v>704</v>
      </c>
      <c r="B705" s="32" t="s">
        <v>1033</v>
      </c>
    </row>
    <row r="706" customFormat="false" ht="15" hidden="false" customHeight="false" outlineLevel="0" collapsed="false">
      <c r="A706" s="28" t="n">
        <v>705</v>
      </c>
      <c r="B706" s="32" t="s">
        <v>1034</v>
      </c>
    </row>
    <row r="707" customFormat="false" ht="15" hidden="false" customHeight="false" outlineLevel="0" collapsed="false">
      <c r="A707" s="28" t="n">
        <v>706</v>
      </c>
      <c r="B707" s="32" t="s">
        <v>1035</v>
      </c>
    </row>
    <row r="708" customFormat="false" ht="15" hidden="false" customHeight="false" outlineLevel="0" collapsed="false">
      <c r="A708" s="28" t="n">
        <v>707</v>
      </c>
      <c r="B708" s="32" t="s">
        <v>1036</v>
      </c>
    </row>
    <row r="709" customFormat="false" ht="15" hidden="false" customHeight="false" outlineLevel="0" collapsed="false">
      <c r="A709" s="28" t="n">
        <v>708</v>
      </c>
      <c r="B709" s="32" t="s">
        <v>1037</v>
      </c>
    </row>
    <row r="710" customFormat="false" ht="15" hidden="false" customHeight="false" outlineLevel="0" collapsed="false">
      <c r="A710" s="28" t="n">
        <v>709</v>
      </c>
      <c r="B710" s="32" t="s">
        <v>1038</v>
      </c>
    </row>
    <row r="711" customFormat="false" ht="15" hidden="false" customHeight="false" outlineLevel="0" collapsed="false">
      <c r="A711" s="28" t="n">
        <v>710</v>
      </c>
      <c r="B711" s="32" t="s">
        <v>1039</v>
      </c>
    </row>
    <row r="712" customFormat="false" ht="15" hidden="false" customHeight="false" outlineLevel="0" collapsed="false">
      <c r="A712" s="28" t="n">
        <v>711</v>
      </c>
      <c r="B712" s="32" t="s">
        <v>1040</v>
      </c>
    </row>
    <row r="713" customFormat="false" ht="15" hidden="false" customHeight="false" outlineLevel="0" collapsed="false">
      <c r="A713" s="28" t="n">
        <v>712</v>
      </c>
      <c r="B713" s="32" t="s">
        <v>1041</v>
      </c>
    </row>
    <row r="714" customFormat="false" ht="15" hidden="false" customHeight="false" outlineLevel="0" collapsed="false">
      <c r="A714" s="28" t="n">
        <v>713</v>
      </c>
      <c r="B714" s="32" t="s">
        <v>1042</v>
      </c>
    </row>
    <row r="715" customFormat="false" ht="15" hidden="false" customHeight="false" outlineLevel="0" collapsed="false">
      <c r="A715" s="28" t="n">
        <v>714</v>
      </c>
      <c r="B715" s="32" t="s">
        <v>1043</v>
      </c>
    </row>
    <row r="716" customFormat="false" ht="15" hidden="false" customHeight="false" outlineLevel="0" collapsed="false">
      <c r="A716" s="28" t="n">
        <v>715</v>
      </c>
      <c r="B716" s="32" t="s">
        <v>1044</v>
      </c>
    </row>
    <row r="717" customFormat="false" ht="15" hidden="false" customHeight="false" outlineLevel="0" collapsed="false">
      <c r="A717" s="28" t="n">
        <v>716</v>
      </c>
      <c r="B717" s="32" t="s">
        <v>1045</v>
      </c>
    </row>
    <row r="718" customFormat="false" ht="15" hidden="false" customHeight="false" outlineLevel="0" collapsed="false">
      <c r="A718" s="28" t="n">
        <v>717</v>
      </c>
      <c r="B718" s="32" t="s">
        <v>1046</v>
      </c>
    </row>
    <row r="719" customFormat="false" ht="15" hidden="false" customHeight="false" outlineLevel="0" collapsed="false">
      <c r="A719" s="28" t="n">
        <v>718</v>
      </c>
      <c r="B719" s="32" t="s">
        <v>1047</v>
      </c>
    </row>
    <row r="720" customFormat="false" ht="15" hidden="false" customHeight="false" outlineLevel="0" collapsed="false">
      <c r="A720" s="28" t="n">
        <v>719</v>
      </c>
      <c r="B720" s="32" t="s">
        <v>1048</v>
      </c>
    </row>
    <row r="721" customFormat="false" ht="15" hidden="false" customHeight="false" outlineLevel="0" collapsed="false">
      <c r="A721" s="28" t="n">
        <v>720</v>
      </c>
      <c r="B721" s="32" t="s">
        <v>1049</v>
      </c>
    </row>
    <row r="722" customFormat="false" ht="15" hidden="false" customHeight="false" outlineLevel="0" collapsed="false">
      <c r="A722" s="28" t="n">
        <v>721</v>
      </c>
      <c r="B722" s="32" t="s">
        <v>1050</v>
      </c>
    </row>
    <row r="723" customFormat="false" ht="15" hidden="false" customHeight="false" outlineLevel="0" collapsed="false">
      <c r="A723" s="28" t="n">
        <v>722</v>
      </c>
      <c r="B723" s="32" t="s">
        <v>1051</v>
      </c>
    </row>
    <row r="724" customFormat="false" ht="15" hidden="false" customHeight="false" outlineLevel="0" collapsed="false">
      <c r="A724" s="28" t="n">
        <v>723</v>
      </c>
      <c r="B724" s="32" t="s">
        <v>1052</v>
      </c>
    </row>
    <row r="725" customFormat="false" ht="15" hidden="false" customHeight="false" outlineLevel="0" collapsed="false">
      <c r="A725" s="28" t="n">
        <v>724</v>
      </c>
      <c r="B725" s="32" t="s">
        <v>1053</v>
      </c>
    </row>
    <row r="726" customFormat="false" ht="15" hidden="false" customHeight="false" outlineLevel="0" collapsed="false">
      <c r="A726" s="28" t="n">
        <v>725</v>
      </c>
      <c r="B726" s="32" t="s">
        <v>1054</v>
      </c>
    </row>
    <row r="727" customFormat="false" ht="15" hidden="false" customHeight="false" outlineLevel="0" collapsed="false">
      <c r="A727" s="28" t="n">
        <v>726</v>
      </c>
      <c r="B727" s="32" t="s">
        <v>1055</v>
      </c>
    </row>
    <row r="728" customFormat="false" ht="15" hidden="false" customHeight="false" outlineLevel="0" collapsed="false">
      <c r="A728" s="28" t="n">
        <v>727</v>
      </c>
      <c r="B728" s="32" t="s">
        <v>1056</v>
      </c>
    </row>
    <row r="729" customFormat="false" ht="15" hidden="false" customHeight="false" outlineLevel="0" collapsed="false">
      <c r="A729" s="28" t="n">
        <v>728</v>
      </c>
      <c r="B729" s="32" t="s">
        <v>1057</v>
      </c>
    </row>
    <row r="730" customFormat="false" ht="15" hidden="false" customHeight="false" outlineLevel="0" collapsed="false">
      <c r="A730" s="28" t="n">
        <v>729</v>
      </c>
      <c r="B730" s="32" t="s">
        <v>1058</v>
      </c>
    </row>
    <row r="731" customFormat="false" ht="15" hidden="false" customHeight="false" outlineLevel="0" collapsed="false">
      <c r="A731" s="28" t="n">
        <v>730</v>
      </c>
      <c r="B731" s="32" t="s">
        <v>1059</v>
      </c>
    </row>
    <row r="732" customFormat="false" ht="15" hidden="false" customHeight="false" outlineLevel="0" collapsed="false">
      <c r="A732" s="28" t="n">
        <v>731</v>
      </c>
      <c r="B732" s="32" t="s">
        <v>1060</v>
      </c>
    </row>
    <row r="733" customFormat="false" ht="15" hidden="false" customHeight="false" outlineLevel="0" collapsed="false">
      <c r="A733" s="28" t="n">
        <v>732</v>
      </c>
      <c r="B733" s="32" t="s">
        <v>1061</v>
      </c>
    </row>
    <row r="734" customFormat="false" ht="15" hidden="false" customHeight="false" outlineLevel="0" collapsed="false">
      <c r="A734" s="28" t="n">
        <v>733</v>
      </c>
      <c r="B734" s="32" t="s">
        <v>1062</v>
      </c>
    </row>
    <row r="735" customFormat="false" ht="15" hidden="false" customHeight="false" outlineLevel="0" collapsed="false">
      <c r="A735" s="28" t="n">
        <v>734</v>
      </c>
      <c r="B735" s="32" t="s">
        <v>1063</v>
      </c>
    </row>
    <row r="736" customFormat="false" ht="15" hidden="false" customHeight="false" outlineLevel="0" collapsed="false">
      <c r="A736" s="28" t="n">
        <v>735</v>
      </c>
      <c r="B736" s="32" t="s">
        <v>1064</v>
      </c>
    </row>
    <row r="737" customFormat="false" ht="15" hidden="false" customHeight="false" outlineLevel="0" collapsed="false">
      <c r="A737" s="28" t="n">
        <v>736</v>
      </c>
      <c r="B737" s="32" t="s">
        <v>1065</v>
      </c>
    </row>
    <row r="738" customFormat="false" ht="15" hidden="false" customHeight="false" outlineLevel="0" collapsed="false">
      <c r="A738" s="28" t="n">
        <v>737</v>
      </c>
      <c r="B738" s="32" t="s">
        <v>1066</v>
      </c>
    </row>
    <row r="739" customFormat="false" ht="15" hidden="false" customHeight="false" outlineLevel="0" collapsed="false">
      <c r="A739" s="28" t="n">
        <v>738</v>
      </c>
      <c r="B739" s="32" t="s">
        <v>1067</v>
      </c>
    </row>
    <row r="740" customFormat="false" ht="15" hidden="false" customHeight="false" outlineLevel="0" collapsed="false">
      <c r="A740" s="28" t="n">
        <v>739</v>
      </c>
      <c r="B740" s="32" t="s">
        <v>1068</v>
      </c>
    </row>
    <row r="741" customFormat="false" ht="15" hidden="false" customHeight="false" outlineLevel="0" collapsed="false">
      <c r="A741" s="28" t="n">
        <v>740</v>
      </c>
      <c r="B741" s="32" t="s">
        <v>1069</v>
      </c>
    </row>
    <row r="742" customFormat="false" ht="15" hidden="false" customHeight="false" outlineLevel="0" collapsed="false">
      <c r="A742" s="28" t="n">
        <v>741</v>
      </c>
      <c r="B742" s="32" t="s">
        <v>1070</v>
      </c>
    </row>
    <row r="743" customFormat="false" ht="15" hidden="false" customHeight="false" outlineLevel="0" collapsed="false">
      <c r="A743" s="28" t="n">
        <v>742</v>
      </c>
      <c r="B743" s="32" t="s">
        <v>1071</v>
      </c>
    </row>
    <row r="744" customFormat="false" ht="15" hidden="false" customHeight="false" outlineLevel="0" collapsed="false">
      <c r="A744" s="28" t="n">
        <v>743</v>
      </c>
      <c r="B744" s="32" t="s">
        <v>1072</v>
      </c>
    </row>
    <row r="745" customFormat="false" ht="15" hidden="false" customHeight="false" outlineLevel="0" collapsed="false">
      <c r="A745" s="28" t="n">
        <v>744</v>
      </c>
      <c r="B745" s="32" t="s">
        <v>1073</v>
      </c>
    </row>
    <row r="746" customFormat="false" ht="15" hidden="false" customHeight="false" outlineLevel="0" collapsed="false">
      <c r="A746" s="28" t="n">
        <v>745</v>
      </c>
      <c r="B746" s="32" t="s">
        <v>1074</v>
      </c>
    </row>
    <row r="747" customFormat="false" ht="15" hidden="false" customHeight="false" outlineLevel="0" collapsed="false">
      <c r="A747" s="28" t="n">
        <v>746</v>
      </c>
      <c r="B747" s="32" t="s">
        <v>1075</v>
      </c>
    </row>
    <row r="748" customFormat="false" ht="15" hidden="false" customHeight="false" outlineLevel="0" collapsed="false">
      <c r="A748" s="28" t="n">
        <v>747</v>
      </c>
      <c r="B748" s="32" t="s">
        <v>1076</v>
      </c>
    </row>
    <row r="749" customFormat="false" ht="15" hidden="false" customHeight="false" outlineLevel="0" collapsed="false">
      <c r="A749" s="28" t="n">
        <v>748</v>
      </c>
      <c r="B749" s="32" t="s">
        <v>1077</v>
      </c>
    </row>
    <row r="750" customFormat="false" ht="15" hidden="false" customHeight="false" outlineLevel="0" collapsed="false">
      <c r="A750" s="28" t="n">
        <v>749</v>
      </c>
      <c r="B750" s="32" t="s">
        <v>1078</v>
      </c>
    </row>
    <row r="751" customFormat="false" ht="15" hidden="false" customHeight="false" outlineLevel="0" collapsed="false">
      <c r="A751" s="28" t="n">
        <v>750</v>
      </c>
      <c r="B751" s="32" t="s">
        <v>1079</v>
      </c>
    </row>
    <row r="752" customFormat="false" ht="15" hidden="false" customHeight="false" outlineLevel="0" collapsed="false">
      <c r="A752" s="28" t="n">
        <v>751</v>
      </c>
      <c r="B752" s="32" t="s">
        <v>1080</v>
      </c>
    </row>
    <row r="753" customFormat="false" ht="15" hidden="false" customHeight="false" outlineLevel="0" collapsed="false">
      <c r="A753" s="28" t="n">
        <v>752</v>
      </c>
      <c r="B753" s="32" t="s">
        <v>1081</v>
      </c>
    </row>
    <row r="754" customFormat="false" ht="15" hidden="false" customHeight="false" outlineLevel="0" collapsed="false">
      <c r="A754" s="28" t="n">
        <v>753</v>
      </c>
      <c r="B754" s="32" t="s">
        <v>1082</v>
      </c>
    </row>
    <row r="755" customFormat="false" ht="15" hidden="false" customHeight="false" outlineLevel="0" collapsed="false">
      <c r="A755" s="28" t="n">
        <v>754</v>
      </c>
      <c r="B755" s="32" t="s">
        <v>1083</v>
      </c>
    </row>
    <row r="756" customFormat="false" ht="15" hidden="false" customHeight="false" outlineLevel="0" collapsed="false">
      <c r="A756" s="28" t="n">
        <v>755</v>
      </c>
      <c r="B756" s="32" t="s">
        <v>1084</v>
      </c>
    </row>
    <row r="757" customFormat="false" ht="15" hidden="false" customHeight="false" outlineLevel="0" collapsed="false">
      <c r="A757" s="28" t="n">
        <v>756</v>
      </c>
      <c r="B757" s="32" t="s">
        <v>1085</v>
      </c>
    </row>
    <row r="758" customFormat="false" ht="15" hidden="false" customHeight="false" outlineLevel="0" collapsed="false">
      <c r="A758" s="28" t="n">
        <v>757</v>
      </c>
      <c r="B758" s="32" t="s">
        <v>1086</v>
      </c>
    </row>
    <row r="759" customFormat="false" ht="15" hidden="false" customHeight="false" outlineLevel="0" collapsed="false">
      <c r="A759" s="28" t="n">
        <v>758</v>
      </c>
      <c r="B759" s="32" t="s">
        <v>1087</v>
      </c>
    </row>
    <row r="760" customFormat="false" ht="15" hidden="false" customHeight="false" outlineLevel="0" collapsed="false">
      <c r="A760" s="28" t="n">
        <v>759</v>
      </c>
      <c r="B760" s="32" t="s">
        <v>1088</v>
      </c>
    </row>
    <row r="761" customFormat="false" ht="15" hidden="false" customHeight="false" outlineLevel="0" collapsed="false">
      <c r="A761" s="28" t="n">
        <v>760</v>
      </c>
      <c r="B761" s="32" t="s">
        <v>1089</v>
      </c>
    </row>
    <row r="762" customFormat="false" ht="15" hidden="false" customHeight="false" outlineLevel="0" collapsed="false">
      <c r="A762" s="28" t="n">
        <v>761</v>
      </c>
      <c r="B762" s="32" t="s">
        <v>1090</v>
      </c>
    </row>
    <row r="763" customFormat="false" ht="15" hidden="false" customHeight="false" outlineLevel="0" collapsed="false">
      <c r="A763" s="28" t="n">
        <v>762</v>
      </c>
      <c r="B763" s="32" t="s">
        <v>1091</v>
      </c>
    </row>
    <row r="764" customFormat="false" ht="15" hidden="false" customHeight="false" outlineLevel="0" collapsed="false">
      <c r="A764" s="28" t="n">
        <v>763</v>
      </c>
      <c r="B764" s="32" t="s">
        <v>1092</v>
      </c>
    </row>
    <row r="765" customFormat="false" ht="15" hidden="false" customHeight="false" outlineLevel="0" collapsed="false">
      <c r="A765" s="28" t="n">
        <v>764</v>
      </c>
      <c r="B765" s="32" t="s">
        <v>1093</v>
      </c>
    </row>
    <row r="766" customFormat="false" ht="15" hidden="false" customHeight="false" outlineLevel="0" collapsed="false">
      <c r="A766" s="28" t="n">
        <v>765</v>
      </c>
      <c r="B766" s="32" t="s">
        <v>1094</v>
      </c>
    </row>
    <row r="767" customFormat="false" ht="15" hidden="false" customHeight="false" outlineLevel="0" collapsed="false">
      <c r="A767" s="28" t="n">
        <v>766</v>
      </c>
      <c r="B767" s="32" t="s">
        <v>1095</v>
      </c>
    </row>
    <row r="768" customFormat="false" ht="15" hidden="false" customHeight="false" outlineLevel="0" collapsed="false">
      <c r="A768" s="28" t="n">
        <v>767</v>
      </c>
      <c r="B768" s="32" t="s">
        <v>1096</v>
      </c>
    </row>
    <row r="769" customFormat="false" ht="15" hidden="false" customHeight="false" outlineLevel="0" collapsed="false">
      <c r="A769" s="28" t="n">
        <v>768</v>
      </c>
      <c r="B769" s="32" t="s">
        <v>1097</v>
      </c>
    </row>
    <row r="770" customFormat="false" ht="15" hidden="false" customHeight="false" outlineLevel="0" collapsed="false">
      <c r="A770" s="28" t="n">
        <v>769</v>
      </c>
      <c r="B770" s="32" t="s">
        <v>1098</v>
      </c>
    </row>
    <row r="771" customFormat="false" ht="15" hidden="false" customHeight="false" outlineLevel="0" collapsed="false">
      <c r="A771" s="28" t="n">
        <v>770</v>
      </c>
      <c r="B771" s="32" t="s">
        <v>1099</v>
      </c>
    </row>
    <row r="772" customFormat="false" ht="15" hidden="false" customHeight="false" outlineLevel="0" collapsed="false">
      <c r="A772" s="28" t="n">
        <v>771</v>
      </c>
      <c r="B772" s="32" t="s">
        <v>1100</v>
      </c>
    </row>
    <row r="773" customFormat="false" ht="15" hidden="false" customHeight="false" outlineLevel="0" collapsed="false">
      <c r="A773" s="28" t="n">
        <v>772</v>
      </c>
      <c r="B773" s="32" t="s">
        <v>1101</v>
      </c>
    </row>
    <row r="774" customFormat="false" ht="15" hidden="false" customHeight="false" outlineLevel="0" collapsed="false">
      <c r="A774" s="28" t="n">
        <v>773</v>
      </c>
      <c r="B774" s="32" t="s">
        <v>1102</v>
      </c>
    </row>
    <row r="775" customFormat="false" ht="15" hidden="false" customHeight="false" outlineLevel="0" collapsed="false">
      <c r="A775" s="28" t="n">
        <v>774</v>
      </c>
      <c r="B775" s="32" t="s">
        <v>1103</v>
      </c>
    </row>
    <row r="776" customFormat="false" ht="15" hidden="false" customHeight="false" outlineLevel="0" collapsed="false">
      <c r="A776" s="28" t="n">
        <v>775</v>
      </c>
      <c r="B776" s="32" t="s">
        <v>1104</v>
      </c>
    </row>
    <row r="777" customFormat="false" ht="15" hidden="false" customHeight="false" outlineLevel="0" collapsed="false">
      <c r="A777" s="28" t="n">
        <v>776</v>
      </c>
      <c r="B777" s="32" t="s">
        <v>1105</v>
      </c>
    </row>
    <row r="778" customFormat="false" ht="15" hidden="false" customHeight="false" outlineLevel="0" collapsed="false">
      <c r="A778" s="28" t="n">
        <v>777</v>
      </c>
      <c r="B778" s="32" t="s">
        <v>1106</v>
      </c>
    </row>
    <row r="779" customFormat="false" ht="15" hidden="false" customHeight="false" outlineLevel="0" collapsed="false">
      <c r="A779" s="28" t="n">
        <v>778</v>
      </c>
      <c r="B779" s="32" t="s">
        <v>1107</v>
      </c>
    </row>
    <row r="780" customFormat="false" ht="15" hidden="false" customHeight="false" outlineLevel="0" collapsed="false">
      <c r="A780" s="28" t="n">
        <v>779</v>
      </c>
      <c r="B780" s="32" t="s">
        <v>1108</v>
      </c>
    </row>
    <row r="781" customFormat="false" ht="15" hidden="false" customHeight="false" outlineLevel="0" collapsed="false">
      <c r="A781" s="28" t="n">
        <v>780</v>
      </c>
      <c r="B781" s="32" t="s">
        <v>1109</v>
      </c>
    </row>
    <row r="782" customFormat="false" ht="15" hidden="false" customHeight="false" outlineLevel="0" collapsed="false">
      <c r="A782" s="28" t="n">
        <v>781</v>
      </c>
      <c r="B782" s="32" t="s">
        <v>1110</v>
      </c>
    </row>
    <row r="783" customFormat="false" ht="15" hidden="false" customHeight="false" outlineLevel="0" collapsed="false">
      <c r="A783" s="28" t="n">
        <v>782</v>
      </c>
      <c r="B783" s="32" t="s">
        <v>1111</v>
      </c>
    </row>
    <row r="784" customFormat="false" ht="15" hidden="false" customHeight="false" outlineLevel="0" collapsed="false">
      <c r="A784" s="28" t="n">
        <v>783</v>
      </c>
      <c r="B784" s="32" t="s">
        <v>1112</v>
      </c>
    </row>
    <row r="785" customFormat="false" ht="15" hidden="false" customHeight="false" outlineLevel="0" collapsed="false">
      <c r="A785" s="28" t="n">
        <v>784</v>
      </c>
      <c r="B785" s="32" t="s">
        <v>1113</v>
      </c>
    </row>
    <row r="786" customFormat="false" ht="15" hidden="false" customHeight="false" outlineLevel="0" collapsed="false">
      <c r="A786" s="28" t="n">
        <v>785</v>
      </c>
      <c r="B786" s="32" t="s">
        <v>1114</v>
      </c>
    </row>
    <row r="787" customFormat="false" ht="15" hidden="false" customHeight="false" outlineLevel="0" collapsed="false">
      <c r="A787" s="28" t="n">
        <v>786</v>
      </c>
      <c r="B787" s="32" t="s">
        <v>1115</v>
      </c>
    </row>
    <row r="788" customFormat="false" ht="15" hidden="false" customHeight="false" outlineLevel="0" collapsed="false">
      <c r="A788" s="28" t="n">
        <v>787</v>
      </c>
      <c r="B788" s="32" t="s">
        <v>1116</v>
      </c>
    </row>
    <row r="789" customFormat="false" ht="15" hidden="false" customHeight="false" outlineLevel="0" collapsed="false">
      <c r="A789" s="28" t="n">
        <v>788</v>
      </c>
      <c r="B789" s="32" t="s">
        <v>1117</v>
      </c>
    </row>
    <row r="790" customFormat="false" ht="15" hidden="false" customHeight="false" outlineLevel="0" collapsed="false">
      <c r="A790" s="28" t="n">
        <v>789</v>
      </c>
      <c r="B790" s="32" t="s">
        <v>1118</v>
      </c>
    </row>
    <row r="791" customFormat="false" ht="15" hidden="false" customHeight="false" outlineLevel="0" collapsed="false">
      <c r="A791" s="28" t="n">
        <v>790</v>
      </c>
      <c r="B791" s="32" t="s">
        <v>1119</v>
      </c>
    </row>
    <row r="792" customFormat="false" ht="15" hidden="false" customHeight="false" outlineLevel="0" collapsed="false">
      <c r="A792" s="28" t="n">
        <v>791</v>
      </c>
      <c r="B792" s="32" t="s">
        <v>1120</v>
      </c>
    </row>
    <row r="793" customFormat="false" ht="15" hidden="false" customHeight="false" outlineLevel="0" collapsed="false">
      <c r="A793" s="28" t="n">
        <v>792</v>
      </c>
      <c r="B793" s="32" t="s">
        <v>1121</v>
      </c>
    </row>
    <row r="794" customFormat="false" ht="15" hidden="false" customHeight="false" outlineLevel="0" collapsed="false">
      <c r="A794" s="28" t="n">
        <v>793</v>
      </c>
      <c r="B794" s="32" t="s">
        <v>1122</v>
      </c>
    </row>
    <row r="795" customFormat="false" ht="15" hidden="false" customHeight="false" outlineLevel="0" collapsed="false">
      <c r="A795" s="28" t="n">
        <v>794</v>
      </c>
      <c r="B795" s="32" t="s">
        <v>1123</v>
      </c>
    </row>
    <row r="796" customFormat="false" ht="15" hidden="false" customHeight="false" outlineLevel="0" collapsed="false">
      <c r="A796" s="28" t="n">
        <v>795</v>
      </c>
      <c r="B796" s="32" t="s">
        <v>1124</v>
      </c>
    </row>
    <row r="797" customFormat="false" ht="15" hidden="false" customHeight="false" outlineLevel="0" collapsed="false">
      <c r="A797" s="28" t="n">
        <v>796</v>
      </c>
      <c r="B797" s="32" t="s">
        <v>1125</v>
      </c>
    </row>
    <row r="798" customFormat="false" ht="15" hidden="false" customHeight="false" outlineLevel="0" collapsed="false">
      <c r="A798" s="28" t="n">
        <v>797</v>
      </c>
      <c r="B798" s="32" t="s">
        <v>1126</v>
      </c>
    </row>
    <row r="799" customFormat="false" ht="15" hidden="false" customHeight="false" outlineLevel="0" collapsed="false">
      <c r="A799" s="28" t="n">
        <v>798</v>
      </c>
      <c r="B799" s="32" t="s">
        <v>1127</v>
      </c>
    </row>
    <row r="800" customFormat="false" ht="15" hidden="false" customHeight="false" outlineLevel="0" collapsed="false">
      <c r="A800" s="28" t="n">
        <v>799</v>
      </c>
      <c r="B800" s="32" t="s">
        <v>1128</v>
      </c>
    </row>
    <row r="801" customFormat="false" ht="15" hidden="false" customHeight="false" outlineLevel="0" collapsed="false">
      <c r="A801" s="28" t="n">
        <v>800</v>
      </c>
      <c r="B801" s="32" t="s">
        <v>1129</v>
      </c>
    </row>
    <row r="802" customFormat="false" ht="15" hidden="false" customHeight="false" outlineLevel="0" collapsed="false">
      <c r="A802" s="28" t="n">
        <v>801</v>
      </c>
      <c r="B802" s="32" t="s">
        <v>1130</v>
      </c>
    </row>
    <row r="803" customFormat="false" ht="15" hidden="false" customHeight="false" outlineLevel="0" collapsed="false">
      <c r="A803" s="28" t="n">
        <v>802</v>
      </c>
      <c r="B803" s="32" t="s">
        <v>1131</v>
      </c>
    </row>
    <row r="804" customFormat="false" ht="15" hidden="false" customHeight="false" outlineLevel="0" collapsed="false">
      <c r="A804" s="28" t="n">
        <v>803</v>
      </c>
      <c r="B804" s="32" t="s">
        <v>1132</v>
      </c>
    </row>
    <row r="805" customFormat="false" ht="15" hidden="false" customHeight="false" outlineLevel="0" collapsed="false">
      <c r="A805" s="28" t="n">
        <v>804</v>
      </c>
      <c r="B805" s="32" t="s">
        <v>1133</v>
      </c>
    </row>
    <row r="806" customFormat="false" ht="15" hidden="false" customHeight="false" outlineLevel="0" collapsed="false">
      <c r="A806" s="28" t="n">
        <v>805</v>
      </c>
      <c r="B806" s="32" t="s">
        <v>1134</v>
      </c>
    </row>
    <row r="807" customFormat="false" ht="15" hidden="false" customHeight="false" outlineLevel="0" collapsed="false">
      <c r="A807" s="28" t="n">
        <v>806</v>
      </c>
      <c r="B807" s="32" t="s">
        <v>1135</v>
      </c>
    </row>
    <row r="808" customFormat="false" ht="15" hidden="false" customHeight="false" outlineLevel="0" collapsed="false">
      <c r="A808" s="28" t="n">
        <v>807</v>
      </c>
      <c r="B808" s="32" t="s">
        <v>1136</v>
      </c>
    </row>
    <row r="809" customFormat="false" ht="15" hidden="false" customHeight="false" outlineLevel="0" collapsed="false">
      <c r="A809" s="28" t="n">
        <v>808</v>
      </c>
      <c r="B809" s="32" t="s">
        <v>1137</v>
      </c>
    </row>
    <row r="810" customFormat="false" ht="15" hidden="false" customHeight="false" outlineLevel="0" collapsed="false">
      <c r="A810" s="28" t="n">
        <v>809</v>
      </c>
      <c r="B810" s="32" t="s">
        <v>1138</v>
      </c>
    </row>
    <row r="811" customFormat="false" ht="15" hidden="false" customHeight="false" outlineLevel="0" collapsed="false">
      <c r="A811" s="28" t="n">
        <v>810</v>
      </c>
      <c r="B811" s="32" t="s">
        <v>1139</v>
      </c>
    </row>
    <row r="812" customFormat="false" ht="15" hidden="false" customHeight="false" outlineLevel="0" collapsed="false">
      <c r="A812" s="28" t="n">
        <v>811</v>
      </c>
      <c r="B812" s="32" t="s">
        <v>1140</v>
      </c>
    </row>
    <row r="813" customFormat="false" ht="15" hidden="false" customHeight="false" outlineLevel="0" collapsed="false">
      <c r="A813" s="28" t="n">
        <v>812</v>
      </c>
      <c r="B813" s="32" t="s">
        <v>1141</v>
      </c>
    </row>
    <row r="814" customFormat="false" ht="15" hidden="false" customHeight="false" outlineLevel="0" collapsed="false">
      <c r="A814" s="28" t="n">
        <v>813</v>
      </c>
      <c r="B814" s="32" t="s">
        <v>1142</v>
      </c>
    </row>
    <row r="815" customFormat="false" ht="15" hidden="false" customHeight="false" outlineLevel="0" collapsed="false">
      <c r="A815" s="28" t="n">
        <v>814</v>
      </c>
      <c r="B815" s="32" t="s">
        <v>1143</v>
      </c>
    </row>
    <row r="816" customFormat="false" ht="15" hidden="false" customHeight="false" outlineLevel="0" collapsed="false">
      <c r="A816" s="28" t="n">
        <v>815</v>
      </c>
      <c r="B816" s="32" t="s">
        <v>1144</v>
      </c>
    </row>
    <row r="817" customFormat="false" ht="15" hidden="false" customHeight="false" outlineLevel="0" collapsed="false">
      <c r="A817" s="28" t="n">
        <v>816</v>
      </c>
      <c r="B817" s="32" t="s">
        <v>1145</v>
      </c>
    </row>
    <row r="818" customFormat="false" ht="15" hidden="false" customHeight="false" outlineLevel="0" collapsed="false">
      <c r="A818" s="28" t="n">
        <v>817</v>
      </c>
      <c r="B818" s="32" t="s">
        <v>1146</v>
      </c>
    </row>
    <row r="819" customFormat="false" ht="15" hidden="false" customHeight="false" outlineLevel="0" collapsed="false">
      <c r="A819" s="28" t="n">
        <v>818</v>
      </c>
      <c r="B819" s="32" t="s">
        <v>1147</v>
      </c>
    </row>
    <row r="820" customFormat="false" ht="15" hidden="false" customHeight="false" outlineLevel="0" collapsed="false">
      <c r="A820" s="28" t="n">
        <v>819</v>
      </c>
      <c r="B820" s="32" t="s">
        <v>1148</v>
      </c>
    </row>
    <row r="821" customFormat="false" ht="15" hidden="false" customHeight="false" outlineLevel="0" collapsed="false">
      <c r="A821" s="28" t="n">
        <v>820</v>
      </c>
      <c r="B821" s="32" t="s">
        <v>1149</v>
      </c>
    </row>
    <row r="822" customFormat="false" ht="15" hidden="false" customHeight="false" outlineLevel="0" collapsed="false">
      <c r="A822" s="28" t="n">
        <v>821</v>
      </c>
      <c r="B822" s="32" t="s">
        <v>1150</v>
      </c>
    </row>
    <row r="823" customFormat="false" ht="15" hidden="false" customHeight="false" outlineLevel="0" collapsed="false">
      <c r="A823" s="28" t="n">
        <v>822</v>
      </c>
      <c r="B823" s="32" t="s">
        <v>1151</v>
      </c>
    </row>
    <row r="824" customFormat="false" ht="15" hidden="false" customHeight="false" outlineLevel="0" collapsed="false">
      <c r="A824" s="28" t="n">
        <v>823</v>
      </c>
      <c r="B824" s="32" t="s">
        <v>1152</v>
      </c>
    </row>
    <row r="825" customFormat="false" ht="15" hidden="false" customHeight="false" outlineLevel="0" collapsed="false">
      <c r="A825" s="28" t="n">
        <v>824</v>
      </c>
      <c r="B825" s="32" t="s">
        <v>1153</v>
      </c>
    </row>
    <row r="826" customFormat="false" ht="15" hidden="false" customHeight="false" outlineLevel="0" collapsed="false">
      <c r="A826" s="28" t="n">
        <v>825</v>
      </c>
      <c r="B826" s="32" t="s">
        <v>1154</v>
      </c>
    </row>
    <row r="827" customFormat="false" ht="15" hidden="false" customHeight="false" outlineLevel="0" collapsed="false">
      <c r="A827" s="28" t="n">
        <v>826</v>
      </c>
      <c r="B827" s="32" t="s">
        <v>1155</v>
      </c>
    </row>
    <row r="828" customFormat="false" ht="15" hidden="false" customHeight="false" outlineLevel="0" collapsed="false">
      <c r="A828" s="28" t="n">
        <v>827</v>
      </c>
      <c r="B828" s="32" t="s">
        <v>1156</v>
      </c>
    </row>
    <row r="829" customFormat="false" ht="15" hidden="false" customHeight="false" outlineLevel="0" collapsed="false">
      <c r="A829" s="28" t="n">
        <v>828</v>
      </c>
      <c r="B829" s="32" t="s">
        <v>1157</v>
      </c>
    </row>
    <row r="830" customFormat="false" ht="15" hidden="false" customHeight="false" outlineLevel="0" collapsed="false">
      <c r="A830" s="28" t="n">
        <v>829</v>
      </c>
      <c r="B830" s="32" t="s">
        <v>1158</v>
      </c>
    </row>
    <row r="831" customFormat="false" ht="15" hidden="false" customHeight="false" outlineLevel="0" collapsed="false">
      <c r="A831" s="28" t="n">
        <v>830</v>
      </c>
      <c r="B831" s="32" t="s">
        <v>1159</v>
      </c>
    </row>
    <row r="832" customFormat="false" ht="15" hidden="false" customHeight="false" outlineLevel="0" collapsed="false">
      <c r="A832" s="28" t="n">
        <v>831</v>
      </c>
      <c r="B832" s="32" t="s">
        <v>1160</v>
      </c>
    </row>
    <row r="833" customFormat="false" ht="15" hidden="false" customHeight="false" outlineLevel="0" collapsed="false">
      <c r="A833" s="28" t="n">
        <v>832</v>
      </c>
      <c r="B833" s="32" t="s">
        <v>1161</v>
      </c>
    </row>
    <row r="834" customFormat="false" ht="15" hidden="false" customHeight="false" outlineLevel="0" collapsed="false">
      <c r="A834" s="28" t="n">
        <v>833</v>
      </c>
      <c r="B834" s="32" t="s">
        <v>1162</v>
      </c>
    </row>
    <row r="835" customFormat="false" ht="15" hidden="false" customHeight="false" outlineLevel="0" collapsed="false">
      <c r="A835" s="28" t="n">
        <v>834</v>
      </c>
      <c r="B835" s="32" t="s">
        <v>1163</v>
      </c>
    </row>
    <row r="836" customFormat="false" ht="15" hidden="false" customHeight="false" outlineLevel="0" collapsed="false">
      <c r="A836" s="28" t="n">
        <v>835</v>
      </c>
      <c r="B836" s="32" t="s">
        <v>1164</v>
      </c>
    </row>
    <row r="837" customFormat="false" ht="15" hidden="false" customHeight="false" outlineLevel="0" collapsed="false">
      <c r="A837" s="28" t="n">
        <v>836</v>
      </c>
      <c r="B837" s="32" t="s">
        <v>1165</v>
      </c>
    </row>
    <row r="838" customFormat="false" ht="15" hidden="false" customHeight="false" outlineLevel="0" collapsed="false">
      <c r="A838" s="28" t="n">
        <v>837</v>
      </c>
      <c r="B838" s="32" t="s">
        <v>1166</v>
      </c>
    </row>
    <row r="839" customFormat="false" ht="15" hidden="false" customHeight="false" outlineLevel="0" collapsed="false">
      <c r="A839" s="28" t="n">
        <v>838</v>
      </c>
      <c r="B839" s="32" t="s">
        <v>1167</v>
      </c>
    </row>
    <row r="840" customFormat="false" ht="15" hidden="false" customHeight="false" outlineLevel="0" collapsed="false">
      <c r="A840" s="28" t="n">
        <v>839</v>
      </c>
      <c r="B840" s="32" t="s">
        <v>1168</v>
      </c>
    </row>
    <row r="841" customFormat="false" ht="15" hidden="false" customHeight="false" outlineLevel="0" collapsed="false">
      <c r="A841" s="28" t="n">
        <v>840</v>
      </c>
      <c r="B841" s="32" t="s">
        <v>1169</v>
      </c>
    </row>
    <row r="842" customFormat="false" ht="15" hidden="false" customHeight="false" outlineLevel="0" collapsed="false">
      <c r="A842" s="28" t="n">
        <v>841</v>
      </c>
      <c r="B842" s="32" t="s">
        <v>1170</v>
      </c>
    </row>
    <row r="843" customFormat="false" ht="15" hidden="false" customHeight="false" outlineLevel="0" collapsed="false">
      <c r="A843" s="28" t="n">
        <v>842</v>
      </c>
      <c r="B843" s="32" t="s">
        <v>1171</v>
      </c>
    </row>
    <row r="844" customFormat="false" ht="15" hidden="false" customHeight="false" outlineLevel="0" collapsed="false">
      <c r="A844" s="28" t="n">
        <v>843</v>
      </c>
      <c r="B844" s="32" t="s">
        <v>1172</v>
      </c>
    </row>
    <row r="845" customFormat="false" ht="15" hidden="false" customHeight="false" outlineLevel="0" collapsed="false">
      <c r="A845" s="28" t="n">
        <v>844</v>
      </c>
      <c r="B845" s="32" t="s">
        <v>1173</v>
      </c>
    </row>
    <row r="846" customFormat="false" ht="15" hidden="false" customHeight="false" outlineLevel="0" collapsed="false">
      <c r="A846" s="28" t="n">
        <v>845</v>
      </c>
      <c r="B846" s="32" t="s">
        <v>1174</v>
      </c>
    </row>
    <row r="847" customFormat="false" ht="15" hidden="false" customHeight="false" outlineLevel="0" collapsed="false">
      <c r="A847" s="28" t="n">
        <v>846</v>
      </c>
      <c r="B847" s="32" t="s">
        <v>1175</v>
      </c>
    </row>
    <row r="848" customFormat="false" ht="15" hidden="false" customHeight="false" outlineLevel="0" collapsed="false">
      <c r="A848" s="28" t="n">
        <v>847</v>
      </c>
      <c r="B848" s="32" t="s">
        <v>1176</v>
      </c>
    </row>
    <row r="849" customFormat="false" ht="15" hidden="false" customHeight="false" outlineLevel="0" collapsed="false">
      <c r="A849" s="28" t="n">
        <v>848</v>
      </c>
      <c r="B849" s="32" t="s">
        <v>1177</v>
      </c>
    </row>
    <row r="850" customFormat="false" ht="15" hidden="false" customHeight="false" outlineLevel="0" collapsed="false">
      <c r="A850" s="28" t="n">
        <v>849</v>
      </c>
      <c r="B850" s="32" t="s">
        <v>1178</v>
      </c>
    </row>
    <row r="851" customFormat="false" ht="15" hidden="false" customHeight="false" outlineLevel="0" collapsed="false">
      <c r="A851" s="28" t="n">
        <v>850</v>
      </c>
      <c r="B851" s="32" t="s">
        <v>1179</v>
      </c>
    </row>
    <row r="852" customFormat="false" ht="15" hidden="false" customHeight="false" outlineLevel="0" collapsed="false">
      <c r="A852" s="28" t="n">
        <v>851</v>
      </c>
      <c r="B852" s="32" t="s">
        <v>1180</v>
      </c>
    </row>
    <row r="853" customFormat="false" ht="15" hidden="false" customHeight="false" outlineLevel="0" collapsed="false">
      <c r="A853" s="28" t="n">
        <v>852</v>
      </c>
      <c r="B853" s="32" t="s">
        <v>1181</v>
      </c>
    </row>
    <row r="854" customFormat="false" ht="15" hidden="false" customHeight="false" outlineLevel="0" collapsed="false">
      <c r="A854" s="28" t="n">
        <v>853</v>
      </c>
      <c r="B854" s="32" t="s">
        <v>1182</v>
      </c>
    </row>
    <row r="855" customFormat="false" ht="15" hidden="false" customHeight="false" outlineLevel="0" collapsed="false">
      <c r="A855" s="28" t="n">
        <v>854</v>
      </c>
      <c r="B855" s="32" t="s">
        <v>1183</v>
      </c>
    </row>
    <row r="856" customFormat="false" ht="15" hidden="false" customHeight="false" outlineLevel="0" collapsed="false">
      <c r="A856" s="28" t="n">
        <v>855</v>
      </c>
      <c r="B856" s="32" t="s">
        <v>1184</v>
      </c>
    </row>
    <row r="857" customFormat="false" ht="15" hidden="false" customHeight="false" outlineLevel="0" collapsed="false">
      <c r="A857" s="28" t="n">
        <v>856</v>
      </c>
      <c r="B857" s="32" t="s">
        <v>1185</v>
      </c>
    </row>
    <row r="858" customFormat="false" ht="15" hidden="false" customHeight="false" outlineLevel="0" collapsed="false">
      <c r="A858" s="28" t="n">
        <v>857</v>
      </c>
      <c r="B858" s="32" t="s">
        <v>1186</v>
      </c>
    </row>
    <row r="859" customFormat="false" ht="15" hidden="false" customHeight="false" outlineLevel="0" collapsed="false">
      <c r="A859" s="28" t="n">
        <v>858</v>
      </c>
      <c r="B859" s="32" t="s">
        <v>1187</v>
      </c>
    </row>
    <row r="860" customFormat="false" ht="15" hidden="false" customHeight="false" outlineLevel="0" collapsed="false">
      <c r="A860" s="28" t="n">
        <v>859</v>
      </c>
      <c r="B860" s="32" t="s">
        <v>1188</v>
      </c>
    </row>
    <row r="861" customFormat="false" ht="15" hidden="false" customHeight="false" outlineLevel="0" collapsed="false">
      <c r="A861" s="28" t="n">
        <v>860</v>
      </c>
      <c r="B861" s="32" t="s">
        <v>1189</v>
      </c>
    </row>
    <row r="862" customFormat="false" ht="15" hidden="false" customHeight="false" outlineLevel="0" collapsed="false">
      <c r="A862" s="28" t="n">
        <v>861</v>
      </c>
      <c r="B862" s="32" t="s">
        <v>1190</v>
      </c>
    </row>
    <row r="863" customFormat="false" ht="15" hidden="false" customHeight="false" outlineLevel="0" collapsed="false">
      <c r="A863" s="28" t="n">
        <v>862</v>
      </c>
      <c r="B863" s="32" t="s">
        <v>1191</v>
      </c>
    </row>
    <row r="864" customFormat="false" ht="15" hidden="false" customHeight="false" outlineLevel="0" collapsed="false">
      <c r="A864" s="28" t="n">
        <v>863</v>
      </c>
      <c r="B864" s="32" t="s">
        <v>1192</v>
      </c>
    </row>
    <row r="865" customFormat="false" ht="15" hidden="false" customHeight="false" outlineLevel="0" collapsed="false">
      <c r="A865" s="28" t="n">
        <v>864</v>
      </c>
      <c r="B865" s="32" t="s">
        <v>1193</v>
      </c>
    </row>
    <row r="866" customFormat="false" ht="15" hidden="false" customHeight="false" outlineLevel="0" collapsed="false">
      <c r="A866" s="28" t="n">
        <v>865</v>
      </c>
      <c r="B866" s="32" t="s">
        <v>1194</v>
      </c>
    </row>
    <row r="867" customFormat="false" ht="15" hidden="false" customHeight="false" outlineLevel="0" collapsed="false">
      <c r="A867" s="28" t="n">
        <v>866</v>
      </c>
      <c r="B867" s="32" t="s">
        <v>1195</v>
      </c>
    </row>
    <row r="868" customFormat="false" ht="15" hidden="false" customHeight="false" outlineLevel="0" collapsed="false">
      <c r="A868" s="28" t="n">
        <v>867</v>
      </c>
      <c r="B868" s="32" t="s">
        <v>1196</v>
      </c>
    </row>
    <row r="869" customFormat="false" ht="15" hidden="false" customHeight="false" outlineLevel="0" collapsed="false">
      <c r="A869" s="28" t="n">
        <v>868</v>
      </c>
      <c r="B869" s="32" t="s">
        <v>1197</v>
      </c>
    </row>
    <row r="870" customFormat="false" ht="15" hidden="false" customHeight="false" outlineLevel="0" collapsed="false">
      <c r="A870" s="28" t="n">
        <v>869</v>
      </c>
      <c r="B870" s="32" t="s">
        <v>1198</v>
      </c>
    </row>
    <row r="871" customFormat="false" ht="15" hidden="false" customHeight="false" outlineLevel="0" collapsed="false">
      <c r="A871" s="28" t="n">
        <v>870</v>
      </c>
      <c r="B871" s="32" t="s">
        <v>1199</v>
      </c>
    </row>
    <row r="872" customFormat="false" ht="15" hidden="false" customHeight="false" outlineLevel="0" collapsed="false">
      <c r="A872" s="28" t="n">
        <v>871</v>
      </c>
      <c r="B872" s="32" t="s">
        <v>1200</v>
      </c>
    </row>
    <row r="873" customFormat="false" ht="15" hidden="false" customHeight="false" outlineLevel="0" collapsed="false">
      <c r="A873" s="28" t="n">
        <v>872</v>
      </c>
      <c r="B873" s="32" t="s">
        <v>1201</v>
      </c>
    </row>
    <row r="874" customFormat="false" ht="15" hidden="false" customHeight="false" outlineLevel="0" collapsed="false">
      <c r="A874" s="28" t="n">
        <v>873</v>
      </c>
      <c r="B874" s="32" t="s">
        <v>1202</v>
      </c>
    </row>
    <row r="875" customFormat="false" ht="15" hidden="false" customHeight="false" outlineLevel="0" collapsed="false">
      <c r="A875" s="28" t="n">
        <v>874</v>
      </c>
      <c r="B875" s="32" t="s">
        <v>1203</v>
      </c>
    </row>
    <row r="876" customFormat="false" ht="15" hidden="false" customHeight="false" outlineLevel="0" collapsed="false">
      <c r="A876" s="28" t="n">
        <v>875</v>
      </c>
      <c r="B876" s="32" t="s">
        <v>1204</v>
      </c>
    </row>
    <row r="877" customFormat="false" ht="15" hidden="false" customHeight="false" outlineLevel="0" collapsed="false">
      <c r="A877" s="28" t="n">
        <v>876</v>
      </c>
      <c r="B877" s="32" t="s">
        <v>1205</v>
      </c>
    </row>
    <row r="878" customFormat="false" ht="15" hidden="false" customHeight="false" outlineLevel="0" collapsed="false">
      <c r="A878" s="28" t="n">
        <v>877</v>
      </c>
      <c r="B878" s="32" t="s">
        <v>1206</v>
      </c>
    </row>
    <row r="879" customFormat="false" ht="15" hidden="false" customHeight="false" outlineLevel="0" collapsed="false">
      <c r="A879" s="28" t="n">
        <v>878</v>
      </c>
      <c r="B879" s="32" t="s">
        <v>1207</v>
      </c>
    </row>
    <row r="880" customFormat="false" ht="15" hidden="false" customHeight="false" outlineLevel="0" collapsed="false">
      <c r="A880" s="28" t="n">
        <v>879</v>
      </c>
      <c r="B880" s="32" t="s">
        <v>1208</v>
      </c>
    </row>
    <row r="881" customFormat="false" ht="15" hidden="false" customHeight="false" outlineLevel="0" collapsed="false">
      <c r="A881" s="28" t="n">
        <v>880</v>
      </c>
      <c r="B881" s="32" t="s">
        <v>1209</v>
      </c>
    </row>
    <row r="882" customFormat="false" ht="15" hidden="false" customHeight="false" outlineLevel="0" collapsed="false">
      <c r="A882" s="28" t="n">
        <v>881</v>
      </c>
      <c r="B882" s="32" t="s">
        <v>1210</v>
      </c>
    </row>
    <row r="883" customFormat="false" ht="15" hidden="false" customHeight="false" outlineLevel="0" collapsed="false">
      <c r="A883" s="28" t="n">
        <v>882</v>
      </c>
      <c r="B883" s="32" t="s">
        <v>1211</v>
      </c>
    </row>
    <row r="884" customFormat="false" ht="15" hidden="false" customHeight="false" outlineLevel="0" collapsed="false">
      <c r="A884" s="28" t="n">
        <v>883</v>
      </c>
      <c r="B884" s="32" t="s">
        <v>1212</v>
      </c>
    </row>
    <row r="885" customFormat="false" ht="15" hidden="false" customHeight="false" outlineLevel="0" collapsed="false">
      <c r="A885" s="28" t="n">
        <v>884</v>
      </c>
      <c r="B885" s="32" t="s">
        <v>1213</v>
      </c>
    </row>
    <row r="886" customFormat="false" ht="15" hidden="false" customHeight="false" outlineLevel="0" collapsed="false">
      <c r="A886" s="28" t="n">
        <v>885</v>
      </c>
      <c r="B886" s="32" t="s">
        <v>1214</v>
      </c>
    </row>
    <row r="887" customFormat="false" ht="15" hidden="false" customHeight="false" outlineLevel="0" collapsed="false">
      <c r="A887" s="28" t="n">
        <v>886</v>
      </c>
      <c r="B887" s="32" t="s">
        <v>1215</v>
      </c>
    </row>
    <row r="888" customFormat="false" ht="15" hidden="false" customHeight="false" outlineLevel="0" collapsed="false">
      <c r="A888" s="28" t="n">
        <v>887</v>
      </c>
      <c r="B888" s="32" t="s">
        <v>1216</v>
      </c>
    </row>
    <row r="889" customFormat="false" ht="15" hidden="false" customHeight="false" outlineLevel="0" collapsed="false">
      <c r="A889" s="28" t="n">
        <v>888</v>
      </c>
      <c r="B889" s="32" t="s">
        <v>1217</v>
      </c>
    </row>
    <row r="890" customFormat="false" ht="15" hidden="false" customHeight="false" outlineLevel="0" collapsed="false">
      <c r="A890" s="28" t="n">
        <v>889</v>
      </c>
      <c r="B890" s="32" t="s">
        <v>1218</v>
      </c>
    </row>
    <row r="891" customFormat="false" ht="15" hidden="false" customHeight="false" outlineLevel="0" collapsed="false">
      <c r="A891" s="28" t="n">
        <v>890</v>
      </c>
      <c r="B891" s="32" t="s">
        <v>1219</v>
      </c>
    </row>
    <row r="892" customFormat="false" ht="15" hidden="false" customHeight="false" outlineLevel="0" collapsed="false">
      <c r="A892" s="28" t="n">
        <v>891</v>
      </c>
      <c r="B892" s="32" t="s">
        <v>1220</v>
      </c>
    </row>
    <row r="893" customFormat="false" ht="15" hidden="false" customHeight="false" outlineLevel="0" collapsed="false">
      <c r="A893" s="28" t="n">
        <v>892</v>
      </c>
      <c r="B893" s="32" t="s">
        <v>1221</v>
      </c>
    </row>
    <row r="894" customFormat="false" ht="15" hidden="false" customHeight="false" outlineLevel="0" collapsed="false">
      <c r="A894" s="28" t="n">
        <v>893</v>
      </c>
      <c r="B894" s="32" t="s">
        <v>1222</v>
      </c>
    </row>
    <row r="895" customFormat="false" ht="15" hidden="false" customHeight="false" outlineLevel="0" collapsed="false">
      <c r="A895" s="28" t="n">
        <v>894</v>
      </c>
      <c r="B895" s="32" t="s">
        <v>1223</v>
      </c>
    </row>
    <row r="896" customFormat="false" ht="15" hidden="false" customHeight="false" outlineLevel="0" collapsed="false">
      <c r="A896" s="28" t="n">
        <v>895</v>
      </c>
      <c r="B896" s="32" t="s">
        <v>1224</v>
      </c>
    </row>
    <row r="897" customFormat="false" ht="15" hidden="false" customHeight="false" outlineLevel="0" collapsed="false">
      <c r="A897" s="28" t="n">
        <v>896</v>
      </c>
      <c r="B897" s="32" t="s">
        <v>1225</v>
      </c>
    </row>
    <row r="898" customFormat="false" ht="15" hidden="false" customHeight="false" outlineLevel="0" collapsed="false">
      <c r="A898" s="28" t="n">
        <v>897</v>
      </c>
      <c r="B898" s="32" t="s">
        <v>1226</v>
      </c>
    </row>
    <row r="899" customFormat="false" ht="15" hidden="false" customHeight="false" outlineLevel="0" collapsed="false">
      <c r="A899" s="28" t="n">
        <v>898</v>
      </c>
      <c r="B899" s="32" t="s">
        <v>1227</v>
      </c>
    </row>
    <row r="900" customFormat="false" ht="15" hidden="false" customHeight="false" outlineLevel="0" collapsed="false">
      <c r="A900" s="28" t="n">
        <v>899</v>
      </c>
      <c r="B900" s="32" t="s">
        <v>1228</v>
      </c>
    </row>
    <row r="901" customFormat="false" ht="15" hidden="false" customHeight="false" outlineLevel="0" collapsed="false">
      <c r="A901" s="28" t="n">
        <v>900</v>
      </c>
      <c r="B901" s="32" t="s">
        <v>1229</v>
      </c>
    </row>
    <row r="902" customFormat="false" ht="15" hidden="false" customHeight="false" outlineLevel="0" collapsed="false">
      <c r="A902" s="28" t="n">
        <v>901</v>
      </c>
      <c r="B902" s="32" t="s">
        <v>1230</v>
      </c>
    </row>
    <row r="903" customFormat="false" ht="15" hidden="false" customHeight="false" outlineLevel="0" collapsed="false">
      <c r="A903" s="28" t="n">
        <v>902</v>
      </c>
      <c r="B903" s="32" t="s">
        <v>1231</v>
      </c>
    </row>
    <row r="904" customFormat="false" ht="15" hidden="false" customHeight="false" outlineLevel="0" collapsed="false">
      <c r="A904" s="28" t="n">
        <v>903</v>
      </c>
      <c r="B904" s="32" t="s">
        <v>1232</v>
      </c>
    </row>
    <row r="905" customFormat="false" ht="15" hidden="false" customHeight="false" outlineLevel="0" collapsed="false">
      <c r="A905" s="28" t="n">
        <v>904</v>
      </c>
      <c r="B905" s="32" t="s">
        <v>1233</v>
      </c>
    </row>
    <row r="906" customFormat="false" ht="15" hidden="false" customHeight="false" outlineLevel="0" collapsed="false">
      <c r="A906" s="28" t="n">
        <v>905</v>
      </c>
      <c r="B906" s="32" t="s">
        <v>1234</v>
      </c>
    </row>
    <row r="907" customFormat="false" ht="15" hidden="false" customHeight="false" outlineLevel="0" collapsed="false">
      <c r="A907" s="28" t="n">
        <v>906</v>
      </c>
      <c r="B907" s="32" t="s">
        <v>1235</v>
      </c>
    </row>
    <row r="908" customFormat="false" ht="15" hidden="false" customHeight="false" outlineLevel="0" collapsed="false">
      <c r="A908" s="28" t="n">
        <v>907</v>
      </c>
      <c r="B908" s="32" t="s">
        <v>1236</v>
      </c>
    </row>
    <row r="909" customFormat="false" ht="15" hidden="false" customHeight="false" outlineLevel="0" collapsed="false">
      <c r="A909" s="28" t="n">
        <v>908</v>
      </c>
      <c r="B909" s="32" t="s">
        <v>1237</v>
      </c>
    </row>
    <row r="910" customFormat="false" ht="15" hidden="false" customHeight="false" outlineLevel="0" collapsed="false">
      <c r="A910" s="28" t="n">
        <v>909</v>
      </c>
      <c r="B910" s="32" t="s">
        <v>1238</v>
      </c>
    </row>
    <row r="911" customFormat="false" ht="15" hidden="false" customHeight="false" outlineLevel="0" collapsed="false">
      <c r="A911" s="28" t="n">
        <v>910</v>
      </c>
      <c r="B911" s="32" t="s">
        <v>1239</v>
      </c>
    </row>
    <row r="912" customFormat="false" ht="15" hidden="false" customHeight="false" outlineLevel="0" collapsed="false">
      <c r="A912" s="28" t="n">
        <v>911</v>
      </c>
      <c r="B912" s="32" t="s">
        <v>1240</v>
      </c>
    </row>
    <row r="913" customFormat="false" ht="15" hidden="false" customHeight="false" outlineLevel="0" collapsed="false">
      <c r="A913" s="28" t="n">
        <v>912</v>
      </c>
      <c r="B913" s="32" t="s">
        <v>1241</v>
      </c>
    </row>
    <row r="914" customFormat="false" ht="15" hidden="false" customHeight="false" outlineLevel="0" collapsed="false">
      <c r="A914" s="28" t="n">
        <v>913</v>
      </c>
      <c r="B914" s="32" t="s">
        <v>1242</v>
      </c>
    </row>
    <row r="915" customFormat="false" ht="15" hidden="false" customHeight="false" outlineLevel="0" collapsed="false">
      <c r="A915" s="28" t="n">
        <v>914</v>
      </c>
      <c r="B915" s="32" t="s">
        <v>1243</v>
      </c>
    </row>
    <row r="916" customFormat="false" ht="15" hidden="false" customHeight="false" outlineLevel="0" collapsed="false">
      <c r="A916" s="28" t="n">
        <v>915</v>
      </c>
      <c r="B916" s="32" t="s">
        <v>1244</v>
      </c>
    </row>
    <row r="917" customFormat="false" ht="15" hidden="false" customHeight="false" outlineLevel="0" collapsed="false">
      <c r="A917" s="28" t="n">
        <v>916</v>
      </c>
      <c r="B917" s="32" t="s">
        <v>1245</v>
      </c>
    </row>
    <row r="918" customFormat="false" ht="15" hidden="false" customHeight="false" outlineLevel="0" collapsed="false">
      <c r="A918" s="28" t="n">
        <v>917</v>
      </c>
      <c r="B918" s="32" t="s">
        <v>1246</v>
      </c>
    </row>
    <row r="919" customFormat="false" ht="15" hidden="false" customHeight="false" outlineLevel="0" collapsed="false">
      <c r="A919" s="28" t="n">
        <v>918</v>
      </c>
      <c r="B919" s="32" t="s">
        <v>1247</v>
      </c>
    </row>
    <row r="920" customFormat="false" ht="15" hidden="false" customHeight="false" outlineLevel="0" collapsed="false">
      <c r="A920" s="28" t="n">
        <v>919</v>
      </c>
      <c r="B920" s="32" t="s">
        <v>1248</v>
      </c>
    </row>
    <row r="921" customFormat="false" ht="15" hidden="false" customHeight="false" outlineLevel="0" collapsed="false">
      <c r="A921" s="28" t="n">
        <v>920</v>
      </c>
      <c r="B921" s="32" t="s">
        <v>1249</v>
      </c>
    </row>
    <row r="922" customFormat="false" ht="15" hidden="false" customHeight="false" outlineLevel="0" collapsed="false">
      <c r="A922" s="28" t="n">
        <v>921</v>
      </c>
      <c r="B922" s="32" t="s">
        <v>1250</v>
      </c>
    </row>
    <row r="923" customFormat="false" ht="15" hidden="false" customHeight="false" outlineLevel="0" collapsed="false">
      <c r="A923" s="28" t="n">
        <v>922</v>
      </c>
      <c r="B923" s="32" t="s">
        <v>1251</v>
      </c>
    </row>
    <row r="924" customFormat="false" ht="15" hidden="false" customHeight="false" outlineLevel="0" collapsed="false">
      <c r="A924" s="28" t="n">
        <v>923</v>
      </c>
      <c r="B924" s="32" t="s">
        <v>1252</v>
      </c>
    </row>
    <row r="925" customFormat="false" ht="15" hidden="false" customHeight="false" outlineLevel="0" collapsed="false">
      <c r="A925" s="28" t="n">
        <v>924</v>
      </c>
      <c r="B925" s="32" t="s">
        <v>1253</v>
      </c>
    </row>
    <row r="926" customFormat="false" ht="15" hidden="false" customHeight="false" outlineLevel="0" collapsed="false">
      <c r="A926" s="28" t="n">
        <v>925</v>
      </c>
      <c r="B926" s="32" t="s">
        <v>1254</v>
      </c>
    </row>
    <row r="927" customFormat="false" ht="15" hidden="false" customHeight="false" outlineLevel="0" collapsed="false">
      <c r="A927" s="28" t="n">
        <v>926</v>
      </c>
      <c r="B927" s="32" t="s">
        <v>1255</v>
      </c>
    </row>
    <row r="928" customFormat="false" ht="15" hidden="false" customHeight="false" outlineLevel="0" collapsed="false">
      <c r="A928" s="28" t="n">
        <v>927</v>
      </c>
      <c r="B928" s="32" t="s">
        <v>1256</v>
      </c>
    </row>
    <row r="929" customFormat="false" ht="15" hidden="false" customHeight="false" outlineLevel="0" collapsed="false">
      <c r="A929" s="28" t="n">
        <v>928</v>
      </c>
      <c r="B929" s="32" t="s">
        <v>1257</v>
      </c>
    </row>
    <row r="930" customFormat="false" ht="15" hidden="false" customHeight="false" outlineLevel="0" collapsed="false">
      <c r="A930" s="28" t="n">
        <v>929</v>
      </c>
      <c r="B930" s="32" t="s">
        <v>1258</v>
      </c>
    </row>
    <row r="931" customFormat="false" ht="15" hidden="false" customHeight="false" outlineLevel="0" collapsed="false">
      <c r="A931" s="28" t="n">
        <v>930</v>
      </c>
      <c r="B931" s="32" t="s">
        <v>1259</v>
      </c>
    </row>
    <row r="932" customFormat="false" ht="15" hidden="false" customHeight="false" outlineLevel="0" collapsed="false">
      <c r="A932" s="28" t="n">
        <v>931</v>
      </c>
      <c r="B932" s="32" t="s">
        <v>1260</v>
      </c>
    </row>
    <row r="933" customFormat="false" ht="15" hidden="false" customHeight="false" outlineLevel="0" collapsed="false">
      <c r="A933" s="28" t="n">
        <v>932</v>
      </c>
      <c r="B933" s="32" t="s">
        <v>1261</v>
      </c>
    </row>
    <row r="934" customFormat="false" ht="15" hidden="false" customHeight="false" outlineLevel="0" collapsed="false">
      <c r="A934" s="28" t="n">
        <v>933</v>
      </c>
      <c r="B934" s="32" t="s">
        <v>1262</v>
      </c>
    </row>
    <row r="935" customFormat="false" ht="15" hidden="false" customHeight="false" outlineLevel="0" collapsed="false">
      <c r="A935" s="28" t="n">
        <v>934</v>
      </c>
      <c r="B935" s="32" t="s">
        <v>1263</v>
      </c>
    </row>
    <row r="936" customFormat="false" ht="15" hidden="false" customHeight="false" outlineLevel="0" collapsed="false">
      <c r="A936" s="28" t="n">
        <v>935</v>
      </c>
      <c r="B936" s="32" t="s">
        <v>1264</v>
      </c>
    </row>
    <row r="937" customFormat="false" ht="15" hidden="false" customHeight="false" outlineLevel="0" collapsed="false">
      <c r="A937" s="28" t="n">
        <v>936</v>
      </c>
      <c r="B937" s="32" t="s">
        <v>1265</v>
      </c>
    </row>
    <row r="938" customFormat="false" ht="15" hidden="false" customHeight="false" outlineLevel="0" collapsed="false">
      <c r="A938" s="28" t="n">
        <v>937</v>
      </c>
      <c r="B938" s="32" t="s">
        <v>1266</v>
      </c>
    </row>
    <row r="939" customFormat="false" ht="15" hidden="false" customHeight="false" outlineLevel="0" collapsed="false">
      <c r="A939" s="28" t="n">
        <v>938</v>
      </c>
      <c r="B939" s="32" t="s">
        <v>1267</v>
      </c>
    </row>
    <row r="940" customFormat="false" ht="15" hidden="false" customHeight="false" outlineLevel="0" collapsed="false">
      <c r="A940" s="28" t="n">
        <v>939</v>
      </c>
      <c r="B940" s="32" t="s">
        <v>1268</v>
      </c>
    </row>
    <row r="941" customFormat="false" ht="15" hidden="false" customHeight="false" outlineLevel="0" collapsed="false">
      <c r="A941" s="28" t="n">
        <v>940</v>
      </c>
      <c r="B941" s="32" t="s">
        <v>1269</v>
      </c>
    </row>
    <row r="942" customFormat="false" ht="15" hidden="false" customHeight="false" outlineLevel="0" collapsed="false">
      <c r="A942" s="28" t="n">
        <v>941</v>
      </c>
      <c r="B942" s="32" t="s">
        <v>1270</v>
      </c>
    </row>
    <row r="943" customFormat="false" ht="15" hidden="false" customHeight="false" outlineLevel="0" collapsed="false">
      <c r="A943" s="28" t="n">
        <v>942</v>
      </c>
      <c r="B943" s="32" t="s">
        <v>1271</v>
      </c>
    </row>
    <row r="944" customFormat="false" ht="15" hidden="false" customHeight="false" outlineLevel="0" collapsed="false">
      <c r="A944" s="28" t="n">
        <v>943</v>
      </c>
      <c r="B944" s="32" t="s">
        <v>1272</v>
      </c>
    </row>
    <row r="945" customFormat="false" ht="15" hidden="false" customHeight="false" outlineLevel="0" collapsed="false">
      <c r="A945" s="28" t="n">
        <v>944</v>
      </c>
      <c r="B945" s="32" t="s">
        <v>1273</v>
      </c>
    </row>
    <row r="946" customFormat="false" ht="15" hidden="false" customHeight="false" outlineLevel="0" collapsed="false">
      <c r="A946" s="28" t="n">
        <v>945</v>
      </c>
      <c r="B946" s="32" t="s">
        <v>1274</v>
      </c>
    </row>
    <row r="947" customFormat="false" ht="15" hidden="false" customHeight="false" outlineLevel="0" collapsed="false">
      <c r="A947" s="28" t="n">
        <v>946</v>
      </c>
      <c r="B947" s="32" t="s">
        <v>1275</v>
      </c>
    </row>
    <row r="948" customFormat="false" ht="15" hidden="false" customHeight="false" outlineLevel="0" collapsed="false">
      <c r="A948" s="28" t="n">
        <v>947</v>
      </c>
      <c r="B948" s="32" t="s">
        <v>1276</v>
      </c>
    </row>
    <row r="949" customFormat="false" ht="15" hidden="false" customHeight="false" outlineLevel="0" collapsed="false">
      <c r="A949" s="28" t="n">
        <v>948</v>
      </c>
      <c r="B949" s="32" t="s">
        <v>1277</v>
      </c>
    </row>
    <row r="950" customFormat="false" ht="15" hidden="false" customHeight="false" outlineLevel="0" collapsed="false">
      <c r="A950" s="28" t="n">
        <v>949</v>
      </c>
      <c r="B950" s="32" t="s">
        <v>1278</v>
      </c>
    </row>
    <row r="951" customFormat="false" ht="15" hidden="false" customHeight="false" outlineLevel="0" collapsed="false">
      <c r="A951" s="28" t="n">
        <v>950</v>
      </c>
      <c r="B951" s="32" t="s">
        <v>1279</v>
      </c>
    </row>
    <row r="952" customFormat="false" ht="15" hidden="false" customHeight="false" outlineLevel="0" collapsed="false">
      <c r="A952" s="28" t="n">
        <v>951</v>
      </c>
      <c r="B952" s="32" t="s">
        <v>1280</v>
      </c>
    </row>
    <row r="953" customFormat="false" ht="15" hidden="false" customHeight="false" outlineLevel="0" collapsed="false">
      <c r="A953" s="28" t="n">
        <v>952</v>
      </c>
      <c r="B953" s="32" t="s">
        <v>1281</v>
      </c>
    </row>
    <row r="954" customFormat="false" ht="15" hidden="false" customHeight="false" outlineLevel="0" collapsed="false">
      <c r="A954" s="28" t="n">
        <v>953</v>
      </c>
      <c r="B954" s="32" t="s">
        <v>1282</v>
      </c>
    </row>
    <row r="955" customFormat="false" ht="15" hidden="false" customHeight="false" outlineLevel="0" collapsed="false">
      <c r="A955" s="28" t="n">
        <v>954</v>
      </c>
      <c r="B955" s="32" t="s">
        <v>1283</v>
      </c>
    </row>
    <row r="956" customFormat="false" ht="15" hidden="false" customHeight="false" outlineLevel="0" collapsed="false">
      <c r="A956" s="28" t="n">
        <v>955</v>
      </c>
      <c r="B956" s="32" t="s">
        <v>1284</v>
      </c>
    </row>
    <row r="957" customFormat="false" ht="15" hidden="false" customHeight="false" outlineLevel="0" collapsed="false">
      <c r="A957" s="28" t="n">
        <v>956</v>
      </c>
      <c r="B957" s="32" t="s">
        <v>1285</v>
      </c>
    </row>
    <row r="958" customFormat="false" ht="15" hidden="false" customHeight="false" outlineLevel="0" collapsed="false">
      <c r="A958" s="28" t="n">
        <v>957</v>
      </c>
      <c r="B958" s="32" t="s">
        <v>1286</v>
      </c>
    </row>
    <row r="959" customFormat="false" ht="15" hidden="false" customHeight="false" outlineLevel="0" collapsed="false">
      <c r="A959" s="28" t="n">
        <v>958</v>
      </c>
      <c r="B959" s="32" t="s">
        <v>1287</v>
      </c>
    </row>
    <row r="960" customFormat="false" ht="15" hidden="false" customHeight="false" outlineLevel="0" collapsed="false">
      <c r="A960" s="28" t="n">
        <v>959</v>
      </c>
      <c r="B960" s="32" t="s">
        <v>1288</v>
      </c>
    </row>
    <row r="961" customFormat="false" ht="15" hidden="false" customHeight="false" outlineLevel="0" collapsed="false">
      <c r="A961" s="28" t="n">
        <v>960</v>
      </c>
      <c r="B961" s="32" t="s">
        <v>1289</v>
      </c>
    </row>
    <row r="962" customFormat="false" ht="15" hidden="false" customHeight="false" outlineLevel="0" collapsed="false">
      <c r="A962" s="28" t="n">
        <v>961</v>
      </c>
      <c r="B962" s="32" t="s">
        <v>1290</v>
      </c>
    </row>
    <row r="963" customFormat="false" ht="15" hidden="false" customHeight="false" outlineLevel="0" collapsed="false">
      <c r="A963" s="28" t="n">
        <v>962</v>
      </c>
      <c r="B963" s="32" t="s">
        <v>1291</v>
      </c>
    </row>
    <row r="964" customFormat="false" ht="15" hidden="false" customHeight="false" outlineLevel="0" collapsed="false">
      <c r="A964" s="28" t="n">
        <v>963</v>
      </c>
      <c r="B964" s="32" t="s">
        <v>1292</v>
      </c>
    </row>
    <row r="965" customFormat="false" ht="15" hidden="false" customHeight="false" outlineLevel="0" collapsed="false">
      <c r="A965" s="28" t="n">
        <v>964</v>
      </c>
      <c r="B965" s="32" t="s">
        <v>1293</v>
      </c>
    </row>
    <row r="966" customFormat="false" ht="15" hidden="false" customHeight="false" outlineLevel="0" collapsed="false">
      <c r="A966" s="28" t="n">
        <v>965</v>
      </c>
      <c r="B966" s="32" t="s">
        <v>1294</v>
      </c>
    </row>
    <row r="967" customFormat="false" ht="15" hidden="false" customHeight="false" outlineLevel="0" collapsed="false">
      <c r="A967" s="28" t="n">
        <v>966</v>
      </c>
      <c r="B967" s="32" t="s">
        <v>1295</v>
      </c>
    </row>
    <row r="968" customFormat="false" ht="15" hidden="false" customHeight="false" outlineLevel="0" collapsed="false">
      <c r="A968" s="28" t="n">
        <v>967</v>
      </c>
      <c r="B968" s="32" t="s">
        <v>1296</v>
      </c>
    </row>
    <row r="969" customFormat="false" ht="15" hidden="false" customHeight="false" outlineLevel="0" collapsed="false">
      <c r="A969" s="28" t="n">
        <v>968</v>
      </c>
      <c r="B969" s="32" t="s">
        <v>1297</v>
      </c>
    </row>
    <row r="970" customFormat="false" ht="15" hidden="false" customHeight="false" outlineLevel="0" collapsed="false">
      <c r="A970" s="28" t="n">
        <v>969</v>
      </c>
      <c r="B970" s="32" t="s">
        <v>1298</v>
      </c>
    </row>
    <row r="971" customFormat="false" ht="15" hidden="false" customHeight="false" outlineLevel="0" collapsed="false">
      <c r="A971" s="28" t="n">
        <v>970</v>
      </c>
      <c r="B971" s="32" t="s">
        <v>1299</v>
      </c>
    </row>
    <row r="972" customFormat="false" ht="15" hidden="false" customHeight="false" outlineLevel="0" collapsed="false">
      <c r="A972" s="28" t="n">
        <v>971</v>
      </c>
      <c r="B972" s="32" t="s">
        <v>1300</v>
      </c>
    </row>
    <row r="973" customFormat="false" ht="15" hidden="false" customHeight="false" outlineLevel="0" collapsed="false">
      <c r="A973" s="28" t="n">
        <v>972</v>
      </c>
      <c r="B973" s="32" t="s">
        <v>1301</v>
      </c>
    </row>
    <row r="974" customFormat="false" ht="15" hidden="false" customHeight="false" outlineLevel="0" collapsed="false">
      <c r="A974" s="28" t="n">
        <v>973</v>
      </c>
      <c r="B974" s="32" t="s">
        <v>1302</v>
      </c>
    </row>
    <row r="975" customFormat="false" ht="15" hidden="false" customHeight="false" outlineLevel="0" collapsed="false">
      <c r="A975" s="28" t="n">
        <v>974</v>
      </c>
      <c r="B975" s="32" t="s">
        <v>1303</v>
      </c>
    </row>
    <row r="976" customFormat="false" ht="15" hidden="false" customHeight="false" outlineLevel="0" collapsed="false">
      <c r="A976" s="28" t="n">
        <v>975</v>
      </c>
      <c r="B976" s="32" t="s">
        <v>1304</v>
      </c>
    </row>
    <row r="977" customFormat="false" ht="15" hidden="false" customHeight="false" outlineLevel="0" collapsed="false">
      <c r="A977" s="28" t="n">
        <v>976</v>
      </c>
      <c r="B977" s="32" t="s">
        <v>1305</v>
      </c>
    </row>
    <row r="978" customFormat="false" ht="15" hidden="false" customHeight="false" outlineLevel="0" collapsed="false">
      <c r="A978" s="28" t="n">
        <v>977</v>
      </c>
      <c r="B978" s="32" t="s">
        <v>1306</v>
      </c>
    </row>
    <row r="979" customFormat="false" ht="15" hidden="false" customHeight="false" outlineLevel="0" collapsed="false">
      <c r="A979" s="28" t="n">
        <v>978</v>
      </c>
      <c r="B979" s="32" t="s">
        <v>1307</v>
      </c>
    </row>
    <row r="980" customFormat="false" ht="15" hidden="false" customHeight="false" outlineLevel="0" collapsed="false">
      <c r="A980" s="28" t="n">
        <v>979</v>
      </c>
      <c r="B980" s="32" t="s">
        <v>1308</v>
      </c>
    </row>
    <row r="981" customFormat="false" ht="15" hidden="false" customHeight="false" outlineLevel="0" collapsed="false">
      <c r="A981" s="28" t="n">
        <v>980</v>
      </c>
      <c r="B981" s="32" t="s">
        <v>1309</v>
      </c>
    </row>
    <row r="982" customFormat="false" ht="15" hidden="false" customHeight="false" outlineLevel="0" collapsed="false">
      <c r="A982" s="28" t="n">
        <v>981</v>
      </c>
      <c r="B982" s="32" t="s">
        <v>1310</v>
      </c>
    </row>
    <row r="983" customFormat="false" ht="15" hidden="false" customHeight="false" outlineLevel="0" collapsed="false">
      <c r="A983" s="28" t="n">
        <v>982</v>
      </c>
      <c r="B983" s="32" t="s">
        <v>1311</v>
      </c>
    </row>
    <row r="984" customFormat="false" ht="15" hidden="false" customHeight="false" outlineLevel="0" collapsed="false">
      <c r="A984" s="28" t="n">
        <v>983</v>
      </c>
      <c r="B984" s="32" t="s">
        <v>1312</v>
      </c>
    </row>
    <row r="985" customFormat="false" ht="15" hidden="false" customHeight="false" outlineLevel="0" collapsed="false">
      <c r="A985" s="28" t="n">
        <v>984</v>
      </c>
      <c r="B985" s="32" t="s">
        <v>1313</v>
      </c>
    </row>
    <row r="986" customFormat="false" ht="15" hidden="false" customHeight="false" outlineLevel="0" collapsed="false">
      <c r="A986" s="28" t="n">
        <v>985</v>
      </c>
      <c r="B986" s="32" t="s">
        <v>1314</v>
      </c>
    </row>
    <row r="987" customFormat="false" ht="15" hidden="false" customHeight="false" outlineLevel="0" collapsed="false">
      <c r="A987" s="28" t="n">
        <v>986</v>
      </c>
      <c r="B987" s="32" t="s">
        <v>1315</v>
      </c>
    </row>
    <row r="988" customFormat="false" ht="15" hidden="false" customHeight="false" outlineLevel="0" collapsed="false">
      <c r="A988" s="28" t="n">
        <v>987</v>
      </c>
      <c r="B988" s="32" t="s">
        <v>1316</v>
      </c>
    </row>
    <row r="989" customFormat="false" ht="15" hidden="false" customHeight="false" outlineLevel="0" collapsed="false">
      <c r="A989" s="28" t="n">
        <v>988</v>
      </c>
      <c r="B989" s="32" t="s">
        <v>1317</v>
      </c>
    </row>
    <row r="990" customFormat="false" ht="15" hidden="false" customHeight="false" outlineLevel="0" collapsed="false">
      <c r="A990" s="28" t="n">
        <v>989</v>
      </c>
      <c r="B990" s="32" t="s">
        <v>1318</v>
      </c>
    </row>
    <row r="991" customFormat="false" ht="15" hidden="false" customHeight="false" outlineLevel="0" collapsed="false">
      <c r="A991" s="28" t="n">
        <v>990</v>
      </c>
      <c r="B991" s="32" t="s">
        <v>1319</v>
      </c>
    </row>
    <row r="992" customFormat="false" ht="15" hidden="false" customHeight="false" outlineLevel="0" collapsed="false">
      <c r="A992" s="28" t="n">
        <v>991</v>
      </c>
      <c r="B992" s="32" t="s">
        <v>1320</v>
      </c>
    </row>
    <row r="993" customFormat="false" ht="15" hidden="false" customHeight="false" outlineLevel="0" collapsed="false">
      <c r="A993" s="28" t="n">
        <v>992</v>
      </c>
      <c r="B993" s="32" t="s">
        <v>1321</v>
      </c>
    </row>
    <row r="994" customFormat="false" ht="15" hidden="false" customHeight="false" outlineLevel="0" collapsed="false">
      <c r="A994" s="28" t="n">
        <v>993</v>
      </c>
      <c r="B994" s="32" t="s">
        <v>1322</v>
      </c>
    </row>
    <row r="995" customFormat="false" ht="15" hidden="false" customHeight="false" outlineLevel="0" collapsed="false">
      <c r="A995" s="28" t="n">
        <v>994</v>
      </c>
      <c r="B995" s="32" t="s">
        <v>1323</v>
      </c>
    </row>
    <row r="996" customFormat="false" ht="15" hidden="false" customHeight="false" outlineLevel="0" collapsed="false">
      <c r="A996" s="28" t="n">
        <v>995</v>
      </c>
      <c r="B996" s="32" t="s">
        <v>1324</v>
      </c>
    </row>
    <row r="997" customFormat="false" ht="15" hidden="false" customHeight="false" outlineLevel="0" collapsed="false">
      <c r="A997" s="28" t="n">
        <v>996</v>
      </c>
      <c r="B997" s="32" t="s">
        <v>1325</v>
      </c>
    </row>
    <row r="998" customFormat="false" ht="15" hidden="false" customHeight="false" outlineLevel="0" collapsed="false">
      <c r="A998" s="28" t="n">
        <v>997</v>
      </c>
      <c r="B998" s="32" t="s">
        <v>1326</v>
      </c>
    </row>
    <row r="999" customFormat="false" ht="15" hidden="false" customHeight="false" outlineLevel="0" collapsed="false">
      <c r="A999" s="28" t="n">
        <v>998</v>
      </c>
      <c r="B999" s="32" t="s">
        <v>1327</v>
      </c>
    </row>
    <row r="1000" customFormat="false" ht="15" hidden="false" customHeight="false" outlineLevel="0" collapsed="false">
      <c r="A1000" s="28" t="n">
        <v>999</v>
      </c>
      <c r="B1000" s="32" t="s">
        <v>1328</v>
      </c>
    </row>
    <row r="1001" customFormat="false" ht="15" hidden="false" customHeight="false" outlineLevel="0" collapsed="false">
      <c r="A1001" s="28" t="n">
        <v>1000</v>
      </c>
      <c r="B1001" s="32" t="s">
        <v>1329</v>
      </c>
    </row>
    <row r="1002" customFormat="false" ht="15" hidden="false" customHeight="false" outlineLevel="0" collapsed="false">
      <c r="A1002" s="28" t="n">
        <v>1001</v>
      </c>
      <c r="B1002" s="32" t="s">
        <v>1330</v>
      </c>
    </row>
    <row r="1003" customFormat="false" ht="15" hidden="false" customHeight="false" outlineLevel="0" collapsed="false">
      <c r="A1003" s="28" t="n">
        <v>1002</v>
      </c>
      <c r="B1003" s="32" t="s">
        <v>1331</v>
      </c>
    </row>
    <row r="1004" customFormat="false" ht="15" hidden="false" customHeight="false" outlineLevel="0" collapsed="false">
      <c r="A1004" s="28" t="n">
        <v>1003</v>
      </c>
      <c r="B1004" s="32" t="s">
        <v>1332</v>
      </c>
    </row>
    <row r="1005" customFormat="false" ht="15" hidden="false" customHeight="false" outlineLevel="0" collapsed="false">
      <c r="A1005" s="28" t="n">
        <v>1004</v>
      </c>
      <c r="B1005" s="32" t="s">
        <v>1333</v>
      </c>
    </row>
    <row r="1006" customFormat="false" ht="15" hidden="false" customHeight="false" outlineLevel="0" collapsed="false">
      <c r="A1006" s="28" t="n">
        <v>1005</v>
      </c>
      <c r="B1006" s="32" t="s">
        <v>1334</v>
      </c>
    </row>
    <row r="1007" customFormat="false" ht="15" hidden="false" customHeight="false" outlineLevel="0" collapsed="false">
      <c r="A1007" s="28" t="n">
        <v>1006</v>
      </c>
      <c r="B1007" s="32" t="s">
        <v>1335</v>
      </c>
    </row>
    <row r="1008" customFormat="false" ht="15" hidden="false" customHeight="false" outlineLevel="0" collapsed="false">
      <c r="A1008" s="28" t="n">
        <v>1007</v>
      </c>
      <c r="B1008" s="32" t="s">
        <v>1336</v>
      </c>
    </row>
    <row r="1009" customFormat="false" ht="15" hidden="false" customHeight="false" outlineLevel="0" collapsed="false">
      <c r="A1009" s="28" t="n">
        <v>1008</v>
      </c>
      <c r="B1009" s="32" t="s">
        <v>1337</v>
      </c>
    </row>
    <row r="1010" customFormat="false" ht="15" hidden="false" customHeight="false" outlineLevel="0" collapsed="false">
      <c r="A1010" s="28" t="n">
        <v>1009</v>
      </c>
      <c r="B1010" s="32" t="s">
        <v>1338</v>
      </c>
    </row>
    <row r="1011" customFormat="false" ht="15" hidden="false" customHeight="false" outlineLevel="0" collapsed="false">
      <c r="A1011" s="28" t="n">
        <v>1010</v>
      </c>
      <c r="B1011" s="32" t="s">
        <v>1339</v>
      </c>
    </row>
    <row r="1012" customFormat="false" ht="15" hidden="false" customHeight="false" outlineLevel="0" collapsed="false">
      <c r="A1012" s="28" t="n">
        <v>1011</v>
      </c>
      <c r="B1012" s="32" t="s">
        <v>1340</v>
      </c>
    </row>
    <row r="1013" customFormat="false" ht="15" hidden="false" customHeight="false" outlineLevel="0" collapsed="false">
      <c r="A1013" s="28" t="n">
        <v>1012</v>
      </c>
      <c r="B1013" s="32" t="s">
        <v>1341</v>
      </c>
    </row>
    <row r="1014" customFormat="false" ht="15" hidden="false" customHeight="false" outlineLevel="0" collapsed="false">
      <c r="A1014" s="28" t="n">
        <v>1013</v>
      </c>
      <c r="B1014" s="32" t="s">
        <v>1342</v>
      </c>
    </row>
    <row r="1015" customFormat="false" ht="15" hidden="false" customHeight="false" outlineLevel="0" collapsed="false">
      <c r="A1015" s="28" t="n">
        <v>1014</v>
      </c>
      <c r="B1015" s="32" t="s">
        <v>1343</v>
      </c>
    </row>
    <row r="1016" customFormat="false" ht="15" hidden="false" customHeight="false" outlineLevel="0" collapsed="false">
      <c r="A1016" s="28" t="n">
        <v>1015</v>
      </c>
      <c r="B1016" s="32" t="s">
        <v>1344</v>
      </c>
    </row>
    <row r="1017" customFormat="false" ht="15" hidden="false" customHeight="false" outlineLevel="0" collapsed="false">
      <c r="A1017" s="28" t="n">
        <v>1016</v>
      </c>
      <c r="B1017" s="32" t="s">
        <v>1345</v>
      </c>
    </row>
    <row r="1018" customFormat="false" ht="15" hidden="false" customHeight="false" outlineLevel="0" collapsed="false">
      <c r="A1018" s="28" t="n">
        <v>1017</v>
      </c>
      <c r="B1018" s="32" t="s">
        <v>1346</v>
      </c>
    </row>
    <row r="1019" customFormat="false" ht="15" hidden="false" customHeight="false" outlineLevel="0" collapsed="false">
      <c r="A1019" s="28" t="n">
        <v>1018</v>
      </c>
      <c r="B1019" s="32" t="s">
        <v>1347</v>
      </c>
    </row>
    <row r="1020" customFormat="false" ht="15" hidden="false" customHeight="false" outlineLevel="0" collapsed="false">
      <c r="A1020" s="28" t="n">
        <v>1019</v>
      </c>
      <c r="B1020" s="32" t="s">
        <v>1348</v>
      </c>
    </row>
    <row r="1021" customFormat="false" ht="15" hidden="false" customHeight="false" outlineLevel="0" collapsed="false">
      <c r="A1021" s="28" t="n">
        <v>1020</v>
      </c>
      <c r="B1021" s="32" t="s">
        <v>1349</v>
      </c>
    </row>
    <row r="1022" customFormat="false" ht="15" hidden="false" customHeight="false" outlineLevel="0" collapsed="false">
      <c r="A1022" s="28" t="n">
        <v>1021</v>
      </c>
      <c r="B1022" s="32" t="s">
        <v>1350</v>
      </c>
    </row>
    <row r="1023" customFormat="false" ht="15" hidden="false" customHeight="false" outlineLevel="0" collapsed="false">
      <c r="A1023" s="28" t="n">
        <v>1022</v>
      </c>
      <c r="B1023" s="32" t="s">
        <v>1351</v>
      </c>
    </row>
    <row r="1024" customFormat="false" ht="15" hidden="false" customHeight="false" outlineLevel="0" collapsed="false">
      <c r="A1024" s="28" t="n">
        <v>1023</v>
      </c>
      <c r="B1024" s="32" t="s">
        <v>1352</v>
      </c>
    </row>
    <row r="1025" customFormat="false" ht="15" hidden="false" customHeight="false" outlineLevel="0" collapsed="false">
      <c r="A1025" s="28" t="n">
        <v>1024</v>
      </c>
      <c r="B1025" s="32" t="s">
        <v>1353</v>
      </c>
    </row>
    <row r="1026" customFormat="false" ht="15" hidden="false" customHeight="false" outlineLevel="0" collapsed="false">
      <c r="A1026" s="28" t="n">
        <v>1025</v>
      </c>
      <c r="B1026" s="32" t="s">
        <v>1354</v>
      </c>
    </row>
    <row r="1027" customFormat="false" ht="15" hidden="false" customHeight="false" outlineLevel="0" collapsed="false">
      <c r="A1027" s="28" t="n">
        <v>1026</v>
      </c>
      <c r="B1027" s="32" t="s">
        <v>1355</v>
      </c>
    </row>
    <row r="1028" customFormat="false" ht="15" hidden="false" customHeight="false" outlineLevel="0" collapsed="false">
      <c r="A1028" s="28" t="n">
        <v>1027</v>
      </c>
      <c r="B1028" s="32" t="s">
        <v>1356</v>
      </c>
    </row>
    <row r="1029" customFormat="false" ht="15" hidden="false" customHeight="false" outlineLevel="0" collapsed="false">
      <c r="A1029" s="28" t="n">
        <v>1028</v>
      </c>
      <c r="B1029" s="32" t="s">
        <v>1357</v>
      </c>
    </row>
    <row r="1030" customFormat="false" ht="15" hidden="false" customHeight="false" outlineLevel="0" collapsed="false">
      <c r="A1030" s="28" t="n">
        <v>1029</v>
      </c>
      <c r="B1030" s="32" t="s">
        <v>1358</v>
      </c>
    </row>
    <row r="1031" customFormat="false" ht="15" hidden="false" customHeight="false" outlineLevel="0" collapsed="false">
      <c r="A1031" s="28" t="n">
        <v>1030</v>
      </c>
      <c r="B1031" s="32" t="s">
        <v>1359</v>
      </c>
    </row>
    <row r="1032" customFormat="false" ht="15" hidden="false" customHeight="false" outlineLevel="0" collapsed="false">
      <c r="A1032" s="28" t="n">
        <v>1031</v>
      </c>
      <c r="B1032" s="32" t="s">
        <v>1360</v>
      </c>
    </row>
    <row r="1033" customFormat="false" ht="15" hidden="false" customHeight="false" outlineLevel="0" collapsed="false">
      <c r="A1033" s="28" t="n">
        <v>1032</v>
      </c>
      <c r="B1033" s="32" t="s">
        <v>1361</v>
      </c>
    </row>
    <row r="1034" customFormat="false" ht="15" hidden="false" customHeight="false" outlineLevel="0" collapsed="false">
      <c r="A1034" s="28" t="n">
        <v>1033</v>
      </c>
      <c r="B1034" s="32" t="s">
        <v>1362</v>
      </c>
    </row>
    <row r="1035" customFormat="false" ht="15" hidden="false" customHeight="false" outlineLevel="0" collapsed="false">
      <c r="A1035" s="28" t="n">
        <v>1034</v>
      </c>
      <c r="B1035" s="32" t="s">
        <v>1363</v>
      </c>
    </row>
    <row r="1036" customFormat="false" ht="15" hidden="false" customHeight="false" outlineLevel="0" collapsed="false">
      <c r="A1036" s="28" t="n">
        <v>1035</v>
      </c>
      <c r="B1036" s="32" t="s">
        <v>1364</v>
      </c>
    </row>
    <row r="1037" customFormat="false" ht="15" hidden="false" customHeight="false" outlineLevel="0" collapsed="false">
      <c r="A1037" s="28" t="n">
        <v>1036</v>
      </c>
      <c r="B1037" s="32" t="s">
        <v>1365</v>
      </c>
    </row>
    <row r="1038" customFormat="false" ht="15" hidden="false" customHeight="false" outlineLevel="0" collapsed="false">
      <c r="A1038" s="28" t="n">
        <v>1037</v>
      </c>
      <c r="B1038" s="32" t="s">
        <v>1366</v>
      </c>
    </row>
    <row r="1039" customFormat="false" ht="15" hidden="false" customHeight="false" outlineLevel="0" collapsed="false">
      <c r="A1039" s="28" t="n">
        <v>1038</v>
      </c>
      <c r="B1039" s="32" t="s">
        <v>1367</v>
      </c>
    </row>
    <row r="1040" customFormat="false" ht="15" hidden="false" customHeight="false" outlineLevel="0" collapsed="false">
      <c r="A1040" s="28" t="n">
        <v>1039</v>
      </c>
      <c r="B1040" s="32" t="s">
        <v>1368</v>
      </c>
    </row>
    <row r="1041" customFormat="false" ht="15" hidden="false" customHeight="false" outlineLevel="0" collapsed="false">
      <c r="A1041" s="28" t="n">
        <v>1040</v>
      </c>
      <c r="B1041" s="32" t="s">
        <v>1369</v>
      </c>
    </row>
    <row r="1042" customFormat="false" ht="15" hidden="false" customHeight="false" outlineLevel="0" collapsed="false">
      <c r="A1042" s="28" t="n">
        <v>1041</v>
      </c>
      <c r="B1042" s="32" t="s">
        <v>1370</v>
      </c>
    </row>
    <row r="1043" customFormat="false" ht="15" hidden="false" customHeight="false" outlineLevel="0" collapsed="false">
      <c r="A1043" s="28" t="n">
        <v>1042</v>
      </c>
      <c r="B1043" s="32" t="s">
        <v>1371</v>
      </c>
    </row>
    <row r="1044" customFormat="false" ht="15" hidden="false" customHeight="false" outlineLevel="0" collapsed="false">
      <c r="A1044" s="28" t="n">
        <v>1043</v>
      </c>
      <c r="B1044" s="32" t="s">
        <v>1372</v>
      </c>
    </row>
    <row r="1045" customFormat="false" ht="15" hidden="false" customHeight="false" outlineLevel="0" collapsed="false">
      <c r="A1045" s="28" t="n">
        <v>1044</v>
      </c>
      <c r="B1045" s="32" t="s">
        <v>1373</v>
      </c>
    </row>
    <row r="1046" customFormat="false" ht="15" hidden="false" customHeight="false" outlineLevel="0" collapsed="false">
      <c r="A1046" s="28" t="n">
        <v>1045</v>
      </c>
      <c r="B1046" s="32" t="s">
        <v>1374</v>
      </c>
    </row>
    <row r="1047" customFormat="false" ht="15" hidden="false" customHeight="false" outlineLevel="0" collapsed="false">
      <c r="A1047" s="28" t="n">
        <v>1046</v>
      </c>
      <c r="B1047" s="32" t="s">
        <v>1375</v>
      </c>
    </row>
    <row r="1048" customFormat="false" ht="15" hidden="false" customHeight="false" outlineLevel="0" collapsed="false">
      <c r="A1048" s="28" t="n">
        <v>1047</v>
      </c>
      <c r="B1048" s="32" t="s">
        <v>1376</v>
      </c>
    </row>
    <row r="1049" customFormat="false" ht="15" hidden="false" customHeight="false" outlineLevel="0" collapsed="false">
      <c r="A1049" s="28" t="n">
        <v>1048</v>
      </c>
      <c r="B1049" s="32" t="s">
        <v>1377</v>
      </c>
    </row>
    <row r="1050" customFormat="false" ht="15" hidden="false" customHeight="false" outlineLevel="0" collapsed="false">
      <c r="A1050" s="28" t="n">
        <v>1049</v>
      </c>
      <c r="B1050" s="32" t="s">
        <v>1378</v>
      </c>
    </row>
    <row r="1051" customFormat="false" ht="15" hidden="false" customHeight="false" outlineLevel="0" collapsed="false">
      <c r="A1051" s="28" t="n">
        <v>1050</v>
      </c>
      <c r="B1051" s="32" t="s">
        <v>1379</v>
      </c>
    </row>
    <row r="1052" customFormat="false" ht="15" hidden="false" customHeight="false" outlineLevel="0" collapsed="false">
      <c r="A1052" s="28" t="n">
        <v>1051</v>
      </c>
      <c r="B1052" s="32" t="s">
        <v>1380</v>
      </c>
    </row>
    <row r="1053" customFormat="false" ht="15" hidden="false" customHeight="false" outlineLevel="0" collapsed="false">
      <c r="A1053" s="28" t="n">
        <v>1052</v>
      </c>
      <c r="B1053" s="32" t="s">
        <v>1381</v>
      </c>
    </row>
    <row r="1054" customFormat="false" ht="15" hidden="false" customHeight="false" outlineLevel="0" collapsed="false">
      <c r="A1054" s="28" t="n">
        <v>1053</v>
      </c>
      <c r="B1054" s="32" t="s">
        <v>1382</v>
      </c>
    </row>
    <row r="1055" customFormat="false" ht="15" hidden="false" customHeight="false" outlineLevel="0" collapsed="false">
      <c r="A1055" s="28" t="n">
        <v>1054</v>
      </c>
      <c r="B1055" s="32" t="s">
        <v>1383</v>
      </c>
    </row>
    <row r="1056" customFormat="false" ht="15" hidden="false" customHeight="false" outlineLevel="0" collapsed="false">
      <c r="A1056" s="28" t="n">
        <v>1055</v>
      </c>
      <c r="B1056" s="32" t="s">
        <v>1384</v>
      </c>
    </row>
    <row r="1057" customFormat="false" ht="15" hidden="false" customHeight="false" outlineLevel="0" collapsed="false">
      <c r="A1057" s="28" t="n">
        <v>1056</v>
      </c>
      <c r="B1057" s="32" t="s">
        <v>1385</v>
      </c>
    </row>
    <row r="1058" customFormat="false" ht="15" hidden="false" customHeight="false" outlineLevel="0" collapsed="false">
      <c r="A1058" s="28" t="n">
        <v>1057</v>
      </c>
      <c r="B1058" s="32" t="s">
        <v>1386</v>
      </c>
    </row>
    <row r="1059" customFormat="false" ht="15" hidden="false" customHeight="false" outlineLevel="0" collapsed="false">
      <c r="A1059" s="28" t="n">
        <v>1058</v>
      </c>
      <c r="B1059" s="32" t="s">
        <v>1387</v>
      </c>
    </row>
    <row r="1060" customFormat="false" ht="15" hidden="false" customHeight="false" outlineLevel="0" collapsed="false">
      <c r="A1060" s="28" t="n">
        <v>1059</v>
      </c>
      <c r="B1060" s="32" t="s">
        <v>1388</v>
      </c>
    </row>
    <row r="1061" customFormat="false" ht="15" hidden="false" customHeight="false" outlineLevel="0" collapsed="false">
      <c r="A1061" s="28" t="n">
        <v>1060</v>
      </c>
      <c r="B1061" s="32" t="s">
        <v>1389</v>
      </c>
    </row>
    <row r="1062" customFormat="false" ht="15" hidden="false" customHeight="false" outlineLevel="0" collapsed="false">
      <c r="A1062" s="28" t="n">
        <v>1061</v>
      </c>
      <c r="B1062" s="32" t="s">
        <v>1390</v>
      </c>
    </row>
    <row r="1063" customFormat="false" ht="15" hidden="false" customHeight="false" outlineLevel="0" collapsed="false">
      <c r="A1063" s="28" t="n">
        <v>1062</v>
      </c>
      <c r="B1063" s="32" t="s">
        <v>1391</v>
      </c>
    </row>
    <row r="1064" customFormat="false" ht="15" hidden="false" customHeight="false" outlineLevel="0" collapsed="false">
      <c r="A1064" s="28" t="n">
        <v>1063</v>
      </c>
      <c r="B1064" s="32" t="s">
        <v>1392</v>
      </c>
    </row>
    <row r="1065" customFormat="false" ht="15" hidden="false" customHeight="false" outlineLevel="0" collapsed="false">
      <c r="A1065" s="28" t="n">
        <v>1064</v>
      </c>
      <c r="B1065" s="32" t="s">
        <v>1393</v>
      </c>
    </row>
    <row r="1066" customFormat="false" ht="15" hidden="false" customHeight="false" outlineLevel="0" collapsed="false">
      <c r="A1066" s="28" t="n">
        <v>1065</v>
      </c>
      <c r="B1066" s="32" t="s">
        <v>1394</v>
      </c>
    </row>
    <row r="1067" customFormat="false" ht="15" hidden="false" customHeight="false" outlineLevel="0" collapsed="false">
      <c r="A1067" s="28" t="n">
        <v>1066</v>
      </c>
      <c r="B1067" s="32" t="s">
        <v>1395</v>
      </c>
    </row>
    <row r="1068" customFormat="false" ht="15" hidden="false" customHeight="false" outlineLevel="0" collapsed="false">
      <c r="A1068" s="28" t="n">
        <v>1067</v>
      </c>
      <c r="B1068" s="32" t="s">
        <v>1396</v>
      </c>
    </row>
    <row r="1069" customFormat="false" ht="15" hidden="false" customHeight="false" outlineLevel="0" collapsed="false">
      <c r="A1069" s="28" t="n">
        <v>1068</v>
      </c>
      <c r="B1069" s="32" t="s">
        <v>1397</v>
      </c>
    </row>
    <row r="1070" customFormat="false" ht="15" hidden="false" customHeight="false" outlineLevel="0" collapsed="false">
      <c r="A1070" s="28" t="n">
        <v>1069</v>
      </c>
      <c r="B1070" s="32" t="s">
        <v>1398</v>
      </c>
    </row>
    <row r="1071" customFormat="false" ht="15" hidden="false" customHeight="false" outlineLevel="0" collapsed="false">
      <c r="A1071" s="28" t="n">
        <v>1070</v>
      </c>
      <c r="B1071" s="32" t="s">
        <v>1399</v>
      </c>
    </row>
    <row r="1072" customFormat="false" ht="15" hidden="false" customHeight="false" outlineLevel="0" collapsed="false">
      <c r="A1072" s="28" t="n">
        <v>1071</v>
      </c>
      <c r="B1072" s="32" t="s">
        <v>1400</v>
      </c>
    </row>
    <row r="1073" customFormat="false" ht="15" hidden="false" customHeight="false" outlineLevel="0" collapsed="false">
      <c r="A1073" s="28" t="n">
        <v>1072</v>
      </c>
      <c r="B1073" s="32" t="s">
        <v>1401</v>
      </c>
    </row>
    <row r="1074" customFormat="false" ht="15" hidden="false" customHeight="false" outlineLevel="0" collapsed="false">
      <c r="A1074" s="28" t="n">
        <v>1073</v>
      </c>
      <c r="B1074" s="32" t="s">
        <v>1402</v>
      </c>
    </row>
    <row r="1075" customFormat="false" ht="15" hidden="false" customHeight="false" outlineLevel="0" collapsed="false">
      <c r="A1075" s="28" t="n">
        <v>1074</v>
      </c>
      <c r="B1075" s="32" t="s">
        <v>1403</v>
      </c>
    </row>
    <row r="1076" customFormat="false" ht="15" hidden="false" customHeight="false" outlineLevel="0" collapsed="false">
      <c r="A1076" s="28" t="n">
        <v>1075</v>
      </c>
      <c r="B1076" s="32" t="s">
        <v>1404</v>
      </c>
    </row>
    <row r="1077" customFormat="false" ht="15" hidden="false" customHeight="false" outlineLevel="0" collapsed="false">
      <c r="A1077" s="28" t="n">
        <v>1076</v>
      </c>
      <c r="B1077" s="32" t="s">
        <v>1405</v>
      </c>
    </row>
    <row r="1078" customFormat="false" ht="15" hidden="false" customHeight="false" outlineLevel="0" collapsed="false">
      <c r="A1078" s="28" t="n">
        <v>1077</v>
      </c>
      <c r="B1078" s="32" t="s">
        <v>1406</v>
      </c>
    </row>
    <row r="1079" customFormat="false" ht="15" hidden="false" customHeight="false" outlineLevel="0" collapsed="false">
      <c r="A1079" s="28" t="n">
        <v>1078</v>
      </c>
      <c r="B1079" s="32" t="s">
        <v>1407</v>
      </c>
    </row>
    <row r="1080" customFormat="false" ht="15" hidden="false" customHeight="false" outlineLevel="0" collapsed="false">
      <c r="A1080" s="28" t="n">
        <v>1079</v>
      </c>
      <c r="B1080" s="32" t="s">
        <v>1408</v>
      </c>
    </row>
    <row r="1081" customFormat="false" ht="15" hidden="false" customHeight="false" outlineLevel="0" collapsed="false">
      <c r="A1081" s="28" t="n">
        <v>1080</v>
      </c>
      <c r="B1081" s="32" t="s">
        <v>1409</v>
      </c>
    </row>
    <row r="1082" customFormat="false" ht="15" hidden="false" customHeight="false" outlineLevel="0" collapsed="false">
      <c r="A1082" s="28" t="n">
        <v>1081</v>
      </c>
      <c r="B1082" s="32" t="s">
        <v>1410</v>
      </c>
    </row>
    <row r="1083" customFormat="false" ht="15" hidden="false" customHeight="false" outlineLevel="0" collapsed="false">
      <c r="A1083" s="28" t="n">
        <v>1082</v>
      </c>
      <c r="B1083" s="32" t="s">
        <v>1411</v>
      </c>
    </row>
    <row r="1084" customFormat="false" ht="15" hidden="false" customHeight="false" outlineLevel="0" collapsed="false">
      <c r="A1084" s="28" t="n">
        <v>1083</v>
      </c>
      <c r="B1084" s="32" t="s">
        <v>1412</v>
      </c>
    </row>
    <row r="1085" customFormat="false" ht="15" hidden="false" customHeight="false" outlineLevel="0" collapsed="false">
      <c r="A1085" s="28" t="n">
        <v>1084</v>
      </c>
      <c r="B1085" s="32" t="s">
        <v>1413</v>
      </c>
    </row>
    <row r="1086" customFormat="false" ht="15" hidden="false" customHeight="false" outlineLevel="0" collapsed="false">
      <c r="A1086" s="28" t="n">
        <v>1085</v>
      </c>
      <c r="B1086" s="32" t="s">
        <v>1414</v>
      </c>
    </row>
    <row r="1087" customFormat="false" ht="15" hidden="false" customHeight="false" outlineLevel="0" collapsed="false">
      <c r="A1087" s="28" t="n">
        <v>1086</v>
      </c>
      <c r="B1087" s="32" t="s">
        <v>1415</v>
      </c>
    </row>
    <row r="1088" customFormat="false" ht="15" hidden="false" customHeight="false" outlineLevel="0" collapsed="false">
      <c r="A1088" s="28" t="n">
        <v>1087</v>
      </c>
      <c r="B1088" s="32" t="s">
        <v>1416</v>
      </c>
    </row>
    <row r="1089" customFormat="false" ht="15" hidden="false" customHeight="false" outlineLevel="0" collapsed="false">
      <c r="A1089" s="28" t="n">
        <v>1088</v>
      </c>
      <c r="B1089" s="32" t="s">
        <v>1417</v>
      </c>
    </row>
    <row r="1090" customFormat="false" ht="15" hidden="false" customHeight="false" outlineLevel="0" collapsed="false">
      <c r="A1090" s="28" t="n">
        <v>1089</v>
      </c>
      <c r="B1090" s="32" t="s">
        <v>1418</v>
      </c>
    </row>
    <row r="1091" customFormat="false" ht="15" hidden="false" customHeight="false" outlineLevel="0" collapsed="false">
      <c r="A1091" s="28" t="n">
        <v>1090</v>
      </c>
      <c r="B1091" s="32" t="s">
        <v>1419</v>
      </c>
    </row>
    <row r="1092" customFormat="false" ht="15" hidden="false" customHeight="false" outlineLevel="0" collapsed="false">
      <c r="A1092" s="28" t="n">
        <v>1091</v>
      </c>
      <c r="B1092" s="32" t="s">
        <v>1420</v>
      </c>
    </row>
    <row r="1093" customFormat="false" ht="15" hidden="false" customHeight="false" outlineLevel="0" collapsed="false">
      <c r="A1093" s="28" t="n">
        <v>1092</v>
      </c>
      <c r="B1093" s="32" t="s">
        <v>1421</v>
      </c>
    </row>
    <row r="1094" customFormat="false" ht="15" hidden="false" customHeight="false" outlineLevel="0" collapsed="false">
      <c r="A1094" s="28" t="n">
        <v>1093</v>
      </c>
      <c r="B1094" s="32" t="s">
        <v>1422</v>
      </c>
    </row>
    <row r="1095" customFormat="false" ht="15" hidden="false" customHeight="false" outlineLevel="0" collapsed="false">
      <c r="A1095" s="28" t="n">
        <v>1094</v>
      </c>
      <c r="B1095" s="32" t="s">
        <v>1423</v>
      </c>
    </row>
    <row r="1096" customFormat="false" ht="15" hidden="false" customHeight="false" outlineLevel="0" collapsed="false">
      <c r="A1096" s="28" t="n">
        <v>1095</v>
      </c>
      <c r="B1096" s="32" t="s">
        <v>1424</v>
      </c>
    </row>
    <row r="1097" customFormat="false" ht="15" hidden="false" customHeight="false" outlineLevel="0" collapsed="false">
      <c r="A1097" s="28" t="n">
        <v>1096</v>
      </c>
      <c r="B1097" s="32" t="s">
        <v>1425</v>
      </c>
    </row>
    <row r="1098" customFormat="false" ht="15" hidden="false" customHeight="false" outlineLevel="0" collapsed="false">
      <c r="A1098" s="28" t="n">
        <v>1097</v>
      </c>
      <c r="B1098" s="32" t="s">
        <v>1426</v>
      </c>
    </row>
    <row r="1099" customFormat="false" ht="15" hidden="false" customHeight="false" outlineLevel="0" collapsed="false">
      <c r="A1099" s="28" t="n">
        <v>1098</v>
      </c>
      <c r="B1099" s="32" t="s">
        <v>1427</v>
      </c>
    </row>
    <row r="1100" customFormat="false" ht="15" hidden="false" customHeight="false" outlineLevel="0" collapsed="false">
      <c r="A1100" s="28" t="n">
        <v>1099</v>
      </c>
      <c r="B1100" s="32" t="s">
        <v>1428</v>
      </c>
    </row>
    <row r="1101" customFormat="false" ht="15" hidden="false" customHeight="false" outlineLevel="0" collapsed="false">
      <c r="A1101" s="28" t="n">
        <v>1100</v>
      </c>
      <c r="B1101" s="32" t="s">
        <v>1429</v>
      </c>
    </row>
    <row r="1102" customFormat="false" ht="15" hidden="false" customHeight="false" outlineLevel="0" collapsed="false">
      <c r="A1102" s="28" t="n">
        <v>1101</v>
      </c>
      <c r="B1102" s="32" t="s">
        <v>1430</v>
      </c>
    </row>
    <row r="1103" customFormat="false" ht="15" hidden="false" customHeight="false" outlineLevel="0" collapsed="false">
      <c r="A1103" s="28" t="n">
        <v>1102</v>
      </c>
      <c r="B1103" s="32" t="s">
        <v>1431</v>
      </c>
    </row>
    <row r="1104" customFormat="false" ht="15" hidden="false" customHeight="false" outlineLevel="0" collapsed="false">
      <c r="A1104" s="28" t="n">
        <v>1103</v>
      </c>
      <c r="B1104" s="32" t="s">
        <v>1432</v>
      </c>
    </row>
    <row r="1105" customFormat="false" ht="15" hidden="false" customHeight="false" outlineLevel="0" collapsed="false">
      <c r="A1105" s="28" t="n">
        <v>1104</v>
      </c>
      <c r="B1105" s="32" t="s">
        <v>1433</v>
      </c>
    </row>
    <row r="1106" customFormat="false" ht="15" hidden="false" customHeight="false" outlineLevel="0" collapsed="false">
      <c r="A1106" s="28" t="n">
        <v>1105</v>
      </c>
      <c r="B1106" s="32" t="s">
        <v>1434</v>
      </c>
    </row>
    <row r="1107" customFormat="false" ht="15" hidden="false" customHeight="false" outlineLevel="0" collapsed="false">
      <c r="A1107" s="28" t="n">
        <v>1106</v>
      </c>
      <c r="B1107" s="32" t="s">
        <v>1435</v>
      </c>
    </row>
    <row r="1108" customFormat="false" ht="15" hidden="false" customHeight="false" outlineLevel="0" collapsed="false">
      <c r="A1108" s="28" t="n">
        <v>1107</v>
      </c>
      <c r="B1108" s="32" t="s">
        <v>1436</v>
      </c>
    </row>
    <row r="1109" customFormat="false" ht="15" hidden="false" customHeight="false" outlineLevel="0" collapsed="false">
      <c r="A1109" s="28" t="n">
        <v>1108</v>
      </c>
      <c r="B1109" s="32" t="s">
        <v>1437</v>
      </c>
    </row>
    <row r="1110" customFormat="false" ht="15" hidden="false" customHeight="false" outlineLevel="0" collapsed="false">
      <c r="A1110" s="28" t="n">
        <v>1109</v>
      </c>
      <c r="B1110" s="32" t="s">
        <v>1438</v>
      </c>
    </row>
    <row r="1111" customFormat="false" ht="15" hidden="false" customHeight="false" outlineLevel="0" collapsed="false">
      <c r="A1111" s="28" t="n">
        <v>1110</v>
      </c>
      <c r="B1111" s="32" t="s">
        <v>1439</v>
      </c>
    </row>
    <row r="1112" customFormat="false" ht="15" hidden="false" customHeight="false" outlineLevel="0" collapsed="false">
      <c r="A1112" s="28" t="n">
        <v>1111</v>
      </c>
      <c r="B1112" s="32" t="s">
        <v>1440</v>
      </c>
    </row>
    <row r="1113" customFormat="false" ht="15" hidden="false" customHeight="false" outlineLevel="0" collapsed="false">
      <c r="A1113" s="28" t="n">
        <v>1112</v>
      </c>
      <c r="B1113" s="32" t="s">
        <v>1441</v>
      </c>
    </row>
    <row r="1114" customFormat="false" ht="15" hidden="false" customHeight="false" outlineLevel="0" collapsed="false">
      <c r="A1114" s="28" t="n">
        <v>1113</v>
      </c>
      <c r="B1114" s="32" t="s">
        <v>1442</v>
      </c>
    </row>
    <row r="1115" customFormat="false" ht="15" hidden="false" customHeight="false" outlineLevel="0" collapsed="false">
      <c r="A1115" s="28" t="n">
        <v>1114</v>
      </c>
      <c r="B1115" s="32" t="s">
        <v>1443</v>
      </c>
    </row>
    <row r="1116" customFormat="false" ht="15" hidden="false" customHeight="false" outlineLevel="0" collapsed="false">
      <c r="A1116" s="28" t="n">
        <v>1115</v>
      </c>
      <c r="B1116" s="32" t="s">
        <v>1444</v>
      </c>
    </row>
    <row r="1117" customFormat="false" ht="15" hidden="false" customHeight="false" outlineLevel="0" collapsed="false">
      <c r="A1117" s="28" t="n">
        <v>1116</v>
      </c>
      <c r="B1117" s="32" t="s">
        <v>1445</v>
      </c>
    </row>
    <row r="1118" customFormat="false" ht="15" hidden="false" customHeight="false" outlineLevel="0" collapsed="false">
      <c r="A1118" s="28" t="n">
        <v>1117</v>
      </c>
      <c r="B1118" s="32" t="s">
        <v>1446</v>
      </c>
    </row>
    <row r="1119" customFormat="false" ht="15" hidden="false" customHeight="false" outlineLevel="0" collapsed="false">
      <c r="A1119" s="28" t="n">
        <v>1118</v>
      </c>
      <c r="B1119" s="32" t="s">
        <v>1447</v>
      </c>
    </row>
    <row r="1120" customFormat="false" ht="15" hidden="false" customHeight="false" outlineLevel="0" collapsed="false">
      <c r="A1120" s="28" t="n">
        <v>1119</v>
      </c>
      <c r="B1120" s="32" t="s">
        <v>1448</v>
      </c>
    </row>
    <row r="1121" customFormat="false" ht="15" hidden="false" customHeight="false" outlineLevel="0" collapsed="false">
      <c r="A1121" s="28" t="n">
        <v>1120</v>
      </c>
      <c r="B1121" s="32" t="s">
        <v>1449</v>
      </c>
    </row>
    <row r="1122" customFormat="false" ht="15" hidden="false" customHeight="false" outlineLevel="0" collapsed="false">
      <c r="A1122" s="28" t="n">
        <v>1121</v>
      </c>
      <c r="B1122" s="32" t="s">
        <v>1450</v>
      </c>
    </row>
    <row r="1123" customFormat="false" ht="15" hidden="false" customHeight="false" outlineLevel="0" collapsed="false">
      <c r="A1123" s="28" t="n">
        <v>1122</v>
      </c>
      <c r="B1123" s="32" t="s">
        <v>1451</v>
      </c>
    </row>
    <row r="1124" customFormat="false" ht="15" hidden="false" customHeight="false" outlineLevel="0" collapsed="false">
      <c r="A1124" s="28" t="n">
        <v>1123</v>
      </c>
      <c r="B1124" s="32" t="s">
        <v>1452</v>
      </c>
    </row>
    <row r="1125" customFormat="false" ht="15" hidden="false" customHeight="false" outlineLevel="0" collapsed="false">
      <c r="A1125" s="28" t="n">
        <v>1124</v>
      </c>
      <c r="B1125" s="32" t="s">
        <v>1453</v>
      </c>
    </row>
    <row r="1126" customFormat="false" ht="15" hidden="false" customHeight="false" outlineLevel="0" collapsed="false">
      <c r="A1126" s="28" t="n">
        <v>1125</v>
      </c>
      <c r="B1126" s="32" t="s">
        <v>1454</v>
      </c>
    </row>
    <row r="1127" customFormat="false" ht="15" hidden="false" customHeight="false" outlineLevel="0" collapsed="false">
      <c r="A1127" s="28" t="n">
        <v>1126</v>
      </c>
      <c r="B1127" s="32" t="s">
        <v>1455</v>
      </c>
    </row>
    <row r="1128" customFormat="false" ht="15" hidden="false" customHeight="false" outlineLevel="0" collapsed="false">
      <c r="A1128" s="28" t="n">
        <v>1127</v>
      </c>
      <c r="B1128" s="32" t="s">
        <v>1456</v>
      </c>
    </row>
    <row r="1129" customFormat="false" ht="15" hidden="false" customHeight="false" outlineLevel="0" collapsed="false">
      <c r="A1129" s="28" t="n">
        <v>1128</v>
      </c>
      <c r="B1129" s="32" t="s">
        <v>1457</v>
      </c>
    </row>
    <row r="1130" customFormat="false" ht="15" hidden="false" customHeight="false" outlineLevel="0" collapsed="false">
      <c r="A1130" s="28" t="n">
        <v>1129</v>
      </c>
      <c r="B1130" s="32" t="s">
        <v>1458</v>
      </c>
    </row>
    <row r="1131" customFormat="false" ht="15" hidden="false" customHeight="false" outlineLevel="0" collapsed="false">
      <c r="A1131" s="28" t="n">
        <v>1130</v>
      </c>
      <c r="B1131" s="32" t="s">
        <v>1459</v>
      </c>
    </row>
    <row r="1132" customFormat="false" ht="15" hidden="false" customHeight="false" outlineLevel="0" collapsed="false">
      <c r="A1132" s="28" t="n">
        <v>1131</v>
      </c>
      <c r="B1132" s="32" t="s">
        <v>1460</v>
      </c>
    </row>
    <row r="1133" customFormat="false" ht="15" hidden="false" customHeight="false" outlineLevel="0" collapsed="false">
      <c r="A1133" s="28" t="n">
        <v>1132</v>
      </c>
      <c r="B1133" s="32" t="s">
        <v>1461</v>
      </c>
    </row>
    <row r="1134" customFormat="false" ht="15" hidden="false" customHeight="false" outlineLevel="0" collapsed="false">
      <c r="A1134" s="28" t="n">
        <v>1133</v>
      </c>
      <c r="B1134" s="32" t="s">
        <v>1462</v>
      </c>
    </row>
    <row r="1135" customFormat="false" ht="15" hidden="false" customHeight="false" outlineLevel="0" collapsed="false">
      <c r="A1135" s="28" t="n">
        <v>1134</v>
      </c>
      <c r="B1135" s="32" t="s">
        <v>1463</v>
      </c>
    </row>
    <row r="1136" customFormat="false" ht="15" hidden="false" customHeight="false" outlineLevel="0" collapsed="false">
      <c r="A1136" s="28" t="n">
        <v>1135</v>
      </c>
      <c r="B1136" s="32" t="s">
        <v>1464</v>
      </c>
    </row>
    <row r="1137" customFormat="false" ht="15" hidden="false" customHeight="false" outlineLevel="0" collapsed="false">
      <c r="A1137" s="28" t="n">
        <v>1136</v>
      </c>
      <c r="B1137" s="32" t="s">
        <v>1465</v>
      </c>
    </row>
    <row r="1138" customFormat="false" ht="15" hidden="false" customHeight="false" outlineLevel="0" collapsed="false">
      <c r="A1138" s="28" t="n">
        <v>1137</v>
      </c>
      <c r="B1138" s="32" t="s">
        <v>1466</v>
      </c>
    </row>
    <row r="1139" customFormat="false" ht="15" hidden="false" customHeight="false" outlineLevel="0" collapsed="false">
      <c r="A1139" s="28" t="n">
        <v>1138</v>
      </c>
      <c r="B1139" s="32" t="s">
        <v>1467</v>
      </c>
    </row>
    <row r="1140" customFormat="false" ht="15" hidden="false" customHeight="false" outlineLevel="0" collapsed="false">
      <c r="A1140" s="28" t="n">
        <v>1139</v>
      </c>
      <c r="B1140" s="32" t="s">
        <v>1468</v>
      </c>
    </row>
    <row r="1141" customFormat="false" ht="15" hidden="false" customHeight="false" outlineLevel="0" collapsed="false">
      <c r="A1141" s="28" t="n">
        <v>1140</v>
      </c>
      <c r="B1141" s="32" t="s">
        <v>1469</v>
      </c>
    </row>
    <row r="1142" customFormat="false" ht="15" hidden="false" customHeight="false" outlineLevel="0" collapsed="false">
      <c r="A1142" s="28" t="n">
        <v>1141</v>
      </c>
      <c r="B1142" s="32" t="s">
        <v>1470</v>
      </c>
    </row>
    <row r="1143" customFormat="false" ht="15" hidden="false" customHeight="false" outlineLevel="0" collapsed="false">
      <c r="A1143" s="28" t="n">
        <v>1142</v>
      </c>
      <c r="B1143" s="32" t="s">
        <v>1471</v>
      </c>
    </row>
    <row r="1144" customFormat="false" ht="15" hidden="false" customHeight="false" outlineLevel="0" collapsed="false">
      <c r="A1144" s="28" t="n">
        <v>1143</v>
      </c>
      <c r="B1144" s="32" t="s">
        <v>1472</v>
      </c>
    </row>
    <row r="1145" customFormat="false" ht="15" hidden="false" customHeight="false" outlineLevel="0" collapsed="false">
      <c r="A1145" s="28" t="n">
        <v>1144</v>
      </c>
      <c r="B1145" s="32" t="s">
        <v>1473</v>
      </c>
    </row>
    <row r="1146" customFormat="false" ht="15" hidden="false" customHeight="false" outlineLevel="0" collapsed="false">
      <c r="A1146" s="28" t="n">
        <v>1145</v>
      </c>
      <c r="B1146" s="32" t="s">
        <v>1474</v>
      </c>
    </row>
    <row r="1147" customFormat="false" ht="15" hidden="false" customHeight="false" outlineLevel="0" collapsed="false">
      <c r="A1147" s="28" t="n">
        <v>1146</v>
      </c>
      <c r="B1147" s="32" t="s">
        <v>1475</v>
      </c>
    </row>
    <row r="1148" customFormat="false" ht="15" hidden="false" customHeight="false" outlineLevel="0" collapsed="false">
      <c r="A1148" s="28" t="n">
        <v>1147</v>
      </c>
      <c r="B1148" s="32" t="s">
        <v>1476</v>
      </c>
    </row>
    <row r="1149" customFormat="false" ht="15" hidden="false" customHeight="false" outlineLevel="0" collapsed="false">
      <c r="A1149" s="28" t="n">
        <v>1148</v>
      </c>
      <c r="B1149" s="32" t="s">
        <v>1477</v>
      </c>
    </row>
    <row r="1150" customFormat="false" ht="15" hidden="false" customHeight="false" outlineLevel="0" collapsed="false">
      <c r="A1150" s="28" t="n">
        <v>1149</v>
      </c>
      <c r="B1150" s="32" t="s">
        <v>1478</v>
      </c>
    </row>
    <row r="1151" customFormat="false" ht="15" hidden="false" customHeight="false" outlineLevel="0" collapsed="false">
      <c r="A1151" s="28" t="n">
        <v>1150</v>
      </c>
      <c r="B1151" s="32" t="s">
        <v>1479</v>
      </c>
    </row>
    <row r="1152" customFormat="false" ht="15" hidden="false" customHeight="false" outlineLevel="0" collapsed="false">
      <c r="A1152" s="28" t="n">
        <v>1151</v>
      </c>
      <c r="B1152" s="32" t="s">
        <v>1480</v>
      </c>
    </row>
    <row r="1153" customFormat="false" ht="15" hidden="false" customHeight="false" outlineLevel="0" collapsed="false">
      <c r="A1153" s="28" t="n">
        <v>1152</v>
      </c>
      <c r="B1153" s="32" t="s">
        <v>1481</v>
      </c>
    </row>
    <row r="1154" customFormat="false" ht="15" hidden="false" customHeight="false" outlineLevel="0" collapsed="false">
      <c r="A1154" s="28" t="n">
        <v>1153</v>
      </c>
      <c r="B1154" s="32" t="s">
        <v>1482</v>
      </c>
    </row>
    <row r="1155" customFormat="false" ht="15" hidden="false" customHeight="false" outlineLevel="0" collapsed="false">
      <c r="A1155" s="28" t="n">
        <v>1154</v>
      </c>
      <c r="B1155" s="32" t="s">
        <v>1483</v>
      </c>
    </row>
    <row r="1156" customFormat="false" ht="15" hidden="false" customHeight="false" outlineLevel="0" collapsed="false">
      <c r="A1156" s="28" t="n">
        <v>1155</v>
      </c>
      <c r="B1156" s="32" t="s">
        <v>1484</v>
      </c>
    </row>
    <row r="1157" customFormat="false" ht="15" hidden="false" customHeight="false" outlineLevel="0" collapsed="false">
      <c r="A1157" s="28" t="n">
        <v>1156</v>
      </c>
      <c r="B1157" s="32" t="s">
        <v>1485</v>
      </c>
    </row>
    <row r="1158" customFormat="false" ht="15" hidden="false" customHeight="false" outlineLevel="0" collapsed="false">
      <c r="A1158" s="28" t="n">
        <v>1157</v>
      </c>
      <c r="B1158" s="32" t="s">
        <v>1486</v>
      </c>
    </row>
    <row r="1159" customFormat="false" ht="15" hidden="false" customHeight="false" outlineLevel="0" collapsed="false">
      <c r="A1159" s="28" t="n">
        <v>1158</v>
      </c>
      <c r="B1159" s="32" t="s">
        <v>1487</v>
      </c>
    </row>
    <row r="1160" customFormat="false" ht="15" hidden="false" customHeight="false" outlineLevel="0" collapsed="false">
      <c r="A1160" s="28" t="n">
        <v>1159</v>
      </c>
      <c r="B1160" s="32" t="s">
        <v>1488</v>
      </c>
    </row>
    <row r="1161" customFormat="false" ht="15" hidden="false" customHeight="false" outlineLevel="0" collapsed="false">
      <c r="A1161" s="28" t="n">
        <v>1160</v>
      </c>
      <c r="B1161" s="32" t="s">
        <v>1489</v>
      </c>
    </row>
    <row r="1162" customFormat="false" ht="15" hidden="false" customHeight="false" outlineLevel="0" collapsed="false">
      <c r="A1162" s="28" t="n">
        <v>1161</v>
      </c>
      <c r="B1162" s="32" t="s">
        <v>1490</v>
      </c>
    </row>
    <row r="1163" customFormat="false" ht="15" hidden="false" customHeight="false" outlineLevel="0" collapsed="false">
      <c r="A1163" s="28" t="n">
        <v>1162</v>
      </c>
      <c r="B1163" s="32" t="s">
        <v>1491</v>
      </c>
    </row>
    <row r="1164" customFormat="false" ht="15" hidden="false" customHeight="false" outlineLevel="0" collapsed="false">
      <c r="A1164" s="28" t="n">
        <v>1163</v>
      </c>
      <c r="B1164" s="32" t="s">
        <v>1492</v>
      </c>
    </row>
    <row r="1165" customFormat="false" ht="15" hidden="false" customHeight="false" outlineLevel="0" collapsed="false">
      <c r="A1165" s="28" t="n">
        <v>1164</v>
      </c>
      <c r="B1165" s="32" t="s">
        <v>1493</v>
      </c>
    </row>
    <row r="1166" customFormat="false" ht="15" hidden="false" customHeight="false" outlineLevel="0" collapsed="false">
      <c r="A1166" s="28" t="n">
        <v>1165</v>
      </c>
      <c r="B1166" s="32" t="s">
        <v>1494</v>
      </c>
    </row>
    <row r="1167" customFormat="false" ht="15" hidden="false" customHeight="false" outlineLevel="0" collapsed="false">
      <c r="A1167" s="28" t="n">
        <v>1166</v>
      </c>
      <c r="B1167" s="32" t="s">
        <v>1495</v>
      </c>
    </row>
    <row r="1168" customFormat="false" ht="15" hidden="false" customHeight="false" outlineLevel="0" collapsed="false">
      <c r="A1168" s="28" t="n">
        <v>1167</v>
      </c>
      <c r="B1168" s="32" t="s">
        <v>1496</v>
      </c>
    </row>
    <row r="1169" customFormat="false" ht="15" hidden="false" customHeight="false" outlineLevel="0" collapsed="false">
      <c r="A1169" s="28" t="n">
        <v>1168</v>
      </c>
      <c r="B1169" s="32" t="s">
        <v>1497</v>
      </c>
    </row>
    <row r="1170" customFormat="false" ht="15" hidden="false" customHeight="false" outlineLevel="0" collapsed="false">
      <c r="A1170" s="28" t="n">
        <v>1169</v>
      </c>
      <c r="B1170" s="32" t="s">
        <v>1498</v>
      </c>
    </row>
    <row r="1171" customFormat="false" ht="15" hidden="false" customHeight="false" outlineLevel="0" collapsed="false">
      <c r="A1171" s="28" t="n">
        <v>1170</v>
      </c>
      <c r="B1171" s="32" t="s">
        <v>1499</v>
      </c>
    </row>
    <row r="1172" customFormat="false" ht="15" hidden="false" customHeight="false" outlineLevel="0" collapsed="false">
      <c r="A1172" s="28" t="n">
        <v>1171</v>
      </c>
      <c r="B1172" s="32" t="s">
        <v>1500</v>
      </c>
    </row>
    <row r="1173" customFormat="false" ht="15" hidden="false" customHeight="false" outlineLevel="0" collapsed="false">
      <c r="A1173" s="28" t="n">
        <v>1172</v>
      </c>
      <c r="B1173" s="32" t="s">
        <v>1501</v>
      </c>
    </row>
    <row r="1174" customFormat="false" ht="15" hidden="false" customHeight="false" outlineLevel="0" collapsed="false">
      <c r="A1174" s="28" t="n">
        <v>1173</v>
      </c>
      <c r="B1174" s="32" t="s">
        <v>1502</v>
      </c>
    </row>
    <row r="1175" customFormat="false" ht="15" hidden="false" customHeight="false" outlineLevel="0" collapsed="false">
      <c r="A1175" s="28" t="n">
        <v>1174</v>
      </c>
      <c r="B1175" s="32" t="s">
        <v>1503</v>
      </c>
    </row>
    <row r="1176" customFormat="false" ht="15" hidden="false" customHeight="false" outlineLevel="0" collapsed="false">
      <c r="A1176" s="28" t="n">
        <v>1175</v>
      </c>
      <c r="B1176" s="32" t="s">
        <v>1504</v>
      </c>
    </row>
    <row r="1177" customFormat="false" ht="15" hidden="false" customHeight="false" outlineLevel="0" collapsed="false">
      <c r="A1177" s="28" t="n">
        <v>1176</v>
      </c>
      <c r="B1177" s="32" t="s">
        <v>1505</v>
      </c>
    </row>
    <row r="1178" customFormat="false" ht="15" hidden="false" customHeight="false" outlineLevel="0" collapsed="false">
      <c r="A1178" s="28" t="n">
        <v>1177</v>
      </c>
      <c r="B1178" s="32" t="s">
        <v>1506</v>
      </c>
    </row>
    <row r="1179" customFormat="false" ht="15" hidden="false" customHeight="false" outlineLevel="0" collapsed="false">
      <c r="A1179" s="28" t="n">
        <v>1178</v>
      </c>
      <c r="B1179" s="32" t="s">
        <v>1507</v>
      </c>
    </row>
    <row r="1180" customFormat="false" ht="15" hidden="false" customHeight="false" outlineLevel="0" collapsed="false">
      <c r="A1180" s="28" t="n">
        <v>1179</v>
      </c>
      <c r="B1180" s="32" t="s">
        <v>1508</v>
      </c>
    </row>
    <row r="1181" customFormat="false" ht="15" hidden="false" customHeight="false" outlineLevel="0" collapsed="false">
      <c r="A1181" s="28" t="n">
        <v>1180</v>
      </c>
      <c r="B1181" s="32" t="s">
        <v>1509</v>
      </c>
    </row>
    <row r="1182" customFormat="false" ht="15" hidden="false" customHeight="false" outlineLevel="0" collapsed="false">
      <c r="A1182" s="28" t="n">
        <v>1181</v>
      </c>
      <c r="B1182" s="32" t="s">
        <v>1510</v>
      </c>
    </row>
    <row r="1183" customFormat="false" ht="15" hidden="false" customHeight="false" outlineLevel="0" collapsed="false">
      <c r="A1183" s="28" t="n">
        <v>1182</v>
      </c>
      <c r="B1183" s="32" t="s">
        <v>1511</v>
      </c>
    </row>
    <row r="1184" customFormat="false" ht="15" hidden="false" customHeight="false" outlineLevel="0" collapsed="false">
      <c r="A1184" s="28" t="n">
        <v>1183</v>
      </c>
      <c r="B1184" s="32" t="s">
        <v>1512</v>
      </c>
    </row>
    <row r="1185" customFormat="false" ht="15" hidden="false" customHeight="false" outlineLevel="0" collapsed="false">
      <c r="A1185" s="28" t="n">
        <v>1184</v>
      </c>
      <c r="B1185" s="32" t="s">
        <v>1513</v>
      </c>
    </row>
    <row r="1186" customFormat="false" ht="15" hidden="false" customHeight="false" outlineLevel="0" collapsed="false">
      <c r="A1186" s="28" t="n">
        <v>1185</v>
      </c>
      <c r="B1186" s="32" t="s">
        <v>1514</v>
      </c>
    </row>
    <row r="1187" customFormat="false" ht="15" hidden="false" customHeight="false" outlineLevel="0" collapsed="false">
      <c r="A1187" s="28" t="n">
        <v>1186</v>
      </c>
      <c r="B1187" s="32" t="s">
        <v>1515</v>
      </c>
    </row>
    <row r="1188" customFormat="false" ht="15" hidden="false" customHeight="false" outlineLevel="0" collapsed="false">
      <c r="A1188" s="28" t="n">
        <v>1187</v>
      </c>
      <c r="B1188" s="32" t="s">
        <v>1516</v>
      </c>
    </row>
    <row r="1189" customFormat="false" ht="15" hidden="false" customHeight="false" outlineLevel="0" collapsed="false">
      <c r="A1189" s="28" t="n">
        <v>1188</v>
      </c>
      <c r="B1189" s="32" t="s">
        <v>1517</v>
      </c>
    </row>
    <row r="1190" customFormat="false" ht="15" hidden="false" customHeight="false" outlineLevel="0" collapsed="false">
      <c r="A1190" s="28" t="n">
        <v>1189</v>
      </c>
      <c r="B1190" s="32" t="s">
        <v>1518</v>
      </c>
    </row>
    <row r="1191" customFormat="false" ht="15" hidden="false" customHeight="false" outlineLevel="0" collapsed="false">
      <c r="A1191" s="28" t="n">
        <v>1190</v>
      </c>
      <c r="B1191" s="32" t="s">
        <v>1519</v>
      </c>
    </row>
    <row r="1192" customFormat="false" ht="15" hidden="false" customHeight="false" outlineLevel="0" collapsed="false">
      <c r="A1192" s="28" t="n">
        <v>1191</v>
      </c>
      <c r="B1192" s="32" t="s">
        <v>1520</v>
      </c>
    </row>
    <row r="1193" customFormat="false" ht="15" hidden="false" customHeight="false" outlineLevel="0" collapsed="false">
      <c r="A1193" s="28" t="n">
        <v>1192</v>
      </c>
      <c r="B1193" s="32" t="s">
        <v>1521</v>
      </c>
    </row>
    <row r="1194" customFormat="false" ht="15" hidden="false" customHeight="false" outlineLevel="0" collapsed="false">
      <c r="A1194" s="28" t="n">
        <v>1193</v>
      </c>
      <c r="B1194" s="32" t="s">
        <v>1522</v>
      </c>
    </row>
    <row r="1195" customFormat="false" ht="15" hidden="false" customHeight="false" outlineLevel="0" collapsed="false">
      <c r="A1195" s="28" t="n">
        <v>1194</v>
      </c>
      <c r="B1195" s="32" t="s">
        <v>1523</v>
      </c>
    </row>
    <row r="1196" customFormat="false" ht="15" hidden="false" customHeight="false" outlineLevel="0" collapsed="false">
      <c r="A1196" s="28" t="n">
        <v>1195</v>
      </c>
      <c r="B1196" s="32" t="s">
        <v>1524</v>
      </c>
    </row>
    <row r="1197" customFormat="false" ht="15" hidden="false" customHeight="false" outlineLevel="0" collapsed="false">
      <c r="A1197" s="28" t="n">
        <v>1196</v>
      </c>
      <c r="B1197" s="32" t="s">
        <v>1525</v>
      </c>
    </row>
    <row r="1198" customFormat="false" ht="15" hidden="false" customHeight="false" outlineLevel="0" collapsed="false">
      <c r="A1198" s="28" t="n">
        <v>1197</v>
      </c>
      <c r="B1198" s="32" t="s">
        <v>1526</v>
      </c>
    </row>
    <row r="1199" customFormat="false" ht="15" hidden="false" customHeight="false" outlineLevel="0" collapsed="false">
      <c r="A1199" s="28" t="n">
        <v>1198</v>
      </c>
      <c r="B1199" s="32" t="s">
        <v>1527</v>
      </c>
    </row>
    <row r="1200" customFormat="false" ht="15" hidden="false" customHeight="false" outlineLevel="0" collapsed="false">
      <c r="A1200" s="28" t="n">
        <v>1199</v>
      </c>
      <c r="B1200" s="32" t="s">
        <v>1528</v>
      </c>
    </row>
    <row r="1201" customFormat="false" ht="15" hidden="false" customHeight="false" outlineLevel="0" collapsed="false">
      <c r="A1201" s="28" t="n">
        <v>1200</v>
      </c>
      <c r="B1201" s="32" t="s">
        <v>1529</v>
      </c>
    </row>
    <row r="1202" customFormat="false" ht="15" hidden="false" customHeight="false" outlineLevel="0" collapsed="false">
      <c r="A1202" s="28" t="n">
        <v>1201</v>
      </c>
      <c r="B1202" s="32" t="s">
        <v>1530</v>
      </c>
    </row>
    <row r="1203" customFormat="false" ht="15" hidden="false" customHeight="false" outlineLevel="0" collapsed="false">
      <c r="A1203" s="28" t="n">
        <v>1202</v>
      </c>
      <c r="B1203" s="32" t="s">
        <v>1531</v>
      </c>
    </row>
    <row r="1204" customFormat="false" ht="15" hidden="false" customHeight="false" outlineLevel="0" collapsed="false">
      <c r="A1204" s="28" t="n">
        <v>1203</v>
      </c>
      <c r="B1204" s="32" t="s">
        <v>1532</v>
      </c>
    </row>
    <row r="1205" customFormat="false" ht="15" hidden="false" customHeight="false" outlineLevel="0" collapsed="false">
      <c r="A1205" s="28" t="n">
        <v>1204</v>
      </c>
      <c r="B1205" s="32" t="s">
        <v>1533</v>
      </c>
    </row>
    <row r="1206" customFormat="false" ht="15" hidden="false" customHeight="false" outlineLevel="0" collapsed="false">
      <c r="A1206" s="28" t="n">
        <v>1205</v>
      </c>
      <c r="B1206" s="32" t="s">
        <v>1534</v>
      </c>
    </row>
    <row r="1207" customFormat="false" ht="15" hidden="false" customHeight="false" outlineLevel="0" collapsed="false">
      <c r="A1207" s="28" t="n">
        <v>1206</v>
      </c>
      <c r="B1207" s="32" t="s">
        <v>1535</v>
      </c>
    </row>
    <row r="1208" customFormat="false" ht="15" hidden="false" customHeight="false" outlineLevel="0" collapsed="false">
      <c r="A1208" s="28" t="n">
        <v>1207</v>
      </c>
      <c r="B1208" s="32" t="s">
        <v>1536</v>
      </c>
    </row>
    <row r="1209" customFormat="false" ht="15" hidden="false" customHeight="false" outlineLevel="0" collapsed="false">
      <c r="A1209" s="28" t="n">
        <v>1208</v>
      </c>
      <c r="B1209" s="32" t="s">
        <v>1537</v>
      </c>
    </row>
    <row r="1210" customFormat="false" ht="15" hidden="false" customHeight="false" outlineLevel="0" collapsed="false">
      <c r="A1210" s="28" t="n">
        <v>1209</v>
      </c>
      <c r="B1210" s="32" t="s">
        <v>1538</v>
      </c>
    </row>
    <row r="1211" customFormat="false" ht="15" hidden="false" customHeight="false" outlineLevel="0" collapsed="false">
      <c r="A1211" s="28" t="n">
        <v>1210</v>
      </c>
      <c r="B1211" s="32" t="s">
        <v>1539</v>
      </c>
    </row>
    <row r="1212" customFormat="false" ht="15" hidden="false" customHeight="false" outlineLevel="0" collapsed="false">
      <c r="A1212" s="28" t="n">
        <v>1211</v>
      </c>
      <c r="B1212" s="32" t="s">
        <v>1540</v>
      </c>
    </row>
    <row r="1213" customFormat="false" ht="15" hidden="false" customHeight="false" outlineLevel="0" collapsed="false">
      <c r="A1213" s="28" t="n">
        <v>1212</v>
      </c>
      <c r="B1213" s="32" t="s">
        <v>1541</v>
      </c>
    </row>
    <row r="1214" customFormat="false" ht="15" hidden="false" customHeight="false" outlineLevel="0" collapsed="false">
      <c r="A1214" s="28" t="n">
        <v>1213</v>
      </c>
      <c r="B1214" s="32" t="s">
        <v>1542</v>
      </c>
    </row>
    <row r="1215" customFormat="false" ht="15" hidden="false" customHeight="false" outlineLevel="0" collapsed="false">
      <c r="A1215" s="28" t="n">
        <v>1214</v>
      </c>
      <c r="B1215" s="32" t="s">
        <v>1543</v>
      </c>
    </row>
    <row r="1216" customFormat="false" ht="15" hidden="false" customHeight="false" outlineLevel="0" collapsed="false">
      <c r="A1216" s="28" t="n">
        <v>1215</v>
      </c>
      <c r="B1216" s="32" t="s">
        <v>1544</v>
      </c>
    </row>
    <row r="1217" customFormat="false" ht="15" hidden="false" customHeight="false" outlineLevel="0" collapsed="false">
      <c r="A1217" s="28" t="n">
        <v>1216</v>
      </c>
      <c r="B1217" s="32" t="s">
        <v>1545</v>
      </c>
    </row>
    <row r="1218" customFormat="false" ht="15" hidden="false" customHeight="false" outlineLevel="0" collapsed="false">
      <c r="A1218" s="28" t="n">
        <v>1217</v>
      </c>
      <c r="B1218" s="32" t="s">
        <v>1546</v>
      </c>
    </row>
    <row r="1219" customFormat="false" ht="15" hidden="false" customHeight="false" outlineLevel="0" collapsed="false">
      <c r="A1219" s="28" t="n">
        <v>1218</v>
      </c>
      <c r="B1219" s="32" t="s">
        <v>1547</v>
      </c>
    </row>
    <row r="1220" customFormat="false" ht="15" hidden="false" customHeight="false" outlineLevel="0" collapsed="false">
      <c r="A1220" s="28" t="n">
        <v>1219</v>
      </c>
      <c r="B1220" s="32" t="s">
        <v>1548</v>
      </c>
    </row>
    <row r="1221" customFormat="false" ht="15" hidden="false" customHeight="false" outlineLevel="0" collapsed="false">
      <c r="A1221" s="28" t="n">
        <v>1220</v>
      </c>
      <c r="B1221" s="32" t="s">
        <v>1549</v>
      </c>
    </row>
    <row r="1222" customFormat="false" ht="15" hidden="false" customHeight="false" outlineLevel="0" collapsed="false">
      <c r="A1222" s="28" t="n">
        <v>1221</v>
      </c>
      <c r="B1222" s="32" t="s">
        <v>1550</v>
      </c>
    </row>
    <row r="1223" customFormat="false" ht="15" hidden="false" customHeight="false" outlineLevel="0" collapsed="false">
      <c r="A1223" s="28" t="n">
        <v>1222</v>
      </c>
      <c r="B1223" s="32" t="s">
        <v>1551</v>
      </c>
    </row>
    <row r="1224" customFormat="false" ht="15" hidden="false" customHeight="false" outlineLevel="0" collapsed="false">
      <c r="A1224" s="28" t="n">
        <v>1223</v>
      </c>
      <c r="B1224" s="32" t="s">
        <v>1552</v>
      </c>
    </row>
    <row r="1225" customFormat="false" ht="15" hidden="false" customHeight="false" outlineLevel="0" collapsed="false">
      <c r="A1225" s="28" t="n">
        <v>1224</v>
      </c>
      <c r="B1225" s="32" t="s">
        <v>1553</v>
      </c>
    </row>
    <row r="1226" customFormat="false" ht="15" hidden="false" customHeight="false" outlineLevel="0" collapsed="false">
      <c r="A1226" s="28" t="n">
        <v>1225</v>
      </c>
      <c r="B1226" s="32" t="s">
        <v>1554</v>
      </c>
    </row>
    <row r="1227" customFormat="false" ht="15" hidden="false" customHeight="false" outlineLevel="0" collapsed="false">
      <c r="A1227" s="28" t="n">
        <v>1226</v>
      </c>
      <c r="B1227" s="32" t="s">
        <v>1555</v>
      </c>
    </row>
    <row r="1228" customFormat="false" ht="15" hidden="false" customHeight="false" outlineLevel="0" collapsed="false">
      <c r="A1228" s="28" t="n">
        <v>1227</v>
      </c>
      <c r="B1228" s="32" t="s">
        <v>1556</v>
      </c>
    </row>
    <row r="1229" customFormat="false" ht="15" hidden="false" customHeight="false" outlineLevel="0" collapsed="false">
      <c r="A1229" s="28" t="n">
        <v>1228</v>
      </c>
      <c r="B1229" s="32" t="s">
        <v>1557</v>
      </c>
    </row>
    <row r="1230" customFormat="false" ht="15" hidden="false" customHeight="false" outlineLevel="0" collapsed="false">
      <c r="A1230" s="28" t="n">
        <v>1229</v>
      </c>
      <c r="B1230" s="32" t="s">
        <v>1558</v>
      </c>
    </row>
    <row r="1231" customFormat="false" ht="15" hidden="false" customHeight="false" outlineLevel="0" collapsed="false">
      <c r="A1231" s="28" t="n">
        <v>1230</v>
      </c>
      <c r="B1231" s="32" t="s">
        <v>1559</v>
      </c>
    </row>
    <row r="1232" customFormat="false" ht="15" hidden="false" customHeight="false" outlineLevel="0" collapsed="false">
      <c r="A1232" s="28" t="n">
        <v>1231</v>
      </c>
      <c r="B1232" s="32" t="s">
        <v>1560</v>
      </c>
    </row>
    <row r="1233" customFormat="false" ht="15" hidden="false" customHeight="false" outlineLevel="0" collapsed="false">
      <c r="A1233" s="28" t="n">
        <v>1232</v>
      </c>
      <c r="B1233" s="32" t="s">
        <v>1561</v>
      </c>
    </row>
    <row r="1234" customFormat="false" ht="15" hidden="false" customHeight="false" outlineLevel="0" collapsed="false">
      <c r="A1234" s="28" t="n">
        <v>1233</v>
      </c>
      <c r="B1234" s="32" t="s">
        <v>1562</v>
      </c>
    </row>
    <row r="1235" customFormat="false" ht="15" hidden="false" customHeight="false" outlineLevel="0" collapsed="false">
      <c r="A1235" s="28" t="n">
        <v>1234</v>
      </c>
      <c r="B1235" s="32" t="s">
        <v>1563</v>
      </c>
    </row>
    <row r="1236" customFormat="false" ht="15" hidden="false" customHeight="false" outlineLevel="0" collapsed="false">
      <c r="A1236" s="28" t="n">
        <v>1235</v>
      </c>
      <c r="B1236" s="32" t="s">
        <v>1564</v>
      </c>
    </row>
    <row r="1237" customFormat="false" ht="15" hidden="false" customHeight="false" outlineLevel="0" collapsed="false">
      <c r="A1237" s="28" t="n">
        <v>1236</v>
      </c>
      <c r="B1237" s="32" t="s">
        <v>1565</v>
      </c>
    </row>
    <row r="1238" customFormat="false" ht="15" hidden="false" customHeight="false" outlineLevel="0" collapsed="false">
      <c r="A1238" s="28" t="n">
        <v>1237</v>
      </c>
      <c r="B1238" s="32" t="s">
        <v>1566</v>
      </c>
    </row>
    <row r="1239" customFormat="false" ht="15" hidden="false" customHeight="false" outlineLevel="0" collapsed="false">
      <c r="A1239" s="28" t="n">
        <v>1238</v>
      </c>
      <c r="B1239" s="32" t="s">
        <v>1567</v>
      </c>
    </row>
    <row r="1240" customFormat="false" ht="15" hidden="false" customHeight="false" outlineLevel="0" collapsed="false">
      <c r="A1240" s="28" t="n">
        <v>1239</v>
      </c>
      <c r="B1240" s="32" t="s">
        <v>1568</v>
      </c>
    </row>
    <row r="1241" customFormat="false" ht="15" hidden="false" customHeight="false" outlineLevel="0" collapsed="false">
      <c r="A1241" s="28" t="n">
        <v>1240</v>
      </c>
      <c r="B1241" s="32" t="s">
        <v>1569</v>
      </c>
    </row>
    <row r="1242" customFormat="false" ht="15" hidden="false" customHeight="false" outlineLevel="0" collapsed="false">
      <c r="A1242" s="28" t="n">
        <v>1241</v>
      </c>
      <c r="B1242" s="32" t="s">
        <v>1570</v>
      </c>
    </row>
    <row r="1243" customFormat="false" ht="15" hidden="false" customHeight="false" outlineLevel="0" collapsed="false">
      <c r="A1243" s="28" t="n">
        <v>1242</v>
      </c>
      <c r="B1243" s="32" t="s">
        <v>1571</v>
      </c>
    </row>
    <row r="1244" customFormat="false" ht="15" hidden="false" customHeight="false" outlineLevel="0" collapsed="false">
      <c r="A1244" s="28" t="n">
        <v>1243</v>
      </c>
      <c r="B1244" s="32" t="s">
        <v>1572</v>
      </c>
    </row>
    <row r="1245" customFormat="false" ht="15" hidden="false" customHeight="false" outlineLevel="0" collapsed="false">
      <c r="A1245" s="28" t="n">
        <v>1244</v>
      </c>
      <c r="B1245" s="32" t="s">
        <v>1573</v>
      </c>
    </row>
    <row r="1246" customFormat="false" ht="15" hidden="false" customHeight="false" outlineLevel="0" collapsed="false">
      <c r="A1246" s="28" t="n">
        <v>1245</v>
      </c>
      <c r="B1246" s="32" t="s">
        <v>1574</v>
      </c>
    </row>
    <row r="1247" customFormat="false" ht="15" hidden="false" customHeight="false" outlineLevel="0" collapsed="false">
      <c r="A1247" s="28" t="n">
        <v>1246</v>
      </c>
      <c r="B1247" s="32" t="s">
        <v>1575</v>
      </c>
    </row>
    <row r="1248" customFormat="false" ht="15" hidden="false" customHeight="false" outlineLevel="0" collapsed="false">
      <c r="A1248" s="28" t="n">
        <v>1247</v>
      </c>
      <c r="B1248" s="32" t="s">
        <v>1576</v>
      </c>
    </row>
    <row r="1249" customFormat="false" ht="15" hidden="false" customHeight="false" outlineLevel="0" collapsed="false">
      <c r="A1249" s="28" t="n">
        <v>1248</v>
      </c>
      <c r="B1249" s="32" t="s">
        <v>1577</v>
      </c>
    </row>
    <row r="1250" customFormat="false" ht="15" hidden="false" customHeight="false" outlineLevel="0" collapsed="false">
      <c r="A1250" s="28" t="n">
        <v>1249</v>
      </c>
      <c r="B1250" s="32" t="s">
        <v>1578</v>
      </c>
    </row>
    <row r="1251" customFormat="false" ht="15" hidden="false" customHeight="false" outlineLevel="0" collapsed="false">
      <c r="A1251" s="28" t="n">
        <v>1250</v>
      </c>
      <c r="B1251" s="32" t="s">
        <v>1579</v>
      </c>
    </row>
    <row r="1252" customFormat="false" ht="15" hidden="false" customHeight="false" outlineLevel="0" collapsed="false">
      <c r="A1252" s="28" t="n">
        <v>1251</v>
      </c>
      <c r="B1252" s="32" t="s">
        <v>1580</v>
      </c>
    </row>
    <row r="1253" customFormat="false" ht="15" hidden="false" customHeight="false" outlineLevel="0" collapsed="false">
      <c r="A1253" s="28" t="n">
        <v>1252</v>
      </c>
      <c r="B1253" s="32" t="s">
        <v>1581</v>
      </c>
    </row>
    <row r="1254" customFormat="false" ht="15" hidden="false" customHeight="false" outlineLevel="0" collapsed="false">
      <c r="A1254" s="28" t="n">
        <v>1253</v>
      </c>
      <c r="B1254" s="32" t="s">
        <v>1582</v>
      </c>
    </row>
    <row r="1255" customFormat="false" ht="15" hidden="false" customHeight="false" outlineLevel="0" collapsed="false">
      <c r="A1255" s="28" t="n">
        <v>1254</v>
      </c>
      <c r="B1255" s="32" t="s">
        <v>1583</v>
      </c>
    </row>
    <row r="1256" customFormat="false" ht="15" hidden="false" customHeight="false" outlineLevel="0" collapsed="false">
      <c r="A1256" s="28" t="n">
        <v>1255</v>
      </c>
      <c r="B1256" s="32" t="s">
        <v>1584</v>
      </c>
    </row>
    <row r="1257" customFormat="false" ht="15" hidden="false" customHeight="false" outlineLevel="0" collapsed="false">
      <c r="A1257" s="28" t="n">
        <v>1256</v>
      </c>
      <c r="B1257" s="32" t="s">
        <v>1585</v>
      </c>
    </row>
    <row r="1258" customFormat="false" ht="15" hidden="false" customHeight="false" outlineLevel="0" collapsed="false">
      <c r="A1258" s="28" t="n">
        <v>1257</v>
      </c>
      <c r="B1258" s="32" t="s">
        <v>1586</v>
      </c>
    </row>
    <row r="1259" customFormat="false" ht="15" hidden="false" customHeight="false" outlineLevel="0" collapsed="false">
      <c r="A1259" s="28" t="n">
        <v>1258</v>
      </c>
      <c r="B1259" s="32" t="s">
        <v>1587</v>
      </c>
    </row>
    <row r="1260" customFormat="false" ht="15" hidden="false" customHeight="false" outlineLevel="0" collapsed="false">
      <c r="A1260" s="28" t="n">
        <v>1259</v>
      </c>
      <c r="B1260" s="32" t="s">
        <v>1588</v>
      </c>
    </row>
    <row r="1261" customFormat="false" ht="15" hidden="false" customHeight="false" outlineLevel="0" collapsed="false">
      <c r="A1261" s="28" t="n">
        <v>1260</v>
      </c>
      <c r="B1261" s="32" t="s">
        <v>1589</v>
      </c>
    </row>
    <row r="1262" customFormat="false" ht="15" hidden="false" customHeight="false" outlineLevel="0" collapsed="false">
      <c r="A1262" s="28" t="n">
        <v>1261</v>
      </c>
      <c r="B1262" s="32" t="s">
        <v>1590</v>
      </c>
    </row>
    <row r="1263" customFormat="false" ht="15" hidden="false" customHeight="false" outlineLevel="0" collapsed="false">
      <c r="A1263" s="28" t="n">
        <v>1262</v>
      </c>
      <c r="B1263" s="32" t="s">
        <v>1591</v>
      </c>
    </row>
    <row r="1264" customFormat="false" ht="15" hidden="false" customHeight="false" outlineLevel="0" collapsed="false">
      <c r="A1264" s="28" t="n">
        <v>1263</v>
      </c>
      <c r="B1264" s="32" t="s">
        <v>1592</v>
      </c>
    </row>
    <row r="1265" customFormat="false" ht="15" hidden="false" customHeight="false" outlineLevel="0" collapsed="false">
      <c r="A1265" s="28" t="n">
        <v>1264</v>
      </c>
      <c r="B1265" s="32" t="s">
        <v>1593</v>
      </c>
    </row>
    <row r="1266" customFormat="false" ht="15" hidden="false" customHeight="false" outlineLevel="0" collapsed="false">
      <c r="A1266" s="28" t="n">
        <v>1265</v>
      </c>
      <c r="B1266" s="32" t="s">
        <v>1594</v>
      </c>
    </row>
    <row r="1267" customFormat="false" ht="15" hidden="false" customHeight="false" outlineLevel="0" collapsed="false">
      <c r="A1267" s="28" t="n">
        <v>1266</v>
      </c>
      <c r="B1267" s="32" t="s">
        <v>1595</v>
      </c>
    </row>
    <row r="1268" customFormat="false" ht="15" hidden="false" customHeight="false" outlineLevel="0" collapsed="false">
      <c r="A1268" s="28" t="n">
        <v>1267</v>
      </c>
      <c r="B1268" s="32" t="s">
        <v>1596</v>
      </c>
    </row>
    <row r="1269" customFormat="false" ht="15" hidden="false" customHeight="false" outlineLevel="0" collapsed="false">
      <c r="A1269" s="28" t="n">
        <v>1268</v>
      </c>
      <c r="B1269" s="32" t="s">
        <v>1597</v>
      </c>
    </row>
    <row r="1270" customFormat="false" ht="15" hidden="false" customHeight="false" outlineLevel="0" collapsed="false">
      <c r="A1270" s="28" t="n">
        <v>1269</v>
      </c>
      <c r="B1270" s="32" t="s">
        <v>1598</v>
      </c>
    </row>
    <row r="1271" customFormat="false" ht="15" hidden="false" customHeight="false" outlineLevel="0" collapsed="false">
      <c r="A1271" s="28" t="n">
        <v>1270</v>
      </c>
      <c r="B1271" s="32" t="s">
        <v>1599</v>
      </c>
    </row>
    <row r="1272" customFormat="false" ht="15" hidden="false" customHeight="false" outlineLevel="0" collapsed="false">
      <c r="A1272" s="28" t="n">
        <v>1271</v>
      </c>
      <c r="B1272" s="32" t="s">
        <v>1600</v>
      </c>
    </row>
    <row r="1273" customFormat="false" ht="15" hidden="false" customHeight="false" outlineLevel="0" collapsed="false">
      <c r="A1273" s="28" t="n">
        <v>1272</v>
      </c>
      <c r="B1273" s="32" t="s">
        <v>1601</v>
      </c>
    </row>
    <row r="1274" customFormat="false" ht="15" hidden="false" customHeight="false" outlineLevel="0" collapsed="false">
      <c r="A1274" s="28" t="n">
        <v>1273</v>
      </c>
      <c r="B1274" s="32" t="s">
        <v>1602</v>
      </c>
    </row>
    <row r="1275" customFormat="false" ht="15" hidden="false" customHeight="false" outlineLevel="0" collapsed="false">
      <c r="A1275" s="28" t="n">
        <v>1274</v>
      </c>
      <c r="B1275" s="32" t="s">
        <v>1603</v>
      </c>
    </row>
    <row r="1276" customFormat="false" ht="15" hidden="false" customHeight="false" outlineLevel="0" collapsed="false">
      <c r="A1276" s="28" t="n">
        <v>1275</v>
      </c>
      <c r="B1276" s="32" t="s">
        <v>1604</v>
      </c>
    </row>
    <row r="1277" customFormat="false" ht="15" hidden="false" customHeight="false" outlineLevel="0" collapsed="false">
      <c r="A1277" s="28" t="n">
        <v>1276</v>
      </c>
      <c r="B1277" s="32" t="s">
        <v>1605</v>
      </c>
    </row>
    <row r="1278" customFormat="false" ht="15" hidden="false" customHeight="false" outlineLevel="0" collapsed="false">
      <c r="A1278" s="28" t="n">
        <v>1277</v>
      </c>
      <c r="B1278" s="32" t="s">
        <v>1606</v>
      </c>
    </row>
    <row r="1279" customFormat="false" ht="15" hidden="false" customHeight="false" outlineLevel="0" collapsed="false">
      <c r="A1279" s="28" t="n">
        <v>1278</v>
      </c>
      <c r="B1279" s="32" t="s">
        <v>1607</v>
      </c>
    </row>
    <row r="1280" customFormat="false" ht="15" hidden="false" customHeight="false" outlineLevel="0" collapsed="false">
      <c r="A1280" s="28" t="n">
        <v>1279</v>
      </c>
      <c r="B1280" s="32" t="s">
        <v>1608</v>
      </c>
    </row>
    <row r="1281" customFormat="false" ht="15" hidden="false" customHeight="false" outlineLevel="0" collapsed="false">
      <c r="A1281" s="28" t="n">
        <v>1280</v>
      </c>
      <c r="B1281" s="32" t="s">
        <v>1609</v>
      </c>
    </row>
    <row r="1282" customFormat="false" ht="15" hidden="false" customHeight="false" outlineLevel="0" collapsed="false">
      <c r="A1282" s="28" t="n">
        <v>1281</v>
      </c>
      <c r="B1282" s="32" t="s">
        <v>1610</v>
      </c>
    </row>
    <row r="1283" customFormat="false" ht="15" hidden="false" customHeight="false" outlineLevel="0" collapsed="false">
      <c r="A1283" s="28" t="n">
        <v>1282</v>
      </c>
      <c r="B1283" s="32" t="s">
        <v>1611</v>
      </c>
    </row>
    <row r="1284" customFormat="false" ht="15" hidden="false" customHeight="false" outlineLevel="0" collapsed="false">
      <c r="A1284" s="28" t="n">
        <v>1283</v>
      </c>
      <c r="B1284" s="32" t="s">
        <v>1612</v>
      </c>
    </row>
    <row r="1285" customFormat="false" ht="15" hidden="false" customHeight="false" outlineLevel="0" collapsed="false">
      <c r="A1285" s="28" t="n">
        <v>1284</v>
      </c>
      <c r="B1285" s="32" t="s">
        <v>1613</v>
      </c>
    </row>
    <row r="1286" customFormat="false" ht="15" hidden="false" customHeight="false" outlineLevel="0" collapsed="false">
      <c r="A1286" s="28" t="n">
        <v>1285</v>
      </c>
      <c r="B1286" s="32" t="s">
        <v>1614</v>
      </c>
    </row>
    <row r="1287" customFormat="false" ht="15" hidden="false" customHeight="false" outlineLevel="0" collapsed="false">
      <c r="A1287" s="28" t="n">
        <v>1286</v>
      </c>
      <c r="B1287" s="32" t="s">
        <v>1615</v>
      </c>
    </row>
    <row r="1288" customFormat="false" ht="15" hidden="false" customHeight="false" outlineLevel="0" collapsed="false">
      <c r="A1288" s="28" t="n">
        <v>1287</v>
      </c>
      <c r="B1288" s="32" t="s">
        <v>1616</v>
      </c>
    </row>
    <row r="1289" customFormat="false" ht="15" hidden="false" customHeight="false" outlineLevel="0" collapsed="false">
      <c r="A1289" s="28" t="n">
        <v>1288</v>
      </c>
      <c r="B1289" s="32" t="s">
        <v>1617</v>
      </c>
    </row>
    <row r="1290" customFormat="false" ht="15" hidden="false" customHeight="false" outlineLevel="0" collapsed="false">
      <c r="A1290" s="28" t="n">
        <v>1289</v>
      </c>
      <c r="B1290" s="32" t="s">
        <v>1618</v>
      </c>
    </row>
    <row r="1291" customFormat="false" ht="15" hidden="false" customHeight="false" outlineLevel="0" collapsed="false">
      <c r="A1291" s="28" t="n">
        <v>1290</v>
      </c>
      <c r="B1291" s="32" t="s">
        <v>1619</v>
      </c>
    </row>
    <row r="1292" customFormat="false" ht="15" hidden="false" customHeight="false" outlineLevel="0" collapsed="false">
      <c r="A1292" s="28" t="n">
        <v>1291</v>
      </c>
      <c r="B1292" s="32" t="s">
        <v>1620</v>
      </c>
    </row>
    <row r="1293" customFormat="false" ht="15" hidden="false" customHeight="false" outlineLevel="0" collapsed="false">
      <c r="A1293" s="28" t="n">
        <v>1292</v>
      </c>
      <c r="B1293" s="32" t="s">
        <v>1621</v>
      </c>
    </row>
    <row r="1294" customFormat="false" ht="15" hidden="false" customHeight="false" outlineLevel="0" collapsed="false">
      <c r="A1294" s="28" t="n">
        <v>1293</v>
      </c>
      <c r="B1294" s="32" t="s">
        <v>1622</v>
      </c>
    </row>
    <row r="1295" customFormat="false" ht="15" hidden="false" customHeight="false" outlineLevel="0" collapsed="false">
      <c r="A1295" s="28" t="n">
        <v>1294</v>
      </c>
      <c r="B1295" s="32" t="s">
        <v>1623</v>
      </c>
    </row>
    <row r="1296" customFormat="false" ht="15" hidden="false" customHeight="false" outlineLevel="0" collapsed="false">
      <c r="A1296" s="28" t="n">
        <v>1295</v>
      </c>
      <c r="B1296" s="32" t="s">
        <v>1624</v>
      </c>
    </row>
    <row r="1297" customFormat="false" ht="15" hidden="false" customHeight="false" outlineLevel="0" collapsed="false">
      <c r="A1297" s="28" t="n">
        <v>1296</v>
      </c>
      <c r="B1297" s="32" t="s">
        <v>1625</v>
      </c>
    </row>
    <row r="1298" customFormat="false" ht="15" hidden="false" customHeight="false" outlineLevel="0" collapsed="false">
      <c r="A1298" s="28" t="n">
        <v>1297</v>
      </c>
      <c r="B1298" s="32" t="s">
        <v>1626</v>
      </c>
    </row>
    <row r="1299" customFormat="false" ht="15" hidden="false" customHeight="false" outlineLevel="0" collapsed="false">
      <c r="A1299" s="28" t="n">
        <v>1298</v>
      </c>
      <c r="B1299" s="32" t="s">
        <v>1627</v>
      </c>
    </row>
    <row r="1300" customFormat="false" ht="15" hidden="false" customHeight="false" outlineLevel="0" collapsed="false">
      <c r="A1300" s="28" t="n">
        <v>1299</v>
      </c>
      <c r="B1300" s="32" t="s">
        <v>1628</v>
      </c>
    </row>
    <row r="1301" customFormat="false" ht="15" hidden="false" customHeight="false" outlineLevel="0" collapsed="false">
      <c r="A1301" s="28" t="n">
        <v>1300</v>
      </c>
      <c r="B1301" s="32" t="s">
        <v>1629</v>
      </c>
    </row>
    <row r="1302" customFormat="false" ht="15" hidden="false" customHeight="false" outlineLevel="0" collapsed="false">
      <c r="A1302" s="28" t="n">
        <v>1301</v>
      </c>
      <c r="B1302" s="32" t="s">
        <v>1630</v>
      </c>
    </row>
    <row r="1303" customFormat="false" ht="15" hidden="false" customHeight="false" outlineLevel="0" collapsed="false">
      <c r="A1303" s="28" t="n">
        <v>1302</v>
      </c>
      <c r="B1303" s="32" t="s">
        <v>1631</v>
      </c>
    </row>
    <row r="1304" customFormat="false" ht="15" hidden="false" customHeight="false" outlineLevel="0" collapsed="false">
      <c r="A1304" s="28" t="n">
        <v>1303</v>
      </c>
      <c r="B1304" s="32" t="s">
        <v>1632</v>
      </c>
    </row>
    <row r="1305" customFormat="false" ht="15" hidden="false" customHeight="false" outlineLevel="0" collapsed="false">
      <c r="A1305" s="28" t="n">
        <v>1304</v>
      </c>
      <c r="B1305" s="32" t="s">
        <v>1633</v>
      </c>
    </row>
    <row r="1306" customFormat="false" ht="15" hidden="false" customHeight="false" outlineLevel="0" collapsed="false">
      <c r="A1306" s="28" t="n">
        <v>1305</v>
      </c>
      <c r="B1306" s="32" t="s">
        <v>1634</v>
      </c>
    </row>
    <row r="1307" customFormat="false" ht="15" hidden="false" customHeight="false" outlineLevel="0" collapsed="false">
      <c r="A1307" s="28" t="n">
        <v>1306</v>
      </c>
      <c r="B1307" s="32" t="s">
        <v>1635</v>
      </c>
    </row>
    <row r="1308" customFormat="false" ht="15" hidden="false" customHeight="false" outlineLevel="0" collapsed="false">
      <c r="A1308" s="28" t="n">
        <v>1307</v>
      </c>
      <c r="B1308" s="32" t="s">
        <v>1636</v>
      </c>
    </row>
    <row r="1309" customFormat="false" ht="15" hidden="false" customHeight="false" outlineLevel="0" collapsed="false">
      <c r="A1309" s="28" t="n">
        <v>1308</v>
      </c>
      <c r="B1309" s="32" t="s">
        <v>1637</v>
      </c>
    </row>
    <row r="1310" customFormat="false" ht="15" hidden="false" customHeight="false" outlineLevel="0" collapsed="false">
      <c r="A1310" s="28" t="n">
        <v>1309</v>
      </c>
      <c r="B1310" s="32" t="s">
        <v>1638</v>
      </c>
    </row>
    <row r="1311" customFormat="false" ht="15" hidden="false" customHeight="false" outlineLevel="0" collapsed="false">
      <c r="A1311" s="28" t="n">
        <v>1310</v>
      </c>
      <c r="B1311" s="32" t="s">
        <v>1639</v>
      </c>
    </row>
    <row r="1312" customFormat="false" ht="15" hidden="false" customHeight="false" outlineLevel="0" collapsed="false">
      <c r="A1312" s="28" t="n">
        <v>1311</v>
      </c>
      <c r="B1312" s="32" t="s">
        <v>1640</v>
      </c>
    </row>
    <row r="1313" customFormat="false" ht="15" hidden="false" customHeight="false" outlineLevel="0" collapsed="false">
      <c r="A1313" s="28" t="n">
        <v>1312</v>
      </c>
      <c r="B1313" s="32" t="s">
        <v>1641</v>
      </c>
    </row>
    <row r="1314" customFormat="false" ht="15" hidden="false" customHeight="false" outlineLevel="0" collapsed="false">
      <c r="A1314" s="28" t="n">
        <v>1313</v>
      </c>
      <c r="B1314" s="32" t="s">
        <v>1642</v>
      </c>
    </row>
    <row r="1315" customFormat="false" ht="15" hidden="false" customHeight="false" outlineLevel="0" collapsed="false">
      <c r="A1315" s="28" t="n">
        <v>1314</v>
      </c>
      <c r="B1315" s="32" t="s">
        <v>1643</v>
      </c>
    </row>
    <row r="1316" customFormat="false" ht="15" hidden="false" customHeight="false" outlineLevel="0" collapsed="false">
      <c r="A1316" s="28" t="n">
        <v>1315</v>
      </c>
      <c r="B1316" s="32" t="s">
        <v>1644</v>
      </c>
    </row>
    <row r="1317" customFormat="false" ht="15" hidden="false" customHeight="false" outlineLevel="0" collapsed="false">
      <c r="A1317" s="28" t="n">
        <v>1316</v>
      </c>
      <c r="B1317" s="32" t="s">
        <v>1645</v>
      </c>
    </row>
    <row r="1318" customFormat="false" ht="15" hidden="false" customHeight="false" outlineLevel="0" collapsed="false">
      <c r="A1318" s="28" t="n">
        <v>1317</v>
      </c>
      <c r="B1318" s="32" t="s">
        <v>1646</v>
      </c>
    </row>
    <row r="1319" customFormat="false" ht="15" hidden="false" customHeight="false" outlineLevel="0" collapsed="false">
      <c r="A1319" s="28" t="n">
        <v>1318</v>
      </c>
      <c r="B1319" s="32" t="s">
        <v>1647</v>
      </c>
    </row>
    <row r="1320" customFormat="false" ht="15" hidden="false" customHeight="false" outlineLevel="0" collapsed="false">
      <c r="A1320" s="28" t="n">
        <v>1319</v>
      </c>
      <c r="B1320" s="32" t="s">
        <v>1648</v>
      </c>
    </row>
    <row r="1321" customFormat="false" ht="15" hidden="false" customHeight="false" outlineLevel="0" collapsed="false">
      <c r="A1321" s="28" t="n">
        <v>1320</v>
      </c>
      <c r="B1321" s="32" t="s">
        <v>1649</v>
      </c>
    </row>
    <row r="1322" customFormat="false" ht="15" hidden="false" customHeight="false" outlineLevel="0" collapsed="false">
      <c r="A1322" s="28" t="n">
        <v>1321</v>
      </c>
      <c r="B1322" s="32" t="s">
        <v>1650</v>
      </c>
    </row>
    <row r="1323" customFormat="false" ht="15" hidden="false" customHeight="false" outlineLevel="0" collapsed="false">
      <c r="A1323" s="28" t="n">
        <v>1322</v>
      </c>
      <c r="B1323" s="32" t="s">
        <v>1651</v>
      </c>
    </row>
    <row r="1324" customFormat="false" ht="15" hidden="false" customHeight="false" outlineLevel="0" collapsed="false">
      <c r="A1324" s="28" t="n">
        <v>1323</v>
      </c>
      <c r="B1324" s="32" t="s">
        <v>1652</v>
      </c>
    </row>
    <row r="1325" customFormat="false" ht="15" hidden="false" customHeight="false" outlineLevel="0" collapsed="false">
      <c r="A1325" s="28" t="n">
        <v>1324</v>
      </c>
      <c r="B1325" s="32" t="s">
        <v>1653</v>
      </c>
    </row>
    <row r="1326" customFormat="false" ht="15" hidden="false" customHeight="false" outlineLevel="0" collapsed="false">
      <c r="A1326" s="28" t="n">
        <v>1325</v>
      </c>
      <c r="B1326" s="32" t="s">
        <v>1654</v>
      </c>
    </row>
    <row r="1327" customFormat="false" ht="15" hidden="false" customHeight="false" outlineLevel="0" collapsed="false">
      <c r="A1327" s="28" t="n">
        <v>1326</v>
      </c>
      <c r="B1327" s="32" t="s">
        <v>1655</v>
      </c>
    </row>
    <row r="1328" customFormat="false" ht="15" hidden="false" customHeight="false" outlineLevel="0" collapsed="false">
      <c r="A1328" s="28" t="n">
        <v>1327</v>
      </c>
      <c r="B1328" s="32" t="s">
        <v>1656</v>
      </c>
    </row>
    <row r="1329" customFormat="false" ht="15" hidden="false" customHeight="false" outlineLevel="0" collapsed="false">
      <c r="A1329" s="28" t="n">
        <v>1328</v>
      </c>
      <c r="B1329" s="32" t="s">
        <v>1657</v>
      </c>
    </row>
    <row r="1330" customFormat="false" ht="15" hidden="false" customHeight="false" outlineLevel="0" collapsed="false">
      <c r="A1330" s="28" t="n">
        <v>1329</v>
      </c>
      <c r="B1330" s="32" t="s">
        <v>1658</v>
      </c>
    </row>
    <row r="1331" customFormat="false" ht="15" hidden="false" customHeight="false" outlineLevel="0" collapsed="false">
      <c r="A1331" s="28" t="n">
        <v>1330</v>
      </c>
      <c r="B1331" s="32" t="s">
        <v>1659</v>
      </c>
    </row>
    <row r="1332" customFormat="false" ht="15" hidden="false" customHeight="false" outlineLevel="0" collapsed="false">
      <c r="A1332" s="28" t="n">
        <v>1331</v>
      </c>
      <c r="B1332" s="32" t="s">
        <v>1660</v>
      </c>
    </row>
    <row r="1333" customFormat="false" ht="15" hidden="false" customHeight="false" outlineLevel="0" collapsed="false">
      <c r="A1333" s="28" t="n">
        <v>1332</v>
      </c>
      <c r="B1333" s="32" t="s">
        <v>1661</v>
      </c>
    </row>
    <row r="1334" customFormat="false" ht="15" hidden="false" customHeight="false" outlineLevel="0" collapsed="false">
      <c r="A1334" s="28" t="n">
        <v>1333</v>
      </c>
      <c r="B1334" s="32" t="s">
        <v>1662</v>
      </c>
    </row>
    <row r="1335" customFormat="false" ht="15" hidden="false" customHeight="false" outlineLevel="0" collapsed="false">
      <c r="A1335" s="28" t="n">
        <v>1334</v>
      </c>
      <c r="B1335" s="32" t="s">
        <v>1663</v>
      </c>
    </row>
    <row r="1336" customFormat="false" ht="15" hidden="false" customHeight="false" outlineLevel="0" collapsed="false">
      <c r="A1336" s="28" t="n">
        <v>1335</v>
      </c>
      <c r="B1336" s="32" t="s">
        <v>1664</v>
      </c>
    </row>
    <row r="1337" customFormat="false" ht="15" hidden="false" customHeight="false" outlineLevel="0" collapsed="false">
      <c r="A1337" s="28" t="n">
        <v>1336</v>
      </c>
      <c r="B1337" s="32" t="s">
        <v>1665</v>
      </c>
    </row>
    <row r="1338" customFormat="false" ht="15" hidden="false" customHeight="false" outlineLevel="0" collapsed="false">
      <c r="A1338" s="28" t="n">
        <v>1337</v>
      </c>
      <c r="B1338" s="32" t="s">
        <v>1666</v>
      </c>
    </row>
    <row r="1339" customFormat="false" ht="15" hidden="false" customHeight="false" outlineLevel="0" collapsed="false">
      <c r="A1339" s="28" t="n">
        <v>1338</v>
      </c>
      <c r="B1339" s="32" t="s">
        <v>1667</v>
      </c>
    </row>
    <row r="1340" customFormat="false" ht="15" hidden="false" customHeight="false" outlineLevel="0" collapsed="false">
      <c r="A1340" s="28" t="n">
        <v>1339</v>
      </c>
      <c r="B1340" s="32" t="s">
        <v>1668</v>
      </c>
    </row>
    <row r="1341" customFormat="false" ht="15" hidden="false" customHeight="false" outlineLevel="0" collapsed="false">
      <c r="A1341" s="28" t="n">
        <v>1340</v>
      </c>
      <c r="B1341" s="32" t="s">
        <v>1669</v>
      </c>
    </row>
    <row r="1342" customFormat="false" ht="15" hidden="false" customHeight="false" outlineLevel="0" collapsed="false">
      <c r="A1342" s="28" t="n">
        <v>1341</v>
      </c>
      <c r="B1342" s="32" t="s">
        <v>1670</v>
      </c>
    </row>
    <row r="1343" customFormat="false" ht="15" hidden="false" customHeight="false" outlineLevel="0" collapsed="false">
      <c r="A1343" s="28" t="n">
        <v>1342</v>
      </c>
      <c r="B1343" s="32" t="s">
        <v>1671</v>
      </c>
    </row>
    <row r="1344" customFormat="false" ht="15" hidden="false" customHeight="false" outlineLevel="0" collapsed="false">
      <c r="A1344" s="28" t="n">
        <v>1343</v>
      </c>
      <c r="B1344" s="32" t="s">
        <v>1672</v>
      </c>
    </row>
    <row r="1345" customFormat="false" ht="15" hidden="false" customHeight="false" outlineLevel="0" collapsed="false">
      <c r="A1345" s="28" t="n">
        <v>1344</v>
      </c>
      <c r="B1345" s="32" t="s">
        <v>1673</v>
      </c>
    </row>
    <row r="1346" customFormat="false" ht="15" hidden="false" customHeight="false" outlineLevel="0" collapsed="false">
      <c r="A1346" s="28" t="n">
        <v>1345</v>
      </c>
      <c r="B1346" s="32" t="s">
        <v>1674</v>
      </c>
    </row>
    <row r="1347" customFormat="false" ht="15" hidden="false" customHeight="false" outlineLevel="0" collapsed="false">
      <c r="A1347" s="28" t="n">
        <v>1346</v>
      </c>
      <c r="B1347" s="32" t="s">
        <v>1675</v>
      </c>
    </row>
    <row r="1348" customFormat="false" ht="15" hidden="false" customHeight="false" outlineLevel="0" collapsed="false">
      <c r="A1348" s="28" t="n">
        <v>1347</v>
      </c>
      <c r="B1348" s="32" t="s">
        <v>1676</v>
      </c>
    </row>
    <row r="1349" customFormat="false" ht="15" hidden="false" customHeight="false" outlineLevel="0" collapsed="false">
      <c r="A1349" s="28" t="n">
        <v>1348</v>
      </c>
      <c r="B1349" s="32" t="s">
        <v>1677</v>
      </c>
    </row>
    <row r="1350" customFormat="false" ht="15" hidden="false" customHeight="false" outlineLevel="0" collapsed="false">
      <c r="A1350" s="28" t="n">
        <v>1349</v>
      </c>
      <c r="B1350" s="32" t="s">
        <v>1678</v>
      </c>
    </row>
    <row r="1351" customFormat="false" ht="15" hidden="false" customHeight="false" outlineLevel="0" collapsed="false">
      <c r="A1351" s="28" t="n">
        <v>1350</v>
      </c>
      <c r="B1351" s="32" t="s">
        <v>1679</v>
      </c>
    </row>
    <row r="1352" customFormat="false" ht="15" hidden="false" customHeight="false" outlineLevel="0" collapsed="false">
      <c r="A1352" s="28" t="n">
        <v>1351</v>
      </c>
      <c r="B1352" s="32" t="s">
        <v>1680</v>
      </c>
    </row>
    <row r="1353" customFormat="false" ht="15" hidden="false" customHeight="false" outlineLevel="0" collapsed="false">
      <c r="A1353" s="28" t="n">
        <v>1352</v>
      </c>
      <c r="B1353" s="32" t="s">
        <v>1681</v>
      </c>
    </row>
    <row r="1354" customFormat="false" ht="15" hidden="false" customHeight="false" outlineLevel="0" collapsed="false">
      <c r="A1354" s="28" t="n">
        <v>1353</v>
      </c>
      <c r="B1354" s="32" t="s">
        <v>1682</v>
      </c>
    </row>
    <row r="1355" customFormat="false" ht="15" hidden="false" customHeight="false" outlineLevel="0" collapsed="false">
      <c r="A1355" s="28" t="n">
        <v>1354</v>
      </c>
      <c r="B1355" s="32" t="s">
        <v>1683</v>
      </c>
    </row>
    <row r="1356" customFormat="false" ht="15" hidden="false" customHeight="false" outlineLevel="0" collapsed="false">
      <c r="A1356" s="28" t="n">
        <v>1355</v>
      </c>
      <c r="B1356" s="32" t="s">
        <v>1684</v>
      </c>
    </row>
    <row r="1357" customFormat="false" ht="15" hidden="false" customHeight="false" outlineLevel="0" collapsed="false">
      <c r="A1357" s="28" t="n">
        <v>1356</v>
      </c>
      <c r="B1357" s="32" t="s">
        <v>1685</v>
      </c>
    </row>
    <row r="1358" customFormat="false" ht="15" hidden="false" customHeight="false" outlineLevel="0" collapsed="false">
      <c r="A1358" s="28" t="n">
        <v>1357</v>
      </c>
      <c r="B1358" s="32" t="s">
        <v>1686</v>
      </c>
    </row>
    <row r="1359" customFormat="false" ht="15" hidden="false" customHeight="false" outlineLevel="0" collapsed="false">
      <c r="A1359" s="28" t="n">
        <v>1358</v>
      </c>
      <c r="B1359" s="32" t="s">
        <v>1687</v>
      </c>
    </row>
    <row r="1360" customFormat="false" ht="15" hidden="false" customHeight="false" outlineLevel="0" collapsed="false">
      <c r="A1360" s="28" t="n">
        <v>1359</v>
      </c>
      <c r="B1360" s="32" t="s">
        <v>1688</v>
      </c>
    </row>
    <row r="1361" customFormat="false" ht="15" hidden="false" customHeight="false" outlineLevel="0" collapsed="false">
      <c r="A1361" s="28" t="n">
        <v>1360</v>
      </c>
      <c r="B1361" s="32" t="s">
        <v>1689</v>
      </c>
    </row>
    <row r="1362" customFormat="false" ht="15" hidden="false" customHeight="false" outlineLevel="0" collapsed="false">
      <c r="A1362" s="28" t="n">
        <v>1361</v>
      </c>
      <c r="B1362" s="32" t="s">
        <v>1690</v>
      </c>
    </row>
    <row r="1363" customFormat="false" ht="15" hidden="false" customHeight="false" outlineLevel="0" collapsed="false">
      <c r="A1363" s="28" t="n">
        <v>1362</v>
      </c>
      <c r="B1363" s="32" t="s">
        <v>1691</v>
      </c>
    </row>
    <row r="1364" customFormat="false" ht="15" hidden="false" customHeight="false" outlineLevel="0" collapsed="false">
      <c r="A1364" s="28" t="n">
        <v>1363</v>
      </c>
      <c r="B1364" s="32" t="s">
        <v>1692</v>
      </c>
    </row>
    <row r="1365" customFormat="false" ht="15" hidden="false" customHeight="false" outlineLevel="0" collapsed="false">
      <c r="A1365" s="28" t="n">
        <v>1364</v>
      </c>
      <c r="B1365" s="32" t="s">
        <v>1693</v>
      </c>
    </row>
    <row r="1366" customFormat="false" ht="15" hidden="false" customHeight="false" outlineLevel="0" collapsed="false">
      <c r="A1366" s="28" t="n">
        <v>1365</v>
      </c>
      <c r="B1366" s="32" t="s">
        <v>1694</v>
      </c>
    </row>
    <row r="1367" customFormat="false" ht="15" hidden="false" customHeight="false" outlineLevel="0" collapsed="false">
      <c r="A1367" s="28" t="n">
        <v>1366</v>
      </c>
      <c r="B1367" s="32" t="s">
        <v>1695</v>
      </c>
    </row>
    <row r="1368" customFormat="false" ht="15" hidden="false" customHeight="false" outlineLevel="0" collapsed="false">
      <c r="A1368" s="28" t="n">
        <v>1367</v>
      </c>
      <c r="B1368" s="32" t="s">
        <v>1696</v>
      </c>
    </row>
    <row r="1369" customFormat="false" ht="15" hidden="false" customHeight="false" outlineLevel="0" collapsed="false">
      <c r="A1369" s="28" t="n">
        <v>1368</v>
      </c>
      <c r="B1369" s="32" t="s">
        <v>1697</v>
      </c>
    </row>
    <row r="1370" customFormat="false" ht="15" hidden="false" customHeight="false" outlineLevel="0" collapsed="false">
      <c r="A1370" s="28" t="n">
        <v>1369</v>
      </c>
      <c r="B1370" s="32" t="s">
        <v>1698</v>
      </c>
    </row>
    <row r="1371" customFormat="false" ht="15" hidden="false" customHeight="false" outlineLevel="0" collapsed="false">
      <c r="A1371" s="28" t="n">
        <v>1370</v>
      </c>
      <c r="B1371" s="32" t="s">
        <v>1699</v>
      </c>
    </row>
    <row r="1372" customFormat="false" ht="15" hidden="false" customHeight="false" outlineLevel="0" collapsed="false">
      <c r="A1372" s="28" t="n">
        <v>1371</v>
      </c>
      <c r="B1372" s="32" t="s">
        <v>1700</v>
      </c>
    </row>
    <row r="1373" customFormat="false" ht="15" hidden="false" customHeight="false" outlineLevel="0" collapsed="false">
      <c r="A1373" s="28" t="n">
        <v>1372</v>
      </c>
      <c r="B1373" s="32" t="s">
        <v>1701</v>
      </c>
    </row>
    <row r="1374" customFormat="false" ht="15" hidden="false" customHeight="false" outlineLevel="0" collapsed="false">
      <c r="A1374" s="28" t="n">
        <v>1373</v>
      </c>
      <c r="B1374" s="32" t="s">
        <v>1702</v>
      </c>
    </row>
    <row r="1375" customFormat="false" ht="15" hidden="false" customHeight="false" outlineLevel="0" collapsed="false">
      <c r="A1375" s="28" t="n">
        <v>1374</v>
      </c>
      <c r="B1375" s="32" t="s">
        <v>1703</v>
      </c>
    </row>
    <row r="1376" customFormat="false" ht="15" hidden="false" customHeight="false" outlineLevel="0" collapsed="false">
      <c r="A1376" s="28" t="n">
        <v>1375</v>
      </c>
      <c r="B1376" s="32" t="s">
        <v>1704</v>
      </c>
    </row>
    <row r="1377" customFormat="false" ht="15" hidden="false" customHeight="false" outlineLevel="0" collapsed="false">
      <c r="A1377" s="28" t="n">
        <v>1376</v>
      </c>
      <c r="B1377" s="32" t="s">
        <v>1705</v>
      </c>
    </row>
    <row r="1378" customFormat="false" ht="15" hidden="false" customHeight="false" outlineLevel="0" collapsed="false">
      <c r="A1378" s="28" t="n">
        <v>1377</v>
      </c>
      <c r="B1378" s="32" t="s">
        <v>1706</v>
      </c>
    </row>
    <row r="1379" customFormat="false" ht="15" hidden="false" customHeight="false" outlineLevel="0" collapsed="false">
      <c r="A1379" s="28" t="n">
        <v>1378</v>
      </c>
      <c r="B1379" s="32" t="s">
        <v>1707</v>
      </c>
    </row>
    <row r="1380" customFormat="false" ht="15" hidden="false" customHeight="false" outlineLevel="0" collapsed="false">
      <c r="A1380" s="28" t="n">
        <v>1379</v>
      </c>
      <c r="B1380" s="32" t="s">
        <v>1708</v>
      </c>
    </row>
    <row r="1381" customFormat="false" ht="15" hidden="false" customHeight="false" outlineLevel="0" collapsed="false">
      <c r="A1381" s="28" t="n">
        <v>1380</v>
      </c>
      <c r="B1381" s="32" t="s">
        <v>1709</v>
      </c>
    </row>
    <row r="1382" customFormat="false" ht="15" hidden="false" customHeight="false" outlineLevel="0" collapsed="false">
      <c r="A1382" s="28" t="n">
        <v>1381</v>
      </c>
      <c r="B1382" s="32" t="s">
        <v>1710</v>
      </c>
    </row>
    <row r="1383" customFormat="false" ht="15" hidden="false" customHeight="false" outlineLevel="0" collapsed="false">
      <c r="A1383" s="28" t="n">
        <v>1382</v>
      </c>
      <c r="B1383" s="32" t="s">
        <v>1711</v>
      </c>
    </row>
    <row r="1384" customFormat="false" ht="15" hidden="false" customHeight="false" outlineLevel="0" collapsed="false">
      <c r="A1384" s="28" t="n">
        <v>1383</v>
      </c>
      <c r="B1384" s="32" t="s">
        <v>1712</v>
      </c>
    </row>
    <row r="1385" customFormat="false" ht="15" hidden="false" customHeight="false" outlineLevel="0" collapsed="false">
      <c r="A1385" s="28" t="n">
        <v>1384</v>
      </c>
      <c r="B1385" s="32" t="s">
        <v>1713</v>
      </c>
    </row>
    <row r="1386" customFormat="false" ht="15" hidden="false" customHeight="false" outlineLevel="0" collapsed="false">
      <c r="A1386" s="28" t="n">
        <v>1385</v>
      </c>
      <c r="B1386" s="32" t="s">
        <v>1714</v>
      </c>
    </row>
    <row r="1387" customFormat="false" ht="15" hidden="false" customHeight="false" outlineLevel="0" collapsed="false">
      <c r="A1387" s="28" t="n">
        <v>1386</v>
      </c>
      <c r="B1387" s="32" t="s">
        <v>1715</v>
      </c>
    </row>
    <row r="1388" customFormat="false" ht="15" hidden="false" customHeight="false" outlineLevel="0" collapsed="false">
      <c r="A1388" s="28" t="n">
        <v>1387</v>
      </c>
      <c r="B1388" s="32" t="s">
        <v>1716</v>
      </c>
    </row>
    <row r="1389" customFormat="false" ht="15" hidden="false" customHeight="false" outlineLevel="0" collapsed="false">
      <c r="A1389" s="28" t="n">
        <v>1388</v>
      </c>
      <c r="B1389" s="32" t="s">
        <v>1717</v>
      </c>
    </row>
    <row r="1390" customFormat="false" ht="15" hidden="false" customHeight="false" outlineLevel="0" collapsed="false">
      <c r="A1390" s="28" t="n">
        <v>1389</v>
      </c>
      <c r="B1390" s="32" t="s">
        <v>1718</v>
      </c>
    </row>
    <row r="1391" customFormat="false" ht="15" hidden="false" customHeight="false" outlineLevel="0" collapsed="false">
      <c r="A1391" s="28" t="n">
        <v>1390</v>
      </c>
      <c r="B1391" s="32" t="s">
        <v>1719</v>
      </c>
    </row>
    <row r="1392" customFormat="false" ht="15" hidden="false" customHeight="false" outlineLevel="0" collapsed="false">
      <c r="A1392" s="28" t="n">
        <v>1391</v>
      </c>
      <c r="B1392" s="32" t="s">
        <v>1720</v>
      </c>
    </row>
    <row r="1393" customFormat="false" ht="15" hidden="false" customHeight="false" outlineLevel="0" collapsed="false">
      <c r="A1393" s="28" t="n">
        <v>1392</v>
      </c>
      <c r="B1393" s="32" t="s">
        <v>1721</v>
      </c>
    </row>
    <row r="1394" customFormat="false" ht="15" hidden="false" customHeight="false" outlineLevel="0" collapsed="false">
      <c r="A1394" s="28" t="n">
        <v>1393</v>
      </c>
      <c r="B1394" s="32" t="s">
        <v>1722</v>
      </c>
    </row>
    <row r="1395" customFormat="false" ht="15" hidden="false" customHeight="false" outlineLevel="0" collapsed="false">
      <c r="A1395" s="28" t="n">
        <v>1394</v>
      </c>
      <c r="B1395" s="32" t="s">
        <v>1723</v>
      </c>
    </row>
    <row r="1396" customFormat="false" ht="15" hidden="false" customHeight="false" outlineLevel="0" collapsed="false">
      <c r="A1396" s="28" t="n">
        <v>1395</v>
      </c>
      <c r="B1396" s="32" t="s">
        <v>1724</v>
      </c>
    </row>
    <row r="1397" customFormat="false" ht="15" hidden="false" customHeight="false" outlineLevel="0" collapsed="false">
      <c r="A1397" s="28" t="n">
        <v>1396</v>
      </c>
      <c r="B1397" s="32" t="s">
        <v>1725</v>
      </c>
    </row>
    <row r="1398" customFormat="false" ht="15" hidden="false" customHeight="false" outlineLevel="0" collapsed="false">
      <c r="A1398" s="28" t="n">
        <v>1397</v>
      </c>
      <c r="B1398" s="32" t="s">
        <v>1726</v>
      </c>
    </row>
    <row r="1399" customFormat="false" ht="15" hidden="false" customHeight="false" outlineLevel="0" collapsed="false">
      <c r="A1399" s="28" t="n">
        <v>1398</v>
      </c>
      <c r="B1399" s="32" t="s">
        <v>1727</v>
      </c>
    </row>
    <row r="1400" customFormat="false" ht="15" hidden="false" customHeight="false" outlineLevel="0" collapsed="false">
      <c r="A1400" s="28" t="n">
        <v>1399</v>
      </c>
      <c r="B1400" s="32" t="s">
        <v>1728</v>
      </c>
    </row>
    <row r="1401" customFormat="false" ht="15" hidden="false" customHeight="false" outlineLevel="0" collapsed="false">
      <c r="A1401" s="28" t="n">
        <v>1400</v>
      </c>
      <c r="B1401" s="32" t="s">
        <v>1729</v>
      </c>
    </row>
    <row r="1402" customFormat="false" ht="15" hidden="false" customHeight="false" outlineLevel="0" collapsed="false">
      <c r="A1402" s="28" t="n">
        <v>1401</v>
      </c>
      <c r="B1402" s="32" t="s">
        <v>1730</v>
      </c>
    </row>
    <row r="1403" customFormat="false" ht="15" hidden="false" customHeight="false" outlineLevel="0" collapsed="false">
      <c r="A1403" s="28" t="n">
        <v>1402</v>
      </c>
      <c r="B1403" s="32" t="s">
        <v>1731</v>
      </c>
    </row>
    <row r="1404" customFormat="false" ht="15" hidden="false" customHeight="false" outlineLevel="0" collapsed="false">
      <c r="A1404" s="28" t="n">
        <v>1403</v>
      </c>
      <c r="B1404" s="32" t="s">
        <v>1732</v>
      </c>
    </row>
    <row r="1405" customFormat="false" ht="15" hidden="false" customHeight="false" outlineLevel="0" collapsed="false">
      <c r="A1405" s="28" t="n">
        <v>1404</v>
      </c>
      <c r="B1405" s="32" t="s">
        <v>1733</v>
      </c>
    </row>
    <row r="1406" customFormat="false" ht="15" hidden="false" customHeight="false" outlineLevel="0" collapsed="false">
      <c r="A1406" s="28" t="n">
        <v>1405</v>
      </c>
      <c r="B1406" s="32" t="s">
        <v>1734</v>
      </c>
    </row>
    <row r="1407" customFormat="false" ht="15" hidden="false" customHeight="false" outlineLevel="0" collapsed="false">
      <c r="A1407" s="28" t="n">
        <v>1406</v>
      </c>
      <c r="B1407" s="32" t="s">
        <v>1735</v>
      </c>
    </row>
    <row r="1408" customFormat="false" ht="15" hidden="false" customHeight="false" outlineLevel="0" collapsed="false">
      <c r="A1408" s="28" t="n">
        <v>1407</v>
      </c>
      <c r="B1408" s="32" t="s">
        <v>1736</v>
      </c>
    </row>
    <row r="1409" customFormat="false" ht="15" hidden="false" customHeight="false" outlineLevel="0" collapsed="false">
      <c r="A1409" s="28" t="n">
        <v>1408</v>
      </c>
      <c r="B1409" s="32" t="s">
        <v>1737</v>
      </c>
    </row>
    <row r="1410" customFormat="false" ht="15" hidden="false" customHeight="false" outlineLevel="0" collapsed="false">
      <c r="A1410" s="28" t="n">
        <v>1409</v>
      </c>
      <c r="B1410" s="32" t="s">
        <v>1738</v>
      </c>
    </row>
    <row r="1411" customFormat="false" ht="15" hidden="false" customHeight="false" outlineLevel="0" collapsed="false">
      <c r="A1411" s="28" t="n">
        <v>1410</v>
      </c>
      <c r="B1411" s="32" t="s">
        <v>1739</v>
      </c>
    </row>
    <row r="1412" customFormat="false" ht="15" hidden="false" customHeight="false" outlineLevel="0" collapsed="false">
      <c r="A1412" s="28" t="n">
        <v>1411</v>
      </c>
      <c r="B1412" s="32" t="s">
        <v>1740</v>
      </c>
    </row>
    <row r="1413" customFormat="false" ht="15" hidden="false" customHeight="false" outlineLevel="0" collapsed="false">
      <c r="A1413" s="28" t="n">
        <v>1412</v>
      </c>
      <c r="B1413" s="32" t="s">
        <v>1741</v>
      </c>
    </row>
    <row r="1414" customFormat="false" ht="15" hidden="false" customHeight="false" outlineLevel="0" collapsed="false">
      <c r="A1414" s="28" t="n">
        <v>1413</v>
      </c>
      <c r="B1414" s="32" t="s">
        <v>1742</v>
      </c>
    </row>
    <row r="1415" customFormat="false" ht="15" hidden="false" customHeight="false" outlineLevel="0" collapsed="false">
      <c r="A1415" s="28" t="n">
        <v>1414</v>
      </c>
      <c r="B1415" s="32" t="s">
        <v>1743</v>
      </c>
    </row>
    <row r="1416" customFormat="false" ht="15" hidden="false" customHeight="false" outlineLevel="0" collapsed="false">
      <c r="A1416" s="28" t="n">
        <v>1415</v>
      </c>
      <c r="B1416" s="32" t="s">
        <v>1744</v>
      </c>
    </row>
    <row r="1417" customFormat="false" ht="15" hidden="false" customHeight="false" outlineLevel="0" collapsed="false">
      <c r="A1417" s="28" t="n">
        <v>1416</v>
      </c>
      <c r="B1417" s="32" t="s">
        <v>1745</v>
      </c>
    </row>
    <row r="1418" customFormat="false" ht="15" hidden="false" customHeight="false" outlineLevel="0" collapsed="false">
      <c r="A1418" s="28" t="n">
        <v>1417</v>
      </c>
      <c r="B1418" s="32" t="s">
        <v>1746</v>
      </c>
    </row>
    <row r="1419" customFormat="false" ht="15" hidden="false" customHeight="false" outlineLevel="0" collapsed="false">
      <c r="A1419" s="28" t="n">
        <v>1418</v>
      </c>
      <c r="B1419" s="32" t="s">
        <v>1747</v>
      </c>
    </row>
    <row r="1420" customFormat="false" ht="15" hidden="false" customHeight="false" outlineLevel="0" collapsed="false">
      <c r="A1420" s="28" t="n">
        <v>1419</v>
      </c>
      <c r="B1420" s="32" t="s">
        <v>1748</v>
      </c>
    </row>
    <row r="1421" customFormat="false" ht="15" hidden="false" customHeight="false" outlineLevel="0" collapsed="false">
      <c r="A1421" s="28" t="n">
        <v>1420</v>
      </c>
      <c r="B1421" s="32" t="s">
        <v>1749</v>
      </c>
    </row>
    <row r="1422" customFormat="false" ht="15" hidden="false" customHeight="false" outlineLevel="0" collapsed="false">
      <c r="A1422" s="28" t="n">
        <v>1421</v>
      </c>
      <c r="B1422" s="32" t="s">
        <v>1750</v>
      </c>
    </row>
    <row r="1423" customFormat="false" ht="15" hidden="false" customHeight="false" outlineLevel="0" collapsed="false">
      <c r="A1423" s="28" t="n">
        <v>1422</v>
      </c>
      <c r="B1423" s="32" t="s">
        <v>1751</v>
      </c>
    </row>
    <row r="1424" customFormat="false" ht="15" hidden="false" customHeight="false" outlineLevel="0" collapsed="false">
      <c r="A1424" s="28" t="n">
        <v>1423</v>
      </c>
      <c r="B1424" s="32" t="s">
        <v>1752</v>
      </c>
    </row>
    <row r="1425" customFormat="false" ht="15" hidden="false" customHeight="false" outlineLevel="0" collapsed="false">
      <c r="A1425" s="28" t="n">
        <v>1424</v>
      </c>
      <c r="B1425" s="32" t="s">
        <v>1753</v>
      </c>
    </row>
    <row r="1426" customFormat="false" ht="15" hidden="false" customHeight="false" outlineLevel="0" collapsed="false">
      <c r="A1426" s="28" t="n">
        <v>1425</v>
      </c>
      <c r="B1426" s="32" t="s">
        <v>1754</v>
      </c>
    </row>
    <row r="1427" customFormat="false" ht="15" hidden="false" customHeight="false" outlineLevel="0" collapsed="false">
      <c r="A1427" s="28" t="n">
        <v>1426</v>
      </c>
      <c r="B1427" s="32" t="s">
        <v>1755</v>
      </c>
    </row>
    <row r="1428" customFormat="false" ht="15" hidden="false" customHeight="false" outlineLevel="0" collapsed="false">
      <c r="A1428" s="28" t="n">
        <v>1427</v>
      </c>
      <c r="B1428" s="32" t="s">
        <v>1756</v>
      </c>
    </row>
    <row r="1429" customFormat="false" ht="15" hidden="false" customHeight="false" outlineLevel="0" collapsed="false">
      <c r="A1429" s="28" t="n">
        <v>1428</v>
      </c>
      <c r="B1429" s="32" t="s">
        <v>1757</v>
      </c>
    </row>
    <row r="1430" customFormat="false" ht="15" hidden="false" customHeight="false" outlineLevel="0" collapsed="false">
      <c r="A1430" s="28" t="n">
        <v>1429</v>
      </c>
      <c r="B1430" s="32" t="s">
        <v>1758</v>
      </c>
    </row>
    <row r="1431" customFormat="false" ht="15" hidden="false" customHeight="false" outlineLevel="0" collapsed="false">
      <c r="A1431" s="28" t="n">
        <v>1430</v>
      </c>
      <c r="B1431" s="32" t="s">
        <v>1759</v>
      </c>
    </row>
    <row r="1432" customFormat="false" ht="15" hidden="false" customHeight="false" outlineLevel="0" collapsed="false">
      <c r="A1432" s="28" t="n">
        <v>1431</v>
      </c>
      <c r="B1432" s="32" t="s">
        <v>1760</v>
      </c>
    </row>
    <row r="1433" customFormat="false" ht="15" hidden="false" customHeight="false" outlineLevel="0" collapsed="false">
      <c r="A1433" s="28" t="n">
        <v>1432</v>
      </c>
      <c r="B1433" s="32" t="s">
        <v>1761</v>
      </c>
    </row>
    <row r="1434" customFormat="false" ht="15" hidden="false" customHeight="false" outlineLevel="0" collapsed="false">
      <c r="A1434" s="28" t="n">
        <v>1433</v>
      </c>
      <c r="B1434" s="32" t="s">
        <v>1762</v>
      </c>
    </row>
    <row r="1435" customFormat="false" ht="15" hidden="false" customHeight="false" outlineLevel="0" collapsed="false">
      <c r="A1435" s="28" t="n">
        <v>1434</v>
      </c>
      <c r="B1435" s="32" t="s">
        <v>1763</v>
      </c>
    </row>
    <row r="1436" customFormat="false" ht="15" hidden="false" customHeight="false" outlineLevel="0" collapsed="false">
      <c r="A1436" s="28" t="n">
        <v>1435</v>
      </c>
      <c r="B1436" s="32" t="s">
        <v>1764</v>
      </c>
    </row>
    <row r="1437" customFormat="false" ht="15" hidden="false" customHeight="false" outlineLevel="0" collapsed="false">
      <c r="A1437" s="28" t="n">
        <v>1436</v>
      </c>
      <c r="B1437" s="32" t="s">
        <v>1765</v>
      </c>
    </row>
    <row r="1438" customFormat="false" ht="15" hidden="false" customHeight="false" outlineLevel="0" collapsed="false">
      <c r="A1438" s="28" t="n">
        <v>1437</v>
      </c>
      <c r="B1438" s="32" t="s">
        <v>1766</v>
      </c>
    </row>
    <row r="1439" customFormat="false" ht="15" hidden="false" customHeight="false" outlineLevel="0" collapsed="false">
      <c r="A1439" s="28" t="n">
        <v>1438</v>
      </c>
      <c r="B1439" s="32" t="s">
        <v>1767</v>
      </c>
    </row>
    <row r="1440" customFormat="false" ht="15" hidden="false" customHeight="false" outlineLevel="0" collapsed="false">
      <c r="A1440" s="28" t="n">
        <v>1439</v>
      </c>
      <c r="B1440" s="32" t="s">
        <v>1768</v>
      </c>
    </row>
    <row r="1441" customFormat="false" ht="15" hidden="false" customHeight="false" outlineLevel="0" collapsed="false">
      <c r="A1441" s="28" t="n">
        <v>1440</v>
      </c>
      <c r="B1441" s="32" t="s">
        <v>1769</v>
      </c>
    </row>
    <row r="1442" customFormat="false" ht="15" hidden="false" customHeight="false" outlineLevel="0" collapsed="false">
      <c r="A1442" s="28" t="n">
        <v>1441</v>
      </c>
      <c r="B1442" s="32" t="s">
        <v>1770</v>
      </c>
    </row>
    <row r="1443" customFormat="false" ht="15" hidden="false" customHeight="false" outlineLevel="0" collapsed="false">
      <c r="A1443" s="28" t="n">
        <v>1442</v>
      </c>
      <c r="B1443" s="32" t="s">
        <v>1771</v>
      </c>
    </row>
    <row r="1444" customFormat="false" ht="15" hidden="false" customHeight="false" outlineLevel="0" collapsed="false">
      <c r="A1444" s="28" t="n">
        <v>1443</v>
      </c>
      <c r="B1444" s="32" t="s">
        <v>1772</v>
      </c>
    </row>
    <row r="1445" customFormat="false" ht="15" hidden="false" customHeight="false" outlineLevel="0" collapsed="false">
      <c r="A1445" s="28" t="n">
        <v>1444</v>
      </c>
      <c r="B1445" s="32" t="s">
        <v>1773</v>
      </c>
    </row>
    <row r="1446" customFormat="false" ht="15" hidden="false" customHeight="false" outlineLevel="0" collapsed="false">
      <c r="A1446" s="28" t="n">
        <v>1445</v>
      </c>
      <c r="B1446" s="32" t="s">
        <v>1774</v>
      </c>
    </row>
    <row r="1447" customFormat="false" ht="15" hidden="false" customHeight="false" outlineLevel="0" collapsed="false">
      <c r="A1447" s="28" t="n">
        <v>1446</v>
      </c>
      <c r="B1447" s="32" t="s">
        <v>1775</v>
      </c>
    </row>
    <row r="1448" customFormat="false" ht="15" hidden="false" customHeight="false" outlineLevel="0" collapsed="false">
      <c r="A1448" s="28" t="n">
        <v>1447</v>
      </c>
      <c r="B1448" s="32" t="s">
        <v>1776</v>
      </c>
    </row>
    <row r="1449" customFormat="false" ht="15" hidden="false" customHeight="false" outlineLevel="0" collapsed="false">
      <c r="A1449" s="28" t="n">
        <v>1448</v>
      </c>
      <c r="B1449" s="32" t="s">
        <v>1777</v>
      </c>
    </row>
    <row r="1450" customFormat="false" ht="15" hidden="false" customHeight="false" outlineLevel="0" collapsed="false">
      <c r="A1450" s="28" t="n">
        <v>1449</v>
      </c>
      <c r="B1450" s="32" t="s">
        <v>1778</v>
      </c>
    </row>
    <row r="1451" customFormat="false" ht="15" hidden="false" customHeight="false" outlineLevel="0" collapsed="false">
      <c r="A1451" s="28" t="n">
        <v>1450</v>
      </c>
      <c r="B1451" s="32" t="s">
        <v>1779</v>
      </c>
    </row>
    <row r="1452" customFormat="false" ht="15" hidden="false" customHeight="false" outlineLevel="0" collapsed="false">
      <c r="A1452" s="28" t="n">
        <v>1451</v>
      </c>
      <c r="B1452" s="32" t="s">
        <v>1780</v>
      </c>
    </row>
    <row r="1453" customFormat="false" ht="15" hidden="false" customHeight="false" outlineLevel="0" collapsed="false">
      <c r="A1453" s="28" t="n">
        <v>1452</v>
      </c>
      <c r="B1453" s="32" t="s">
        <v>1781</v>
      </c>
    </row>
    <row r="1454" customFormat="false" ht="15" hidden="false" customHeight="false" outlineLevel="0" collapsed="false">
      <c r="A1454" s="28" t="n">
        <v>1453</v>
      </c>
      <c r="B1454" s="32" t="s">
        <v>1782</v>
      </c>
    </row>
    <row r="1455" customFormat="false" ht="15" hidden="false" customHeight="false" outlineLevel="0" collapsed="false">
      <c r="A1455" s="28" t="n">
        <v>1454</v>
      </c>
      <c r="B1455" s="32" t="s">
        <v>1783</v>
      </c>
    </row>
    <row r="1456" customFormat="false" ht="15" hidden="false" customHeight="false" outlineLevel="0" collapsed="false">
      <c r="A1456" s="28" t="n">
        <v>1455</v>
      </c>
      <c r="B1456" s="32" t="s">
        <v>1784</v>
      </c>
    </row>
    <row r="1457" customFormat="false" ht="15" hidden="false" customHeight="false" outlineLevel="0" collapsed="false">
      <c r="A1457" s="28" t="n">
        <v>1456</v>
      </c>
      <c r="B1457" s="32" t="s">
        <v>1785</v>
      </c>
    </row>
    <row r="1458" customFormat="false" ht="15" hidden="false" customHeight="false" outlineLevel="0" collapsed="false">
      <c r="A1458" s="28" t="n">
        <v>1457</v>
      </c>
      <c r="B1458" s="32" t="s">
        <v>1786</v>
      </c>
    </row>
    <row r="1459" customFormat="false" ht="15" hidden="false" customHeight="false" outlineLevel="0" collapsed="false">
      <c r="A1459" s="28" t="n">
        <v>1458</v>
      </c>
      <c r="B1459" s="32" t="s">
        <v>1787</v>
      </c>
    </row>
    <row r="1460" customFormat="false" ht="15" hidden="false" customHeight="false" outlineLevel="0" collapsed="false">
      <c r="A1460" s="28" t="n">
        <v>1459</v>
      </c>
      <c r="B1460" s="32" t="s">
        <v>1788</v>
      </c>
    </row>
    <row r="1461" customFormat="false" ht="15" hidden="false" customHeight="false" outlineLevel="0" collapsed="false">
      <c r="A1461" s="28" t="n">
        <v>1460</v>
      </c>
      <c r="B1461" s="32" t="s">
        <v>1789</v>
      </c>
    </row>
    <row r="1462" customFormat="false" ht="15" hidden="false" customHeight="false" outlineLevel="0" collapsed="false">
      <c r="A1462" s="28" t="n">
        <v>1461</v>
      </c>
      <c r="B1462" s="32" t="s">
        <v>1790</v>
      </c>
    </row>
    <row r="1463" customFormat="false" ht="15" hidden="false" customHeight="false" outlineLevel="0" collapsed="false">
      <c r="A1463" s="28" t="n">
        <v>1462</v>
      </c>
      <c r="B1463" s="32" t="s">
        <v>1791</v>
      </c>
    </row>
    <row r="1464" customFormat="false" ht="15" hidden="false" customHeight="false" outlineLevel="0" collapsed="false">
      <c r="A1464" s="28" t="n">
        <v>1463</v>
      </c>
      <c r="B1464" s="32" t="s">
        <v>316</v>
      </c>
    </row>
    <row r="1465" customFormat="false" ht="15" hidden="false" customHeight="false" outlineLevel="0" collapsed="false">
      <c r="A1465" s="28" t="n">
        <v>1464</v>
      </c>
      <c r="B1465" s="32" t="s">
        <v>1792</v>
      </c>
    </row>
    <row r="1466" customFormat="false" ht="15" hidden="false" customHeight="false" outlineLevel="0" collapsed="false">
      <c r="A1466" s="28" t="n">
        <v>1465</v>
      </c>
      <c r="B1466" s="32" t="s">
        <v>1793</v>
      </c>
    </row>
    <row r="1467" customFormat="false" ht="15" hidden="false" customHeight="false" outlineLevel="0" collapsed="false">
      <c r="A1467" s="28" t="n">
        <v>1466</v>
      </c>
      <c r="B1467" s="32" t="s">
        <v>1794</v>
      </c>
    </row>
    <row r="1468" customFormat="false" ht="15" hidden="false" customHeight="false" outlineLevel="0" collapsed="false">
      <c r="A1468" s="28" t="n">
        <v>1467</v>
      </c>
      <c r="B1468" s="32" t="s">
        <v>1795</v>
      </c>
    </row>
    <row r="1469" customFormat="false" ht="15" hidden="false" customHeight="false" outlineLevel="0" collapsed="false">
      <c r="A1469" s="28" t="n">
        <v>1468</v>
      </c>
      <c r="B1469" s="32" t="s">
        <v>1796</v>
      </c>
    </row>
    <row r="1470" customFormat="false" ht="15" hidden="false" customHeight="false" outlineLevel="0" collapsed="false">
      <c r="A1470" s="28" t="n">
        <v>1469</v>
      </c>
      <c r="B1470" s="32" t="s">
        <v>1797</v>
      </c>
    </row>
    <row r="1471" customFormat="false" ht="15" hidden="false" customHeight="false" outlineLevel="0" collapsed="false">
      <c r="A1471" s="28" t="n">
        <v>1470</v>
      </c>
      <c r="B1471" s="32" t="s">
        <v>1798</v>
      </c>
    </row>
    <row r="1472" customFormat="false" ht="15" hidden="false" customHeight="false" outlineLevel="0" collapsed="false">
      <c r="A1472" s="28" t="n">
        <v>1471</v>
      </c>
      <c r="B1472" s="32" t="s">
        <v>1799</v>
      </c>
    </row>
    <row r="1473" customFormat="false" ht="15" hidden="false" customHeight="false" outlineLevel="0" collapsed="false">
      <c r="A1473" s="28" t="n">
        <v>1472</v>
      </c>
      <c r="B1473" s="32" t="s">
        <v>1800</v>
      </c>
    </row>
    <row r="1474" customFormat="false" ht="15" hidden="false" customHeight="false" outlineLevel="0" collapsed="false">
      <c r="A1474" s="28" t="n">
        <v>1473</v>
      </c>
      <c r="B1474" s="32" t="s">
        <v>1801</v>
      </c>
    </row>
    <row r="1475" customFormat="false" ht="15" hidden="false" customHeight="false" outlineLevel="0" collapsed="false">
      <c r="A1475" s="28" t="n">
        <v>1474</v>
      </c>
      <c r="B1475" s="32" t="s">
        <v>1802</v>
      </c>
    </row>
    <row r="1476" customFormat="false" ht="15" hidden="false" customHeight="false" outlineLevel="0" collapsed="false">
      <c r="A1476" s="28" t="n">
        <v>1475</v>
      </c>
      <c r="B1476" s="32" t="s">
        <v>1803</v>
      </c>
    </row>
    <row r="1477" customFormat="false" ht="15" hidden="false" customHeight="false" outlineLevel="0" collapsed="false">
      <c r="A1477" s="28" t="n">
        <v>1476</v>
      </c>
      <c r="B1477" s="32" t="s">
        <v>1804</v>
      </c>
    </row>
    <row r="1478" customFormat="false" ht="15" hidden="false" customHeight="false" outlineLevel="0" collapsed="false">
      <c r="A1478" s="28" t="n">
        <v>1477</v>
      </c>
      <c r="B1478" s="32" t="s">
        <v>1805</v>
      </c>
    </row>
    <row r="1479" customFormat="false" ht="15" hidden="false" customHeight="false" outlineLevel="0" collapsed="false">
      <c r="A1479" s="28" t="n">
        <v>1478</v>
      </c>
      <c r="B1479" s="32" t="s">
        <v>1806</v>
      </c>
    </row>
    <row r="1480" customFormat="false" ht="15" hidden="false" customHeight="false" outlineLevel="0" collapsed="false">
      <c r="A1480" s="28" t="n">
        <v>1479</v>
      </c>
      <c r="B1480" s="32" t="s">
        <v>1807</v>
      </c>
    </row>
    <row r="1481" customFormat="false" ht="15" hidden="false" customHeight="false" outlineLevel="0" collapsed="false">
      <c r="A1481" s="28" t="n">
        <v>1480</v>
      </c>
      <c r="B1481" s="32" t="s">
        <v>1808</v>
      </c>
    </row>
    <row r="1482" customFormat="false" ht="15" hidden="false" customHeight="false" outlineLevel="0" collapsed="false">
      <c r="A1482" s="28" t="n">
        <v>1481</v>
      </c>
      <c r="B1482" s="32" t="s">
        <v>1809</v>
      </c>
    </row>
    <row r="1483" customFormat="false" ht="15" hidden="false" customHeight="false" outlineLevel="0" collapsed="false">
      <c r="A1483" s="28" t="n">
        <v>1482</v>
      </c>
      <c r="B1483" s="32" t="s">
        <v>1810</v>
      </c>
    </row>
    <row r="1484" customFormat="false" ht="15" hidden="false" customHeight="false" outlineLevel="0" collapsed="false">
      <c r="A1484" s="28" t="n">
        <v>1483</v>
      </c>
      <c r="B1484" s="32" t="s">
        <v>1811</v>
      </c>
    </row>
    <row r="1485" customFormat="false" ht="15" hidden="false" customHeight="false" outlineLevel="0" collapsed="false">
      <c r="A1485" s="28" t="n">
        <v>1484</v>
      </c>
      <c r="B1485" s="32" t="s">
        <v>1812</v>
      </c>
    </row>
    <row r="1486" customFormat="false" ht="15" hidden="false" customHeight="false" outlineLevel="0" collapsed="false">
      <c r="A1486" s="28" t="n">
        <v>1485</v>
      </c>
      <c r="B1486" s="32" t="s">
        <v>1813</v>
      </c>
    </row>
    <row r="1487" customFormat="false" ht="15" hidden="false" customHeight="false" outlineLevel="0" collapsed="false">
      <c r="A1487" s="28" t="n">
        <v>1486</v>
      </c>
      <c r="B1487" s="32" t="s">
        <v>1814</v>
      </c>
    </row>
    <row r="1488" customFormat="false" ht="15" hidden="false" customHeight="false" outlineLevel="0" collapsed="false">
      <c r="A1488" s="28" t="n">
        <v>1487</v>
      </c>
      <c r="B1488" s="32" t="s">
        <v>1815</v>
      </c>
    </row>
    <row r="1489" customFormat="false" ht="15" hidden="false" customHeight="false" outlineLevel="0" collapsed="false">
      <c r="A1489" s="28" t="n">
        <v>1488</v>
      </c>
      <c r="B1489" s="32" t="s">
        <v>1816</v>
      </c>
    </row>
    <row r="1490" customFormat="false" ht="15" hidden="false" customHeight="false" outlineLevel="0" collapsed="false">
      <c r="A1490" s="28" t="n">
        <v>1489</v>
      </c>
      <c r="B1490" s="32" t="s">
        <v>1817</v>
      </c>
    </row>
    <row r="1491" customFormat="false" ht="15" hidden="false" customHeight="false" outlineLevel="0" collapsed="false">
      <c r="A1491" s="28" t="n">
        <v>1490</v>
      </c>
      <c r="B1491" s="32" t="s">
        <v>1818</v>
      </c>
    </row>
    <row r="1492" customFormat="false" ht="15" hidden="false" customHeight="false" outlineLevel="0" collapsed="false">
      <c r="A1492" s="28" t="n">
        <v>1491</v>
      </c>
      <c r="B1492" s="32" t="s">
        <v>1819</v>
      </c>
    </row>
    <row r="1493" customFormat="false" ht="15" hidden="false" customHeight="false" outlineLevel="0" collapsed="false">
      <c r="A1493" s="28" t="n">
        <v>1492</v>
      </c>
      <c r="B1493" s="32" t="s">
        <v>1820</v>
      </c>
    </row>
    <row r="1494" customFormat="false" ht="15" hidden="false" customHeight="false" outlineLevel="0" collapsed="false">
      <c r="A1494" s="28" t="n">
        <v>1493</v>
      </c>
      <c r="B1494" s="32" t="s">
        <v>1821</v>
      </c>
    </row>
    <row r="1495" customFormat="false" ht="15" hidden="false" customHeight="false" outlineLevel="0" collapsed="false">
      <c r="A1495" s="28" t="n">
        <v>1494</v>
      </c>
      <c r="B1495" s="32" t="s">
        <v>1822</v>
      </c>
    </row>
    <row r="1496" customFormat="false" ht="15" hidden="false" customHeight="false" outlineLevel="0" collapsed="false">
      <c r="A1496" s="28" t="n">
        <v>1495</v>
      </c>
      <c r="B1496" s="32" t="s">
        <v>1823</v>
      </c>
    </row>
    <row r="1497" customFormat="false" ht="15" hidden="false" customHeight="false" outlineLevel="0" collapsed="false">
      <c r="A1497" s="28" t="n">
        <v>1496</v>
      </c>
      <c r="B1497" s="32" t="s">
        <v>1824</v>
      </c>
    </row>
    <row r="1498" customFormat="false" ht="15" hidden="false" customHeight="false" outlineLevel="0" collapsed="false">
      <c r="A1498" s="28" t="n">
        <v>1497</v>
      </c>
      <c r="B1498" s="32" t="s">
        <v>1825</v>
      </c>
    </row>
    <row r="1499" customFormat="false" ht="15" hidden="false" customHeight="false" outlineLevel="0" collapsed="false">
      <c r="A1499" s="28" t="n">
        <v>1498</v>
      </c>
      <c r="B1499" s="32" t="s">
        <v>1826</v>
      </c>
    </row>
    <row r="1500" customFormat="false" ht="15" hidden="false" customHeight="false" outlineLevel="0" collapsed="false">
      <c r="A1500" s="28" t="n">
        <v>1499</v>
      </c>
      <c r="B1500" s="32" t="s">
        <v>1827</v>
      </c>
    </row>
    <row r="1501" customFormat="false" ht="15" hidden="false" customHeight="false" outlineLevel="0" collapsed="false">
      <c r="A1501" s="28" t="n">
        <v>1500</v>
      </c>
      <c r="B1501" s="32" t="s">
        <v>1828</v>
      </c>
    </row>
    <row r="1502" customFormat="false" ht="15" hidden="false" customHeight="false" outlineLevel="0" collapsed="false">
      <c r="A1502" s="28" t="n">
        <v>1501</v>
      </c>
      <c r="B1502" s="32" t="s">
        <v>1829</v>
      </c>
    </row>
    <row r="1503" customFormat="false" ht="15" hidden="false" customHeight="false" outlineLevel="0" collapsed="false">
      <c r="A1503" s="28" t="n">
        <v>1502</v>
      </c>
      <c r="B1503" s="32" t="s">
        <v>1830</v>
      </c>
    </row>
    <row r="1504" customFormat="false" ht="15" hidden="false" customHeight="false" outlineLevel="0" collapsed="false">
      <c r="A1504" s="28" t="n">
        <v>1503</v>
      </c>
      <c r="B1504" s="32" t="s">
        <v>1831</v>
      </c>
    </row>
    <row r="1505" customFormat="false" ht="15" hidden="false" customHeight="false" outlineLevel="0" collapsed="false">
      <c r="A1505" s="28" t="n">
        <v>1504</v>
      </c>
      <c r="B1505" s="32" t="s">
        <v>1832</v>
      </c>
    </row>
    <row r="1506" customFormat="false" ht="15" hidden="false" customHeight="false" outlineLevel="0" collapsed="false">
      <c r="A1506" s="28" t="n">
        <v>1505</v>
      </c>
      <c r="B1506" s="32" t="s">
        <v>1833</v>
      </c>
    </row>
    <row r="1507" customFormat="false" ht="15" hidden="false" customHeight="false" outlineLevel="0" collapsed="false">
      <c r="A1507" s="28" t="n">
        <v>1506</v>
      </c>
      <c r="B1507" s="32" t="s">
        <v>1834</v>
      </c>
    </row>
    <row r="1508" customFormat="false" ht="15" hidden="false" customHeight="false" outlineLevel="0" collapsed="false">
      <c r="A1508" s="28" t="n">
        <v>1507</v>
      </c>
      <c r="B1508" s="32" t="s">
        <v>1835</v>
      </c>
    </row>
    <row r="1509" customFormat="false" ht="15" hidden="false" customHeight="false" outlineLevel="0" collapsed="false">
      <c r="A1509" s="28" t="n">
        <v>1508</v>
      </c>
      <c r="B1509" s="32" t="s">
        <v>1836</v>
      </c>
    </row>
    <row r="1510" customFormat="false" ht="15" hidden="false" customHeight="false" outlineLevel="0" collapsed="false">
      <c r="A1510" s="28" t="n">
        <v>1509</v>
      </c>
      <c r="B1510" s="32" t="s">
        <v>1837</v>
      </c>
    </row>
    <row r="1511" customFormat="false" ht="15" hidden="false" customHeight="false" outlineLevel="0" collapsed="false">
      <c r="A1511" s="28" t="n">
        <v>1510</v>
      </c>
      <c r="B1511" s="32" t="s">
        <v>1838</v>
      </c>
    </row>
    <row r="1512" customFormat="false" ht="15" hidden="false" customHeight="false" outlineLevel="0" collapsed="false">
      <c r="A1512" s="28" t="n">
        <v>1511</v>
      </c>
      <c r="B1512" s="32" t="s">
        <v>1839</v>
      </c>
    </row>
    <row r="1513" customFormat="false" ht="15" hidden="false" customHeight="false" outlineLevel="0" collapsed="false">
      <c r="A1513" s="28" t="n">
        <v>1512</v>
      </c>
      <c r="B1513" s="32" t="s">
        <v>1840</v>
      </c>
    </row>
    <row r="1514" customFormat="false" ht="15" hidden="false" customHeight="false" outlineLevel="0" collapsed="false">
      <c r="A1514" s="28" t="n">
        <v>1513</v>
      </c>
      <c r="B1514" s="32" t="s">
        <v>1841</v>
      </c>
    </row>
    <row r="1515" customFormat="false" ht="15" hidden="false" customHeight="false" outlineLevel="0" collapsed="false">
      <c r="A1515" s="28" t="n">
        <v>1514</v>
      </c>
      <c r="B1515" s="32" t="s">
        <v>1842</v>
      </c>
    </row>
    <row r="1516" customFormat="false" ht="15" hidden="false" customHeight="false" outlineLevel="0" collapsed="false">
      <c r="A1516" s="28" t="n">
        <v>1515</v>
      </c>
      <c r="B1516" s="32" t="s">
        <v>1843</v>
      </c>
    </row>
    <row r="1517" customFormat="false" ht="15" hidden="false" customHeight="false" outlineLevel="0" collapsed="false">
      <c r="A1517" s="28" t="n">
        <v>1516</v>
      </c>
      <c r="B1517" s="32" t="s">
        <v>1844</v>
      </c>
    </row>
    <row r="1518" customFormat="false" ht="15" hidden="false" customHeight="false" outlineLevel="0" collapsed="false">
      <c r="A1518" s="28" t="n">
        <v>1517</v>
      </c>
      <c r="B1518" s="32" t="s">
        <v>1845</v>
      </c>
    </row>
    <row r="1519" customFormat="false" ht="15" hidden="false" customHeight="false" outlineLevel="0" collapsed="false">
      <c r="A1519" s="28" t="n">
        <v>1518</v>
      </c>
      <c r="B1519" s="32" t="s">
        <v>1846</v>
      </c>
    </row>
    <row r="1520" customFormat="false" ht="15" hidden="false" customHeight="false" outlineLevel="0" collapsed="false">
      <c r="A1520" s="28" t="n">
        <v>1519</v>
      </c>
      <c r="B1520" s="32" t="s">
        <v>1847</v>
      </c>
    </row>
    <row r="1521" customFormat="false" ht="15" hidden="false" customHeight="false" outlineLevel="0" collapsed="false">
      <c r="A1521" s="28" t="n">
        <v>1520</v>
      </c>
      <c r="B1521" s="32" t="s">
        <v>1848</v>
      </c>
    </row>
    <row r="1522" customFormat="false" ht="15" hidden="false" customHeight="false" outlineLevel="0" collapsed="false">
      <c r="A1522" s="28" t="n">
        <v>1521</v>
      </c>
      <c r="B1522" s="32" t="s">
        <v>1849</v>
      </c>
    </row>
    <row r="1523" customFormat="false" ht="15" hidden="false" customHeight="false" outlineLevel="0" collapsed="false">
      <c r="A1523" s="28" t="n">
        <v>1522</v>
      </c>
      <c r="B1523" s="32" t="s">
        <v>1850</v>
      </c>
    </row>
    <row r="1524" customFormat="false" ht="15" hidden="false" customHeight="false" outlineLevel="0" collapsed="false">
      <c r="A1524" s="28" t="n">
        <v>1523</v>
      </c>
      <c r="B1524" s="32" t="s">
        <v>1851</v>
      </c>
    </row>
    <row r="1525" customFormat="false" ht="15" hidden="false" customHeight="false" outlineLevel="0" collapsed="false">
      <c r="A1525" s="28" t="n">
        <v>1524</v>
      </c>
      <c r="B1525" s="32" t="s">
        <v>1852</v>
      </c>
    </row>
    <row r="1526" customFormat="false" ht="15" hidden="false" customHeight="false" outlineLevel="0" collapsed="false">
      <c r="A1526" s="28" t="n">
        <v>1525</v>
      </c>
      <c r="B1526" s="32" t="s">
        <v>1853</v>
      </c>
    </row>
    <row r="1527" customFormat="false" ht="15" hidden="false" customHeight="false" outlineLevel="0" collapsed="false">
      <c r="A1527" s="28" t="n">
        <v>1526</v>
      </c>
      <c r="B1527" s="32" t="s">
        <v>1854</v>
      </c>
    </row>
    <row r="1528" customFormat="false" ht="15" hidden="false" customHeight="false" outlineLevel="0" collapsed="false">
      <c r="A1528" s="28" t="n">
        <v>1527</v>
      </c>
      <c r="B1528" s="32" t="s">
        <v>1855</v>
      </c>
    </row>
    <row r="1529" customFormat="false" ht="15" hidden="false" customHeight="false" outlineLevel="0" collapsed="false">
      <c r="A1529" s="28" t="n">
        <v>1528</v>
      </c>
      <c r="B1529" s="32" t="s">
        <v>1856</v>
      </c>
    </row>
    <row r="1530" customFormat="false" ht="15" hidden="false" customHeight="false" outlineLevel="0" collapsed="false">
      <c r="A1530" s="28" t="n">
        <v>1529</v>
      </c>
      <c r="B1530" s="32" t="s">
        <v>1857</v>
      </c>
    </row>
    <row r="1531" customFormat="false" ht="15" hidden="false" customHeight="false" outlineLevel="0" collapsed="false">
      <c r="A1531" s="28" t="n">
        <v>1530</v>
      </c>
      <c r="B1531" s="32" t="s">
        <v>1858</v>
      </c>
    </row>
    <row r="1532" customFormat="false" ht="15" hidden="false" customHeight="false" outlineLevel="0" collapsed="false">
      <c r="A1532" s="28" t="n">
        <v>1531</v>
      </c>
      <c r="B1532" s="32" t="s">
        <v>1859</v>
      </c>
    </row>
    <row r="1533" customFormat="false" ht="15" hidden="false" customHeight="false" outlineLevel="0" collapsed="false">
      <c r="A1533" s="28" t="n">
        <v>1532</v>
      </c>
      <c r="B1533" s="32" t="s">
        <v>1860</v>
      </c>
    </row>
    <row r="1534" customFormat="false" ht="15" hidden="false" customHeight="false" outlineLevel="0" collapsed="false">
      <c r="A1534" s="28" t="n">
        <v>1533</v>
      </c>
      <c r="B1534" s="32" t="s">
        <v>1861</v>
      </c>
    </row>
    <row r="1535" customFormat="false" ht="15" hidden="false" customHeight="false" outlineLevel="0" collapsed="false">
      <c r="A1535" s="28" t="n">
        <v>1534</v>
      </c>
      <c r="B1535" s="32" t="s">
        <v>1862</v>
      </c>
    </row>
    <row r="1536" customFormat="false" ht="15" hidden="false" customHeight="false" outlineLevel="0" collapsed="false">
      <c r="A1536" s="28" t="n">
        <v>1535</v>
      </c>
      <c r="B1536" s="32" t="s">
        <v>1863</v>
      </c>
    </row>
    <row r="1537" customFormat="false" ht="15" hidden="false" customHeight="false" outlineLevel="0" collapsed="false">
      <c r="A1537" s="28" t="n">
        <v>1536</v>
      </c>
      <c r="B1537" s="32" t="s">
        <v>1864</v>
      </c>
    </row>
    <row r="1538" customFormat="false" ht="15" hidden="false" customHeight="false" outlineLevel="0" collapsed="false">
      <c r="A1538" s="28" t="n">
        <v>1537</v>
      </c>
      <c r="B1538" s="32" t="s">
        <v>1865</v>
      </c>
    </row>
    <row r="1539" customFormat="false" ht="15" hidden="false" customHeight="false" outlineLevel="0" collapsed="false">
      <c r="A1539" s="28" t="n">
        <v>1538</v>
      </c>
      <c r="B1539" s="32" t="s">
        <v>1866</v>
      </c>
    </row>
    <row r="1540" customFormat="false" ht="15" hidden="false" customHeight="false" outlineLevel="0" collapsed="false">
      <c r="A1540" s="28" t="n">
        <v>1539</v>
      </c>
      <c r="B1540" s="32" t="s">
        <v>1867</v>
      </c>
    </row>
    <row r="1541" customFormat="false" ht="15" hidden="false" customHeight="false" outlineLevel="0" collapsed="false">
      <c r="A1541" s="28" t="n">
        <v>1540</v>
      </c>
      <c r="B1541" s="32" t="s">
        <v>1868</v>
      </c>
    </row>
    <row r="1542" customFormat="false" ht="15" hidden="false" customHeight="false" outlineLevel="0" collapsed="false">
      <c r="A1542" s="28" t="n">
        <v>1541</v>
      </c>
      <c r="B1542" s="32" t="s">
        <v>1869</v>
      </c>
    </row>
    <row r="1543" customFormat="false" ht="15" hidden="false" customHeight="false" outlineLevel="0" collapsed="false">
      <c r="A1543" s="28" t="n">
        <v>1542</v>
      </c>
      <c r="B1543" s="32" t="s">
        <v>1870</v>
      </c>
    </row>
    <row r="1544" customFormat="false" ht="15" hidden="false" customHeight="false" outlineLevel="0" collapsed="false">
      <c r="A1544" s="28" t="n">
        <v>1543</v>
      </c>
      <c r="B1544" s="32" t="s">
        <v>1871</v>
      </c>
    </row>
    <row r="1545" customFormat="false" ht="15" hidden="false" customHeight="false" outlineLevel="0" collapsed="false">
      <c r="A1545" s="28" t="n">
        <v>1544</v>
      </c>
      <c r="B1545" s="32" t="s">
        <v>1872</v>
      </c>
    </row>
    <row r="1546" customFormat="false" ht="15" hidden="false" customHeight="false" outlineLevel="0" collapsed="false">
      <c r="A1546" s="28" t="n">
        <v>1545</v>
      </c>
      <c r="B1546" s="32" t="s">
        <v>1873</v>
      </c>
    </row>
    <row r="1547" customFormat="false" ht="15" hidden="false" customHeight="false" outlineLevel="0" collapsed="false">
      <c r="A1547" s="28" t="n">
        <v>1546</v>
      </c>
      <c r="B1547" s="32" t="s">
        <v>1874</v>
      </c>
    </row>
    <row r="1548" customFormat="false" ht="15" hidden="false" customHeight="false" outlineLevel="0" collapsed="false">
      <c r="A1548" s="28" t="n">
        <v>1547</v>
      </c>
      <c r="B1548" s="32" t="s">
        <v>1875</v>
      </c>
    </row>
    <row r="1549" customFormat="false" ht="15" hidden="false" customHeight="false" outlineLevel="0" collapsed="false">
      <c r="A1549" s="28" t="n">
        <v>1548</v>
      </c>
      <c r="B1549" s="32" t="s">
        <v>1876</v>
      </c>
    </row>
    <row r="1550" customFormat="false" ht="15" hidden="false" customHeight="false" outlineLevel="0" collapsed="false">
      <c r="A1550" s="28" t="n">
        <v>1549</v>
      </c>
      <c r="B1550" s="32" t="s">
        <v>1877</v>
      </c>
    </row>
    <row r="1551" customFormat="false" ht="15" hidden="false" customHeight="false" outlineLevel="0" collapsed="false">
      <c r="A1551" s="28" t="n">
        <v>1550</v>
      </c>
      <c r="B1551" s="32" t="s">
        <v>1878</v>
      </c>
    </row>
    <row r="1552" customFormat="false" ht="15" hidden="false" customHeight="false" outlineLevel="0" collapsed="false">
      <c r="A1552" s="28" t="n">
        <v>1551</v>
      </c>
      <c r="B1552" s="32" t="s">
        <v>1879</v>
      </c>
    </row>
    <row r="1553" customFormat="false" ht="15" hidden="false" customHeight="false" outlineLevel="0" collapsed="false">
      <c r="A1553" s="28" t="n">
        <v>1552</v>
      </c>
      <c r="B1553" s="32" t="s">
        <v>1880</v>
      </c>
    </row>
    <row r="1554" customFormat="false" ht="15" hidden="false" customHeight="false" outlineLevel="0" collapsed="false">
      <c r="A1554" s="28" t="n">
        <v>1553</v>
      </c>
      <c r="B1554" s="32" t="s">
        <v>1881</v>
      </c>
    </row>
    <row r="1555" customFormat="false" ht="15" hidden="false" customHeight="false" outlineLevel="0" collapsed="false">
      <c r="A1555" s="28" t="n">
        <v>1554</v>
      </c>
      <c r="B1555" s="32" t="s">
        <v>1882</v>
      </c>
    </row>
    <row r="1556" customFormat="false" ht="15" hidden="false" customHeight="false" outlineLevel="0" collapsed="false">
      <c r="A1556" s="28" t="n">
        <v>1555</v>
      </c>
      <c r="B1556" s="32" t="s">
        <v>1883</v>
      </c>
    </row>
    <row r="1557" customFormat="false" ht="15" hidden="false" customHeight="false" outlineLevel="0" collapsed="false">
      <c r="A1557" s="28" t="n">
        <v>1556</v>
      </c>
      <c r="B1557" s="32" t="s">
        <v>1884</v>
      </c>
    </row>
    <row r="1558" customFormat="false" ht="15" hidden="false" customHeight="false" outlineLevel="0" collapsed="false">
      <c r="A1558" s="28" t="n">
        <v>1557</v>
      </c>
      <c r="B1558" s="32" t="s">
        <v>1885</v>
      </c>
    </row>
    <row r="1559" customFormat="false" ht="15" hidden="false" customHeight="false" outlineLevel="0" collapsed="false">
      <c r="A1559" s="28" t="n">
        <v>1558</v>
      </c>
      <c r="B1559" s="32" t="s">
        <v>1886</v>
      </c>
    </row>
    <row r="1560" customFormat="false" ht="15" hidden="false" customHeight="false" outlineLevel="0" collapsed="false">
      <c r="A1560" s="28" t="n">
        <v>1559</v>
      </c>
      <c r="B1560" s="32" t="s">
        <v>1887</v>
      </c>
    </row>
    <row r="1561" customFormat="false" ht="15" hidden="false" customHeight="false" outlineLevel="0" collapsed="false">
      <c r="A1561" s="28" t="n">
        <v>1560</v>
      </c>
      <c r="B1561" s="32" t="s">
        <v>1888</v>
      </c>
    </row>
    <row r="1562" customFormat="false" ht="15" hidden="false" customHeight="false" outlineLevel="0" collapsed="false">
      <c r="A1562" s="28" t="n">
        <v>1561</v>
      </c>
      <c r="B1562" s="32" t="s">
        <v>1889</v>
      </c>
    </row>
    <row r="1563" customFormat="false" ht="15" hidden="false" customHeight="false" outlineLevel="0" collapsed="false">
      <c r="A1563" s="28" t="n">
        <v>1562</v>
      </c>
      <c r="B1563" s="32" t="s">
        <v>1890</v>
      </c>
    </row>
    <row r="1564" customFormat="false" ht="15" hidden="false" customHeight="false" outlineLevel="0" collapsed="false">
      <c r="A1564" s="28" t="n">
        <v>1563</v>
      </c>
      <c r="B1564" s="32" t="s">
        <v>1891</v>
      </c>
    </row>
    <row r="1565" customFormat="false" ht="15" hidden="false" customHeight="false" outlineLevel="0" collapsed="false">
      <c r="A1565" s="28" t="n">
        <v>1564</v>
      </c>
      <c r="B1565" s="32" t="s">
        <v>1892</v>
      </c>
    </row>
    <row r="1566" customFormat="false" ht="15" hidden="false" customHeight="false" outlineLevel="0" collapsed="false">
      <c r="A1566" s="28" t="n">
        <v>1565</v>
      </c>
      <c r="B1566" s="32" t="s">
        <v>1893</v>
      </c>
    </row>
    <row r="1567" customFormat="false" ht="15" hidden="false" customHeight="false" outlineLevel="0" collapsed="false">
      <c r="A1567" s="28" t="n">
        <v>1566</v>
      </c>
      <c r="B1567" s="32" t="s">
        <v>1894</v>
      </c>
    </row>
    <row r="1568" customFormat="false" ht="15" hidden="false" customHeight="false" outlineLevel="0" collapsed="false">
      <c r="A1568" s="28" t="n">
        <v>1567</v>
      </c>
      <c r="B1568" s="32" t="s">
        <v>1895</v>
      </c>
    </row>
    <row r="1569" customFormat="false" ht="15" hidden="false" customHeight="false" outlineLevel="0" collapsed="false">
      <c r="A1569" s="28" t="n">
        <v>1568</v>
      </c>
      <c r="B1569" s="32" t="s">
        <v>1896</v>
      </c>
    </row>
    <row r="1570" customFormat="false" ht="15" hidden="false" customHeight="false" outlineLevel="0" collapsed="false">
      <c r="A1570" s="28" t="n">
        <v>1569</v>
      </c>
      <c r="B1570" s="32" t="s">
        <v>1897</v>
      </c>
    </row>
    <row r="1571" customFormat="false" ht="15" hidden="false" customHeight="false" outlineLevel="0" collapsed="false">
      <c r="A1571" s="28" t="n">
        <v>1570</v>
      </c>
      <c r="B1571" s="32" t="s">
        <v>1898</v>
      </c>
    </row>
    <row r="1572" customFormat="false" ht="15" hidden="false" customHeight="false" outlineLevel="0" collapsed="false">
      <c r="A1572" s="28" t="n">
        <v>1571</v>
      </c>
      <c r="B1572" s="32" t="s">
        <v>1899</v>
      </c>
    </row>
    <row r="1573" customFormat="false" ht="15" hidden="false" customHeight="false" outlineLevel="0" collapsed="false">
      <c r="A1573" s="28" t="n">
        <v>1572</v>
      </c>
      <c r="B1573" s="32" t="s">
        <v>1900</v>
      </c>
    </row>
    <row r="1574" customFormat="false" ht="15" hidden="false" customHeight="false" outlineLevel="0" collapsed="false">
      <c r="A1574" s="28" t="n">
        <v>1573</v>
      </c>
      <c r="B1574" s="32" t="s">
        <v>1901</v>
      </c>
    </row>
    <row r="1575" customFormat="false" ht="15" hidden="false" customHeight="false" outlineLevel="0" collapsed="false">
      <c r="A1575" s="28" t="n">
        <v>1574</v>
      </c>
      <c r="B1575" s="32" t="s">
        <v>1902</v>
      </c>
    </row>
    <row r="1576" customFormat="false" ht="15" hidden="false" customHeight="false" outlineLevel="0" collapsed="false">
      <c r="A1576" s="28" t="n">
        <v>1575</v>
      </c>
      <c r="B1576" s="32" t="s">
        <v>1903</v>
      </c>
    </row>
    <row r="1577" customFormat="false" ht="15" hidden="false" customHeight="false" outlineLevel="0" collapsed="false">
      <c r="A1577" s="28" t="n">
        <v>1576</v>
      </c>
      <c r="B1577" s="32" t="s">
        <v>1904</v>
      </c>
    </row>
    <row r="1578" customFormat="false" ht="15" hidden="false" customHeight="false" outlineLevel="0" collapsed="false">
      <c r="A1578" s="28" t="n">
        <v>1577</v>
      </c>
      <c r="B1578" s="32" t="s">
        <v>1905</v>
      </c>
    </row>
    <row r="1579" customFormat="false" ht="15" hidden="false" customHeight="false" outlineLevel="0" collapsed="false">
      <c r="A1579" s="28" t="n">
        <v>1578</v>
      </c>
      <c r="B1579" s="32" t="s">
        <v>1906</v>
      </c>
    </row>
    <row r="1580" customFormat="false" ht="15" hidden="false" customHeight="false" outlineLevel="0" collapsed="false">
      <c r="A1580" s="28" t="n">
        <v>1579</v>
      </c>
      <c r="B1580" s="32" t="s">
        <v>1907</v>
      </c>
    </row>
    <row r="1581" customFormat="false" ht="15" hidden="false" customHeight="false" outlineLevel="0" collapsed="false">
      <c r="A1581" s="28" t="n">
        <v>1580</v>
      </c>
      <c r="B1581" s="32" t="s">
        <v>1908</v>
      </c>
    </row>
    <row r="1582" customFormat="false" ht="15" hidden="false" customHeight="false" outlineLevel="0" collapsed="false">
      <c r="A1582" s="28" t="n">
        <v>1581</v>
      </c>
      <c r="B1582" s="32" t="s">
        <v>1909</v>
      </c>
    </row>
    <row r="1583" customFormat="false" ht="15" hidden="false" customHeight="false" outlineLevel="0" collapsed="false">
      <c r="A1583" s="28" t="n">
        <v>1582</v>
      </c>
      <c r="B1583" s="32" t="s">
        <v>1910</v>
      </c>
    </row>
    <row r="1584" customFormat="false" ht="15" hidden="false" customHeight="false" outlineLevel="0" collapsed="false">
      <c r="A1584" s="28" t="n">
        <v>1583</v>
      </c>
      <c r="B1584" s="32" t="s">
        <v>1911</v>
      </c>
    </row>
    <row r="1585" customFormat="false" ht="15" hidden="false" customHeight="false" outlineLevel="0" collapsed="false">
      <c r="A1585" s="28" t="n">
        <v>1584</v>
      </c>
      <c r="B1585" s="32" t="s">
        <v>1912</v>
      </c>
    </row>
    <row r="1586" customFormat="false" ht="15" hidden="false" customHeight="false" outlineLevel="0" collapsed="false">
      <c r="A1586" s="28" t="n">
        <v>1585</v>
      </c>
      <c r="B1586" s="32" t="s">
        <v>1913</v>
      </c>
    </row>
    <row r="1587" customFormat="false" ht="15" hidden="false" customHeight="false" outlineLevel="0" collapsed="false">
      <c r="A1587" s="28" t="n">
        <v>1586</v>
      </c>
      <c r="B1587" s="32" t="s">
        <v>1914</v>
      </c>
    </row>
    <row r="1588" customFormat="false" ht="15" hidden="false" customHeight="false" outlineLevel="0" collapsed="false">
      <c r="A1588" s="28" t="n">
        <v>1587</v>
      </c>
      <c r="B1588" s="32" t="s">
        <v>1915</v>
      </c>
    </row>
    <row r="1589" customFormat="false" ht="15" hidden="false" customHeight="false" outlineLevel="0" collapsed="false">
      <c r="A1589" s="28" t="n">
        <v>1588</v>
      </c>
      <c r="B1589" s="32" t="s">
        <v>1916</v>
      </c>
    </row>
    <row r="1590" customFormat="false" ht="15" hidden="false" customHeight="false" outlineLevel="0" collapsed="false">
      <c r="A1590" s="28" t="n">
        <v>1589</v>
      </c>
      <c r="B1590" s="32" t="s">
        <v>1917</v>
      </c>
    </row>
    <row r="1591" customFormat="false" ht="15" hidden="false" customHeight="false" outlineLevel="0" collapsed="false">
      <c r="A1591" s="28" t="n">
        <v>1590</v>
      </c>
      <c r="B1591" s="32" t="s">
        <v>1918</v>
      </c>
    </row>
    <row r="1592" customFormat="false" ht="15" hidden="false" customHeight="false" outlineLevel="0" collapsed="false">
      <c r="A1592" s="28" t="n">
        <v>1591</v>
      </c>
      <c r="B1592" s="32" t="s">
        <v>1919</v>
      </c>
    </row>
    <row r="1593" customFormat="false" ht="15" hidden="false" customHeight="false" outlineLevel="0" collapsed="false">
      <c r="A1593" s="28" t="n">
        <v>1592</v>
      </c>
      <c r="B1593" s="32" t="s">
        <v>1920</v>
      </c>
    </row>
    <row r="1594" customFormat="false" ht="15" hidden="false" customHeight="false" outlineLevel="0" collapsed="false">
      <c r="A1594" s="28" t="n">
        <v>1593</v>
      </c>
      <c r="B1594" s="32" t="s">
        <v>1921</v>
      </c>
    </row>
    <row r="1595" customFormat="false" ht="15" hidden="false" customHeight="false" outlineLevel="0" collapsed="false">
      <c r="A1595" s="28" t="n">
        <v>1594</v>
      </c>
      <c r="B1595" s="32" t="s">
        <v>1922</v>
      </c>
    </row>
    <row r="1596" customFormat="false" ht="15" hidden="false" customHeight="false" outlineLevel="0" collapsed="false">
      <c r="A1596" s="28" t="n">
        <v>1595</v>
      </c>
      <c r="B1596" s="32" t="s">
        <v>1923</v>
      </c>
    </row>
    <row r="1597" customFormat="false" ht="15" hidden="false" customHeight="false" outlineLevel="0" collapsed="false">
      <c r="A1597" s="28" t="n">
        <v>1596</v>
      </c>
      <c r="B1597" s="32" t="s">
        <v>1924</v>
      </c>
    </row>
    <row r="1598" customFormat="false" ht="15" hidden="false" customHeight="false" outlineLevel="0" collapsed="false">
      <c r="A1598" s="28" t="n">
        <v>1597</v>
      </c>
      <c r="B1598" s="32" t="s">
        <v>1925</v>
      </c>
    </row>
    <row r="1599" customFormat="false" ht="15" hidden="false" customHeight="false" outlineLevel="0" collapsed="false">
      <c r="A1599" s="28" t="n">
        <v>1598</v>
      </c>
      <c r="B1599" s="32" t="s">
        <v>1926</v>
      </c>
    </row>
    <row r="1600" customFormat="false" ht="15" hidden="false" customHeight="false" outlineLevel="0" collapsed="false">
      <c r="A1600" s="28" t="n">
        <v>1599</v>
      </c>
      <c r="B1600" s="32" t="s">
        <v>1927</v>
      </c>
    </row>
    <row r="1601" customFormat="false" ht="15" hidden="false" customHeight="false" outlineLevel="0" collapsed="false">
      <c r="A1601" s="28" t="n">
        <v>1600</v>
      </c>
      <c r="B1601" s="32" t="s">
        <v>1928</v>
      </c>
    </row>
    <row r="1602" customFormat="false" ht="15" hidden="false" customHeight="false" outlineLevel="0" collapsed="false">
      <c r="A1602" s="28" t="n">
        <v>1601</v>
      </c>
      <c r="B1602" s="32" t="s">
        <v>1929</v>
      </c>
    </row>
    <row r="1603" customFormat="false" ht="15" hidden="false" customHeight="false" outlineLevel="0" collapsed="false">
      <c r="A1603" s="28" t="n">
        <v>1602</v>
      </c>
      <c r="B1603" s="32" t="s">
        <v>1930</v>
      </c>
    </row>
    <row r="1604" customFormat="false" ht="15" hidden="false" customHeight="false" outlineLevel="0" collapsed="false">
      <c r="A1604" s="28" t="n">
        <v>1603</v>
      </c>
      <c r="B1604" s="32" t="s">
        <v>1931</v>
      </c>
    </row>
    <row r="1605" customFormat="false" ht="15" hidden="false" customHeight="false" outlineLevel="0" collapsed="false">
      <c r="A1605" s="28" t="n">
        <v>1604</v>
      </c>
      <c r="B1605" s="32" t="s">
        <v>1932</v>
      </c>
    </row>
    <row r="1606" customFormat="false" ht="15" hidden="false" customHeight="false" outlineLevel="0" collapsed="false">
      <c r="A1606" s="28" t="n">
        <v>1605</v>
      </c>
      <c r="B1606" s="32" t="s">
        <v>1933</v>
      </c>
    </row>
    <row r="1607" customFormat="false" ht="15" hidden="false" customHeight="false" outlineLevel="0" collapsed="false">
      <c r="A1607" s="28" t="n">
        <v>1606</v>
      </c>
      <c r="B1607" s="32" t="s">
        <v>1934</v>
      </c>
    </row>
    <row r="1608" customFormat="false" ht="15" hidden="false" customHeight="false" outlineLevel="0" collapsed="false">
      <c r="A1608" s="28" t="n">
        <v>1607</v>
      </c>
      <c r="B1608" s="32" t="s">
        <v>1935</v>
      </c>
    </row>
    <row r="1609" customFormat="false" ht="15" hidden="false" customHeight="false" outlineLevel="0" collapsed="false">
      <c r="A1609" s="28" t="n">
        <v>1608</v>
      </c>
      <c r="B1609" s="32" t="s">
        <v>1936</v>
      </c>
    </row>
    <row r="1610" customFormat="false" ht="15" hidden="false" customHeight="false" outlineLevel="0" collapsed="false">
      <c r="A1610" s="28" t="n">
        <v>1609</v>
      </c>
      <c r="B1610" s="32" t="s">
        <v>1937</v>
      </c>
    </row>
    <row r="1611" customFormat="false" ht="15" hidden="false" customHeight="false" outlineLevel="0" collapsed="false">
      <c r="A1611" s="28" t="n">
        <v>1610</v>
      </c>
      <c r="B1611" s="32" t="s">
        <v>1938</v>
      </c>
    </row>
    <row r="1612" customFormat="false" ht="15" hidden="false" customHeight="false" outlineLevel="0" collapsed="false">
      <c r="A1612" s="28" t="n">
        <v>1611</v>
      </c>
      <c r="B1612" s="32" t="s">
        <v>1939</v>
      </c>
    </row>
    <row r="1613" customFormat="false" ht="15" hidden="false" customHeight="false" outlineLevel="0" collapsed="false">
      <c r="A1613" s="28" t="n">
        <v>1612</v>
      </c>
      <c r="B1613" s="32" t="s">
        <v>1940</v>
      </c>
    </row>
    <row r="1614" customFormat="false" ht="15" hidden="false" customHeight="false" outlineLevel="0" collapsed="false">
      <c r="A1614" s="28" t="n">
        <v>1613</v>
      </c>
      <c r="B1614" s="32" t="s">
        <v>1941</v>
      </c>
    </row>
    <row r="1615" customFormat="false" ht="15" hidden="false" customHeight="false" outlineLevel="0" collapsed="false">
      <c r="A1615" s="28" t="n">
        <v>1614</v>
      </c>
      <c r="B1615" s="32" t="s">
        <v>1942</v>
      </c>
    </row>
    <row r="1616" customFormat="false" ht="15" hidden="false" customHeight="false" outlineLevel="0" collapsed="false">
      <c r="A1616" s="28" t="n">
        <v>1615</v>
      </c>
      <c r="B1616" s="32" t="s">
        <v>1943</v>
      </c>
    </row>
    <row r="1617" customFormat="false" ht="15" hidden="false" customHeight="false" outlineLevel="0" collapsed="false">
      <c r="A1617" s="28" t="n">
        <v>1616</v>
      </c>
      <c r="B1617" s="32" t="s">
        <v>1944</v>
      </c>
    </row>
    <row r="1618" customFormat="false" ht="15" hidden="false" customHeight="false" outlineLevel="0" collapsed="false">
      <c r="A1618" s="28" t="n">
        <v>1617</v>
      </c>
      <c r="B1618" s="32" t="s">
        <v>1945</v>
      </c>
    </row>
    <row r="1619" customFormat="false" ht="15" hidden="false" customHeight="false" outlineLevel="0" collapsed="false">
      <c r="A1619" s="28" t="n">
        <v>1618</v>
      </c>
      <c r="B1619" s="32" t="s">
        <v>1946</v>
      </c>
    </row>
    <row r="1620" customFormat="false" ht="15" hidden="false" customHeight="false" outlineLevel="0" collapsed="false">
      <c r="A1620" s="28" t="n">
        <v>1619</v>
      </c>
      <c r="B1620" s="32" t="s">
        <v>1947</v>
      </c>
    </row>
    <row r="1621" customFormat="false" ht="15" hidden="false" customHeight="false" outlineLevel="0" collapsed="false">
      <c r="A1621" s="28" t="n">
        <v>1620</v>
      </c>
      <c r="B1621" s="32" t="s">
        <v>1948</v>
      </c>
    </row>
    <row r="1622" customFormat="false" ht="15" hidden="false" customHeight="false" outlineLevel="0" collapsed="false">
      <c r="A1622" s="28" t="n">
        <v>1621</v>
      </c>
      <c r="B1622" s="32" t="s">
        <v>1949</v>
      </c>
    </row>
    <row r="1623" customFormat="false" ht="15" hidden="false" customHeight="false" outlineLevel="0" collapsed="false">
      <c r="A1623" s="28" t="n">
        <v>1622</v>
      </c>
      <c r="B1623" s="32" t="s">
        <v>1950</v>
      </c>
    </row>
    <row r="1624" customFormat="false" ht="15" hidden="false" customHeight="false" outlineLevel="0" collapsed="false">
      <c r="A1624" s="28" t="n">
        <v>1623</v>
      </c>
      <c r="B1624" s="32" t="s">
        <v>1951</v>
      </c>
    </row>
    <row r="1625" customFormat="false" ht="15" hidden="false" customHeight="false" outlineLevel="0" collapsed="false">
      <c r="A1625" s="28" t="n">
        <v>1624</v>
      </c>
      <c r="B1625" s="32" t="s">
        <v>1952</v>
      </c>
    </row>
    <row r="1626" customFormat="false" ht="15" hidden="false" customHeight="false" outlineLevel="0" collapsed="false">
      <c r="A1626" s="28" t="n">
        <v>1625</v>
      </c>
      <c r="B1626" s="32" t="s">
        <v>1953</v>
      </c>
    </row>
    <row r="1627" customFormat="false" ht="15" hidden="false" customHeight="false" outlineLevel="0" collapsed="false">
      <c r="A1627" s="28" t="n">
        <v>1626</v>
      </c>
      <c r="B1627" s="32" t="s">
        <v>1954</v>
      </c>
    </row>
    <row r="1628" customFormat="false" ht="15" hidden="false" customHeight="false" outlineLevel="0" collapsed="false">
      <c r="A1628" s="28" t="n">
        <v>1627</v>
      </c>
      <c r="B1628" s="32" t="s">
        <v>1955</v>
      </c>
    </row>
    <row r="1629" customFormat="false" ht="15" hidden="false" customHeight="false" outlineLevel="0" collapsed="false">
      <c r="A1629" s="28" t="n">
        <v>1628</v>
      </c>
      <c r="B1629" s="32" t="s">
        <v>1956</v>
      </c>
    </row>
    <row r="1630" customFormat="false" ht="15" hidden="false" customHeight="false" outlineLevel="0" collapsed="false">
      <c r="A1630" s="28" t="n">
        <v>1629</v>
      </c>
      <c r="B1630" s="32" t="s">
        <v>1957</v>
      </c>
    </row>
    <row r="1631" customFormat="false" ht="15" hidden="false" customHeight="false" outlineLevel="0" collapsed="false">
      <c r="A1631" s="28" t="n">
        <v>1630</v>
      </c>
      <c r="B1631" s="32" t="s">
        <v>1958</v>
      </c>
    </row>
    <row r="1632" customFormat="false" ht="15" hidden="false" customHeight="false" outlineLevel="0" collapsed="false">
      <c r="A1632" s="28" t="n">
        <v>1631</v>
      </c>
      <c r="B1632" s="32" t="s">
        <v>1959</v>
      </c>
    </row>
    <row r="1633" customFormat="false" ht="15" hidden="false" customHeight="false" outlineLevel="0" collapsed="false">
      <c r="A1633" s="28" t="n">
        <v>1632</v>
      </c>
      <c r="B1633" s="32" t="s">
        <v>1960</v>
      </c>
    </row>
    <row r="1634" customFormat="false" ht="15" hidden="false" customHeight="false" outlineLevel="0" collapsed="false">
      <c r="A1634" s="28" t="n">
        <v>1633</v>
      </c>
      <c r="B1634" s="32" t="s">
        <v>1961</v>
      </c>
    </row>
    <row r="1635" customFormat="false" ht="15" hidden="false" customHeight="false" outlineLevel="0" collapsed="false">
      <c r="A1635" s="28" t="n">
        <v>1634</v>
      </c>
      <c r="B1635" s="32" t="s">
        <v>1962</v>
      </c>
    </row>
    <row r="1636" customFormat="false" ht="15" hidden="false" customHeight="false" outlineLevel="0" collapsed="false">
      <c r="A1636" s="28" t="n">
        <v>1635</v>
      </c>
      <c r="B1636" s="32" t="s">
        <v>1963</v>
      </c>
    </row>
    <row r="1637" customFormat="false" ht="15" hidden="false" customHeight="false" outlineLevel="0" collapsed="false">
      <c r="A1637" s="28" t="n">
        <v>1636</v>
      </c>
      <c r="B1637" s="32" t="s">
        <v>1964</v>
      </c>
    </row>
    <row r="1638" customFormat="false" ht="15" hidden="false" customHeight="false" outlineLevel="0" collapsed="false">
      <c r="A1638" s="28" t="n">
        <v>1637</v>
      </c>
      <c r="B1638" s="32" t="s">
        <v>1965</v>
      </c>
    </row>
    <row r="1639" customFormat="false" ht="15" hidden="false" customHeight="false" outlineLevel="0" collapsed="false">
      <c r="A1639" s="28" t="n">
        <v>1638</v>
      </c>
      <c r="B1639" s="32" t="s">
        <v>1966</v>
      </c>
    </row>
    <row r="1640" customFormat="false" ht="15" hidden="false" customHeight="false" outlineLevel="0" collapsed="false">
      <c r="A1640" s="28" t="n">
        <v>1639</v>
      </c>
      <c r="B1640" s="32" t="s">
        <v>1967</v>
      </c>
    </row>
    <row r="1641" customFormat="false" ht="15" hidden="false" customHeight="false" outlineLevel="0" collapsed="false">
      <c r="A1641" s="28" t="n">
        <v>1640</v>
      </c>
      <c r="B1641" s="32" t="s">
        <v>1968</v>
      </c>
    </row>
    <row r="1642" customFormat="false" ht="15" hidden="false" customHeight="false" outlineLevel="0" collapsed="false">
      <c r="A1642" s="28" t="n">
        <v>1641</v>
      </c>
      <c r="B1642" s="32" t="s">
        <v>1969</v>
      </c>
    </row>
    <row r="1643" customFormat="false" ht="15" hidden="false" customHeight="false" outlineLevel="0" collapsed="false">
      <c r="A1643" s="28" t="n">
        <v>1642</v>
      </c>
      <c r="B1643" s="32" t="s">
        <v>1970</v>
      </c>
    </row>
    <row r="1644" customFormat="false" ht="15" hidden="false" customHeight="false" outlineLevel="0" collapsed="false">
      <c r="A1644" s="28" t="n">
        <v>1643</v>
      </c>
      <c r="B1644" s="32" t="s">
        <v>1971</v>
      </c>
    </row>
    <row r="1645" customFormat="false" ht="15" hidden="false" customHeight="false" outlineLevel="0" collapsed="false">
      <c r="A1645" s="28" t="n">
        <v>1644</v>
      </c>
      <c r="B1645" s="32" t="s">
        <v>1972</v>
      </c>
    </row>
    <row r="1646" customFormat="false" ht="15" hidden="false" customHeight="false" outlineLevel="0" collapsed="false">
      <c r="A1646" s="28" t="n">
        <v>1645</v>
      </c>
      <c r="B1646" s="32" t="s">
        <v>1973</v>
      </c>
    </row>
    <row r="1647" customFormat="false" ht="15" hidden="false" customHeight="false" outlineLevel="0" collapsed="false">
      <c r="A1647" s="28" t="n">
        <v>1646</v>
      </c>
      <c r="B1647" s="32" t="s">
        <v>1974</v>
      </c>
    </row>
    <row r="1648" customFormat="false" ht="15" hidden="false" customHeight="false" outlineLevel="0" collapsed="false">
      <c r="A1648" s="28" t="n">
        <v>1647</v>
      </c>
      <c r="B1648" s="32" t="s">
        <v>1975</v>
      </c>
    </row>
    <row r="1649" customFormat="false" ht="15" hidden="false" customHeight="false" outlineLevel="0" collapsed="false">
      <c r="A1649" s="28" t="n">
        <v>1648</v>
      </c>
      <c r="B1649" s="32" t="s">
        <v>1976</v>
      </c>
    </row>
    <row r="1650" customFormat="false" ht="15" hidden="false" customHeight="false" outlineLevel="0" collapsed="false">
      <c r="A1650" s="28" t="n">
        <v>1649</v>
      </c>
      <c r="B1650" s="32" t="s">
        <v>1977</v>
      </c>
    </row>
    <row r="1651" customFormat="false" ht="15" hidden="false" customHeight="false" outlineLevel="0" collapsed="false">
      <c r="A1651" s="28" t="n">
        <v>1650</v>
      </c>
      <c r="B1651" s="32" t="s">
        <v>1978</v>
      </c>
    </row>
    <row r="1652" customFormat="false" ht="15" hidden="false" customHeight="false" outlineLevel="0" collapsed="false">
      <c r="A1652" s="28" t="n">
        <v>1651</v>
      </c>
      <c r="B1652" s="32" t="s">
        <v>1979</v>
      </c>
    </row>
    <row r="1653" customFormat="false" ht="15" hidden="false" customHeight="false" outlineLevel="0" collapsed="false">
      <c r="A1653" s="28" t="n">
        <v>1652</v>
      </c>
      <c r="B1653" s="32" t="s">
        <v>1980</v>
      </c>
    </row>
    <row r="1654" customFormat="false" ht="15" hidden="false" customHeight="false" outlineLevel="0" collapsed="false">
      <c r="A1654" s="28" t="n">
        <v>1653</v>
      </c>
      <c r="B1654" s="32" t="s">
        <v>1981</v>
      </c>
    </row>
    <row r="1655" customFormat="false" ht="15" hidden="false" customHeight="false" outlineLevel="0" collapsed="false">
      <c r="A1655" s="28" t="n">
        <v>1654</v>
      </c>
      <c r="B1655" s="32" t="s">
        <v>1982</v>
      </c>
    </row>
    <row r="1656" customFormat="false" ht="15" hidden="false" customHeight="false" outlineLevel="0" collapsed="false">
      <c r="A1656" s="28" t="n">
        <v>1655</v>
      </c>
      <c r="B1656" s="32" t="s">
        <v>1983</v>
      </c>
    </row>
    <row r="1657" customFormat="false" ht="15" hidden="false" customHeight="false" outlineLevel="0" collapsed="false">
      <c r="A1657" s="28" t="n">
        <v>1656</v>
      </c>
      <c r="B1657" s="32" t="s">
        <v>1984</v>
      </c>
    </row>
    <row r="1658" customFormat="false" ht="15" hidden="false" customHeight="false" outlineLevel="0" collapsed="false">
      <c r="A1658" s="28" t="n">
        <v>1657</v>
      </c>
      <c r="B1658" s="32" t="s">
        <v>1985</v>
      </c>
    </row>
    <row r="1659" customFormat="false" ht="15" hidden="false" customHeight="false" outlineLevel="0" collapsed="false">
      <c r="A1659" s="28" t="n">
        <v>1658</v>
      </c>
      <c r="B1659" s="32" t="s">
        <v>1986</v>
      </c>
    </row>
    <row r="1660" customFormat="false" ht="15" hidden="false" customHeight="false" outlineLevel="0" collapsed="false">
      <c r="A1660" s="28" t="n">
        <v>1659</v>
      </c>
      <c r="B1660" s="32" t="s">
        <v>1987</v>
      </c>
    </row>
    <row r="1661" customFormat="false" ht="15" hidden="false" customHeight="false" outlineLevel="0" collapsed="false">
      <c r="A1661" s="28" t="n">
        <v>1660</v>
      </c>
      <c r="B1661" s="32" t="s">
        <v>1988</v>
      </c>
    </row>
    <row r="1662" customFormat="false" ht="15" hidden="false" customHeight="false" outlineLevel="0" collapsed="false">
      <c r="A1662" s="28" t="n">
        <v>1661</v>
      </c>
      <c r="B1662" s="32" t="s">
        <v>1989</v>
      </c>
    </row>
    <row r="1663" customFormat="false" ht="15" hidden="false" customHeight="false" outlineLevel="0" collapsed="false">
      <c r="A1663" s="28" t="n">
        <v>1662</v>
      </c>
      <c r="B1663" s="32" t="s">
        <v>1990</v>
      </c>
    </row>
    <row r="1664" customFormat="false" ht="15" hidden="false" customHeight="false" outlineLevel="0" collapsed="false">
      <c r="A1664" s="28" t="n">
        <v>1663</v>
      </c>
      <c r="B1664" s="32" t="s">
        <v>1991</v>
      </c>
    </row>
    <row r="1665" customFormat="false" ht="15" hidden="false" customHeight="false" outlineLevel="0" collapsed="false">
      <c r="A1665" s="28" t="n">
        <v>1664</v>
      </c>
      <c r="B1665" s="32" t="s">
        <v>1992</v>
      </c>
    </row>
    <row r="1666" customFormat="false" ht="15" hidden="false" customHeight="false" outlineLevel="0" collapsed="false">
      <c r="A1666" s="28" t="n">
        <v>1665</v>
      </c>
      <c r="B1666" s="32" t="s">
        <v>1993</v>
      </c>
    </row>
    <row r="1667" customFormat="false" ht="15" hidden="false" customHeight="false" outlineLevel="0" collapsed="false">
      <c r="A1667" s="28" t="n">
        <v>1666</v>
      </c>
      <c r="B1667" s="32" t="s">
        <v>1994</v>
      </c>
    </row>
    <row r="1668" customFormat="false" ht="15" hidden="false" customHeight="false" outlineLevel="0" collapsed="false">
      <c r="A1668" s="28" t="n">
        <v>1667</v>
      </c>
      <c r="B1668" s="32" t="s">
        <v>1995</v>
      </c>
    </row>
    <row r="1669" customFormat="false" ht="15" hidden="false" customHeight="false" outlineLevel="0" collapsed="false">
      <c r="A1669" s="28" t="n">
        <v>1668</v>
      </c>
      <c r="B1669" s="32" t="s">
        <v>1996</v>
      </c>
    </row>
    <row r="1670" customFormat="false" ht="15" hidden="false" customHeight="false" outlineLevel="0" collapsed="false">
      <c r="A1670" s="28" t="n">
        <v>1669</v>
      </c>
      <c r="B1670" s="32" t="s">
        <v>1997</v>
      </c>
    </row>
    <row r="1671" customFormat="false" ht="15" hidden="false" customHeight="false" outlineLevel="0" collapsed="false">
      <c r="A1671" s="28" t="n">
        <v>1670</v>
      </c>
      <c r="B1671" s="32" t="s">
        <v>1998</v>
      </c>
    </row>
    <row r="1672" customFormat="false" ht="15" hidden="false" customHeight="false" outlineLevel="0" collapsed="false">
      <c r="A1672" s="28" t="n">
        <v>1671</v>
      </c>
      <c r="B1672" s="32" t="s">
        <v>1999</v>
      </c>
    </row>
    <row r="1673" customFormat="false" ht="15" hidden="false" customHeight="false" outlineLevel="0" collapsed="false">
      <c r="A1673" s="28" t="n">
        <v>1672</v>
      </c>
      <c r="B1673" s="32" t="s">
        <v>2000</v>
      </c>
    </row>
    <row r="1674" customFormat="false" ht="15" hidden="false" customHeight="false" outlineLevel="0" collapsed="false">
      <c r="A1674" s="28" t="n">
        <v>1673</v>
      </c>
      <c r="B1674" s="32" t="s">
        <v>2001</v>
      </c>
    </row>
    <row r="1675" customFormat="false" ht="15" hidden="false" customHeight="false" outlineLevel="0" collapsed="false">
      <c r="A1675" s="28" t="n">
        <v>1674</v>
      </c>
      <c r="B1675" s="32" t="s">
        <v>2002</v>
      </c>
    </row>
    <row r="1676" customFormat="false" ht="15" hidden="false" customHeight="false" outlineLevel="0" collapsed="false">
      <c r="A1676" s="28" t="n">
        <v>1675</v>
      </c>
      <c r="B1676" s="32" t="s">
        <v>2003</v>
      </c>
    </row>
    <row r="1677" customFormat="false" ht="15" hidden="false" customHeight="false" outlineLevel="0" collapsed="false">
      <c r="A1677" s="28" t="n">
        <v>1676</v>
      </c>
      <c r="B1677" s="32" t="s">
        <v>2004</v>
      </c>
    </row>
    <row r="1678" customFormat="false" ht="15" hidden="false" customHeight="false" outlineLevel="0" collapsed="false">
      <c r="A1678" s="28" t="n">
        <v>1677</v>
      </c>
      <c r="B1678" s="32" t="s">
        <v>2005</v>
      </c>
    </row>
    <row r="1679" customFormat="false" ht="15" hidden="false" customHeight="false" outlineLevel="0" collapsed="false">
      <c r="A1679" s="28" t="n">
        <v>1678</v>
      </c>
      <c r="B1679" s="32" t="s">
        <v>2006</v>
      </c>
    </row>
    <row r="1680" customFormat="false" ht="15" hidden="false" customHeight="false" outlineLevel="0" collapsed="false">
      <c r="A1680" s="28" t="n">
        <v>1679</v>
      </c>
      <c r="B1680" s="32" t="s">
        <v>2007</v>
      </c>
    </row>
    <row r="1681" customFormat="false" ht="15" hidden="false" customHeight="false" outlineLevel="0" collapsed="false">
      <c r="A1681" s="28" t="n">
        <v>1680</v>
      </c>
      <c r="B1681" s="32" t="s">
        <v>2008</v>
      </c>
    </row>
    <row r="1682" customFormat="false" ht="15" hidden="false" customHeight="false" outlineLevel="0" collapsed="false">
      <c r="A1682" s="28" t="n">
        <v>1681</v>
      </c>
      <c r="B1682" s="32" t="s">
        <v>2009</v>
      </c>
    </row>
    <row r="1683" customFormat="false" ht="15" hidden="false" customHeight="false" outlineLevel="0" collapsed="false">
      <c r="A1683" s="28" t="n">
        <v>1682</v>
      </c>
      <c r="B1683" s="32" t="s">
        <v>2010</v>
      </c>
    </row>
    <row r="1684" customFormat="false" ht="15" hidden="false" customHeight="false" outlineLevel="0" collapsed="false">
      <c r="A1684" s="28" t="n">
        <v>1683</v>
      </c>
      <c r="B1684" s="32" t="s">
        <v>2011</v>
      </c>
    </row>
    <row r="1685" customFormat="false" ht="15" hidden="false" customHeight="false" outlineLevel="0" collapsed="false">
      <c r="A1685" s="28" t="n">
        <v>1684</v>
      </c>
      <c r="B1685" s="32" t="s">
        <v>2012</v>
      </c>
    </row>
    <row r="1686" customFormat="false" ht="15" hidden="false" customHeight="false" outlineLevel="0" collapsed="false">
      <c r="A1686" s="28" t="n">
        <v>1685</v>
      </c>
      <c r="B1686" s="32" t="s">
        <v>2013</v>
      </c>
    </row>
    <row r="1687" customFormat="false" ht="15" hidden="false" customHeight="false" outlineLevel="0" collapsed="false">
      <c r="A1687" s="28" t="n">
        <v>1686</v>
      </c>
      <c r="B1687" s="32" t="s">
        <v>2014</v>
      </c>
    </row>
    <row r="1688" customFormat="false" ht="15" hidden="false" customHeight="false" outlineLevel="0" collapsed="false">
      <c r="A1688" s="28" t="n">
        <v>1687</v>
      </c>
      <c r="B1688" s="32" t="s">
        <v>2015</v>
      </c>
    </row>
    <row r="1689" customFormat="false" ht="15" hidden="false" customHeight="false" outlineLevel="0" collapsed="false">
      <c r="A1689" s="28" t="n">
        <v>1688</v>
      </c>
      <c r="B1689" s="32" t="s">
        <v>2016</v>
      </c>
    </row>
    <row r="1690" customFormat="false" ht="15" hidden="false" customHeight="false" outlineLevel="0" collapsed="false">
      <c r="A1690" s="28" t="n">
        <v>1689</v>
      </c>
      <c r="B1690" s="32" t="s">
        <v>2017</v>
      </c>
    </row>
    <row r="1691" customFormat="false" ht="15" hidden="false" customHeight="false" outlineLevel="0" collapsed="false">
      <c r="A1691" s="28" t="n">
        <v>1690</v>
      </c>
      <c r="B1691" s="32" t="s">
        <v>2018</v>
      </c>
    </row>
    <row r="1692" customFormat="false" ht="15" hidden="false" customHeight="false" outlineLevel="0" collapsed="false">
      <c r="A1692" s="28" t="n">
        <v>1691</v>
      </c>
      <c r="B1692" s="32" t="s">
        <v>2019</v>
      </c>
    </row>
    <row r="1693" customFormat="false" ht="15" hidden="false" customHeight="false" outlineLevel="0" collapsed="false">
      <c r="A1693" s="28" t="n">
        <v>1692</v>
      </c>
      <c r="B1693" s="32" t="s">
        <v>2020</v>
      </c>
    </row>
    <row r="1694" customFormat="false" ht="15" hidden="false" customHeight="false" outlineLevel="0" collapsed="false">
      <c r="A1694" s="28" t="n">
        <v>1693</v>
      </c>
      <c r="B1694" s="32" t="s">
        <v>2021</v>
      </c>
    </row>
    <row r="1695" customFormat="false" ht="15" hidden="false" customHeight="false" outlineLevel="0" collapsed="false">
      <c r="A1695" s="28" t="n">
        <v>1694</v>
      </c>
      <c r="B1695" s="32" t="s">
        <v>2022</v>
      </c>
    </row>
    <row r="1696" customFormat="false" ht="15" hidden="false" customHeight="false" outlineLevel="0" collapsed="false">
      <c r="A1696" s="28" t="n">
        <v>1695</v>
      </c>
      <c r="B1696" s="32" t="s">
        <v>2023</v>
      </c>
    </row>
    <row r="1697" customFormat="false" ht="15" hidden="false" customHeight="false" outlineLevel="0" collapsed="false">
      <c r="A1697" s="28" t="n">
        <v>1696</v>
      </c>
      <c r="B1697" s="32" t="s">
        <v>2024</v>
      </c>
    </row>
    <row r="1698" customFormat="false" ht="15" hidden="false" customHeight="false" outlineLevel="0" collapsed="false">
      <c r="A1698" s="28" t="n">
        <v>1697</v>
      </c>
      <c r="B1698" s="32" t="s">
        <v>2025</v>
      </c>
    </row>
    <row r="1699" customFormat="false" ht="15" hidden="false" customHeight="false" outlineLevel="0" collapsed="false">
      <c r="A1699" s="28" t="n">
        <v>1698</v>
      </c>
      <c r="B1699" s="32" t="s">
        <v>2026</v>
      </c>
    </row>
    <row r="1700" customFormat="false" ht="15" hidden="false" customHeight="false" outlineLevel="0" collapsed="false">
      <c r="A1700" s="28" t="n">
        <v>1699</v>
      </c>
      <c r="B1700" s="32" t="s">
        <v>2027</v>
      </c>
    </row>
    <row r="1701" customFormat="false" ht="15" hidden="false" customHeight="false" outlineLevel="0" collapsed="false">
      <c r="A1701" s="28" t="n">
        <v>1700</v>
      </c>
      <c r="B1701" s="32" t="s">
        <v>2028</v>
      </c>
    </row>
    <row r="1702" customFormat="false" ht="15" hidden="false" customHeight="false" outlineLevel="0" collapsed="false">
      <c r="A1702" s="28" t="n">
        <v>1701</v>
      </c>
      <c r="B1702" s="32" t="s">
        <v>2029</v>
      </c>
    </row>
    <row r="1703" customFormat="false" ht="15" hidden="false" customHeight="false" outlineLevel="0" collapsed="false">
      <c r="A1703" s="28" t="n">
        <v>1702</v>
      </c>
      <c r="B1703" s="32" t="s">
        <v>2030</v>
      </c>
    </row>
    <row r="1704" customFormat="false" ht="15" hidden="false" customHeight="false" outlineLevel="0" collapsed="false">
      <c r="A1704" s="28" t="n">
        <v>1703</v>
      </c>
      <c r="B1704" s="32" t="s">
        <v>2031</v>
      </c>
    </row>
    <row r="1705" customFormat="false" ht="15" hidden="false" customHeight="false" outlineLevel="0" collapsed="false">
      <c r="A1705" s="28" t="n">
        <v>1704</v>
      </c>
      <c r="B1705" s="32" t="s">
        <v>2032</v>
      </c>
    </row>
    <row r="1706" customFormat="false" ht="15" hidden="false" customHeight="false" outlineLevel="0" collapsed="false">
      <c r="A1706" s="28" t="n">
        <v>1705</v>
      </c>
      <c r="B1706" s="32" t="s">
        <v>2033</v>
      </c>
    </row>
    <row r="1707" customFormat="false" ht="15" hidden="false" customHeight="false" outlineLevel="0" collapsed="false">
      <c r="A1707" s="28" t="n">
        <v>1706</v>
      </c>
      <c r="B1707" s="32" t="s">
        <v>2034</v>
      </c>
    </row>
    <row r="1708" customFormat="false" ht="15" hidden="false" customHeight="false" outlineLevel="0" collapsed="false">
      <c r="A1708" s="28" t="n">
        <v>1707</v>
      </c>
      <c r="B1708" s="32" t="s">
        <v>2035</v>
      </c>
    </row>
    <row r="1709" customFormat="false" ht="15" hidden="false" customHeight="false" outlineLevel="0" collapsed="false">
      <c r="A1709" s="28" t="n">
        <v>1708</v>
      </c>
      <c r="B1709" s="32" t="s">
        <v>2036</v>
      </c>
    </row>
    <row r="1710" customFormat="false" ht="15" hidden="false" customHeight="false" outlineLevel="0" collapsed="false">
      <c r="A1710" s="28" t="n">
        <v>1709</v>
      </c>
      <c r="B1710" s="32" t="s">
        <v>2037</v>
      </c>
    </row>
    <row r="1711" customFormat="false" ht="15" hidden="false" customHeight="false" outlineLevel="0" collapsed="false">
      <c r="A1711" s="28" t="n">
        <v>1710</v>
      </c>
      <c r="B1711" s="32" t="s">
        <v>2038</v>
      </c>
    </row>
    <row r="1712" customFormat="false" ht="15" hidden="false" customHeight="false" outlineLevel="0" collapsed="false">
      <c r="A1712" s="28" t="n">
        <v>1711</v>
      </c>
      <c r="B1712" s="32" t="s">
        <v>2039</v>
      </c>
    </row>
    <row r="1713" customFormat="false" ht="15" hidden="false" customHeight="false" outlineLevel="0" collapsed="false">
      <c r="A1713" s="28" t="n">
        <v>1712</v>
      </c>
      <c r="B1713" s="32" t="s">
        <v>2040</v>
      </c>
    </row>
    <row r="1714" customFormat="false" ht="15" hidden="false" customHeight="false" outlineLevel="0" collapsed="false">
      <c r="A1714" s="28" t="n">
        <v>1713</v>
      </c>
      <c r="B1714" s="32" t="s">
        <v>2041</v>
      </c>
    </row>
    <row r="1715" customFormat="false" ht="15" hidden="false" customHeight="false" outlineLevel="0" collapsed="false">
      <c r="A1715" s="28" t="n">
        <v>1714</v>
      </c>
      <c r="B1715" s="32" t="s">
        <v>2042</v>
      </c>
    </row>
    <row r="1716" customFormat="false" ht="15" hidden="false" customHeight="false" outlineLevel="0" collapsed="false">
      <c r="A1716" s="28" t="n">
        <v>1715</v>
      </c>
      <c r="B1716" s="32" t="s">
        <v>2043</v>
      </c>
    </row>
    <row r="1717" customFormat="false" ht="15" hidden="false" customHeight="false" outlineLevel="0" collapsed="false">
      <c r="A1717" s="28" t="n">
        <v>1716</v>
      </c>
      <c r="B1717" s="32" t="s">
        <v>2044</v>
      </c>
    </row>
    <row r="1718" customFormat="false" ht="15" hidden="false" customHeight="false" outlineLevel="0" collapsed="false">
      <c r="A1718" s="28" t="n">
        <v>1717</v>
      </c>
      <c r="B1718" s="32" t="s">
        <v>2045</v>
      </c>
    </row>
    <row r="1719" customFormat="false" ht="15" hidden="false" customHeight="false" outlineLevel="0" collapsed="false">
      <c r="A1719" s="28" t="n">
        <v>1718</v>
      </c>
      <c r="B1719" s="32" t="s">
        <v>2046</v>
      </c>
    </row>
    <row r="1720" customFormat="false" ht="15" hidden="false" customHeight="false" outlineLevel="0" collapsed="false">
      <c r="A1720" s="28" t="n">
        <v>1719</v>
      </c>
      <c r="B1720" s="32" t="s">
        <v>2047</v>
      </c>
    </row>
    <row r="1721" customFormat="false" ht="15" hidden="false" customHeight="false" outlineLevel="0" collapsed="false">
      <c r="A1721" s="28" t="n">
        <v>1720</v>
      </c>
      <c r="B1721" s="32" t="s">
        <v>2048</v>
      </c>
    </row>
    <row r="1722" customFormat="false" ht="15" hidden="false" customHeight="false" outlineLevel="0" collapsed="false">
      <c r="A1722" s="28" t="n">
        <v>1721</v>
      </c>
      <c r="B1722" s="32" t="s">
        <v>2049</v>
      </c>
    </row>
    <row r="1723" customFormat="false" ht="15" hidden="false" customHeight="false" outlineLevel="0" collapsed="false">
      <c r="A1723" s="28" t="n">
        <v>1722</v>
      </c>
      <c r="B1723" s="32" t="s">
        <v>2050</v>
      </c>
    </row>
    <row r="1724" customFormat="false" ht="15" hidden="false" customHeight="false" outlineLevel="0" collapsed="false">
      <c r="A1724" s="28" t="n">
        <v>1723</v>
      </c>
      <c r="B1724" s="32" t="s">
        <v>2051</v>
      </c>
    </row>
    <row r="1725" customFormat="false" ht="15" hidden="false" customHeight="false" outlineLevel="0" collapsed="false">
      <c r="A1725" s="28" t="n">
        <v>1724</v>
      </c>
      <c r="B1725" s="32" t="s">
        <v>2052</v>
      </c>
    </row>
    <row r="1726" customFormat="false" ht="15" hidden="false" customHeight="false" outlineLevel="0" collapsed="false">
      <c r="A1726" s="28" t="n">
        <v>1725</v>
      </c>
      <c r="B1726" s="32" t="s">
        <v>2053</v>
      </c>
    </row>
    <row r="1727" customFormat="false" ht="15" hidden="false" customHeight="false" outlineLevel="0" collapsed="false">
      <c r="A1727" s="28" t="n">
        <v>1726</v>
      </c>
      <c r="B1727" s="32" t="s">
        <v>2054</v>
      </c>
    </row>
    <row r="1728" customFormat="false" ht="15" hidden="false" customHeight="false" outlineLevel="0" collapsed="false">
      <c r="A1728" s="28" t="n">
        <v>1727</v>
      </c>
      <c r="B1728" s="32" t="s">
        <v>2055</v>
      </c>
    </row>
    <row r="1729" customFormat="false" ht="15" hidden="false" customHeight="false" outlineLevel="0" collapsed="false">
      <c r="A1729" s="28" t="n">
        <v>1728</v>
      </c>
      <c r="B1729" s="32" t="s">
        <v>2056</v>
      </c>
    </row>
    <row r="1730" customFormat="false" ht="15" hidden="false" customHeight="false" outlineLevel="0" collapsed="false">
      <c r="A1730" s="28" t="n">
        <v>1729</v>
      </c>
      <c r="B1730" s="32" t="s">
        <v>2057</v>
      </c>
    </row>
    <row r="1731" customFormat="false" ht="15" hidden="false" customHeight="false" outlineLevel="0" collapsed="false">
      <c r="A1731" s="28" t="n">
        <v>1730</v>
      </c>
      <c r="B1731" s="32" t="s">
        <v>2058</v>
      </c>
    </row>
    <row r="1732" customFormat="false" ht="15" hidden="false" customHeight="false" outlineLevel="0" collapsed="false">
      <c r="A1732" s="28" t="n">
        <v>1731</v>
      </c>
      <c r="B1732" s="32" t="s">
        <v>2059</v>
      </c>
    </row>
    <row r="1733" customFormat="false" ht="15" hidden="false" customHeight="false" outlineLevel="0" collapsed="false">
      <c r="A1733" s="28" t="n">
        <v>1732</v>
      </c>
      <c r="B1733" s="32" t="s">
        <v>2060</v>
      </c>
    </row>
    <row r="1734" customFormat="false" ht="15" hidden="false" customHeight="false" outlineLevel="0" collapsed="false">
      <c r="A1734" s="28" t="n">
        <v>1733</v>
      </c>
      <c r="B1734" s="32" t="s">
        <v>2061</v>
      </c>
    </row>
    <row r="1735" customFormat="false" ht="15" hidden="false" customHeight="false" outlineLevel="0" collapsed="false">
      <c r="A1735" s="28" t="n">
        <v>1734</v>
      </c>
      <c r="B1735" s="32" t="s">
        <v>2062</v>
      </c>
    </row>
    <row r="1736" customFormat="false" ht="15" hidden="false" customHeight="false" outlineLevel="0" collapsed="false">
      <c r="A1736" s="28" t="n">
        <v>1735</v>
      </c>
      <c r="B1736" s="32" t="s">
        <v>2063</v>
      </c>
    </row>
    <row r="1737" customFormat="false" ht="15" hidden="false" customHeight="false" outlineLevel="0" collapsed="false">
      <c r="A1737" s="28" t="n">
        <v>1736</v>
      </c>
      <c r="B1737" s="32" t="s">
        <v>2064</v>
      </c>
    </row>
    <row r="1738" customFormat="false" ht="15" hidden="false" customHeight="false" outlineLevel="0" collapsed="false">
      <c r="A1738" s="28" t="n">
        <v>1737</v>
      </c>
      <c r="B1738" s="32" t="s">
        <v>2065</v>
      </c>
    </row>
    <row r="1739" customFormat="false" ht="15" hidden="false" customHeight="false" outlineLevel="0" collapsed="false">
      <c r="A1739" s="28" t="n">
        <v>1738</v>
      </c>
      <c r="B1739" s="32" t="s">
        <v>2066</v>
      </c>
    </row>
    <row r="1740" customFormat="false" ht="15" hidden="false" customHeight="false" outlineLevel="0" collapsed="false">
      <c r="A1740" s="28" t="n">
        <v>1739</v>
      </c>
      <c r="B1740" s="32" t="s">
        <v>2067</v>
      </c>
    </row>
    <row r="1741" customFormat="false" ht="15" hidden="false" customHeight="false" outlineLevel="0" collapsed="false">
      <c r="A1741" s="28" t="n">
        <v>1740</v>
      </c>
      <c r="B1741" s="32" t="s">
        <v>2068</v>
      </c>
    </row>
    <row r="1742" customFormat="false" ht="15" hidden="false" customHeight="false" outlineLevel="0" collapsed="false">
      <c r="A1742" s="28" t="n">
        <v>1741</v>
      </c>
      <c r="B1742" s="32" t="s">
        <v>2069</v>
      </c>
    </row>
    <row r="1743" customFormat="false" ht="15" hidden="false" customHeight="false" outlineLevel="0" collapsed="false">
      <c r="A1743" s="28" t="n">
        <v>1742</v>
      </c>
      <c r="B1743" s="32" t="s">
        <v>2070</v>
      </c>
    </row>
    <row r="1744" customFormat="false" ht="15" hidden="false" customHeight="false" outlineLevel="0" collapsed="false">
      <c r="A1744" s="28" t="n">
        <v>1743</v>
      </c>
      <c r="B1744" s="32" t="s">
        <v>2071</v>
      </c>
    </row>
    <row r="1745" customFormat="false" ht="15" hidden="false" customHeight="false" outlineLevel="0" collapsed="false">
      <c r="A1745" s="28" t="n">
        <v>1744</v>
      </c>
      <c r="B1745" s="32" t="s">
        <v>2072</v>
      </c>
    </row>
    <row r="1746" customFormat="false" ht="15" hidden="false" customHeight="false" outlineLevel="0" collapsed="false">
      <c r="A1746" s="28" t="n">
        <v>1745</v>
      </c>
      <c r="B1746" s="32" t="s">
        <v>2073</v>
      </c>
    </row>
    <row r="1747" customFormat="false" ht="15" hidden="false" customHeight="false" outlineLevel="0" collapsed="false">
      <c r="A1747" s="28" t="n">
        <v>1746</v>
      </c>
      <c r="B1747" s="32" t="s">
        <v>2074</v>
      </c>
    </row>
    <row r="1748" customFormat="false" ht="15" hidden="false" customHeight="false" outlineLevel="0" collapsed="false">
      <c r="A1748" s="28" t="n">
        <v>1747</v>
      </c>
      <c r="B1748" s="32" t="s">
        <v>2075</v>
      </c>
    </row>
    <row r="1749" customFormat="false" ht="15" hidden="false" customHeight="false" outlineLevel="0" collapsed="false">
      <c r="A1749" s="28" t="n">
        <v>1748</v>
      </c>
      <c r="B1749" s="32" t="s">
        <v>2076</v>
      </c>
    </row>
    <row r="1750" customFormat="false" ht="15" hidden="false" customHeight="false" outlineLevel="0" collapsed="false">
      <c r="A1750" s="28" t="n">
        <v>1749</v>
      </c>
      <c r="B1750" s="32" t="s">
        <v>2077</v>
      </c>
    </row>
    <row r="1751" customFormat="false" ht="15" hidden="false" customHeight="false" outlineLevel="0" collapsed="false">
      <c r="A1751" s="28" t="n">
        <v>1750</v>
      </c>
      <c r="B1751" s="32" t="s">
        <v>2078</v>
      </c>
    </row>
    <row r="1752" customFormat="false" ht="15" hidden="false" customHeight="false" outlineLevel="0" collapsed="false">
      <c r="A1752" s="28" t="n">
        <v>1751</v>
      </c>
      <c r="B1752" s="32" t="s">
        <v>2079</v>
      </c>
    </row>
    <row r="1753" customFormat="false" ht="15" hidden="false" customHeight="false" outlineLevel="0" collapsed="false">
      <c r="A1753" s="28" t="n">
        <v>1752</v>
      </c>
      <c r="B1753" s="32" t="s">
        <v>2080</v>
      </c>
    </row>
    <row r="1754" customFormat="false" ht="15" hidden="false" customHeight="false" outlineLevel="0" collapsed="false">
      <c r="A1754" s="28" t="n">
        <v>1753</v>
      </c>
      <c r="B1754" s="32" t="s">
        <v>2081</v>
      </c>
    </row>
    <row r="1755" customFormat="false" ht="15" hidden="false" customHeight="false" outlineLevel="0" collapsed="false">
      <c r="A1755" s="28" t="n">
        <v>1754</v>
      </c>
      <c r="B1755" s="32" t="s">
        <v>2082</v>
      </c>
    </row>
    <row r="1756" customFormat="false" ht="15" hidden="false" customHeight="false" outlineLevel="0" collapsed="false">
      <c r="A1756" s="28" t="n">
        <v>1755</v>
      </c>
      <c r="B1756" s="32" t="s">
        <v>2083</v>
      </c>
    </row>
    <row r="1757" customFormat="false" ht="15" hidden="false" customHeight="false" outlineLevel="0" collapsed="false">
      <c r="A1757" s="28" t="n">
        <v>1756</v>
      </c>
      <c r="B1757" s="32" t="s">
        <v>2084</v>
      </c>
    </row>
    <row r="1758" customFormat="false" ht="15" hidden="false" customHeight="false" outlineLevel="0" collapsed="false">
      <c r="A1758" s="28" t="n">
        <v>1757</v>
      </c>
      <c r="B1758" s="32" t="s">
        <v>2085</v>
      </c>
    </row>
    <row r="1759" customFormat="false" ht="15" hidden="false" customHeight="false" outlineLevel="0" collapsed="false">
      <c r="A1759" s="28" t="n">
        <v>1758</v>
      </c>
      <c r="B1759" s="32" t="s">
        <v>2086</v>
      </c>
    </row>
    <row r="1760" customFormat="false" ht="15" hidden="false" customHeight="false" outlineLevel="0" collapsed="false">
      <c r="A1760" s="28" t="n">
        <v>1759</v>
      </c>
      <c r="B1760" s="32" t="s">
        <v>2087</v>
      </c>
    </row>
    <row r="1761" customFormat="false" ht="15" hidden="false" customHeight="false" outlineLevel="0" collapsed="false">
      <c r="A1761" s="28" t="n">
        <v>1760</v>
      </c>
      <c r="B1761" s="32" t="s">
        <v>2088</v>
      </c>
    </row>
    <row r="1762" customFormat="false" ht="15" hidden="false" customHeight="false" outlineLevel="0" collapsed="false">
      <c r="A1762" s="28" t="n">
        <v>1761</v>
      </c>
      <c r="B1762" s="32" t="s">
        <v>2089</v>
      </c>
    </row>
    <row r="1763" customFormat="false" ht="15" hidden="false" customHeight="false" outlineLevel="0" collapsed="false">
      <c r="A1763" s="28" t="n">
        <v>1762</v>
      </c>
      <c r="B1763" s="32" t="s">
        <v>2090</v>
      </c>
    </row>
    <row r="1764" customFormat="false" ht="15" hidden="false" customHeight="false" outlineLevel="0" collapsed="false">
      <c r="A1764" s="28" t="n">
        <v>1763</v>
      </c>
      <c r="B1764" s="32" t="s">
        <v>2091</v>
      </c>
    </row>
    <row r="1765" customFormat="false" ht="15" hidden="false" customHeight="false" outlineLevel="0" collapsed="false">
      <c r="A1765" s="28" t="n">
        <v>1764</v>
      </c>
      <c r="B1765" s="32" t="s">
        <v>2092</v>
      </c>
    </row>
    <row r="1766" customFormat="false" ht="15" hidden="false" customHeight="false" outlineLevel="0" collapsed="false">
      <c r="A1766" s="28" t="n">
        <v>1765</v>
      </c>
      <c r="B1766" s="32" t="s">
        <v>2093</v>
      </c>
    </row>
    <row r="1767" customFormat="false" ht="15" hidden="false" customHeight="false" outlineLevel="0" collapsed="false">
      <c r="A1767" s="28" t="n">
        <v>1766</v>
      </c>
      <c r="B1767" s="32" t="s">
        <v>2094</v>
      </c>
    </row>
    <row r="1768" customFormat="false" ht="15" hidden="false" customHeight="false" outlineLevel="0" collapsed="false">
      <c r="A1768" s="28" t="n">
        <v>1767</v>
      </c>
      <c r="B1768" s="32" t="s">
        <v>2095</v>
      </c>
    </row>
    <row r="1769" customFormat="false" ht="15" hidden="false" customHeight="false" outlineLevel="0" collapsed="false">
      <c r="A1769" s="28" t="n">
        <v>1768</v>
      </c>
      <c r="B1769" s="32" t="s">
        <v>2096</v>
      </c>
    </row>
    <row r="1770" customFormat="false" ht="15" hidden="false" customHeight="false" outlineLevel="0" collapsed="false">
      <c r="A1770" s="28" t="n">
        <v>1769</v>
      </c>
      <c r="B1770" s="32" t="s">
        <v>2097</v>
      </c>
    </row>
    <row r="1771" customFormat="false" ht="15" hidden="false" customHeight="false" outlineLevel="0" collapsed="false">
      <c r="A1771" s="28" t="n">
        <v>1770</v>
      </c>
      <c r="B1771" s="32" t="s">
        <v>2098</v>
      </c>
    </row>
    <row r="1772" customFormat="false" ht="15" hidden="false" customHeight="false" outlineLevel="0" collapsed="false">
      <c r="A1772" s="28" t="n">
        <v>1771</v>
      </c>
      <c r="B1772" s="32" t="s">
        <v>2099</v>
      </c>
    </row>
    <row r="1773" customFormat="false" ht="15" hidden="false" customHeight="false" outlineLevel="0" collapsed="false">
      <c r="A1773" s="28" t="n">
        <v>1772</v>
      </c>
      <c r="B1773" s="32" t="s">
        <v>2100</v>
      </c>
    </row>
    <row r="1774" customFormat="false" ht="15" hidden="false" customHeight="false" outlineLevel="0" collapsed="false">
      <c r="A1774" s="28" t="n">
        <v>1773</v>
      </c>
      <c r="B1774" s="32" t="s">
        <v>2101</v>
      </c>
    </row>
    <row r="1775" customFormat="false" ht="15" hidden="false" customHeight="false" outlineLevel="0" collapsed="false">
      <c r="A1775" s="28" t="n">
        <v>1774</v>
      </c>
      <c r="B1775" s="32" t="s">
        <v>2102</v>
      </c>
    </row>
    <row r="1776" customFormat="false" ht="15" hidden="false" customHeight="false" outlineLevel="0" collapsed="false">
      <c r="A1776" s="28" t="n">
        <v>1775</v>
      </c>
      <c r="B1776" s="32" t="s">
        <v>2103</v>
      </c>
    </row>
    <row r="1777" customFormat="false" ht="15" hidden="false" customHeight="false" outlineLevel="0" collapsed="false">
      <c r="A1777" s="28" t="n">
        <v>1776</v>
      </c>
      <c r="B1777" s="32" t="s">
        <v>2104</v>
      </c>
    </row>
    <row r="1778" customFormat="false" ht="15" hidden="false" customHeight="false" outlineLevel="0" collapsed="false">
      <c r="A1778" s="28" t="n">
        <v>1777</v>
      </c>
      <c r="B1778" s="32" t="s">
        <v>2105</v>
      </c>
    </row>
    <row r="1779" customFormat="false" ht="15" hidden="false" customHeight="false" outlineLevel="0" collapsed="false">
      <c r="A1779" s="28" t="n">
        <v>1778</v>
      </c>
      <c r="B1779" s="32" t="s">
        <v>2106</v>
      </c>
    </row>
    <row r="1780" customFormat="false" ht="15" hidden="false" customHeight="false" outlineLevel="0" collapsed="false">
      <c r="A1780" s="28" t="n">
        <v>1779</v>
      </c>
      <c r="B1780" s="32" t="s">
        <v>2107</v>
      </c>
    </row>
    <row r="1781" customFormat="false" ht="15" hidden="false" customHeight="false" outlineLevel="0" collapsed="false">
      <c r="A1781" s="28" t="n">
        <v>1780</v>
      </c>
      <c r="B1781" s="32" t="s">
        <v>2108</v>
      </c>
    </row>
    <row r="1782" customFormat="false" ht="15" hidden="false" customHeight="false" outlineLevel="0" collapsed="false">
      <c r="A1782" s="28" t="n">
        <v>1781</v>
      </c>
      <c r="B1782" s="32" t="s">
        <v>2109</v>
      </c>
    </row>
    <row r="1783" customFormat="false" ht="15" hidden="false" customHeight="false" outlineLevel="0" collapsed="false">
      <c r="A1783" s="28" t="n">
        <v>1782</v>
      </c>
      <c r="B1783" s="32" t="s">
        <v>2110</v>
      </c>
    </row>
    <row r="1784" customFormat="false" ht="15" hidden="false" customHeight="false" outlineLevel="0" collapsed="false">
      <c r="A1784" s="28" t="n">
        <v>1783</v>
      </c>
      <c r="B1784" s="32" t="s">
        <v>2111</v>
      </c>
    </row>
    <row r="1785" customFormat="false" ht="15" hidden="false" customHeight="false" outlineLevel="0" collapsed="false">
      <c r="A1785" s="28" t="n">
        <v>1784</v>
      </c>
      <c r="B1785" s="32" t="s">
        <v>2112</v>
      </c>
    </row>
    <row r="1786" customFormat="false" ht="15" hidden="false" customHeight="false" outlineLevel="0" collapsed="false">
      <c r="A1786" s="28" t="n">
        <v>1785</v>
      </c>
      <c r="B1786" s="32" t="s">
        <v>2113</v>
      </c>
    </row>
    <row r="1787" customFormat="false" ht="15" hidden="false" customHeight="false" outlineLevel="0" collapsed="false">
      <c r="A1787" s="28" t="n">
        <v>1786</v>
      </c>
      <c r="B1787" s="32" t="s">
        <v>2114</v>
      </c>
    </row>
    <row r="1788" customFormat="false" ht="15" hidden="false" customHeight="false" outlineLevel="0" collapsed="false">
      <c r="A1788" s="28" t="n">
        <v>1787</v>
      </c>
      <c r="B1788" s="32" t="s">
        <v>2115</v>
      </c>
    </row>
    <row r="1789" customFormat="false" ht="15" hidden="false" customHeight="false" outlineLevel="0" collapsed="false">
      <c r="A1789" s="28" t="n">
        <v>1788</v>
      </c>
      <c r="B1789" s="32" t="s">
        <v>2116</v>
      </c>
    </row>
    <row r="1790" customFormat="false" ht="15" hidden="false" customHeight="false" outlineLevel="0" collapsed="false">
      <c r="A1790" s="28" t="n">
        <v>1789</v>
      </c>
      <c r="B1790" s="32" t="s">
        <v>2117</v>
      </c>
    </row>
    <row r="1791" customFormat="false" ht="15" hidden="false" customHeight="false" outlineLevel="0" collapsed="false">
      <c r="A1791" s="28" t="n">
        <v>1790</v>
      </c>
      <c r="B1791" s="32" t="s">
        <v>2118</v>
      </c>
    </row>
    <row r="1792" customFormat="false" ht="15" hidden="false" customHeight="false" outlineLevel="0" collapsed="false">
      <c r="A1792" s="28" t="n">
        <v>1791</v>
      </c>
      <c r="B1792" s="32" t="s">
        <v>2119</v>
      </c>
    </row>
    <row r="1793" customFormat="false" ht="15" hidden="false" customHeight="false" outlineLevel="0" collapsed="false">
      <c r="A1793" s="28" t="n">
        <v>1792</v>
      </c>
      <c r="B1793" s="32" t="s">
        <v>2120</v>
      </c>
    </row>
    <row r="1794" customFormat="false" ht="15" hidden="false" customHeight="false" outlineLevel="0" collapsed="false">
      <c r="A1794" s="28" t="n">
        <v>1793</v>
      </c>
      <c r="B1794" s="32" t="s">
        <v>2121</v>
      </c>
    </row>
    <row r="1795" customFormat="false" ht="15" hidden="false" customHeight="false" outlineLevel="0" collapsed="false">
      <c r="A1795" s="28" t="n">
        <v>1794</v>
      </c>
      <c r="B1795" s="32" t="s">
        <v>2122</v>
      </c>
    </row>
    <row r="1796" customFormat="false" ht="15" hidden="false" customHeight="false" outlineLevel="0" collapsed="false">
      <c r="A1796" s="28" t="n">
        <v>1795</v>
      </c>
      <c r="B1796" s="32" t="s">
        <v>2123</v>
      </c>
    </row>
    <row r="1797" customFormat="false" ht="15" hidden="false" customHeight="false" outlineLevel="0" collapsed="false">
      <c r="A1797" s="28" t="n">
        <v>1796</v>
      </c>
      <c r="B1797" s="32" t="s">
        <v>2124</v>
      </c>
    </row>
    <row r="1798" customFormat="false" ht="15" hidden="false" customHeight="false" outlineLevel="0" collapsed="false">
      <c r="A1798" s="28" t="n">
        <v>1797</v>
      </c>
      <c r="B1798" s="32" t="s">
        <v>2125</v>
      </c>
    </row>
    <row r="1799" customFormat="false" ht="15" hidden="false" customHeight="false" outlineLevel="0" collapsed="false">
      <c r="A1799" s="28" t="n">
        <v>1798</v>
      </c>
      <c r="B1799" s="32" t="s">
        <v>2126</v>
      </c>
    </row>
    <row r="1800" customFormat="false" ht="15" hidden="false" customHeight="false" outlineLevel="0" collapsed="false">
      <c r="A1800" s="28" t="n">
        <v>1799</v>
      </c>
      <c r="B1800" s="32" t="s">
        <v>2127</v>
      </c>
    </row>
    <row r="1801" customFormat="false" ht="15" hidden="false" customHeight="false" outlineLevel="0" collapsed="false">
      <c r="A1801" s="28" t="n">
        <v>1800</v>
      </c>
      <c r="B1801" s="32" t="s">
        <v>2128</v>
      </c>
    </row>
    <row r="1802" customFormat="false" ht="15" hidden="false" customHeight="false" outlineLevel="0" collapsed="false">
      <c r="A1802" s="28" t="n">
        <v>1801</v>
      </c>
      <c r="B1802" s="32" t="s">
        <v>2129</v>
      </c>
    </row>
    <row r="1803" customFormat="false" ht="15" hidden="false" customHeight="false" outlineLevel="0" collapsed="false">
      <c r="A1803" s="28" t="n">
        <v>1802</v>
      </c>
      <c r="B1803" s="32" t="s">
        <v>2130</v>
      </c>
    </row>
    <row r="1804" customFormat="false" ht="15" hidden="false" customHeight="false" outlineLevel="0" collapsed="false">
      <c r="A1804" s="28" t="n">
        <v>1803</v>
      </c>
      <c r="B1804" s="32" t="s">
        <v>2131</v>
      </c>
    </row>
    <row r="1805" customFormat="false" ht="15" hidden="false" customHeight="false" outlineLevel="0" collapsed="false">
      <c r="A1805" s="28" t="n">
        <v>1804</v>
      </c>
      <c r="B1805" s="32" t="s">
        <v>2132</v>
      </c>
    </row>
    <row r="1806" customFormat="false" ht="15" hidden="false" customHeight="false" outlineLevel="0" collapsed="false">
      <c r="A1806" s="28" t="n">
        <v>1805</v>
      </c>
      <c r="B1806" s="32" t="s">
        <v>2133</v>
      </c>
    </row>
    <row r="1807" customFormat="false" ht="15" hidden="false" customHeight="false" outlineLevel="0" collapsed="false">
      <c r="A1807" s="28" t="n">
        <v>1806</v>
      </c>
      <c r="B1807" s="32" t="s">
        <v>2134</v>
      </c>
    </row>
    <row r="1808" customFormat="false" ht="15" hidden="false" customHeight="false" outlineLevel="0" collapsed="false">
      <c r="A1808" s="28" t="n">
        <v>1807</v>
      </c>
      <c r="B1808" s="32" t="s">
        <v>2135</v>
      </c>
    </row>
    <row r="1809" customFormat="false" ht="15" hidden="false" customHeight="false" outlineLevel="0" collapsed="false">
      <c r="A1809" s="28" t="n">
        <v>1808</v>
      </c>
      <c r="B1809" s="32" t="s">
        <v>2136</v>
      </c>
    </row>
    <row r="1810" customFormat="false" ht="15" hidden="false" customHeight="false" outlineLevel="0" collapsed="false">
      <c r="A1810" s="28" t="n">
        <v>1809</v>
      </c>
      <c r="B1810" s="32" t="s">
        <v>2137</v>
      </c>
    </row>
    <row r="1811" customFormat="false" ht="15" hidden="false" customHeight="false" outlineLevel="0" collapsed="false">
      <c r="A1811" s="28" t="n">
        <v>1810</v>
      </c>
      <c r="B1811" s="32" t="s">
        <v>2138</v>
      </c>
    </row>
    <row r="1812" customFormat="false" ht="15" hidden="false" customHeight="false" outlineLevel="0" collapsed="false">
      <c r="A1812" s="28" t="n">
        <v>1811</v>
      </c>
      <c r="B1812" s="32" t="s">
        <v>2139</v>
      </c>
    </row>
    <row r="1813" customFormat="false" ht="15" hidden="false" customHeight="false" outlineLevel="0" collapsed="false">
      <c r="A1813" s="28" t="n">
        <v>1812</v>
      </c>
      <c r="B1813" s="32" t="s">
        <v>2140</v>
      </c>
    </row>
    <row r="1814" customFormat="false" ht="15" hidden="false" customHeight="false" outlineLevel="0" collapsed="false">
      <c r="A1814" s="28" t="n">
        <v>1813</v>
      </c>
      <c r="B1814" s="32" t="s">
        <v>2141</v>
      </c>
    </row>
    <row r="1815" customFormat="false" ht="15" hidden="false" customHeight="false" outlineLevel="0" collapsed="false">
      <c r="A1815" s="28" t="n">
        <v>1814</v>
      </c>
      <c r="B1815" s="32" t="s">
        <v>2142</v>
      </c>
    </row>
    <row r="1816" customFormat="false" ht="15" hidden="false" customHeight="false" outlineLevel="0" collapsed="false">
      <c r="A1816" s="28" t="n">
        <v>1815</v>
      </c>
      <c r="B1816" s="32" t="s">
        <v>2143</v>
      </c>
    </row>
    <row r="1817" customFormat="false" ht="15" hidden="false" customHeight="false" outlineLevel="0" collapsed="false">
      <c r="A1817" s="28" t="n">
        <v>1816</v>
      </c>
      <c r="B1817" s="32" t="s">
        <v>2144</v>
      </c>
    </row>
    <row r="1818" customFormat="false" ht="15" hidden="false" customHeight="false" outlineLevel="0" collapsed="false">
      <c r="A1818" s="28" t="n">
        <v>1817</v>
      </c>
      <c r="B1818" s="32" t="s">
        <v>2145</v>
      </c>
    </row>
    <row r="1819" customFormat="false" ht="15" hidden="false" customHeight="false" outlineLevel="0" collapsed="false">
      <c r="A1819" s="28" t="n">
        <v>1818</v>
      </c>
      <c r="B1819" s="32" t="s">
        <v>2146</v>
      </c>
    </row>
    <row r="1820" customFormat="false" ht="15" hidden="false" customHeight="false" outlineLevel="0" collapsed="false">
      <c r="A1820" s="28" t="n">
        <v>1819</v>
      </c>
      <c r="B1820" s="32" t="s">
        <v>2147</v>
      </c>
    </row>
    <row r="1821" customFormat="false" ht="15" hidden="false" customHeight="false" outlineLevel="0" collapsed="false">
      <c r="A1821" s="28" t="n">
        <v>1820</v>
      </c>
      <c r="B1821" s="32" t="s">
        <v>2148</v>
      </c>
    </row>
    <row r="1822" customFormat="false" ht="15" hidden="false" customHeight="false" outlineLevel="0" collapsed="false">
      <c r="A1822" s="28" t="n">
        <v>1821</v>
      </c>
      <c r="B1822" s="32" t="s">
        <v>2149</v>
      </c>
    </row>
    <row r="1823" customFormat="false" ht="15" hidden="false" customHeight="false" outlineLevel="0" collapsed="false">
      <c r="A1823" s="28" t="n">
        <v>1822</v>
      </c>
      <c r="B1823" s="32" t="s">
        <v>2150</v>
      </c>
    </row>
    <row r="1824" customFormat="false" ht="15" hidden="false" customHeight="false" outlineLevel="0" collapsed="false">
      <c r="A1824" s="28" t="n">
        <v>1823</v>
      </c>
      <c r="B1824" s="32" t="s">
        <v>2151</v>
      </c>
    </row>
    <row r="1825" customFormat="false" ht="15" hidden="false" customHeight="false" outlineLevel="0" collapsed="false">
      <c r="A1825" s="28" t="n">
        <v>1824</v>
      </c>
      <c r="B1825" s="32" t="s">
        <v>2152</v>
      </c>
    </row>
    <row r="1826" customFormat="false" ht="15" hidden="false" customHeight="false" outlineLevel="0" collapsed="false">
      <c r="A1826" s="28" t="n">
        <v>1825</v>
      </c>
      <c r="B1826" s="32" t="s">
        <v>2153</v>
      </c>
    </row>
    <row r="1827" customFormat="false" ht="15" hidden="false" customHeight="false" outlineLevel="0" collapsed="false">
      <c r="A1827" s="28" t="n">
        <v>1826</v>
      </c>
      <c r="B1827" s="32" t="s">
        <v>2154</v>
      </c>
    </row>
    <row r="1828" customFormat="false" ht="15" hidden="false" customHeight="false" outlineLevel="0" collapsed="false">
      <c r="A1828" s="28" t="n">
        <v>1827</v>
      </c>
      <c r="B1828" s="32" t="s">
        <v>2155</v>
      </c>
    </row>
    <row r="1829" customFormat="false" ht="15" hidden="false" customHeight="false" outlineLevel="0" collapsed="false">
      <c r="A1829" s="28" t="n">
        <v>1828</v>
      </c>
      <c r="B1829" s="32" t="s">
        <v>2156</v>
      </c>
    </row>
    <row r="1830" customFormat="false" ht="15" hidden="false" customHeight="false" outlineLevel="0" collapsed="false">
      <c r="A1830" s="28" t="n">
        <v>1829</v>
      </c>
      <c r="B1830" s="32" t="s">
        <v>2157</v>
      </c>
    </row>
    <row r="1831" customFormat="false" ht="15" hidden="false" customHeight="false" outlineLevel="0" collapsed="false">
      <c r="A1831" s="28" t="n">
        <v>1830</v>
      </c>
      <c r="B1831" s="32" t="s">
        <v>2158</v>
      </c>
    </row>
    <row r="1832" customFormat="false" ht="15" hidden="false" customHeight="false" outlineLevel="0" collapsed="false">
      <c r="A1832" s="28" t="n">
        <v>1831</v>
      </c>
      <c r="B1832" s="32" t="s">
        <v>2159</v>
      </c>
    </row>
    <row r="1833" customFormat="false" ht="15" hidden="false" customHeight="false" outlineLevel="0" collapsed="false">
      <c r="A1833" s="28" t="n">
        <v>1832</v>
      </c>
      <c r="B1833" s="32" t="s">
        <v>2160</v>
      </c>
    </row>
    <row r="1834" customFormat="false" ht="15" hidden="false" customHeight="false" outlineLevel="0" collapsed="false">
      <c r="A1834" s="28" t="n">
        <v>1833</v>
      </c>
      <c r="B1834" s="32" t="s">
        <v>2161</v>
      </c>
    </row>
    <row r="1835" customFormat="false" ht="15" hidden="false" customHeight="false" outlineLevel="0" collapsed="false">
      <c r="A1835" s="28" t="n">
        <v>1834</v>
      </c>
      <c r="B1835" s="32" t="s">
        <v>2162</v>
      </c>
    </row>
    <row r="1836" customFormat="false" ht="15" hidden="false" customHeight="false" outlineLevel="0" collapsed="false">
      <c r="A1836" s="28" t="n">
        <v>1835</v>
      </c>
      <c r="B1836" s="32" t="s">
        <v>2163</v>
      </c>
    </row>
    <row r="1837" customFormat="false" ht="15" hidden="false" customHeight="false" outlineLevel="0" collapsed="false">
      <c r="A1837" s="28" t="n">
        <v>1836</v>
      </c>
      <c r="B1837" s="32" t="s">
        <v>2164</v>
      </c>
    </row>
    <row r="1838" customFormat="false" ht="15" hidden="false" customHeight="false" outlineLevel="0" collapsed="false">
      <c r="A1838" s="28" t="n">
        <v>1837</v>
      </c>
      <c r="B1838" s="32" t="s">
        <v>2165</v>
      </c>
    </row>
    <row r="1839" customFormat="false" ht="15" hidden="false" customHeight="false" outlineLevel="0" collapsed="false">
      <c r="A1839" s="28" t="n">
        <v>1838</v>
      </c>
      <c r="B1839" s="32" t="s">
        <v>2166</v>
      </c>
    </row>
    <row r="1840" customFormat="false" ht="15" hidden="false" customHeight="false" outlineLevel="0" collapsed="false">
      <c r="A1840" s="28" t="n">
        <v>1839</v>
      </c>
      <c r="B1840" s="32" t="s">
        <v>2167</v>
      </c>
    </row>
    <row r="1841" customFormat="false" ht="15" hidden="false" customHeight="false" outlineLevel="0" collapsed="false">
      <c r="A1841" s="28" t="n">
        <v>1840</v>
      </c>
      <c r="B1841" s="32" t="s">
        <v>2168</v>
      </c>
    </row>
    <row r="1842" customFormat="false" ht="15" hidden="false" customHeight="false" outlineLevel="0" collapsed="false">
      <c r="A1842" s="28" t="n">
        <v>1841</v>
      </c>
      <c r="B1842" s="32" t="s">
        <v>2169</v>
      </c>
    </row>
    <row r="1843" customFormat="false" ht="15" hidden="false" customHeight="false" outlineLevel="0" collapsed="false">
      <c r="A1843" s="28" t="n">
        <v>1842</v>
      </c>
      <c r="B1843" s="32" t="s">
        <v>2170</v>
      </c>
    </row>
    <row r="1844" customFormat="false" ht="15" hidden="false" customHeight="false" outlineLevel="0" collapsed="false">
      <c r="A1844" s="28" t="n">
        <v>1843</v>
      </c>
      <c r="B1844" s="32" t="s">
        <v>2171</v>
      </c>
    </row>
    <row r="1845" customFormat="false" ht="15" hidden="false" customHeight="false" outlineLevel="0" collapsed="false">
      <c r="A1845" s="28" t="n">
        <v>1844</v>
      </c>
      <c r="B1845" s="32" t="s">
        <v>2172</v>
      </c>
    </row>
    <row r="1846" customFormat="false" ht="15" hidden="false" customHeight="false" outlineLevel="0" collapsed="false">
      <c r="A1846" s="28" t="n">
        <v>1845</v>
      </c>
      <c r="B1846" s="32" t="s">
        <v>2173</v>
      </c>
    </row>
    <row r="1847" customFormat="false" ht="15" hidden="false" customHeight="false" outlineLevel="0" collapsed="false">
      <c r="A1847" s="28" t="n">
        <v>1846</v>
      </c>
      <c r="B1847" s="32" t="s">
        <v>2174</v>
      </c>
    </row>
    <row r="1848" customFormat="false" ht="15" hidden="false" customHeight="false" outlineLevel="0" collapsed="false">
      <c r="A1848" s="28" t="n">
        <v>1847</v>
      </c>
      <c r="B1848" s="32" t="s">
        <v>2175</v>
      </c>
    </row>
    <row r="1849" customFormat="false" ht="15" hidden="false" customHeight="false" outlineLevel="0" collapsed="false">
      <c r="A1849" s="28" t="n">
        <v>1848</v>
      </c>
      <c r="B1849" s="32" t="s">
        <v>2176</v>
      </c>
    </row>
    <row r="1850" customFormat="false" ht="15" hidden="false" customHeight="false" outlineLevel="0" collapsed="false">
      <c r="A1850" s="28" t="n">
        <v>1849</v>
      </c>
      <c r="B1850" s="32" t="s">
        <v>2177</v>
      </c>
    </row>
    <row r="1851" customFormat="false" ht="15" hidden="false" customHeight="false" outlineLevel="0" collapsed="false">
      <c r="A1851" s="28" t="n">
        <v>1850</v>
      </c>
      <c r="B1851" s="32" t="s">
        <v>2178</v>
      </c>
    </row>
    <row r="1852" customFormat="false" ht="15" hidden="false" customHeight="false" outlineLevel="0" collapsed="false">
      <c r="A1852" s="28" t="n">
        <v>1851</v>
      </c>
      <c r="B1852" s="32" t="s">
        <v>2179</v>
      </c>
    </row>
    <row r="1853" customFormat="false" ht="15" hidden="false" customHeight="false" outlineLevel="0" collapsed="false">
      <c r="A1853" s="28" t="n">
        <v>1852</v>
      </c>
      <c r="B1853" s="32" t="s">
        <v>2180</v>
      </c>
    </row>
    <row r="1854" customFormat="false" ht="15" hidden="false" customHeight="false" outlineLevel="0" collapsed="false">
      <c r="A1854" s="28" t="n">
        <v>1853</v>
      </c>
      <c r="B1854" s="32" t="s">
        <v>2181</v>
      </c>
    </row>
    <row r="1855" customFormat="false" ht="15" hidden="false" customHeight="false" outlineLevel="0" collapsed="false">
      <c r="A1855" s="28" t="n">
        <v>1854</v>
      </c>
      <c r="B1855" s="32" t="s">
        <v>2182</v>
      </c>
    </row>
    <row r="1856" customFormat="false" ht="15" hidden="false" customHeight="false" outlineLevel="0" collapsed="false">
      <c r="A1856" s="28" t="n">
        <v>1855</v>
      </c>
      <c r="B1856" s="32" t="s">
        <v>2183</v>
      </c>
    </row>
    <row r="1857" customFormat="false" ht="15" hidden="false" customHeight="false" outlineLevel="0" collapsed="false">
      <c r="A1857" s="28" t="n">
        <v>1856</v>
      </c>
      <c r="B1857" s="32" t="s">
        <v>2184</v>
      </c>
    </row>
    <row r="1858" customFormat="false" ht="15" hidden="false" customHeight="false" outlineLevel="0" collapsed="false">
      <c r="A1858" s="28" t="n">
        <v>1857</v>
      </c>
      <c r="B1858" s="32" t="s">
        <v>2185</v>
      </c>
    </row>
    <row r="1859" customFormat="false" ht="15" hidden="false" customHeight="false" outlineLevel="0" collapsed="false">
      <c r="A1859" s="28" t="n">
        <v>1858</v>
      </c>
      <c r="B1859" s="32" t="s">
        <v>2186</v>
      </c>
    </row>
    <row r="1860" customFormat="false" ht="15" hidden="false" customHeight="false" outlineLevel="0" collapsed="false">
      <c r="A1860" s="28" t="n">
        <v>1859</v>
      </c>
      <c r="B1860" s="32" t="s">
        <v>2187</v>
      </c>
    </row>
    <row r="1861" customFormat="false" ht="15" hidden="false" customHeight="false" outlineLevel="0" collapsed="false">
      <c r="A1861" s="28" t="n">
        <v>1860</v>
      </c>
      <c r="B1861" s="32" t="s">
        <v>2188</v>
      </c>
    </row>
    <row r="1862" customFormat="false" ht="15" hidden="false" customHeight="false" outlineLevel="0" collapsed="false">
      <c r="A1862" s="28" t="n">
        <v>1861</v>
      </c>
      <c r="B1862" s="32" t="s">
        <v>2189</v>
      </c>
    </row>
    <row r="1863" customFormat="false" ht="15" hidden="false" customHeight="false" outlineLevel="0" collapsed="false">
      <c r="A1863" s="28" t="n">
        <v>1862</v>
      </c>
      <c r="B1863" s="32" t="s">
        <v>2190</v>
      </c>
    </row>
    <row r="1864" customFormat="false" ht="15" hidden="false" customHeight="false" outlineLevel="0" collapsed="false">
      <c r="A1864" s="28" t="n">
        <v>1863</v>
      </c>
      <c r="B1864" s="32" t="s">
        <v>2191</v>
      </c>
    </row>
    <row r="1865" customFormat="false" ht="15" hidden="false" customHeight="false" outlineLevel="0" collapsed="false">
      <c r="A1865" s="28" t="n">
        <v>1864</v>
      </c>
      <c r="B1865" s="32" t="s">
        <v>2192</v>
      </c>
    </row>
    <row r="1866" customFormat="false" ht="15" hidden="false" customHeight="false" outlineLevel="0" collapsed="false">
      <c r="A1866" s="28" t="n">
        <v>1865</v>
      </c>
      <c r="B1866" s="32" t="s">
        <v>2193</v>
      </c>
    </row>
    <row r="1867" customFormat="false" ht="15" hidden="false" customHeight="false" outlineLevel="0" collapsed="false">
      <c r="A1867" s="28" t="n">
        <v>1866</v>
      </c>
      <c r="B1867" s="32" t="s">
        <v>2194</v>
      </c>
    </row>
    <row r="1868" customFormat="false" ht="15" hidden="false" customHeight="false" outlineLevel="0" collapsed="false">
      <c r="A1868" s="28" t="n">
        <v>1867</v>
      </c>
      <c r="B1868" s="32" t="s">
        <v>2195</v>
      </c>
    </row>
    <row r="1869" customFormat="false" ht="15" hidden="false" customHeight="false" outlineLevel="0" collapsed="false">
      <c r="A1869" s="28" t="n">
        <v>1868</v>
      </c>
      <c r="B1869" s="32" t="s">
        <v>2196</v>
      </c>
    </row>
    <row r="1870" customFormat="false" ht="15" hidden="false" customHeight="false" outlineLevel="0" collapsed="false">
      <c r="A1870" s="28" t="n">
        <v>1869</v>
      </c>
      <c r="B1870" s="32" t="s">
        <v>2197</v>
      </c>
    </row>
    <row r="1871" customFormat="false" ht="15" hidden="false" customHeight="false" outlineLevel="0" collapsed="false">
      <c r="A1871" s="28" t="n">
        <v>1870</v>
      </c>
      <c r="B1871" s="32" t="s">
        <v>2198</v>
      </c>
    </row>
    <row r="1872" customFormat="false" ht="15" hidden="false" customHeight="false" outlineLevel="0" collapsed="false">
      <c r="A1872" s="28" t="n">
        <v>1871</v>
      </c>
      <c r="B1872" s="32" t="s">
        <v>2199</v>
      </c>
    </row>
    <row r="1873" customFormat="false" ht="15" hidden="false" customHeight="false" outlineLevel="0" collapsed="false">
      <c r="A1873" s="28" t="n">
        <v>1872</v>
      </c>
      <c r="B1873" s="32" t="s">
        <v>2200</v>
      </c>
    </row>
    <row r="1874" customFormat="false" ht="15" hidden="false" customHeight="false" outlineLevel="0" collapsed="false">
      <c r="A1874" s="28" t="n">
        <v>1873</v>
      </c>
      <c r="B1874" s="32" t="s">
        <v>2201</v>
      </c>
    </row>
    <row r="1875" customFormat="false" ht="15" hidden="false" customHeight="false" outlineLevel="0" collapsed="false">
      <c r="A1875" s="28" t="n">
        <v>1874</v>
      </c>
      <c r="B1875" s="32" t="s">
        <v>2202</v>
      </c>
    </row>
    <row r="1876" customFormat="false" ht="15" hidden="false" customHeight="false" outlineLevel="0" collapsed="false">
      <c r="A1876" s="28" t="n">
        <v>1875</v>
      </c>
      <c r="B1876" s="32" t="s">
        <v>2203</v>
      </c>
    </row>
    <row r="1877" customFormat="false" ht="15" hidden="false" customHeight="false" outlineLevel="0" collapsed="false">
      <c r="A1877" s="28" t="n">
        <v>1876</v>
      </c>
      <c r="B1877" s="32" t="s">
        <v>2204</v>
      </c>
    </row>
    <row r="1878" customFormat="false" ht="15" hidden="false" customHeight="false" outlineLevel="0" collapsed="false">
      <c r="A1878" s="28" t="n">
        <v>1877</v>
      </c>
      <c r="B1878" s="32" t="s">
        <v>2205</v>
      </c>
    </row>
    <row r="1879" customFormat="false" ht="15" hidden="false" customHeight="false" outlineLevel="0" collapsed="false">
      <c r="A1879" s="28" t="n">
        <v>1878</v>
      </c>
      <c r="B1879" s="32" t="s">
        <v>2206</v>
      </c>
    </row>
    <row r="1880" customFormat="false" ht="15" hidden="false" customHeight="false" outlineLevel="0" collapsed="false">
      <c r="A1880" s="28" t="n">
        <v>1879</v>
      </c>
      <c r="B1880" s="32" t="s">
        <v>2207</v>
      </c>
    </row>
    <row r="1881" customFormat="false" ht="15" hidden="false" customHeight="false" outlineLevel="0" collapsed="false">
      <c r="A1881" s="28" t="n">
        <v>1880</v>
      </c>
      <c r="B1881" s="32" t="s">
        <v>2208</v>
      </c>
    </row>
    <row r="1882" customFormat="false" ht="15" hidden="false" customHeight="false" outlineLevel="0" collapsed="false">
      <c r="A1882" s="28" t="n">
        <v>1881</v>
      </c>
      <c r="B1882" s="32" t="s">
        <v>2209</v>
      </c>
    </row>
    <row r="1883" customFormat="false" ht="15" hidden="false" customHeight="false" outlineLevel="0" collapsed="false">
      <c r="A1883" s="28" t="n">
        <v>1882</v>
      </c>
      <c r="B1883" s="32" t="s">
        <v>2210</v>
      </c>
    </row>
    <row r="1884" customFormat="false" ht="15" hidden="false" customHeight="false" outlineLevel="0" collapsed="false">
      <c r="A1884" s="28" t="n">
        <v>1883</v>
      </c>
      <c r="B1884" s="32" t="s">
        <v>2211</v>
      </c>
    </row>
    <row r="1885" customFormat="false" ht="15" hidden="false" customHeight="false" outlineLevel="0" collapsed="false">
      <c r="A1885" s="28" t="n">
        <v>1884</v>
      </c>
      <c r="B1885" s="32" t="s">
        <v>2212</v>
      </c>
    </row>
    <row r="1886" customFormat="false" ht="15" hidden="false" customHeight="false" outlineLevel="0" collapsed="false">
      <c r="A1886" s="28" t="n">
        <v>1885</v>
      </c>
      <c r="B1886" s="32" t="s">
        <v>2213</v>
      </c>
    </row>
    <row r="1887" customFormat="false" ht="15" hidden="false" customHeight="false" outlineLevel="0" collapsed="false">
      <c r="A1887" s="28" t="n">
        <v>1886</v>
      </c>
      <c r="B1887" s="32" t="s">
        <v>2214</v>
      </c>
    </row>
    <row r="1888" customFormat="false" ht="15" hidden="false" customHeight="false" outlineLevel="0" collapsed="false">
      <c r="A1888" s="28" t="n">
        <v>1887</v>
      </c>
      <c r="B1888" s="32" t="s">
        <v>2215</v>
      </c>
    </row>
    <row r="1889" customFormat="false" ht="15" hidden="false" customHeight="false" outlineLevel="0" collapsed="false">
      <c r="A1889" s="28" t="n">
        <v>1888</v>
      </c>
      <c r="B1889" s="32" t="s">
        <v>2216</v>
      </c>
    </row>
    <row r="1890" customFormat="false" ht="15" hidden="false" customHeight="false" outlineLevel="0" collapsed="false">
      <c r="A1890" s="28" t="n">
        <v>1889</v>
      </c>
      <c r="B1890" s="32" t="s">
        <v>2217</v>
      </c>
    </row>
    <row r="1891" customFormat="false" ht="15" hidden="false" customHeight="false" outlineLevel="0" collapsed="false">
      <c r="A1891" s="28" t="n">
        <v>1890</v>
      </c>
      <c r="B1891" s="32" t="s">
        <v>2218</v>
      </c>
    </row>
    <row r="1892" customFormat="false" ht="15" hidden="false" customHeight="false" outlineLevel="0" collapsed="false">
      <c r="A1892" s="28" t="n">
        <v>1891</v>
      </c>
      <c r="B1892" s="32" t="s">
        <v>2219</v>
      </c>
    </row>
    <row r="1893" customFormat="false" ht="15" hidden="false" customHeight="false" outlineLevel="0" collapsed="false">
      <c r="A1893" s="28" t="n">
        <v>1892</v>
      </c>
      <c r="B1893" s="32" t="s">
        <v>2220</v>
      </c>
    </row>
    <row r="1894" customFormat="false" ht="15" hidden="false" customHeight="false" outlineLevel="0" collapsed="false">
      <c r="A1894" s="28" t="n">
        <v>1893</v>
      </c>
      <c r="B1894" s="32" t="s">
        <v>2221</v>
      </c>
    </row>
    <row r="1895" customFormat="false" ht="15" hidden="false" customHeight="false" outlineLevel="0" collapsed="false">
      <c r="A1895" s="28" t="n">
        <v>1894</v>
      </c>
      <c r="B1895" s="32" t="s">
        <v>2222</v>
      </c>
    </row>
    <row r="1896" customFormat="false" ht="15" hidden="false" customHeight="false" outlineLevel="0" collapsed="false">
      <c r="A1896" s="28" t="n">
        <v>1895</v>
      </c>
      <c r="B1896" s="32" t="s">
        <v>2223</v>
      </c>
    </row>
    <row r="1897" customFormat="false" ht="15" hidden="false" customHeight="false" outlineLevel="0" collapsed="false">
      <c r="A1897" s="28" t="n">
        <v>1896</v>
      </c>
      <c r="B1897" s="32" t="s">
        <v>2224</v>
      </c>
    </row>
    <row r="1898" customFormat="false" ht="15" hidden="false" customHeight="false" outlineLevel="0" collapsed="false">
      <c r="A1898" s="28" t="n">
        <v>1897</v>
      </c>
      <c r="B1898" s="32" t="s">
        <v>2225</v>
      </c>
    </row>
    <row r="1899" customFormat="false" ht="15" hidden="false" customHeight="false" outlineLevel="0" collapsed="false">
      <c r="A1899" s="28" t="n">
        <v>1898</v>
      </c>
      <c r="B1899" s="32" t="s">
        <v>2226</v>
      </c>
    </row>
    <row r="1900" customFormat="false" ht="15" hidden="false" customHeight="false" outlineLevel="0" collapsed="false">
      <c r="A1900" s="28" t="n">
        <v>1899</v>
      </c>
      <c r="B1900" s="32" t="s">
        <v>2227</v>
      </c>
    </row>
    <row r="1901" customFormat="false" ht="15" hidden="false" customHeight="false" outlineLevel="0" collapsed="false">
      <c r="A1901" s="28" t="n">
        <v>1900</v>
      </c>
      <c r="B1901" s="32" t="s">
        <v>2228</v>
      </c>
    </row>
    <row r="1902" customFormat="false" ht="15" hidden="false" customHeight="false" outlineLevel="0" collapsed="false">
      <c r="A1902" s="28" t="n">
        <v>1901</v>
      </c>
      <c r="B1902" s="32" t="s">
        <v>2229</v>
      </c>
    </row>
    <row r="1903" customFormat="false" ht="15" hidden="false" customHeight="false" outlineLevel="0" collapsed="false">
      <c r="A1903" s="28" t="n">
        <v>1902</v>
      </c>
      <c r="B1903" s="32" t="s">
        <v>2230</v>
      </c>
    </row>
    <row r="1904" customFormat="false" ht="15" hidden="false" customHeight="false" outlineLevel="0" collapsed="false">
      <c r="A1904" s="28" t="n">
        <v>1903</v>
      </c>
      <c r="B1904" s="32" t="s">
        <v>2231</v>
      </c>
    </row>
    <row r="1905" customFormat="false" ht="15" hidden="false" customHeight="false" outlineLevel="0" collapsed="false">
      <c r="A1905" s="28" t="n">
        <v>1904</v>
      </c>
      <c r="B1905" s="32" t="s">
        <v>2232</v>
      </c>
    </row>
    <row r="1906" customFormat="false" ht="15" hidden="false" customHeight="false" outlineLevel="0" collapsed="false">
      <c r="A1906" s="28" t="n">
        <v>1905</v>
      </c>
      <c r="B1906" s="32" t="s">
        <v>2233</v>
      </c>
    </row>
    <row r="1907" customFormat="false" ht="15" hidden="false" customHeight="false" outlineLevel="0" collapsed="false">
      <c r="A1907" s="28" t="n">
        <v>1906</v>
      </c>
      <c r="B1907" s="32" t="s">
        <v>2234</v>
      </c>
    </row>
    <row r="1908" customFormat="false" ht="15" hidden="false" customHeight="false" outlineLevel="0" collapsed="false">
      <c r="A1908" s="28" t="n">
        <v>1907</v>
      </c>
      <c r="B1908" s="32" t="s">
        <v>2235</v>
      </c>
    </row>
    <row r="1909" customFormat="false" ht="15" hidden="false" customHeight="false" outlineLevel="0" collapsed="false">
      <c r="A1909" s="28" t="n">
        <v>1908</v>
      </c>
      <c r="B1909" s="32" t="s">
        <v>2236</v>
      </c>
    </row>
    <row r="1910" customFormat="false" ht="15" hidden="false" customHeight="false" outlineLevel="0" collapsed="false">
      <c r="A1910" s="28" t="n">
        <v>1909</v>
      </c>
      <c r="B1910" s="32" t="s">
        <v>2237</v>
      </c>
    </row>
    <row r="1911" customFormat="false" ht="15" hidden="false" customHeight="false" outlineLevel="0" collapsed="false">
      <c r="A1911" s="28" t="n">
        <v>1910</v>
      </c>
      <c r="B1911" s="32" t="s">
        <v>2238</v>
      </c>
    </row>
    <row r="1912" customFormat="false" ht="15" hidden="false" customHeight="false" outlineLevel="0" collapsed="false">
      <c r="A1912" s="28" t="n">
        <v>1911</v>
      </c>
      <c r="B1912" s="32" t="s">
        <v>2239</v>
      </c>
    </row>
    <row r="1913" customFormat="false" ht="15" hidden="false" customHeight="false" outlineLevel="0" collapsed="false">
      <c r="A1913" s="28" t="n">
        <v>1912</v>
      </c>
      <c r="B1913" s="32" t="s">
        <v>2240</v>
      </c>
    </row>
    <row r="1914" customFormat="false" ht="15" hidden="false" customHeight="false" outlineLevel="0" collapsed="false">
      <c r="A1914" s="28" t="n">
        <v>1913</v>
      </c>
      <c r="B1914" s="32" t="s">
        <v>2241</v>
      </c>
    </row>
    <row r="1915" customFormat="false" ht="15" hidden="false" customHeight="false" outlineLevel="0" collapsed="false">
      <c r="A1915" s="28" t="n">
        <v>1914</v>
      </c>
      <c r="B1915" s="32" t="s">
        <v>2242</v>
      </c>
    </row>
    <row r="1916" customFormat="false" ht="15" hidden="false" customHeight="false" outlineLevel="0" collapsed="false">
      <c r="A1916" s="28" t="n">
        <v>1915</v>
      </c>
      <c r="B1916" s="32" t="s">
        <v>2243</v>
      </c>
    </row>
    <row r="1917" customFormat="false" ht="15" hidden="false" customHeight="false" outlineLevel="0" collapsed="false">
      <c r="A1917" s="28" t="n">
        <v>1916</v>
      </c>
      <c r="B1917" s="32" t="s">
        <v>2244</v>
      </c>
    </row>
    <row r="1918" customFormat="false" ht="15" hidden="false" customHeight="false" outlineLevel="0" collapsed="false">
      <c r="A1918" s="28" t="n">
        <v>1917</v>
      </c>
      <c r="B1918" s="32" t="s">
        <v>2245</v>
      </c>
    </row>
    <row r="1919" customFormat="false" ht="15" hidden="false" customHeight="false" outlineLevel="0" collapsed="false">
      <c r="A1919" s="28" t="n">
        <v>1918</v>
      </c>
      <c r="B1919" s="32" t="s">
        <v>2246</v>
      </c>
    </row>
    <row r="1920" customFormat="false" ht="15" hidden="false" customHeight="false" outlineLevel="0" collapsed="false">
      <c r="A1920" s="28" t="n">
        <v>1919</v>
      </c>
      <c r="B1920" s="32" t="s">
        <v>2247</v>
      </c>
    </row>
    <row r="1921" customFormat="false" ht="15" hidden="false" customHeight="false" outlineLevel="0" collapsed="false">
      <c r="A1921" s="28" t="n">
        <v>1920</v>
      </c>
      <c r="B1921" s="32" t="s">
        <v>2248</v>
      </c>
    </row>
    <row r="1922" customFormat="false" ht="15" hidden="false" customHeight="false" outlineLevel="0" collapsed="false">
      <c r="A1922" s="28" t="n">
        <v>1921</v>
      </c>
      <c r="B1922" s="32" t="s">
        <v>2249</v>
      </c>
    </row>
    <row r="1923" customFormat="false" ht="15" hidden="false" customHeight="false" outlineLevel="0" collapsed="false">
      <c r="A1923" s="28" t="n">
        <v>1922</v>
      </c>
      <c r="B1923" s="32" t="s">
        <v>2250</v>
      </c>
    </row>
    <row r="1924" customFormat="false" ht="15" hidden="false" customHeight="false" outlineLevel="0" collapsed="false">
      <c r="A1924" s="28" t="n">
        <v>1923</v>
      </c>
      <c r="B1924" s="32" t="s">
        <v>2251</v>
      </c>
    </row>
    <row r="1925" customFormat="false" ht="15" hidden="false" customHeight="false" outlineLevel="0" collapsed="false">
      <c r="A1925" s="28" t="n">
        <v>1924</v>
      </c>
      <c r="B1925" s="32" t="s">
        <v>2252</v>
      </c>
    </row>
    <row r="1926" customFormat="false" ht="15" hidden="false" customHeight="false" outlineLevel="0" collapsed="false">
      <c r="A1926" s="28" t="n">
        <v>1925</v>
      </c>
      <c r="B1926" s="32" t="s">
        <v>2253</v>
      </c>
    </row>
    <row r="1927" customFormat="false" ht="15" hidden="false" customHeight="false" outlineLevel="0" collapsed="false">
      <c r="A1927" s="28" t="n">
        <v>1926</v>
      </c>
      <c r="B1927" s="32" t="s">
        <v>2254</v>
      </c>
    </row>
    <row r="1928" customFormat="false" ht="15" hidden="false" customHeight="false" outlineLevel="0" collapsed="false">
      <c r="A1928" s="28" t="n">
        <v>1927</v>
      </c>
      <c r="B1928" s="32" t="s">
        <v>2255</v>
      </c>
    </row>
    <row r="1929" customFormat="false" ht="15" hidden="false" customHeight="false" outlineLevel="0" collapsed="false">
      <c r="A1929" s="28" t="n">
        <v>1928</v>
      </c>
      <c r="B1929" s="32" t="s">
        <v>2256</v>
      </c>
    </row>
    <row r="1930" customFormat="false" ht="15" hidden="false" customHeight="false" outlineLevel="0" collapsed="false">
      <c r="A1930" s="28" t="n">
        <v>1929</v>
      </c>
      <c r="B1930" s="32" t="s">
        <v>2257</v>
      </c>
    </row>
    <row r="1931" customFormat="false" ht="15" hidden="false" customHeight="false" outlineLevel="0" collapsed="false">
      <c r="A1931" s="28" t="n">
        <v>1930</v>
      </c>
      <c r="B1931" s="32" t="s">
        <v>2258</v>
      </c>
    </row>
    <row r="1932" customFormat="false" ht="15" hidden="false" customHeight="false" outlineLevel="0" collapsed="false">
      <c r="A1932" s="28" t="n">
        <v>1931</v>
      </c>
      <c r="B1932" s="32" t="s">
        <v>2259</v>
      </c>
    </row>
    <row r="1933" customFormat="false" ht="15" hidden="false" customHeight="false" outlineLevel="0" collapsed="false">
      <c r="A1933" s="28" t="n">
        <v>1932</v>
      </c>
      <c r="B1933" s="32" t="s">
        <v>2260</v>
      </c>
    </row>
    <row r="1934" customFormat="false" ht="15" hidden="false" customHeight="false" outlineLevel="0" collapsed="false">
      <c r="A1934" s="28" t="n">
        <v>1933</v>
      </c>
      <c r="B1934" s="32" t="s">
        <v>2261</v>
      </c>
    </row>
    <row r="1935" customFormat="false" ht="15" hidden="false" customHeight="false" outlineLevel="0" collapsed="false">
      <c r="A1935" s="28" t="n">
        <v>1934</v>
      </c>
      <c r="B1935" s="32" t="s">
        <v>2262</v>
      </c>
    </row>
    <row r="1936" customFormat="false" ht="15" hidden="false" customHeight="false" outlineLevel="0" collapsed="false">
      <c r="A1936" s="28" t="n">
        <v>1935</v>
      </c>
      <c r="B1936" s="32" t="s">
        <v>2263</v>
      </c>
    </row>
    <row r="1937" customFormat="false" ht="15" hidden="false" customHeight="false" outlineLevel="0" collapsed="false">
      <c r="A1937" s="28" t="n">
        <v>1936</v>
      </c>
      <c r="B1937" s="32" t="s">
        <v>2264</v>
      </c>
    </row>
    <row r="1938" customFormat="false" ht="15" hidden="false" customHeight="false" outlineLevel="0" collapsed="false">
      <c r="A1938" s="28" t="n">
        <v>1937</v>
      </c>
      <c r="B1938" s="32" t="s">
        <v>2265</v>
      </c>
    </row>
    <row r="1939" customFormat="false" ht="15" hidden="false" customHeight="false" outlineLevel="0" collapsed="false">
      <c r="A1939" s="28" t="n">
        <v>1938</v>
      </c>
      <c r="B1939" s="32" t="s">
        <v>2266</v>
      </c>
    </row>
    <row r="1940" customFormat="false" ht="15" hidden="false" customHeight="false" outlineLevel="0" collapsed="false">
      <c r="A1940" s="28" t="n">
        <v>1939</v>
      </c>
      <c r="B1940" s="32" t="s">
        <v>2267</v>
      </c>
    </row>
    <row r="1941" customFormat="false" ht="15" hidden="false" customHeight="false" outlineLevel="0" collapsed="false">
      <c r="A1941" s="28" t="n">
        <v>1940</v>
      </c>
      <c r="B1941" s="32" t="s">
        <v>2268</v>
      </c>
    </row>
    <row r="1942" customFormat="false" ht="15" hidden="false" customHeight="false" outlineLevel="0" collapsed="false">
      <c r="A1942" s="28" t="n">
        <v>1941</v>
      </c>
      <c r="B1942" s="32" t="s">
        <v>2269</v>
      </c>
    </row>
    <row r="1943" customFormat="false" ht="15" hidden="false" customHeight="false" outlineLevel="0" collapsed="false">
      <c r="A1943" s="28" t="n">
        <v>1942</v>
      </c>
      <c r="B1943" s="32" t="s">
        <v>2270</v>
      </c>
    </row>
    <row r="1944" customFormat="false" ht="15" hidden="false" customHeight="false" outlineLevel="0" collapsed="false">
      <c r="A1944" s="28" t="n">
        <v>1943</v>
      </c>
      <c r="B1944" s="32" t="s">
        <v>2271</v>
      </c>
    </row>
    <row r="1945" customFormat="false" ht="15" hidden="false" customHeight="false" outlineLevel="0" collapsed="false">
      <c r="A1945" s="28" t="n">
        <v>1944</v>
      </c>
      <c r="B1945" s="32" t="s">
        <v>2272</v>
      </c>
    </row>
    <row r="1946" customFormat="false" ht="15" hidden="false" customHeight="false" outlineLevel="0" collapsed="false">
      <c r="A1946" s="28" t="n">
        <v>1945</v>
      </c>
      <c r="B1946" s="32" t="s">
        <v>2273</v>
      </c>
    </row>
    <row r="1947" customFormat="false" ht="15" hidden="false" customHeight="false" outlineLevel="0" collapsed="false">
      <c r="A1947" s="28" t="n">
        <v>1946</v>
      </c>
      <c r="B1947" s="32" t="s">
        <v>2274</v>
      </c>
    </row>
    <row r="1948" customFormat="false" ht="15" hidden="false" customHeight="false" outlineLevel="0" collapsed="false">
      <c r="A1948" s="28" t="n">
        <v>1947</v>
      </c>
      <c r="B1948" s="32" t="s">
        <v>2275</v>
      </c>
    </row>
    <row r="1949" customFormat="false" ht="15" hidden="false" customHeight="false" outlineLevel="0" collapsed="false">
      <c r="A1949" s="28" t="n">
        <v>1948</v>
      </c>
      <c r="B1949" s="32" t="s">
        <v>2276</v>
      </c>
    </row>
    <row r="1950" customFormat="false" ht="15" hidden="false" customHeight="false" outlineLevel="0" collapsed="false">
      <c r="A1950" s="28" t="n">
        <v>1949</v>
      </c>
      <c r="B1950" s="32" t="s">
        <v>2277</v>
      </c>
    </row>
    <row r="1951" customFormat="false" ht="15" hidden="false" customHeight="false" outlineLevel="0" collapsed="false">
      <c r="A1951" s="28" t="n">
        <v>1950</v>
      </c>
      <c r="B1951" s="32" t="s">
        <v>2278</v>
      </c>
    </row>
    <row r="1952" customFormat="false" ht="15" hidden="false" customHeight="false" outlineLevel="0" collapsed="false">
      <c r="A1952" s="28" t="n">
        <v>1951</v>
      </c>
      <c r="B1952" s="32" t="s">
        <v>2279</v>
      </c>
    </row>
    <row r="1953" customFormat="false" ht="15" hidden="false" customHeight="false" outlineLevel="0" collapsed="false">
      <c r="A1953" s="28" t="n">
        <v>1952</v>
      </c>
      <c r="B1953" s="32" t="s">
        <v>2280</v>
      </c>
    </row>
    <row r="1954" customFormat="false" ht="15" hidden="false" customHeight="false" outlineLevel="0" collapsed="false">
      <c r="A1954" s="28" t="n">
        <v>1953</v>
      </c>
      <c r="B1954" s="32" t="s">
        <v>2281</v>
      </c>
    </row>
    <row r="1955" customFormat="false" ht="15" hidden="false" customHeight="false" outlineLevel="0" collapsed="false">
      <c r="A1955" s="28" t="n">
        <v>1954</v>
      </c>
      <c r="B1955" s="32" t="s">
        <v>2282</v>
      </c>
    </row>
    <row r="1956" customFormat="false" ht="15" hidden="false" customHeight="false" outlineLevel="0" collapsed="false">
      <c r="A1956" s="28" t="n">
        <v>1955</v>
      </c>
      <c r="B1956" s="32" t="s">
        <v>2283</v>
      </c>
    </row>
    <row r="1957" customFormat="false" ht="15" hidden="false" customHeight="false" outlineLevel="0" collapsed="false">
      <c r="A1957" s="28" t="n">
        <v>1956</v>
      </c>
      <c r="B1957" s="32" t="s">
        <v>2284</v>
      </c>
    </row>
    <row r="1958" customFormat="false" ht="15" hidden="false" customHeight="false" outlineLevel="0" collapsed="false">
      <c r="A1958" s="28" t="n">
        <v>1957</v>
      </c>
      <c r="B1958" s="32" t="s">
        <v>2285</v>
      </c>
    </row>
    <row r="1959" customFormat="false" ht="15" hidden="false" customHeight="false" outlineLevel="0" collapsed="false">
      <c r="A1959" s="28" t="n">
        <v>1958</v>
      </c>
      <c r="B1959" s="32" t="s">
        <v>2286</v>
      </c>
    </row>
    <row r="1960" customFormat="false" ht="15" hidden="false" customHeight="false" outlineLevel="0" collapsed="false">
      <c r="A1960" s="28" t="n">
        <v>1959</v>
      </c>
      <c r="B1960" s="32" t="s">
        <v>2287</v>
      </c>
    </row>
    <row r="1961" customFormat="false" ht="15" hidden="false" customHeight="false" outlineLevel="0" collapsed="false">
      <c r="A1961" s="28" t="n">
        <v>1960</v>
      </c>
      <c r="B1961" s="32" t="s">
        <v>2288</v>
      </c>
    </row>
    <row r="1962" customFormat="false" ht="15" hidden="false" customHeight="false" outlineLevel="0" collapsed="false">
      <c r="A1962" s="28" t="n">
        <v>1961</v>
      </c>
      <c r="B1962" s="32" t="s">
        <v>2289</v>
      </c>
    </row>
    <row r="1963" customFormat="false" ht="15" hidden="false" customHeight="false" outlineLevel="0" collapsed="false">
      <c r="A1963" s="28" t="n">
        <v>1962</v>
      </c>
      <c r="B1963" s="32" t="s">
        <v>2290</v>
      </c>
    </row>
    <row r="1964" customFormat="false" ht="15" hidden="false" customHeight="false" outlineLevel="0" collapsed="false">
      <c r="A1964" s="28" t="n">
        <v>1963</v>
      </c>
      <c r="B1964" s="32" t="s">
        <v>2291</v>
      </c>
    </row>
    <row r="1965" customFormat="false" ht="15" hidden="false" customHeight="false" outlineLevel="0" collapsed="false">
      <c r="A1965" s="28" t="n">
        <v>1964</v>
      </c>
      <c r="B1965" s="32" t="s">
        <v>2292</v>
      </c>
    </row>
    <row r="1966" customFormat="false" ht="15" hidden="false" customHeight="false" outlineLevel="0" collapsed="false">
      <c r="A1966" s="28" t="n">
        <v>1965</v>
      </c>
      <c r="B1966" s="32" t="s">
        <v>2293</v>
      </c>
    </row>
    <row r="1967" customFormat="false" ht="15" hidden="false" customHeight="false" outlineLevel="0" collapsed="false">
      <c r="A1967" s="28" t="n">
        <v>1966</v>
      </c>
      <c r="B1967" s="32" t="s">
        <v>2294</v>
      </c>
    </row>
    <row r="1968" customFormat="false" ht="15" hidden="false" customHeight="false" outlineLevel="0" collapsed="false">
      <c r="A1968" s="28" t="n">
        <v>1967</v>
      </c>
      <c r="B1968" s="32" t="s">
        <v>2295</v>
      </c>
    </row>
    <row r="1969" customFormat="false" ht="15" hidden="false" customHeight="false" outlineLevel="0" collapsed="false">
      <c r="A1969" s="28" t="n">
        <v>1968</v>
      </c>
      <c r="B1969" s="32" t="s">
        <v>2296</v>
      </c>
    </row>
    <row r="1970" customFormat="false" ht="15" hidden="false" customHeight="false" outlineLevel="0" collapsed="false">
      <c r="A1970" s="28" t="n">
        <v>1969</v>
      </c>
      <c r="B1970" s="32" t="s">
        <v>2297</v>
      </c>
    </row>
    <row r="1971" customFormat="false" ht="15" hidden="false" customHeight="false" outlineLevel="0" collapsed="false">
      <c r="A1971" s="28" t="n">
        <v>1970</v>
      </c>
      <c r="B1971" s="32" t="s">
        <v>2298</v>
      </c>
    </row>
    <row r="1972" customFormat="false" ht="15" hidden="false" customHeight="false" outlineLevel="0" collapsed="false">
      <c r="A1972" s="28" t="n">
        <v>1971</v>
      </c>
      <c r="B1972" s="32" t="s">
        <v>2299</v>
      </c>
    </row>
    <row r="1973" customFormat="false" ht="15" hidden="false" customHeight="false" outlineLevel="0" collapsed="false">
      <c r="A1973" s="28" t="n">
        <v>1972</v>
      </c>
      <c r="B1973" s="32" t="s">
        <v>2300</v>
      </c>
    </row>
    <row r="1974" customFormat="false" ht="15" hidden="false" customHeight="false" outlineLevel="0" collapsed="false">
      <c r="A1974" s="28" t="n">
        <v>1973</v>
      </c>
      <c r="B1974" s="32" t="s">
        <v>2301</v>
      </c>
    </row>
    <row r="1975" customFormat="false" ht="15" hidden="false" customHeight="false" outlineLevel="0" collapsed="false">
      <c r="A1975" s="28" t="n">
        <v>1974</v>
      </c>
      <c r="B1975" s="32" t="s">
        <v>2302</v>
      </c>
    </row>
    <row r="1976" customFormat="false" ht="15" hidden="false" customHeight="false" outlineLevel="0" collapsed="false">
      <c r="A1976" s="28" t="n">
        <v>1975</v>
      </c>
      <c r="B1976" s="32" t="s">
        <v>2303</v>
      </c>
    </row>
    <row r="1977" customFormat="false" ht="15" hidden="false" customHeight="false" outlineLevel="0" collapsed="false">
      <c r="A1977" s="28" t="n">
        <v>1976</v>
      </c>
      <c r="B1977" s="32" t="s">
        <v>2304</v>
      </c>
    </row>
    <row r="1978" customFormat="false" ht="15" hidden="false" customHeight="false" outlineLevel="0" collapsed="false">
      <c r="A1978" s="28" t="n">
        <v>1977</v>
      </c>
      <c r="B1978" s="32" t="s">
        <v>2305</v>
      </c>
    </row>
    <row r="1979" customFormat="false" ht="15" hidden="false" customHeight="false" outlineLevel="0" collapsed="false">
      <c r="A1979" s="28" t="n">
        <v>1978</v>
      </c>
      <c r="B1979" s="32" t="s">
        <v>2306</v>
      </c>
    </row>
    <row r="1980" customFormat="false" ht="15" hidden="false" customHeight="false" outlineLevel="0" collapsed="false">
      <c r="A1980" s="28" t="n">
        <v>1979</v>
      </c>
      <c r="B1980" s="32" t="s">
        <v>2307</v>
      </c>
    </row>
    <row r="1981" customFormat="false" ht="15" hidden="false" customHeight="false" outlineLevel="0" collapsed="false">
      <c r="A1981" s="28" t="n">
        <v>1980</v>
      </c>
      <c r="B1981" s="32" t="s">
        <v>2308</v>
      </c>
    </row>
    <row r="1982" customFormat="false" ht="15" hidden="false" customHeight="false" outlineLevel="0" collapsed="false">
      <c r="A1982" s="28" t="n">
        <v>1981</v>
      </c>
      <c r="B1982" s="32" t="s">
        <v>2309</v>
      </c>
    </row>
    <row r="1983" customFormat="false" ht="15" hidden="false" customHeight="false" outlineLevel="0" collapsed="false">
      <c r="A1983" s="28" t="n">
        <v>1982</v>
      </c>
      <c r="B1983" s="32" t="s">
        <v>2310</v>
      </c>
    </row>
    <row r="1984" customFormat="false" ht="15" hidden="false" customHeight="false" outlineLevel="0" collapsed="false">
      <c r="A1984" s="28" t="n">
        <v>1983</v>
      </c>
      <c r="B1984" s="32" t="s">
        <v>2311</v>
      </c>
    </row>
    <row r="1985" customFormat="false" ht="15" hidden="false" customHeight="false" outlineLevel="0" collapsed="false">
      <c r="A1985" s="28" t="n">
        <v>1984</v>
      </c>
      <c r="B1985" s="32" t="s">
        <v>2312</v>
      </c>
    </row>
    <row r="1986" customFormat="false" ht="15" hidden="false" customHeight="false" outlineLevel="0" collapsed="false">
      <c r="A1986" s="28" t="n">
        <v>1985</v>
      </c>
      <c r="B1986" s="32" t="s">
        <v>2313</v>
      </c>
    </row>
    <row r="1987" customFormat="false" ht="15" hidden="false" customHeight="false" outlineLevel="0" collapsed="false">
      <c r="A1987" s="28" t="n">
        <v>1986</v>
      </c>
      <c r="B1987" s="32" t="s">
        <v>2314</v>
      </c>
    </row>
    <row r="1988" customFormat="false" ht="15" hidden="false" customHeight="false" outlineLevel="0" collapsed="false">
      <c r="A1988" s="28" t="n">
        <v>1987</v>
      </c>
      <c r="B1988" s="32" t="s">
        <v>2315</v>
      </c>
    </row>
    <row r="1989" customFormat="false" ht="15" hidden="false" customHeight="false" outlineLevel="0" collapsed="false">
      <c r="A1989" s="28" t="n">
        <v>1988</v>
      </c>
      <c r="B1989" s="32" t="s">
        <v>2316</v>
      </c>
    </row>
    <row r="1990" customFormat="false" ht="15" hidden="false" customHeight="false" outlineLevel="0" collapsed="false">
      <c r="A1990" s="28" t="n">
        <v>1989</v>
      </c>
      <c r="B1990" s="32" t="s">
        <v>2317</v>
      </c>
    </row>
    <row r="1991" customFormat="false" ht="15" hidden="false" customHeight="false" outlineLevel="0" collapsed="false">
      <c r="A1991" s="28" t="n">
        <v>1990</v>
      </c>
      <c r="B1991" s="32" t="s">
        <v>2318</v>
      </c>
    </row>
    <row r="1992" customFormat="false" ht="15" hidden="false" customHeight="false" outlineLevel="0" collapsed="false">
      <c r="A1992" s="28" t="n">
        <v>1991</v>
      </c>
      <c r="B1992" s="32" t="s">
        <v>2319</v>
      </c>
    </row>
    <row r="1993" customFormat="false" ht="15" hidden="false" customHeight="false" outlineLevel="0" collapsed="false">
      <c r="A1993" s="28" t="n">
        <v>1992</v>
      </c>
      <c r="B1993" s="32" t="s">
        <v>2320</v>
      </c>
    </row>
    <row r="1994" customFormat="false" ht="15" hidden="false" customHeight="false" outlineLevel="0" collapsed="false">
      <c r="A1994" s="28" t="n">
        <v>1993</v>
      </c>
      <c r="B1994" s="32" t="s">
        <v>2321</v>
      </c>
    </row>
    <row r="1995" customFormat="false" ht="15" hidden="false" customHeight="false" outlineLevel="0" collapsed="false">
      <c r="A1995" s="28" t="n">
        <v>1994</v>
      </c>
      <c r="B1995" s="32" t="s">
        <v>2322</v>
      </c>
    </row>
    <row r="1996" customFormat="false" ht="15" hidden="false" customHeight="false" outlineLevel="0" collapsed="false">
      <c r="A1996" s="28" t="n">
        <v>1995</v>
      </c>
      <c r="B1996" s="32" t="s">
        <v>2323</v>
      </c>
    </row>
    <row r="1997" customFormat="false" ht="15" hidden="false" customHeight="false" outlineLevel="0" collapsed="false">
      <c r="A1997" s="28" t="n">
        <v>1996</v>
      </c>
      <c r="B1997" s="32" t="s">
        <v>2324</v>
      </c>
    </row>
    <row r="1998" customFormat="false" ht="15" hidden="false" customHeight="false" outlineLevel="0" collapsed="false">
      <c r="A1998" s="28" t="n">
        <v>1997</v>
      </c>
      <c r="B1998" s="32" t="s">
        <v>2325</v>
      </c>
    </row>
    <row r="1999" customFormat="false" ht="15" hidden="false" customHeight="false" outlineLevel="0" collapsed="false">
      <c r="A1999" s="28" t="n">
        <v>1998</v>
      </c>
      <c r="B1999" s="32" t="s">
        <v>2326</v>
      </c>
    </row>
    <row r="2000" customFormat="false" ht="15" hidden="false" customHeight="false" outlineLevel="0" collapsed="false">
      <c r="A2000" s="28" t="n">
        <v>1999</v>
      </c>
      <c r="B2000" s="32" t="s">
        <v>2327</v>
      </c>
    </row>
    <row r="2001" customFormat="false" ht="15" hidden="false" customHeight="false" outlineLevel="0" collapsed="false">
      <c r="A2001" s="28" t="n">
        <v>2000</v>
      </c>
      <c r="B2001" s="32" t="s">
        <v>2328</v>
      </c>
    </row>
    <row r="2002" customFormat="false" ht="15" hidden="false" customHeight="false" outlineLevel="0" collapsed="false">
      <c r="A2002" s="28" t="n">
        <v>2001</v>
      </c>
      <c r="B2002" s="32" t="s">
        <v>2329</v>
      </c>
    </row>
    <row r="2003" customFormat="false" ht="15" hidden="false" customHeight="false" outlineLevel="0" collapsed="false">
      <c r="A2003" s="28" t="n">
        <v>2002</v>
      </c>
      <c r="B2003" s="32" t="s">
        <v>2330</v>
      </c>
    </row>
    <row r="2004" customFormat="false" ht="15" hidden="false" customHeight="false" outlineLevel="0" collapsed="false">
      <c r="A2004" s="28" t="n">
        <v>2003</v>
      </c>
      <c r="B2004" s="32" t="s">
        <v>2331</v>
      </c>
    </row>
    <row r="2005" customFormat="false" ht="15" hidden="false" customHeight="false" outlineLevel="0" collapsed="false">
      <c r="A2005" s="28" t="n">
        <v>2004</v>
      </c>
      <c r="B2005" s="32" t="s">
        <v>313</v>
      </c>
    </row>
    <row r="2006" customFormat="false" ht="15" hidden="false" customHeight="false" outlineLevel="0" collapsed="false">
      <c r="A2006" s="28" t="n">
        <v>2005</v>
      </c>
      <c r="B2006" s="32" t="s">
        <v>2332</v>
      </c>
    </row>
    <row r="2007" customFormat="false" ht="15" hidden="false" customHeight="false" outlineLevel="0" collapsed="false">
      <c r="A2007" s="28" t="n">
        <v>2006</v>
      </c>
      <c r="B2007" s="32" t="s">
        <v>2333</v>
      </c>
    </row>
    <row r="2008" customFormat="false" ht="15" hidden="false" customHeight="false" outlineLevel="0" collapsed="false">
      <c r="A2008" s="28" t="n">
        <v>2007</v>
      </c>
      <c r="B2008" s="32" t="s">
        <v>2334</v>
      </c>
    </row>
    <row r="2009" customFormat="false" ht="15" hidden="false" customHeight="false" outlineLevel="0" collapsed="false">
      <c r="A2009" s="28" t="n">
        <v>2008</v>
      </c>
      <c r="B2009" s="32" t="s">
        <v>2335</v>
      </c>
    </row>
    <row r="2010" customFormat="false" ht="15" hidden="false" customHeight="false" outlineLevel="0" collapsed="false">
      <c r="A2010" s="28" t="n">
        <v>2009</v>
      </c>
      <c r="B2010" s="32" t="s">
        <v>2336</v>
      </c>
    </row>
    <row r="2011" customFormat="false" ht="15" hidden="false" customHeight="false" outlineLevel="0" collapsed="false">
      <c r="A2011" s="28" t="n">
        <v>2010</v>
      </c>
      <c r="B2011" s="32" t="s">
        <v>2337</v>
      </c>
    </row>
    <row r="2012" customFormat="false" ht="15" hidden="false" customHeight="false" outlineLevel="0" collapsed="false">
      <c r="A2012" s="28" t="n">
        <v>2011</v>
      </c>
      <c r="B2012" s="32" t="s">
        <v>2338</v>
      </c>
    </row>
    <row r="2013" customFormat="false" ht="15" hidden="false" customHeight="false" outlineLevel="0" collapsed="false">
      <c r="A2013" s="28" t="n">
        <v>2012</v>
      </c>
      <c r="B2013" s="32" t="s">
        <v>2339</v>
      </c>
    </row>
    <row r="2014" customFormat="false" ht="15" hidden="false" customHeight="false" outlineLevel="0" collapsed="false">
      <c r="A2014" s="28" t="n">
        <v>2013</v>
      </c>
      <c r="B2014" s="32" t="s">
        <v>2340</v>
      </c>
    </row>
    <row r="2015" customFormat="false" ht="15" hidden="false" customHeight="false" outlineLevel="0" collapsed="false">
      <c r="A2015" s="28" t="n">
        <v>2014</v>
      </c>
      <c r="B2015" s="32" t="s">
        <v>2341</v>
      </c>
    </row>
    <row r="2016" customFormat="false" ht="15" hidden="false" customHeight="false" outlineLevel="0" collapsed="false">
      <c r="A2016" s="28" t="n">
        <v>2015</v>
      </c>
      <c r="B2016" s="32" t="s">
        <v>2342</v>
      </c>
    </row>
    <row r="2017" customFormat="false" ht="15" hidden="false" customHeight="false" outlineLevel="0" collapsed="false">
      <c r="A2017" s="28" t="n">
        <v>2016</v>
      </c>
      <c r="B2017" s="32" t="s">
        <v>2343</v>
      </c>
    </row>
    <row r="2018" customFormat="false" ht="15" hidden="false" customHeight="false" outlineLevel="0" collapsed="false">
      <c r="A2018" s="28" t="n">
        <v>2017</v>
      </c>
      <c r="B2018" s="32" t="s">
        <v>2344</v>
      </c>
    </row>
    <row r="2019" customFormat="false" ht="15" hidden="false" customHeight="false" outlineLevel="0" collapsed="false">
      <c r="A2019" s="28" t="n">
        <v>2018</v>
      </c>
      <c r="B2019" s="32" t="s">
        <v>2345</v>
      </c>
    </row>
    <row r="2020" customFormat="false" ht="15" hidden="false" customHeight="false" outlineLevel="0" collapsed="false">
      <c r="A2020" s="28" t="n">
        <v>2019</v>
      </c>
      <c r="B2020" s="32" t="s">
        <v>2346</v>
      </c>
    </row>
    <row r="2021" customFormat="false" ht="15" hidden="false" customHeight="false" outlineLevel="0" collapsed="false">
      <c r="A2021" s="28" t="n">
        <v>2020</v>
      </c>
      <c r="B2021" s="32" t="s">
        <v>2347</v>
      </c>
    </row>
    <row r="2022" customFormat="false" ht="15" hidden="false" customHeight="false" outlineLevel="0" collapsed="false">
      <c r="A2022" s="28" t="n">
        <v>2021</v>
      </c>
      <c r="B2022" s="32" t="s">
        <v>2348</v>
      </c>
    </row>
    <row r="2023" customFormat="false" ht="15" hidden="false" customHeight="false" outlineLevel="0" collapsed="false">
      <c r="A2023" s="28" t="n">
        <v>2022</v>
      </c>
      <c r="B2023" s="32" t="s">
        <v>2349</v>
      </c>
    </row>
    <row r="2024" customFormat="false" ht="15" hidden="false" customHeight="false" outlineLevel="0" collapsed="false">
      <c r="A2024" s="28" t="n">
        <v>2023</v>
      </c>
      <c r="B2024" s="32" t="s">
        <v>2350</v>
      </c>
    </row>
    <row r="2025" customFormat="false" ht="15" hidden="false" customHeight="false" outlineLevel="0" collapsed="false">
      <c r="A2025" s="28" t="n">
        <v>2024</v>
      </c>
      <c r="B2025" s="32" t="s">
        <v>2351</v>
      </c>
    </row>
    <row r="2026" customFormat="false" ht="15" hidden="false" customHeight="false" outlineLevel="0" collapsed="false">
      <c r="A2026" s="28" t="n">
        <v>2025</v>
      </c>
      <c r="B2026" s="32" t="s">
        <v>2352</v>
      </c>
    </row>
    <row r="2027" customFormat="false" ht="15" hidden="false" customHeight="false" outlineLevel="0" collapsed="false">
      <c r="A2027" s="28" t="n">
        <v>2026</v>
      </c>
      <c r="B2027" s="32" t="s">
        <v>2353</v>
      </c>
    </row>
    <row r="2028" customFormat="false" ht="15" hidden="false" customHeight="false" outlineLevel="0" collapsed="false">
      <c r="A2028" s="28" t="n">
        <v>2027</v>
      </c>
      <c r="B2028" s="32" t="s">
        <v>2354</v>
      </c>
    </row>
    <row r="2029" customFormat="false" ht="15" hidden="false" customHeight="false" outlineLevel="0" collapsed="false">
      <c r="A2029" s="28" t="n">
        <v>2028</v>
      </c>
      <c r="B2029" s="32" t="s">
        <v>2355</v>
      </c>
    </row>
    <row r="2030" customFormat="false" ht="15" hidden="false" customHeight="false" outlineLevel="0" collapsed="false">
      <c r="A2030" s="28" t="n">
        <v>2029</v>
      </c>
      <c r="B2030" s="32" t="s">
        <v>2356</v>
      </c>
    </row>
    <row r="2031" customFormat="false" ht="15" hidden="false" customHeight="false" outlineLevel="0" collapsed="false">
      <c r="A2031" s="28" t="n">
        <v>2030</v>
      </c>
      <c r="B2031" s="32" t="s">
        <v>2357</v>
      </c>
    </row>
    <row r="2032" customFormat="false" ht="15" hidden="false" customHeight="false" outlineLevel="0" collapsed="false">
      <c r="A2032" s="28" t="n">
        <v>2031</v>
      </c>
      <c r="B2032" s="32" t="s">
        <v>2358</v>
      </c>
    </row>
    <row r="2033" customFormat="false" ht="15" hidden="false" customHeight="false" outlineLevel="0" collapsed="false">
      <c r="A2033" s="28" t="n">
        <v>2032</v>
      </c>
      <c r="B2033" s="32" t="s">
        <v>2359</v>
      </c>
    </row>
    <row r="2034" customFormat="false" ht="15" hidden="false" customHeight="false" outlineLevel="0" collapsed="false">
      <c r="A2034" s="28" t="n">
        <v>2033</v>
      </c>
      <c r="B2034" s="32" t="s">
        <v>2360</v>
      </c>
    </row>
    <row r="2035" customFormat="false" ht="15" hidden="false" customHeight="false" outlineLevel="0" collapsed="false">
      <c r="A2035" s="28" t="n">
        <v>2034</v>
      </c>
      <c r="B2035" s="32" t="s">
        <v>2361</v>
      </c>
    </row>
    <row r="2036" customFormat="false" ht="15" hidden="false" customHeight="false" outlineLevel="0" collapsed="false">
      <c r="A2036" s="28" t="n">
        <v>2035</v>
      </c>
      <c r="B2036" s="32" t="s">
        <v>2362</v>
      </c>
    </row>
    <row r="2037" customFormat="false" ht="15" hidden="false" customHeight="false" outlineLevel="0" collapsed="false">
      <c r="A2037" s="28" t="n">
        <v>2036</v>
      </c>
      <c r="B2037" s="32" t="s">
        <v>2363</v>
      </c>
    </row>
    <row r="2038" customFormat="false" ht="15" hidden="false" customHeight="false" outlineLevel="0" collapsed="false">
      <c r="A2038" s="28" t="n">
        <v>2037</v>
      </c>
      <c r="B2038" s="32" t="s">
        <v>2364</v>
      </c>
    </row>
    <row r="2039" customFormat="false" ht="15" hidden="false" customHeight="false" outlineLevel="0" collapsed="false">
      <c r="A2039" s="28" t="n">
        <v>2038</v>
      </c>
      <c r="B2039" s="32" t="s">
        <v>2365</v>
      </c>
    </row>
    <row r="2040" customFormat="false" ht="15" hidden="false" customHeight="false" outlineLevel="0" collapsed="false">
      <c r="A2040" s="28" t="n">
        <v>2039</v>
      </c>
      <c r="B2040" s="32" t="s">
        <v>2366</v>
      </c>
    </row>
    <row r="2041" customFormat="false" ht="15" hidden="false" customHeight="false" outlineLevel="0" collapsed="false">
      <c r="A2041" s="28" t="n">
        <v>2040</v>
      </c>
      <c r="B2041" s="32" t="s">
        <v>2367</v>
      </c>
    </row>
    <row r="2042" customFormat="false" ht="15" hidden="false" customHeight="false" outlineLevel="0" collapsed="false">
      <c r="A2042" s="28" t="n">
        <v>2041</v>
      </c>
      <c r="B2042" s="32" t="s">
        <v>2368</v>
      </c>
    </row>
    <row r="2043" customFormat="false" ht="15" hidden="false" customHeight="false" outlineLevel="0" collapsed="false">
      <c r="A2043" s="28" t="n">
        <v>2042</v>
      </c>
      <c r="B2043" s="32" t="s">
        <v>2369</v>
      </c>
    </row>
    <row r="2044" customFormat="false" ht="15" hidden="false" customHeight="false" outlineLevel="0" collapsed="false">
      <c r="A2044" s="28" t="n">
        <v>2043</v>
      </c>
      <c r="B2044" s="32" t="s">
        <v>2370</v>
      </c>
    </row>
    <row r="2045" customFormat="false" ht="15" hidden="false" customHeight="false" outlineLevel="0" collapsed="false">
      <c r="A2045" s="28" t="n">
        <v>2044</v>
      </c>
      <c r="B2045" s="32" t="s">
        <v>2371</v>
      </c>
    </row>
    <row r="2046" customFormat="false" ht="15" hidden="false" customHeight="false" outlineLevel="0" collapsed="false">
      <c r="A2046" s="28" t="n">
        <v>2045</v>
      </c>
      <c r="B2046" s="32" t="s">
        <v>2372</v>
      </c>
    </row>
    <row r="2047" customFormat="false" ht="15" hidden="false" customHeight="false" outlineLevel="0" collapsed="false">
      <c r="A2047" s="28" t="n">
        <v>2046</v>
      </c>
      <c r="B2047" s="32" t="s">
        <v>2373</v>
      </c>
    </row>
    <row r="2048" customFormat="false" ht="15" hidden="false" customHeight="false" outlineLevel="0" collapsed="false">
      <c r="A2048" s="28" t="n">
        <v>2047</v>
      </c>
      <c r="B2048" s="32" t="s">
        <v>2374</v>
      </c>
    </row>
    <row r="2049" customFormat="false" ht="15" hidden="false" customHeight="false" outlineLevel="0" collapsed="false">
      <c r="A2049" s="28" t="n">
        <v>2048</v>
      </c>
      <c r="B2049" s="32" t="s">
        <v>2375</v>
      </c>
    </row>
    <row r="2050" customFormat="false" ht="15" hidden="false" customHeight="false" outlineLevel="0" collapsed="false">
      <c r="A2050" s="28" t="n">
        <v>2049</v>
      </c>
      <c r="B2050" s="32" t="s">
        <v>2376</v>
      </c>
    </row>
    <row r="2051" customFormat="false" ht="15" hidden="false" customHeight="false" outlineLevel="0" collapsed="false">
      <c r="A2051" s="28" t="n">
        <v>2050</v>
      </c>
      <c r="B2051" s="32" t="s">
        <v>2377</v>
      </c>
    </row>
    <row r="2052" customFormat="false" ht="15" hidden="false" customHeight="false" outlineLevel="0" collapsed="false">
      <c r="A2052" s="28" t="n">
        <v>2051</v>
      </c>
      <c r="B2052" s="32" t="s">
        <v>2378</v>
      </c>
    </row>
    <row r="2053" customFormat="false" ht="15" hidden="false" customHeight="false" outlineLevel="0" collapsed="false">
      <c r="A2053" s="28" t="n">
        <v>2052</v>
      </c>
      <c r="B2053" s="32" t="s">
        <v>2379</v>
      </c>
    </row>
    <row r="2054" customFormat="false" ht="15" hidden="false" customHeight="false" outlineLevel="0" collapsed="false">
      <c r="A2054" s="28" t="n">
        <v>2053</v>
      </c>
      <c r="B2054" s="32" t="s">
        <v>2380</v>
      </c>
    </row>
    <row r="2055" customFormat="false" ht="15" hidden="false" customHeight="false" outlineLevel="0" collapsed="false">
      <c r="A2055" s="28" t="n">
        <v>2054</v>
      </c>
      <c r="B2055" s="32" t="s">
        <v>2381</v>
      </c>
    </row>
    <row r="2056" customFormat="false" ht="15" hidden="false" customHeight="false" outlineLevel="0" collapsed="false">
      <c r="A2056" s="28" t="n">
        <v>2055</v>
      </c>
      <c r="B2056" s="32" t="s">
        <v>2382</v>
      </c>
    </row>
    <row r="2057" customFormat="false" ht="15" hidden="false" customHeight="false" outlineLevel="0" collapsed="false">
      <c r="A2057" s="28" t="n">
        <v>2056</v>
      </c>
      <c r="B2057" s="32" t="s">
        <v>2383</v>
      </c>
    </row>
    <row r="2058" customFormat="false" ht="15" hidden="false" customHeight="false" outlineLevel="0" collapsed="false">
      <c r="A2058" s="28" t="n">
        <v>2057</v>
      </c>
      <c r="B2058" s="32" t="s">
        <v>2384</v>
      </c>
    </row>
    <row r="2059" customFormat="false" ht="15" hidden="false" customHeight="false" outlineLevel="0" collapsed="false">
      <c r="A2059" s="28" t="n">
        <v>2058</v>
      </c>
      <c r="B2059" s="32" t="s">
        <v>2385</v>
      </c>
    </row>
    <row r="2060" customFormat="false" ht="15" hidden="false" customHeight="false" outlineLevel="0" collapsed="false">
      <c r="A2060" s="28" t="n">
        <v>2059</v>
      </c>
      <c r="B2060" s="32" t="s">
        <v>2386</v>
      </c>
    </row>
    <row r="2061" customFormat="false" ht="15" hidden="false" customHeight="false" outlineLevel="0" collapsed="false">
      <c r="A2061" s="28" t="n">
        <v>2060</v>
      </c>
      <c r="B2061" s="32" t="s">
        <v>2387</v>
      </c>
    </row>
    <row r="2062" customFormat="false" ht="15" hidden="false" customHeight="false" outlineLevel="0" collapsed="false">
      <c r="A2062" s="28" t="n">
        <v>2061</v>
      </c>
      <c r="B2062" s="32" t="s">
        <v>2388</v>
      </c>
    </row>
    <row r="2063" customFormat="false" ht="15" hidden="false" customHeight="false" outlineLevel="0" collapsed="false">
      <c r="A2063" s="28" t="n">
        <v>2062</v>
      </c>
      <c r="B2063" s="32" t="s">
        <v>2389</v>
      </c>
    </row>
    <row r="2064" customFormat="false" ht="15" hidden="false" customHeight="false" outlineLevel="0" collapsed="false">
      <c r="A2064" s="28" t="n">
        <v>2063</v>
      </c>
      <c r="B2064" s="32" t="s">
        <v>2390</v>
      </c>
    </row>
    <row r="2065" customFormat="false" ht="15" hidden="false" customHeight="false" outlineLevel="0" collapsed="false">
      <c r="A2065" s="28" t="n">
        <v>2064</v>
      </c>
      <c r="B2065" s="32" t="s">
        <v>2391</v>
      </c>
    </row>
    <row r="2066" customFormat="false" ht="15" hidden="false" customHeight="false" outlineLevel="0" collapsed="false">
      <c r="A2066" s="28" t="n">
        <v>2065</v>
      </c>
      <c r="B2066" s="32" t="s">
        <v>2392</v>
      </c>
    </row>
    <row r="2067" customFormat="false" ht="15" hidden="false" customHeight="false" outlineLevel="0" collapsed="false">
      <c r="A2067" s="28" t="n">
        <v>2066</v>
      </c>
      <c r="B2067" s="32" t="s">
        <v>2393</v>
      </c>
    </row>
    <row r="2068" customFormat="false" ht="15" hidden="false" customHeight="false" outlineLevel="0" collapsed="false">
      <c r="A2068" s="28" t="n">
        <v>2067</v>
      </c>
      <c r="B2068" s="32" t="s">
        <v>2394</v>
      </c>
    </row>
    <row r="2069" customFormat="false" ht="15" hidden="false" customHeight="false" outlineLevel="0" collapsed="false">
      <c r="A2069" s="28" t="n">
        <v>2068</v>
      </c>
      <c r="B2069" s="32" t="s">
        <v>2395</v>
      </c>
    </row>
    <row r="2070" customFormat="false" ht="15" hidden="false" customHeight="false" outlineLevel="0" collapsed="false">
      <c r="A2070" s="28" t="n">
        <v>2069</v>
      </c>
      <c r="B2070" s="32" t="s">
        <v>2396</v>
      </c>
    </row>
    <row r="2071" customFormat="false" ht="15" hidden="false" customHeight="false" outlineLevel="0" collapsed="false">
      <c r="A2071" s="28" t="n">
        <v>2070</v>
      </c>
      <c r="B2071" s="32" t="s">
        <v>2397</v>
      </c>
    </row>
    <row r="2072" customFormat="false" ht="15" hidden="false" customHeight="false" outlineLevel="0" collapsed="false">
      <c r="A2072" s="28" t="n">
        <v>2071</v>
      </c>
      <c r="B2072" s="32" t="s">
        <v>2398</v>
      </c>
    </row>
    <row r="2073" customFormat="false" ht="15" hidden="false" customHeight="false" outlineLevel="0" collapsed="false">
      <c r="A2073" s="28" t="n">
        <v>2072</v>
      </c>
      <c r="B2073" s="32" t="s">
        <v>2399</v>
      </c>
    </row>
    <row r="2074" customFormat="false" ht="15" hidden="false" customHeight="false" outlineLevel="0" collapsed="false">
      <c r="A2074" s="28" t="n">
        <v>2073</v>
      </c>
      <c r="B2074" s="32" t="s">
        <v>2400</v>
      </c>
    </row>
    <row r="2075" customFormat="false" ht="15" hidden="false" customHeight="false" outlineLevel="0" collapsed="false">
      <c r="A2075" s="28" t="n">
        <v>2074</v>
      </c>
      <c r="B2075" s="32" t="s">
        <v>2401</v>
      </c>
    </row>
    <row r="2076" customFormat="false" ht="15" hidden="false" customHeight="false" outlineLevel="0" collapsed="false">
      <c r="A2076" s="28" t="n">
        <v>2075</v>
      </c>
      <c r="B2076" s="32" t="s">
        <v>2402</v>
      </c>
    </row>
    <row r="2077" customFormat="false" ht="15" hidden="false" customHeight="false" outlineLevel="0" collapsed="false">
      <c r="A2077" s="28" t="n">
        <v>2076</v>
      </c>
      <c r="B2077" s="32" t="s">
        <v>2403</v>
      </c>
    </row>
    <row r="2078" customFormat="false" ht="15" hidden="false" customHeight="false" outlineLevel="0" collapsed="false">
      <c r="A2078" s="28" t="n">
        <v>2077</v>
      </c>
      <c r="B2078" s="32" t="s">
        <v>2404</v>
      </c>
    </row>
    <row r="2079" customFormat="false" ht="15" hidden="false" customHeight="false" outlineLevel="0" collapsed="false">
      <c r="A2079" s="28" t="n">
        <v>2078</v>
      </c>
      <c r="B2079" s="32" t="s">
        <v>2405</v>
      </c>
    </row>
    <row r="2080" customFormat="false" ht="15" hidden="false" customHeight="false" outlineLevel="0" collapsed="false">
      <c r="A2080" s="28" t="n">
        <v>2079</v>
      </c>
      <c r="B2080" s="32" t="s">
        <v>2406</v>
      </c>
    </row>
    <row r="2081" customFormat="false" ht="15" hidden="false" customHeight="false" outlineLevel="0" collapsed="false">
      <c r="A2081" s="28" t="n">
        <v>2080</v>
      </c>
      <c r="B2081" s="32" t="s">
        <v>2407</v>
      </c>
    </row>
    <row r="2082" customFormat="false" ht="15" hidden="false" customHeight="false" outlineLevel="0" collapsed="false">
      <c r="A2082" s="28" t="n">
        <v>2081</v>
      </c>
      <c r="B2082" s="32" t="s">
        <v>2408</v>
      </c>
    </row>
    <row r="2083" customFormat="false" ht="15" hidden="false" customHeight="false" outlineLevel="0" collapsed="false">
      <c r="A2083" s="28" t="n">
        <v>2082</v>
      </c>
      <c r="B2083" s="32" t="s">
        <v>2409</v>
      </c>
    </row>
    <row r="2084" customFormat="false" ht="15" hidden="false" customHeight="false" outlineLevel="0" collapsed="false">
      <c r="A2084" s="28" t="n">
        <v>2083</v>
      </c>
      <c r="B2084" s="32" t="s">
        <v>2410</v>
      </c>
    </row>
    <row r="2085" customFormat="false" ht="15" hidden="false" customHeight="false" outlineLevel="0" collapsed="false">
      <c r="A2085" s="28" t="n">
        <v>2084</v>
      </c>
      <c r="B2085" s="32" t="s">
        <v>2411</v>
      </c>
    </row>
    <row r="2086" customFormat="false" ht="15" hidden="false" customHeight="false" outlineLevel="0" collapsed="false">
      <c r="A2086" s="28" t="n">
        <v>2085</v>
      </c>
      <c r="B2086" s="32" t="s">
        <v>2412</v>
      </c>
    </row>
    <row r="2087" customFormat="false" ht="15" hidden="false" customHeight="false" outlineLevel="0" collapsed="false">
      <c r="A2087" s="28" t="n">
        <v>2086</v>
      </c>
      <c r="B2087" s="32" t="s">
        <v>2413</v>
      </c>
    </row>
    <row r="2088" customFormat="false" ht="15" hidden="false" customHeight="false" outlineLevel="0" collapsed="false">
      <c r="A2088" s="28" t="n">
        <v>2087</v>
      </c>
      <c r="B2088" s="32" t="s">
        <v>2414</v>
      </c>
    </row>
    <row r="2089" customFormat="false" ht="15" hidden="false" customHeight="false" outlineLevel="0" collapsed="false">
      <c r="A2089" s="28" t="n">
        <v>2088</v>
      </c>
      <c r="B2089" s="32" t="s">
        <v>2415</v>
      </c>
    </row>
    <row r="2090" customFormat="false" ht="15" hidden="false" customHeight="false" outlineLevel="0" collapsed="false">
      <c r="A2090" s="28" t="n">
        <v>2089</v>
      </c>
      <c r="B2090" s="32" t="s">
        <v>2416</v>
      </c>
    </row>
    <row r="2091" customFormat="false" ht="15" hidden="false" customHeight="false" outlineLevel="0" collapsed="false">
      <c r="A2091" s="28" t="n">
        <v>2090</v>
      </c>
      <c r="B2091" s="32" t="s">
        <v>2417</v>
      </c>
    </row>
    <row r="2092" customFormat="false" ht="15" hidden="false" customHeight="false" outlineLevel="0" collapsed="false">
      <c r="A2092" s="28" t="n">
        <v>2091</v>
      </c>
      <c r="B2092" s="32" t="s">
        <v>2418</v>
      </c>
    </row>
    <row r="2093" customFormat="false" ht="15" hidden="false" customHeight="false" outlineLevel="0" collapsed="false">
      <c r="A2093" s="28" t="n">
        <v>2092</v>
      </c>
      <c r="B2093" s="32" t="s">
        <v>2419</v>
      </c>
    </row>
    <row r="2094" customFormat="false" ht="15" hidden="false" customHeight="false" outlineLevel="0" collapsed="false">
      <c r="A2094" s="28" t="n">
        <v>2093</v>
      </c>
      <c r="B2094" s="32" t="s">
        <v>2420</v>
      </c>
    </row>
    <row r="2095" customFormat="false" ht="15" hidden="false" customHeight="false" outlineLevel="0" collapsed="false">
      <c r="A2095" s="28" t="n">
        <v>2094</v>
      </c>
      <c r="B2095" s="32" t="s">
        <v>2421</v>
      </c>
    </row>
    <row r="2096" customFormat="false" ht="15" hidden="false" customHeight="false" outlineLevel="0" collapsed="false">
      <c r="A2096" s="28" t="n">
        <v>2095</v>
      </c>
      <c r="B2096" s="32" t="s">
        <v>2422</v>
      </c>
    </row>
    <row r="2097" customFormat="false" ht="15" hidden="false" customHeight="false" outlineLevel="0" collapsed="false">
      <c r="A2097" s="28" t="n">
        <v>2096</v>
      </c>
      <c r="B2097" s="32" t="s">
        <v>2423</v>
      </c>
    </row>
    <row r="2098" customFormat="false" ht="15" hidden="false" customHeight="false" outlineLevel="0" collapsed="false">
      <c r="A2098" s="28" t="n">
        <v>2097</v>
      </c>
      <c r="B2098" s="32" t="s">
        <v>2424</v>
      </c>
    </row>
    <row r="2099" customFormat="false" ht="15" hidden="false" customHeight="false" outlineLevel="0" collapsed="false">
      <c r="A2099" s="28" t="n">
        <v>2098</v>
      </c>
      <c r="B2099" s="32" t="s">
        <v>2425</v>
      </c>
    </row>
    <row r="2100" customFormat="false" ht="15" hidden="false" customHeight="false" outlineLevel="0" collapsed="false">
      <c r="A2100" s="28" t="n">
        <v>2099</v>
      </c>
      <c r="B2100" s="32" t="s">
        <v>2426</v>
      </c>
    </row>
    <row r="2101" customFormat="false" ht="15" hidden="false" customHeight="false" outlineLevel="0" collapsed="false">
      <c r="A2101" s="28" t="n">
        <v>2100</v>
      </c>
      <c r="B2101" s="32" t="s">
        <v>2427</v>
      </c>
    </row>
    <row r="2102" customFormat="false" ht="15" hidden="false" customHeight="false" outlineLevel="0" collapsed="false">
      <c r="A2102" s="28" t="n">
        <v>2101</v>
      </c>
      <c r="B2102" s="32" t="s">
        <v>2428</v>
      </c>
    </row>
    <row r="2103" customFormat="false" ht="15" hidden="false" customHeight="false" outlineLevel="0" collapsed="false">
      <c r="A2103" s="28" t="n">
        <v>2102</v>
      </c>
      <c r="B2103" s="32" t="s">
        <v>2429</v>
      </c>
    </row>
    <row r="2104" customFormat="false" ht="15" hidden="false" customHeight="false" outlineLevel="0" collapsed="false">
      <c r="A2104" s="28" t="n">
        <v>2103</v>
      </c>
      <c r="B2104" s="32" t="s">
        <v>2430</v>
      </c>
    </row>
    <row r="2105" customFormat="false" ht="15" hidden="false" customHeight="false" outlineLevel="0" collapsed="false">
      <c r="A2105" s="28" t="n">
        <v>2104</v>
      </c>
      <c r="B2105" s="32" t="s">
        <v>2431</v>
      </c>
    </row>
    <row r="2106" customFormat="false" ht="15" hidden="false" customHeight="false" outlineLevel="0" collapsed="false">
      <c r="A2106" s="28" t="n">
        <v>2105</v>
      </c>
      <c r="B2106" s="32" t="s">
        <v>2432</v>
      </c>
    </row>
    <row r="2107" customFormat="false" ht="15" hidden="false" customHeight="false" outlineLevel="0" collapsed="false">
      <c r="A2107" s="28" t="n">
        <v>2106</v>
      </c>
      <c r="B2107" s="32" t="s">
        <v>2433</v>
      </c>
    </row>
    <row r="2108" customFormat="false" ht="15" hidden="false" customHeight="false" outlineLevel="0" collapsed="false">
      <c r="A2108" s="28" t="n">
        <v>2107</v>
      </c>
      <c r="B2108" s="32" t="s">
        <v>2434</v>
      </c>
    </row>
    <row r="2109" customFormat="false" ht="15" hidden="false" customHeight="false" outlineLevel="0" collapsed="false">
      <c r="A2109" s="28" t="n">
        <v>2108</v>
      </c>
      <c r="B2109" s="32" t="s">
        <v>2435</v>
      </c>
    </row>
    <row r="2110" customFormat="false" ht="15" hidden="false" customHeight="false" outlineLevel="0" collapsed="false">
      <c r="A2110" s="28" t="n">
        <v>2109</v>
      </c>
      <c r="B2110" s="32" t="s">
        <v>2436</v>
      </c>
    </row>
    <row r="2111" customFormat="false" ht="15" hidden="false" customHeight="false" outlineLevel="0" collapsed="false">
      <c r="A2111" s="28" t="n">
        <v>2110</v>
      </c>
      <c r="B2111" s="32" t="s">
        <v>2437</v>
      </c>
    </row>
  </sheetData>
  <hyperlinks>
    <hyperlink ref="B2" r:id="rId1" display="https://www.bigbatbox.com/en-ca"/>
    <hyperlink ref="B3" r:id="rId2" display="https://www.bigbatbox.com/en-ca/products/squirrel-house-hideout-feeder"/>
    <hyperlink ref="B4" r:id="rId3" display="https://www.bigbatbox.com/en-ca/products/squirrel-feeder"/>
    <hyperlink ref="B5" r:id="rId4" display="https://www.bigbatbox.com/en-ca/products/owl-box"/>
    <hyperlink ref="B6" r:id="rId5" display="https://www.bigbatbox.com/en-ca/cart"/>
    <hyperlink ref="B7" r:id="rId6" display="https://www.bigbatbox.com/de/search"/>
    <hyperlink ref="B8" r:id="rId7" display="https://www.bigbatbox.com/it/blogs/wildyard-learn"/>
    <hyperlink ref="B9" r:id="rId8" display="https://www.bigbatbox.com/fr/products/squirrel-feeder"/>
    <hyperlink ref="B10" r:id="rId9" display="https://www.bigbatbox.com/en-ca/collections/angry-birds-x-wildyard-birdhouses"/>
    <hyperlink ref="B11" r:id="rId10" display="https://www.bigbatbox.com/fr/pages/warranty-registration"/>
    <hyperlink ref="B12" r:id="rId11" display="https://www.bigbatbox.com/it/pages/work-with-us"/>
    <hyperlink ref="B13" r:id="rId12" display="https://www.bigbatbox.com/fr/products/owl-box"/>
    <hyperlink ref="B14" r:id="rId13" display="https://www.bigbatbox.com/es/cart"/>
    <hyperlink ref="B15" r:id="rId14" display="https://www.bigbatbox.com/fr/products/bee-house"/>
    <hyperlink ref="B16" r:id="rId15" display="https://www.bigbatbox.com/en-ca/pages/warranty-registration"/>
    <hyperlink ref="B17" r:id="rId16" display="https://www.bigbatbox.com/en-ca/blogs/wildyard-learn"/>
    <hyperlink ref="B18" r:id="rId17" display="https://www.bigbatbox.com/fr/blogs/fun-facts-about-owls"/>
    <hyperlink ref="B19" r:id="rId18" display="https://www.bigbatbox.com/it"/>
    <hyperlink ref="B20" r:id="rId19" display="https://www.bigbatbox.com/fr"/>
    <hyperlink ref="B21" r:id="rId20" display="https://www.bigbatbox.com/fr/pages/work-with-us"/>
    <hyperlink ref="B22" r:id="rId21" display="https://www.bigbatbox.com/en-ca/collections/bat-houses"/>
    <hyperlink ref="B23" r:id="rId22" display="https://www.bigbatbox.com/fr/search"/>
    <hyperlink ref="B24" r:id="rId23" display="https://www.bigbatbox.com/it/products/owl-box"/>
    <hyperlink ref="B25" r:id="rId24" display="https://www.bigbatbox.com/it/pages/guide"/>
    <hyperlink ref="B26" r:id="rId25" display="https://www.bigbatbox.com/en-ca/pages/cookie-policy"/>
    <hyperlink ref="B27" r:id="rId26" display="https://www.bigbatbox.com/it/pages/become-a-reseller"/>
    <hyperlink ref="B28" r:id="rId27" display="https://www.bigbatbox.com/fr/cart"/>
    <hyperlink ref="B29" r:id="rId28" display="https://www.bigbatbox.com/en-ca/blogs/habitat-of-bats"/>
    <hyperlink ref="B30" r:id="rId29" display="https://www.bigbatbox.com/it/collections/angry-birds-x-wildyard-birdhouses"/>
    <hyperlink ref="B31" r:id="rId30" display="https://www.bigbatbox.com/fr/pages/1-for-the-planet"/>
    <hyperlink ref="B32" r:id="rId31" display="https://www.bigbatbox.com/fr/blogs/bee-species"/>
    <hyperlink ref="B33" r:id="rId32" display="https://www.bigbatbox.com/it/collections/bat-houses"/>
    <hyperlink ref="B34" r:id="rId33" display="https://www.bigbatbox.com/fr/products/angry-birds-wildyard-diy-birdhouse-kit"/>
    <hyperlink ref="B35" r:id="rId34" display="https://www.bigbatbox.com/it/products/squirrel-house-hideout-feeder"/>
    <hyperlink ref="B36" r:id="rId35" display="https://www.bigbatbox.com/it/blogs/bee-species"/>
    <hyperlink ref="B37" r:id="rId36" display="https://www.bigbatbox.com/en-ca/blogs/types-of-squirrels"/>
    <hyperlink ref="B38" r:id="rId37" display="https://www.bigbatbox.com/en-ca/blogs/bee-species"/>
    <hyperlink ref="B39" r:id="rId38" display="https://www.bigbatbox.com/fr/pages/guide"/>
    <hyperlink ref="B40" r:id="rId39" display="https://www.bigbatbox.com/en-ca/pages/work-with-us"/>
    <hyperlink ref="B41" r:id="rId40" display="https://www.bigbatbox.com/it/products/angry-birds-wildyard-flowerpot-birdhouse"/>
    <hyperlink ref="B42" r:id="rId41" display="https://www.bigbatbox.com/it/pages/1-for-the-planet"/>
    <hyperlink ref="B43" r:id="rId42" display="https://www.bigbatbox.com/en-ca/search"/>
    <hyperlink ref="B44" r:id="rId43" display="https://www.bigbatbox.com/it/products/angry-birds-wildyard-diy-birdhouse-kit"/>
    <hyperlink ref="B45" r:id="rId44" display="https://www.bigbatbox.com/en-ca/blogs/fun-facts-about-owls"/>
    <hyperlink ref="B46" r:id="rId45" display="https://www.bigbatbox.com/fr/blogs/types-of-squirrels"/>
    <hyperlink ref="B47" r:id="rId46" display="https://www.bigbatbox.com/fr/products/angry-birds-wildyard-flowerpot-birdhouse"/>
    <hyperlink ref="B48" r:id="rId47" display="https://www.bigbatbox.com/fr/blogs/habitat-of-bats"/>
    <hyperlink ref="B49" r:id="rId48" display="https://www.bigbatbox.com/en-ca/products/angry-birds-wildyard-flowerpot-birdhouse"/>
    <hyperlink ref="B50" r:id="rId49" display="https://www.bigbatbox.com/fr/collections/bat-houses"/>
    <hyperlink ref="B51" r:id="rId50" display="https://www.bigbatbox.com/fr/products/squirrel-house-hideout-feeder"/>
    <hyperlink ref="B52" r:id="rId51" display="https://www.bigbatbox.com/fr/pages/become-a-reseller"/>
    <hyperlink ref="B53" r:id="rId52" display="https://www.bigbatbox.com/it/cart"/>
    <hyperlink ref="B54" r:id="rId53" display="https://www.bigbatbox.com/es/search"/>
    <hyperlink ref="B55" r:id="rId54" display="https://www.bigbatbox.com/fr/blogs/wildyard-learn"/>
    <hyperlink ref="B56" r:id="rId55" display="https://www.bigbatbox.com/en-ca/pages/become-a-reseller"/>
    <hyperlink ref="B57" r:id="rId56" display="https://www.bigbatbox.com/fr/pages/cookie-policy"/>
    <hyperlink ref="B58" r:id="rId57" display="https://www.bigbatbox.com/fr/collections/angry-birds-x-wildyard-birdhouses"/>
    <hyperlink ref="B59" r:id="rId58" display="https://www.bigbatbox.com/it/products/bee-house"/>
    <hyperlink ref="B60" r:id="rId59" display="https://www.bigbatbox.com/en-ca/pages/1-for-the-planet"/>
    <hyperlink ref="B61" r:id="rId60" display="https://www.bigbatbox.com/en-ca/pages/guide"/>
    <hyperlink ref="B62" r:id="rId61" display="https://www.bigbatbox.com/en-ca/products/bee-house"/>
    <hyperlink ref="B63" r:id="rId62" display="https://www.bigbatbox.com/it/blogs/types-of-squirrels"/>
    <hyperlink ref="B64" r:id="rId63" display="https://www.bigbatbox.com/it/blogs/fun-facts-about-owls"/>
    <hyperlink ref="B65" r:id="rId64" display="https://www.bigbatbox.com/en-ca/products/angry-birds-wildyard-diy-birdhouse-kit"/>
    <hyperlink ref="B66" r:id="rId65" display="https://www.bigbatbox.com/it/search"/>
    <hyperlink ref="B67" r:id="rId66" display="https://www.bigbatbox.com/de/cart"/>
    <hyperlink ref="B68" r:id="rId67" display="https://www.bigbatbox.com/it/pages/warranty-registration"/>
    <hyperlink ref="B69" r:id="rId68" display="https://www.bigbatbox.com/it/pages/cookie-policy"/>
    <hyperlink ref="B70" r:id="rId69" display="https://www.bigbatbox.com/it/blogs/habitat-of-bats"/>
    <hyperlink ref="B71" r:id="rId70" display="https://www.bigbatbox.com/en-ca/pages/wildyard-affiliate-program"/>
    <hyperlink ref="B72" r:id="rId71" display="https://www.bigbatbox.com/en-ca/pages/collab"/>
    <hyperlink ref="B73" r:id="rId72" display="https://www.bigbatbox.com/en-ca/products/double-chamber-bat-house-cedar"/>
    <hyperlink ref="B74" r:id="rId73" display="https://www.bigbatbox.com/fr/products/three-chamber-bat-house-certified-brown"/>
    <hyperlink ref="B75" r:id="rId74" display="https://www.bigbatbox.com/en-ca/products/big-bat-barn"/>
    <hyperlink ref="B76" r:id="rId75" display="https://www.bigbatbox.com/fr/products/double-chamber-bat-house-brown"/>
    <hyperlink ref="B77" r:id="rId76" display="https://www.bigbatbox.com/en-ca/products/three-chamber-bat-house-certified-brown"/>
    <hyperlink ref="B78" r:id="rId77" display="https://www.bigbatbox.com/en-ca/products/certified-triple-chamber-bat-house-unfinished"/>
    <hyperlink ref="B79" r:id="rId78" display="https://www.bigbatbox.com/en-ca/blogs/habitat-of-bats/how-to-hang-a-bat-house-complete-guide"/>
    <hyperlink ref="B80" r:id="rId79" display="https://www.bigbatbox.com/en-ca/products/big-bat-barn-three-chamber-premium-cedar-bat-barn-black"/>
    <hyperlink ref="B81" r:id="rId80" display="https://www.bigbatbox.com/en-ca/blogs/bee-species/bee-wise-how-bee-houses-and-hotels-can-help-save-bees-the-environment"/>
    <hyperlink ref="B82" r:id="rId81" display="https://www.bigbatbox.com/fr/products/double-chamber-bat-house-black"/>
    <hyperlink ref="B83" r:id="rId82" display="https://www.bigbatbox.com/fr/products/double-chamber-bat-house-cedar"/>
    <hyperlink ref="B84" r:id="rId83" display="https://www.bigbatbox.com/en-ca/blogs/habitat-of-bats/how-to-attract-bats-to-a-bat-house"/>
    <hyperlink ref="B85" r:id="rId84" display="https://www.bigbatbox.com/en-ca/products/double-chamber-bat-house-black"/>
    <hyperlink ref="B86" r:id="rId85" display="https://www.bigbatbox.com/en-ca/blogs/bee-species/how-to-maintain-your-bee-house-through-the-seasons"/>
    <hyperlink ref="B87" r:id="rId86" display="https://www.bigbatbox.com/en-ca/products/double-chamber-bat-house-brown"/>
    <hyperlink ref="B88" r:id="rId87" display="https://www.bigbatbox.com/blogs/habitat-of-bats/tagged/backyard-pest-control"/>
    <hyperlink ref="B89" r:id="rId88" display="https://www.bigbatbox.com/blogs/bee-species/tagged/garden-biodiversity"/>
    <hyperlink ref="B90" r:id="rId89" display="https://www.bigbatbox.com/blogs/types-of-squirrels/tagged/squirrel-feeder-ideas"/>
    <hyperlink ref="B91" r:id="rId90" display="https://www.bigbatbox.com/blogs/fun-facts-about-owls/tagged/wildlife-conservation"/>
    <hyperlink ref="B92" r:id="rId91" display="https://www.bigbatbox.com/blogs/fun-facts-about-owls/tagged/conservation"/>
    <hyperlink ref="B93" r:id="rId92" display="https://www.bigbatbox.com/blogs/habitat-of-bats/tagged/pollination"/>
    <hyperlink ref="B94" r:id="rId93" display="https://www.bigbatbox.com/en-ca/blogs/habitat-of-bats/tagged/bat-species"/>
    <hyperlink ref="B95" r:id="rId94" display="https://www.bigbatbox.com/en-ca/blogs/habitat-of-bats/tagged/megabats"/>
    <hyperlink ref="B96" r:id="rId95" display="https://www.bigbatbox.com/blogs/habitat-of-bats/tagged/wildlife"/>
    <hyperlink ref="B97" r:id="rId96" display="https://www.bigbatbox.com/en-ca/blogs/types-of-squirrels/do-squirrels-hibernate"/>
    <hyperlink ref="B98" r:id="rId97" display="https://www.bigbatbox.com/blogs/habitat-of-bats/tagged/pest-control"/>
    <hyperlink ref="B99" r:id="rId98" display="https://www.bigbatbox.com/en-ca/collections/1-chamber-bat-houses"/>
    <hyperlink ref="B100" r:id="rId99" display="https://www.bigbatbox.com/blogs/types-of-squirrels/tagged/backyard-habitat"/>
    <hyperlink ref="B101" r:id="rId100" display="https://www.bigbatbox.com/blogs/habitat-of-bats/tagged/bat-box-placement"/>
    <hyperlink ref="B102" r:id="rId101" display="https://www.bigbatbox.com/blogs/fun-facts-about-owls/tagged/wildlife-lifespan"/>
    <hyperlink ref="B103" r:id="rId102" display="https://www.bigbatbox.com/en-ca/pages/faq"/>
    <hyperlink ref="B104" r:id="rId103" display="https://www.bigbatbox.com/blogs/habitat-of-bats?page=4"/>
    <hyperlink ref="B105" r:id="rId104" display="https://www.bigbatbox.com/blogs/types-of-squirrels/tagged/species-facts"/>
    <hyperlink ref="B106" r:id="rId105" display="https://www.bigbatbox.com/blogs/types-of-squirrels/tagged/diy-squirrel-feeder"/>
    <hyperlink ref="B107" r:id="rId106" display="https://www.bigbatbox.com/en-ca/collections/certified-bat-houses"/>
    <hyperlink ref="B108" r:id="rId107" display="https://www.bigbatbox.com/en-ca/blogs/habitat-of-bats/tagged/vampire-bats"/>
    <hyperlink ref="B109" r:id="rId108" display="https://www.bigbatbox.com/blogs/types-of-squirrels/tagged/squirrel-feeder"/>
    <hyperlink ref="B110" r:id="rId109" display="https://www.bigbatbox.com/blogs/bee-species/tagged/pollination"/>
    <hyperlink ref="B111" r:id="rId110" display="https://www.bigbatbox.com/blogs/bee-species/tagged/bee-conservation"/>
    <hyperlink ref="B112" r:id="rId111" display="https://www.bigbatbox.com/en-ca/blogs/habitat-of-bats/tagged/microbats"/>
    <hyperlink ref="B113" r:id="rId112" display="https://www.bigbatbox.com/blogs/types-of-squirrels/tagged/squirrel-box"/>
    <hyperlink ref="B114" r:id="rId113" display="https://www.bigbatbox.com/en-ca/products/certified-triple-chamber-bat-house-black"/>
    <hyperlink ref="B115" r:id="rId114" display="https://www.bigbatbox.com/blogs/bee-species/tagged/environmental-sustainability"/>
    <hyperlink ref="B116" r:id="rId115" display="https://www.bigbatbox.com/blogs/habitat-of-bats/tagged/are-bats-dangerous"/>
    <hyperlink ref="B117" r:id="rId116" display="https://www.bigbatbox.com/blogs/types-of-squirrels/tagged/squirrel-care"/>
    <hyperlink ref="B118" r:id="rId117" display="https://www.bigbatbox.com/en-ca/products/bat-house-single-chamber-black"/>
    <hyperlink ref="B119" r:id="rId118" display="https://www.bigbatbox.com/blogs/habitat-of-bats/tagged/home-pest-control"/>
    <hyperlink ref="B120" r:id="rId119" display="https://www.bigbatbox.com/blogs/wildyard-learn/tagged/bat-houses"/>
    <hyperlink ref="B121" r:id="rId120" display="https://www.bigbatbox.com/blogs/habitat-of-bats/tagged/attract-bats-to-yard"/>
    <hyperlink ref="B122" r:id="rId121" display="https://www.bigbatbox.com/blogs/bee-species/tagged/bees"/>
    <hyperlink ref="B123" r:id="rId122" display="https://www.bigbatbox.com/blogs/habitat-of-bats/tagged/biodiversity"/>
    <hyperlink ref="B124" r:id="rId123" display="https://www.bigbatbox.com/en-ca/collections/2-chamber-bat-houses"/>
    <hyperlink ref="B125" r:id="rId124" display="https://www.bigbatbox.com/blogs/habitat-of-bats/tagged/bat-benefits"/>
    <hyperlink ref="B126" r:id="rId125" display="https://www.bigbatbox.com/blogs/habitat-of-bats/tagged/bat-prevention"/>
    <hyperlink ref="B127" r:id="rId126" display="https://www.bigbatbox.com/blogs/habitat-of-bats/tagged/bats"/>
    <hyperlink ref="B128" r:id="rId127" display="https://www.bigbatbox.com/en-ca/blogs/types-of-squirrels/what-to-feed-squirrels-year-round"/>
    <hyperlink ref="B129" r:id="rId128" display="https://www.bigbatbox.com/blogs/habitat-of-bats/tagged/conservation"/>
    <hyperlink ref="B130" r:id="rId129" display="https://www.bigbatbox.com/blogs/bee-species/tagged/bee-houses"/>
    <hyperlink ref="B131" r:id="rId130" display="https://www.bigbatbox.com/blogs/habitat-of-bats/tagged/bat-box-installation"/>
    <hyperlink ref="B132" r:id="rId131" display="https://www.bigbatbox.com/blogs/fun-facts-about-owls/tagged/backyard-wildlife"/>
    <hyperlink ref="B133" r:id="rId132" display="https://www.bigbatbox.com/blogs/habitat-of-bats/tagged/bat-box-guide"/>
    <hyperlink ref="B134" r:id="rId133" display="https://www.bigbatbox.com/en-ca/blogs/habitat-of-bats/best-backyard-bat-conservation-and-wildlife-habitat-trends-for-2026-so-far"/>
    <hyperlink ref="B135" r:id="rId134" display="https://www.bigbatbox.com/blogs/fun-facts-about-owls/tagged/owl-nesting-box"/>
    <hyperlink ref="B136" r:id="rId135" display="https://www.bigbatbox.com/blogs/habitat-of-bats/tagged/get-rid-of-bats"/>
    <hyperlink ref="B137" r:id="rId136" display="https://www.bigbatbox.com/en-ca/pages/1-for-the-planet-merlin-tuttle-x-wild-yard"/>
    <hyperlink ref="B138" r:id="rId137" display="https://www.bigbatbox.com/blogs/bee-species/tagged/pollinators"/>
    <hyperlink ref="B139" r:id="rId138" display="https://www.bigbatbox.com/en-ca/blogs/bee-species/fun-facts-about-bees"/>
    <hyperlink ref="B140" r:id="rId139" display="https://www.bigbatbox.com/blogs/fun-facts-about-owls/tagged/owl-nesting-boxes"/>
    <hyperlink ref="B141" r:id="rId140" display="https://www.bigbatbox.com/blogs/types-of-squirrels/tagged/squirrel-behavior"/>
    <hyperlink ref="B142" r:id="rId141" display="https://www.bigbatbox.com/blogs/fun-facts-about-owls/tagged/barn-owl-box"/>
    <hyperlink ref="B143" r:id="rId142" display="https://www.bigbatbox.com/blogs/bee-species/tagged/biodiversity"/>
    <hyperlink ref="B144" r:id="rId143" display="https://www.bigbatbox.com/blogs/wildyard-learn/tagged/wildlife-habitat-tips"/>
    <hyperlink ref="B145" r:id="rId144" display="https://www.bigbatbox.com/fr/collections/all"/>
    <hyperlink ref="B146" r:id="rId145" display="https://www.bigbatbox.com/fr/products/certified-triple-chamber-bat-house-unfinished"/>
    <hyperlink ref="B147" r:id="rId146" display="https://www.bigbatbox.com/blogs/habitat-of-bats/tagged/attract-bats"/>
    <hyperlink ref="B148" r:id="rId147" display="https://www.bigbatbox.com/blogs/habitat-of-bats/tagged/bat-removal"/>
    <hyperlink ref="B149" r:id="rId148" display="https://www.bigbatbox.com/blogs/wildyard-learn/tagged/owl-houses"/>
    <hyperlink ref="B150" r:id="rId149" display="https://www.bigbatbox.com/blogs/habitat-of-bats?page=2"/>
    <hyperlink ref="B151" r:id="rId150" display="https://www.bigbatbox.com/fr/blogs/bee-species/where-to-hang-a-bee-house"/>
    <hyperlink ref="B152" r:id="rId151" display="https://www.bigbatbox.com/en-ca/collections/bat-barn-junior"/>
    <hyperlink ref="B153" r:id="rId152" display="https://www.bigbatbox.com/en-ca/blogs/habitat-of-bats/tagged/bat-diet"/>
    <hyperlink ref="B154" r:id="rId153" display="https://www.bigbatbox.com/en-ca/blogs/habitat-of-bats/tagged/what-do-bats-eat"/>
    <hyperlink ref="B155" r:id="rId154" display="https://www.bigbatbox.com/blogs/types-of-squirrels/tagged/nocturnal-animals"/>
    <hyperlink ref="B156" r:id="rId155" display="https://www.bigbatbox.com/blogs/habitat-of-bats/tagged/backyard-eco-tips"/>
    <hyperlink ref="B157" r:id="rId156" display="https://www.bigbatbox.com/blogs/fun-facts-about-owls/tagged/owl-nest-box"/>
    <hyperlink ref="B158" r:id="rId157" display="https://www.bigbatbox.com/collections"/>
    <hyperlink ref="B159" r:id="rId158" display="https://www.bigbatbox.com/blogs/fun-facts-about-owls/tagged/screech-owl-box"/>
    <hyperlink ref="B160" r:id="rId159" display="https://www.bigbatbox.com/blogs/fun-facts-about-owls/tagged/owl-facts"/>
    <hyperlink ref="B161" r:id="rId160" display="https://www.bigbatbox.com/blogs/habitat-of-bats?page=3"/>
    <hyperlink ref="B162" r:id="rId161" display="https://www.bigbatbox.com/en-ca/products/wildyard-digital-gift-card"/>
    <hyperlink ref="B163" r:id="rId162" display="https://www.bigbatbox.com/en-ca/blogs/types-of-squirrels/how-long-do-squirrels-live"/>
    <hyperlink ref="B164" r:id="rId163" display="https://www.bigbatbox.com/blogs/types-of-squirrels/tagged/seasonal-guide"/>
    <hyperlink ref="B165" r:id="rId164" display="https://www.bigbatbox.com/blogs/wildyard-learn/tagged/wildlife-maintenance"/>
    <hyperlink ref="B166" r:id="rId165" display="https://www.bigbatbox.com/en-ca/blogs/types-of-squirrels/when-do-squirrels-have-babies"/>
    <hyperlink ref="B167" r:id="rId166" display="https://www.bigbatbox.com/blogs/types-of-squirrels/tagged/buying-guide"/>
    <hyperlink ref="B168" r:id="rId167" display="https://www.bigbatbox.com/en-ca/products/single-chamber-bat-house"/>
    <hyperlink ref="B169" r:id="rId168" display="https://www.bigbatbox.com/fr/products/big-bat-barn-three-chamber-premium-cedar-bat-barn-black"/>
    <hyperlink ref="B170" r:id="rId169" display="https://www.bigbatbox.com/blogs/bee-species/tagged/ecosystem"/>
    <hyperlink ref="B171" r:id="rId170" display="https://www.bigbatbox.com/blogs/habitat-of-bats/tagged/bat-control"/>
    <hyperlink ref="B172" r:id="rId171" display="https://www.bigbatbox.com/en-ca/blogs/types-of-squirrels/squirrel-house-vs-squirrel-feeder"/>
    <hyperlink ref="B173" r:id="rId172" display="https://www.bigbatbox.com/fr/blogs/bee-species/do-solitary-bees-sting"/>
    <hyperlink ref="B174" r:id="rId173" display="https://www.bigbatbox.com/en-ca/collections/all"/>
    <hyperlink ref="B175" r:id="rId174" display="https://www.bigbatbox.com/en-ca/blogs/habitat-of-bats/5-best-tips-for-bat-house-maintenance"/>
    <hyperlink ref="B176" r:id="rId175" display="https://www.bigbatbox.com/blogs/fun-facts-about-owls/tagged/owls"/>
    <hyperlink ref="B177" r:id="rId176" display="https://www.bigbatbox.com/fr/products/big-bat-barn"/>
    <hyperlink ref="B178" r:id="rId177" display="https://www.bigbatbox.com/blogs/habitat-of-bats/tagged/2026-trends"/>
    <hyperlink ref="B179" r:id="rId178" display="https://www.bigbatbox.com/en-ca/blogs/habitat-of-bats/tagged/bat-food"/>
    <hyperlink ref="B180" r:id="rId179" display="https://www.bigbatbox.com/blogs/fun-facts-about-owls/tagged/owl-box"/>
    <hyperlink ref="B181" r:id="rId180" display="https://www.bigbatbox.com/blogs/fun-facts-about-owls/tagged/bird-house"/>
    <hyperlink ref="B182" r:id="rId181" display="https://www.bigbatbox.com/blogs/bee-species/tagged/environmental-health"/>
    <hyperlink ref="B183" r:id="rId182" display="https://www.bigbatbox.com/en-ca/collections/big-bat-barn-three-chamber-premium"/>
    <hyperlink ref="B184" r:id="rId183" display="https://www.bigbatbox.com/en-ca/products/bat-barn-junior-brown"/>
    <hyperlink ref="B185" r:id="rId184" display="https://www.bigbatbox.com/blogs/types-of-squirrels/tagged/cedar-habitat"/>
    <hyperlink ref="B186" r:id="rId185" display="https://www.bigbatbox.com/blogs/habitat-of-bats/tagged/avoid-pesticides"/>
    <hyperlink ref="B187" r:id="rId186" display="https://www.bigbatbox.com/blogs/habitat-of-bats/tagged/bat-boxes"/>
    <hyperlink ref="B188" r:id="rId187" display="https://www.bigbatbox.com/blogs/wildyard-learn/tagged/bee-houses"/>
    <hyperlink ref="B189" r:id="rId188" display="https://www.bigbatbox.com/blogs/types-of-squirrels/tagged/nest-box-maintenance"/>
    <hyperlink ref="B190" r:id="rId189" display="https://www.bigbatbox.com/blogs/wildyard-learn/tagged/habitat-conservation"/>
    <hyperlink ref="B191" r:id="rId190" display="https://www.bigbatbox.com/en-ca/blogs/types-of-squirrels/how-to-attract-squirrels-to-your-backyard"/>
    <hyperlink ref="B192" r:id="rId191" display="https://www.bigbatbox.com/fr/products/single-chamber-bat-house"/>
    <hyperlink ref="B193" r:id="rId192" display="https://www.bigbatbox.com/blogs/habitat-of-bats/tagged/ecosystem"/>
    <hyperlink ref="B194" r:id="rId193" display="https://www.bigbatbox.com/blogs/habitat-of-bats/tagged/backyard-wildlife"/>
    <hyperlink ref="B195" r:id="rId194" display="https://www.bigbatbox.com/blogs/bee-species/tagged/bee-hotels"/>
    <hyperlink ref="B196" r:id="rId195" display="https://www.bigbatbox.com/en-ca/blogs/habitat-of-bats/some-interesting-busted-myths-and-facts-about-bats"/>
    <hyperlink ref="B197" r:id="rId196" display="https://www.bigbatbox.com/fr/blogs/bee-species/mason-bees-vs-leafcutter-bees"/>
    <hyperlink ref="B198" r:id="rId197" display="https://www.bigbatbox.com/en-ca/products/bat-barn-junior-black"/>
    <hyperlink ref="B199" r:id="rId198" display="https://www.bigbatbox.com/blogs/wildyard-learn/tagged/wildlife-care"/>
    <hyperlink ref="B200" r:id="rId199" display="https://www.bigbatbox.com/fr/products/certified-triple-chamber-bat-house-black"/>
    <hyperlink ref="B201" r:id="rId200" display="https://www.bigbatbox.com/blogs/habitat-of-bats/tagged/night-guardians"/>
    <hyperlink ref="B202" r:id="rId201" display="https://www.bigbatbox.com/blogs/wildyard-learn/tagged/wildlife-shelter"/>
    <hyperlink ref="B203" r:id="rId202" display="https://www.bigbatbox.com/fr/pages/faq"/>
    <hyperlink ref="B204" r:id="rId203" display="https://www.bigbatbox.com/blogs/habitat-of-bats/tagged/bat-box-sunlight-requirements"/>
    <hyperlink ref="B205" r:id="rId204" display="https://www.bigbatbox.com/blogs/fun-facts-about-owls/tagged/bird-watching"/>
    <hyperlink ref="B206" r:id="rId205" display="https://www.bigbatbox.com/blogs/types-of-squirrels/tagged/backyard-wildlife"/>
    <hyperlink ref="B207" r:id="rId206" display="https://www.bigbatbox.com/blogs/habitat-of-bats/tagged/backyard-conservation"/>
    <hyperlink ref="B208" r:id="rId207" display="https://www.bigbatbox.com/blogs/types-of-squirrels/tagged/habitat"/>
    <hyperlink ref="B209" r:id="rId208" display="https://www.bigbatbox.com/fr/blogs/wildyard-learn/wildlife-care-expert-guide-to-maintaining-bat-owl-and-bee-houses"/>
    <hyperlink ref="B210" r:id="rId209" display="https://www.bigbatbox.com/fr/blogs/habitat-of-bats/how-to-get-rid-of-bats"/>
    <hyperlink ref="B211" r:id="rId210" display="https://www.bigbatbox.com/en-ca/blogs/bee-species/why-are-bees-important"/>
    <hyperlink ref="B212" r:id="rId211" display="https://www.bigbatbox.com/en-ca/blogs/fun-facts-about-owls/owl-nesting-boxes-providing-safe-havens-for-nighttime-raptors"/>
    <hyperlink ref="B213" r:id="rId212" display="https://www.bigbatbox.com/en-ca/blogs/wildyard-learn/wildlife-care-expert-guide-to-maintaining-bat-owl-and-bee-houses"/>
    <hyperlink ref="B214" r:id="rId213" display="https://www.bigbatbox.com/fr/blogs/bee-species/bee-wise-how-bee-houses-and-hotels-can-help-save-bees-the-environment"/>
    <hyperlink ref="B215" r:id="rId214" display="https://www.bigbatbox.com/en-ca/blogs/habitat-of-bats/the-night-guardians-the-importance-of-bats-to-our-world"/>
    <hyperlink ref="B216" r:id="rId215" display="https://www.bigbatbox.com/fr/blogs/fun-facts-about-owls/owl-nesting-boxes-providing-safe-havens-for-nighttime-raptors"/>
    <hyperlink ref="B217" r:id="rId216" display="https://www.bigbatbox.com/fr/blogs/bee-species/why-are-bees-important"/>
    <hyperlink ref="B218" r:id="rId217" display="https://www.bigbatbox.com/fr/blogs/habitat-of-bats/the-night-guardians-the-importance-of-bats-to-our-world"/>
    <hyperlink ref="B219" r:id="rId218" display="https://www.bigbatbox.com/en-ca/blogs/habitat-of-bats/how-to-get-rid-of-bats"/>
    <hyperlink ref="B220" r:id="rId219" display="https://www.bigbatbox.com/es/blogs/fun-facts-about-owls/tagged/owl-nest-box"/>
    <hyperlink ref="B221" r:id="rId220" display="https://www.bigbatbox.com/en-ca/collections/owl-boxes"/>
    <hyperlink ref="B222" r:id="rId221" display="https://www.bigbatbox.com/en-ca/blogs/bee-species/tagged/bee-conservation"/>
    <hyperlink ref="B223" r:id="rId222" display="https://www.bigbatbox.com/fr/blogs/habitat-of-bats/tagged/biodiversity"/>
    <hyperlink ref="B224" r:id="rId223" display="https://www.bigbatbox.com/de/blogs/wildyard-learn/tagged/bat-houses"/>
    <hyperlink ref="B225" r:id="rId224" display="https://www.bigbatbox.com/de/blogs/habitat-of-bats/tagged/bat-prevention"/>
    <hyperlink ref="B226" r:id="rId225" display="https://www.bigbatbox.com/de/blogs/bee-species/tagged/bee-hotels"/>
    <hyperlink ref="B227" r:id="rId226" display="https://www.bigbatbox.com/fr/blogs/habitat-of-bats/tagged/pollination"/>
    <hyperlink ref="B228" r:id="rId227" display="https://www.bigbatbox.com/en-ca/blogs/wildyard-learn/tagged/wildlife-care"/>
    <hyperlink ref="B229" r:id="rId228" display="https://www.bigbatbox.com/en-ca/blogs/habitat-of-bats/tagged/bat-removal"/>
    <hyperlink ref="B230" r:id="rId229" display="https://www.bigbatbox.com/fr/blogs/fun-facts-about-owls/tagged/owl-nesting-boxes"/>
    <hyperlink ref="B231" r:id="rId230" display="https://www.bigbatbox.com/en-ca/blogs/fun-facts-about-owls/tagged/bird-watching"/>
    <hyperlink ref="B232" r:id="rId231" display="https://www.bigbatbox.com/en-ca/blogs/bee-species/tagged/bee-houses"/>
    <hyperlink ref="B233" r:id="rId232" display="https://www.bigbatbox.com/fr/blogs/habitat-of-bats/tagged/bats"/>
    <hyperlink ref="B234" r:id="rId233" display="https://www.bigbatbox.com/es/blogs/bee-species/tagged/pollination"/>
    <hyperlink ref="B235" r:id="rId234" display="https://www.bigbatbox.com/es/blogs/habitat-of-bats/tagged/ecosystem"/>
    <hyperlink ref="B236" r:id="rId235" display="https://www.bigbatbox.com/fr/blogs/habitat-of-bats/tagged/bat-control"/>
    <hyperlink ref="B237" r:id="rId236" display="https://www.bigbatbox.com/es/blogs/habitat-of-bats/tagged/conservation"/>
    <hyperlink ref="B238" r:id="rId237" display="https://www.bigbatbox.com/de/blogs/fun-facts-about-owls/tagged/bird-watching"/>
    <hyperlink ref="B239" r:id="rId238" display="https://www.bigbatbox.com/en-ca/blogs/habitat-of-bats/tagged/bat-control"/>
    <hyperlink ref="B240" r:id="rId239" display="https://www.bigbatbox.com/en-ca/blogs/habitat-of-bats/tagged/home-pest-control"/>
    <hyperlink ref="B241" r:id="rId240" display="https://www.bigbatbox.com/es/blogs/bee-species/tagged/bees"/>
    <hyperlink ref="B242" r:id="rId241" display="https://www.bigbatbox.com/es/blogs/wildyard-learn/tagged/wildlife-care"/>
    <hyperlink ref="B243" r:id="rId242" display="https://www.bigbatbox.com/en-ca/blogs/habitat-of-bats/tagged/night-guardians"/>
    <hyperlink ref="B244" r:id="rId243" display="https://www.bigbatbox.com/fr/blogs/habitat-of-bats/tagged/bat-removal"/>
    <hyperlink ref="B245" r:id="rId244" display="https://www.bigbatbox.com/en-ca/blogs/bee-species/tagged/pollinators"/>
    <hyperlink ref="B246" r:id="rId245" display="https://www.bigbatbox.com/de/blogs/bee-species/tagged/environmental-health"/>
    <hyperlink ref="B247" r:id="rId246" display="https://www.bigbatbox.com/es/blogs/habitat-of-bats/tagged/pest-control"/>
    <hyperlink ref="B248" r:id="rId247" display="https://www.bigbatbox.com/es/blogs/bee-species/tagged/environmental-health"/>
    <hyperlink ref="B249" r:id="rId248" display="https://www.bigbatbox.com/fr/blogs/habitat-of-bats/tagged/pest-control"/>
    <hyperlink ref="B250" r:id="rId249" display="https://www.bigbatbox.com/de/blogs/habitat-of-bats/tagged/night-guardians"/>
    <hyperlink ref="B251" r:id="rId250" display="https://www.bigbatbox.com/es/blogs/habitat-of-bats/tagged/biodiversity"/>
    <hyperlink ref="B252" r:id="rId251" display="https://www.bigbatbox.com/fr/blogs/bee-species/tagged/environmental-health"/>
    <hyperlink ref="B253" r:id="rId252" display="https://www.bigbatbox.com/en-ca/blogs/wildyard-learn/tagged/wildlife-habitat-tips"/>
    <hyperlink ref="B254" r:id="rId253" display="https://www.bigbatbox.com/en-ca/blogs/fun-facts-about-owls/tagged/barn-owl-box"/>
    <hyperlink ref="B255" r:id="rId254" display="https://www.bigbatbox.com/de/blogs/wildyard-learn/tagged/bee-houses"/>
    <hyperlink ref="B256" r:id="rId255" display="https://www.bigbatbox.com/fr/blogs/habitat-of-bats/tagged/home-pest-control"/>
    <hyperlink ref="B257" r:id="rId256" display="https://www.bigbatbox.com/fr/blogs/bee-species/tagged/biodiversity"/>
    <hyperlink ref="B258" r:id="rId257" display="https://www.bigbatbox.com/es/blogs/habitat-of-bats/tagged/bats"/>
    <hyperlink ref="B259" r:id="rId258" display="https://www.bigbatbox.com/en-ca/blogs/bee-species/tagged/bees"/>
    <hyperlink ref="B260" r:id="rId259" display="https://www.bigbatbox.com/es/blogs/wildyard-learn/tagged/habitat-conservation"/>
    <hyperlink ref="B261" r:id="rId260" display="https://www.bigbatbox.com/es/blogs/wildyard-learn/tagged/wildlife-habitat-tips"/>
    <hyperlink ref="B262" r:id="rId261" display="https://www.bigbatbox.com/de/blogs/bee-species/tagged/bee-houses"/>
    <hyperlink ref="B263" r:id="rId262" display="https://www.bigbatbox.com/de/blogs/wildyard-learn/tagged/wildlife-habitat-tips"/>
    <hyperlink ref="B264" r:id="rId263" display="https://www.bigbatbox.com/fr/blogs/fun-facts-about-owls/tagged/wildlife-conservation"/>
    <hyperlink ref="B265" r:id="rId264" display="https://www.bigbatbox.com/fr/blogs/fun-facts-about-owls/tagged/bird-house"/>
    <hyperlink ref="B266" r:id="rId265" display="https://www.bigbatbox.com/de/blogs/bee-species/tagged/pollinators"/>
    <hyperlink ref="B267" r:id="rId266" display="https://www.bigbatbox.com/de/blogs/bee-species/tagged/pollination"/>
    <hyperlink ref="B268" r:id="rId267" display="https://www.bigbatbox.com/de/blogs/wildyard-learn/tagged/wildlife-maintenance"/>
    <hyperlink ref="B269" r:id="rId268" display="https://www.bigbatbox.com/es/blogs/fun-facts-about-owls/tagged/wildlife-conservation"/>
    <hyperlink ref="B270" r:id="rId269" display="https://www.bigbatbox.com/fr/blogs/habitat-of-bats/tagged/bat-prevention"/>
    <hyperlink ref="B271" r:id="rId270" display="https://www.bigbatbox.com/fr/blogs/habitat-of-bats/tagged/night-guardians"/>
    <hyperlink ref="B272" r:id="rId271" display="https://www.bigbatbox.com/es/blogs/wildyard-learn/tagged/wildlife-maintenance"/>
    <hyperlink ref="B273" r:id="rId272" display="https://www.bigbatbox.com/de/blogs/habitat-of-bats/tagged/get-rid-of-bats"/>
    <hyperlink ref="B274" r:id="rId273" display="https://www.bigbatbox.com/es/blogs/habitat-of-bats/tagged/wildlife"/>
    <hyperlink ref="B275" r:id="rId274" display="https://www.bigbatbox.com/en-ca/blogs/habitat-of-bats/tagged/pest-control"/>
    <hyperlink ref="B276" r:id="rId275" display="https://www.bigbatbox.com/en-ca/blogs/habitat-of-bats/tagged/bats"/>
    <hyperlink ref="B277" r:id="rId276" display="https://www.bigbatbox.com/es/blogs/bee-species/tagged/garden-biodiversity"/>
    <hyperlink ref="B278" r:id="rId277" display="https://www.bigbatbox.com/en-ca/blogs/wildyard-learn/tagged/habitat-conservation"/>
    <hyperlink ref="B279" r:id="rId278" display="https://www.bigbatbox.com/en-ca/blogs/fun-facts-about-owls/tagged/owl-nesting-boxes"/>
    <hyperlink ref="B280" r:id="rId279" display="https://www.bigbatbox.com/fr/blogs/bee-species/tagged/ecosystem"/>
    <hyperlink ref="B281" r:id="rId280" display="https://www.bigbatbox.com/fr/blogs/habitat-of-bats/tagged/ecosystem"/>
    <hyperlink ref="B282" r:id="rId281" display="https://www.bigbatbox.com/en-ca/blogs/fun-facts-about-owls/tagged/owl-nest-box"/>
    <hyperlink ref="B283" r:id="rId282" display="https://www.bigbatbox.com/de/blogs/bee-species/tagged/ecosystem"/>
    <hyperlink ref="B284" r:id="rId283" display="https://www.bigbatbox.com/es/blogs/habitat-of-bats/tagged/home-pest-control"/>
    <hyperlink ref="B285" r:id="rId284" display="https://www.bigbatbox.com/fr/blogs/wildyard-learn/tagged/wildlife-shelter"/>
    <hyperlink ref="B286" r:id="rId285" display="https://www.bigbatbox.com/es/blogs/fun-facts-about-owls/tagged/owl-nesting-box"/>
    <hyperlink ref="B287" r:id="rId286" display="https://www.bigbatbox.com/es/blogs/bee-species/tagged/environmental-sustainability"/>
    <hyperlink ref="B288" r:id="rId287" display="https://www.bigbatbox.com/es/blogs/habitat-of-bats/tagged/bat-prevention"/>
    <hyperlink ref="B289" r:id="rId288" display="https://www.bigbatbox.com/fr/blogs/bee-species/tagged/bee-houses"/>
    <hyperlink ref="B290" r:id="rId289" display="https://www.bigbatbox.com/es/blogs/bee-species/tagged/ecosystem"/>
    <hyperlink ref="B291" r:id="rId290" display="https://www.bigbatbox.com/en-ca/blogs/bee-species/tagged/pollination"/>
    <hyperlink ref="B292" r:id="rId291" display="https://www.bigbatbox.com/fr/blogs/wildyard-learn/tagged/bee-houses"/>
    <hyperlink ref="B293" r:id="rId292" display="https://www.bigbatbox.com/de/blogs/habitat-of-bats/tagged/home-pest-control"/>
    <hyperlink ref="B294" r:id="rId293" display="https://www.bigbatbox.com/es/blogs/fun-facts-about-owls/tagged/bird-watching"/>
    <hyperlink ref="B295" r:id="rId294" display="https://www.bigbatbox.com/es/blogs/habitat-of-bats/tagged/get-rid-of-bats"/>
    <hyperlink ref="B296" r:id="rId295" display="https://www.bigbatbox.com/de/blogs/fun-facts-about-owls/tagged/wildlife-conservation"/>
    <hyperlink ref="B297" r:id="rId296" display="https://www.bigbatbox.com/es/blogs/wildyard-learn/tagged/bee-houses"/>
    <hyperlink ref="B298" r:id="rId297" display="https://www.bigbatbox.com/fr/blogs/habitat-of-bats/tagged/wildlife"/>
    <hyperlink ref="B299" r:id="rId298" display="https://www.bigbatbox.com/fr/blogs/fun-facts-about-owls/tagged/screech-owl-box"/>
    <hyperlink ref="B300" r:id="rId299" display="https://www.bigbatbox.com/es/blogs/fun-facts-about-owls/tagged/barn-owl-box"/>
    <hyperlink ref="B301" r:id="rId300" display="https://www.bigbatbox.com/fr/blogs/wildyard-learn/tagged/wildlife-care"/>
    <hyperlink ref="B302" r:id="rId301" display="https://www.bigbatbox.com/fr/blogs/wildyard-learn/tagged/wildlife-maintenance"/>
    <hyperlink ref="B303" r:id="rId302" display="https://www.bigbatbox.com/es/blogs/habitat-of-bats/tagged/night-guardians"/>
    <hyperlink ref="B304" r:id="rId303" display="https://www.bigbatbox.com/de/blogs/fun-facts-about-owls/tagged/bird-house"/>
    <hyperlink ref="B305" r:id="rId304" display="https://www.bigbatbox.com/de/blogs/fun-facts-about-owls/tagged/owl-nesting-boxes"/>
    <hyperlink ref="B306" r:id="rId305" display="https://www.bigbatbox.com/de/blogs/wildyard-learn/tagged/habitat-conservation"/>
    <hyperlink ref="B307" r:id="rId306" display="https://www.bigbatbox.com/en-ca/blogs/wildyard-learn/tagged/wildlife-maintenance"/>
    <hyperlink ref="B308" r:id="rId307" display="https://www.bigbatbox.com/en-ca/blogs/habitat-of-bats/tagged/get-rid-of-bats"/>
    <hyperlink ref="B309" r:id="rId308" display="https://www.bigbatbox.com/fr/blogs/bee-species/tagged/environmental-sustainability"/>
    <hyperlink ref="B310" r:id="rId309" display="https://www.bigbatbox.com/fr/products/bat-barn-junior-brown"/>
    <hyperlink ref="B311" r:id="rId310" display="https://www.bigbatbox.com/fr/blogs/fun-facts-about-owls/tagged/owl-nest-box"/>
    <hyperlink ref="B312" r:id="rId311" display="https://www.bigbatbox.com/de/blogs/bee-species/tagged/environmental-sustainability"/>
    <hyperlink ref="B313" r:id="rId312" display="https://www.bigbatbox.com/fr/collections/owl-boxes"/>
    <hyperlink ref="B314" r:id="rId313" display="https://www.bigbatbox.com/fr/blogs/bee-species/tagged/pollination"/>
    <hyperlink ref="B315" r:id="rId314" display="https://www.bigbatbox.com/es/blogs/habitat-of-bats/tagged/bat-removal"/>
    <hyperlink ref="B316" r:id="rId315" display="https://www.bigbatbox.com/de/blogs/habitat-of-bats/tagged/ecosystem"/>
    <hyperlink ref="B317" r:id="rId316" display="https://www.bigbatbox.com/fr/products/bat-barn-junior-black"/>
    <hyperlink ref="B318" r:id="rId317" display="https://www.bigbatbox.com/es/blogs/habitat-of-bats/tagged/bat-control"/>
    <hyperlink ref="B319" r:id="rId318" display="https://www.bigbatbox.com/es/blogs/bee-species/tagged/pollinators"/>
    <hyperlink ref="B320" r:id="rId319" display="https://www.bigbatbox.com/es/blogs/bee-species/tagged/biodiversity"/>
    <hyperlink ref="B321" r:id="rId320" display="https://www.bigbatbox.com/fr/blogs/fun-facts-about-owls/tagged/bird-watching"/>
    <hyperlink ref="B322" r:id="rId321" display="https://www.bigbatbox.com/de/blogs/bee-species/tagged/bees"/>
    <hyperlink ref="B323" r:id="rId322" display="https://www.bigbatbox.com/en-ca/blogs/wildyard-learn/tagged/bee-houses"/>
    <hyperlink ref="B324" r:id="rId323" display="https://www.bigbatbox.com/en-ca/blogs/habitat-of-bats/tagged/biodiversity"/>
    <hyperlink ref="B325" r:id="rId324" display="https://www.bigbatbox.com/en-ca/blogs/fun-facts-about-owls/tagged/bird-house"/>
    <hyperlink ref="B326" r:id="rId325" display="https://www.bigbatbox.com/es/blogs/wildyard-learn/tagged/wildlife-shelter"/>
    <hyperlink ref="B327" r:id="rId326" display="https://www.bigbatbox.com/de/blogs/habitat-of-bats/tagged/bats"/>
    <hyperlink ref="B328" r:id="rId327" display="https://www.bigbatbox.com/en-ca/blogs/fun-facts-about-owls/tagged/owl-box"/>
    <hyperlink ref="B329" r:id="rId328" display="https://www.bigbatbox.com/fr/blogs/wildyard-learn/tagged/wildlife-habitat-tips"/>
    <hyperlink ref="B330" r:id="rId329" display="https://www.bigbatbox.com/de/blogs/habitat-of-bats/tagged/biodiversity"/>
    <hyperlink ref="B331" r:id="rId330" display="https://www.bigbatbox.com/es/blogs/bee-species/tagged/bee-houses"/>
    <hyperlink ref="B332" r:id="rId331" display="https://www.bigbatbox.com/fr/blogs/bee-species/tagged/bee-conservation"/>
    <hyperlink ref="B333" r:id="rId332" display="https://www.bigbatbox.com/de/blogs/habitat-of-bats/tagged/bat-control"/>
    <hyperlink ref="B334" r:id="rId333" display="https://www.bigbatbox.com/fr/blogs/wildyard-learn/tagged/bat-houses"/>
    <hyperlink ref="B335" r:id="rId334" display="https://www.bigbatbox.com/en-ca/blogs/bee-species/tagged/environmental-sustainability"/>
    <hyperlink ref="B336" r:id="rId335" display="https://www.bigbatbox.com/fr/products/bat-house-single-chamber-black"/>
    <hyperlink ref="B337" r:id="rId336" display="https://www.bigbatbox.com/en-ca/blogs/wildyard-learn/tagged/bat-houses"/>
    <hyperlink ref="B338" r:id="rId337" display="https://www.bigbatbox.com/de/blogs/habitat-of-bats/tagged/wildlife"/>
    <hyperlink ref="B339" r:id="rId338" display="https://www.bigbatbox.com/fr/blogs/habitat-of-bats/tagged/conservation"/>
    <hyperlink ref="B340" r:id="rId339" display="https://www.bigbatbox.com/en-ca/blogs/fun-facts-about-owls/tagged/owl-nesting-box"/>
    <hyperlink ref="B341" r:id="rId340" display="https://www.bigbatbox.com/de/blogs/bee-species/tagged/garden-biodiversity"/>
    <hyperlink ref="B342" r:id="rId341" display="https://www.bigbatbox.com/fr/blogs/bee-species/tagged/garden-biodiversity"/>
    <hyperlink ref="B343" r:id="rId342" display="https://www.bigbatbox.com/fr/blogs/fun-facts-about-owls/tagged/owl-nesting-box"/>
    <hyperlink ref="B344" r:id="rId343" display="https://www.bigbatbox.com/en-ca/blogs/habitat-of-bats/tagged/wildlife"/>
    <hyperlink ref="B345" r:id="rId344" display="https://www.bigbatbox.com/fr/blogs/bee-species/tagged/pollinators"/>
    <hyperlink ref="B346" r:id="rId345" display="https://www.bigbatbox.com/es/blogs/fun-facts-about-owls/tagged/bird-house"/>
    <hyperlink ref="B347" r:id="rId346" display="https://www.bigbatbox.com/es/blogs/bee-species/tagged/bee-conservation"/>
    <hyperlink ref="B348" r:id="rId347" display="https://www.bigbatbox.com/de/blogs/wildyard-learn/tagged/owl-houses"/>
    <hyperlink ref="B349" r:id="rId348" display="https://www.bigbatbox.com/fr/blogs/wildyard-learn/tagged/owl-houses"/>
    <hyperlink ref="B350" r:id="rId349" display="https://www.bigbatbox.com/en-ca/blogs/habitat-of-bats/tagged/conservation"/>
    <hyperlink ref="B351" r:id="rId350" display="https://www.bigbatbox.com/en-ca/blogs/fun-facts-about-owls/tagged/wildlife-conservation"/>
    <hyperlink ref="B352" r:id="rId351" display="https://www.bigbatbox.com/es/blogs/wildyard-learn/tagged/bat-houses"/>
    <hyperlink ref="B353" r:id="rId352" display="https://www.bigbatbox.com/en-ca/blogs/habitat-of-bats/tagged/ecosystem"/>
    <hyperlink ref="B354" r:id="rId353" display="https://www.bigbatbox.com/de/blogs/bee-species/tagged/bee-conservation"/>
    <hyperlink ref="B355" r:id="rId354" display="https://www.bigbatbox.com/en-ca/collections/bee-houses"/>
    <hyperlink ref="B356" r:id="rId355" display="https://www.bigbatbox.com/en-ca/blogs/wildyard-learn/tagged/wildlife-shelter"/>
    <hyperlink ref="B357" r:id="rId356" display="https://www.bigbatbox.com/de/blogs/habitat-of-bats/tagged/conservation"/>
    <hyperlink ref="B358" r:id="rId357" display="https://www.bigbatbox.com/es/blogs/wildyard-learn/tagged/owl-houses"/>
    <hyperlink ref="B359" r:id="rId358" display="https://www.bigbatbox.com/en-ca/blogs/wildyard-learn/tagged/owl-houses"/>
    <hyperlink ref="B360" r:id="rId359" display="https://www.bigbatbox.com/en-ca/blogs/bee-species/tagged/environmental-health"/>
    <hyperlink ref="B361" r:id="rId360" display="https://www.bigbatbox.com/es/blogs/fun-facts-about-owls/tagged/screech-owl-box"/>
    <hyperlink ref="B362" r:id="rId361" display="https://www.bigbatbox.com/en-ca/blogs/bee-species/tagged/biodiversity"/>
    <hyperlink ref="B363" r:id="rId362" display="https://www.bigbatbox.com/de/blogs/habitat-of-bats/tagged/bat-removal"/>
    <hyperlink ref="B364" r:id="rId363" display="https://www.bigbatbox.com/de/blogs/wildyard-learn/tagged/wildlife-care"/>
    <hyperlink ref="B365" r:id="rId364" display="https://www.bigbatbox.com/fr/collections/big-bat-barn-three-chamber-premium"/>
    <hyperlink ref="B366" r:id="rId365" display="https://www.bigbatbox.com/fr/collections/bee-houses"/>
    <hyperlink ref="B367" r:id="rId366" display="https://www.bigbatbox.com/fr/blogs/wildyard-learn/tagged/habitat-conservation"/>
    <hyperlink ref="B368" r:id="rId367" display="https://www.bigbatbox.com/de/blogs/habitat-of-bats/tagged/pest-control"/>
    <hyperlink ref="B369" r:id="rId368" display="https://www.bigbatbox.com/en-ca/blogs/bee-species/tagged/ecosystem"/>
    <hyperlink ref="B370" r:id="rId369" display="https://www.bigbatbox.com/fr/blogs/fun-facts-about-owls/tagged/owl-box"/>
    <hyperlink ref="B371" r:id="rId370" display="https://www.bigbatbox.com/fr/blogs/habitat-of-bats/tagged/get-rid-of-bats"/>
    <hyperlink ref="B372" r:id="rId371" display="https://www.bigbatbox.com/es/blogs/habitat-of-bats/tagged/pollination"/>
    <hyperlink ref="B373" r:id="rId372" display="https://www.bigbatbox.com/en-ca/blogs/bee-species/tagged/bee-hotels"/>
    <hyperlink ref="B374" r:id="rId373" display="https://www.bigbatbox.com/en-ca/blogs/bee-species/tagged/garden-biodiversity"/>
    <hyperlink ref="B375" r:id="rId374" display="https://www.bigbatbox.com/fr/blogs/fun-facts-about-owls/tagged/barn-owl-box"/>
    <hyperlink ref="B376" r:id="rId375" display="https://www.bigbatbox.com/de/blogs/habitat-of-bats/tagged/pollination"/>
    <hyperlink ref="B377" r:id="rId376" display="https://www.bigbatbox.com/de/blogs/bee-species/tagged/biodiversity"/>
    <hyperlink ref="B378" r:id="rId377" display="https://www.bigbatbox.com/fr/blogs/bee-species/tagged/bee-hotels"/>
    <hyperlink ref="B379" r:id="rId378" display="https://www.bigbatbox.com/es/blogs/bee-species/tagged/bee-hotels"/>
    <hyperlink ref="B380" r:id="rId379" display="https://www.bigbatbox.com/de/blogs/wildyard-learn/tagged/wildlife-shelter"/>
    <hyperlink ref="B381" r:id="rId380" display="https://www.bigbatbox.com/es/blogs/fun-facts-about-owls/tagged/owl-box"/>
    <hyperlink ref="B382" r:id="rId381" display="https://www.bigbatbox.com/en-ca/blogs/fun-facts-about-owls/tagged/screech-owl-box"/>
    <hyperlink ref="B383" r:id="rId382" display="https://www.bigbatbox.com/en-ca/blogs/habitat-of-bats/tagged/pollination"/>
    <hyperlink ref="B384" r:id="rId383" display="https://www.bigbatbox.com/en-ca/blogs/habitat-of-bats/tagged/bat-prevention"/>
    <hyperlink ref="B385" r:id="rId384" display="https://www.bigbatbox.com/fr/blogs/bee-species/tagged/bees"/>
    <hyperlink ref="B386" r:id="rId385" display="https://www.bigbatbox.com/fr/pages/data-sharing-opt-out"/>
    <hyperlink ref="B387" r:id="rId386" display="https://www.bigbatbox.com/it/pages/data-sharing-opt-out"/>
    <hyperlink ref="B388" r:id="rId387" display="https://www.bigbatbox.com/en-ca/pages/data-sharing-opt-out"/>
    <hyperlink ref="B389" r:id="rId388" display="https://www.bigbatbox.com/it/products/squirrel-feeder"/>
    <hyperlink ref="B390" r:id="rId389" display="https://www.bigbatbox.com/it/products/bird-suet-feeder"/>
    <hyperlink ref="B391" r:id="rId390" display="https://www.bigbatbox.com/fr/products/bird-suet-feeder"/>
    <hyperlink ref="B392" r:id="rId391" display="https://www.bigbatbox.com/en-ca/products/bird-suet-feeder"/>
    <hyperlink ref="B393" r:id="rId392" display="https://www.bigbatbox.com/en-ca/blogs/habitat-of-bats/where-to-mount-a-bat-house-in-the-usa-simple-guide-for-best-results"/>
    <hyperlink ref="B394" r:id="rId393" display="https://www.bigbatbox.com/products/bird-suet-feeder"/>
    <hyperlink ref="B395" r:id="rId394" display="https://www.bigbatbox.com/it/blogs/habitat-of-bats/where-to-mount-a-bat-house-in-the-usa-simple-guide-for-best-results"/>
    <hyperlink ref="B396" r:id="rId395" display="https://www.bigbatbox.com/fr/blogs/habitat-of-bats/where-to-mount-a-bat-house-in-the-usa-simple-guide-for-best-results"/>
    <hyperlink ref="B397" r:id="rId396" display="https://www.bigbatbox.com/de/products/bird-suet-feeder"/>
    <hyperlink ref="B398" r:id="rId397" display="https://www.bigbatbox.com/it/blogs/habitat-of-bats/difference-between-one-two-and-three-chamber-bat-boxes-simple-guide-for-homeowners"/>
    <hyperlink ref="B399" r:id="rId398" display="https://www.bigbatbox.com/es/products/bird-suet-feeder"/>
    <hyperlink ref="B400" r:id="rId399" display="https://www.bigbatbox.com/fr/blogs/habitat-of-bats/difference-between-one-two-and-three-chamber-bat-boxes-simple-guide-for-homeowners"/>
    <hyperlink ref="B401" r:id="rId400" display="https://www.bigbatbox.com/en-ca/blogs/habitat-of-bats/difference-between-one-two-and-three-chamber-bat-boxes-simple-guide-for-homeowners"/>
    <hyperlink ref="B402" r:id="rId401" display="https://www.bigbatbox.com/fr/blogs/types-of-squirrels/squirrel-feeder-guide"/>
    <hyperlink ref="B403" r:id="rId402" display="https://www.bigbatbox.com/en-ca/blogs/fun-facts-about-owls/why-owl-boxes-are-the-best-natural-pest-control"/>
    <hyperlink ref="B404" r:id="rId403" display="https://www.bigbatbox.com/it/products/double-chamber-bat-house-brown"/>
    <hyperlink ref="B405" r:id="rId404" display="https://www.bigbatbox.com/fr/blogs/types-of-squirrels/squirrel-house-guide"/>
    <hyperlink ref="B406" r:id="rId405" display="https://www.bigbatbox.com/en-ca/blogs/bee-species/how-do-bees-pollinate"/>
    <hyperlink ref="B407" r:id="rId406" display="https://www.bigbatbox.com/fr/blogs/fun-facts-about-owls/how-to-attract-owls-a-comprehensive-guide"/>
    <hyperlink ref="B408" r:id="rId407" display="https://www.bigbatbox.com/it/blogs/types-of-squirrels/what-to-feed-squirrels-year-round"/>
    <hyperlink ref="B409" r:id="rId408" display="https://www.bigbatbox.com/fr/blogs/bee-species/how-do-bees-pollinate"/>
    <hyperlink ref="B410" r:id="rId409" display="https://www.bigbatbox.com/it/blogs/types-of-squirrels/squirrel-feeder-guide"/>
    <hyperlink ref="B411" r:id="rId410" display="https://www.bigbatbox.com/fr/blogs/types-of-squirrels/squirrel-house-vs-squirrel-feeder"/>
    <hyperlink ref="B412" r:id="rId411" display="https://www.bigbatbox.com/fr/blogs/bee-species/what-do-bees-eat"/>
    <hyperlink ref="B413" r:id="rId412" display="https://www.bigbatbox.com/fr/blogs/types-of-squirrels/tagged/nocturnal-animals"/>
    <hyperlink ref="B414" r:id="rId413" display="https://www.bigbatbox.com/it/blogs/bee-species/how-to-maintain-your-bee-house-through-the-seasons"/>
    <hyperlink ref="B415" r:id="rId414" display="https://www.bigbatbox.com/en-ca/blogs/bee-species/what-do-bees-eat"/>
    <hyperlink ref="B416" r:id="rId415" display="https://www.bigbatbox.com/fr/blogs/habitat-of-bats/can-bats-live-near-people-safely"/>
    <hyperlink ref="B417" r:id="rId416" display="https://www.bigbatbox.com/it/blogs/fun-facts-about-owls/5-things-you-didn-t-know-about-eastern-screech-owls"/>
    <hyperlink ref="B418" r:id="rId417" display="https://www.bigbatbox.com/it/blogs/types-of-squirrels/squirrel-house-vs-squirrel-feeder"/>
    <hyperlink ref="B419" r:id="rId418" display="https://www.bigbatbox.com/en-ca/blogs/types-of-squirrels/squirrel-feeder-guide"/>
    <hyperlink ref="B420" r:id="rId419" display="https://www.bigbatbox.com/fr/blogs/types-of-squirrels/what-to-feed-squirrels-year-round"/>
    <hyperlink ref="B421" r:id="rId420" display="https://www.bigbatbox.com/en-ca/blogs/habitat-of-bats/what-do-bats-eat-find-out-some-interesting-bat-food-choices"/>
    <hyperlink ref="B422" r:id="rId421" display="https://www.bigbatbox.com/it/blogs/habitat-of-bats/what-do-bats-eat-find-out-some-interesting-bat-food-choices"/>
    <hyperlink ref="B423" r:id="rId422" display="https://www.bigbatbox.com/en-ca/blogs/fun-facts-about-owls/5-things-you-didn-t-know-about-eastern-screech-owls"/>
    <hyperlink ref="B424" r:id="rId423" display="https://www.bigbatbox.com/en-ca/blogs/fun-facts-about-owls/the-silent-hunters-why-owl-boxes-and-bat-boxes-shouldnt-mix"/>
    <hyperlink ref="B425" r:id="rId424" display="https://www.bigbatbox.com/it/blogs/bee-species/why-are-bees-important"/>
    <hyperlink ref="B426" r:id="rId425" display="https://www.bigbatbox.com/it/products/big-bat-barn"/>
    <hyperlink ref="B427" r:id="rId426" display="https://www.bigbatbox.com/it/blogs/types-of-squirrels/squirrel-house-guide"/>
    <hyperlink ref="B428" r:id="rId427" display="https://www.bigbatbox.com/fr/blogs/fun-facts-about-owls/the-silent-hunters-why-owl-boxes-and-bat-boxes-shouldnt-mix"/>
    <hyperlink ref="B429" r:id="rId428" display="https://www.bigbatbox.com/it/blogs/bee-species/how-do-bees-pollinate"/>
    <hyperlink ref="B430" r:id="rId429" display="https://www.bigbatbox.com/fr/blogs/fun-facts-about-owls/5-things-you-didn-t-know-about-eastern-screech-owls"/>
    <hyperlink ref="B431" r:id="rId430" display="https://www.bigbatbox.com/it/products/double-chamber-bat-house-cedar"/>
    <hyperlink ref="B432" r:id="rId431" display="https://www.bigbatbox.com/it/blogs/fun-facts-about-owls/the-silent-hunters-why-owl-boxes-and-bat-boxes-shouldnt-mix"/>
    <hyperlink ref="B433" r:id="rId432" display="https://www.bigbatbox.com/en-ca/blogs/habitat-of-bats/can-bats-live-near-people-safely"/>
    <hyperlink ref="B434" r:id="rId433" display="https://www.bigbatbox.com/fr/blogs/bee-species/how-to-maintain-your-bee-house-through-the-seasons"/>
    <hyperlink ref="B435" r:id="rId434" display="https://www.bigbatbox.com/it/blogs/fun-facts-about-owls/how-to-attract-owls-a-comprehensive-guide"/>
    <hyperlink ref="B436" r:id="rId435" display="https://www.bigbatbox.com/it/products/certified-triple-chamber-bat-house-unfinished"/>
    <hyperlink ref="B437" r:id="rId436" display="https://www.bigbatbox.com/it/blogs/bee-species/what-do-bees-eat"/>
    <hyperlink ref="B438" r:id="rId437" display="https://www.bigbatbox.com/fr/blogs/fun-facts-about-owls/why-owl-boxes-are-the-best-natural-pest-control"/>
    <hyperlink ref="B439" r:id="rId438" display="https://www.bigbatbox.com/it/products/double-chamber-bat-house-black"/>
    <hyperlink ref="B440" r:id="rId439" display="https://www.bigbatbox.com/it/products/big-bat-barn-three-chamber-premium-cedar-bat-barn-black"/>
    <hyperlink ref="B441" r:id="rId440" display="https://www.bigbatbox.com/it/blogs/bee-species/bee-wise-how-bee-houses-and-hotels-can-help-save-bees-the-environment"/>
    <hyperlink ref="B442" r:id="rId441" display="https://www.bigbatbox.com/it/blogs/habitat-of-bats/can-bats-live-near-people-safely"/>
    <hyperlink ref="B443" r:id="rId442" display="https://www.bigbatbox.com/en-ca/blogs/fun-facts-about-owls/how-to-attract-owls-a-comprehensive-guide"/>
    <hyperlink ref="B444" r:id="rId443" display="https://www.bigbatbox.com/it/products/certified-triple-chamber-bat-house-black"/>
    <hyperlink ref="B445" r:id="rId444" display="https://www.bigbatbox.com/fr/blogs/habitat-of-bats/what-do-bats-eat-find-out-some-interesting-bat-food-choices"/>
    <hyperlink ref="B446" r:id="rId445" display="https://www.bigbatbox.com/en-ca/blogs/types-of-squirrels/squirrel-house-guide"/>
    <hyperlink ref="B447" r:id="rId446" display="https://www.bigbatbox.com/it/products/three-chamber-bat-house-certified-brown"/>
    <hyperlink ref="B448" r:id="rId447" display="https://www.bigbatbox.com/es/blogs/types-of-squirrels/squirrel-house-guide"/>
    <hyperlink ref="B449" r:id="rId448" display="https://www.bigbatbox.com/it/blogs/fun-facts-about-owls/why-owl-boxes-are-the-best-natural-pest-control"/>
    <hyperlink ref="B450" r:id="rId449" display="https://www.bigbatbox.com/it/blogs/fun-facts-about-owls/owl-nesting-boxes-providing-safe-havens-for-nighttime-raptors"/>
    <hyperlink ref="B451" r:id="rId450" display="https://www.bigbatbox.com/it/blogs/habitat-of-bats/big-bat-box-comparison"/>
    <hyperlink ref="B452" r:id="rId451" display="https://www.bigbatbox.com/en-ca/blogs/types-of-squirrels/tagged/squirrel-care"/>
    <hyperlink ref="B453" r:id="rId452" display="https://www.bigbatbox.com/en-ca/blogs/backyard-birds"/>
    <hyperlink ref="B454" r:id="rId453" display="https://www.bigbatbox.com/en-ca/blogs/habitat-of-bats/bci-certificate-why-you-should-care-about-it"/>
    <hyperlink ref="B455" r:id="rId454" display="https://www.bigbatbox.com/it/blogs/bee-species/tagged/pollinators"/>
    <hyperlink ref="B456" r:id="rId455" display="https://www.bigbatbox.com/es/blogs/habitat-of-bats/tagged/mosquito-controlbackyard-wildlife"/>
    <hyperlink ref="B457" r:id="rId456" display="https://www.bigbatbox.com/fr/blogs/habitat-of-bats/tagged/home-conservation-tips"/>
    <hyperlink ref="B458" r:id="rId457" display="https://www.bigbatbox.com/en-ca/blogs/backyard-birds/tagged/suet-feeder"/>
    <hyperlink ref="B459" r:id="rId458" display="https://www.bigbatbox.com/it/blogs/habitat-of-bats/tagged/bat-conservation"/>
    <hyperlink ref="B460" r:id="rId459" display="https://www.bigbatbox.com/fr/blogs/habitat-of-bats/the-surprising-benefits-of-bat-boxes-and-why-you-should-have-one"/>
    <hyperlink ref="B461" r:id="rId460" display="https://www.bigbatbox.com/it/blogs/habitat-of-bats/tagged/bat-house-wall-mount"/>
    <hyperlink ref="B462" r:id="rId461" display="https://www.bigbatbox.com/fr/blogs/habitat-of-bats/tagged/one-chamber-bat-box"/>
    <hyperlink ref="B463" r:id="rId462" display="https://www.bigbatbox.com/en-ca/blogs/backyard-birds/tagged/woodpeckers"/>
    <hyperlink ref="B464" r:id="rId463" display="https://www.bigbatbox.com/de/blogs/types-of-squirrels/tagged/squirrel-behavior"/>
    <hyperlink ref="B465" r:id="rId464" display="https://www.bigbatbox.com/it/blogs/habitat-of-bats/tagged/dark-bat-houses"/>
    <hyperlink ref="B466" r:id="rId465" display="https://www.bigbatbox.com/fr/blogs/types-of-squirrels/tagged/cedar-habitat"/>
    <hyperlink ref="B467" r:id="rId466" display="https://www.bigbatbox.com/it/collections/big-bat-barn-three-chamber-premium"/>
    <hyperlink ref="B468" r:id="rId467" display="https://www.bigbatbox.com/de/blogs/habitat-of-bats/tagged/best-bat-houses-for-cold-states"/>
    <hyperlink ref="B469" r:id="rId468" display="https://www.bigbatbox.com/de/blogs/habitat-of-bats/tagged/bat-house-chambers"/>
    <hyperlink ref="B470" r:id="rId469" display="https://www.bigbatbox.com/it/blogs/habitat-of-bats/tagged/2026-trends"/>
    <hyperlink ref="B471" r:id="rId470" display="https://www.bigbatbox.com/de/blogs/habitat-of-bats/tagged/bat-house-advice"/>
    <hyperlink ref="B472" r:id="rId471" display="https://www.bigbatbox.com/en-ca/blogs/habitat-of-bats?page=2"/>
    <hyperlink ref="B473" r:id="rId472" display="https://www.bigbatbox.com/fr/blogs/habitat-of-bats/tagged/three-chamber-bat-box"/>
    <hyperlink ref="B474" r:id="rId473" display="https://www.bigbatbox.com/de/blogs/backyard-birds/tagged/summer-feeding"/>
    <hyperlink ref="B475" r:id="rId474" display="https://www.bigbatbox.com/es/blogs/types-of-squirrels/tagged/squirrel-habitat"/>
    <hyperlink ref="B476" r:id="rId475" display="https://www.bigbatbox.com/fr/blogs/fun-facts-about-owls/tagged/owl-diet"/>
    <hyperlink ref="B477" r:id="rId476" display="https://www.bigbatbox.com/it/collections/bat-barn-junior"/>
    <hyperlink ref="B478" r:id="rId477" display="https://www.bigbatbox.com/de/blogs/habitat-of-bats/tagged/bat-box-guide"/>
    <hyperlink ref="B479" r:id="rId478" display="https://www.bigbatbox.com/it/blogs/habitat-of-bats/tagged/night-guardians"/>
    <hyperlink ref="B480" r:id="rId479" display="https://www.bigbatbox.com/fr/blogs/bee-species/tagged/fun-facts-about-bees"/>
    <hyperlink ref="B481" r:id="rId480" display="https://www.bigbatbox.com/en-ca/blogs/fun-facts-about-owls?page=2"/>
    <hyperlink ref="B482" r:id="rId481" display="https://www.bigbatbox.com/it/blogs/wildyard-learn/tagged/eco-friendly-gardening"/>
    <hyperlink ref="B483" r:id="rId482" display="https://www.bigbatbox.com/fr/blogs/backyard-birds/tagged/suet-for-birds"/>
    <hyperlink ref="B484" r:id="rId483" display="https://www.bigbatbox.com/fr/blogs/habitat-of-bats/7-benefits-of-bat-houses"/>
    <hyperlink ref="B485" r:id="rId484" display="https://www.bigbatbox.com/en-ca/blogs/habitat-of-bats/tagged/wildlife-friendly-home"/>
    <hyperlink ref="B486" r:id="rId485" display="https://www.bigbatbox.com/blogs/habitat-of-bats/tagged/bat-in-the-house-in-winter"/>
    <hyperlink ref="B487" r:id="rId486" display="https://www.bigbatbox.com/blogs/fun-facts-about-owls/tagged/ecological-balance"/>
    <hyperlink ref="B488" r:id="rId487" display="https://www.bigbatbox.com/it/blogs/habitat-of-bats/tagged/backyard-pest-control"/>
    <hyperlink ref="B489" r:id="rId488" display="https://www.bigbatbox.com/it/blogs/habitat-of-bats/tagged/pollination"/>
    <hyperlink ref="B490" r:id="rId489" display="https://www.bigbatbox.com/de/blogs/backyard-birds/tagged/seasonal-feeding"/>
    <hyperlink ref="B491" r:id="rId490" display="https://www.bigbatbox.com/es/blogs/habitat-of-bats/tagged/one-chamber-bat-box"/>
    <hyperlink ref="B492" r:id="rId491" display="https://www.bigbatbox.com/it/blogs/habitat-of-bats/tagged/bat-house-pole"/>
    <hyperlink ref="B493" r:id="rId492" display="https://www.bigbatbox.com/en-ca/blogs/habitat-of-bats/tagged/bat-hibernation"/>
    <hyperlink ref="B494" r:id="rId493" display="https://www.bigbatbox.com/it/blogs/backyard-birds/tagged/starlings"/>
    <hyperlink ref="B495" r:id="rId494" display="https://www.bigbatbox.com/de/blogs/fun-facts-about-owls/tagged/wildlife-lifespan"/>
    <hyperlink ref="B496" r:id="rId495" display="https://www.bigbatbox.com/es/blogs/fun-facts-about-owls/tagged/owl-calls"/>
    <hyperlink ref="B497" r:id="rId496" display="https://www.bigbatbox.com/blogs/habitat-of-bats/tagged/home-conservation-tips"/>
    <hyperlink ref="B498" r:id="rId497" display="https://www.bigbatbox.com/fr/blogs/habitat-of-bats/tagged/bat-roost-guide"/>
    <hyperlink ref="B499" r:id="rId498" display="https://www.bigbatbox.com/it/blogs/habitat-of-bats/tagged/bat-hibernation"/>
    <hyperlink ref="B500" r:id="rId499" display="https://www.bigbatbox.com/en-ca/blogs/backyard-birds/tagged/hot-pepper-suet"/>
    <hyperlink ref="B501" r:id="rId500" display="https://www.bigbatbox.com/fr/blogs/habitat-of-bats/tagged/bat-houses-for-cold-climates"/>
    <hyperlink ref="B502" r:id="rId501" display="https://www.bigbatbox.com/it/blogs/habitat-of-bats/tagged/bat-house-chambers"/>
    <hyperlink ref="B503" r:id="rId502" display="https://www.bigbatbox.com/it/blogs/fun-facts-about-owls/tagged/bird-habitats"/>
    <hyperlink ref="B504" r:id="rId503" display="https://www.bigbatbox.com/blogs/types-of-squirrels/tagged/squirrel-nesting-box"/>
    <hyperlink ref="B505" r:id="rId504" display="https://www.bigbatbox.com/fr/blogs/types-of-squirrels/tagged/squirrel-habitat"/>
    <hyperlink ref="B506" r:id="rId505" display="https://www.bigbatbox.com/it/blogs/habitat-of-bats/tagged/bat-house-for-cold-climates"/>
    <hyperlink ref="B507" r:id="rId506" display="https://www.bigbatbox.com/it/pages/wildyard-affiliate-program"/>
    <hyperlink ref="B508" r:id="rId507" display="https://www.bigbatbox.com/de/blogs/habitat-of-bats/tagged/bat-roost-guide"/>
    <hyperlink ref="B509" r:id="rId508" display="https://www.bigbatbox.com/fr/blogs/fun-facts-about-owls/owl-sounds-decoded"/>
    <hyperlink ref="B510" r:id="rId509" display="https://www.bigbatbox.com/es/blogs/habitat-of-bats/tagged/endangered-bats"/>
    <hyperlink ref="B511" r:id="rId510" display="https://www.bigbatbox.com/en-ca/blogs/habitat-of-bats/tagged/pollinator-friendly-yard"/>
    <hyperlink ref="B512" r:id="rId511" display="https://www.bigbatbox.com/it/blogs/habitat-of-bats/the-night-guardians-the-importance-of-bats-to-our-world"/>
    <hyperlink ref="B513" r:id="rId512" display="https://www.bigbatbox.com/en-ca/blogs/habitat-of-bats/tagged/bat-roost-guide"/>
    <hyperlink ref="B514" r:id="rId513" display="https://www.bigbatbox.com/en-ca/blogs/wildyard-news"/>
    <hyperlink ref="B515" r:id="rId514" display="https://www.bigbatbox.com/en-ca/blogs/bee-species/tagged/leafcutter-bees"/>
    <hyperlink ref="B516" r:id="rId515" display="https://www.bigbatbox.com/fr/blogs/bee-species/tagged/pollinator-habitat"/>
    <hyperlink ref="B517" r:id="rId516" display="https://www.bigbatbox.com/de/blogs/habitat-of-bats/tagged/bat-conservation"/>
    <hyperlink ref="B518" r:id="rId517" display="https://www.bigbatbox.com/fr/blogs/habitat-of-bats/tagged/help-bats-at-home"/>
    <hyperlink ref="B519" r:id="rId518" display="https://www.bigbatbox.com/de/blogs/backyard-birds/can-you-feed-suet-in-summer"/>
    <hyperlink ref="B520" r:id="rId519" display="https://www.bigbatbox.com/it/blogs/types-of-squirrels/tagged/buying-guide"/>
    <hyperlink ref="B521" r:id="rId520" display="https://www.bigbatbox.com/de/blogs/bee-species/tagged/bee-house"/>
    <hyperlink ref="B522" r:id="rId521" display="https://www.bigbatbox.com/fr/pages/bat-house-guide"/>
    <hyperlink ref="B523" r:id="rId522" display="https://www.bigbatbox.com/blogs/bee-species/tagged/bee-biology"/>
    <hyperlink ref="B524" r:id="rId523" display="https://www.bigbatbox.com/es/blogs/wildyard-learn/tagged/eco-friendly-gardening"/>
    <hyperlink ref="B525" r:id="rId524" display="https://www.bigbatbox.com/fr/pages/wildyard-x-angry-birds-flowerpot-birdhouse-instructions"/>
    <hyperlink ref="B526" r:id="rId525" display="https://www.bigbatbox.com/de/blogs/habitat-of-bats/tagged/endangered-bats"/>
    <hyperlink ref="B527" r:id="rId526" display="https://www.bigbatbox.com/de/blogs/types-of-squirrels/tagged/wildlife-feeding"/>
    <hyperlink ref="B528" r:id="rId527" display="https://www.bigbatbox.com/es/blogs/bee-species/tagged/bee-food-sources"/>
    <hyperlink ref="B529" r:id="rId528" display="https://www.bigbatbox.com/es/blogs/habitat-of-bats/tagged/two-chamber-bat-box"/>
    <hyperlink ref="B530" r:id="rId529" display="https://www.bigbatbox.com/es/blogs/bee-species/tagged/honey-production"/>
    <hyperlink ref="B531" r:id="rId530" display="https://www.bigbatbox.com/fr/blogs/conservation-partners/tagged/birds"/>
    <hyperlink ref="B532" r:id="rId531" display="https://www.bigbatbox.com/en-ca/blogs/habitat-of-bats/tagged/wildlife-habitat"/>
    <hyperlink ref="B533" r:id="rId532" display="https://www.bigbatbox.com/de/blogs/fun-facts-about-owls/tagged/great-horned-owl"/>
    <hyperlink ref="B534" r:id="rId533" display="https://www.bigbatbox.com/fr/blogs/types-of-squirrels/tagged/squirrel-house"/>
    <hyperlink ref="B535" r:id="rId534" display="https://www.bigbatbox.com/it/blogs/habitat-of-bats/how-to-get-rid-of-bats"/>
    <hyperlink ref="B536" r:id="rId535" display="https://www.bigbatbox.com/it/blogs/habitat-of-bats/tagged/tall-bat-house-design"/>
    <hyperlink ref="B537" r:id="rId536" display="https://www.bigbatbox.com/fr/blogs/bee-species/tagged/honey-bees"/>
    <hyperlink ref="B538" r:id="rId537" display="https://www.bigbatbox.com/en-ca/blogs/fun-facts-about-owls/tagged/night-sounds"/>
    <hyperlink ref="B539" r:id="rId538" display="https://www.bigbatbox.com/it/blogs/habitat-of-bats/11-interesting-things-to-know-about-bat-houses"/>
    <hyperlink ref="B540" r:id="rId539" display="https://www.bigbatbox.com/es/blogs/fun-facts-about-owls/tagged/owl-diet"/>
    <hyperlink ref="B541" r:id="rId540" display="https://www.bigbatbox.com/it/blogs/habitat-of-bats/tagged/backyard-conservation"/>
    <hyperlink ref="B542" r:id="rId541" display="https://www.bigbatbox.com/it/blogs/habitat-of-bats/tagged/bat-house-tips"/>
    <hyperlink ref="B543" r:id="rId542" display="https://www.bigbatbox.com/it/blogs/types-of-squirrels/tagged/squirrel-box"/>
    <hyperlink ref="B544" r:id="rId543" display="https://www.bigbatbox.com/es/blogs/habitat-of-bats/tagged/bat-boxes"/>
    <hyperlink ref="B545" r:id="rId544" display="https://www.bigbatbox.com/it/blogs/habitat-of-bats/tagged/bat-boxes"/>
    <hyperlink ref="B546" r:id="rId545" display="https://www.bigbatbox.com/es/blogs/bee-species/tagged/solitary-bees"/>
    <hyperlink ref="B547" r:id="rId546" display="https://www.bigbatbox.com/es/blogs/bee-species/tagged/honey-bees"/>
    <hyperlink ref="B548" r:id="rId547" display="https://www.bigbatbox.com/fr/blogs/habitat-of-bats/tagged/insect-control-naturally"/>
    <hyperlink ref="B549" r:id="rId548" display="https://www.bigbatbox.com/en-ca/blogs/habitat-of-bats/tagged/black-bat-house"/>
    <hyperlink ref="B550" r:id="rId549" display="https://www.bigbatbox.com/en-ca/blogs/habitat-of-bats/a-brief-guide-to-building-and-installing-bat-boxes"/>
    <hyperlink ref="B551" r:id="rId550" display="https://www.bigbatbox.com/en-ca/blogs/habitat-of-bats/tagged/usa-bat-house-guide"/>
    <hyperlink ref="B552" r:id="rId551" display="https://www.bigbatbox.com/en-ca/blogs/types-of-squirrels/tagged/wildlife-lifespan"/>
    <hyperlink ref="B553" r:id="rId552" display="https://www.bigbatbox.com/de/blogs/habitat-of-bats/tagged/bat-benefits"/>
    <hyperlink ref="B554" r:id="rId553" display="https://www.bigbatbox.com/es/blogs/types-of-squirrels/tagged/wildyard"/>
    <hyperlink ref="B555" r:id="rId554" display="https://www.bigbatbox.com/blogs/habitat-of-bats/tagged/mounting-bat-houses"/>
    <hyperlink ref="B556" r:id="rId555" display="https://www.bigbatbox.com/fr/blogs/bee-species/tagged/backyard-wildlife"/>
    <hyperlink ref="B557" r:id="rId556" display="https://www.bigbatbox.com/it/blogs/conservation-partners/tagged/birds"/>
    <hyperlink ref="B558" r:id="rId557" display="https://www.bigbatbox.com/fr/blogs/habitat-of-bats/tagged/cedar-bat-house"/>
    <hyperlink ref="B559" r:id="rId558" display="https://www.bigbatbox.com/it/blogs/fun-facts-about-owls/tagged/owl-diet"/>
    <hyperlink ref="B560" r:id="rId559" display="https://www.bigbatbox.com/it/blogs/habitat-of-bats/tagged/wildlife-friendly-backyard"/>
    <hyperlink ref="B561" r:id="rId560" display="https://www.bigbatbox.com/es/blogs/backyard-birds/tagged/backyard-birds"/>
    <hyperlink ref="B562" r:id="rId561" display="https://www.bigbatbox.com/en-ca/blogs/habitat-of-bats/tagged/bat-box-installation"/>
    <hyperlink ref="B563" r:id="rId562" display="https://www.bigbatbox.com/it/blogs/wildyard-learn/wildlife-care-expert-guide-to-maintaining-bat-owl-and-bee-houses"/>
    <hyperlink ref="B564" r:id="rId563" display="https://www.bigbatbox.com/es/blogs/habitat-of-bats/tagged/night-wildlife-support"/>
    <hyperlink ref="B565" r:id="rId564" display="https://www.bigbatbox.com/de/blogs/backyard-birds/keep-squirrels-starlings-off-suet-feeder"/>
    <hyperlink ref="B566" r:id="rId565" display="https://www.bigbatbox.com/en-ca/blogs/habitat-of-bats/the-surprising-benefits-of-bat-boxes-and-why-you-should-have-one"/>
    <hyperlink ref="B567" r:id="rId566" display="https://www.bigbatbox.com/it/blogs/bee-species/tagged/bees-diet"/>
    <hyperlink ref="B568" r:id="rId567" display="https://www.bigbatbox.com/fr/blogs/habitat-of-bats/tagged/wildlife-bat-box-guide"/>
    <hyperlink ref="B569" r:id="rId568" display="https://www.bigbatbox.com/de/blogs/habitat-of-bats/tagged/bat-safety"/>
    <hyperlink ref="B570" r:id="rId569" display="https://www.bigbatbox.com/de/blogs/habitat-of-bats/tagged/bat-house-height"/>
    <hyperlink ref="B571" r:id="rId570" display="https://www.bigbatbox.com/it/blogs/fun-facts-about-owls/tagged/conservation"/>
    <hyperlink ref="B572" r:id="rId571" display="https://www.bigbatbox.com/en-ca/blogs/habitat-of-bats/tagged/safe-wildlife-practices"/>
    <hyperlink ref="B573" r:id="rId572" display="https://www.bigbatbox.com/es/blogs/bee-species/do-solitary-bees-sting"/>
    <hyperlink ref="B574" r:id="rId573" display="https://www.bigbatbox.com/it/blogs/fun-facts-about-owls/tagged/bird-watching"/>
    <hyperlink ref="B575" r:id="rId574" display="https://www.bigbatbox.com/de/blogs/wildyard-learn/tagged/bees-and-bats"/>
    <hyperlink ref="B576" r:id="rId575" display="https://www.bigbatbox.com/en-ca/blogs/habitat-of-bats/why-bats-are-the-best-mosquito-eaters"/>
    <hyperlink ref="B577" r:id="rId576" display="https://www.bigbatbox.com/fr/blogs/habitat-of-bats/how-to-attract-bats-your-go-to-guide"/>
    <hyperlink ref="B578" r:id="rId577" display="https://www.bigbatbox.com/blogs/types-of-squirrels/tagged/winter-wildlife"/>
    <hyperlink ref="B579" r:id="rId578" display="https://www.bigbatbox.com/de/blogs/fun-facts-about-owls/tagged/owl-facts"/>
    <hyperlink ref="B580" r:id="rId579" display="https://www.bigbatbox.com/es/blogs/wildyard-learn/tagged/wildlife-garden"/>
    <hyperlink ref="B581" r:id="rId580" display="https://www.bigbatbox.com/es/blogs/backyard-birds/can-you-feed-suet-in-summer"/>
    <hyperlink ref="B582" r:id="rId581" display="https://www.bigbatbox.com/de/blogs/fun-facts-about-owls/tagged/owl-box-faq"/>
    <hyperlink ref="B583" r:id="rId582" display="https://www.bigbatbox.com/de/blogs/types-of-squirrels/tagged/squirrel-box"/>
    <hyperlink ref="B584" r:id="rId583" display="https://www.bigbatbox.com/it/blogs/types-of-squirrels/tagged/squirrel-behavior"/>
    <hyperlink ref="B585" r:id="rId584" display="https://www.bigbatbox.com/de/blogs/fun-facts-about-owls/tagged/screech-owl-box"/>
    <hyperlink ref="B586" r:id="rId585" display="https://www.bigbatbox.com/it/blogs/habitat-of-bats/5-best-tips-for-bat-house-maintenance"/>
    <hyperlink ref="B587" r:id="rId586" display="https://www.bigbatbox.com/de/blogs/backyard-birds/what-birds-eat-suet"/>
    <hyperlink ref="B588" r:id="rId587" display="https://www.bigbatbox.com/blogs/types-of-squirrels/tagged/squirrels"/>
    <hyperlink ref="B589" r:id="rId588" display="https://www.bigbatbox.com/en-ca/blogs/bee-species/tagged/bee-biology"/>
    <hyperlink ref="B590" r:id="rId589" display="https://www.bigbatbox.com/de/blogs/bee-species/tagged/fun-facts-about-bees"/>
    <hyperlink ref="B591" r:id="rId590" display="https://www.bigbatbox.com/it/blogs/conservation-partners/tagged/conservation"/>
    <hyperlink ref="B592" r:id="rId591" display="https://www.bigbatbox.com/fr/blogs/backyard-birds/tagged/seasonal-feeding"/>
    <hyperlink ref="B593" r:id="rId592" display="https://www.bigbatbox.com/en-ca/blogs/backyard-birds/can-you-feed-suet-in-summer"/>
    <hyperlink ref="B594" r:id="rId593" display="https://www.bigbatbox.com/es/blogs/fun-facts-about-owls/tagged/owl-nesting-boxes"/>
    <hyperlink ref="B595" r:id="rId594" display="https://www.bigbatbox.com/en-ca/blogs/wildyard-learn/bats-bees-as-your-garden-pollinators"/>
    <hyperlink ref="B596" r:id="rId595" display="https://www.bigbatbox.com/it/blogs/habitat-of-bats/tagged/bat-house-colors"/>
    <hyperlink ref="B597" r:id="rId596" display="https://www.bigbatbox.com/es/blogs/habitat-of-bats/tagged/megabats"/>
    <hyperlink ref="B598" r:id="rId597" display="https://www.bigbatbox.com/fr/collections"/>
    <hyperlink ref="B599" r:id="rId598" display="https://www.bigbatbox.com/en-ca/blogs/habitat-of-bats/tagged/bat-habitat"/>
    <hyperlink ref="B600" r:id="rId599" display="https://www.bigbatbox.com/blogs/bee-species/tagged/honey-making"/>
    <hyperlink ref="B601" r:id="rId600" display="https://www.bigbatbox.com/de/blogs/habitat-of-bats/tagged/mosquito-reduction-with-bats"/>
    <hyperlink ref="B602" r:id="rId601" display="https://www.bigbatbox.com/es/blogs/types-of-squirrels/tagged/squirrel-care"/>
    <hyperlink ref="B603" r:id="rId602" display="https://www.bigbatbox.com/it/blogs/types-of-squirrels/tagged/habitat"/>
    <hyperlink ref="B604" r:id="rId603" display="https://www.bigbatbox.com/blogs/habitat-of-bats/tagged/echolocation"/>
    <hyperlink ref="B605" r:id="rId604" display="https://www.bigbatbox.com/fr/blogs/habitat-of-bats/tagged/native-plants-for-bats"/>
    <hyperlink ref="B606" r:id="rId605" display="https://www.bigbatbox.com/es/blogs/habitat-of-bats/tagged/where-to-mount-bat-house"/>
    <hyperlink ref="B607" r:id="rId606" display="https://www.bigbatbox.com/blogs/habitat-of-bats/tagged/bat-house-mosquito-control"/>
    <hyperlink ref="B608" r:id="rId607" display="https://www.bigbatbox.com/en-ca/blogs/habitat-of-bats/what-are-the-bat-house-kits"/>
    <hyperlink ref="B609" r:id="rId608" display="https://www.bigbatbox.com/fr/blogs/backyard-birds/tagged/squirrels"/>
    <hyperlink ref="B610" r:id="rId609" display="https://www.bigbatbox.com/fr/blogs/habitat-of-bats/tagged/best-bat-houses-for-cold-states"/>
    <hyperlink ref="B611" r:id="rId610" display="https://www.bigbatbox.com/es/blogs/bee-species/tagged/backyard-wildlife"/>
    <hyperlink ref="B612" r:id="rId611" display="https://www.bigbatbox.com/fr/blogs/habitat-of-bats/tagged/coexist-with-bats"/>
    <hyperlink ref="B613" r:id="rId612" display="https://www.bigbatbox.com/en-ca/blogs/habitat-of-bats/tagged/eco-friendly-bat-house"/>
    <hyperlink ref="B614" r:id="rId613" display="https://www.bigbatbox.com/es/blogs/habitat-of-bats/tagged/winter-bat-house-tips"/>
    <hyperlink ref="B615" r:id="rId614" display="https://www.bigbatbox.com/it/pages/bat-house-guide"/>
    <hyperlink ref="B616" r:id="rId615" display="https://www.bigbatbox.com/de/blogs/habitat-of-bats/tagged/winter-wildlife"/>
    <hyperlink ref="B617" r:id="rId616" display="https://www.bigbatbox.com/blogs/habitat-of-bats/tagged/bat-habitat"/>
    <hyperlink ref="B618" r:id="rId617" display="https://www.bigbatbox.com/it/blogs/habitat-of-bats/tagged/black-cedar-bat-house"/>
    <hyperlink ref="B619" r:id="rId618" display="https://www.bigbatbox.com/it/blogs/fun-facts-about-owls/tagged/owl-safety"/>
    <hyperlink ref="B620" r:id="rId619" display="https://www.bigbatbox.com/de/blogs/habitat-of-bats/tagged/help-bats-at-home"/>
    <hyperlink ref="B621" r:id="rId620" display="https://www.bigbatbox.com/blogs/wildyard-learn/tagged/wildlife-garden"/>
    <hyperlink ref="B622" r:id="rId621" display="https://www.bigbatbox.com/de/blogs/habitat-of-bats/tagged/wildyard-bat-houses"/>
    <hyperlink ref="B623" r:id="rId622" display="https://www.bigbatbox.com/de/blogs/habitat-of-bats/tagged/native-plants-for-bats"/>
    <hyperlink ref="B624" r:id="rId623" display="https://www.bigbatbox.com/en-ca/blogs/bee-species/mason-bees-vs-leafcutter-bees"/>
    <hyperlink ref="B625" r:id="rId624" display="https://www.bigbatbox.com/en-ca/blogs/habitat-of-bats/tagged/bat-house-sun-exposure"/>
    <hyperlink ref="B626" r:id="rId625" display="https://www.bigbatbox.com/fr/blogs/types-of-squirrels/tagged/nest-box-maintenance"/>
    <hyperlink ref="B627" r:id="rId626" display="https://www.bigbatbox.com/fr/blogs/fun-facts-about-owls/tagged/owl-boxes"/>
    <hyperlink ref="B628" r:id="rId627" display="https://www.bigbatbox.com/de/blogs/habitat-of-bats/tagged/painted-cedar-bat-house"/>
    <hyperlink ref="B629" r:id="rId628" display="https://www.bigbatbox.com/blogs/fun-facts-about-owls/tagged/snowy-owl"/>
    <hyperlink ref="B630" r:id="rId629" display="https://www.bigbatbox.com/es/blogs/habitat-of-bats/tagged/mosquito-control"/>
    <hyperlink ref="B631" r:id="rId630" display="https://www.bigbatbox.com/fr/blogs/habitat-of-bats/tagged/best-bat-boxes-for-mosquito-control"/>
    <hyperlink ref="B632" r:id="rId631" display="https://www.bigbatbox.com/de/blogs/habitat-of-bats/tagged/bci-certified-bat-house"/>
    <hyperlink ref="B633" r:id="rId632" display="https://www.bigbatbox.com/es/blogs/bee-species/tagged/bee-identification"/>
    <hyperlink ref="B634" r:id="rId633" display="https://www.bigbatbox.com/de/blogs/bee-species/tagged/pollination-process"/>
    <hyperlink ref="B635" r:id="rId634" display="https://www.bigbatbox.com/es/blogs/bee-species/tagged/honey-making"/>
    <hyperlink ref="B636" r:id="rId635" display="https://www.bigbatbox.com/en-ca/blogs/habitat-of-bats/tagged/multi-chamber-bat-house"/>
    <hyperlink ref="B637" r:id="rId636" display="https://www.bigbatbox.com/it/blogs/habitat-of-bats/tagged/cedar-bat-box"/>
    <hyperlink ref="B638" r:id="rId637" display="https://www.bigbatbox.com/de/blogs/habitat-of-bats/tagged/bat-house-pole"/>
    <hyperlink ref="B639" r:id="rId638" display="https://www.bigbatbox.com/fr/blogs/types-of-squirrels/tagged/squirrel-behavior"/>
    <hyperlink ref="B640" r:id="rId639" display="https://www.bigbatbox.com/it/blogs/types-of-squirrels/tagged/squirrel-house"/>
    <hyperlink ref="B641" r:id="rId640" display="https://www.bigbatbox.com/it/blogs/habitat-of-bats/tagged/yard-wildlife-guide"/>
    <hyperlink ref="B642" r:id="rId641" display="https://www.bigbatbox.com/es/blogs/habitat-of-bats/tagged/bat-house-chambers"/>
    <hyperlink ref="B643" r:id="rId642" display="https://www.bigbatbox.com/de/blogs/fun-facts-about-owls/tagged/bat-and-owl"/>
    <hyperlink ref="B644" r:id="rId643" display="https://www.bigbatbox.com/de/blogs/bee-species/tagged/nature-s-architects"/>
    <hyperlink ref="B645" r:id="rId644" display="https://www.bigbatbox.com/it/blogs/habitat-of-bats/tagged/bat-conservation-guide"/>
    <hyperlink ref="B646" r:id="rId645" display="https://www.bigbatbox.com/es/blogs/habitat-of-bats/tagged/bat-proofing-tips"/>
    <hyperlink ref="B647" r:id="rId646" display="https://www.bigbatbox.com/blogs/fun-facts-about-owls/tagged/predators"/>
    <hyperlink ref="B648" r:id="rId647" display="https://www.bigbatbox.com/fr/blogs/habitat-of-bats/tagged/tall-bat-house-design"/>
    <hyperlink ref="B649" r:id="rId648" display="https://www.bigbatbox.com/de/blogs/bee-species?page=2"/>
    <hyperlink ref="B650" r:id="rId649" display="https://www.bigbatbox.com/blogs/habitat-of-bats/tagged/natural-mosquito-control"/>
    <hyperlink ref="B651" r:id="rId650" display="https://www.bigbatbox.com/it/blogs/types-of-squirrels/tagged/wildlife-habitat"/>
    <hyperlink ref="B652" r:id="rId651" display="https://www.bigbatbox.com/it/blogs/habitat-of-bats/tagged/bat-proofing-tips"/>
    <hyperlink ref="B653" r:id="rId652" display="https://www.bigbatbox.com/es/blogs/habitat-of-bats/tagged/help-bats-at-home"/>
    <hyperlink ref="B654" r:id="rId653" display="https://www.bigbatbox.com/en-ca/blogs/habitat-of-bats/tagged/diy-bat-house"/>
    <hyperlink ref="B655" r:id="rId654" display="https://www.bigbatbox.com/fr/blogs/bee-species/tagged/bee-lifecycle"/>
    <hyperlink ref="B656" r:id="rId655" display="https://www.bigbatbox.com/es/blogs/habitat-of-bats/tagged/bat-box-guide"/>
    <hyperlink ref="B657" r:id="rId656" display="https://www.bigbatbox.com/fr/blogs/types-of-squirrels/tagged/squirrel-feeder-ideas"/>
    <hyperlink ref="B658" r:id="rId657" display="https://www.bigbatbox.com/en-ca/blogs/habitat-of-bats/tagged/mosquito-reduction-with-bats"/>
    <hyperlink ref="B659" r:id="rId658" display="https://www.bigbatbox.com/de/blogs/fun-facts-about-owls/tagged/conservation"/>
    <hyperlink ref="B660" r:id="rId659" display="https://www.bigbatbox.com/en-ca/blogs/types-of-squirrels/tagged/squirrel-feeder"/>
    <hyperlink ref="B661" r:id="rId660" display="https://www.bigbatbox.com/it/blogs/habitat-of-bats/tagged/cold-climate-bat-box"/>
    <hyperlink ref="B662" r:id="rId661" display="https://www.bigbatbox.com/es/blogs/habitat-of-bats/tagged/bat-house-height"/>
    <hyperlink ref="B663" r:id="rId662" display="https://www.bigbatbox.com/en-ca/blogs/types-of-squirrels/tagged/squirrel-habitat"/>
    <hyperlink ref="B664" r:id="rId663" display="https://www.bigbatbox.com/blogs/habitat-of-bats/tagged/black-bat-house"/>
    <hyperlink ref="B665" r:id="rId664" display="https://www.bigbatbox.com/de/blogs/habitat-of-bats/tagged/megabats"/>
    <hyperlink ref="B666" r:id="rId665" display="https://www.bigbatbox.com/es/blogs/types-of-squirrels/tagged/nocturnal-animals"/>
    <hyperlink ref="B667" r:id="rId666" display="https://www.bigbatbox.com/de/blogs/habitat-of-bats/tagged/eco-friendly-bat-shelter"/>
    <hyperlink ref="B668" r:id="rId667" display="https://www.bigbatbox.com/de/blogs/habitat-of-bats/tagged/protect-bats"/>
    <hyperlink ref="B669" r:id="rId668" display="https://www.bigbatbox.com/de/blogs/habitat-of-bats/tagged/insect-control-naturally"/>
    <hyperlink ref="B670" r:id="rId669" display="https://www.bigbatbox.com/es/blogs/habitat-of-bats/tagged/safe-wildlife-practices"/>
    <hyperlink ref="B671" r:id="rId670" display="https://www.bigbatbox.com/de/blogs/habitat-of-bats/tagged/microbats"/>
    <hyperlink ref="B672" r:id="rId671" display="https://www.bigbatbox.com/it/blogs/fun-facts-about-owls/tagged/owl-facts"/>
    <hyperlink ref="B673" r:id="rId672" display="https://www.bigbatbox.com/it/blogs/habitat-of-bats/tagged/native-plants-for-bats"/>
    <hyperlink ref="B674" r:id="rId673" display="https://www.bigbatbox.com/es/blogs/conservation-partners/tagged/partnership"/>
    <hyperlink ref="B675" r:id="rId674" display="https://www.bigbatbox.com/it/blogs/habitat-of-bats?page=3"/>
    <hyperlink ref="B676" r:id="rId675" display="https://www.bigbatbox.com/fr/blogs/habitat-of-bats/bci-certificate-why-you-should-care-about-it"/>
    <hyperlink ref="B677" r:id="rId676" display="https://www.bigbatbox.com/fr/blogs/fun-facts-about-owls/tagged/wildlife-lifespan"/>
    <hyperlink ref="B678" r:id="rId677" display="https://www.bigbatbox.com/en-ca/blogs/types-of-squirrels/tagged/backyard-wildlife"/>
    <hyperlink ref="B679" r:id="rId678" display="https://www.bigbatbox.com/blogs/backyard-birds/tagged/bird-feeding"/>
    <hyperlink ref="B680" r:id="rId679" display="https://www.bigbatbox.com/en-ca/blogs/bee-species/tagged/pollinator-habitat"/>
    <hyperlink ref="B681" r:id="rId680" display="https://www.bigbatbox.com/de/blogs/fun-facts-about-owls/tagged/owl-boxes"/>
    <hyperlink ref="B682" r:id="rId681" display="https://www.bigbatbox.com/es/blogs/habitat-of-bats/tagged/best-bat-house-setup"/>
    <hyperlink ref="B683" r:id="rId682" display="https://www.bigbatbox.com/es/blogs/habitat-of-bats/tagged/avoid-pesticides"/>
    <hyperlink ref="B684" r:id="rId683" display="https://www.bigbatbox.com/blogs/habitat-of-bats/tagged/eco-friendly-bat-shelter"/>
    <hyperlink ref="B685" r:id="rId684" display="https://www.bigbatbox.com/it/blogs/habitat-of-bats/tagged/where-to-mount-bat-house"/>
    <hyperlink ref="B686" r:id="rId685" display="https://www.bigbatbox.com/es/blogs/fun-facts-about-owls/tagged/bat-and-owl"/>
    <hyperlink ref="B687" r:id="rId686" display="https://www.bigbatbox.com/fr/blogs/habitat-of-bats?page=3"/>
    <hyperlink ref="B688" r:id="rId687" display="https://www.bigbatbox.com/es/blogs/bee-species/tagged/nature-s-architects"/>
    <hyperlink ref="B689" r:id="rId688" display="https://www.bigbatbox.com/en-ca/blogs/habitat-of-bats/tagged/bci-certified-bat-house"/>
    <hyperlink ref="B690" r:id="rId689" display="https://www.bigbatbox.com/es/blogs/habitat-of-bats/tagged/bci-certified-bat-house"/>
    <hyperlink ref="B691" r:id="rId690" display="https://www.bigbatbox.com/en-ca/blogs/habitat-of-bats/tagged/endangered-bats"/>
    <hyperlink ref="B692" r:id="rId691" display="https://www.bigbatbox.com/en-ca/blogs/bee-species/tagged/bee-lifecycle"/>
    <hyperlink ref="B693" r:id="rId692" display="https://www.bigbatbox.com/en-ca/blogs/types-of-squirrels/tagged/habitat"/>
    <hyperlink ref="B694" r:id="rId693" display="https://www.bigbatbox.com/es/blogs/habitat-of-bats/tagged/bat-house-warmth-retention"/>
    <hyperlink ref="B695" r:id="rId694" display="https://www.bigbatbox.com/it/blogs/bee-species/tagged/pollinator-habitat"/>
    <hyperlink ref="B696" r:id="rId695" display="https://www.bigbatbox.com/de/blogs/habitat-of-bats/tagged/bat-house-temperature"/>
    <hyperlink ref="B697" r:id="rId696" display="https://www.bigbatbox.com/de/blogs/habitat-of-bats/tagged/tall-bat-house-design"/>
    <hyperlink ref="B698" r:id="rId697" display="https://www.bigbatbox.com/de/blogs/habitat-of-bats/tagged/mammal-facts"/>
    <hyperlink ref="B699" r:id="rId698" display="https://www.bigbatbox.com/de/blogs/fun-facts-about-owls/tagged/night-sounds"/>
    <hyperlink ref="B700" r:id="rId699" display="https://www.bigbatbox.com/blogs/fun-facts-about-owls/tagged/nocturnal-animals"/>
    <hyperlink ref="B701" r:id="rId700" display="https://www.bigbatbox.com/de/blogs/habitat-of-bats/tagged/bat-house-placement-guide"/>
    <hyperlink ref="B702" r:id="rId701" display="https://www.bigbatbox.com/blogs/backyard-birds/tagged/squirrels"/>
    <hyperlink ref="B703" r:id="rId702" display="https://www.bigbatbox.com/blogs/habitat-of-bats/tagged/diy-bat-box"/>
    <hyperlink ref="B704" r:id="rId703" display="https://www.bigbatbox.com/es/blogs/fun-facts-about-owls/tagged/owl-box-faq"/>
    <hyperlink ref="B705" r:id="rId704" display="https://www.bigbatbox.com/es/blogs/habitat-of-bats/tagged/ecosystem-guardians"/>
    <hyperlink ref="B706" r:id="rId705" display="https://www.bigbatbox.com/fr/blogs/habitat-of-bats/tagged/wildlife-conservation"/>
    <hyperlink ref="B707" r:id="rId706" display="https://www.bigbatbox.com/en-ca/blogs/habitat-of-bats/tagged/cold-climate-bat-box"/>
    <hyperlink ref="B708" r:id="rId707" display="https://www.bigbatbox.com/fr/blogs/habitat-of-bats/tagged/bat-in-the-house-in-winter"/>
    <hyperlink ref="B709" r:id="rId708" display="https://www.bigbatbox.com/de/blogs/fun-facts-about-owls/tagged/barn-owl-box"/>
    <hyperlink ref="B710" r:id="rId709" display="https://www.bigbatbox.com/blogs/habitat-of-bats/tagged/humane-bat-removal"/>
    <hyperlink ref="B711" r:id="rId710" display="https://www.bigbatbox.com/blogs/habitat-of-bats/tagged/safe-bat-habitat"/>
    <hyperlink ref="B712" r:id="rId711" display="https://www.bigbatbox.com/it/blogs/habitat-of-bats/tagged/wildlife-management"/>
    <hyperlink ref="B713" r:id="rId712" display="https://www.bigbatbox.com/fr/blogs/fun-facts-about-owls/tagged/owl-attraction"/>
    <hyperlink ref="B714" r:id="rId713" display="https://www.bigbatbox.com/en-ca/blogs/fun-facts-about-owls/what-do-owls-eat"/>
    <hyperlink ref="B715" r:id="rId714" display="https://www.bigbatbox.com/blogs/wildyard-learn/tagged/pollination"/>
    <hyperlink ref="B716" r:id="rId715" display="https://www.bigbatbox.com/it/blogs/types-of-squirrels/when-do-squirrels-have-babies"/>
    <hyperlink ref="B717" r:id="rId716" display="https://www.bigbatbox.com/fr/blogs/habitat-of-bats/tagged/megabats"/>
    <hyperlink ref="B718" r:id="rId717" display="https://www.bigbatbox.com/blogs/habitat-of-bats/tagged/how-to-attract-bats"/>
    <hyperlink ref="B719" r:id="rId718" display="https://www.bigbatbox.com/de/blogs/types-of-squirrels/tagged/diy-squirrel-feeder"/>
    <hyperlink ref="B720" r:id="rId719" display="https://www.bigbatbox.com/fr/blogs/backyard-birds/tagged/suet-feeder"/>
    <hyperlink ref="B721" r:id="rId720" display="https://www.bigbatbox.com/blogs/fun-facts-about-owls/tagged/owl-identification"/>
    <hyperlink ref="B722" r:id="rId721" display="https://www.bigbatbox.com/it/blogs/fun-facts-about-owls/tagged/wildlife-gardening"/>
    <hyperlink ref="B723" r:id="rId722" display="https://www.bigbatbox.com/it/blogs/habitat-of-bats/tagged/endangered-bats"/>
    <hyperlink ref="B724" r:id="rId723" display="https://www.bigbatbox.com/de/blogs/bee-species/tagged/bee-communication"/>
    <hyperlink ref="B725" r:id="rId724" display="https://www.bigbatbox.com/es/blogs/bee-species/tagged/fun-facts-about-bees"/>
    <hyperlink ref="B726" r:id="rId725" display="https://www.bigbatbox.com/fr/blogs/habitat-of-bats/found-a-bat-in-the-house-in-winter-help-them-survive"/>
    <hyperlink ref="B727" r:id="rId726" display="https://www.bigbatbox.com/en-ca/blogs/habitat-of-bats?page=4"/>
    <hyperlink ref="B728" r:id="rId727" display="https://www.bigbatbox.com/fr/blogs/habitat-of-bats/tagged/bat-hibernation"/>
    <hyperlink ref="B729" r:id="rId728" display="https://www.bigbatbox.com/it/blogs/wildyard-learn/tagged/wildlife-habitat-tips"/>
    <hyperlink ref="B730" r:id="rId729" display="https://www.bigbatbox.com/en-ca/blogs/habitat-of-bats/tagged/bat-safety"/>
    <hyperlink ref="B731" r:id="rId730" display="https://www.bigbatbox.com/de/blogs/bee-species/tagged/bee-lifecycle"/>
    <hyperlink ref="B732" r:id="rId731" display="https://www.bigbatbox.com/it/blogs/habitat-of-bats/tagged/how-to-attract-bats"/>
    <hyperlink ref="B733" r:id="rId732" display="https://www.bigbatbox.com/blogs/wildyard-learn/tagged/eco-friendly-gardening"/>
    <hyperlink ref="B734" r:id="rId733" display="https://www.bigbatbox.com/es/blogs/habitat-of-bats/tagged/bat-box-sunlight-requirements"/>
    <hyperlink ref="B735" r:id="rId734" display="https://www.bigbatbox.com/fr/blogs/fun-facts-about-owls/tagged/predators"/>
    <hyperlink ref="B736" r:id="rId735" display="https://www.bigbatbox.com/fr/blogs/habitat-of-bats/everything-you-need-to-know-about-bat-boxes-installation-features-placement-and-more"/>
    <hyperlink ref="B737" r:id="rId736" display="https://www.bigbatbox.com/en-ca/blogs/habitat-of-bats/tagged/bat-benefits"/>
    <hyperlink ref="B738" r:id="rId737" display="https://www.bigbatbox.com/en-ca/blogs/fun-facts-about-owls/tagged/wildlife-habitats"/>
    <hyperlink ref="B739" r:id="rId738" display="https://www.bigbatbox.com/de/blogs/habitat-of-bats/tagged/bat-facts"/>
    <hyperlink ref="B740" r:id="rId739" display="https://www.bigbatbox.com/it/blogs/types-of-squirrels/tagged/squirrel-nesting-box"/>
    <hyperlink ref="B741" r:id="rId740" display="https://www.bigbatbox.com/blogs/habitat-of-bats/tagged/bat-house-sun-exposure"/>
    <hyperlink ref="B742" r:id="rId741" display="https://www.bigbatbox.com/it/blogs/habitat-of-bats/tagged/avoid-pesticides"/>
    <hyperlink ref="B743" r:id="rId742" display="https://www.bigbatbox.com/de/blogs/bee-species/tagged/pollinator-habitat"/>
    <hyperlink ref="B744" r:id="rId743" display="https://www.bigbatbox.com/en-ca/blogs/types-of-squirrels/tagged/squirrel-nesting-box"/>
    <hyperlink ref="B745" r:id="rId744" display="https://www.bigbatbox.com/es/blogs/types-of-squirrels/tagged/wildlife-behavior"/>
    <hyperlink ref="B746" r:id="rId745" display="https://www.bigbatbox.com/en-ca/blogs/types-of-squirrels/tagged/backyard-habitat"/>
    <hyperlink ref="B747" r:id="rId746" display="https://www.bigbatbox.com/en-ca/blogs/habitat-of-bats/tagged/echolocation"/>
    <hyperlink ref="B748" r:id="rId747" display="https://www.bigbatbox.com/it/blogs/habitat-of-bats/tagged/mammal-facts"/>
    <hyperlink ref="B749" r:id="rId748" display="https://www.bigbatbox.com/es/blogs/habitat-of-bats?page=2"/>
    <hyperlink ref="B750" r:id="rId749" display="https://www.bigbatbox.com/blogs/backyard-birds/tagged/clinging-birds"/>
    <hyperlink ref="B751" r:id="rId750" display="https://www.bigbatbox.com/blogs/habitat-of-bats/tagged/endangered-bats"/>
    <hyperlink ref="B752" r:id="rId751" display="https://www.bigbatbox.com/fr/blogs/types-of-squirrels/tagged/habitat"/>
    <hyperlink ref="B753" r:id="rId752" display="https://www.bigbatbox.com/en-ca/blogs/habitat-of-bats/eco-friendly-bat-house-for-backyard-the-complete-guide"/>
    <hyperlink ref="B754" r:id="rId753" display="https://www.bigbatbox.com/fr/pages/contact"/>
    <hyperlink ref="B755" r:id="rId754" display="https://www.bigbatbox.com/es/blogs/types-of-squirrels/tagged/squirrel-box"/>
    <hyperlink ref="B756" r:id="rId755" display="https://www.bigbatbox.com/en-ca/blogs/habitat-of-bats/tagged/bat-ecology-at-home"/>
    <hyperlink ref="B757" r:id="rId756" display="https://www.bigbatbox.com/fr/blogs/bee-species/tagged/honey-making"/>
    <hyperlink ref="B758" r:id="rId757" display="https://www.bigbatbox.com/en-ca/pages/contact"/>
    <hyperlink ref="B759" r:id="rId758" display="https://www.bigbatbox.com/blogs/habitat-of-bats/tagged/wildyard-bat-house-guide"/>
    <hyperlink ref="B760" r:id="rId759" display="https://www.bigbatbox.com/en-ca/blogs/types-of-squirrels/tagged/squirrel-house-feeder"/>
    <hyperlink ref="B761" r:id="rId760" display="https://www.bigbatbox.com/en-ca/blogs/backyard-birds/tagged/starlings"/>
    <hyperlink ref="B762" r:id="rId761" display="https://www.bigbatbox.com/de/blogs/habitat-of-bats/tagged/bat-house-placement"/>
    <hyperlink ref="B763" r:id="rId762" display="https://www.bigbatbox.com/en-ca/blogs/types-of-squirrels/tagged/squirrel-food"/>
    <hyperlink ref="B764" r:id="rId763" display="https://www.bigbatbox.com/de/blogs/fun-facts-about-owls/tagged/wildlife-gardening"/>
    <hyperlink ref="B765" r:id="rId764" display="https://www.bigbatbox.com/blogs/habitat-of-bats/tagged/water-for-bats"/>
    <hyperlink ref="B766" r:id="rId765" display="https://www.bigbatbox.com/en-ca/blogs/bee-species/do-solitary-bees-sting"/>
    <hyperlink ref="B767" r:id="rId766" display="https://www.bigbatbox.com/fr/blogs/habitat-of-bats/best-bat-boxes-for-mosquito-control-simple-guide-real-example"/>
    <hyperlink ref="B768" r:id="rId767" display="https://www.bigbatbox.com/es/blogs/habitat-of-bats/tagged/microbats"/>
    <hyperlink ref="B769" r:id="rId768" display="https://www.bigbatbox.com/fr/blogs/habitat-of-bats/tagged/bat-box-installation"/>
    <hyperlink ref="B770" r:id="rId769" display="https://www.bigbatbox.com/es/blogs/types-of-squirrels/tagged/seasonal-guide"/>
    <hyperlink ref="B771" r:id="rId770" display="https://www.bigbatbox.com/de/blogs/habitat-of-bats/tagged/wildlife-conservation"/>
    <hyperlink ref="B772" r:id="rId771" display="https://www.bigbatbox.com/de/blogs/habitat-of-bats/tagged/bat-roosting-guide"/>
    <hyperlink ref="B773" r:id="rId772" display="https://www.bigbatbox.com/en-ca/blogs/habitat-of-bats/tagged/native-plants-for-bats"/>
    <hyperlink ref="B774" r:id="rId773" display="https://www.bigbatbox.com/blogs/habitat-of-bats/tagged/what-do-bats-eat"/>
    <hyperlink ref="B775" r:id="rId774" display="https://www.bigbatbox.com/en-ca/blogs/habitat-of-bats/14-fascinating-facts-about-bats"/>
    <hyperlink ref="B776" r:id="rId775" display="https://www.bigbatbox.com/blogs/fun-facts-about-owls/tagged/owl-attraction"/>
    <hyperlink ref="B777" r:id="rId776" display="https://www.bigbatbox.com/fr/blogs/habitat-of-bats/tagged/pollinator-friendly-yard"/>
    <hyperlink ref="B778" r:id="rId777" display="https://www.bigbatbox.com/fr/blogs/fun-facts-about-owls/tagged/owl-sounds"/>
    <hyperlink ref="B779" r:id="rId778" display="https://www.bigbatbox.com/en-ca/blogs/types-of-squirrels/tagged/squirrel-box"/>
    <hyperlink ref="B780" r:id="rId779" display="https://www.bigbatbox.com/it/blogs/habitat-of-bats/tagged/bat-food"/>
    <hyperlink ref="B781" r:id="rId780" display="https://www.bigbatbox.com/blogs/habitat-of-bats/tagged/bat-safety"/>
    <hyperlink ref="B782" r:id="rId781" display="https://www.bigbatbox.com/es/blogs/habitat-of-bats/tagged/bat-box-installation"/>
    <hyperlink ref="B783" r:id="rId782" display="https://www.bigbatbox.com/de/blogs/habitat-of-bats/tagged/cedar-bat-house"/>
    <hyperlink ref="B784" r:id="rId783" display="https://www.bigbatbox.com/fr/blogs/habitat-of-bats/tagged/where-to-mount-bat-house"/>
    <hyperlink ref="B785" r:id="rId784" display="https://www.bigbatbox.com/blogs/habitat-of-bats/tagged/safe-wildlife-practices"/>
    <hyperlink ref="B786" r:id="rId785" display="https://www.bigbatbox.com/it/blogs/fun-facts-about-owls/tagged/nocturnal-animals"/>
    <hyperlink ref="B787" r:id="rId786" display="https://www.bigbatbox.com/en-ca/blogs/habitat-of-bats/tagged/best-bat-houses-for-cold-states"/>
    <hyperlink ref="B788" r:id="rId787" display="https://www.bigbatbox.com/it/blogs/habitat-of-bats/tagged/wildlife"/>
    <hyperlink ref="B789" r:id="rId788" display="https://www.bigbatbox.com/en-ca/blogs/fun-facts-about-owls/tagged/snowy-owl"/>
    <hyperlink ref="B790" r:id="rId789" display="https://www.bigbatbox.com/fr/blogs/habitat-of-bats/tagged/bat-house-placement"/>
    <hyperlink ref="B791" r:id="rId790" display="https://www.bigbatbox.com/it/blogs/habitat-of-bats/tagged/wildlife-habitat"/>
    <hyperlink ref="B792" r:id="rId791" display="https://www.bigbatbox.com/fr/blogs/bee-species/tagged/bees-diet"/>
    <hyperlink ref="B793" r:id="rId792" display="https://www.bigbatbox.com/de/blogs/habitat-of-bats/tagged/cooler-climate-bat-habitat"/>
    <hyperlink ref="B794" r:id="rId793" display="https://www.bigbatbox.com/it/blogs/habitat-of-bats/tagged/bat-prevention"/>
    <hyperlink ref="B795" r:id="rId794" display="https://www.bigbatbox.com/it/blogs/habitat-of-bats/why-bats-are-the-best-mosquito-eaters"/>
    <hyperlink ref="B796" r:id="rId795" display="https://www.bigbatbox.com/fr/blogs/habitat-of-bats/where-to-put-a-bat-house-in-your-yard"/>
    <hyperlink ref="B797" r:id="rId796" display="https://www.bigbatbox.com/es/blogs/types-of-squirrels/do-squirrels-hibernate"/>
    <hyperlink ref="B798" r:id="rId797" display="https://www.bigbatbox.com/blogs/habitat-of-bats/tagged/wildlife-friendly-backyard"/>
    <hyperlink ref="B799" r:id="rId798" display="https://www.bigbatbox.com/fr/blogs/bee-species/tagged/bumblebees"/>
    <hyperlink ref="B800" r:id="rId799" display="https://www.bigbatbox.com/it/pages/collab"/>
    <hyperlink ref="B801" r:id="rId800" display="https://www.bigbatbox.com/en-ca/blogs/habitat-of-bats/tagged/safe-bat-habitat"/>
    <hyperlink ref="B802" r:id="rId801" display="https://www.bigbatbox.com/de/blogs/bee-species/tagged/bee-identification"/>
    <hyperlink ref="B803" r:id="rId802" display="https://www.bigbatbox.com/blogs/habitat-of-bats/tagged/multi-chamber-bat-house"/>
    <hyperlink ref="B804" r:id="rId803" display="https://www.bigbatbox.com/it/products/wildyard-digital-gift-card"/>
    <hyperlink ref="B805" r:id="rId804" display="https://www.bigbatbox.com/it/blogs/habitat-of-bats/tagged/bats-as-pollinators"/>
    <hyperlink ref="B806" r:id="rId805" display="https://www.bigbatbox.com/blogs/habitat-of-bats/tagged/insect-control"/>
    <hyperlink ref="B807" r:id="rId806" display="https://www.bigbatbox.com/en-ca/blogs/habitat-of-bats/big-bat-box-comparison"/>
    <hyperlink ref="B808" r:id="rId807" display="https://www.bigbatbox.com/blogs/fun-facts-about-owls/tagged/squirrels"/>
    <hyperlink ref="B809" r:id="rId808" display="https://www.bigbatbox.com/en-ca/blogs/fun-facts-about-owls/tagged/nocturnal-animals"/>
    <hyperlink ref="B810" r:id="rId809" display="https://www.bigbatbox.com/fr/blogs/habitat-of-bats/tagged/mounting-bat-houses"/>
    <hyperlink ref="B811" r:id="rId810" display="https://www.bigbatbox.com/en-ca/blogs/fun-facts-about-owls/tagged/bird-habitats"/>
    <hyperlink ref="B812" r:id="rId811" display="https://www.bigbatbox.com/de/blogs/types-of-squirrels/tagged/habitat"/>
    <hyperlink ref="B813" r:id="rId812" display="https://www.bigbatbox.com/es/blogs/backyard-birds/tagged/summer-feeding"/>
    <hyperlink ref="B814" r:id="rId813" display="https://www.bigbatbox.com/fr/blogs/habitat-of-bats/tagged/guano"/>
    <hyperlink ref="B815" r:id="rId814" display="https://www.bigbatbox.com/es/blogs/fun-facts-about-owls/tagged/wildlife-gardening"/>
    <hyperlink ref="B816" r:id="rId815" display="https://www.bigbatbox.com/es/blogs/fun-facts-about-owls/tagged/bird-habitats"/>
    <hyperlink ref="B817" r:id="rId816" display="https://www.bigbatbox.com/it/blogs/bee-species/tagged/bee-facts"/>
    <hyperlink ref="B818" r:id="rId817" display="https://www.bigbatbox.com/fr/blogs/types-of-squirrels/tagged/wildlife-habitat"/>
    <hyperlink ref="B819" r:id="rId818" display="https://www.bigbatbox.com/fr/blogs/backyard-birds/can-you-feed-suet-in-summer"/>
    <hyperlink ref="B820" r:id="rId819" display="https://www.bigbatbox.com/it/blogs/fun-facts-about-owls?page=2"/>
    <hyperlink ref="B821" r:id="rId820" display="https://www.bigbatbox.com/fr/blogs/habitat-of-bats/tagged/cold-climate-bat-box"/>
    <hyperlink ref="B822" r:id="rId821" display="https://www.bigbatbox.com/it/blogs/bee-species/fun-facts-about-bees"/>
    <hyperlink ref="B823" r:id="rId822" display="https://www.bigbatbox.com/it/blogs/types-of-squirrels/tagged/squirrel-feeder"/>
    <hyperlink ref="B824" r:id="rId823" display="https://www.bigbatbox.com/fr/blogs/habitat-of-bats/tagged/bats-as-pollinators"/>
    <hyperlink ref="B825" r:id="rId824" display="https://www.bigbatbox.com/es/blogs/habitat-of-bats/tagged/bigbatbox"/>
    <hyperlink ref="B826" r:id="rId825" display="https://www.bigbatbox.com/en-ca/blogs/fun-facts-about-owls/tagged/barn-owl"/>
    <hyperlink ref="B827" r:id="rId826" display="https://www.bigbatbox.com/fr/blogs/conservation-partners/tagged/partnership"/>
    <hyperlink ref="B828" r:id="rId827" display="https://www.bigbatbox.com/fr/blogs/habitat-of-bats/tagged/dark-bat-houses"/>
    <hyperlink ref="B829" r:id="rId828" display="https://www.bigbatbox.com/es/blogs/types-of-squirrels/tagged/backyard-wildlife"/>
    <hyperlink ref="B830" r:id="rId829" display="https://www.bigbatbox.com/fr/blogs/backyard-birds/keep-squirrels-starlings-off-suet-feeder"/>
    <hyperlink ref="B831" r:id="rId830" display="https://www.bigbatbox.com/fr/blogs/types-of-squirrels/tagged/squirrel-feeder"/>
    <hyperlink ref="B832" r:id="rId831" display="https://www.bigbatbox.com/en-ca/blogs/types-of-squirrels/tagged/wildyard"/>
    <hyperlink ref="B833" r:id="rId832" display="https://www.bigbatbox.com/de/blogs/habitat-of-bats/tagged/mounting-bat-houses"/>
    <hyperlink ref="B834" r:id="rId833" display="https://www.bigbatbox.com/blogs/habitat-of-bats/tagged/wildlife-bat-box-guide"/>
    <hyperlink ref="B835" r:id="rId834" display="https://www.bigbatbox.com/de/blogs/habitat-of-bats/tagged/avoid-pesticides"/>
    <hyperlink ref="B836" r:id="rId835" display="https://www.bigbatbox.com/es/blogs/conservation-partners/tagged/birds"/>
    <hyperlink ref="B837" r:id="rId836" display="https://www.bigbatbox.com/de/blogs/habitat-of-bats/tagged/bat-ecology-at-home"/>
    <hyperlink ref="B838" r:id="rId837" display="https://www.bigbatbox.com/en-ca/blogs/habitat-of-bats/how-to-attract-bats-your-go-to-guide"/>
    <hyperlink ref="B839" r:id="rId838" display="https://www.bigbatbox.com/en-ca/blogs/bee-species/tagged/bee-house"/>
    <hyperlink ref="B840" r:id="rId839" display="https://www.bigbatbox.com/de/blogs/habitat-of-bats/tagged/what-do-bats-eat"/>
    <hyperlink ref="B841" r:id="rId840" display="https://www.bigbatbox.com/blogs/habitat-of-bats/tagged/help-bats-at-home"/>
    <hyperlink ref="B842" r:id="rId841" display="https://www.bigbatbox.com/de/blogs/habitat-of-bats?page=3"/>
    <hyperlink ref="B843" r:id="rId842" display="https://www.bigbatbox.com/es/blogs/fun-facts-about-owls/tagged/predators"/>
    <hyperlink ref="B844" r:id="rId843" display="https://www.bigbatbox.com/es/blogs/habitat-of-bats/tagged/tall-bat-house-design"/>
    <hyperlink ref="B845" r:id="rId844" display="https://www.bigbatbox.com/es/blogs/habitat-of-bats/tagged/building-and-installing-bat-boxes"/>
    <hyperlink ref="B846" r:id="rId845" display="https://www.bigbatbox.com/en-ca/blogs/habitat-of-bats/tagged/bat-house-warmth-retention"/>
    <hyperlink ref="B847" r:id="rId846" display="https://www.bigbatbox.com/fr/blogs/wildyard-learn/tagged/wildlife-garden"/>
    <hyperlink ref="B848" r:id="rId847" display="https://www.bigbatbox.com/de/blogs/fun-facts-about-owls/tagged/owl-nesting-box"/>
    <hyperlink ref="B849" r:id="rId848" display="https://www.bigbatbox.com/es/blogs/habitat-of-bats/tagged/bat-in-the-house-in-winter"/>
    <hyperlink ref="B850" r:id="rId849" display="https://www.bigbatbox.com/it/blogs/types-of-squirrels/tagged/squirrel-care"/>
    <hyperlink ref="B851" r:id="rId850" display="https://www.bigbatbox.com/fr/blogs/backyard-birds/tagged/backyard-birds"/>
    <hyperlink ref="B852" r:id="rId851" display="https://www.bigbatbox.com/de/blogs/types-of-squirrels/tagged/squirrel-nesting-box"/>
    <hyperlink ref="B853" r:id="rId852" display="https://www.bigbatbox.com/it/blogs/habitat-of-bats/tagged/mounting-bat-houses"/>
    <hyperlink ref="B854" r:id="rId853" display="https://www.bigbatbox.com/it/blogs/backyard-birds/tagged/clinging-birds"/>
    <hyperlink ref="B855" r:id="rId854" display="https://www.bigbatbox.com/es/blogs/habitat-of-bats/tagged/bat-house"/>
    <hyperlink ref="B856" r:id="rId855" display="https://www.bigbatbox.com/en-ca/blogs/habitat-of-bats/tagged/black-cedar-bat-house"/>
    <hyperlink ref="B857" r:id="rId856" display="https://www.bigbatbox.com/es/blogs/backyard-birds/tagged/starlings"/>
    <hyperlink ref="B858" r:id="rId857" display="https://www.bigbatbox.com/de/blogs/habitat-of-bats/tagged/bat-houses"/>
    <hyperlink ref="B859" r:id="rId858" display="https://www.bigbatbox.com/es/blogs/habitat-of-bats/tagged/bat-house-tips"/>
    <hyperlink ref="B860" r:id="rId859" display="https://www.bigbatbox.com/it/blogs/bee-species/tagged/bees"/>
    <hyperlink ref="B861" r:id="rId860" display="https://www.bigbatbox.com/it/blogs/bee-species/mason-bees-vs-leafcutter-bees"/>
    <hyperlink ref="B862" r:id="rId861" display="https://www.bigbatbox.com/de/blogs/fun-facts-about-owls/tagged/owl-behavior"/>
    <hyperlink ref="B863" r:id="rId862" display="https://www.bigbatbox.com/de/blogs/habitat-of-bats/tagged/south-facing-bat-house"/>
    <hyperlink ref="B864" r:id="rId863" display="https://www.bigbatbox.com/blogs/habitat-of-bats/tagged/bat-house-installation"/>
    <hyperlink ref="B865" r:id="rId864" display="https://www.bigbatbox.com/blogs/fun-facts-about-owls/tagged/owl-boxes"/>
    <hyperlink ref="B866" r:id="rId865" display="https://www.bigbatbox.com/fr/blogs/habitat-of-bats/tagged/dark-bat-house-benefits"/>
    <hyperlink ref="B867" r:id="rId866" display="https://www.bigbatbox.com/fr/blogs/habitat-of-bats/tagged/safe-bat-habitat"/>
    <hyperlink ref="B868" r:id="rId867" display="https://www.bigbatbox.com/fr/blogs/bee-species/tagged/pollinator-nutrition"/>
    <hyperlink ref="B869" r:id="rId868" display="https://www.bigbatbox.com/en-ca/blogs/habitat-of-bats/tagged/wildyard-bat-house-guide"/>
    <hyperlink ref="B870" r:id="rId869" display="https://www.bigbatbox.com/blogs/bee-species/tagged/nature-s-architects"/>
    <hyperlink ref="B871" r:id="rId870" display="https://www.bigbatbox.com/de/blogs/habitat-of-bats/tagged/winter-bat-house-tips"/>
    <hyperlink ref="B872" r:id="rId871" display="https://www.bigbatbox.com/es/blogs/habitat-of-bats/tagged/natural-pest-control"/>
    <hyperlink ref="B873" r:id="rId872" display="https://www.bigbatbox.com/fr/blogs/habitat-of-bats/tagged/bat-house-wall-mount"/>
    <hyperlink ref="B874" r:id="rId873" display="https://www.bigbatbox.com/fr/blogs/habitat-of-bats/tagged/black-cedar-bat-house"/>
    <hyperlink ref="B875" r:id="rId874" display="https://www.bigbatbox.com/de/blogs/fun-facts-about-owls/tagged/owl-hooting"/>
    <hyperlink ref="B876" r:id="rId875" display="https://www.bigbatbox.com/it/blogs/types-of-squirrels/tagged/squirrel-habitat"/>
    <hyperlink ref="B877" r:id="rId876" display="https://www.bigbatbox.com/it/blogs/habitat-of-bats/bat-conservation-tips-for-homeowners-simple-ways-to-help-bats-at-home"/>
    <hyperlink ref="B878" r:id="rId877" display="https://www.bigbatbox.com/fr/blogs/habitat-of-bats/tagged/bat-house-direction"/>
    <hyperlink ref="B879" r:id="rId878" display="https://www.bigbatbox.com/de/blogs/habitat-of-bats/tagged/safe-wildlife-practices"/>
    <hyperlink ref="B880" r:id="rId879" display="https://www.bigbatbox.com/fr/blogs/habitat-of-bats/tagged/winter-bat-house-tips"/>
    <hyperlink ref="B881" r:id="rId880" display="https://www.bigbatbox.com/fr/blogs/habitat-of-bats/tagged/bat-house-for-cold-climates"/>
    <hyperlink ref="B882" r:id="rId881" display="https://www.bigbatbox.com/it/products/bat-house-single-chamber-black"/>
    <hyperlink ref="B883" r:id="rId882" display="https://www.bigbatbox.com/fr/blogs/habitat-of-bats/tagged/bat-house-sun-exposure"/>
    <hyperlink ref="B884" r:id="rId883" display="https://www.bigbatbox.com/es/blogs/bee-species/tagged/pollinator-habitat"/>
    <hyperlink ref="B885" r:id="rId884" display="https://www.bigbatbox.com/it/blogs/bee-species/tagged/leafcutter-bees"/>
    <hyperlink ref="B886" r:id="rId885" display="https://www.bigbatbox.com/it/blogs/bee-species/tagged/wildlife"/>
    <hyperlink ref="B887" r:id="rId886" display="https://www.bigbatbox.com/it/blogs/conservation-partners/tagged/1-for-the-planet"/>
    <hyperlink ref="B888" r:id="rId887" display="https://www.bigbatbox.com/es/blogs/habitat-of-bats/tagged/dark-bat-houses"/>
    <hyperlink ref="B889" r:id="rId888" display="https://www.bigbatbox.com/fr/blogs/habitat-of-bats?page=4"/>
    <hyperlink ref="B890" r:id="rId889" display="https://www.bigbatbox.com/it/blogs/types-of-squirrels/tagged/squirrel-food"/>
    <hyperlink ref="B891" r:id="rId890" display="https://www.bigbatbox.com/de/blogs/habitat-of-bats/tagged/humane-bat-removal"/>
    <hyperlink ref="B892" r:id="rId891" display="https://www.bigbatbox.com/it/blogs/habitat-of-bats/everything-you-need-to-know-about-bat-boxes-installation-features-placement-and-more"/>
    <hyperlink ref="B893" r:id="rId892" display="https://www.bigbatbox.com/es/blogs/habitat-of-bats/tagged/bat-friendly-backyard"/>
    <hyperlink ref="B894" r:id="rId893" display="https://www.bigbatbox.com/it/blogs/habitat-of-bats/tagged/eco-friendly-bat-house"/>
    <hyperlink ref="B895" r:id="rId894" display="https://www.bigbatbox.com/de/blogs/bee-species/tagged/wildlife"/>
    <hyperlink ref="B896" r:id="rId895" display="https://www.bigbatbox.com/it/blogs/habitat-of-bats/why-a-black-bat-house-is-perfect-for-cooler-climates"/>
    <hyperlink ref="B897" r:id="rId896" display="https://www.bigbatbox.com/de/blogs/habitat-of-bats/tagged/natural-mosquito-control"/>
    <hyperlink ref="B898" r:id="rId897" display="https://www.bigbatbox.com/es/blogs/habitat-of-bats/tagged/eco-friendly-bat-house"/>
    <hyperlink ref="B899" r:id="rId898" display="https://www.bigbatbox.com/it/blogs/habitat-of-bats/tagged/insect-control-naturally"/>
    <hyperlink ref="B900" r:id="rId899" display="https://www.bigbatbox.com/en-ca/blogs/habitat-of-bats/tagged/northern-state-bat-box"/>
    <hyperlink ref="B901" r:id="rId900" display="https://www.bigbatbox.com/it/blogs/habitat-of-bats/tagged/sustainable-gardens"/>
    <hyperlink ref="B902" r:id="rId901" display="https://www.bigbatbox.com/de/blogs/habitat-of-bats/tagged/garden-insect-control"/>
    <hyperlink ref="B903" r:id="rId902" display="https://www.bigbatbox.com/es/blogs/habitat-of-bats/tagged/what-do-bats-eat"/>
    <hyperlink ref="B904" r:id="rId903" display="https://www.bigbatbox.com/de/blogs/habitat-of-bats/tagged/backyard-conservation"/>
    <hyperlink ref="B905" r:id="rId904" display="https://www.bigbatbox.com/en-ca/blogs/habitat-of-bats/tagged/backyard-eco-tips"/>
    <hyperlink ref="B906" r:id="rId905" display="https://www.bigbatbox.com/es/blogs/backyard-birds/tagged/bird-feeding"/>
    <hyperlink ref="B907" r:id="rId906" display="https://www.bigbatbox.com/fr/blogs/types-of-squirrels/tagged/squirrel-box"/>
    <hyperlink ref="B908" r:id="rId907" display="https://www.bigbatbox.com/es/blogs/bee-species/tagged/bee-facts"/>
    <hyperlink ref="B909" r:id="rId908" display="https://www.bigbatbox.com/de/collections"/>
    <hyperlink ref="B910" r:id="rId909" display="https://www.bigbatbox.com/en-ca/blogs/bee-species/tagged/bee-identification"/>
    <hyperlink ref="B911" r:id="rId910" display="https://www.bigbatbox.com/en-ca/blogs/habitat-of-bats/bat-conservation-tips-for-homeowners-simple-ways-to-help-bats-at-home"/>
    <hyperlink ref="B912" r:id="rId911" display="https://www.bigbatbox.com/it/blogs/habitat-of-bats/tagged/mosquito-controlbackyard-wildlife"/>
    <hyperlink ref="B913" r:id="rId912" display="https://www.bigbatbox.com/it/blogs/habitat-of-bats/tagged/attract-bats-to-yard"/>
    <hyperlink ref="B914" r:id="rId913" display="https://www.bigbatbox.com/es/blogs/habitat-of-bats/tagged/bat-house-distance-from-trees"/>
    <hyperlink ref="B915" r:id="rId914" display="https://www.bigbatbox.com/blogs/habitat-of-bats/tagged/eco-friendly"/>
    <hyperlink ref="B916" r:id="rId915" display="https://www.bigbatbox.com/blogs/habitat-of-bats/tagged/best-bat-house-placement"/>
    <hyperlink ref="B917" r:id="rId916" display="https://www.bigbatbox.com/fr/pages/cedar-squirrel-house"/>
    <hyperlink ref="B918" r:id="rId917" display="https://www.bigbatbox.com/de/blogs/types-of-squirrels/tagged/backyard-habitat"/>
    <hyperlink ref="B919" r:id="rId918" display="https://www.bigbatbox.com/fr/blogs/fun-facts-about-owls/what-do-owls-eat"/>
    <hyperlink ref="B920" r:id="rId919" display="https://www.bigbatbox.com/en-ca/blogs/habitat-of-bats/tagged/wildlife-bat-box-guide"/>
    <hyperlink ref="B921" r:id="rId920" display="https://www.bigbatbox.com/blogs/habitat-of-bats/tagged/bat-house"/>
    <hyperlink ref="B922" r:id="rId921" display="https://www.bigbatbox.com/blogs/bee-species/tagged/pollinator-habitat"/>
    <hyperlink ref="B923" r:id="rId922" display="https://www.bigbatbox.com/de/blogs/habitat-of-bats/tagged/best-bat-boxes-for-mosquito-control"/>
    <hyperlink ref="B924" r:id="rId923" display="https://www.bigbatbox.com/blogs/backyard-birds/tagged/starlings"/>
    <hyperlink ref="B925" r:id="rId924" display="https://www.bigbatbox.com/de/blogs/habitat-of-bats/tagged/best-bat-house-placement"/>
    <hyperlink ref="B926" r:id="rId925" display="https://www.bigbatbox.com/de/blogs/fun-facts-about-owls/tagged/owls"/>
    <hyperlink ref="B927" r:id="rId926" display="https://www.bigbatbox.com/en-ca/blogs/bee-species/tagged/backyard-wildlife"/>
    <hyperlink ref="B928" r:id="rId927" display="https://www.bigbatbox.com/en-ca/blogs/habitat-of-bats/tagged/bat-houses"/>
    <hyperlink ref="B929" r:id="rId928" display="https://www.bigbatbox.com/it/blogs/habitat-of-bats/tagged/bats-near-home"/>
    <hyperlink ref="B930" r:id="rId929" display="https://www.bigbatbox.com/fr/blogs/types-of-squirrels/tagged/winter-wildlife"/>
    <hyperlink ref="B931" r:id="rId930" display="https://www.bigbatbox.com/it/blogs/types-of-squirrels/do-squirrels-hibernate"/>
    <hyperlink ref="B932" r:id="rId931" display="https://www.bigbatbox.com/de/blogs/types-of-squirrels/tagged/nocturnal-animals"/>
    <hyperlink ref="B933" r:id="rId932" display="https://www.bigbatbox.com/de/blogs/fun-facts-about-owls?page=2"/>
    <hyperlink ref="B934" r:id="rId933" display="https://www.bigbatbox.com/it/blogs/habitat-of-bats/tagged/are-bats-dangerous"/>
    <hyperlink ref="B935" r:id="rId934" display="https://www.bigbatbox.com/it/blogs/habitat-of-bats/tagged/ecosystem-guardians"/>
    <hyperlink ref="B936" r:id="rId935" display="https://www.bigbatbox.com/en-ca/blogs/fun-facts-about-owls/how-long-do-owls-live"/>
    <hyperlink ref="B937" r:id="rId936" display="https://www.bigbatbox.com/fr/blogs/habitat-of-bats/why-you-need-a-bat-house-your-go-to-guide"/>
    <hyperlink ref="B938" r:id="rId937" display="https://www.bigbatbox.com/it/blogs/habitat-of-bats/tagged/what-do-bats-eat"/>
    <hyperlink ref="B939" r:id="rId938" display="https://www.bigbatbox.com/fr/blogs/habitat-of-bats/tagged/water-for-bats"/>
    <hyperlink ref="B940" r:id="rId939" display="https://www.bigbatbox.com/it/blogs/fun-facts-about-owls/tagged/owl-boxes"/>
    <hyperlink ref="B941" r:id="rId940" display="https://www.bigbatbox.com/es/blogs/habitat-of-bats/tagged/bat-houses"/>
    <hyperlink ref="B942" r:id="rId941" display="https://www.bigbatbox.com/fr/blogs/habitat-of-bats/tagged/multi-chamber-bat-house"/>
    <hyperlink ref="B943" r:id="rId942" display="https://www.bigbatbox.com/de/blogs/habitat-of-bats/tagged/wildlife-friendly-backyard"/>
    <hyperlink ref="B944" r:id="rId943" display="https://www.bigbatbox.com/en-ca/blogs/habitat-of-bats/tagged/bat-house-chambers"/>
    <hyperlink ref="B945" r:id="rId944" display="https://www.bigbatbox.com/es/blogs/types-of-squirrels/tagged/wildlife-feeding"/>
    <hyperlink ref="B946" r:id="rId945" display="https://www.bigbatbox.com/blogs/habitat-of-bats/tagged/bat-roost-guide"/>
    <hyperlink ref="B947" r:id="rId946" display="https://www.bigbatbox.com/fr/blogs/bee-species/tagged/bee-identification"/>
    <hyperlink ref="B948" r:id="rId947" display="https://www.bigbatbox.com/blogs/habitat-of-bats/tagged/bat-housebat-conservation"/>
    <hyperlink ref="B949" r:id="rId948" display="https://www.bigbatbox.com/fr/blogs/habitat-of-bats/tagged/natural-mosquito-control"/>
    <hyperlink ref="B950" r:id="rId949" display="https://www.bigbatbox.com/fr/blogs/fun-facts-about-owls/tagged/nocturnal-animals"/>
    <hyperlink ref="B951" r:id="rId950" display="https://www.bigbatbox.com/fr/blogs/conservation-partners/wildyard-bird-conservancy-of-the-rockies-partnership"/>
    <hyperlink ref="B952" r:id="rId951" display="https://www.bigbatbox.com/de/blogs/bee-species/tagged/honey-production"/>
    <hyperlink ref="B953" r:id="rId952" display="https://www.bigbatbox.com/en-ca/blogs/habitat-of-bats/tagged/bat-house-placement-guide"/>
    <hyperlink ref="B954" r:id="rId953" display="https://www.bigbatbox.com/it/blogs/fun-facts-about-owls/tagged/owl-behavior"/>
    <hyperlink ref="B955" r:id="rId954" display="https://www.bigbatbox.com/it/blogs/types-of-squirrels/how-to-attract-squirrels-to-your-backyard"/>
    <hyperlink ref="B956" r:id="rId955" display="https://www.bigbatbox.com/it/blogs/backyard-birds/tagged/summer-feeding"/>
    <hyperlink ref="B957" r:id="rId956" display="https://www.bigbatbox.com/it/blogs/fun-facts-about-owls/why-do-owls-hoot-at-night"/>
    <hyperlink ref="B958" r:id="rId957" display="https://www.bigbatbox.com/es/blogs/fun-facts-about-owls/tagged/owl-behavior"/>
    <hyperlink ref="B959" r:id="rId958" display="https://www.bigbatbox.com/es/blogs/habitat-of-bats/tagged/bat-house-placement-guide"/>
    <hyperlink ref="B960" r:id="rId959" display="https://www.bigbatbox.com/de/blogs/habitat-of-bats?page=4"/>
    <hyperlink ref="B961" r:id="rId960" display="https://www.bigbatbox.com/es/blogs/fun-facts-about-owls/tagged/barn-owl"/>
    <hyperlink ref="B962" r:id="rId961" display="https://www.bigbatbox.com/es/blogs/wildyard-learn/tagged/bees-and-bats"/>
    <hyperlink ref="B963" r:id="rId962" display="https://www.bigbatbox.com/de/blogs/habitat-of-bats/tagged/yard-wildlife-guide"/>
    <hyperlink ref="B964" r:id="rId963" display="https://www.bigbatbox.com/it/blogs/habitat-of-bats/tagged/cooler-climate-bat-habitat"/>
    <hyperlink ref="B965" r:id="rId964" display="https://www.bigbatbox.com/es/blogs/habitat-of-bats/tagged/bat-food"/>
    <hyperlink ref="B966" r:id="rId965" display="https://www.bigbatbox.com/blogs/bee-species/tagged/bumblebees"/>
    <hyperlink ref="B967" r:id="rId966" display="https://www.bigbatbox.com/fr/blogs/types-of-squirrels/tagged/wildlife-feeding"/>
    <hyperlink ref="B968" r:id="rId967" display="https://www.bigbatbox.com/es/blogs/habitat-of-bats/tagged/bats-as-pollinators"/>
    <hyperlink ref="B969" r:id="rId968" display="https://www.bigbatbox.com/en-ca/blogs/habitat-of-bats/tagged/how-to-attract-bats"/>
    <hyperlink ref="B970" r:id="rId969" display="https://www.bigbatbox.com/fr/blogs/fun-facts-about-owls?page=2"/>
    <hyperlink ref="B971" r:id="rId970" display="https://www.bigbatbox.com/fr/blogs/habitat-of-bats/tagged/mosquito-control"/>
    <hyperlink ref="B972" r:id="rId971" display="https://www.bigbatbox.com/fr/blogs/fun-facts-about-owls/tagged/squirrels"/>
    <hyperlink ref="B973" r:id="rId972" display="https://www.bigbatbox.com/es/blogs/conservation-partners/wildyard-bird-conservancy-of-the-rockies-partnership"/>
    <hyperlink ref="B974" r:id="rId973" display="https://www.bigbatbox.com/fr/blogs/backyard-birds/tagged/woodpeckers"/>
    <hyperlink ref="B975" r:id="rId974" display="https://www.bigbatbox.com/es/blogs/fun-facts-about-owls/are-owls-dangerous"/>
    <hyperlink ref="B976" r:id="rId975" display="https://www.bigbatbox.com/fr/blogs/fun-facts-about-owls/tagged/owl-hooting"/>
    <hyperlink ref="B977" r:id="rId976" display="https://www.bigbatbox.com/de/blogs/fun-facts-about-owls/tagged/owl-attraction"/>
    <hyperlink ref="B978" r:id="rId977" display="https://www.bigbatbox.com/it/blogs/wildyard-news/introducing-the-wildyard-x-angry-birds%E2%84%A2-collection-turn-your-garden-into-a-wildlife-habitat"/>
    <hyperlink ref="B979" r:id="rId978" display="https://www.bigbatbox.com/en-ca/blogs/fun-facts-about-owls/tagged/conservation"/>
    <hyperlink ref="B980" r:id="rId979" display="https://www.bigbatbox.com/it/blogs/types-of-squirrels/tagged/species-facts"/>
    <hyperlink ref="B981" r:id="rId980" display="https://www.bigbatbox.com/en-ca/blogs/habitat-of-bats/tagged/painted-cedar-bat-house"/>
    <hyperlink ref="B982" r:id="rId981" display="https://www.bigbatbox.com/fr/blogs/fun-facts-about-owls/tagged/barn-owl"/>
    <hyperlink ref="B983" r:id="rId982" display="https://www.bigbatbox.com/fr/blogs/habitat-of-bats/tagged/vampire-bats"/>
    <hyperlink ref="B984" r:id="rId983" display="https://www.bigbatbox.com/de/blogs/fun-facts-about-owls/tagged/backyard-wildlife"/>
    <hyperlink ref="B985" r:id="rId984" display="https://www.bigbatbox.com/fr/blogs/types-of-squirrels/tagged/wildlife-lifespan"/>
    <hyperlink ref="B986" r:id="rId985" display="https://www.bigbatbox.com/blogs/types-of-squirrels/tagged/wildlife-lifespan"/>
    <hyperlink ref="B987" r:id="rId986" display="https://www.bigbatbox.com/blogs/habitat-of-bats/tagged/mosquito-control"/>
    <hyperlink ref="B988" r:id="rId987" display="https://www.bigbatbox.com/de/blogs/types-of-squirrels/tagged/squirrels"/>
    <hyperlink ref="B989" r:id="rId988" display="https://www.bigbatbox.com/en-ca/blogs/bee-species/tagged/bee-food-sources"/>
    <hyperlink ref="B990" r:id="rId989" display="https://www.bigbatbox.com/es/blogs/habitat-of-bats/tagged/natural-mosquito-control"/>
    <hyperlink ref="B991" r:id="rId990" display="https://www.bigbatbox.com/de/blogs/habitat-of-bats/tagged/coexist-with-bats"/>
    <hyperlink ref="B992" r:id="rId991" display="https://www.bigbatbox.com/it/blogs/bee-species/tagged/pollination"/>
    <hyperlink ref="B993" r:id="rId992" display="https://www.bigbatbox.com/en-ca/blogs/habitat-of-bats/tagged/best-bat-house-setup"/>
    <hyperlink ref="B994" r:id="rId993" display="https://www.bigbatbox.com/en-ca/blogs/fun-facts-about-owls/tagged/owl-sounds"/>
    <hyperlink ref="B995" r:id="rId994" display="https://www.bigbatbox.com/en-ca/blogs/habitat-of-bats/tagged/bats-near-home"/>
    <hyperlink ref="B996" r:id="rId995" display="https://www.bigbatbox.com/en-ca/blogs/habitat-of-bats/tagged/backyard-wildlife"/>
    <hyperlink ref="B997" r:id="rId996" display="https://www.bigbatbox.com/es/blogs/habitat-of-bats/tagged/bat-facts"/>
    <hyperlink ref="B998" r:id="rId997" display="https://www.bigbatbox.com/blogs/habitat-of-bats/tagged/vampire-bats"/>
    <hyperlink ref="B999" r:id="rId998" display="https://www.bigbatbox.com/de/blogs/habitat-of-bats/tagged/bat-conservation-tips"/>
    <hyperlink ref="B1000" r:id="rId999" display="https://www.bigbatbox.com/de/blogs/wildyard-learn/tagged/pollination"/>
    <hyperlink ref="B1001" r:id="rId1000" display="https://www.bigbatbox.com/de/blogs/backyard-birds/tagged/backyard-birds"/>
    <hyperlink ref="B1002" r:id="rId1001" display="https://www.bigbatbox.com/blogs/backyard-birds/tagged/suet-feeder"/>
    <hyperlink ref="B1003" r:id="rId1002" display="https://www.bigbatbox.com/en-ca/blogs/bee-species/tagged/bumblebees"/>
    <hyperlink ref="B1004" r:id="rId1003" display="https://www.bigbatbox.com/fr/collections/bat-barn-junior"/>
    <hyperlink ref="B1005" r:id="rId1004" display="https://www.bigbatbox.com/it/blogs/habitat-of-bats/do-bats-eat-mosquitoes-everything-you-need-to-know"/>
    <hyperlink ref="B1006" r:id="rId1005" display="https://www.bigbatbox.com/es/blogs/backyard-birds/tagged/hot-pepper-suet"/>
    <hyperlink ref="B1007" r:id="rId1006" display="https://www.bigbatbox.com/de/blogs/types-of-squirrels/tagged/wildlife-behavior"/>
    <hyperlink ref="B1008" r:id="rId1007" display="https://www.bigbatbox.com/es/blogs/habitat-of-bats/tagged/mammal-facts"/>
    <hyperlink ref="B1009" r:id="rId1008" display="https://www.bigbatbox.com/es/blogs/habitat-of-bats/tagged/safe-bat-habitat"/>
    <hyperlink ref="B1010" r:id="rId1009" display="https://www.bigbatbox.com/en-ca/blogs/wildyard-news/introducing-the-wildyard-x-angry-birds%E2%84%A2-collection-turn-your-garden-into-a-wildlife-habitat"/>
    <hyperlink ref="B1011" r:id="rId1010" display="https://www.bigbatbox.com/it/blogs/habitat-of-bats/tagged/bat-safety"/>
    <hyperlink ref="B1012" r:id="rId1011" display="https://www.bigbatbox.com/it/blogs/habitat-of-bats?page=2"/>
    <hyperlink ref="B1013" r:id="rId1012" display="https://www.bigbatbox.com/blogs/fun-facts-about-owls/tagged/wildlife-gardening"/>
    <hyperlink ref="B1014" r:id="rId1013" display="https://www.bigbatbox.com/en-ca/blogs/backyard-birds/tagged/seasonal-feeding"/>
    <hyperlink ref="B1015" r:id="rId1014" display="https://www.bigbatbox.com/it/blogs/wildyard-learn/tagged/wildlife-garden"/>
    <hyperlink ref="B1016" r:id="rId1015" display="https://www.bigbatbox.com/en-ca/blogs/habitat-of-bats/tagged/bat-house-advice"/>
    <hyperlink ref="B1017" r:id="rId1016" display="https://www.bigbatbox.com/it/blogs/habitat-of-bats/tagged/bat-in-the-house-in-winter"/>
    <hyperlink ref="B1018" r:id="rId1017" display="https://www.bigbatbox.com/fr/pages/about"/>
    <hyperlink ref="B1019" r:id="rId1018" display="https://www.bigbatbox.com/es/blogs/habitat-of-bats/tagged/2026-trends"/>
    <hyperlink ref="B1020" r:id="rId1019" display="https://www.bigbatbox.com/en-ca/blogs/types-of-squirrels/tagged/wildlife-guide"/>
    <hyperlink ref="B1021" r:id="rId1020" display="https://www.bigbatbox.com/fr/blogs/habitat-of-bats/tagged/best-bat-houses"/>
    <hyperlink ref="B1022" r:id="rId1021" display="https://www.bigbatbox.com/blogs/habitat-of-bats/tagged/best-bat-house-setup"/>
    <hyperlink ref="B1023" r:id="rId1022" display="https://www.bigbatbox.com/it/blogs/conservation-partners"/>
    <hyperlink ref="B1024" r:id="rId1023" display="https://www.bigbatbox.com/en-ca/blogs/backyard-birds/tagged/bird-feeding"/>
    <hyperlink ref="B1025" r:id="rId1024" display="https://www.bigbatbox.com/blogs/fun-facts-about-owls/tagged/wildlife-habitats"/>
    <hyperlink ref="B1026" r:id="rId1025" display="https://www.bigbatbox.com/blogs/habitat-of-bats/tagged/dark-bat-houses"/>
    <hyperlink ref="B1027" r:id="rId1026" display="https://www.bigbatbox.com/blogs/habitat-of-bats/tagged/bat-house-height"/>
    <hyperlink ref="B1028" r:id="rId1027" display="https://www.bigbatbox.com/de/blogs/habitat-of-bats/tagged/building-and-installing-bat-boxes"/>
    <hyperlink ref="B1029" r:id="rId1028" display="https://www.bigbatbox.com/blogs/bee-species/tagged/pollinator-nutrition"/>
    <hyperlink ref="B1030" r:id="rId1029" display="https://www.bigbatbox.com/it/blogs/habitat-of-bats/9-fantastic-bat-facts-you-need-to-know"/>
    <hyperlink ref="B1031" r:id="rId1030" display="https://www.bigbatbox.com/fr/blogs/backyard-birds/tagged/starlings"/>
    <hyperlink ref="B1032" r:id="rId1031" display="https://www.bigbatbox.com/en-ca/blogs/habitat-of-bats/tagged/attract-bats-to-yard"/>
    <hyperlink ref="B1033" r:id="rId1032" display="https://www.bigbatbox.com/it/blogs/fun-facts-about-owls/tagged/owl-nesting-box"/>
    <hyperlink ref="B1034" r:id="rId1033" display="https://www.bigbatbox.com/es/blogs/backyard-birds/tagged/clinging-birds"/>
    <hyperlink ref="B1035" r:id="rId1034" display="https://www.bigbatbox.com/blogs/habitat-of-bats/tagged/bat-houses-for-cold-climates"/>
    <hyperlink ref="B1036" r:id="rId1035" display="https://www.bigbatbox.com/es/blogs/habitat-of-bats/tagged/cold-climate-bat-box"/>
    <hyperlink ref="B1037" r:id="rId1036" display="https://www.bigbatbox.com/en-ca/blogs/bee-species/tagged/honey-making"/>
    <hyperlink ref="B1038" r:id="rId1037" display="https://www.bigbatbox.com/blogs/backyard-birds/keep-squirrels-starlings-off-suet-feeder"/>
    <hyperlink ref="B1039" r:id="rId1038" display="https://www.bigbatbox.com/de/blogs/bee-species/tagged/mason-bees"/>
    <hyperlink ref="B1040" r:id="rId1039" display="https://www.bigbatbox.com/blogs/habitat-of-bats/tagged/where-to-mount-bat-house"/>
    <hyperlink ref="B1041" r:id="rId1040" display="https://www.bigbatbox.com/blogs/backyard-birds"/>
    <hyperlink ref="B1042" r:id="rId1041" display="https://www.bigbatbox.com/en-ca/blogs/bee-species/tagged/bee-habitat-faq"/>
    <hyperlink ref="B1043" r:id="rId1042" display="https://www.bigbatbox.com/blogs/habitat-of-bats/tagged/microbats"/>
    <hyperlink ref="B1044" r:id="rId1043" display="https://www.bigbatbox.com/es/blogs/fun-facts-about-owls?page=2"/>
    <hyperlink ref="B1045" r:id="rId1044" display="https://www.bigbatbox.com/blogs/bee-species/tagged/honey-production"/>
    <hyperlink ref="B1046" r:id="rId1045" display="https://www.bigbatbox.com/en-ca/blogs/conservation-partners/tagged/birds"/>
    <hyperlink ref="B1047" r:id="rId1046" display="https://www.bigbatbox.com/de/blogs/habitat-of-bats/tagged/cedar-bat-box"/>
    <hyperlink ref="B1048" r:id="rId1047" display="https://www.bigbatbox.com/de/blogs/habitat-of-bats/tagged/bat-house-usa-climate"/>
    <hyperlink ref="B1049" r:id="rId1048" display="https://www.bigbatbox.com/fr/collections/1-chamber-bat-houses"/>
    <hyperlink ref="B1050" r:id="rId1049" display="https://www.bigbatbox.com/en-ca/blogs/backyard-birds/tagged/summer-feeding"/>
    <hyperlink ref="B1051" r:id="rId1050" display="https://www.bigbatbox.com/it/blogs/habitat-of-bats/tagged/night-wildlife-support"/>
    <hyperlink ref="B1052" r:id="rId1051" display="https://www.bigbatbox.com/it/blogs/habitat-of-bats/tagged/megabats"/>
    <hyperlink ref="B1053" r:id="rId1052" display="https://www.bigbatbox.com/es/blogs/habitat-of-bats/tagged/bat-house-wall-mount"/>
    <hyperlink ref="B1054" r:id="rId1053" display="https://www.bigbatbox.com/it/blogs/habitat-of-bats/how-to-get-bats-in-a-bat-house"/>
    <hyperlink ref="B1055" r:id="rId1054" display="https://www.bigbatbox.com/de/blogs/fun-facts-about-owls/tagged/owl-box"/>
    <hyperlink ref="B1056" r:id="rId1055" display="https://www.bigbatbox.com/it/blogs/bee-species/tagged/bee-habitat-faq"/>
    <hyperlink ref="B1057" r:id="rId1056" display="https://www.bigbatbox.com/en-ca/blogs/habitat-of-bats/tagged/bat-house-for-cold-climates"/>
    <hyperlink ref="B1058" r:id="rId1057" display="https://www.bigbatbox.com/de/blogs/types-of-squirrels/tagged/cedar-habitat"/>
    <hyperlink ref="B1059" r:id="rId1058" display="https://www.bigbatbox.com/it/products/single-chamber-bat-house"/>
    <hyperlink ref="B1060" r:id="rId1059" display="https://www.bigbatbox.com/fr/blogs/habitat-of-bats/tagged/bat-box-guide"/>
    <hyperlink ref="B1061" r:id="rId1060" display="https://www.bigbatbox.com/it/blogs/habitat-of-bats/tagged/bat-facts"/>
    <hyperlink ref="B1062" r:id="rId1061" display="https://www.bigbatbox.com/blogs/conservation-partners/tagged/conservation"/>
    <hyperlink ref="B1063" r:id="rId1062" display="https://www.bigbatbox.com/de/blogs/habitat-of-bats/tagged/bat-house-warmth-retention"/>
    <hyperlink ref="B1064" r:id="rId1063" display="https://www.bigbatbox.com/fr/blogs/habitat-of-bats/tagged/bat-house-warmth-retention"/>
    <hyperlink ref="B1065" r:id="rId1064" display="https://www.bigbatbox.com/en-ca/blogs/habitat-of-bats/how-to-get-bats-in-a-bat-house"/>
    <hyperlink ref="B1066" r:id="rId1065" display="https://www.bigbatbox.com/de/blogs/habitat-of-bats/tagged/best-bat-house-setup"/>
    <hyperlink ref="B1067" r:id="rId1066" display="https://www.bigbatbox.com/es/blogs/habitat-of-bats?page=3"/>
    <hyperlink ref="B1068" r:id="rId1067" display="https://www.bigbatbox.com/it/blogs/habitat-of-bats/bats-as-pollinators-guardians-of-ecosystems"/>
    <hyperlink ref="B1069" r:id="rId1068" display="https://www.bigbatbox.com/fr/blogs/bee-species?page=2"/>
    <hyperlink ref="B1070" r:id="rId1069" display="https://www.bigbatbox.com/fr/blogs/habitat-of-bats/eco-friendly-bat-house-for-backyard-the-complete-guide"/>
    <hyperlink ref="B1071" r:id="rId1070" display="https://www.bigbatbox.com/de/blogs/bee-species/tagged/bumblebees"/>
    <hyperlink ref="B1072" r:id="rId1071" display="https://www.bigbatbox.com/it/blogs/habitat-of-bats/casetta-per-pipistrelli-come-attirarli"/>
    <hyperlink ref="B1073" r:id="rId1072" display="https://www.bigbatbox.com/en-ca/blogs/habitat-of-bats/tagged/humane-bat-removal"/>
    <hyperlink ref="B1074" r:id="rId1073" display="https://www.bigbatbox.com/it/blogs/bee-species/tagged/honey-making"/>
    <hyperlink ref="B1075" r:id="rId1074" display="https://www.bigbatbox.com/es/blogs/types-of-squirrels/tagged/diy-squirrel-feeder"/>
    <hyperlink ref="B1076" r:id="rId1075" display="https://www.bigbatbox.com/blogs/habitat-of-bats/tagged/bat-houses"/>
    <hyperlink ref="B1077" r:id="rId1076" display="https://www.bigbatbox.com/es/blogs/fun-facts-about-owls/owl-sounds-decoded"/>
    <hyperlink ref="B1078" r:id="rId1077" display="https://www.bigbatbox.com/de/blogs/backyard-birds/tagged/suet-feeder"/>
    <hyperlink ref="B1079" r:id="rId1078" display="https://www.bigbatbox.com/it/blogs/fun-facts-about-owls/tagged/night-sounds"/>
    <hyperlink ref="B1080" r:id="rId1079" display="https://www.bigbatbox.com/it/blogs/habitat-of-bats/tagged/coexist-with-bats"/>
    <hyperlink ref="B1081" r:id="rId1080" display="https://www.bigbatbox.com/it/pages/about"/>
    <hyperlink ref="B1082" r:id="rId1081" display="https://www.bigbatbox.com/de/blogs/fun-facts-about-owls/tagged/owl-diet"/>
    <hyperlink ref="B1083" r:id="rId1082" display="https://www.bigbatbox.com/en-ca/blogs/types-of-squirrels/tagged/squirrels"/>
    <hyperlink ref="B1084" r:id="rId1083" display="https://www.bigbatbox.com/blogs/habitat-of-bats/tagged/two-chamber-bat-box"/>
    <hyperlink ref="B1085" r:id="rId1084" display="https://www.bigbatbox.com/blogs/habitat-of-bats/tagged/bat-house-placement"/>
    <hyperlink ref="B1086" r:id="rId1085" display="https://www.bigbatbox.com/en-ca/blogs/habitat-of-bats/tagged/building-and-installing-bat-boxes"/>
    <hyperlink ref="B1087" r:id="rId1086" display="https://www.bigbatbox.com/es/blogs/habitat-of-bats/tagged/bat-box-placement"/>
    <hyperlink ref="B1088" r:id="rId1087" display="https://www.bigbatbox.com/es/blogs/habitat-of-bats/tagged/dark-bat-house-benefits"/>
    <hyperlink ref="B1089" r:id="rId1088" display="https://www.bigbatbox.com/blogs/habitat-of-bats/tagged/bat-facts"/>
    <hyperlink ref="B1090" r:id="rId1089" display="https://www.bigbatbox.com/blogs/habitat-of-bats/tagged/best-bat-houses"/>
    <hyperlink ref="B1091" r:id="rId1090" display="https://www.bigbatbox.com/en-ca/blogs/wildyard-learn/tagged/bees-and-bats"/>
    <hyperlink ref="B1092" r:id="rId1091" display="https://www.bigbatbox.com/blogs/habitat-of-bats/tagged/bat-house-pole"/>
    <hyperlink ref="B1093" r:id="rId1092" display="https://www.bigbatbox.com/it/blogs/fun-facts-about-owls/tagged/owl-nest-box"/>
    <hyperlink ref="B1094" r:id="rId1093" display="https://www.bigbatbox.com/en-ca/blogs/fun-facts-about-owls/tagged/owl-box-faq"/>
    <hyperlink ref="B1095" r:id="rId1094" display="https://www.bigbatbox.com/de/blogs/fun-facts-about-owls/tagged/owl-identification"/>
    <hyperlink ref="B1096" r:id="rId1095" display="https://www.bigbatbox.com/blogs/types-of-squirrels/tagged/wildyard"/>
    <hyperlink ref="B1097" r:id="rId1096" display="https://www.bigbatbox.com/blogs/habitat-of-bats/tagged/guano"/>
    <hyperlink ref="B1098" r:id="rId1097" display="https://www.bigbatbox.com/en-ca/blogs/fun-facts-about-owls/tagged/owl-identification"/>
    <hyperlink ref="B1099" r:id="rId1098" display="https://www.bigbatbox.com/blogs/bee-species/tagged/pollination-process"/>
    <hyperlink ref="B1100" r:id="rId1099" display="https://www.bigbatbox.com/es/blogs/bee-species/tagged/pollination-process"/>
    <hyperlink ref="B1101" r:id="rId1100" display="https://www.bigbatbox.com/fr/blogs/fun-facts-about-owls/tagged/owls"/>
    <hyperlink ref="B1102" r:id="rId1101" display="https://www.bigbatbox.com/it/pages/bat-houses-for-sale"/>
    <hyperlink ref="B1103" r:id="rId1102" display="https://www.bigbatbox.com/blogs/backyard-birds/tagged/no-melt-suet"/>
    <hyperlink ref="B1104" r:id="rId1103" display="https://www.bigbatbox.com/it/blogs/habitat-of-bats/tagged/backyard-eco-tips"/>
    <hyperlink ref="B1105" r:id="rId1104" display="https://www.bigbatbox.com/it/blogs/bee-species/tagged/solitary-bees"/>
    <hyperlink ref="B1106" r:id="rId1105" display="https://www.bigbatbox.com/it/blogs/habitat-of-bats/tagged/best-bat-houses-for-cold-states"/>
    <hyperlink ref="B1107" r:id="rId1106" display="https://www.bigbatbox.com/it/blogs/wildyard-learn/tagged/habitat-conservation"/>
    <hyperlink ref="B1108" r:id="rId1107" display="https://www.bigbatbox.com/es/blogs/habitat-of-bats/tagged/bat-house-direction"/>
    <hyperlink ref="B1109" r:id="rId1108" display="https://www.bigbatbox.com/blogs/habitat-of-bats/tagged/ecosystem-guardians"/>
    <hyperlink ref="B1110" r:id="rId1109" display="https://www.bigbatbox.com/es/blogs/habitat-of-bats/tagged/eco-friendly"/>
    <hyperlink ref="B1111" r:id="rId1110" display="https://www.bigbatbox.com/de/blogs/backyard-birds/tagged/hot-pepper-suet"/>
    <hyperlink ref="B1112" r:id="rId1111" display="https://www.bigbatbox.com/es/blogs/habitat-of-bats/tagged/bat-house-sun-exposure"/>
    <hyperlink ref="B1113" r:id="rId1112" display="https://www.bigbatbox.com/it/blogs/habitat-of-bats/tagged/humane-bat-removal"/>
    <hyperlink ref="B1114" r:id="rId1113" display="https://www.bigbatbox.com/blogs/habitat-of-bats/tagged/megabats"/>
    <hyperlink ref="B1115" r:id="rId1114" display="https://www.bigbatbox.com/en-ca/blogs/habitat-of-bats/tagged/avoid-pesticides"/>
    <hyperlink ref="B1116" r:id="rId1115" display="https://www.bigbatbox.com/en-ca/blogs/habitat-of-bats/tagged/bat-conservation-tips"/>
    <hyperlink ref="B1117" r:id="rId1116" display="https://www.bigbatbox.com/es/blogs/bee-species/tagged/wildlife"/>
    <hyperlink ref="B1118" r:id="rId1117" display="https://www.bigbatbox.com/it/blogs/habitat-of-bats/tagged/bat-house-placement"/>
    <hyperlink ref="B1119" r:id="rId1118" display="https://www.bigbatbox.com/es/blogs/wildyard-learn/tagged/pollination"/>
    <hyperlink ref="B1120" r:id="rId1119" display="https://www.bigbatbox.com/de/blogs/habitat-of-bats/tagged/where-to-mount-bat-house"/>
    <hyperlink ref="B1121" r:id="rId1120" display="https://www.bigbatbox.com/it/blogs/bee-species/tagged/bee-biology"/>
    <hyperlink ref="B1122" r:id="rId1121" display="https://www.bigbatbox.com/it/blogs/habitat-of-bats/tagged/winter-wildlife"/>
    <hyperlink ref="B1123" r:id="rId1122" display="https://www.bigbatbox.com/en-ca/blogs/fun-facts-about-owls/tagged/owl-boxes"/>
    <hyperlink ref="B1124" r:id="rId1123" display="https://www.bigbatbox.com/es/blogs/types-of-squirrels/tagged/squirrel-feeder"/>
    <hyperlink ref="B1125" r:id="rId1124" display="https://www.bigbatbox.com/es/blogs/backyard-birds/tagged/no-melt-suet"/>
    <hyperlink ref="B1126" r:id="rId1125" display="https://www.bigbatbox.com/blogs/backyard-birds/tagged/suet-for-birds"/>
    <hyperlink ref="B1127" r:id="rId1126" display="https://www.bigbatbox.com/blogs/bee-species/tagged/bee-communication"/>
    <hyperlink ref="B1128" r:id="rId1127" display="https://www.bigbatbox.com/blogs/types-of-squirrels/tagged/squirrel-house"/>
    <hyperlink ref="B1129" r:id="rId1128" display="https://www.bigbatbox.com/fr/blogs/habitat-of-bats/tagged/natural-pest-control"/>
    <hyperlink ref="B1130" r:id="rId1129" display="https://www.bigbatbox.com/en-ca/blogs/bee-species/unveiling-the-world-of-bees-nature-s-tiny-architects"/>
    <hyperlink ref="B1131" r:id="rId1130" display="https://www.bigbatbox.com/en-ca/blogs/types-of-squirrels/are-squirrels-nocturnal"/>
    <hyperlink ref="B1132" r:id="rId1131" display="https://www.bigbatbox.com/blogs/bee-species/tagged/fun-facts-about-bees"/>
    <hyperlink ref="B1133" r:id="rId1132" display="https://www.bigbatbox.com/en-ca/blogs/habitat-of-bats/tagged/bat-house-usa-climate"/>
    <hyperlink ref="B1134" r:id="rId1133" display="https://www.bigbatbox.com/it/blogs/habitat-of-bats/tagged/three-chamber-bat-box"/>
    <hyperlink ref="B1135" r:id="rId1134" display="https://www.bigbatbox.com/fr/blogs/wildyard-learn/tagged/garden-pollinators"/>
    <hyperlink ref="B1136" r:id="rId1135" display="https://www.bigbatbox.com/de/blogs/conservation-partners/tagged/conservation"/>
    <hyperlink ref="B1137" r:id="rId1136" display="https://www.bigbatbox.com/blogs/habitat-of-bats/tagged/bat-house-distance-from-trees"/>
    <hyperlink ref="B1138" r:id="rId1137" display="https://www.bigbatbox.com/en-ca/blogs/habitat-of-bats/tagged/winter-bat-house-tips"/>
    <hyperlink ref="B1139" r:id="rId1138" display="https://www.bigbatbox.com/blogs/conservation-partners/tagged/partnership"/>
    <hyperlink ref="B1140" r:id="rId1139" display="https://www.bigbatbox.com/de/blogs/habitat-of-bats/tagged/one-chamber-bat-box"/>
    <hyperlink ref="B1141" r:id="rId1140" display="https://www.bigbatbox.com/it/blogs/backyard-birds/tagged/bird-feeding"/>
    <hyperlink ref="B1142" r:id="rId1141" display="https://www.bigbatbox.com/blogs/bee-species/tagged/mason-bees"/>
    <hyperlink ref="B1143" r:id="rId1142" display="https://www.bigbatbox.com/es/blogs/habitat-of-bats/tagged/wildlife-friendly-home"/>
    <hyperlink ref="B1144" r:id="rId1143" display="https://www.bigbatbox.com/blogs/fun-facts-about-owls/tagged/pet-safety"/>
    <hyperlink ref="B1145" r:id="rId1144" display="https://www.bigbatbox.com/de/blogs/fun-facts-about-owls/tagged/owl-sounds"/>
    <hyperlink ref="B1146" r:id="rId1145" display="https://www.bigbatbox.com/fr/blogs/habitat-of-bats/tagged/wildyard-bat-house-guide"/>
    <hyperlink ref="B1147" r:id="rId1146" display="https://www.bigbatbox.com/en-ca/blogs/habitat-of-bats/tagged/best-bat-house-placement"/>
    <hyperlink ref="B1148" r:id="rId1147" display="https://www.bigbatbox.com/fr/blogs/fun-facts-about-owls/tagged/owl-box-faq"/>
    <hyperlink ref="B1149" r:id="rId1148" display="https://www.bigbatbox.com/de/blogs/fun-facts-about-owls/tagged/nocturnal-animals"/>
    <hyperlink ref="B1150" r:id="rId1149" display="https://www.bigbatbox.com/en-ca/blogs/habitat-of-bats/tagged/bat-house-pole"/>
    <hyperlink ref="B1151" r:id="rId1150" display="https://www.bigbatbox.com/es/blogs/habitat-of-bats/tagged/northern-state-bat-box"/>
    <hyperlink ref="B1152" r:id="rId1151" display="https://www.bigbatbox.com/blogs/habitat-of-bats/tagged/mosquito-reduction-with-bats"/>
    <hyperlink ref="B1153" r:id="rId1152" display="https://www.bigbatbox.com/en-ca/blogs/fun-facts-about-owls/tagged/ecological-balance"/>
    <hyperlink ref="B1154" r:id="rId1153" display="https://www.bigbatbox.com/fr/blogs/habitat-of-bats/cedar-bat-box-for-cold-climates-what-you-need-to-know"/>
    <hyperlink ref="B1155" r:id="rId1154" display="https://www.bigbatbox.com/es/blogs/habitat-of-bats/tagged/cedar-bat-house"/>
    <hyperlink ref="B1156" r:id="rId1155" display="https://www.bigbatbox.com/en-ca/blogs/bee-species/tagged/mason-bees"/>
    <hyperlink ref="B1157" r:id="rId1156" display="https://www.bigbatbox.com/fr/blogs/habitat-of-bats/bats-as-pollinators-guardians-of-ecosystems"/>
    <hyperlink ref="B1158" r:id="rId1157" display="https://www.bigbatbox.com/blogs/wildyard-learn/tagged/bees-and-bats"/>
    <hyperlink ref="B1159" r:id="rId1158" display="https://www.bigbatbox.com/blogs/habitat-of-bats/tagged/protect-bats"/>
    <hyperlink ref="B1160" r:id="rId1159" display="https://www.bigbatbox.com/it/blogs/types-of-squirrels/tagged/nocturnal-animals"/>
    <hyperlink ref="B1161" r:id="rId1160" display="https://www.bigbatbox.com/es/blogs/habitat-of-bats/tagged/bat-houses-for-cold-climates"/>
    <hyperlink ref="B1162" r:id="rId1161" display="https://www.bigbatbox.com/de/blogs/bee-species/tagged/solitary-bees"/>
    <hyperlink ref="B1163" r:id="rId1162" display="https://www.bigbatbox.com/fr/blogs/backyard-birds/tagged/summer-feeding"/>
    <hyperlink ref="B1164" r:id="rId1163" display="https://www.bigbatbox.com/fr/blogs/habitat-of-bats/tagged/wildlife-habitat"/>
    <hyperlink ref="B1165" r:id="rId1164" display="https://www.bigbatbox.com/fr/blogs/habitat-of-bats/tagged/bat-house-tips"/>
    <hyperlink ref="B1166" r:id="rId1165" display="https://www.bigbatbox.com/blogs/habitat-of-bats/tagged/eco-friendly-pest-solutions"/>
    <hyperlink ref="B1167" r:id="rId1166" display="https://www.bigbatbox.com/it/blogs/habitat-of-bats/tagged/wildyard-bat-house-guide"/>
    <hyperlink ref="B1168" r:id="rId1167" display="https://www.bigbatbox.com/es/blogs/habitat-of-bats/tagged/black-cedar-bat-house"/>
    <hyperlink ref="B1169" r:id="rId1168" display="https://www.bigbatbox.com/fr/blogs/habitat-of-bats?page=2"/>
    <hyperlink ref="B1170" r:id="rId1169" display="https://www.bigbatbox.com/en-ca/blogs/wildyard-learn/tagged/pollination"/>
    <hyperlink ref="B1171" r:id="rId1170" display="https://www.bigbatbox.com/fr/blogs/habitat-of-bats/tagged/ecosystem-guardians"/>
    <hyperlink ref="B1172" r:id="rId1171" display="https://www.bigbatbox.com/fr/pages/wildyard-x-angry-birds-diy-birdhouse-instructions"/>
    <hyperlink ref="B1173" r:id="rId1172" display="https://www.bigbatbox.com/fr/pages/1-for-the-planet-merlin-tuttle-x-wild-yard"/>
    <hyperlink ref="B1174" r:id="rId1173" display="https://www.bigbatbox.com/en-ca/blogs/habitat-of-bats/best-bat-boxes-for-mosquito-control-simple-guide-real-example"/>
    <hyperlink ref="B1175" r:id="rId1174" display="https://www.bigbatbox.com/it/blogs/habitat-of-bats/tagged/best-bat-houses"/>
    <hyperlink ref="B1176" r:id="rId1175" display="https://www.bigbatbox.com/en-ca/blogs/habitat-of-bats/bats-as-pollinators-guardians-of-ecosystems"/>
    <hyperlink ref="B1177" r:id="rId1176" display="https://www.bigbatbox.com/en-ca/blogs/habitat-of-bats/tagged/bats-as-pollinators"/>
    <hyperlink ref="B1178" r:id="rId1177" display="https://www.bigbatbox.com/it/blogs/habitat-of-bats/tagged/black-bat-house"/>
    <hyperlink ref="B1179" r:id="rId1178" display="https://www.bigbatbox.com/blogs/habitat-of-bats/tagged/wildlife-conservation"/>
    <hyperlink ref="B1180" r:id="rId1179" display="https://www.bigbatbox.com/it/blogs/habitat-of-bats/tagged/two-chamber-bat-box"/>
    <hyperlink ref="B1181" r:id="rId1180" display="https://www.bigbatbox.com/it/blogs/habitat-of-bats/tagged/bat-species"/>
    <hyperlink ref="B1182" r:id="rId1181" display="https://www.bigbatbox.com/it/blogs/conservation-partners/wildyard-bird-conservancy-of-the-rockies-partnership"/>
    <hyperlink ref="B1183" r:id="rId1182" display="https://www.bigbatbox.com/blogs/habitat-of-bats/tagged/winter-bat-house-tips"/>
    <hyperlink ref="B1184" r:id="rId1183" display="https://www.bigbatbox.com/it/blogs/habitat-of-bats/tagged/bat-benefits"/>
    <hyperlink ref="B1185" r:id="rId1184" display="https://www.bigbatbox.com/de/blogs/habitat-of-bats/tagged/attract-bats-to-yard"/>
    <hyperlink ref="B1186" r:id="rId1185" display="https://www.bigbatbox.com/blogs/bee-species/tagged/bee-food-sources"/>
    <hyperlink ref="B1187" r:id="rId1186" display="https://www.bigbatbox.com/it/blogs/types-of-squirrels/are-squirrels-nocturnal"/>
    <hyperlink ref="B1188" r:id="rId1187" display="https://www.bigbatbox.com/blogs/habitat-of-bats/tagged/best-bat-houses-for-cold-states"/>
    <hyperlink ref="B1189" r:id="rId1188" display="https://www.bigbatbox.com/fr/blogs/fun-facts-about-owls/tagged/owl-facts"/>
    <hyperlink ref="B1190" r:id="rId1189" display="https://www.bigbatbox.com/blogs/habitat-of-bats/tagged/bat-diet"/>
    <hyperlink ref="B1191" r:id="rId1190" display="https://www.bigbatbox.com/es/blogs/habitat-of-bats/tagged/cooler-climate-bat-habitat"/>
    <hyperlink ref="B1192" r:id="rId1191" display="https://www.bigbatbox.com/blogs/habitat-of-bats/tagged/garden-insect-control"/>
    <hyperlink ref="B1193" r:id="rId1192" display="https://www.bigbatbox.com/es/blogs/fun-facts-about-owls/tagged/squirrels"/>
    <hyperlink ref="B1194" r:id="rId1193" display="https://www.bigbatbox.com/en-ca/blogs/habitat-of-bats/do-bats-eat-mosquitoes-everything-you-need-to-know"/>
    <hyperlink ref="B1195" r:id="rId1194" display="https://www.bigbatbox.com/en-ca/blogs/habitat-of-bats/bat-box-placement-guide-how-to-get-it-right"/>
    <hyperlink ref="B1196" r:id="rId1195" display="https://www.bigbatbox.com/en-ca/pages/about"/>
    <hyperlink ref="B1197" r:id="rId1196" display="https://www.bigbatbox.com/de/blogs/types-of-squirrels/tagged/winter-wildlife"/>
    <hyperlink ref="B1198" r:id="rId1197" display="https://www.bigbatbox.com/fr/blogs/bee-species/tagged/bee-biology"/>
    <hyperlink ref="B1199" r:id="rId1198" display="https://www.bigbatbox.com/fr/blogs/habitat-of-bats/tagged/protect-bats"/>
    <hyperlink ref="B1200" r:id="rId1199" display="https://www.bigbatbox.com/en-ca/blogs/bee-species/tagged/bee-facts"/>
    <hyperlink ref="B1201" r:id="rId1200" display="https://www.bigbatbox.com/blogs/fun-facts-about-owls/tagged/great-horned-owl"/>
    <hyperlink ref="B1202" r:id="rId1201" display="https://www.bigbatbox.com/blogs/types-of-squirrels/tagged/wildlife-guide"/>
    <hyperlink ref="B1203" r:id="rId1202" display="https://www.bigbatbox.com/blogs/habitat-of-bats/tagged/wildlife-management"/>
    <hyperlink ref="B1204" r:id="rId1203" display="https://www.bigbatbox.com/es/blogs/habitat-of-bats/tagged/echolocation"/>
    <hyperlink ref="B1205" r:id="rId1204" display="https://www.bigbatbox.com/fr/blogs/habitat-of-bats/tagged/endangered-bats"/>
    <hyperlink ref="B1206" r:id="rId1205" display="https://www.bigbatbox.com/it/pages/wildyard-x-angry-birds-flowerpot-birdhouse-instructions"/>
    <hyperlink ref="B1207" r:id="rId1206" display="https://www.bigbatbox.com/it/blogs/habitat-of-bats/eco-friendly-bat-house-for-backyard-the-complete-guide"/>
    <hyperlink ref="B1208" r:id="rId1207" display="https://www.bigbatbox.com/fr/pages/collab"/>
    <hyperlink ref="B1209" r:id="rId1208" display="https://www.bigbatbox.com/it/blogs/habitat-of-bats/tagged/echolocation"/>
    <hyperlink ref="B1210" r:id="rId1209" display="https://www.bigbatbox.com/en-ca/blogs/habitat-of-bats/found-a-bat-in-the-house-in-winter-help-them-survive"/>
    <hyperlink ref="B1211" r:id="rId1210" display="https://www.bigbatbox.com/de/blogs/habitat-of-bats/tagged/diy-bat-house"/>
    <hyperlink ref="B1212" r:id="rId1211" display="https://www.bigbatbox.com/en-ca/pages/bat-house-guide"/>
    <hyperlink ref="B1213" r:id="rId1212" display="https://www.bigbatbox.com/de/blogs/bee-species/tagged/bee-food-sources"/>
    <hyperlink ref="B1214" r:id="rId1213" display="https://www.bigbatbox.com/de/blogs/backyard-birds/tagged/bird-feeding"/>
    <hyperlink ref="B1215" r:id="rId1214" display="https://www.bigbatbox.com/de/blogs/habitat-of-bats/tagged/best-bat-houses"/>
    <hyperlink ref="B1216" r:id="rId1215" display="https://www.bigbatbox.com/fr/blogs/conservation-partners"/>
    <hyperlink ref="B1217" r:id="rId1216" display="https://www.bigbatbox.com/en-ca/blogs/habitat-of-bats/tagged/protect-bats"/>
    <hyperlink ref="B1218" r:id="rId1217" display="https://www.bigbatbox.com/de/blogs/habitat-of-bats/tagged/bat-box-installation"/>
    <hyperlink ref="B1219" r:id="rId1218" display="https://www.bigbatbox.com/blogs/bee-species/tagged/backyard-wildlife"/>
    <hyperlink ref="B1220" r:id="rId1219" display="https://www.bigbatbox.com/blogs/types-of-squirrels/tagged/wildlife-habitat"/>
    <hyperlink ref="B1221" r:id="rId1220" display="https://www.bigbatbox.com/fr/blogs/habitat-of-bats/tagged/cooler-climate-bat-habitat"/>
    <hyperlink ref="B1222" r:id="rId1221" display="https://www.bigbatbox.com/en-ca/blogs/habitat-of-bats/tagged/attract-bats"/>
    <hyperlink ref="B1223" r:id="rId1222" display="https://www.bigbatbox.com/en-ca/blogs/habitat-of-bats/tagged/bat-conservation-guide"/>
    <hyperlink ref="B1224" r:id="rId1223" display="https://www.bigbatbox.com/en-ca/blogs/habitat-of-bats/tagged/bat-house-installation"/>
    <hyperlink ref="B1225" r:id="rId1224" display="https://www.bigbatbox.com/en-ca/blogs/wildyard-learn/tagged/wildlife-garden"/>
    <hyperlink ref="B1226" r:id="rId1225" display="https://www.bigbatbox.com/en-ca/blogs/habitat-of-bats/tagged/cedar-bat-box"/>
    <hyperlink ref="B1227" r:id="rId1226" display="https://www.bigbatbox.com/blogs/habitat-of-bats/tagged/bat-house-direction"/>
    <hyperlink ref="B1228" r:id="rId1227" display="https://www.bigbatbox.com/it/blogs/habitat-of-bats/tagged/winter-bat-house-tips"/>
    <hyperlink ref="B1229" r:id="rId1228" display="https://www.bigbatbox.com/fr/blogs/habitat-of-bats/tagged/backyard-pest-control"/>
    <hyperlink ref="B1230" r:id="rId1229" display="https://www.bigbatbox.com/blogs/fun-facts-about-owls/tagged/owl-sounds"/>
    <hyperlink ref="B1231" r:id="rId1230" display="https://www.bigbatbox.com/it/blogs/habitat-of-bats/tagged/bat-ecology-at-home"/>
    <hyperlink ref="B1232" r:id="rId1231" display="https://www.bigbatbox.com/en-ca/blogs/habitat-of-bats/the-definitive-guide-to-backyard-mosquito-control"/>
    <hyperlink ref="B1233" r:id="rId1232" display="https://www.bigbatbox.com/en-ca/blogs/habitat-of-bats/tagged/bat-house-height"/>
    <hyperlink ref="B1234" r:id="rId1233" display="https://www.bigbatbox.com/de/blogs/habitat-of-bats/tagged/bat-food"/>
    <hyperlink ref="B1235" r:id="rId1234" display="https://www.bigbatbox.com/it/blogs/habitat-of-bats/tagged/conservation"/>
    <hyperlink ref="B1236" r:id="rId1235" display="https://www.bigbatbox.com/it/blogs/conservation-partners/tagged/partnership"/>
    <hyperlink ref="B1237" r:id="rId1236" display="https://www.bigbatbox.com/blogs/habitat-of-bats/tagged/sustainable-gardens"/>
    <hyperlink ref="B1238" r:id="rId1237" display="https://www.bigbatbox.com/en-ca/blogs/habitat-of-bats/tagged/guano"/>
    <hyperlink ref="B1239" r:id="rId1238" display="https://www.bigbatbox.com/es/blogs/habitat-of-bats/tagged/insect-control"/>
    <hyperlink ref="B1240" r:id="rId1239" display="https://www.bigbatbox.com/es/blogs/habitat-of-bats/tagged/usa-bat-house-guide"/>
    <hyperlink ref="B1241" r:id="rId1240" display="https://www.bigbatbox.com/de/blogs/habitat-of-bats/tagged/vampire-bats"/>
    <hyperlink ref="B1242" r:id="rId1241" display="https://www.bigbatbox.com/en-ca/blogs/habitat-of-bats/tagged/bat-in-the-house-in-winter"/>
    <hyperlink ref="B1243" r:id="rId1242" display="https://www.bigbatbox.com/it/blogs/bee-species/tagged/nature-s-architects"/>
    <hyperlink ref="B1244" r:id="rId1243" display="https://www.bigbatbox.com/de/blogs/habitat-of-bats/tagged/cold-climate-bat-box"/>
    <hyperlink ref="B1245" r:id="rId1244" display="https://www.bigbatbox.com/de/blogs/fun-facts-about-owls/tagged/snowy-owl"/>
    <hyperlink ref="B1246" r:id="rId1245" display="https://www.bigbatbox.com/es/blogs/habitat-of-bats/tagged/mosquito-reduction-with-bats"/>
    <hyperlink ref="B1247" r:id="rId1246" display="https://www.bigbatbox.com/en-ca/blogs/fun-facts-about-owls/tagged/owl-facts"/>
    <hyperlink ref="B1248" r:id="rId1247" display="https://www.bigbatbox.com/it/blogs/habitat-of-bats/some-interesting-busted-myths-and-facts-about-bats"/>
    <hyperlink ref="B1249" r:id="rId1248" display="https://www.bigbatbox.com/it/blogs/habitat-of-bats/tagged/pest-control"/>
    <hyperlink ref="B1250" r:id="rId1249" display="https://www.bigbatbox.com/de/blogs/wildyard-learn/tagged/wildlife-garden"/>
    <hyperlink ref="B1251" r:id="rId1250" display="https://www.bigbatbox.com/it/blogs/habitat-of-bats/tagged/bat-box-installation"/>
    <hyperlink ref="B1252" r:id="rId1251" display="https://www.bigbatbox.com/blogs/bee-species/tagged/hive-behavior"/>
    <hyperlink ref="B1253" r:id="rId1252" display="https://www.bigbatbox.com/it/blogs/fun-facts-about-owls/tagged/bird-house"/>
    <hyperlink ref="B1254" r:id="rId1253" display="https://www.bigbatbox.com/fr/blogs/habitat-of-bats/what-are-the-bat-house-kits"/>
    <hyperlink ref="B1255" r:id="rId1254" display="https://www.bigbatbox.com/es/blogs/types-of-squirrels/tagged/species-facts"/>
    <hyperlink ref="B1256" r:id="rId1255" display="https://www.bigbatbox.com/de/blogs/habitat-of-bats/tagged/bat-house-for-cold-climates"/>
    <hyperlink ref="B1257" r:id="rId1256" display="https://www.bigbatbox.com/it/blogs/bee-species/tagged/bee-lifecycle"/>
    <hyperlink ref="B1258" r:id="rId1257" display="https://www.bigbatbox.com/fr/blogs/types-of-squirrels/tagged/diy-squirrel-feeder"/>
    <hyperlink ref="B1259" r:id="rId1258" display="https://www.bigbatbox.com/en-ca/blogs/habitat-of-bats/tagged/bat-box-sunlight-requirements"/>
    <hyperlink ref="B1260" r:id="rId1259" display="https://www.bigbatbox.com/en-ca/blogs/backyard-birds/keep-squirrels-starlings-off-suet-feeder"/>
    <hyperlink ref="B1261" r:id="rId1260" display="https://www.bigbatbox.com/es/blogs/fun-facts-about-owls/tagged/owl-safety"/>
    <hyperlink ref="B1262" r:id="rId1261" display="https://www.bigbatbox.com/en-ca/blogs/habitat-of-bats/tagged/natural-mosquito-control"/>
    <hyperlink ref="B1263" r:id="rId1262" display="https://www.bigbatbox.com/it/blogs/habitat-of-bats/tagged/bat-box-sunlight-requirements"/>
    <hyperlink ref="B1264" r:id="rId1263" display="https://www.bigbatbox.com/de/blogs/habitat-of-bats/tagged/bat-box-placement"/>
    <hyperlink ref="B1265" r:id="rId1264" display="https://www.bigbatbox.com/it/blogs/wildyard-learn/tagged/bat-houses"/>
    <hyperlink ref="B1266" r:id="rId1265" display="https://www.bigbatbox.com/it/blogs/habitat-of-bats/tagged/guano"/>
    <hyperlink ref="B1267" r:id="rId1266" display="https://www.bigbatbox.com/de/blogs/backyard-birds/tagged/squirrels"/>
    <hyperlink ref="B1268" r:id="rId1267" display="https://www.bigbatbox.com/fr/blogs/types-of-squirrels/how-to-attract-squirrels-to-your-backyard"/>
    <hyperlink ref="B1269" r:id="rId1268" display="https://www.bigbatbox.com/fr/blogs/habitat-of-bats/tagged/bat-ecology-at-home"/>
    <hyperlink ref="B1270" r:id="rId1269" display="https://www.bigbatbox.com/es/blogs/fun-facts-about-owls/tagged/conservation"/>
    <hyperlink ref="B1271" r:id="rId1270" display="https://www.bigbatbox.com/de/blogs/bee-species/tagged/honey-bees"/>
    <hyperlink ref="B1272" r:id="rId1271" display="https://www.bigbatbox.com/it/blogs/habitat-of-bats/tagged/bat-house-sun-exposure"/>
    <hyperlink ref="B1273" r:id="rId1272" display="https://www.bigbatbox.com/de/blogs/habitat-of-bats/tagged/bat-boxes"/>
    <hyperlink ref="B1274" r:id="rId1273" display="https://www.bigbatbox.com/en-ca/blogs/types-of-squirrels/tagged/diy-squirrel-feeder"/>
    <hyperlink ref="B1275" r:id="rId1274" display="https://www.bigbatbox.com/it/blogs/habitat-of-bats/tagged/biodiversity"/>
    <hyperlink ref="B1276" r:id="rId1275" display="https://www.bigbatbox.com/de/blogs/habitat-of-bats/tagged/multi-chamber-bat-house"/>
    <hyperlink ref="B1277" r:id="rId1276" display="https://www.bigbatbox.com/en-ca/blogs/habitat-of-bats/tagged/mosquito-control"/>
    <hyperlink ref="B1278" r:id="rId1277" display="https://www.bigbatbox.com/en-ca/blogs/types-of-squirrels/tagged/nocturnal-animals"/>
    <hyperlink ref="B1279" r:id="rId1278" display="https://www.bigbatbox.com/en-ca/blogs/habitat-of-bats/tagged/insect-control"/>
    <hyperlink ref="B1280" r:id="rId1279" display="https://www.bigbatbox.com/blogs/backyard-birds/tagged/summer-feeding"/>
    <hyperlink ref="B1281" r:id="rId1280" display="https://www.bigbatbox.com/it/blogs/backyard-birds/keep-squirrels-starlings-off-suet-feeder"/>
    <hyperlink ref="B1282" r:id="rId1281" display="https://www.bigbatbox.com/de/blogs/habitat-of-bats/tagged/echolocation"/>
    <hyperlink ref="B1283" r:id="rId1282" display="https://www.bigbatbox.com/fr/blogs/fun-facts-about-owls/tagged/wildlife-habitats"/>
    <hyperlink ref="B1284" r:id="rId1283" display="https://www.bigbatbox.com/it/blogs/fun-facts-about-owls/tagged/squirrels"/>
    <hyperlink ref="B1285" r:id="rId1284" display="https://www.bigbatbox.com/fr/blogs/habitat-of-bats/tagged/avoid-pesticides"/>
    <hyperlink ref="B1286" r:id="rId1285" display="https://www.bigbatbox.com/blogs/habitat-of-bats/tagged/bat-house-placement-guide"/>
    <hyperlink ref="B1287" r:id="rId1286" display="https://www.bigbatbox.com/es/blogs/habitat-of-bats/tagged/bat-hibernation"/>
    <hyperlink ref="B1288" r:id="rId1287" display="https://www.bigbatbox.com/es/blogs/backyard-birds"/>
    <hyperlink ref="B1289" r:id="rId1288" display="https://www.bigbatbox.com/en-ca/blogs/habitat-of-bats/tagged/diy-bat-box"/>
    <hyperlink ref="B1290" r:id="rId1289" display="https://www.bigbatbox.com/es/blogs/types-of-squirrels/tagged/squirrel-house"/>
    <hyperlink ref="B1291" r:id="rId1290" display="https://www.bigbatbox.com/blogs/habitat-of-bats/tagged/mosquito-controlbackyard-wildlife"/>
    <hyperlink ref="B1292" r:id="rId1291" display="https://www.bigbatbox.com/en-ca/blogs/habitat-of-bats/cedar-bat-box-for-cold-climates-what-you-need-to-know"/>
    <hyperlink ref="B1293" r:id="rId1292" display="https://www.bigbatbox.com/fr/blogs/habitat-of-bats/tagged/bat-house-installation"/>
    <hyperlink ref="B1294" r:id="rId1293" display="https://www.bigbatbox.com/es/blogs/habitat-of-bats/tagged/coexist-with-bats"/>
    <hyperlink ref="B1295" r:id="rId1294" display="https://www.bigbatbox.com/it/blogs/habitat-of-bats/tagged/bat-habitat"/>
    <hyperlink ref="B1296" r:id="rId1295" display="https://www.bigbatbox.com/fr/collections/2-chamber-bat-houses"/>
    <hyperlink ref="B1297" r:id="rId1296" display="https://www.bigbatbox.com/en-ca/blogs/habitat-of-bats/tagged/wildlife-friendly-backyard"/>
    <hyperlink ref="B1298" r:id="rId1297" display="https://www.bigbatbox.com/en-ca/blogs/conservation-partners/tagged/partnership"/>
    <hyperlink ref="B1299" r:id="rId1298" display="https://www.bigbatbox.com/en-ca/blogs/habitat-of-bats/tagged/one-chamber-bat-box"/>
    <hyperlink ref="B1300" r:id="rId1299" display="https://www.bigbatbox.com/it/blogs/habitat-of-bats/tagged/safe-bat-habitat"/>
    <hyperlink ref="B1301" r:id="rId1300" display="https://www.bigbatbox.com/fr/blogs/types-of-squirrels/tagged/squirrels"/>
    <hyperlink ref="B1302" r:id="rId1301" display="https://www.bigbatbox.com/en-ca/blogs/habitat-of-bats/9-fantastic-bat-facts-you-need-to-know"/>
    <hyperlink ref="B1303" r:id="rId1302" display="https://www.bigbatbox.com/es/blogs/habitat-of-bats/tagged/bat-house-placement"/>
    <hyperlink ref="B1304" r:id="rId1303" display="https://www.bigbatbox.com/it/blogs/bee-species/tagged/garden-biodiversity"/>
    <hyperlink ref="B1305" r:id="rId1304" display="https://www.bigbatbox.com/it/blogs/habitat-of-bats/tagged/wildyard-bat-houses"/>
    <hyperlink ref="B1306" r:id="rId1305" display="https://www.bigbatbox.com/de/blogs/habitat-of-bats/tagged/wildlife-friendly-home"/>
    <hyperlink ref="B1307" r:id="rId1306" display="https://www.bigbatbox.com/en-ca/blogs/habitat-of-bats/tagged/insect-control-naturally"/>
    <hyperlink ref="B1308" r:id="rId1307" display="https://www.bigbatbox.com/it/blogs/bee-species/tagged/hive-behavior"/>
    <hyperlink ref="B1309" r:id="rId1308" display="https://www.bigbatbox.com/it/blogs/habitat-of-bats/tagged/garden-insect-control"/>
    <hyperlink ref="B1310" r:id="rId1309" display="https://www.bigbatbox.com/it/blogs/fun-facts-about-owls/tagged/owl-nesting-boxes"/>
    <hyperlink ref="B1311" r:id="rId1310" display="https://www.bigbatbox.com/it/blogs/bee-species/tagged/bee-communication"/>
    <hyperlink ref="B1312" r:id="rId1311" display="https://www.bigbatbox.com/blogs/bee-species/tagged/bee-lifecycle"/>
    <hyperlink ref="B1313" r:id="rId1312" display="https://www.bigbatbox.com/it/blogs/backyard-birds/tagged/suet-for-birds"/>
    <hyperlink ref="B1314" r:id="rId1313" display="https://www.bigbatbox.com/fr/blogs/habitat-of-bats/bat-house-certification-explained"/>
    <hyperlink ref="B1315" r:id="rId1314" display="https://www.bigbatbox.com/fr/blogs/conservation-partners/tagged/conservation"/>
    <hyperlink ref="B1316" r:id="rId1315" display="https://www.bigbatbox.com/fr/blogs/habitat-of-bats/tagged/bat-house-advice"/>
    <hyperlink ref="B1317" r:id="rId1316" display="https://www.bigbatbox.com/fr/blogs/types-of-squirrels/tagged/species-facts"/>
    <hyperlink ref="B1318" r:id="rId1317" display="https://www.bigbatbox.com/de/blogs/types-of-squirrels/tagged/squirrel-food"/>
    <hyperlink ref="B1319" r:id="rId1318" display="https://www.bigbatbox.com/en-ca/blogs/fun-facts-about-owls/owl-sounds-decoded"/>
    <hyperlink ref="B1320" r:id="rId1319" display="https://www.bigbatbox.com/de/blogs/types-of-squirrels/tagged/squirrel-care"/>
    <hyperlink ref="B1321" r:id="rId1320" display="https://www.bigbatbox.com/en-ca/collections"/>
    <hyperlink ref="B1322" r:id="rId1321" display="https://www.bigbatbox.com/blogs/habitat-of-bats/tagged/bat-conservation-guide"/>
    <hyperlink ref="B1323" r:id="rId1322" display="https://www.bigbatbox.com/it/blogs/habitat-of-bats/tagged/mosquito-control"/>
    <hyperlink ref="B1324" r:id="rId1323" display="https://www.bigbatbox.com/en-ca/blogs/habitat-of-bats/tagged/wildlife-conservation"/>
    <hyperlink ref="B1325" r:id="rId1324" display="https://www.bigbatbox.com/it/blogs/fun-facts-about-owls/tagged/barn-owl"/>
    <hyperlink ref="B1326" r:id="rId1325" display="https://www.bigbatbox.com/fr/pages/wildyard-affiliate-program"/>
    <hyperlink ref="B1327" r:id="rId1326" display="https://www.bigbatbox.com/blogs/fun-facts-about-owls/tagged/owl-diet"/>
    <hyperlink ref="B1328" r:id="rId1327" display="https://www.bigbatbox.com/it/blogs/backyard-birds/tagged/seasonal-feeding"/>
    <hyperlink ref="B1329" r:id="rId1328" display="https://www.bigbatbox.com/es/blogs/types-of-squirrels/tagged/wildlife-guide"/>
    <hyperlink ref="B1330" r:id="rId1329" display="https://www.bigbatbox.com/fr/blogs/backyard-birds/tagged/clinging-birds"/>
    <hyperlink ref="B1331" r:id="rId1330" display="https://www.bigbatbox.com/it/collections/2-chamber-bat-houses"/>
    <hyperlink ref="B1332" r:id="rId1331" display="https://www.bigbatbox.com/it/blogs/backyard-birds"/>
    <hyperlink ref="B1333" r:id="rId1332" display="https://www.bigbatbox.com/de/blogs/habitat-of-bats/tagged/backyard-eco-tips"/>
    <hyperlink ref="B1334" r:id="rId1333" display="https://www.bigbatbox.com/it/blogs/habitat-of-bats/tagged/bat-houses"/>
    <hyperlink ref="B1335" r:id="rId1334" display="https://www.bigbatbox.com/it/blogs/fun-facts-about-owls/how-long-do-owls-live"/>
    <hyperlink ref="B1336" r:id="rId1335" display="https://www.bigbatbox.com/it/blogs/types-of-squirrels/tagged/wildlife-behavior"/>
    <hyperlink ref="B1337" r:id="rId1336" display="https://www.bigbatbox.com/it/blogs/bee-species/tagged/bee-food-sources"/>
    <hyperlink ref="B1338" r:id="rId1337" display="https://www.bigbatbox.com/es/blogs/habitat-of-bats/tagged/home-conservation-tips"/>
    <hyperlink ref="B1339" r:id="rId1338" display="https://www.bigbatbox.com/de/blogs/backyard-birds/tagged/no-melt-suet"/>
    <hyperlink ref="B1340" r:id="rId1339" display="https://www.bigbatbox.com/en-ca/blogs/habitat-of-bats/tagged/three-chamber-bat-box"/>
    <hyperlink ref="B1341" r:id="rId1340" display="https://www.bigbatbox.com/fr/blogs/types-of-squirrels/tagged/buying-guide"/>
    <hyperlink ref="B1342" r:id="rId1341" display="https://www.bigbatbox.com/en-ca/blogs/types-of-squirrels/tagged/wildlife-habitat"/>
    <hyperlink ref="B1343" r:id="rId1342" display="https://www.bigbatbox.com/de/blogs/habitat-of-bats/tagged/bat-species"/>
    <hyperlink ref="B1344" r:id="rId1343" display="https://www.bigbatbox.com/it/blogs/habitat-of-bats/tagged/bat-house-direction"/>
    <hyperlink ref="B1345" r:id="rId1344" display="https://www.bigbatbox.com/blogs/fun-facts-about-owls/tagged/owl-behavior"/>
    <hyperlink ref="B1346" r:id="rId1345" display="https://www.bigbatbox.com/de/blogs/habitat-of-bats/tagged/two-chamber-bat-box"/>
    <hyperlink ref="B1347" r:id="rId1346" display="https://www.bigbatbox.com/de/blogs/habitat-of-bats/tagged/eco-friendly"/>
    <hyperlink ref="B1348" r:id="rId1347" display="https://www.bigbatbox.com/it/collections/all"/>
    <hyperlink ref="B1349" r:id="rId1348" display="https://www.bigbatbox.com/fr/blogs/wildyard-learn/tagged/bees-and-bats"/>
    <hyperlink ref="B1350" r:id="rId1349" display="https://www.bigbatbox.com/es/blogs/habitat-of-bats/tagged/bat-house-mosquito-control"/>
    <hyperlink ref="B1351" r:id="rId1350" display="https://www.bigbatbox.com/de/blogs/habitat-of-bats/tagged/2026-trends"/>
    <hyperlink ref="B1352" r:id="rId1351" display="https://www.bigbatbox.com/en-ca/blogs/bee-species/tagged/fun-facts-about-bees"/>
    <hyperlink ref="B1353" r:id="rId1352" display="https://www.bigbatbox.com/es/blogs/habitat-of-bats/tagged/bat-house-temperature"/>
    <hyperlink ref="B1354" r:id="rId1353" display="https://www.bigbatbox.com/es/blogs/habitat-of-bats/tagged/bats-near-home"/>
    <hyperlink ref="B1355" r:id="rId1354" display="https://www.bigbatbox.com/blogs/bee-species?page=2"/>
    <hyperlink ref="B1356" r:id="rId1355" display="https://www.bigbatbox.com/es/blogs/habitat-of-bats/tagged/native-plants-for-bats"/>
    <hyperlink ref="B1357" r:id="rId1356" display="https://www.bigbatbox.com/fr/blogs/habitat-of-bats/tagged/bat-house"/>
    <hyperlink ref="B1358" r:id="rId1357" display="https://www.bigbatbox.com/es/blogs/types-of-squirrels/are-squirrels-nocturnal"/>
    <hyperlink ref="B1359" r:id="rId1358" display="https://www.bigbatbox.com/blogs/habitat-of-bats/tagged/wildyard-bat-houses"/>
    <hyperlink ref="B1360" r:id="rId1359" display="https://www.bigbatbox.com/de/blogs/habitat-of-bats/tagged/black-bat-house"/>
    <hyperlink ref="B1361" r:id="rId1360" display="https://www.bigbatbox.com/it/blogs/fun-facts-about-owls/tagged/backyard-wildlife"/>
    <hyperlink ref="B1362" r:id="rId1361" display="https://www.bigbatbox.com/fr/blogs/habitat-of-bats/tagged/sustainable-gardens"/>
    <hyperlink ref="B1363" r:id="rId1362" display="https://www.bigbatbox.com/fr/blogs/habitat-of-bats/tagged/bat-species"/>
    <hyperlink ref="B1364" r:id="rId1363" display="https://www.bigbatbox.com/es/blogs/habitat-of-bats/tagged/eco-friendly-bat-shelter"/>
    <hyperlink ref="B1365" r:id="rId1364" display="https://www.bigbatbox.com/fr/blogs/habitat-of-bats/tagged/bat-housebat-conservation"/>
    <hyperlink ref="B1366" r:id="rId1365" display="https://www.bigbatbox.com/fr/blogs/fun-facts-about-owls/tagged/pet-safety"/>
    <hyperlink ref="B1367" r:id="rId1366" display="https://www.bigbatbox.com/fr/blogs/fun-facts-about-owls/tagged/wildlife-gardening"/>
    <hyperlink ref="B1368" r:id="rId1367" display="https://www.bigbatbox.com/fr/blogs/fun-facts-about-owls/tagged/night-sounds"/>
    <hyperlink ref="B1369" r:id="rId1368" display="https://www.bigbatbox.com/fr/blogs/fun-facts-about-owls/tagged/bat-and-owl"/>
    <hyperlink ref="B1370" r:id="rId1369" display="https://www.bigbatbox.com/de/blogs/types-of-squirrels/tagged/species-facts"/>
    <hyperlink ref="B1371" r:id="rId1370" display="https://www.bigbatbox.com/it/blogs/habitat-of-bats/tagged/dark-bat-house-benefits"/>
    <hyperlink ref="B1372" r:id="rId1371" display="https://www.bigbatbox.com/fr/blogs/habitat-of-bats/big-bat-box-comparison"/>
    <hyperlink ref="B1373" r:id="rId1372" display="https://www.bigbatbox.com/es/blogs/fun-facts-about-owls/tagged/backyard-wildlife"/>
    <hyperlink ref="B1374" r:id="rId1373" display="https://www.bigbatbox.com/de/blogs/fun-facts-about-owls/tagged/pet-safety"/>
    <hyperlink ref="B1375" r:id="rId1374" display="https://www.bigbatbox.com/en-ca/blogs/fun-facts-about-owls/are-owls-dangerous"/>
    <hyperlink ref="B1376" r:id="rId1375" display="https://www.bigbatbox.com/blogs/bee-species/tagged/leafcutter-bees"/>
    <hyperlink ref="B1377" r:id="rId1376" display="https://www.bigbatbox.com/blogs/fun-facts-about-owls/tagged/owl-box-faq"/>
    <hyperlink ref="B1378" r:id="rId1377" display="https://www.bigbatbox.com/blogs/habitat-of-bats/tagged/cedar-bat-house"/>
    <hyperlink ref="B1379" r:id="rId1378" display="https://www.bigbatbox.com/it/blogs/habitat-of-bats/tagged/bat-house-distance-from-trees"/>
    <hyperlink ref="B1380" r:id="rId1379" display="https://www.bigbatbox.com/blogs/habitat-of-bats/tagged/winter-wildlife"/>
    <hyperlink ref="B1381" r:id="rId1380" display="https://www.bigbatbox.com/es/blogs/habitat-of-bats/tagged/bat-roost-guide"/>
    <hyperlink ref="B1382" r:id="rId1381" display="https://www.bigbatbox.com/blogs/backyard-birds/tagged/hot-pepper-suet"/>
    <hyperlink ref="B1383" r:id="rId1382" display="https://www.bigbatbox.com/it/blogs/habitat-of-bats/tagged/home-conservation-tips"/>
    <hyperlink ref="B1384" r:id="rId1383" display="https://www.bigbatbox.com/en-ca/blogs/fun-facts-about-owls/tagged/owl-calls"/>
    <hyperlink ref="B1385" r:id="rId1384" display="https://www.bigbatbox.com/fr/blogs/habitat-of-bats/tagged/attract-bats"/>
    <hyperlink ref="B1386" r:id="rId1385" display="https://www.bigbatbox.com/blogs/habitat-of-bats/tagged/bat-house-for-cold-climates"/>
    <hyperlink ref="B1387" r:id="rId1386" display="https://www.bigbatbox.com/fr/blogs/fun-facts-about-owls/tagged/owl-identification"/>
    <hyperlink ref="B1388" r:id="rId1387" display="https://www.bigbatbox.com/de/blogs/backyard-birds/tagged/suet-for-birds"/>
    <hyperlink ref="B1389" r:id="rId1388" display="https://www.bigbatbox.com/fr/blogs/habitat-of-bats/tagged/eco-friendly-bat-shelter"/>
    <hyperlink ref="B1390" r:id="rId1389" display="https://www.bigbatbox.com/de/blogs/habitat-of-bats/tagged/northern-state-bat-box"/>
    <hyperlink ref="B1391" r:id="rId1390" display="https://www.bigbatbox.com/de/blogs/conservation-partners/tagged/1-for-the-planet"/>
    <hyperlink ref="B1392" r:id="rId1391" display="https://www.bigbatbox.com/fr/blogs/wildyard-learn/bats-bees-as-your-garden-pollinators"/>
    <hyperlink ref="B1393" r:id="rId1392" display="https://www.bigbatbox.com/de/blogs/habitat-of-bats/tagged/black-cedar-bat-house"/>
    <hyperlink ref="B1394" r:id="rId1393" display="https://www.bigbatbox.com/es/blogs/habitat-of-bats/tagged/painted-cedar-bat-house"/>
    <hyperlink ref="B1395" r:id="rId1394" display="https://www.bigbatbox.com/es/blogs/habitat-of-bats/tagged/bat-housebat-conservation"/>
    <hyperlink ref="B1396" r:id="rId1395" display="https://www.bigbatbox.com/it/blogs/wildyard-learn/tagged/bees-and-bats"/>
    <hyperlink ref="B1397" r:id="rId1396" display="https://www.bigbatbox.com/it/blogs/habitat-of-bats/how-to-attract-bats-your-go-to-guide"/>
    <hyperlink ref="B1398" r:id="rId1397" display="https://www.bigbatbox.com/en-ca/blogs/conservation-partners/wildyard-bird-conservancy-of-the-rockies-partnership"/>
    <hyperlink ref="B1399" r:id="rId1398" display="https://www.bigbatbox.com/blogs/habitat-of-bats/tagged/bat-proofing-tips"/>
    <hyperlink ref="B1400" r:id="rId1399" display="https://www.bigbatbox.com/fr/blogs/conservation-partners/tagged/1-for-the-planet"/>
    <hyperlink ref="B1401" r:id="rId1400" display="https://www.bigbatbox.com/de/blogs/fun-facts-about-owls/tagged/bird-habitats"/>
    <hyperlink ref="B1402" r:id="rId1401" display="https://www.bigbatbox.com/it/blogs/fun-facts-about-owls/tagged/wildlife-lifespan"/>
    <hyperlink ref="B1403" r:id="rId1402" display="https://www.bigbatbox.com/es/blogs/habitat-of-bats/tagged/yard-wildlife-guide"/>
    <hyperlink ref="B1404" r:id="rId1403" display="https://www.bigbatbox.com/fr/blogs/habitat-of-bats/do-bats-eat-mosquitoes-everything-you-need-to-know"/>
    <hyperlink ref="B1405" r:id="rId1404" display="https://www.bigbatbox.com/en-ca/blogs/habitat-of-bats/tagged/eco-friendly-bat-shelter"/>
    <hyperlink ref="B1406" r:id="rId1405" display="https://www.bigbatbox.com/fr/blogs/types-of-squirrels/tagged/wildlife-guide"/>
    <hyperlink ref="B1407" r:id="rId1406" display="https://www.bigbatbox.com/es/blogs/types-of-squirrels/tagged/nest-box-maintenance"/>
    <hyperlink ref="B1408" r:id="rId1407" display="https://www.bigbatbox.com/en-ca/blogs/habitat-of-bats/where-to-buy-bat-houses-your-go-to-guide"/>
    <hyperlink ref="B1409" r:id="rId1408" display="https://www.bigbatbox.com/de/blogs/habitat-of-bats/tagged/bat-house"/>
    <hyperlink ref="B1410" r:id="rId1409" display="https://www.bigbatbox.com/de/blogs/backyard-birds/tagged/starlings"/>
    <hyperlink ref="B1411" r:id="rId1410" display="https://www.bigbatbox.com/es/blogs/habitat-of-bats/tagged/mounting-bat-houses"/>
    <hyperlink ref="B1412" r:id="rId1411" display="https://www.bigbatbox.com/de/blogs/fun-facts-about-owls/tagged/squirrels"/>
    <hyperlink ref="B1413" r:id="rId1412" display="https://www.bigbatbox.com/it/blogs/habitat-of-bats/tagged/northern-state-bat-box"/>
    <hyperlink ref="B1414" r:id="rId1413" display="https://www.bigbatbox.com/it/blogs/habitat-of-bats/tagged/usa-bat-house-guide"/>
    <hyperlink ref="B1415" r:id="rId1414" display="https://www.bigbatbox.com/fr/blogs/habitat-of-bats/tagged/backyard-conservation"/>
    <hyperlink ref="B1416" r:id="rId1415" display="https://www.bigbatbox.com/it/blogs/fun-facts-about-owls/are-owls-dangerous"/>
    <hyperlink ref="B1417" r:id="rId1416" display="https://www.bigbatbox.com/es/blogs/fun-facts-about-owls/why-do-owls-hoot-at-night"/>
    <hyperlink ref="B1418" r:id="rId1417" display="https://www.bigbatbox.com/blogs/habitat-of-bats/tagged/northern-state-bat-box"/>
    <hyperlink ref="B1419" r:id="rId1418" display="https://www.bigbatbox.com/fr/blogs/habitat-of-bats/tagged/bat-house-chambers"/>
    <hyperlink ref="B1420" r:id="rId1419" display="https://www.bigbatbox.com/it/blogs/habitat-of-bats/best-backyard-bat-conservation-and-wildlife-habitat-trends-for-2026-so-far"/>
    <hyperlink ref="B1421" r:id="rId1420" display="https://www.bigbatbox.com/de/blogs/bee-species/tagged/backyard-wildlife"/>
    <hyperlink ref="B1422" r:id="rId1421" display="https://www.bigbatbox.com/it/blogs/habitat-of-bats/bci-certificate-why-you-should-care-about-it"/>
    <hyperlink ref="B1423" r:id="rId1422" display="https://www.bigbatbox.com/it/blogs/fun-facts-about-owls/tagged/owl-identification"/>
    <hyperlink ref="B1424" r:id="rId1423" display="https://www.bigbatbox.com/it/blogs/fun-facts-about-owls/tagged/wildlife-habitats"/>
    <hyperlink ref="B1425" r:id="rId1424" display="https://www.bigbatbox.com/it/blogs/habitat-of-bats/tagged/attract-bats"/>
    <hyperlink ref="B1426" r:id="rId1425" display="https://www.bigbatbox.com/es/blogs/types-of-squirrels/tagged/backyard-habitat"/>
    <hyperlink ref="B1427" r:id="rId1426" display="https://www.bigbatbox.com/fr/blogs/habitat-of-bats/tagged/attract-bats-to-yard"/>
    <hyperlink ref="B1428" r:id="rId1427" display="https://www.bigbatbox.com/blogs/fun-facts-about-owls/tagged/barn-owl"/>
    <hyperlink ref="B1429" r:id="rId1428" display="https://www.bigbatbox.com/en-ca/blogs/bee-species/tagged/pollinator-nutrition"/>
    <hyperlink ref="B1430" r:id="rId1429" display="https://www.bigbatbox.com/blogs/habitat-of-bats/tagged/bat-ecology-at-home"/>
    <hyperlink ref="B1431" r:id="rId1430" display="https://www.bigbatbox.com/fr/blogs/habitat-of-bats/tagged/bat-food"/>
    <hyperlink ref="B1432" r:id="rId1431" display="https://www.bigbatbox.com/en-ca/blogs/habitat-of-bats/tagged/winter-wildlife"/>
    <hyperlink ref="B1433" r:id="rId1432" display="https://www.bigbatbox.com/fr/blogs/habitat-of-bats/tagged/wildyard-bat-houses"/>
    <hyperlink ref="B1434" r:id="rId1433" display="https://www.bigbatbox.com/fr/blogs/types-of-squirrels/tagged/wildlife-behavior"/>
    <hyperlink ref="B1435" r:id="rId1434" display="https://www.bigbatbox.com/it/blogs/fun-facts-about-owls/tagged/snowy-owl"/>
    <hyperlink ref="B1436" r:id="rId1435" display="https://www.bigbatbox.com/it/blogs/bee-species/tagged/mason-bees"/>
    <hyperlink ref="B1437" r:id="rId1436" display="https://www.bigbatbox.com/de/blogs/types-of-squirrels/tagged/squirrel-feeder-ideas"/>
    <hyperlink ref="B1438" r:id="rId1437" display="https://www.bigbatbox.com/de/blogs/habitat-of-bats/tagged/wildlife-bat-box-guide"/>
    <hyperlink ref="B1439" r:id="rId1438" display="https://www.bigbatbox.com/fr/blogs/bee-species/tagged/leafcutter-bees"/>
    <hyperlink ref="B1440" r:id="rId1439" display="https://www.bigbatbox.com/it/blogs/habitat-of-bats/tagged/bat-house-warmth-retention"/>
    <hyperlink ref="B1441" r:id="rId1440" display="https://www.bigbatbox.com/fr/blogs/habitat-of-bats/9-fantastic-bat-facts-you-need-to-know"/>
    <hyperlink ref="B1442" r:id="rId1441" display="https://www.bigbatbox.com/de/blogs/habitat-of-bats/tagged/bat-housebat-conservation"/>
    <hyperlink ref="B1443" r:id="rId1442" display="https://www.bigbatbox.com/en-ca/blogs/habitat-of-bats/why-a-black-bat-house-is-perfect-for-cooler-climates"/>
    <hyperlink ref="B1444" r:id="rId1443" display="https://www.bigbatbox.com/en-ca/blogs/habitat-of-bats/tagged/south-facing-bat-house"/>
    <hyperlink ref="B1445" r:id="rId1444" display="https://www.bigbatbox.com/de/blogs/habitat-of-bats/tagged/bat-box-sunlight-requirements"/>
    <hyperlink ref="B1446" r:id="rId1445" display="https://www.bigbatbox.com/fr/blogs/habitat-of-bats/tagged/bat-house-height"/>
    <hyperlink ref="B1447" r:id="rId1446" display="https://www.bigbatbox.com/en-ca/blogs/fun-facts-about-owls/do-owls-eat-squirrels"/>
    <hyperlink ref="B1448" r:id="rId1447" display="https://www.bigbatbox.com/fr/blogs/fun-facts-about-owls/are-owls-dangerous"/>
    <hyperlink ref="B1449" r:id="rId1448" display="https://www.bigbatbox.com/fr/blogs/habitat-of-bats/tagged/eco-friendly-bat-house"/>
    <hyperlink ref="B1450" r:id="rId1449" display="https://www.bigbatbox.com/it/blogs/wildyard-learn/tagged/wildlife-care"/>
    <hyperlink ref="B1451" r:id="rId1450" display="https://www.bigbatbox.com/it/blogs/habitat-of-bats/the-definitive-guide-to-backyard-mosquito-control"/>
    <hyperlink ref="B1452" r:id="rId1451" display="https://www.bigbatbox.com/blogs/habitat-of-bats/tagged/bat-house-colors"/>
    <hyperlink ref="B1453" r:id="rId1452" display="https://www.bigbatbox.com/it/blogs/bee-species/tagged/bee-house"/>
    <hyperlink ref="B1454" r:id="rId1453" display="https://www.bigbatbox.com/en-ca/blogs/habitat-of-bats/tagged/eco-friendly"/>
    <hyperlink ref="B1455" r:id="rId1454" display="https://www.bigbatbox.com/es/blogs/fun-facts-about-owls/tagged/wildlife-habitats"/>
    <hyperlink ref="B1456" r:id="rId1455" display="https://www.bigbatbox.com/de/blogs/habitat-of-bats/tagged/diy-bat-box"/>
    <hyperlink ref="B1457" r:id="rId1456" display="https://www.bigbatbox.com/blogs/backyard-birds/can-you-feed-suet-in-summer"/>
    <hyperlink ref="B1458" r:id="rId1457" display="https://www.bigbatbox.com/fr/blogs/habitat-of-bats/tagged/northern-state-bat-box"/>
    <hyperlink ref="B1459" r:id="rId1458" display="https://www.bigbatbox.com/en-ca/blogs/habitat-of-bats/tagged/wildlife-management"/>
    <hyperlink ref="B1460" r:id="rId1459" display="https://www.bigbatbox.com/it/blogs/types-of-squirrels/tagged/squirrel-feeder-ideas"/>
    <hyperlink ref="B1461" r:id="rId1460" display="https://www.bigbatbox.com/it/blogs/wildyard-learn/tagged/pollination"/>
    <hyperlink ref="B1462" r:id="rId1461" display="https://www.bigbatbox.com/en-ca/blogs/habitat-of-bats/11-interesting-things-to-know-about-bat-houses"/>
    <hyperlink ref="B1463" r:id="rId1462" display="https://www.bigbatbox.com/es/blogs/bee-species/tagged/leafcutter-bees"/>
    <hyperlink ref="B1464" r:id="rId1463" display="https://www.bigbatbox.com/fr/blogs/habitat-of-bats/nichoir-chauve-souris-guide-installation"/>
    <hyperlink ref="B1465" r:id="rId1464" display="https://www.bigbatbox.com/it/blogs/fun-facts-about-owls/what-do-owls-eat"/>
    <hyperlink ref="B1466" r:id="rId1465" display="https://www.bigbatbox.com/blogs/habitat-of-bats/tagged/bat-house-warmth-retention"/>
    <hyperlink ref="B1467" r:id="rId1466" display="https://www.bigbatbox.com/it/blogs/fun-facts-about-owls/tagged/great-horned-owl"/>
    <hyperlink ref="B1468" r:id="rId1467" display="https://www.bigbatbox.com/es/blogs/habitat-of-bats/tagged/wildlife-management"/>
    <hyperlink ref="B1469" r:id="rId1468" display="https://www.bigbatbox.com/en-ca/blogs/habitat-of-bats/tagged/coexist-with-bats"/>
    <hyperlink ref="B1470" r:id="rId1469" display="https://www.bigbatbox.com/es/blogs/habitat-of-bats/tagged/backyard-wildlife"/>
    <hyperlink ref="B1471" r:id="rId1470" display="https://www.bigbatbox.com/it/blogs/habitat-of-bats/tagged/backyard-wildlife"/>
    <hyperlink ref="B1472" r:id="rId1471" display="https://www.bigbatbox.com/en-ca/pages/wildyard-x-angry-birds-flowerpot-birdhouse-instructions"/>
    <hyperlink ref="B1473" r:id="rId1472" display="https://www.bigbatbox.com/blogs/habitat-of-bats/tagged/cooler-climate-bat-habitat"/>
    <hyperlink ref="B1474" r:id="rId1473" display="https://www.bigbatbox.com/en-ca/blogs/habitat-of-bats/tagged/cooler-climate-bat-habitat"/>
    <hyperlink ref="B1475" r:id="rId1474" display="https://www.bigbatbox.com/es/blogs/habitat-of-bats/tagged/three-chamber-bat-box"/>
    <hyperlink ref="B1476" r:id="rId1475" display="https://www.bigbatbox.com/it/blogs/habitat-of-bats/why-you-need-a-bat-house-your-go-to-guide"/>
    <hyperlink ref="B1477" r:id="rId1476" display="https://www.bigbatbox.com/it/blogs/habitat-of-bats/tagged/bat-house-placement-guide"/>
    <hyperlink ref="B1478" r:id="rId1477" display="https://www.bigbatbox.com/es/blogs/types-of-squirrels/tagged/squirrel-food"/>
    <hyperlink ref="B1479" r:id="rId1478" display="https://www.bigbatbox.com/blogs/fun-facts-about-owls/tagged/night-sounds"/>
    <hyperlink ref="B1480" r:id="rId1479" display="https://www.bigbatbox.com/fr/blogs/habitat-of-bats/tagged/sustainable-bat-boxes"/>
    <hyperlink ref="B1481" r:id="rId1480" display="https://www.bigbatbox.com/es/blogs/habitat-of-bats/tagged/backyard-conservation"/>
    <hyperlink ref="B1482" r:id="rId1481" display="https://www.bigbatbox.com/it/blogs/habitat-of-bats/a-brief-guide-to-building-and-installing-bat-boxes"/>
    <hyperlink ref="B1483" r:id="rId1482" display="https://www.bigbatbox.com/it/blogs/wildyard-learn/tagged/garden-pollinators"/>
    <hyperlink ref="B1484" r:id="rId1483" display="https://www.bigbatbox.com/fr/blogs/habitat-of-bats/tagged/bat-friendly-backyard"/>
    <hyperlink ref="B1485" r:id="rId1484" display="https://www.bigbatbox.com/de/blogs/backyard-birds/tagged/woodpeckers"/>
    <hyperlink ref="B1486" r:id="rId1485" display="https://www.bigbatbox.com/blogs/habitat-of-bats/tagged/coexist-with-bats"/>
    <hyperlink ref="B1487" r:id="rId1486" display="https://www.bigbatbox.com/fr/blogs/habitat-of-bats/tagged/bat-house-colors"/>
    <hyperlink ref="B1488" r:id="rId1487" display="https://www.bigbatbox.com/es/blogs/types-of-squirrels/tagged/squirrel-nesting-box"/>
    <hyperlink ref="B1489" r:id="rId1488" display="https://www.bigbatbox.com/de/blogs/fun-facts-about-owls/tagged/owl-calls"/>
    <hyperlink ref="B1490" r:id="rId1489" display="https://www.bigbatbox.com/de/blogs/bee-species/tagged/bees-diet"/>
    <hyperlink ref="B1491" r:id="rId1490" display="https://www.bigbatbox.com/es/blogs/bee-species/tagged/bee-habitat-faq"/>
    <hyperlink ref="B1492" r:id="rId1491" display="https://www.bigbatbox.com/fr/blogs/habitat-of-bats/tagged/backyard-eco-tips"/>
    <hyperlink ref="B1493" r:id="rId1492" display="https://www.bigbatbox.com/blogs/bee-species/tagged/bees-diet"/>
    <hyperlink ref="B1494" r:id="rId1493" display="https://www.bigbatbox.com/en-ca/blogs/habitat-of-bats/tagged/backyard-pest-control"/>
    <hyperlink ref="B1495" r:id="rId1494" display="https://www.bigbatbox.com/fr/blogs/types-of-squirrels/when-do-squirrels-have-babies"/>
    <hyperlink ref="B1496" r:id="rId1495" display="https://www.bigbatbox.com/es/blogs/habitat-of-bats/tagged/wildyard-bat-house-guide"/>
    <hyperlink ref="B1497" r:id="rId1496" display="https://www.bigbatbox.com/es/blogs/bee-species?page=2"/>
    <hyperlink ref="B1498" r:id="rId1497" display="https://www.bigbatbox.com/en-ca/blogs/types-of-squirrels/tagged/nest-box-maintenance"/>
    <hyperlink ref="B1499" r:id="rId1498" display="https://www.bigbatbox.com/de/blogs/habitat-of-bats/tagged/bats-near-home"/>
    <hyperlink ref="B1500" r:id="rId1499" display="https://www.bigbatbox.com/fr/blogs/wildyard-news/introducing-the-wildyard-x-angry-birds%E2%84%A2-collection-turn-your-garden-into-a-wildlife-habitat"/>
    <hyperlink ref="B1501" r:id="rId1500" display="https://www.bigbatbox.com/en-ca/pages/bat-houses-for-sale"/>
    <hyperlink ref="B1502" r:id="rId1501" display="https://www.bigbatbox.com/it/blogs/habitat-of-bats/tagged/bat-diet"/>
    <hyperlink ref="B1503" r:id="rId1502" display="https://www.bigbatbox.com/en-ca/blogs/habitat-of-bats/bat-house-certification-explained"/>
    <hyperlink ref="B1504" r:id="rId1503" display="https://www.bigbatbox.com/it/blogs/habitat-of-bats/tagged/help-bats-at-home"/>
    <hyperlink ref="B1505" r:id="rId1504" display="https://www.bigbatbox.com/fr/blogs/types-of-squirrels/do-squirrels-hibernate"/>
    <hyperlink ref="B1506" r:id="rId1505" display="https://www.bigbatbox.com/fr/blogs/bee-species/unveiling-the-world-of-bees-nature-s-tiny-architects"/>
    <hyperlink ref="B1507" r:id="rId1506" display="https://www.bigbatbox.com/en-ca/blogs/habitat-of-bats/tagged/two-chamber-bat-box"/>
    <hyperlink ref="B1508" r:id="rId1507" display="https://www.bigbatbox.com/blogs/fun-facts-about-owls/tagged/owl-safety"/>
    <hyperlink ref="B1509" r:id="rId1508" display="https://www.bigbatbox.com/it/blogs/habitat-of-bats/tagged/ecosystem"/>
    <hyperlink ref="B1510" r:id="rId1509" display="https://www.bigbatbox.com/blogs/backyard-birds/what-birds-eat-suet"/>
    <hyperlink ref="B1511" r:id="rId1510" display="https://www.bigbatbox.com/fr/blogs/wildyard-learn/tagged/pollination"/>
    <hyperlink ref="B1512" r:id="rId1511" display="https://www.bigbatbox.com/es/blogs/habitat-of-bats/tagged/wildlife-habitat"/>
    <hyperlink ref="B1513" r:id="rId1512" display="https://www.bigbatbox.com/en-ca/pages/cedar-squirrel-house"/>
    <hyperlink ref="B1514" r:id="rId1513" display="https://www.bigbatbox.com/es/blogs/fun-facts-about-owls/tagged/owls"/>
    <hyperlink ref="B1515" r:id="rId1514" display="https://www.bigbatbox.com/it/blogs/fun-facts-about-owls/tagged/owl-hooting"/>
    <hyperlink ref="B1516" r:id="rId1515" display="https://www.bigbatbox.com/es/blogs/habitat-of-bats/tagged/winter-wildlife"/>
    <hyperlink ref="B1517" r:id="rId1516" display="https://www.bigbatbox.com/fr/blogs/habitat-of-bats/tagged/bat-box-placement"/>
    <hyperlink ref="B1518" r:id="rId1517" display="https://www.bigbatbox.com/it/blogs/fun-facts-about-owls/tagged/owl-box-faq"/>
    <hyperlink ref="B1519" r:id="rId1518" display="https://www.bigbatbox.com/it/blogs/habitat-of-bats/tagged/diy-bat-house"/>
    <hyperlink ref="B1520" r:id="rId1519" display="https://www.bigbatbox.com/fr/blogs/types-of-squirrels/tagged/squirrel-house-feeder"/>
    <hyperlink ref="B1521" r:id="rId1520" display="https://www.bigbatbox.com/it/blogs/backyard-birds/tagged/suet-feeder"/>
    <hyperlink ref="B1522" r:id="rId1521" display="https://www.bigbatbox.com/it/blogs/habitat-of-bats/tagged/sustainable-bat-boxes"/>
    <hyperlink ref="B1523" r:id="rId1522" display="https://www.bigbatbox.com/blogs/types-of-squirrels/tagged/wildlife-behavior"/>
    <hyperlink ref="B1524" r:id="rId1523" display="https://www.bigbatbox.com/es/blogs/habitat-of-bats/tagged/attract-bats-to-yard"/>
    <hyperlink ref="B1525" r:id="rId1524" display="https://www.bigbatbox.com/it/blogs/habitat-of-bats/tagged/south-facing-bat-house"/>
    <hyperlink ref="B1526" r:id="rId1525" display="https://www.bigbatbox.com/de/blogs/habitat-of-bats/tagged/bat-house-direction"/>
    <hyperlink ref="B1527" r:id="rId1526" display="https://www.bigbatbox.com/blogs/habitat-of-bats/tagged/bat-house-chambers"/>
    <hyperlink ref="B1528" r:id="rId1527" display="https://www.bigbatbox.com/it/blogs/types-of-squirrels/tagged/nest-box-maintenance"/>
    <hyperlink ref="B1529" r:id="rId1528" display="https://www.bigbatbox.com/es/blogs/backyard-birds/what-birds-eat-suet"/>
    <hyperlink ref="B1530" r:id="rId1529" display="https://www.bigbatbox.com/it/blogs/habitat-of-bats/tagged/wildlife-bat-box-guide"/>
    <hyperlink ref="B1531" r:id="rId1530" display="https://www.bigbatbox.com/it/blogs/habitat-of-bats/tagged/safe-wildlife-practices"/>
    <hyperlink ref="B1532" r:id="rId1531" display="https://www.bigbatbox.com/fr/blogs/habitat-of-bats/tagged/bat-safety"/>
    <hyperlink ref="B1533" r:id="rId1532" display="https://www.bigbatbox.com/it/blogs/wildyard-news"/>
    <hyperlink ref="B1534" r:id="rId1533" display="https://www.bigbatbox.com/fr/blogs/habitat-of-bats/tagged/bat-benefits"/>
    <hyperlink ref="B1535" r:id="rId1534" display="https://www.bigbatbox.com/fr/blogs/backyard-birds/tagged/bird-feeding"/>
    <hyperlink ref="B1536" r:id="rId1535" display="https://www.bigbatbox.com/it/blogs/bee-species/tagged/bee-conservation"/>
    <hyperlink ref="B1537" r:id="rId1536" display="https://www.bigbatbox.com/fr/blogs/habitat-of-bats/tagged/painted-cedar-bat-house"/>
    <hyperlink ref="B1538" r:id="rId1537" display="https://www.bigbatbox.com/de/blogs/types-of-squirrels/tagged/squirrel-habitat"/>
    <hyperlink ref="B1539" r:id="rId1538" display="https://www.bigbatbox.com/fr/blogs/habitat-of-bats/tagged/yard-wildlife-guide"/>
    <hyperlink ref="B1540" r:id="rId1539" display="https://www.bigbatbox.com/es/blogs/habitat-of-bats/tagged/backyard-eco-tips"/>
    <hyperlink ref="B1541" r:id="rId1540" display="https://www.bigbatbox.com/en-ca/blogs/habitat-of-bats/tagged/dark-bat-houses"/>
    <hyperlink ref="B1542" r:id="rId1541" display="https://www.bigbatbox.com/es/blogs/types-of-squirrels/tagged/squirrels"/>
    <hyperlink ref="B1543" r:id="rId1542" display="https://www.bigbatbox.com/it/blogs/types-of-squirrels/tagged/squirrel-house-feeder"/>
    <hyperlink ref="B1544" r:id="rId1543" display="https://www.bigbatbox.com/es/blogs/habitat-of-bats/tagged/pollinator-friendly-yard"/>
    <hyperlink ref="B1545" r:id="rId1544" display="https://www.bigbatbox.com/it/blogs/habitat-of-bats/tagged/insect-control"/>
    <hyperlink ref="B1546" r:id="rId1545" display="https://www.bigbatbox.com/it/blogs/habitat-of-bats/bat-house-certification-explained"/>
    <hyperlink ref="B1547" r:id="rId1546" display="https://www.bigbatbox.com/de/blogs/habitat-of-bats/tagged/bat-house-colors"/>
    <hyperlink ref="B1548" r:id="rId1547" display="https://www.bigbatbox.com/fr/blogs/habitat-of-bats/tagged/bci-certified-bat-house"/>
    <hyperlink ref="B1549" r:id="rId1548" display="https://www.bigbatbox.com/en-ca/blogs/habitat-of-bats/tagged/sustainable-gardens"/>
    <hyperlink ref="B1550" r:id="rId1549" display="https://www.bigbatbox.com/blogs/habitat-of-bats/tagged/bat-house-usa-climate"/>
    <hyperlink ref="B1551" r:id="rId1550" display="https://www.bigbatbox.com/fr/blogs/habitat-of-bats/tagged/humane-bat-removal"/>
    <hyperlink ref="B1552" r:id="rId1551" display="https://www.bigbatbox.com/es/blogs/types-of-squirrels/when-do-squirrels-have-babies"/>
    <hyperlink ref="B1553" r:id="rId1552" display="https://www.bigbatbox.com/it/blogs/habitat-of-bats/tagged/cedar-bat-house"/>
    <hyperlink ref="B1554" r:id="rId1553" display="https://www.bigbatbox.com/en-ca/blogs/habitat-of-bats/tagged/dark-bat-house-benefits"/>
    <hyperlink ref="B1555" r:id="rId1554" display="https://www.bigbatbox.com/es/blogs/fun-facts-about-owls/tagged/owl-hooting"/>
    <hyperlink ref="B1556" r:id="rId1555" display="https://www.bigbatbox.com/en-ca/blogs/habitat-of-bats/tagged/eco-friendly-pest-solutions"/>
    <hyperlink ref="B1557" r:id="rId1556" display="https://www.bigbatbox.com/fr/blogs/bee-species/tagged/nature-s-architects"/>
    <hyperlink ref="B1558" r:id="rId1557" display="https://www.bigbatbox.com/es/blogs/bee-species/tagged/hive-behavior"/>
    <hyperlink ref="B1559" r:id="rId1558" display="https://www.bigbatbox.com/blogs/bee-species/tagged/bee-habitat-faq"/>
    <hyperlink ref="B1560" r:id="rId1559" display="https://www.bigbatbox.com/fr/blogs/habitat-of-bats/tagged/diy-bat-box"/>
    <hyperlink ref="B1561" r:id="rId1560" display="https://www.bigbatbox.com/blogs/types-of-squirrels/tagged/squirrel-house-feeder"/>
    <hyperlink ref="B1562" r:id="rId1561" display="https://www.bigbatbox.com/it/blogs/habitat-of-bats/tagged/home-pest-control"/>
    <hyperlink ref="B1563" r:id="rId1562" display="https://www.bigbatbox.com/es/blogs/habitat-of-bats/tagged/bat-house-usa-climate"/>
    <hyperlink ref="B1564" r:id="rId1563" display="https://www.bigbatbox.com/es/blogs/fun-facts-about-owls/how-long-do-owls-live"/>
    <hyperlink ref="B1565" r:id="rId1564" display="https://www.bigbatbox.com/de/blogs/habitat-of-bats/tagged/bat-habitat"/>
    <hyperlink ref="B1566" r:id="rId1565" display="https://www.bigbatbox.com/de/blogs/habitat-of-bats/tagged/bat-in-the-house-in-winter"/>
    <hyperlink ref="B1567" r:id="rId1566" display="https://www.bigbatbox.com/de/blogs/fun-facts-about-owls/tagged/barn-owl"/>
    <hyperlink ref="B1568" r:id="rId1567" display="https://www.bigbatbox.com/es/blogs/habitat-of-bats/tagged/bat-roosting-guide"/>
    <hyperlink ref="B1569" r:id="rId1568" display="https://www.bigbatbox.com/blogs/conservation-partners/tagged/birds"/>
    <hyperlink ref="B1570" r:id="rId1569" display="https://www.bigbatbox.com/de/blogs/habitat-of-bats/tagged/are-bats-dangerous"/>
    <hyperlink ref="B1571" r:id="rId1570" display="https://www.bigbatbox.com/blogs/habitat-of-bats/tagged/wildlife-habitat"/>
    <hyperlink ref="B1572" r:id="rId1571" display="https://www.bigbatbox.com/blogs/habitat-of-bats/tagged/tall-bat-house-design"/>
    <hyperlink ref="B1573" r:id="rId1572" display="https://www.bigbatbox.com/de/blogs/backyard-birds"/>
    <hyperlink ref="B1574" r:id="rId1573" display="https://www.bigbatbox.com/fr/blogs/fun-facts-about-owls/tagged/backyard-wildlife"/>
    <hyperlink ref="B1575" r:id="rId1574" display="https://www.bigbatbox.com/blogs/backyard-birds/tagged/backyard-birds"/>
    <hyperlink ref="B1576" r:id="rId1575" display="https://www.bigbatbox.com/fr/blogs/habitat-of-bats/tagged/backyard-wildlife"/>
    <hyperlink ref="B1577" r:id="rId1576" display="https://www.bigbatbox.com/fr/blogs/habitat-of-bats/tagged/safe-wildlife-practices"/>
    <hyperlink ref="B1578" r:id="rId1577" display="https://www.bigbatbox.com/fr/blogs/habitat-of-bats/tagged/2026-trends"/>
    <hyperlink ref="B1579" r:id="rId1578" display="https://www.bigbatbox.com/it/products/bat-barn-junior-black"/>
    <hyperlink ref="B1580" r:id="rId1579" display="https://www.bigbatbox.com/it/blogs/habitat-of-bats/tagged/bat-box-guide"/>
    <hyperlink ref="B1581" r:id="rId1580" display="https://www.bigbatbox.com/de/blogs/bee-species/tagged/honey-making"/>
    <hyperlink ref="B1582" r:id="rId1581" display="https://www.bigbatbox.com/fr/blogs/habitat-of-bats/tagged/are-bats-dangerous"/>
    <hyperlink ref="B1583" r:id="rId1582" display="https://www.bigbatbox.com/it/blogs/fun-facts-about-owls/tagged/owl-attraction"/>
    <hyperlink ref="B1584" r:id="rId1583" display="https://www.bigbatbox.com/es/blogs/habitat-of-bats/tagged/vampire-bats"/>
    <hyperlink ref="B1585" r:id="rId1584" display="https://www.bigbatbox.com/blogs/conservation-partners/tagged/1-for-the-planet"/>
    <hyperlink ref="B1586" r:id="rId1585" display="https://www.bigbatbox.com/it/blogs/habitat-of-bats/tagged/mosquito-reduction-with-bats"/>
    <hyperlink ref="B1587" r:id="rId1586" display="https://www.bigbatbox.com/blogs/habitat-of-bats/tagged/black-cedar-bat-house"/>
    <hyperlink ref="B1588" r:id="rId1587" display="https://www.bigbatbox.com/it/blogs/fun-facts-about-owls/tagged/wildlife-conservation"/>
    <hyperlink ref="B1589" r:id="rId1588" display="https://www.bigbatbox.com/fr/blogs/habitat-of-bats/bat-conservation-tips-for-homeowners-simple-ways-to-help-bats-at-home"/>
    <hyperlink ref="B1590" r:id="rId1589" display="https://www.bigbatbox.com/fr/blogs/fun-facts-about-owls/tagged/owl-behavior"/>
    <hyperlink ref="B1591" r:id="rId1590" display="https://www.bigbatbox.com/fr/blogs/habitat-of-bats/tagged/winter-wildlife"/>
    <hyperlink ref="B1592" r:id="rId1591" display="https://www.bigbatbox.com/it/blogs/types-of-squirrels/tagged/squirrels"/>
    <hyperlink ref="B1593" r:id="rId1592" display="https://www.bigbatbox.com/es/blogs/habitat-of-bats/tagged/wildlife-conservation"/>
    <hyperlink ref="B1594" r:id="rId1593" display="https://www.bigbatbox.com/fr/blogs/bee-species/fun-facts-about-bees"/>
    <hyperlink ref="B1595" r:id="rId1594" display="https://www.bigbatbox.com/fr/blogs/fun-facts-about-owls/do-owls-eat-squirrels"/>
    <hyperlink ref="B1596" r:id="rId1595" display="https://www.bigbatbox.com/it/blogs/bee-species/tagged/bumblebees"/>
    <hyperlink ref="B1597" r:id="rId1596" display="https://www.bigbatbox.com/de/blogs/habitat-of-bats/tagged/home-conservation-tips"/>
    <hyperlink ref="B1598" r:id="rId1597" display="https://www.bigbatbox.com/en-ca/blogs/fun-facts-about-owls/tagged/pet-safety"/>
    <hyperlink ref="B1599" r:id="rId1598" display="https://www.bigbatbox.com/en-ca/pages/wildyard-x-angry-birds-diy-birdhouse-instructions"/>
    <hyperlink ref="B1600" r:id="rId1599" display="https://www.bigbatbox.com/it/blogs/habitat-of-bats/tagged/bat-house-installation"/>
    <hyperlink ref="B1601" r:id="rId1600" display="https://www.bigbatbox.com/en-ca/blogs/fun-facts-about-owls/tagged/owls"/>
    <hyperlink ref="B1602" r:id="rId1601" display="https://www.bigbatbox.com/blogs/habitat-of-bats/tagged/bat-house-advice"/>
    <hyperlink ref="B1603" r:id="rId1602" display="https://www.bigbatbox.com/it/blogs/habitat-of-bats/tagged/eco-friendly-pest-solutions"/>
    <hyperlink ref="B1604" r:id="rId1603" display="https://www.bigbatbox.com/it/blogs/bee-species/tagged/bee-houses"/>
    <hyperlink ref="B1605" r:id="rId1604" display="https://www.bigbatbox.com/it/blogs/bee-species/unveiling-the-world-of-bees-nature-s-tiny-architects"/>
    <hyperlink ref="B1606" r:id="rId1605" display="https://www.bigbatbox.com/es/blogs/habitat-of-bats/tagged/bat-diet"/>
    <hyperlink ref="B1607" r:id="rId1606" display="https://www.bigbatbox.com/en-ca/blogs/habitat-of-bats/tagged/natural-pest-control"/>
    <hyperlink ref="B1608" r:id="rId1607" display="https://www.bigbatbox.com/en-ca/blogs/habitat-of-bats/7-benefits-of-bat-houses"/>
    <hyperlink ref="B1609" r:id="rId1608" display="https://www.bigbatbox.com/en-ca/blogs/fun-facts-about-owls/tagged/owl-diet"/>
    <hyperlink ref="B1610" r:id="rId1609" display="https://www.bigbatbox.com/it/blogs/fun-facts-about-owls/tagged/screech-owl-box"/>
    <hyperlink ref="B1611" r:id="rId1610" display="https://www.bigbatbox.com/it/blogs/types-of-squirrels/tagged/backyard-wildlife"/>
    <hyperlink ref="B1612" r:id="rId1611" display="https://www.bigbatbox.com/fr/blogs/habitat-of-bats/tagged/mammal-facts"/>
    <hyperlink ref="B1613" r:id="rId1612" display="https://www.bigbatbox.com/blogs/bee-species/tagged/bees-pollination"/>
    <hyperlink ref="B1614" r:id="rId1613" display="https://www.bigbatbox.com/it/collections/owl-boxes"/>
    <hyperlink ref="B1615" r:id="rId1614" display="https://www.bigbatbox.com/it/blogs/habitat-of-bats/tagged/bat-house-temperature"/>
    <hyperlink ref="B1616" r:id="rId1615" display="https://www.bigbatbox.com/fr/blogs/bee-species/tagged/solitary-bees"/>
    <hyperlink ref="B1617" r:id="rId1616" display="https://www.bigbatbox.com/en-ca/blogs/backyard-birds/tagged/no-melt-suet"/>
    <hyperlink ref="B1618" r:id="rId1617" display="https://www.bigbatbox.com/fr/blogs/habitat-of-bats/tagged/mosquito-reduction-with-bats"/>
    <hyperlink ref="B1619" r:id="rId1618" display="https://www.bigbatbox.com/it/blogs/habitat-of-bats/tagged/microbats"/>
    <hyperlink ref="B1620" r:id="rId1619" display="https://www.bigbatbox.com/blogs/habitat-of-bats/tagged/bats-as-pollinators"/>
    <hyperlink ref="B1621" r:id="rId1620" display="https://www.bigbatbox.com/es/blogs/types-of-squirrels/tagged/winter-wildlife"/>
    <hyperlink ref="B1622" r:id="rId1621" display="https://www.bigbatbox.com/en-ca/blogs/backyard-birds/tagged/squirrels"/>
    <hyperlink ref="B1623" r:id="rId1622" display="https://www.bigbatbox.com/it/blogs/habitat-of-bats/tagged/wildlife-friendly-home"/>
    <hyperlink ref="B1624" r:id="rId1623" display="https://www.bigbatbox.com/fr/blogs/fun-facts-about-owls/tagged/owl-safety"/>
    <hyperlink ref="B1625" r:id="rId1624" display="https://www.bigbatbox.com/es/blogs/backyard-birds/tagged/suet-for-birds"/>
    <hyperlink ref="B1626" r:id="rId1625" display="https://www.bigbatbox.com/it/collections/bee-houses"/>
    <hyperlink ref="B1627" r:id="rId1626" display="https://www.bigbatbox.com/en-ca/blogs/habitat-of-bats/tagged/bat-house-tips"/>
    <hyperlink ref="B1628" r:id="rId1627" display="https://www.bigbatbox.com/es/blogs/backyard-birds/tagged/woodpeckers"/>
    <hyperlink ref="B1629" r:id="rId1628" display="https://www.bigbatbox.com/fr/blogs/bee-species/tagged/bees-pollination"/>
    <hyperlink ref="B1630" r:id="rId1629" display="https://www.bigbatbox.com/en-ca/blogs/bee-species/tagged/honey-production"/>
    <hyperlink ref="B1631" r:id="rId1630" display="https://www.bigbatbox.com/blogs/habitat-of-bats/tagged/native-plants-for-bats"/>
    <hyperlink ref="B1632" r:id="rId1631" display="https://www.bigbatbox.com/fr/blogs/bee-species/tagged/bee-house"/>
    <hyperlink ref="B1633" r:id="rId1632" display="https://www.bigbatbox.com/en-ca/blogs/bee-species?page=2"/>
    <hyperlink ref="B1634" r:id="rId1633" display="https://www.bigbatbox.com/blogs/types-of-squirrels/tagged/squirrel-food"/>
    <hyperlink ref="B1635" r:id="rId1634" display="https://www.bigbatbox.com/es/blogs/habitat-of-bats/tagged/best-bat-house-placement"/>
    <hyperlink ref="B1636" r:id="rId1635" display="https://www.bigbatbox.com/en-ca/blogs/wildyard-learn/tagged/garden-pollinators"/>
    <hyperlink ref="B1637" r:id="rId1636" display="https://www.bigbatbox.com/es/blogs/fun-facts-about-owls/tagged/snowy-owl"/>
    <hyperlink ref="B1638" r:id="rId1637" display="https://www.bigbatbox.com/it/blogs/habitat-of-bats/tagged/water-for-bats"/>
    <hyperlink ref="B1639" r:id="rId1638" display="https://www.bigbatbox.com/it/blogs/habitat-of-bats/tagged/bat-house"/>
    <hyperlink ref="B1640" r:id="rId1639" display="https://www.bigbatbox.com/es/blogs/habitat-of-bats/tagged/diy-bat-box"/>
    <hyperlink ref="B1641" r:id="rId1640" display="https://www.bigbatbox.com/es/blogs/fun-facts-about-owls/what-do-owls-eat"/>
    <hyperlink ref="B1642" r:id="rId1641" display="https://www.bigbatbox.com/blogs/bee-species/tagged/honey-bees"/>
    <hyperlink ref="B1643" r:id="rId1642" display="https://www.bigbatbox.com/it/blogs/habitat-of-bats/7-benefits-of-bat-houses"/>
    <hyperlink ref="B1644" r:id="rId1643" display="https://www.bigbatbox.com/fr/blogs/types-of-squirrels/tagged/squirrel-nesting-box"/>
    <hyperlink ref="B1645" r:id="rId1644" display="https://www.bigbatbox.com/it/blogs/bee-species/tagged/backyard-wildlife"/>
    <hyperlink ref="B1646" r:id="rId1645" display="https://www.bigbatbox.com/en-ca/blogs/habitat-of-bats/tagged/bat-house"/>
    <hyperlink ref="B1647" r:id="rId1646" display="https://www.bigbatbox.com/es/blogs/bee-species/tagged/pollinator-nutrition"/>
    <hyperlink ref="B1648" r:id="rId1647" display="https://www.bigbatbox.com/fr/blogs/habitat-of-bats/nichoir-chauve-souris-attirer"/>
    <hyperlink ref="B1649" r:id="rId1648" display="https://www.bigbatbox.com/en-ca/blogs/types-of-squirrels/tagged/species-facts"/>
    <hyperlink ref="B1650" r:id="rId1649" display="https://www.bigbatbox.com/es/blogs/types-of-squirrels/tagged/cedar-habitat"/>
    <hyperlink ref="B1651" r:id="rId1650" display="https://www.bigbatbox.com/it/blogs/habitat-of-bats?page=4"/>
    <hyperlink ref="B1652" r:id="rId1651" display="https://www.bigbatbox.com/fr/blogs/habitat-of-bats/tagged/building-and-installing-bat-boxes"/>
    <hyperlink ref="B1653" r:id="rId1652" display="https://www.bigbatbox.com/blogs/fun-facts-about-owls/tagged/bat-and-owl"/>
    <hyperlink ref="B1654" r:id="rId1653" display="https://www.bigbatbox.com/de/blogs/habitat-of-bats/tagged/guano"/>
    <hyperlink ref="B1655" r:id="rId1654" display="https://www.bigbatbox.com/it/blogs/habitat-of-bats/tagged/best-bat-boxes-for-mosquito-control"/>
    <hyperlink ref="B1656" r:id="rId1655" display="https://www.bigbatbox.com/fr/blogs/habitat-of-bats/tagged/bat-conservation-tips"/>
    <hyperlink ref="B1657" r:id="rId1656" display="https://www.bigbatbox.com/blogs/bee-species/tagged/solitary-bees"/>
    <hyperlink ref="B1658" r:id="rId1657" display="https://www.bigbatbox.com/es/blogs/habitat-of-bats/tagged/bat-conservation-tips"/>
    <hyperlink ref="B1659" r:id="rId1658" display="https://www.bigbatbox.com/es/blogs/habitat-of-bats/tagged/bat-house-pole"/>
    <hyperlink ref="B1660" r:id="rId1659" display="https://www.bigbatbox.com/fr/blogs/habitat-of-bats/some-interesting-busted-myths-and-facts-about-bats"/>
    <hyperlink ref="B1661" r:id="rId1660" display="https://www.bigbatbox.com/it/blogs/bee-species?page=2"/>
    <hyperlink ref="B1662" r:id="rId1661" display="https://www.bigbatbox.com/en-ca/blogs/habitat-of-bats/tagged/bat-house-wall-mount"/>
    <hyperlink ref="B1663" r:id="rId1662" display="https://www.bigbatbox.com/en-ca/blogs/types-of-squirrels/tagged/wildlife-behavior"/>
    <hyperlink ref="B1664" r:id="rId1663" display="https://www.bigbatbox.com/de/blogs/habitat-of-bats/tagged/attract-bats"/>
    <hyperlink ref="B1665" r:id="rId1664" display="https://www.bigbatbox.com/fr/blogs/habitat-of-bats/11-interesting-things-to-know-about-bat-houses"/>
    <hyperlink ref="B1666" r:id="rId1665" display="https://www.bigbatbox.com/it/blogs/habitat-of-bats/tagged/multi-chamber-bat-house"/>
    <hyperlink ref="B1667" r:id="rId1666" display="https://www.bigbatbox.com/en-ca/blogs/habitat-of-bats/tagged/mammal-facts"/>
    <hyperlink ref="B1668" r:id="rId1667" display="https://www.bigbatbox.com/en-ca/blogs/habitat-of-bats/tagged/cedar-bat-house"/>
    <hyperlink ref="B1669" r:id="rId1668" display="https://www.bigbatbox.com/fr/blogs/bee-species/tagged/bee-habitat-faq"/>
    <hyperlink ref="B1670" r:id="rId1669" display="https://www.bigbatbox.com/en-ca/blogs/fun-facts-about-owls/tagged/predators"/>
    <hyperlink ref="B1671" r:id="rId1670" display="https://www.bigbatbox.com/en-ca/blogs/habitat-of-bats/tagged/bat-housebat-conservation"/>
    <hyperlink ref="B1672" r:id="rId1671" display="https://www.bigbatbox.com/it/blogs/types-of-squirrels/tagged/diy-squirrel-feeder"/>
    <hyperlink ref="B1673" r:id="rId1672" display="https://www.bigbatbox.com/en-ca/blogs/habitat-of-bats/tagged/bat-box-placement"/>
    <hyperlink ref="B1674" r:id="rId1673" display="https://www.bigbatbox.com/de/blogs/habitat-of-bats/tagged/natural-pest-control"/>
    <hyperlink ref="B1675" r:id="rId1674" display="https://www.bigbatbox.com/de/blogs/habitat-of-bats/tagged/bigbatbox"/>
    <hyperlink ref="B1676" r:id="rId1675" display="https://www.bigbatbox.com/en-ca/blogs/habitat-of-bats/everything-you-need-to-know-about-bat-boxes-installation-features-placement-and-more"/>
    <hyperlink ref="B1677" r:id="rId1676" display="https://www.bigbatbox.com/en-ca/blogs/habitat-of-bats/tagged/ecosystem-guardians"/>
    <hyperlink ref="B1678" r:id="rId1677" display="https://www.bigbatbox.com/it/blogs/habitat-of-bats/tagged/bat-house-usa-climate"/>
    <hyperlink ref="B1679" r:id="rId1678" display="https://www.bigbatbox.com/de/blogs/habitat-of-bats/tagged/bat-diet"/>
    <hyperlink ref="B1680" r:id="rId1679" display="https://www.bigbatbox.com/fr/blogs/habitat-of-bats/tagged/bat-house-pole"/>
    <hyperlink ref="B1681" r:id="rId1680" display="https://www.bigbatbox.com/en-ca/blogs/habitat-of-bats/where-to-put-a-bat-house-in-your-yard"/>
    <hyperlink ref="B1682" r:id="rId1681" display="https://www.bigbatbox.com/es/blogs/habitat-of-bats/tagged/bat-house-installation"/>
    <hyperlink ref="B1683" r:id="rId1682" display="https://www.bigbatbox.com/it/blogs/types-of-squirrels/tagged/winter-wildlife"/>
    <hyperlink ref="B1684" r:id="rId1683" display="https://www.bigbatbox.com/en-ca/blogs/bee-species/tagged/bees-pollination"/>
    <hyperlink ref="B1685" r:id="rId1684" display="https://www.bigbatbox.com/en-ca/blogs/bee-species/tagged/bees-diet"/>
    <hyperlink ref="B1686" r:id="rId1685" display="https://www.bigbatbox.com/de/blogs/fun-facts-about-owls/tagged/owl-safety"/>
    <hyperlink ref="B1687" r:id="rId1686" display="https://www.bigbatbox.com/fr/blogs/backyard-birds/what-birds-eat-suet"/>
    <hyperlink ref="B1688" r:id="rId1687" display="https://www.bigbatbox.com/blogs/habitat-of-bats/tagged/bat-house-temperature"/>
    <hyperlink ref="B1689" r:id="rId1688" display="https://www.bigbatbox.com/de/blogs/habitat-of-bats/tagged/bat-houses-for-cold-climates"/>
    <hyperlink ref="B1690" r:id="rId1689" display="https://www.bigbatbox.com/it/blogs/habitat-of-bats/tagged/painted-cedar-bat-house"/>
    <hyperlink ref="B1691" r:id="rId1690" display="https://www.bigbatbox.com/fr/blogs/wildyard-learn/tagged/eco-friendly-gardening"/>
    <hyperlink ref="B1692" r:id="rId1691" display="https://www.bigbatbox.com/de/blogs/types-of-squirrels/tagged/squirrel-house-feeder"/>
    <hyperlink ref="B1693" r:id="rId1692" display="https://www.bigbatbox.com/de/blogs/habitat-of-bats/tagged/bat-house-wall-mount"/>
    <hyperlink ref="B1694" r:id="rId1693" display="https://www.bigbatbox.com/it/blogs/fun-facts-about-owls/tagged/bat-and-owl"/>
    <hyperlink ref="B1695" r:id="rId1694" display="https://www.bigbatbox.com/it/blogs/backyard-birds/what-birds-eat-suet"/>
    <hyperlink ref="B1696" r:id="rId1695" display="https://www.bigbatbox.com/it/blogs/wildyard-learn/tagged/owl-houses"/>
    <hyperlink ref="B1697" r:id="rId1696" display="https://www.bigbatbox.com/it/blogs/backyard-birds/tagged/woodpeckers"/>
    <hyperlink ref="B1698" r:id="rId1697" display="https://www.bigbatbox.com/es/blogs/habitat-of-bats/tagged/bat-safety"/>
    <hyperlink ref="B1699" r:id="rId1698" display="https://www.bigbatbox.com/en-ca/blogs/types-of-squirrels/tagged/buying-guide"/>
    <hyperlink ref="B1700" r:id="rId1699" display="https://www.bigbatbox.com/es/blogs/types-of-squirrels/tagged/habitat"/>
    <hyperlink ref="B1701" r:id="rId1700" display="https://www.bigbatbox.com/it/blogs/habitat-of-bats/tagged/bat-roosting-guide"/>
    <hyperlink ref="B1702" r:id="rId1701" display="https://www.bigbatbox.com/de/blogs/habitat-of-bats/tagged/three-chamber-bat-box"/>
    <hyperlink ref="B1703" r:id="rId1702" display="https://www.bigbatbox.com/it/blogs/fun-facts-about-owls/tagged/owl-box"/>
    <hyperlink ref="B1704" r:id="rId1703" display="https://www.bigbatbox.com/en-ca/blogs/types-of-squirrels/tagged/squirrel-house"/>
    <hyperlink ref="B1705" r:id="rId1704" display="https://www.bigbatbox.com/es/blogs/habitat-of-bats/tagged/how-to-attract-bats"/>
    <hyperlink ref="B1706" r:id="rId1705" display="https://www.bigbatbox.com/fr/blogs/bee-species/tagged/bee-food-sources"/>
    <hyperlink ref="B1707" r:id="rId1706" display="https://www.bigbatbox.com/es/blogs/bee-species/tagged/bee-lifecycle"/>
    <hyperlink ref="B1708" r:id="rId1707" display="https://www.bigbatbox.com/blogs/habitat-of-bats/tagged/three-chamber-bat-box"/>
    <hyperlink ref="B1709" r:id="rId1708" display="https://www.bigbatbox.com/es/collections"/>
    <hyperlink ref="B1710" r:id="rId1709" display="https://www.bigbatbox.com/en-ca/blogs/fun-facts-about-owls/tagged/squirrels"/>
    <hyperlink ref="B1711" r:id="rId1710" display="https://www.bigbatbox.com/it/blogs/bee-species/tagged/environmental-health"/>
    <hyperlink ref="B1712" r:id="rId1711" display="https://www.bigbatbox.com/de/blogs/types-of-squirrels/tagged/squirrel-feeder"/>
    <hyperlink ref="B1713" r:id="rId1712" display="https://www.bigbatbox.com/en-ca/blogs/habitat-of-bats/tagged/backyard-conservation"/>
    <hyperlink ref="B1714" r:id="rId1713" display="https://www.bigbatbox.com/es/blogs/backyard-birds/tagged/suet-feeder"/>
    <hyperlink ref="B1715" r:id="rId1714" display="https://www.bigbatbox.com/it/blogs/habitat-of-bats/14-fascinating-facts-about-bats"/>
    <hyperlink ref="B1716" r:id="rId1715" display="https://www.bigbatbox.com/it/blogs/backyard-birds/can-you-feed-suet-in-summer"/>
    <hyperlink ref="B1717" r:id="rId1716" display="https://www.bigbatbox.com/blogs/habitat-of-bats/tagged/bigbatbox"/>
    <hyperlink ref="B1718" r:id="rId1717" display="https://www.bigbatbox.com/es/blogs/types-of-squirrels/tagged/wildlife-lifespan"/>
    <hyperlink ref="B1719" r:id="rId1718" display="https://www.bigbatbox.com/es/blogs/fun-facts-about-owls/tagged/nocturnal-animals"/>
    <hyperlink ref="B1720" r:id="rId1719" display="https://www.bigbatbox.com/blogs/habitat-of-bats/tagged/night-wildlife-support"/>
    <hyperlink ref="B1721" r:id="rId1720" display="https://www.bigbatbox.com/it/blogs/fun-facts-about-owls/owl-sounds-decoded"/>
    <hyperlink ref="B1722" r:id="rId1721" display="https://www.bigbatbox.com/de/blogs/bee-species/tagged/bee-biology"/>
    <hyperlink ref="B1723" r:id="rId1722" display="https://www.bigbatbox.com/it/blogs/backyard-birds/tagged/squirrels"/>
    <hyperlink ref="B1724" r:id="rId1723" display="https://www.bigbatbox.com/fr/blogs/fun-facts-about-owls/why-do-owls-hoot-at-night"/>
    <hyperlink ref="B1725" r:id="rId1724" display="https://www.bigbatbox.com/fr/blogs/habitat-of-bats/tagged/insect-control"/>
    <hyperlink ref="B1726" r:id="rId1725" display="https://www.bigbatbox.com/de/blogs/types-of-squirrels/tagged/wildlife-lifespan"/>
    <hyperlink ref="B1727" r:id="rId1726" display="https://www.bigbatbox.com/en-ca/blogs/habitat-of-bats/tagged/bat-house-mosquito-control"/>
    <hyperlink ref="B1728" r:id="rId1727" display="https://www.bigbatbox.com/it/blogs/habitat-of-bats/tagged/best-bat-house-setup"/>
    <hyperlink ref="B1729" r:id="rId1728" display="https://www.bigbatbox.com/en-ca/blogs/types-of-squirrels/tagged/cedar-habitat"/>
    <hyperlink ref="B1730" r:id="rId1729" display="https://www.bigbatbox.com/de/blogs/types-of-squirrels/tagged/wildlife-guide"/>
    <hyperlink ref="B1731" r:id="rId1730" display="https://www.bigbatbox.com/es/blogs/habitat-of-bats/tagged/insect-control-naturally"/>
    <hyperlink ref="B1732" r:id="rId1731" display="https://www.bigbatbox.com/blogs/habitat-of-bats/tagged/mammal-facts"/>
    <hyperlink ref="B1733" r:id="rId1732" display="https://www.bigbatbox.com/en-ca/blogs/bee-species/tagged/wildlife"/>
    <hyperlink ref="B1734" r:id="rId1733" display="https://www.bigbatbox.com/es/blogs/habitat-of-bats/tagged/attract-bats"/>
    <hyperlink ref="B1735" r:id="rId1734" display="https://www.bigbatbox.com/es/blogs/fun-facts-about-owls/tagged/night-sounds"/>
    <hyperlink ref="B1736" r:id="rId1735" display="https://www.bigbatbox.com/de/blogs/habitat-of-bats/tagged/night-wildlife-support"/>
    <hyperlink ref="B1737" r:id="rId1736" display="https://www.bigbatbox.com/es/blogs/habitat-of-bats/tagged/humane-bat-removal"/>
    <hyperlink ref="B1738" r:id="rId1737" display="https://www.bigbatbox.com/fr/blogs/habitat-of-bats/tagged/bat-proofing-tips"/>
    <hyperlink ref="B1739" r:id="rId1738" display="https://www.bigbatbox.com/blogs/habitat-of-bats/tagged/bat-friendly-backyard"/>
    <hyperlink ref="B1740" r:id="rId1739" display="https://www.bigbatbox.com/blogs/habitat-of-bats/tagged/cold-climate-bat-box"/>
    <hyperlink ref="B1741" r:id="rId1740" display="https://www.bigbatbox.com/es/blogs/types-of-squirrels/tagged/squirrel-behavior"/>
    <hyperlink ref="B1742" r:id="rId1741" display="https://www.bigbatbox.com/it/blogs/habitat-of-bats/tagged/bat-house-mosquito-control"/>
    <hyperlink ref="B1743" r:id="rId1742" display="https://www.bigbatbox.com/fr/blogs/backyard-birds"/>
    <hyperlink ref="B1744" r:id="rId1743" display="https://www.bigbatbox.com/blogs/fun-facts-about-owls/tagged/owl-calls"/>
    <hyperlink ref="B1745" r:id="rId1744" display="https://www.bigbatbox.com/es/blogs/fun-facts-about-owls/tagged/owl-boxes"/>
    <hyperlink ref="B1746" r:id="rId1745" display="https://www.bigbatbox.com/it/blogs/habitat-of-bats/best-bat-boxes-for-mosquito-control-simple-guide-real-example"/>
    <hyperlink ref="B1747" r:id="rId1746" display="https://www.bigbatbox.com/es/blogs/fun-facts-about-owls/tagged/ecological-balance"/>
    <hyperlink ref="B1748" r:id="rId1747" display="https://www.bigbatbox.com/blogs/wildyard-learn/tagged/garden-pollinators"/>
    <hyperlink ref="B1749" r:id="rId1748" display="https://www.bigbatbox.com/it/blogs/habitat-of-bats/tagged/bat-control"/>
    <hyperlink ref="B1750" r:id="rId1749" display="https://www.bigbatbox.com/it/pages/cedar-squirrel-house"/>
    <hyperlink ref="B1751" r:id="rId1750" display="https://www.bigbatbox.com/it/blogs/backyard-birds/tagged/no-melt-suet"/>
    <hyperlink ref="B1752" r:id="rId1751" display="https://www.bigbatbox.com/en-ca/blogs/fun-facts-about-owls/tagged/owl-attraction"/>
    <hyperlink ref="B1753" r:id="rId1752" display="https://www.bigbatbox.com/de/blogs/habitat-of-bats/tagged/bat-house-mosquito-control"/>
    <hyperlink ref="B1754" r:id="rId1753" display="https://www.bigbatbox.com/fr/blogs/habitat-of-bats/tagged/cedar-bat-box"/>
    <hyperlink ref="B1755" r:id="rId1754" display="https://www.bigbatbox.com/es/blogs/backyard-birds/tagged/seasonal-feeding"/>
    <hyperlink ref="B1756" r:id="rId1755" display="https://www.bigbatbox.com/fr/blogs/habitat-of-bats/tagged/two-chamber-bat-box"/>
    <hyperlink ref="B1757" r:id="rId1756" display="https://www.bigbatbox.com/en-ca/blogs/habitat-of-bats/tagged/bat-houses-for-cold-climates"/>
    <hyperlink ref="B1758" r:id="rId1757" display="https://www.bigbatbox.com/fr/blogs/habitat-of-bats/tagged/diy-bat-house"/>
    <hyperlink ref="B1759" r:id="rId1758" display="https://www.bigbatbox.com/it/blogs/habitat-of-bats/where-to-put-a-bat-house-in-your-yard"/>
    <hyperlink ref="B1760" r:id="rId1759" display="https://www.bigbatbox.com/it/blogs/types-of-squirrels/how-long-do-squirrels-live"/>
    <hyperlink ref="B1761" r:id="rId1760" display="https://www.bigbatbox.com/blogs/habitat-of-bats/tagged/insect-control-naturally"/>
    <hyperlink ref="B1762" r:id="rId1761" display="https://www.bigbatbox.com/de/blogs/habitat-of-bats/tagged/wildlife-management"/>
    <hyperlink ref="B1763" r:id="rId1762" display="https://www.bigbatbox.com/en-ca/blogs/fun-facts-about-owls/tagged/owl-behavior"/>
    <hyperlink ref="B1764" r:id="rId1763" display="https://www.bigbatbox.com/en-ca/blogs/habitat-of-bats/tagged/garden-insect-control"/>
    <hyperlink ref="B1765" r:id="rId1764" display="https://www.bigbatbox.com/de/blogs/types-of-squirrels/tagged/seasonal-guide"/>
    <hyperlink ref="B1766" r:id="rId1765" display="https://www.bigbatbox.com/es/blogs/habitat-of-bats/tagged/sustainable-bat-boxes"/>
    <hyperlink ref="B1767" r:id="rId1766" display="https://www.bigbatbox.com/it/blogs/habitat-of-bats/tagged/bat-roost-guide"/>
    <hyperlink ref="B1768" r:id="rId1767" display="https://www.bigbatbox.com/fr/blogs/habitat-of-bats/tagged/what-do-bats-eat"/>
    <hyperlink ref="B1769" r:id="rId1768" display="https://www.bigbatbox.com/it/blogs/habitat-of-bats/tagged/bat-box-placement"/>
    <hyperlink ref="B1770" r:id="rId1769" display="https://www.bigbatbox.com/blogs/habitat-of-bats/tagged/one-chamber-bat-box"/>
    <hyperlink ref="B1771" r:id="rId1770" display="https://www.bigbatbox.com/it/blogs/fun-facts-about-owls/tagged/owls"/>
    <hyperlink ref="B1772" r:id="rId1771" display="https://www.bigbatbox.com/en-ca/blogs/habitat-of-bats/tagged/bat-house-direction"/>
    <hyperlink ref="B1773" r:id="rId1772" display="https://www.bigbatbox.com/es/blogs/habitat-of-bats/tagged/bat-house-for-cold-climates"/>
    <hyperlink ref="B1774" r:id="rId1773" display="https://www.bigbatbox.com/de/blogs/habitat-of-bats/tagged/bat-house-distance-from-trees"/>
    <hyperlink ref="B1775" r:id="rId1774" display="https://www.bigbatbox.com/fr/blogs/types-of-squirrels/tagged/seasonal-guide"/>
    <hyperlink ref="B1776" r:id="rId1775" display="https://www.bigbatbox.com/en-ca/blogs/fun-facts-about-owls/why-do-owls-hoot-at-night"/>
    <hyperlink ref="B1777" r:id="rId1776" display="https://www.bigbatbox.com/de/blogs/types-of-squirrels/tagged/squirrel-house"/>
    <hyperlink ref="B1778" r:id="rId1777" display="https://www.bigbatbox.com/it/collections"/>
    <hyperlink ref="B1779" r:id="rId1778" display="https://www.bigbatbox.com/it/blogs/bee-species/tagged/bee-identification"/>
    <hyperlink ref="B1780" r:id="rId1779" display="https://www.bigbatbox.com/it/blogs/fun-facts-about-owls/tagged/predators"/>
    <hyperlink ref="B1781" r:id="rId1780" display="https://www.bigbatbox.com/en-ca/blogs/habitat-of-bats/tagged/2026-trends"/>
    <hyperlink ref="B1782" r:id="rId1781" display="https://www.bigbatbox.com/blogs/habitat-of-bats/tagged/bat-conservation"/>
    <hyperlink ref="B1783" r:id="rId1782" display="https://www.bigbatbox.com/es/blogs/bee-species/tagged/mason-bees"/>
    <hyperlink ref="B1784" r:id="rId1783" display="https://www.bigbatbox.com/it/blogs/bee-species/tagged/ecosystem"/>
    <hyperlink ref="B1785" r:id="rId1784" display="https://www.bigbatbox.com/fr/blogs/habitat-of-bats/tagged/best-bat-house-placement"/>
    <hyperlink ref="B1786" r:id="rId1785" display="https://www.bigbatbox.com/es/blogs/fun-facts-about-owls/tagged/owl-attraction"/>
    <hyperlink ref="B1787" r:id="rId1786" display="https://www.bigbatbox.com/fr/blogs/habitat-of-bats/tagged/bat-house-usa-climate"/>
    <hyperlink ref="B1788" r:id="rId1787" display="https://www.bigbatbox.com/fr/blogs/types-of-squirrels/are-squirrels-nocturnal"/>
    <hyperlink ref="B1789" r:id="rId1788" display="https://www.bigbatbox.com/en-ca/blogs/fun-facts-about-owls/tagged/great-horned-owl"/>
    <hyperlink ref="B1790" r:id="rId1789" display="https://www.bigbatbox.com/en-ca/blogs/bee-species/tagged/bee-communication"/>
    <hyperlink ref="B1791" r:id="rId1790" display="https://www.bigbatbox.com/it/blogs/backyard-birds/tagged/backyard-birds"/>
    <hyperlink ref="B1792" r:id="rId1791" display="https://www.bigbatbox.com/fr/pages/bat-houses-for-sale"/>
    <hyperlink ref="B1793" r:id="rId1792" display="https://www.bigbatbox.com/en-ca/blogs/habitat-of-bats/tagged/sustainable-bat-boxes"/>
    <hyperlink ref="B1794" r:id="rId1793" display="https://www.bigbatbox.com/it/blogs/habitat-of-bats/tagged/bat-house-height"/>
    <hyperlink ref="B1795" r:id="rId1794" display="https://www.bigbatbox.com/it/blogs/types-of-squirrels/tagged/seasonal-guide"/>
    <hyperlink ref="B1796" r:id="rId1795" display="https://www.bigbatbox.com/fr/blogs/types-of-squirrels/tagged/squirrel-care"/>
    <hyperlink ref="B1797" r:id="rId1796" display="https://www.bigbatbox.com/es/blogs/wildyard-learn/tagged/garden-pollinators"/>
    <hyperlink ref="B1798" r:id="rId1797" display="https://www.bigbatbox.com/blogs/habitat-of-bats/tagged/sustainable-bat-boxes"/>
    <hyperlink ref="B1799" r:id="rId1798" display="https://www.bigbatbox.com/es/blogs/bee-species/where-to-hang-a-bee-house"/>
    <hyperlink ref="B1800" r:id="rId1799" display="https://www.bigbatbox.com/en-ca/blogs/wildyard-learn/tagged/eco-friendly-gardening"/>
    <hyperlink ref="B1801" r:id="rId1800" display="https://www.bigbatbox.com/fr/blogs/habitat-of-bats/tagged/bat-roosting-guide"/>
    <hyperlink ref="B1802" r:id="rId1801" display="https://www.bigbatbox.com/it/blogs/types-of-squirrels/tagged/wildyard"/>
    <hyperlink ref="B1803" r:id="rId1802" display="https://www.bigbatbox.com/fr/blogs/habitat-of-bats/tagged/wildlife-management"/>
    <hyperlink ref="B1804" r:id="rId1803" display="https://www.bigbatbox.com/en-ca/blogs/habitat-of-bats/tagged/water-for-bats"/>
    <hyperlink ref="B1805" r:id="rId1804" display="https://www.bigbatbox.com/fr/blogs/wildyard-news"/>
    <hyperlink ref="B1806" r:id="rId1805" display="https://www.bigbatbox.com/it/blogs/bee-species/tagged/pollinator-nutrition"/>
    <hyperlink ref="B1807" r:id="rId1806" display="https://www.bigbatbox.com/it/blogs/wildyard-learn/tagged/wildlife-maintenance"/>
    <hyperlink ref="B1808" r:id="rId1807" display="https://www.bigbatbox.com/es/blogs/habitat-of-bats/tagged/are-bats-dangerous"/>
    <hyperlink ref="B1809" r:id="rId1808" display="https://www.bigbatbox.com/it/blogs/habitat-of-bats/tagged/natural-pest-control"/>
    <hyperlink ref="B1810" r:id="rId1809" display="https://www.bigbatbox.com/it/blogs/habitat-of-bats/tagged/wildlife-conservation"/>
    <hyperlink ref="B1811" r:id="rId1810" display="https://www.bigbatbox.com/fr/blogs/types-of-squirrels/tagged/backyard-wildlife"/>
    <hyperlink ref="B1812" r:id="rId1811" display="https://www.bigbatbox.com/es/blogs/habitat-of-bats/tagged/multi-chamber-bat-house"/>
    <hyperlink ref="B1813" r:id="rId1812" display="https://www.bigbatbox.com/en-ca/blogs/backyard-birds/tagged/clinging-birds"/>
    <hyperlink ref="B1814" r:id="rId1813" display="https://www.bigbatbox.com/it/blogs/fun-facts-about-owls/tagged/barn-owl-box"/>
    <hyperlink ref="B1815" r:id="rId1814" display="https://www.bigbatbox.com/it/blogs/habitat-of-bats/tagged/bat-houses-for-cold-climates"/>
    <hyperlink ref="B1816" r:id="rId1815" display="https://www.bigbatbox.com/de/blogs/habitat-of-bats/tagged/water-for-bats"/>
    <hyperlink ref="B1817" r:id="rId1816" display="https://www.bigbatbox.com/en-ca/blogs/habitat-of-bats/tagged/bat-boxes"/>
    <hyperlink ref="B1818" r:id="rId1817" display="https://www.bigbatbox.com/es/blogs/habitat-of-bats/tagged/cedar-bat-box"/>
    <hyperlink ref="B1819" r:id="rId1818" display="https://www.bigbatbox.com/fr/blogs/habitat-of-bats/tagged/bat-habitat"/>
    <hyperlink ref="B1820" r:id="rId1819" display="https://www.bigbatbox.com/it/blogs/bee-species/tagged/fun-facts-about-bees"/>
    <hyperlink ref="B1821" r:id="rId1820" display="https://www.bigbatbox.com/fr/blogs/types-of-squirrels/how-long-do-squirrels-live"/>
    <hyperlink ref="B1822" r:id="rId1821" display="https://www.bigbatbox.com/blogs/backyard-birds/tagged/seasonal-feeding"/>
    <hyperlink ref="B1823" r:id="rId1822" display="https://www.bigbatbox.com/de/blogs/types-of-squirrels/tagged/backyard-wildlife"/>
    <hyperlink ref="B1824" r:id="rId1823" display="https://www.bigbatbox.com/es/blogs/fun-facts-about-owls/tagged/wildlife-lifespan"/>
    <hyperlink ref="B1825" r:id="rId1824" display="https://www.bigbatbox.com/es/blogs/habitat-of-bats/tagged/sustainable-gardens"/>
    <hyperlink ref="B1826" r:id="rId1825" display="https://www.bigbatbox.com/en-ca/blogs/types-of-squirrels/tagged/seasonal-guide"/>
    <hyperlink ref="B1827" r:id="rId1826" display="https://www.bigbatbox.com/de/blogs/habitat-of-bats/tagged/bat-proofing-tips"/>
    <hyperlink ref="B1828" r:id="rId1827" display="https://www.bigbatbox.com/fr/blogs/fun-facts-about-owls/tagged/snowy-owl"/>
    <hyperlink ref="B1829" r:id="rId1828" display="https://www.bigbatbox.com/it/blogs/habitat-of-bats/what-are-the-bat-house-kits"/>
    <hyperlink ref="B1830" r:id="rId1829" display="https://www.bigbatbox.com/es/blogs/fun-facts-about-owls/tagged/pet-safety"/>
    <hyperlink ref="B1831" r:id="rId1830" display="https://www.bigbatbox.com/en-ca/blogs/bee-species/tagged/solitary-bees"/>
    <hyperlink ref="B1832" r:id="rId1831" display="https://www.bigbatbox.com/es/blogs/habitat-of-bats/tagged/bat-house-advice"/>
    <hyperlink ref="B1833" r:id="rId1832" display="https://www.bigbatbox.com/es/blogs/backyard-birds/tagged/squirrels"/>
    <hyperlink ref="B1834" r:id="rId1833" display="https://www.bigbatbox.com/en-ca/blogs/types-of-squirrels/tagged/winter-wildlife"/>
    <hyperlink ref="B1835" r:id="rId1834" display="https://www.bigbatbox.com/fr/blogs/habitat-of-bats/tagged/bat-facts"/>
    <hyperlink ref="B1836" r:id="rId1835" display="https://www.bigbatbox.com/it/blogs/fun-facts-about-owls/tagged/ecological-balance"/>
    <hyperlink ref="B1837" r:id="rId1836" display="https://www.bigbatbox.com/fr/blogs/backyard-birds/tagged/hot-pepper-suet"/>
    <hyperlink ref="B1838" r:id="rId1837" display="https://www.bigbatbox.com/it/blogs/bee-species/tagged/pollination-process"/>
    <hyperlink ref="B1839" r:id="rId1838" display="https://www.bigbatbox.com/it/blogs/wildyard-learn/tagged/bee-houses"/>
    <hyperlink ref="B1840" r:id="rId1839" display="https://www.bigbatbox.com/fr/blogs/habitat-of-bats/tagged/bats-near-home"/>
    <hyperlink ref="B1841" r:id="rId1840" display="https://www.bigbatbox.com/en-ca/blogs/habitat-of-bats/tagged/where-to-mount-bat-house"/>
    <hyperlink ref="B1842" r:id="rId1841" display="https://www.bigbatbox.com/it/blogs/habitat-of-bats/found-a-bat-in-the-house-in-winter-help-them-survive"/>
    <hyperlink ref="B1843" r:id="rId1842" display="https://www.bigbatbox.com/blogs/bee-species/tagged/wildlife"/>
    <hyperlink ref="B1844" r:id="rId1843" display="https://www.bigbatbox.com/de/blogs/backyard-birds/tagged/clinging-birds"/>
    <hyperlink ref="B1845" r:id="rId1844" display="https://www.bigbatbox.com/de/blogs/habitat-of-bats/tagged/sustainable-gardens"/>
    <hyperlink ref="B1846" r:id="rId1845" display="https://www.bigbatbox.com/it/blogs/fun-facts-about-owls/tagged/owl-sounds"/>
    <hyperlink ref="B1847" r:id="rId1846" display="https://www.bigbatbox.com/de/blogs/fun-facts-about-owls/tagged/wildlife-habitats"/>
    <hyperlink ref="B1848" r:id="rId1847" display="https://www.bigbatbox.com/es/blogs/habitat-of-bats/tagged/bat-ecology-at-home"/>
    <hyperlink ref="B1849" r:id="rId1848" display="https://www.bigbatbox.com/blogs/habitat-of-bats/tagged/bat-species"/>
    <hyperlink ref="B1850" r:id="rId1849" display="https://www.bigbatbox.com/de/blogs/conservation-partners/tagged/birds"/>
    <hyperlink ref="B1851" r:id="rId1850" display="https://www.bigbatbox.com/fr/blogs/habitat-of-bats/tagged/bat-house-mosquito-control"/>
    <hyperlink ref="B1852" r:id="rId1851" display="https://www.bigbatbox.com/en-ca/blogs/habitat-of-bats/why-you-need-a-bat-house-your-go-to-guide"/>
    <hyperlink ref="B1853" r:id="rId1852" display="https://www.bigbatbox.com/it/blogs/bee-species/where-to-hang-a-bee-house"/>
    <hyperlink ref="B1854" r:id="rId1853" display="https://www.bigbatbox.com/es/blogs/types-of-squirrels/tagged/squirrel-feeder-ideas"/>
    <hyperlink ref="B1855" r:id="rId1854" display="https://www.bigbatbox.com/es/blogs/habitat-of-bats/tagged/water-for-bats"/>
    <hyperlink ref="B1856" r:id="rId1855" display="https://www.bigbatbox.com/en-ca/blogs/bee-species/tagged/pollination-process"/>
    <hyperlink ref="B1857" r:id="rId1856" display="https://www.bigbatbox.com/de/blogs/fun-facts-about-owls/tagged/predators"/>
    <hyperlink ref="B1858" r:id="rId1857" display="https://www.bigbatbox.com/blogs/habitat-of-bats/tagged/south-facing-bat-house"/>
    <hyperlink ref="B1859" r:id="rId1858" display="https://www.bigbatbox.com/blogs/types-of-squirrels/tagged/wildlife-feeding"/>
    <hyperlink ref="B1860" r:id="rId1859" display="https://www.bigbatbox.com/fr/blogs/fun-facts-about-owls/tagged/bird-habitats"/>
    <hyperlink ref="B1861" r:id="rId1860" display="https://www.bigbatbox.com/de/blogs/habitat-of-bats/tagged/wildlife-habitat"/>
    <hyperlink ref="B1862" r:id="rId1861" display="https://www.bigbatbox.com/it/blogs/habitat-of-bats/bat-box-placement-guide-how-to-get-it-right"/>
    <hyperlink ref="B1863" r:id="rId1862" display="https://www.bigbatbox.com/fr/products/wildyard-digital-gift-card"/>
    <hyperlink ref="B1864" r:id="rId1863" display="https://www.bigbatbox.com/de/blogs/habitat-of-bats/tagged/bat-hibernation"/>
    <hyperlink ref="B1865" r:id="rId1864" display="https://www.bigbatbox.com/it/blogs/habitat-of-bats/tagged/bat-housebat-conservation"/>
    <hyperlink ref="B1866" r:id="rId1865" display="https://www.bigbatbox.com/en-ca/blogs/habitat-of-bats/tagged/help-bats-at-home"/>
    <hyperlink ref="B1867" r:id="rId1866" display="https://www.bigbatbox.com/en-ca/blogs/habitat-of-bats/tagged/bat-house-colors"/>
    <hyperlink ref="B1868" r:id="rId1867" display="https://www.bigbatbox.com/blogs/habitat-of-bats/tagged/bat-conservation-tips"/>
    <hyperlink ref="B1869" r:id="rId1868" display="https://www.bigbatbox.com/es/blogs/habitat-of-bats/tagged/bat-habitat"/>
    <hyperlink ref="B1870" r:id="rId1869" display="https://www.bigbatbox.com/it/blogs/bee-species/tagged/biodiversity"/>
    <hyperlink ref="B1871" r:id="rId1870" display="https://www.bigbatbox.com/es/blogs/habitat-of-bats/tagged/wildyard-bat-houses"/>
    <hyperlink ref="B1872" r:id="rId1871" display="https://www.bigbatbox.com/de/blogs/habitat-of-bats/tagged/bats-as-pollinators"/>
    <hyperlink ref="B1873" r:id="rId1872" display="https://www.bigbatbox.com/blogs/fun-facts-about-owls/tagged/owl-hooting"/>
    <hyperlink ref="B1874" r:id="rId1873" display="https://www.bigbatbox.com/de/blogs/bee-species/tagged/leafcutter-bees"/>
    <hyperlink ref="B1875" r:id="rId1874" display="https://www.bigbatbox.com/it/blogs/fun-facts-about-owls/tagged/owl-calls"/>
    <hyperlink ref="B1876" r:id="rId1875" display="https://www.bigbatbox.com/blogs/habitat-of-bats/tagged/dark-bat-house-benefits"/>
    <hyperlink ref="B1877" r:id="rId1876" display="https://www.bigbatbox.com/es/blogs/conservation-partners/tagged/1-for-the-planet"/>
    <hyperlink ref="B1878" r:id="rId1877" display="https://www.bigbatbox.com/fr/blogs/habitat-of-bats/tagged/bat-conservation-guide"/>
    <hyperlink ref="B1879" r:id="rId1878" display="https://www.bigbatbox.com/en-ca/blogs/conservation-partners/tagged/conservation"/>
    <hyperlink ref="B1880" r:id="rId1879" display="https://www.bigbatbox.com/fr/blogs/fun-facts-about-owls/tagged/great-horned-owl"/>
    <hyperlink ref="B1881" r:id="rId1880" display="https://www.bigbatbox.com/en-ca/blogs/fun-facts-about-owls/tagged/owl-hooting"/>
    <hyperlink ref="B1882" r:id="rId1881" display="https://www.bigbatbox.com/en-ca/blogs/habitat-of-bats/tagged/bat-roosting-guide"/>
    <hyperlink ref="B1883" r:id="rId1882" display="https://www.bigbatbox.com/it/blogs/types-of-squirrels/tagged/wildlife-guide"/>
    <hyperlink ref="B1884" r:id="rId1883" display="https://www.bigbatbox.com/es/blogs/habitat-of-bats/tagged/best-bat-houses-for-cold-states"/>
    <hyperlink ref="B1885" r:id="rId1884" display="https://www.bigbatbox.com/de/blogs/bee-species/tagged/bee-habitat-faq"/>
    <hyperlink ref="B1886" r:id="rId1885" display="https://www.bigbatbox.com/en-ca/blogs/fun-facts-about-owls/tagged/backyard-wildlife"/>
    <hyperlink ref="B1887" r:id="rId1886" display="https://www.bigbatbox.com/it/blogs/bee-species/do-solitary-bees-sting"/>
    <hyperlink ref="B1888" r:id="rId1887" display="https://www.bigbatbox.com/en-ca/blogs/types-of-squirrels/tagged/squirrel-feeder-ideas"/>
    <hyperlink ref="B1889" r:id="rId1888" display="https://www.bigbatbox.com/de/blogs/bee-species/tagged/pollinator-nutrition"/>
    <hyperlink ref="B1890" r:id="rId1889" display="https://www.bigbatbox.com/de/blogs/habitat-of-bats?page=2"/>
    <hyperlink ref="B1891" r:id="rId1890" display="https://www.bigbatbox.com/fr/blogs/habitat-of-bats/tagged/bat-diet"/>
    <hyperlink ref="B1892" r:id="rId1891" display="https://www.bigbatbox.com/en-ca/blogs/habitat-of-bats/tagged/best-bat-boxes-for-mosquito-control"/>
    <hyperlink ref="B1893" r:id="rId1892" display="https://www.bigbatbox.com/blogs/types-of-squirrels/tagged/squirrel-habitat"/>
    <hyperlink ref="B1894" r:id="rId1893" display="https://www.bigbatbox.com/en-ca/blogs/habitat-of-bats/tagged/bat-house-distance-from-trees"/>
    <hyperlink ref="B1895" r:id="rId1894" display="https://www.bigbatbox.com/blogs/habitat-of-bats/tagged/bats-near-home"/>
    <hyperlink ref="B1896" r:id="rId1895" display="https://www.bigbatbox.com/es/blogs/bee-species/tagged/bumblebees"/>
    <hyperlink ref="B1897" r:id="rId1896" display="https://www.bigbatbox.com/es/blogs/fun-facts-about-owls/tagged/great-horned-owl"/>
    <hyperlink ref="B1898" r:id="rId1897" display="https://www.bigbatbox.com/en-ca/blogs/bee-species/tagged/honey-bees"/>
    <hyperlink ref="B1899" r:id="rId1898" display="https://www.bigbatbox.com/de/blogs/habitat-of-bats/tagged/insect-control"/>
    <hyperlink ref="B1900" r:id="rId1899" display="https://www.bigbatbox.com/it/pages/faq"/>
    <hyperlink ref="B1901" r:id="rId1900" display="https://www.bigbatbox.com/fr/blogs/habitat-of-bats/bat-box-placement-guide-how-to-get-it-right"/>
    <hyperlink ref="B1902" r:id="rId1901" display="https://www.bigbatbox.com/fr/blogs/habitat-of-bats/tagged/wildlife-friendly-home"/>
    <hyperlink ref="B1903" r:id="rId1902" display="https://www.bigbatbox.com/en-ca/blogs/habitat-of-bats/tagged/mounting-bat-houses"/>
    <hyperlink ref="B1904" r:id="rId1903" display="https://www.bigbatbox.com/it/blogs/habitat-of-bats/tagged/get-rid-of-bats"/>
    <hyperlink ref="B1905" r:id="rId1904" display="https://www.bigbatbox.com/fr/blogs/habitat-of-bats/the-definitive-guide-to-backyard-mosquito-control"/>
    <hyperlink ref="B1906" r:id="rId1905" display="https://www.bigbatbox.com/it/blogs/habitat-of-bats/the-surprising-benefits-of-bat-boxes-and-why-you-should-have-one"/>
    <hyperlink ref="B1907" r:id="rId1906" display="https://www.bigbatbox.com/de/blogs/habitat-of-bats/tagged/eco-friendly-bat-house"/>
    <hyperlink ref="B1908" r:id="rId1907" display="https://www.bigbatbox.com/fr/blogs/habitat-of-bats/tagged/bat-house-temperature"/>
    <hyperlink ref="B1909" r:id="rId1908" display="https://www.bigbatbox.com/es/blogs/bee-species/tagged/bees-diet"/>
    <hyperlink ref="B1910" r:id="rId1909" display="https://www.bigbatbox.com/es/blogs/fun-facts-about-owls/tagged/owl-sounds"/>
    <hyperlink ref="B1911" r:id="rId1910" display="https://www.bigbatbox.com/de/blogs/bee-species/tagged/hive-behavior"/>
    <hyperlink ref="B1912" r:id="rId1911" display="https://www.bigbatbox.com/es/blogs/habitat-of-bats/tagged/black-bat-house"/>
    <hyperlink ref="B1913" r:id="rId1912" display="https://www.bigbatbox.com/en-ca/blogs/fun-facts-about-owls/tagged/wildlife-lifespan"/>
    <hyperlink ref="B1914" r:id="rId1913" display="https://www.bigbatbox.com/it/blogs/types-of-squirrels/tagged/wildlife-lifespan"/>
    <hyperlink ref="B1915" r:id="rId1914" display="https://www.bigbatbox.com/en-ca/blogs/backyard-birds/tagged/backyard-birds"/>
    <hyperlink ref="B1916" r:id="rId1915" display="https://www.bigbatbox.com/blogs/habitat-of-bats/tagged/natural-pest-control"/>
    <hyperlink ref="B1917" r:id="rId1916" display="https://www.bigbatbox.com/en-ca/blogs/backyard-birds/tagged/suet-for-birds"/>
    <hyperlink ref="B1918" r:id="rId1917" display="https://www.bigbatbox.com/en-ca/blogs/fun-facts-about-owls/tagged/bat-and-owl"/>
    <hyperlink ref="B1919" r:id="rId1918" display="https://www.bigbatbox.com/de/blogs/habitat-of-bats/tagged/bat-house-sun-exposure"/>
    <hyperlink ref="B1920" r:id="rId1919" display="https://www.bigbatbox.com/en-ca/blogs/habitat-of-bats/tagged/mosquito-controlbackyard-wildlife"/>
    <hyperlink ref="B1921" r:id="rId1920" display="https://www.bigbatbox.com/fr/blogs/habitat-of-bats/tagged/bat-house-placement-guide"/>
    <hyperlink ref="B1922" r:id="rId1921" display="https://www.bigbatbox.com/es/blogs/habitat-of-bats/tagged/best-bat-houses"/>
    <hyperlink ref="B1923" r:id="rId1922" display="https://www.bigbatbox.com/es/blogs/types-of-squirrels/tagged/buying-guide"/>
    <hyperlink ref="B1924" r:id="rId1923" display="https://www.bigbatbox.com/it/blogs/backyard-birds/tagged/hot-pepper-suet"/>
    <hyperlink ref="B1925" r:id="rId1924" display="https://www.bigbatbox.com/fr/blogs/habitat-of-bats/why-bats-are-the-best-mosquito-eaters"/>
    <hyperlink ref="B1926" r:id="rId1925" display="https://www.bigbatbox.com/es/blogs/habitat-of-bats/tagged/backyard-pest-control"/>
    <hyperlink ref="B1927" r:id="rId1926" display="https://www.bigbatbox.com/de/blogs/habitat-of-bats/tagged/how-to-attract-bats"/>
    <hyperlink ref="B1928" r:id="rId1927" display="https://www.bigbatbox.com/es/blogs/bee-species/tagged/bee-biology"/>
    <hyperlink ref="B1929" r:id="rId1928" display="https://www.bigbatbox.com/it/pages/1-for-the-planet-merlin-tuttle-x-wild-yard"/>
    <hyperlink ref="B1930" r:id="rId1929" display="https://www.bigbatbox.com/fr/blogs/backyard-birds/tagged/no-melt-suet"/>
    <hyperlink ref="B1931" r:id="rId1930" display="https://www.bigbatbox.com/en-ca/blogs/bee-species/tagged/hive-behavior"/>
    <hyperlink ref="B1932" r:id="rId1931" display="https://www.bigbatbox.com/it/collections/certified-bat-houses"/>
    <hyperlink ref="B1933" r:id="rId1932" display="https://www.bigbatbox.com/it/blogs/types-of-squirrels/tagged/backyard-habitat"/>
    <hyperlink ref="B1934" r:id="rId1933" display="https://www.bigbatbox.com/en-ca/blogs/habitat-of-bats/tagged/night-wildlife-support"/>
    <hyperlink ref="B1935" r:id="rId1934" display="https://www.bigbatbox.com/blogs/fun-facts-about-owls?page=2"/>
    <hyperlink ref="B1936" r:id="rId1935" display="https://www.bigbatbox.com/fr/blogs/fun-facts-about-owls/how-long-do-owls-live"/>
    <hyperlink ref="B1937" r:id="rId1936" display="https://www.bigbatbox.com/fr/blogs/habitat-of-bats/tagged/bat-conservation"/>
    <hyperlink ref="B1938" r:id="rId1937" display="https://www.bigbatbox.com/it/pages/contact"/>
    <hyperlink ref="B1939" r:id="rId1938" display="https://www.bigbatbox.com/fr/blogs/habitat-of-bats/tagged/mosquito-controlbackyard-wildlife"/>
    <hyperlink ref="B1940" r:id="rId1939" display="https://www.bigbatbox.com/es/blogs/habitat-of-bats/tagged/garden-insect-control"/>
    <hyperlink ref="B1941" r:id="rId1940" display="https://www.bigbatbox.com/it/blogs/habitat-of-bats/tagged/bat-conservation-tips"/>
    <hyperlink ref="B1942" r:id="rId1941" display="https://www.bigbatbox.com/es/blogs/types-of-squirrels/how-long-do-squirrels-live"/>
    <hyperlink ref="B1943" r:id="rId1942" display="https://www.bigbatbox.com/de/blogs/habitat-of-bats/tagged/ecosystem-guardians"/>
    <hyperlink ref="B1944" r:id="rId1943" display="https://www.bigbatbox.com/es/blogs/bee-species/tagged/bee-communication"/>
    <hyperlink ref="B1945" r:id="rId1944" display="https://www.bigbatbox.com/de/blogs/types-of-squirrels/tagged/nest-box-maintenance"/>
    <hyperlink ref="B1946" r:id="rId1945" display="https://www.bigbatbox.com/en-ca/blogs/bee-species/tagged/nature-s-architects"/>
    <hyperlink ref="B1947" r:id="rId1946" display="https://www.bigbatbox.com/blogs/fun-facts-about-owls/tagged/bird-habitats"/>
    <hyperlink ref="B1948" r:id="rId1947" display="https://www.bigbatbox.com/blogs/habitat-of-bats/tagged/usa-bat-house-guide"/>
    <hyperlink ref="B1949" r:id="rId1948" display="https://www.bigbatbox.com/de/blogs/habitat-of-bats/tagged/eco-friendly-pest-solutions"/>
    <hyperlink ref="B1950" r:id="rId1949" display="https://www.bigbatbox.com/fr/blogs/bee-species/tagged/mason-bees"/>
    <hyperlink ref="B1951" r:id="rId1950" display="https://www.bigbatbox.com/en-ca/blogs/types-of-squirrels/tagged/wildlife-feeding"/>
    <hyperlink ref="B1952" r:id="rId1951" display="https://www.bigbatbox.com/en-ca/blogs/habitat-of-bats/tagged/wildyard-bat-houses"/>
    <hyperlink ref="B1953" r:id="rId1952" display="https://www.bigbatbox.com/de/blogs/habitat-of-bats/tagged/bat-conservation-guide"/>
    <hyperlink ref="B1954" r:id="rId1953" display="https://www.bigbatbox.com/blogs/backyard-birds/tagged/woodpeckers"/>
    <hyperlink ref="B1955" r:id="rId1954" display="https://www.bigbatbox.com/it/blogs/habitat-of-bats/tagged/one-chamber-bat-box"/>
    <hyperlink ref="B1956" r:id="rId1955" display="https://www.bigbatbox.com/en-ca/blogs/habitat-of-bats?page=3"/>
    <hyperlink ref="B1957" r:id="rId1956" display="https://www.bigbatbox.com/fr/blogs/habitat-of-bats/tagged/eco-friendly-pest-solutions"/>
    <hyperlink ref="B1958" r:id="rId1957" display="https://www.bigbatbox.com/fr/blogs/bee-species/tagged/wildlife"/>
    <hyperlink ref="B1959" r:id="rId1958" display="https://www.bigbatbox.com/de/blogs/habitat-of-bats/tagged/mosquito-controlbackyard-wildlife"/>
    <hyperlink ref="B1960" r:id="rId1959" display="https://www.bigbatbox.com/it/blogs/bee-species/tagged/bees-pollination"/>
    <hyperlink ref="B1961" r:id="rId1960" display="https://www.bigbatbox.com/fr/collections/certified-bat-houses"/>
    <hyperlink ref="B1962" r:id="rId1961" display="https://www.bigbatbox.com/it/blogs/habitat-of-bats/tagged/protect-bats"/>
    <hyperlink ref="B1963" r:id="rId1962" display="https://www.bigbatbox.com/it/blogs/wildyard-learn/bats-bees-as-your-garden-pollinators"/>
    <hyperlink ref="B1964" r:id="rId1963" display="https://www.bigbatbox.com/en-ca/blogs/habitat-of-bats/tagged/bat-conservation"/>
    <hyperlink ref="B1965" r:id="rId1964" display="https://www.bigbatbox.com/it/blogs/types-of-squirrels/tagged/wildlife-feeding"/>
    <hyperlink ref="B1966" r:id="rId1965" display="https://www.bigbatbox.com/es/blogs/habitat-of-bats?page=4"/>
    <hyperlink ref="B1967" r:id="rId1966" display="https://www.bigbatbox.com/es/blogs/habitat-of-bats/tagged/protect-bats"/>
    <hyperlink ref="B1968" r:id="rId1967" display="https://www.bigbatbox.com/it/blogs/bee-species/tagged/environmental-sustainability"/>
    <hyperlink ref="B1969" r:id="rId1968" display="https://www.bigbatbox.com/de/blogs/fun-facts-about-owls/tagged/ecological-balance"/>
    <hyperlink ref="B1970" r:id="rId1969" display="https://www.bigbatbox.com/blogs/habitat-of-bats/tagged/bat-house-tips"/>
    <hyperlink ref="B1971" r:id="rId1970" display="https://www.bigbatbox.com/fr/blogs/habitat-of-bats/why-a-black-bat-house-is-perfect-for-cooler-climates"/>
    <hyperlink ref="B1972" r:id="rId1971" display="https://www.bigbatbox.com/de/blogs/habitat-of-bats/tagged/pollinator-friendly-yard"/>
    <hyperlink ref="B1973" r:id="rId1972" display="https://www.bigbatbox.com/en-ca/blogs/habitat-of-bats/tagged/bat-box-guide"/>
    <hyperlink ref="B1974" r:id="rId1973" display="https://www.bigbatbox.com/en-ca/blogs/habitat-of-bats/tagged/bat-facts"/>
    <hyperlink ref="B1975" r:id="rId1974" display="https://www.bigbatbox.com/es/blogs/habitat-of-bats/tagged/wildlife-friendly-backyard"/>
    <hyperlink ref="B1976" r:id="rId1975" display="https://www.bigbatbox.com/fr/blogs/types-of-squirrels/tagged/wildyard"/>
    <hyperlink ref="B1977" r:id="rId1976" display="https://www.bigbatbox.com/blogs/habitat-of-bats/tagged/pollinator-friendly-yard"/>
    <hyperlink ref="B1978" r:id="rId1977" display="https://www.bigbatbox.com/it/blogs/bee-species/tagged/bee-hotels"/>
    <hyperlink ref="B1979" r:id="rId1978" display="https://www.bigbatbox.com/es/blogs/habitat-of-bats/tagged/bat-conservation-guide"/>
    <hyperlink ref="B1980" r:id="rId1979" display="https://www.bigbatbox.com/fr/blogs/habitat-of-bats/tagged/best-bat-house-setup"/>
    <hyperlink ref="B1981" r:id="rId1980" display="https://www.bigbatbox.com/de/blogs/habitat-of-bats/tagged/sustainable-bat-boxes"/>
    <hyperlink ref="B1982" r:id="rId1981" display="https://www.bigbatbox.com/it/blogs/habitat-of-bats/tagged/eco-friendly-bat-shelter"/>
    <hyperlink ref="B1983" r:id="rId1982" display="https://www.bigbatbox.com/en-ca/blogs/habitat-of-bats/tagged/bat-friendly-backyard"/>
    <hyperlink ref="B1984" r:id="rId1983" display="https://www.bigbatbox.com/de/blogs/habitat-of-bats/tagged/backyard-pest-control"/>
    <hyperlink ref="B1985" r:id="rId1984" display="https://www.bigbatbox.com/it/blogs/bee-species/tagged/honey-bees"/>
    <hyperlink ref="B1986" r:id="rId1985" display="https://www.bigbatbox.com/fr/blogs/habitat-of-bats/tagged/bat-box-sunlight-requirements"/>
    <hyperlink ref="B1987" r:id="rId1986" display="https://www.bigbatbox.com/de/blogs/habitat-of-bats/tagged/backyard-wildlife"/>
    <hyperlink ref="B1988" r:id="rId1987" display="https://www.bigbatbox.com/fr/blogs/habitat-of-bats/tagged/south-facing-bat-house"/>
    <hyperlink ref="B1989" r:id="rId1988" display="https://www.bigbatbox.com/it/blogs/wildyard-learn/tagged/wildlife-shelter"/>
    <hyperlink ref="B1990" r:id="rId1989" display="https://www.bigbatbox.com/es/blogs/conservation-partners/tagged/conservation"/>
    <hyperlink ref="B1991" r:id="rId1990" display="https://www.bigbatbox.com/it/blogs/habitat-of-bats/tagged/pollinator-friendly-yard"/>
    <hyperlink ref="B1992" r:id="rId1991" display="https://www.bigbatbox.com/de/blogs/wildyard-learn/tagged/eco-friendly-gardening"/>
    <hyperlink ref="B1993" r:id="rId1992" display="https://www.bigbatbox.com/de/blogs/habitat-of-bats/tagged/dark-bat-house-benefits"/>
    <hyperlink ref="B1994" r:id="rId1993" display="https://www.bigbatbox.com/es/blogs/fun-facts-about-owls/do-owls-eat-squirrels"/>
    <hyperlink ref="B1995" r:id="rId1994" display="https://www.bigbatbox.com/fr/blogs/habitat-of-bats/tagged/garden-insect-control"/>
    <hyperlink ref="B1996" r:id="rId1995" display="https://www.bigbatbox.com/es/blogs/types-of-squirrels/tagged/wildlife-habitat"/>
    <hyperlink ref="B1997" r:id="rId1996" display="https://www.bigbatbox.com/fr/blogs/fun-facts-about-owls/tagged/owl-calls"/>
    <hyperlink ref="B1998" r:id="rId1997" display="https://www.bigbatbox.com/fr/blogs/habitat-of-bats/tagged/black-bat-house"/>
    <hyperlink ref="B1999" r:id="rId1998" display="https://www.bigbatbox.com/de/blogs/habitat-of-bats/tagged/mosquito-control"/>
    <hyperlink ref="B2000" r:id="rId1999" display="https://www.bigbatbox.com/it/blogs/habitat-of-bats/tagged/bat-house-advice"/>
    <hyperlink ref="B2001" r:id="rId2000" display="https://www.bigbatbox.com/de/blogs/habitat-of-bats/tagged/bat-friendly-backyard"/>
    <hyperlink ref="B2002" r:id="rId2001" display="https://www.bigbatbox.com/en-ca/blogs/conservation-partners"/>
    <hyperlink ref="B2003" r:id="rId2002" display="https://www.bigbatbox.com/it/blogs/habitat-of-bats/tagged/bigbatbox"/>
    <hyperlink ref="B2004" r:id="rId2003" display="https://www.bigbatbox.com/es/blogs/habitat-of-bats/tagged/wildlife-bat-box-guide"/>
    <hyperlink ref="B2005" r:id="rId2004" display="https://www.bigbatbox.com/it/blogs/habitat-of-bats/bat-box-casetta-pipistrelli-guida"/>
    <hyperlink ref="B2006" r:id="rId2005" display="https://www.bigbatbox.com/blogs/habitat-of-bats/tagged/bat-hibernation"/>
    <hyperlink ref="B2007" r:id="rId2006" display="https://www.bigbatbox.com/de/blogs/fun-facts-about-owls/tagged/owl-nest-box"/>
    <hyperlink ref="B2008" r:id="rId2007" display="https://www.bigbatbox.com/it/blogs/habitat-of-bats/tagged/diy-bat-box"/>
    <hyperlink ref="B2009" r:id="rId2008" display="https://www.bigbatbox.com/it/blogs/habitat-of-bats/tagged/vampire-bats"/>
    <hyperlink ref="B2010" r:id="rId2009" display="https://www.bigbatbox.com/de/blogs/types-of-squirrels/tagged/wildyard"/>
    <hyperlink ref="B2011" r:id="rId2010" display="https://www.bigbatbox.com/it/blogs/habitat-of-bats/tagged/eco-friendly"/>
    <hyperlink ref="B2012" r:id="rId2011" display="https://www.bigbatbox.com/es/blogs/habitat-of-bats/tagged/bat-species"/>
    <hyperlink ref="B2013" r:id="rId2012" display="https://www.bigbatbox.com/en-ca/blogs/habitat-of-bats/tagged/bigbatbox"/>
    <hyperlink ref="B2014" r:id="rId2013" display="https://www.bigbatbox.com/es/blogs/habitat-of-bats/tagged/best-bat-boxes-for-mosquito-control"/>
    <hyperlink ref="B2015" r:id="rId2014" display="https://www.bigbatbox.com/es/blogs/habitat-of-bats/tagged/bat-benefits"/>
    <hyperlink ref="B2016" r:id="rId2015" display="https://www.bigbatbox.com/it/blogs/types-of-squirrels/tagged/cedar-habitat"/>
    <hyperlink ref="B2017" r:id="rId2016" display="https://www.bigbatbox.com/it/blogs/bee-species/tagged/honey-production"/>
    <hyperlink ref="B2018" r:id="rId2017" display="https://www.bigbatbox.com/es/blogs/habitat-of-bats/tagged/bat-house-colors"/>
    <hyperlink ref="B2019" r:id="rId2018" display="https://www.bigbatbox.com/fr/blogs/habitat-of-bats/14-fascinating-facts-about-bats"/>
    <hyperlink ref="B2020" r:id="rId2019" display="https://www.bigbatbox.com/blogs/habitat-of-bats/tagged/wildlife-friendly-home"/>
    <hyperlink ref="B2021" r:id="rId2020" display="https://www.bigbatbox.com/es/blogs/habitat-of-bats/tagged/bat-conservation"/>
    <hyperlink ref="B2022" r:id="rId2021" display="https://www.bigbatbox.com/en-ca/blogs/habitat-of-bats/tagged/best-bat-houses"/>
    <hyperlink ref="B2023" r:id="rId2022" display="https://www.bigbatbox.com/fr/blogs/habitat-of-bats/5-best-tips-for-bat-house-maintenance"/>
    <hyperlink ref="B2024" r:id="rId2023" display="https://www.bigbatbox.com/fr/blogs/habitat-of-bats/a-brief-guide-to-building-and-installing-bat-boxes"/>
    <hyperlink ref="B2025" r:id="rId2024" display="https://www.bigbatbox.com/en-ca/blogs/fun-facts-about-owls/tagged/owl-safety"/>
    <hyperlink ref="B2026" r:id="rId2025" display="https://www.bigbatbox.com/de/blogs/wildyard-learn/tagged/garden-pollinators"/>
    <hyperlink ref="B2027" r:id="rId2026" display="https://www.bigbatbox.com/blogs/habitat-of-bats/tagged/bci-certified-bat-house"/>
    <hyperlink ref="B2028" r:id="rId2027" display="https://www.bigbatbox.com/fr/blogs/bee-species/tagged/hive-behavior"/>
    <hyperlink ref="B2029" r:id="rId2028" display="https://www.bigbatbox.com/en-ca/blogs/habitat-of-bats/tagged/are-bats-dangerous"/>
    <hyperlink ref="B2030" r:id="rId2029" display="https://www.bigbatbox.com/blogs/habitat-of-bats/tagged/yard-wildlife-guide"/>
    <hyperlink ref="B2031" r:id="rId2030" display="https://www.bigbatbox.com/es/blogs/habitat-of-bats/tagged/eco-friendly-pest-solutions"/>
    <hyperlink ref="B2032" r:id="rId2031" display="https://www.bigbatbox.com/it/blogs/habitat-of-bats/tagged/bat-removal"/>
    <hyperlink ref="B2033" r:id="rId2032" display="https://www.bigbatbox.com/de/blogs/habitat-of-bats/tagged/bat-house-installation"/>
    <hyperlink ref="B2034" r:id="rId2033" display="https://www.bigbatbox.com/fr/blogs/habitat-of-bats/tagged/bat-boxes"/>
    <hyperlink ref="B2035" r:id="rId2034" display="https://www.bigbatbox.com/es/blogs/habitat-of-bats/tagged/south-facing-bat-house"/>
    <hyperlink ref="B2036" r:id="rId2035" display="https://www.bigbatbox.com/it/blogs/habitat-of-bats/tagged/best-bat-house-placement"/>
    <hyperlink ref="B2037" r:id="rId2036" display="https://www.bigbatbox.com/blogs/habitat-of-bats/tagged/building-and-installing-bat-boxes"/>
    <hyperlink ref="B2038" r:id="rId2037" display="https://www.bigbatbox.com/de/blogs/habitat-of-bats/tagged/wildyard-bat-house-guide"/>
    <hyperlink ref="B2039" r:id="rId2038" display="https://www.bigbatbox.com/it/blogs/habitat-of-bats/tagged/natural-mosquito-control"/>
    <hyperlink ref="B2040" r:id="rId2039" display="https://www.bigbatbox.com/en-ca/blogs/types-of-squirrels/tagged/squirrel-behavior"/>
    <hyperlink ref="B2041" r:id="rId2040" display="https://www.bigbatbox.com/fr/blogs/habitat-of-bats/tagged/how-to-attract-bats"/>
    <hyperlink ref="B2042" r:id="rId2041" display="https://www.bigbatbox.com/es/blogs/habitat-of-bats/tagged/diy-bat-house"/>
    <hyperlink ref="B2043" r:id="rId2042" display="https://www.bigbatbox.com/it/blogs/habitat-of-bats/cedar-bat-box-for-cold-climates-what-you-need-to-know"/>
    <hyperlink ref="B2044" r:id="rId2043" display="https://www.bigbatbox.com/blogs/bee-species/tagged/bee-identification"/>
    <hyperlink ref="B2045" r:id="rId2044" display="https://www.bigbatbox.com/blogs/habitat-of-bats/tagged/cedar-bat-box"/>
    <hyperlink ref="B2046" r:id="rId2045" display="https://www.bigbatbox.com/fr/blogs/habitat-of-bats/best-backyard-bat-conservation-and-wildlife-habitat-trends-for-2026-so-far"/>
    <hyperlink ref="B2047" r:id="rId2046" display="https://www.bigbatbox.com/de/blogs/habitat-of-bats/tagged/dark-bat-houses"/>
    <hyperlink ref="B2048" r:id="rId2047" display="https://www.bigbatbox.com/es/blogs/backyard-birds/keep-squirrels-starlings-off-suet-feeder"/>
    <hyperlink ref="B2049" r:id="rId2048" display="https://www.bigbatbox.com/en-ca/blogs/habitat-of-bats/tagged/home-conservation-tips"/>
    <hyperlink ref="B2050" r:id="rId2049" display="https://www.bigbatbox.com/it/blogs/habitat-of-bats/tagged/bats"/>
    <hyperlink ref="B2051" r:id="rId2050" display="https://www.bigbatbox.com/fr/blogs/habitat-of-bats/tagged/usa-bat-house-guide"/>
    <hyperlink ref="B2052" r:id="rId2051" display="https://www.bigbatbox.com/blogs/bee-species/tagged/bee-house"/>
    <hyperlink ref="B2053" r:id="rId2052" display="https://www.bigbatbox.com/it/blogs/habitat-of-bats/tagged/bat-friendly-backyard"/>
    <hyperlink ref="B2054" r:id="rId2053" display="https://www.bigbatbox.com/it/blogs/habitat-of-bats/tagged/bci-certified-bat-house"/>
    <hyperlink ref="B2055" r:id="rId2054" display="https://www.bigbatbox.com/fr/blogs/habitat-of-bats/tagged/bat-house-distance-from-trees"/>
    <hyperlink ref="B2056" r:id="rId2055" display="https://www.bigbatbox.com/blogs/habitat-of-bats/tagged/bat-roosting-guide"/>
    <hyperlink ref="B2057" r:id="rId2056" display="https://www.bigbatbox.com/es/blogs/bee-species/tagged/bee-house"/>
    <hyperlink ref="B2058" r:id="rId2057" display="https://www.bigbatbox.com/fr/blogs/bee-species/tagged/honey-production"/>
    <hyperlink ref="B2059" r:id="rId2058" display="https://www.bigbatbox.com/es/blogs/bee-species/tagged/bees-pollination"/>
    <hyperlink ref="B2060" r:id="rId2059" display="https://www.bigbatbox.com/it/blogs/fun-facts-about-owls/do-owls-eat-squirrels"/>
    <hyperlink ref="B2061" r:id="rId2060" display="https://www.bigbatbox.com/es/blogs/types-of-squirrels/tagged/squirrel-house-feeder"/>
    <hyperlink ref="B2062" r:id="rId2061" display="https://www.bigbatbox.com/fr/blogs/types-of-squirrels/tagged/squirrel-food"/>
    <hyperlink ref="B2063" r:id="rId2062" display="https://www.bigbatbox.com/fr/blogs/fun-facts-about-owls/tagged/conservation"/>
    <hyperlink ref="B2064" r:id="rId2063" display="https://www.bigbatbox.com/blogs/habitat-of-bats/tagged/bat-house-wall-mount"/>
    <hyperlink ref="B2065" r:id="rId2064" display="https://www.bigbatbox.com/de/blogs/types-of-squirrels/tagged/buying-guide"/>
    <hyperlink ref="B2066" r:id="rId2065" display="https://www.bigbatbox.com/es/blogs/fun-facts-about-owls/tagged/owl-facts"/>
    <hyperlink ref="B2067" r:id="rId2066" display="https://www.bigbatbox.com/en-ca/blogs/fun-facts-about-owls/tagged/wildlife-gardening"/>
    <hyperlink ref="B2068" r:id="rId2067" display="https://www.bigbatbox.com/fr/blogs/bee-species/tagged/bee-facts"/>
    <hyperlink ref="B2069" r:id="rId2068" display="https://www.bigbatbox.com/en-ca/blogs/bee-species/where-to-hang-a-bee-house"/>
    <hyperlink ref="B2070" r:id="rId2069" display="https://www.bigbatbox.com/en-ca/blogs/habitat-of-bats/tagged/yard-wildlife-guide"/>
    <hyperlink ref="B2071" r:id="rId2070" display="https://www.bigbatbox.com/it/pages/wildyard-x-angry-birds-diy-birdhouse-instructions"/>
    <hyperlink ref="B2072" r:id="rId2071" display="https://www.bigbatbox.com/it/blogs/fun-facts-about-owls/tagged/pet-safety"/>
    <hyperlink ref="B2073" r:id="rId2072" display="https://www.bigbatbox.com/it/blogs/habitat-of-bats/where-to-buy-bat-houses-your-go-to-guide"/>
    <hyperlink ref="B2074" r:id="rId2073" display="https://www.bigbatbox.com/fr/blogs/bee-species/tagged/bee-communication"/>
    <hyperlink ref="B2075" r:id="rId2074" display="https://www.bigbatbox.com/fr/blogs/habitat-of-bats/tagged/microbats"/>
    <hyperlink ref="B2076" r:id="rId2075" display="https://www.bigbatbox.com/it/blogs/habitat-of-bats/tagged/building-and-installing-bat-boxes"/>
    <hyperlink ref="B2077" r:id="rId2076" display="https://www.bigbatbox.com/en-ca/blogs/backyard-birds/what-birds-eat-suet"/>
    <hyperlink ref="B2078" r:id="rId2077" display="https://www.bigbatbox.com/fr/blogs/habitat-of-bats/how-to-get-bats-in-a-bat-house"/>
    <hyperlink ref="B2079" r:id="rId2078" display="https://www.bigbatbox.com/fr/blogs/habitat-of-bats/tagged/bat-houses"/>
    <hyperlink ref="B2080" r:id="rId2079" display="https://www.bigbatbox.com/de/blogs/habitat-of-bats/tagged/bat-house-tips"/>
    <hyperlink ref="B2081" r:id="rId2080" display="https://www.bigbatbox.com/blogs/habitat-of-bats/tagged/bat-food"/>
    <hyperlink ref="B2082" r:id="rId2081" display="https://www.bigbatbox.com/en-ca/blogs/habitat-of-bats/tagged/tall-bat-house-design"/>
    <hyperlink ref="B2083" r:id="rId2082" display="https://www.bigbatbox.com/fr/blogs/habitat-of-bats/tagged/eco-friendly"/>
    <hyperlink ref="B2084" r:id="rId2083" display="https://www.bigbatbox.com/de/blogs/bee-species/tagged/bee-facts"/>
    <hyperlink ref="B2085" r:id="rId2084" display="https://www.bigbatbox.com/de/blogs/habitat-of-bats/tagged/safe-bat-habitat"/>
    <hyperlink ref="B2086" r:id="rId2085" display="https://www.bigbatbox.com/fr/blogs/habitat-of-bats/tagged/wildlife-friendly-backyard"/>
    <hyperlink ref="B2087" r:id="rId2086" display="https://www.bigbatbox.com/blogs/habitat-of-bats/tagged/diy-bat-house"/>
    <hyperlink ref="B2088" r:id="rId2087" display="https://www.bigbatbox.com/fr/blogs/habitat-of-bats/where-to-buy-bat-houses-your-go-to-guide"/>
    <hyperlink ref="B2089" r:id="rId2088" display="https://www.bigbatbox.com/fr/blogs/types-of-squirrels/tagged/backyard-habitat"/>
    <hyperlink ref="B2090" r:id="rId2089" display="https://www.bigbatbox.com/en-ca/blogs/habitat-of-bats/tagged/bat-house-temperature"/>
    <hyperlink ref="B2091" r:id="rId2090" display="https://www.bigbatbox.com/blogs/habitat-of-bats/tagged/eco-friendly-bat-house"/>
    <hyperlink ref="B2092" r:id="rId2091" display="https://www.bigbatbox.com/blogs/bee-species/tagged/bee-facts"/>
    <hyperlink ref="B2093" r:id="rId2092" display="https://www.bigbatbox.com/en-ca/blogs/habitat-of-bats/tagged/bat-proofing-tips"/>
    <hyperlink ref="B2094" r:id="rId2093" display="https://www.bigbatbox.com/es/blogs/habitat-of-bats/tagged/guano"/>
    <hyperlink ref="B2095" r:id="rId2094" display="https://www.bigbatbox.com/blogs/habitat-of-bats/tagged/best-bat-boxes-for-mosquito-control"/>
    <hyperlink ref="B2096" r:id="rId2095" display="https://www.bigbatbox.com/de/blogs/conservation-partners/tagged/partnership"/>
    <hyperlink ref="B2097" r:id="rId2096" display="https://www.bigbatbox.com/de/blogs/types-of-squirrels/tagged/wildlife-habitat"/>
    <hyperlink ref="B2098" r:id="rId2097" display="https://www.bigbatbox.com/it/collections/1-chamber-bat-houses"/>
    <hyperlink ref="B2099" r:id="rId2098" display="https://www.bigbatbox.com/es/blogs/fun-facts-about-owls/tagged/owl-identification"/>
    <hyperlink ref="B2100" r:id="rId2099" display="https://www.bigbatbox.com/de/blogs/bee-species/tagged/bees-pollination"/>
    <hyperlink ref="B2101" r:id="rId2100" display="https://www.bigbatbox.com/fr/blogs/bee-species/tagged/pollination-process"/>
    <hyperlink ref="B2102" r:id="rId2101" display="https://www.bigbatbox.com/blogs/habitat-of-bats/tagged/painted-cedar-bat-house"/>
    <hyperlink ref="B2103" r:id="rId2102" display="https://www.bigbatbox.com/es/blogs/bee-species/mason-bees-vs-leafcutter-bees"/>
    <hyperlink ref="B2104" r:id="rId2103" display="https://www.bigbatbox.com/de/blogs/habitat-of-bats/tagged/usa-bat-house-guide"/>
    <hyperlink ref="B2105" r:id="rId2104" display="https://www.bigbatbox.com/fr/blogs/habitat-of-bats/tagged/bigbatbox"/>
    <hyperlink ref="B2106" r:id="rId2105" display="https://www.bigbatbox.com/fr/blogs/habitat-of-bats/tagged/night-wildlife-support"/>
    <hyperlink ref="B2107" r:id="rId2106" display="https://www.bigbatbox.com/it/products/bat-barn-junior-brown"/>
    <hyperlink ref="B2108" r:id="rId2107" display="https://www.bigbatbox.com/fr/blogs/habitat-of-bats/tagged/echolocation"/>
    <hyperlink ref="B2109" r:id="rId2108" display="https://www.bigbatbox.com/en-ca/blogs/conservation-partners/tagged/1-for-the-planet"/>
    <hyperlink ref="B2110" r:id="rId2109" display="https://www.bigbatbox.com/en-ca/blogs/habitat-of-bats/tagged/bat-house-placement"/>
    <hyperlink ref="B2111" r:id="rId2110" display="https://www.bigbatbox.com/fr/blogs/fun-facts-about-owls/tagged/ecological-bal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4.51"/>
    <col collapsed="false" customWidth="true" hidden="false" outlineLevel="0" max="3" min="3" style="0" width="63.88"/>
    <col collapsed="false" customWidth="true" hidden="false" outlineLevel="0" max="5" min="5" style="0" width="22"/>
  </cols>
  <sheetData>
    <row r="1" customFormat="false" ht="15" hidden="false" customHeight="false" outlineLevel="0" collapsed="false">
      <c r="A1" s="27" t="s">
        <v>269</v>
      </c>
      <c r="B1" s="27" t="s">
        <v>274</v>
      </c>
      <c r="C1" s="27" t="s">
        <v>2438</v>
      </c>
      <c r="E1" s="26" t="str">
        <f aca="false">HYPERLINK("#'Master Overview'!A1","&lt;&lt; Master Overview")</f>
        <v>&lt;&lt; Master Overview</v>
      </c>
    </row>
    <row r="2" customFormat="false" ht="15" hidden="false" customHeight="false" outlineLevel="0" collapsed="false">
      <c r="A2" s="33" t="n">
        <v>1</v>
      </c>
      <c r="B2" s="31" t="s">
        <v>312</v>
      </c>
      <c r="C2" s="31" t="s">
        <v>280</v>
      </c>
      <c r="E2" s="2" t="s">
        <v>2439</v>
      </c>
    </row>
    <row r="3" customFormat="false" ht="15" hidden="false" customHeight="false" outlineLevel="0" collapsed="false">
      <c r="A3" s="33" t="n">
        <v>2</v>
      </c>
      <c r="B3" s="31" t="s">
        <v>2440</v>
      </c>
      <c r="C3" s="31" t="s">
        <v>280</v>
      </c>
    </row>
    <row r="4" customFormat="false" ht="15" hidden="false" customHeight="false" outlineLevel="0" collapsed="false">
      <c r="A4" s="33" t="n">
        <v>3</v>
      </c>
      <c r="B4" s="31" t="s">
        <v>322</v>
      </c>
      <c r="C4" s="31" t="s">
        <v>296</v>
      </c>
    </row>
    <row r="5" customFormat="false" ht="15" hidden="false" customHeight="false" outlineLevel="0" collapsed="false">
      <c r="A5" s="33" t="n">
        <v>4</v>
      </c>
      <c r="B5" s="31" t="s">
        <v>2441</v>
      </c>
      <c r="C5" s="31" t="s">
        <v>296</v>
      </c>
    </row>
    <row r="6" customFormat="false" ht="15" hidden="false" customHeight="false" outlineLevel="0" collapsed="false">
      <c r="A6" s="33" t="n">
        <v>5</v>
      </c>
      <c r="B6" s="31" t="s">
        <v>323</v>
      </c>
      <c r="C6" s="31" t="s">
        <v>297</v>
      </c>
    </row>
    <row r="7" customFormat="false" ht="15" hidden="false" customHeight="false" outlineLevel="0" collapsed="false">
      <c r="A7" s="33" t="n">
        <v>6</v>
      </c>
      <c r="B7" s="31" t="s">
        <v>321</v>
      </c>
      <c r="C7" s="31" t="s">
        <v>294</v>
      </c>
    </row>
    <row r="8" customFormat="false" ht="15" hidden="false" customHeight="false" outlineLevel="0" collapsed="false">
      <c r="A8" s="33" t="n">
        <v>7</v>
      </c>
      <c r="B8" s="31" t="s">
        <v>372</v>
      </c>
      <c r="C8" s="31" t="s">
        <v>298</v>
      </c>
    </row>
    <row r="9" customFormat="false" ht="15" hidden="false" customHeight="false" outlineLevel="0" collapsed="false">
      <c r="A9" s="33" t="n">
        <v>8</v>
      </c>
      <c r="B9" s="31" t="s">
        <v>324</v>
      </c>
      <c r="C9" s="31" t="s">
        <v>298</v>
      </c>
    </row>
    <row r="10" customFormat="false" ht="15" hidden="false" customHeight="false" outlineLevel="0" collapsed="false">
      <c r="A10" s="33" t="n">
        <v>9</v>
      </c>
      <c r="B10" s="31" t="s">
        <v>377</v>
      </c>
      <c r="C10" s="31" t="s">
        <v>297</v>
      </c>
    </row>
    <row r="11" customFormat="false" ht="15" hidden="false" customHeight="false" outlineLevel="0" collapsed="false">
      <c r="A11" s="33" t="n">
        <v>10</v>
      </c>
      <c r="B11" s="31" t="s">
        <v>379</v>
      </c>
      <c r="C11" s="31" t="s">
        <v>292</v>
      </c>
    </row>
    <row r="12" customFormat="false" ht="15" hidden="false" customHeight="false" outlineLevel="0" collapsed="false">
      <c r="A12" s="33" t="n">
        <v>11</v>
      </c>
      <c r="B12" s="31" t="s">
        <v>2442</v>
      </c>
      <c r="C12" s="31" t="s">
        <v>294</v>
      </c>
    </row>
    <row r="13" customFormat="false" ht="15" hidden="false" customHeight="false" outlineLevel="0" collapsed="false">
      <c r="A13" s="33" t="n">
        <v>12</v>
      </c>
      <c r="B13" s="31" t="s">
        <v>320</v>
      </c>
      <c r="C13" s="31" t="s">
        <v>292</v>
      </c>
    </row>
    <row r="14" customFormat="false" ht="15" hidden="false" customHeight="false" outlineLevel="0" collapsed="false">
      <c r="A14" s="33" t="n">
        <v>13</v>
      </c>
      <c r="B14" s="31" t="s">
        <v>314</v>
      </c>
      <c r="C14" s="34" t="s">
        <v>2443</v>
      </c>
    </row>
    <row r="15" customFormat="false" ht="15" hidden="false" customHeight="false" outlineLevel="0" collapsed="false">
      <c r="A15" s="33" t="n">
        <v>14</v>
      </c>
      <c r="B15" s="31" t="s">
        <v>315</v>
      </c>
      <c r="C15" s="34" t="s">
        <v>2444</v>
      </c>
    </row>
    <row r="16" customFormat="false" ht="15" hidden="false" customHeight="false" outlineLevel="0" collapsed="false">
      <c r="A16" s="33" t="n">
        <v>15</v>
      </c>
      <c r="B16" s="31" t="s">
        <v>309</v>
      </c>
      <c r="C16" s="31" t="s">
        <v>277</v>
      </c>
    </row>
    <row r="17" customFormat="false" ht="15" hidden="false" customHeight="false" outlineLevel="0" collapsed="false">
      <c r="A17" s="33" t="n">
        <v>16</v>
      </c>
      <c r="B17" s="31" t="s">
        <v>317</v>
      </c>
      <c r="C17" s="34" t="s">
        <v>2445</v>
      </c>
    </row>
    <row r="18" customFormat="false" ht="15" hidden="false" customHeight="false" outlineLevel="0" collapsed="false">
      <c r="A18" s="33" t="n">
        <v>17</v>
      </c>
      <c r="B18" s="31" t="s">
        <v>325</v>
      </c>
      <c r="C18" s="34" t="s">
        <v>2446</v>
      </c>
    </row>
    <row r="19" customFormat="false" ht="15" hidden="false" customHeight="false" outlineLevel="0" collapsed="false">
      <c r="A19" s="33" t="n">
        <v>18</v>
      </c>
      <c r="B19" s="31" t="s">
        <v>2447</v>
      </c>
      <c r="C19" s="31" t="s">
        <v>275</v>
      </c>
    </row>
    <row r="20" customFormat="false" ht="15" hidden="false" customHeight="false" outlineLevel="0" collapsed="false">
      <c r="A20" s="33" t="n">
        <v>19</v>
      </c>
      <c r="B20" s="31" t="s">
        <v>311</v>
      </c>
      <c r="C20" s="34" t="s">
        <v>2448</v>
      </c>
    </row>
    <row r="21" customFormat="false" ht="15" hidden="false" customHeight="false" outlineLevel="0" collapsed="false">
      <c r="A21" s="33" t="n">
        <v>20</v>
      </c>
      <c r="B21" s="31" t="s">
        <v>318</v>
      </c>
      <c r="C21" s="31" t="s">
        <v>287</v>
      </c>
    </row>
    <row r="22" customFormat="false" ht="15" hidden="false" customHeight="false" outlineLevel="0" collapsed="false">
      <c r="A22" s="33" t="n">
        <v>21</v>
      </c>
      <c r="B22" s="31" t="s">
        <v>307</v>
      </c>
      <c r="C22" s="34" t="s">
        <v>2449</v>
      </c>
    </row>
    <row r="23" customFormat="false" ht="15" hidden="false" customHeight="false" outlineLevel="0" collapsed="false">
      <c r="A23" s="33" t="n">
        <v>22</v>
      </c>
      <c r="B23" s="31" t="s">
        <v>2450</v>
      </c>
      <c r="C23" s="31" t="s">
        <v>279</v>
      </c>
    </row>
    <row r="24" customFormat="false" ht="15" hidden="false" customHeight="false" outlineLevel="0" collapsed="false">
      <c r="A24" s="33" t="n">
        <v>23</v>
      </c>
      <c r="B24" s="31" t="s">
        <v>326</v>
      </c>
      <c r="C24" s="34" t="s">
        <v>2451</v>
      </c>
    </row>
    <row r="25" customFormat="false" ht="15" hidden="false" customHeight="false" outlineLevel="0" collapsed="false">
      <c r="A25" s="33" t="n">
        <v>24</v>
      </c>
      <c r="B25" s="31" t="s">
        <v>310</v>
      </c>
      <c r="C25" s="31" t="s">
        <v>278</v>
      </c>
    </row>
    <row r="26" customFormat="false" ht="15" hidden="false" customHeight="false" outlineLevel="0" collapsed="false">
      <c r="A26" s="33" t="n">
        <v>25</v>
      </c>
      <c r="B26" s="31" t="s">
        <v>319</v>
      </c>
      <c r="C26" s="34" t="s">
        <v>2452</v>
      </c>
    </row>
    <row r="27" customFormat="false" ht="15" hidden="false" customHeight="false" outlineLevel="0" collapsed="false">
      <c r="A27" s="33" t="n">
        <v>26</v>
      </c>
      <c r="B27" s="31" t="s">
        <v>316</v>
      </c>
      <c r="C27" s="34" t="s">
        <v>2453</v>
      </c>
    </row>
    <row r="28" customFormat="false" ht="15" hidden="false" customHeight="false" outlineLevel="0" collapsed="false">
      <c r="A28" s="33" t="n">
        <v>27</v>
      </c>
      <c r="B28" s="31" t="s">
        <v>313</v>
      </c>
      <c r="C28" s="34" t="s">
        <v>2454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3" min="3" style="0" width="51.13"/>
    <col collapsed="false" customWidth="true" hidden="false" outlineLevel="0" max="4" min="4" style="0" width="23.5"/>
    <col collapsed="false" customWidth="true" hidden="false" outlineLevel="0" max="6" min="6" style="0" width="22"/>
  </cols>
  <sheetData>
    <row r="1" customFormat="false" ht="15" hidden="false" customHeight="false" outlineLevel="0" collapsed="false">
      <c r="A1" s="27" t="s">
        <v>269</v>
      </c>
      <c r="B1" s="27" t="s">
        <v>274</v>
      </c>
      <c r="C1" s="27" t="s">
        <v>2455</v>
      </c>
      <c r="D1" s="27" t="s">
        <v>2456</v>
      </c>
      <c r="F1" s="26" t="str">
        <f aca="false">HYPERLINK("#'Master Overview'!A1","&lt;&lt; Master Overview")</f>
        <v>&lt;&lt; Master Overview</v>
      </c>
    </row>
    <row r="2" customFormat="false" ht="15" hidden="false" customHeight="false" outlineLevel="0" collapsed="false">
      <c r="A2" s="33" t="n">
        <v>1</v>
      </c>
      <c r="B2" s="31" t="s">
        <v>327</v>
      </c>
      <c r="C2" s="31" t="s">
        <v>2457</v>
      </c>
      <c r="D2" s="35" t="n">
        <v>302</v>
      </c>
      <c r="F2" s="2" t="s">
        <v>2458</v>
      </c>
    </row>
    <row r="3" customFormat="false" ht="15" hidden="false" customHeight="false" outlineLevel="0" collapsed="false">
      <c r="A3" s="33" t="n">
        <v>2</v>
      </c>
      <c r="B3" s="31" t="s">
        <v>2459</v>
      </c>
      <c r="C3" s="31" t="s">
        <v>2457</v>
      </c>
      <c r="D3" s="35" t="n">
        <v>302</v>
      </c>
    </row>
    <row r="4" customFormat="false" ht="15" hidden="false" customHeight="false" outlineLevel="0" collapsed="false">
      <c r="A4" s="33" t="n">
        <v>3</v>
      </c>
      <c r="B4" s="31" t="s">
        <v>2460</v>
      </c>
      <c r="C4" s="34" t="s">
        <v>2461</v>
      </c>
      <c r="D4" s="36" t="s">
        <v>2462</v>
      </c>
    </row>
    <row r="5" customFormat="false" ht="15" hidden="false" customHeight="false" outlineLevel="0" collapsed="false">
      <c r="A5" s="33" t="n">
        <v>4</v>
      </c>
      <c r="B5" s="31" t="s">
        <v>2463</v>
      </c>
      <c r="C5" s="31" t="s">
        <v>2457</v>
      </c>
      <c r="D5" s="35" t="n">
        <v>302</v>
      </c>
    </row>
    <row r="6" customFormat="false" ht="15" hidden="false" customHeight="false" outlineLevel="0" collapsed="false">
      <c r="A6" s="33" t="n">
        <v>5</v>
      </c>
      <c r="B6" s="31" t="s">
        <v>2464</v>
      </c>
      <c r="C6" s="34" t="s">
        <v>2465</v>
      </c>
      <c r="D6" s="36" t="s">
        <v>2462</v>
      </c>
    </row>
    <row r="7" customFormat="false" ht="15" hidden="false" customHeight="false" outlineLevel="0" collapsed="false">
      <c r="A7" s="33" t="n">
        <v>6</v>
      </c>
      <c r="B7" s="31" t="s">
        <v>2466</v>
      </c>
      <c r="C7" s="34" t="s">
        <v>2467</v>
      </c>
      <c r="D7" s="36" t="s">
        <v>2462</v>
      </c>
    </row>
    <row r="8" customFormat="false" ht="15" hidden="false" customHeight="false" outlineLevel="0" collapsed="false">
      <c r="A8" s="33" t="n">
        <v>7</v>
      </c>
      <c r="B8" s="31" t="s">
        <v>2468</v>
      </c>
      <c r="C8" s="34" t="s">
        <v>2467</v>
      </c>
      <c r="D8" s="36" t="s">
        <v>2462</v>
      </c>
    </row>
    <row r="9" customFormat="false" ht="15" hidden="false" customHeight="false" outlineLevel="0" collapsed="false">
      <c r="A9" s="33" t="n">
        <v>8</v>
      </c>
      <c r="B9" s="31" t="s">
        <v>329</v>
      </c>
      <c r="C9" s="34" t="s">
        <v>2469</v>
      </c>
      <c r="D9" s="36" t="s">
        <v>2470</v>
      </c>
    </row>
    <row r="10" customFormat="false" ht="15" hidden="false" customHeight="false" outlineLevel="0" collapsed="false">
      <c r="A10" s="33" t="n">
        <v>9</v>
      </c>
      <c r="B10" s="31" t="s">
        <v>330</v>
      </c>
      <c r="C10" s="34" t="s">
        <v>2465</v>
      </c>
      <c r="D10" s="36" t="s">
        <v>2462</v>
      </c>
    </row>
    <row r="11" customFormat="false" ht="15" hidden="false" customHeight="false" outlineLevel="0" collapsed="false">
      <c r="A11" s="33" t="n">
        <v>10</v>
      </c>
      <c r="B11" s="31" t="s">
        <v>2471</v>
      </c>
      <c r="C11" s="31" t="s">
        <v>2457</v>
      </c>
      <c r="D11" s="35" t="n">
        <v>302</v>
      </c>
    </row>
    <row r="12" customFormat="false" ht="15" hidden="false" customHeight="false" outlineLevel="0" collapsed="false">
      <c r="A12" s="33" t="n">
        <v>11</v>
      </c>
      <c r="B12" s="31" t="s">
        <v>2472</v>
      </c>
      <c r="C12" s="34" t="s">
        <v>2473</v>
      </c>
      <c r="D12" s="36" t="s">
        <v>2474</v>
      </c>
    </row>
    <row r="13" customFormat="false" ht="15" hidden="false" customHeight="false" outlineLevel="0" collapsed="false">
      <c r="A13" s="33" t="n">
        <v>12</v>
      </c>
      <c r="B13" s="31" t="s">
        <v>2475</v>
      </c>
      <c r="C13" s="31" t="s">
        <v>2457</v>
      </c>
      <c r="D13" s="35" t="n">
        <v>302</v>
      </c>
    </row>
    <row r="14" customFormat="false" ht="15" hidden="false" customHeight="false" outlineLevel="0" collapsed="false">
      <c r="A14" s="33" t="n">
        <v>13</v>
      </c>
      <c r="B14" s="31" t="s">
        <v>2476</v>
      </c>
      <c r="C14" s="34" t="s">
        <v>2477</v>
      </c>
      <c r="D14" s="36" t="s">
        <v>2478</v>
      </c>
    </row>
    <row r="15" customFormat="false" ht="15" hidden="false" customHeight="false" outlineLevel="0" collapsed="false">
      <c r="A15" s="33" t="n">
        <v>14</v>
      </c>
      <c r="B15" s="31" t="s">
        <v>2479</v>
      </c>
      <c r="C15" s="34" t="s">
        <v>2469</v>
      </c>
      <c r="D15" s="36" t="s">
        <v>2470</v>
      </c>
    </row>
    <row r="16" customFormat="false" ht="15" hidden="false" customHeight="false" outlineLevel="0" collapsed="false">
      <c r="A16" s="33" t="n">
        <v>15</v>
      </c>
      <c r="B16" s="31" t="s">
        <v>2480</v>
      </c>
      <c r="C16" s="34" t="s">
        <v>2481</v>
      </c>
      <c r="D16" s="36" t="s">
        <v>2470</v>
      </c>
    </row>
    <row r="17" customFormat="false" ht="15" hidden="false" customHeight="false" outlineLevel="0" collapsed="false">
      <c r="A17" s="33" t="n">
        <v>16</v>
      </c>
      <c r="B17" s="31" t="s">
        <v>2482</v>
      </c>
      <c r="C17" s="34" t="s">
        <v>2483</v>
      </c>
      <c r="D17" s="36" t="s">
        <v>2462</v>
      </c>
    </row>
    <row r="18" customFormat="false" ht="15" hidden="false" customHeight="false" outlineLevel="0" collapsed="false">
      <c r="A18" s="33" t="n">
        <v>17</v>
      </c>
      <c r="B18" s="31" t="s">
        <v>2484</v>
      </c>
      <c r="C18" s="34" t="s">
        <v>2485</v>
      </c>
      <c r="D18" s="36" t="s">
        <v>2474</v>
      </c>
    </row>
    <row r="19" customFormat="false" ht="15" hidden="false" customHeight="false" outlineLevel="0" collapsed="false">
      <c r="A19" s="33" t="n">
        <v>18</v>
      </c>
      <c r="B19" s="31" t="s">
        <v>331</v>
      </c>
      <c r="C19" s="34" t="s">
        <v>2483</v>
      </c>
      <c r="D19" s="36" t="s">
        <v>2462</v>
      </c>
    </row>
    <row r="20" customFormat="false" ht="15" hidden="false" customHeight="false" outlineLevel="0" collapsed="false">
      <c r="A20" s="33" t="n">
        <v>19</v>
      </c>
      <c r="B20" s="31" t="s">
        <v>2486</v>
      </c>
      <c r="C20" s="34" t="s">
        <v>2465</v>
      </c>
      <c r="D20" s="36" t="s">
        <v>2462</v>
      </c>
    </row>
    <row r="21" customFormat="false" ht="15" hidden="false" customHeight="false" outlineLevel="0" collapsed="false">
      <c r="A21" s="33" t="n">
        <v>20</v>
      </c>
      <c r="B21" s="31" t="s">
        <v>2487</v>
      </c>
      <c r="C21" s="34" t="s">
        <v>2461</v>
      </c>
      <c r="D21" s="36" t="s">
        <v>2462</v>
      </c>
    </row>
    <row r="22" customFormat="false" ht="15" hidden="false" customHeight="false" outlineLevel="0" collapsed="false">
      <c r="A22" s="33" t="n">
        <v>21</v>
      </c>
      <c r="B22" s="31" t="s">
        <v>2488</v>
      </c>
      <c r="C22" s="34" t="s">
        <v>2483</v>
      </c>
      <c r="D22" s="36" t="s">
        <v>2462</v>
      </c>
    </row>
    <row r="23" customFormat="false" ht="15" hidden="false" customHeight="false" outlineLevel="0" collapsed="false">
      <c r="A23" s="33" t="n">
        <v>22</v>
      </c>
      <c r="B23" s="31" t="s">
        <v>2489</v>
      </c>
      <c r="C23" s="31" t="s">
        <v>2457</v>
      </c>
      <c r="D23" s="35" t="n">
        <v>302</v>
      </c>
    </row>
    <row r="24" customFormat="false" ht="15" hidden="false" customHeight="false" outlineLevel="0" collapsed="false">
      <c r="A24" s="33" t="n">
        <v>23</v>
      </c>
      <c r="B24" s="31" t="s">
        <v>2490</v>
      </c>
      <c r="C24" s="34" t="s">
        <v>2467</v>
      </c>
      <c r="D24" s="36" t="s">
        <v>2462</v>
      </c>
    </row>
    <row r="25" customFormat="false" ht="15" hidden="false" customHeight="false" outlineLevel="0" collapsed="false">
      <c r="A25" s="33" t="n">
        <v>24</v>
      </c>
      <c r="B25" s="31" t="s">
        <v>2491</v>
      </c>
      <c r="C25" s="34" t="s">
        <v>2477</v>
      </c>
      <c r="D25" s="36" t="s">
        <v>2478</v>
      </c>
    </row>
    <row r="26" customFormat="false" ht="15" hidden="false" customHeight="false" outlineLevel="0" collapsed="false">
      <c r="A26" s="33" t="n">
        <v>25</v>
      </c>
      <c r="B26" s="31" t="s">
        <v>2492</v>
      </c>
      <c r="C26" s="34" t="s">
        <v>2469</v>
      </c>
      <c r="D26" s="36" t="s">
        <v>2470</v>
      </c>
    </row>
    <row r="27" customFormat="false" ht="15" hidden="false" customHeight="false" outlineLevel="0" collapsed="false">
      <c r="A27" s="33" t="n">
        <v>26</v>
      </c>
      <c r="B27" s="31" t="s">
        <v>2493</v>
      </c>
      <c r="C27" s="31" t="s">
        <v>2457</v>
      </c>
      <c r="D27" s="35" t="n">
        <v>302</v>
      </c>
    </row>
    <row r="28" customFormat="false" ht="15" hidden="false" customHeight="false" outlineLevel="0" collapsed="false">
      <c r="A28" s="33" t="n">
        <v>27</v>
      </c>
      <c r="B28" s="31" t="s">
        <v>2494</v>
      </c>
      <c r="C28" s="34" t="s">
        <v>2495</v>
      </c>
      <c r="D28" s="36" t="s">
        <v>2496</v>
      </c>
    </row>
    <row r="29" customFormat="false" ht="15" hidden="false" customHeight="false" outlineLevel="0" collapsed="false">
      <c r="A29" s="33" t="n">
        <v>28</v>
      </c>
      <c r="B29" s="31" t="s">
        <v>332</v>
      </c>
      <c r="C29" s="34" t="s">
        <v>2461</v>
      </c>
      <c r="D29" s="36" t="s">
        <v>2462</v>
      </c>
    </row>
    <row r="30" customFormat="false" ht="15" hidden="false" customHeight="false" outlineLevel="0" collapsed="false">
      <c r="A30" s="33" t="n">
        <v>29</v>
      </c>
      <c r="B30" s="31" t="s">
        <v>2497</v>
      </c>
      <c r="C30" s="34" t="s">
        <v>2498</v>
      </c>
      <c r="D30" s="36" t="s">
        <v>2499</v>
      </c>
    </row>
    <row r="31" customFormat="false" ht="15" hidden="false" customHeight="false" outlineLevel="0" collapsed="false">
      <c r="A31" s="33" t="n">
        <v>30</v>
      </c>
      <c r="B31" s="31" t="s">
        <v>2500</v>
      </c>
      <c r="C31" s="31" t="s">
        <v>2457</v>
      </c>
      <c r="D31" s="35" t="n">
        <v>302</v>
      </c>
    </row>
    <row r="32" customFormat="false" ht="15" hidden="false" customHeight="false" outlineLevel="0" collapsed="false">
      <c r="A32" s="33" t="n">
        <v>31</v>
      </c>
      <c r="B32" s="31" t="s">
        <v>2501</v>
      </c>
      <c r="C32" s="34" t="s">
        <v>2502</v>
      </c>
      <c r="D32" s="36" t="s">
        <v>2478</v>
      </c>
    </row>
    <row r="33" customFormat="false" ht="15" hidden="false" customHeight="false" outlineLevel="0" collapsed="false">
      <c r="A33" s="33" t="n">
        <v>32</v>
      </c>
      <c r="B33" s="31" t="s">
        <v>2503</v>
      </c>
      <c r="C33" s="34" t="s">
        <v>2504</v>
      </c>
      <c r="D33" s="36" t="s">
        <v>2505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F17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7.25"/>
    <col collapsed="false" customWidth="true" hidden="false" outlineLevel="0" max="3" min="3" style="0" width="38"/>
    <col collapsed="false" customWidth="true" hidden="false" outlineLevel="0" max="6" min="6" style="0" width="22"/>
  </cols>
  <sheetData>
    <row r="1" customFormat="false" ht="15" hidden="false" customHeight="false" outlineLevel="0" collapsed="false">
      <c r="A1" s="27" t="s">
        <v>269</v>
      </c>
      <c r="B1" s="27" t="s">
        <v>274</v>
      </c>
      <c r="C1" s="27" t="s">
        <v>2506</v>
      </c>
      <c r="D1" s="27" t="s">
        <v>2507</v>
      </c>
      <c r="F1" s="26" t="str">
        <f aca="false">HYPERLINK("#'Master Overview'!A1","&lt;&lt; Master Overview")</f>
        <v>&lt;&lt; Master Overview</v>
      </c>
    </row>
    <row r="2" customFormat="false" ht="15" hidden="false" customHeight="false" outlineLevel="0" collapsed="false">
      <c r="A2" s="28" t="n">
        <v>1</v>
      </c>
      <c r="B2" s="37" t="s">
        <v>2508</v>
      </c>
      <c r="C2" s="38" t="s">
        <v>2509</v>
      </c>
      <c r="D2" s="38" t="n">
        <v>73</v>
      </c>
      <c r="F2" s="2" t="s">
        <v>2510</v>
      </c>
    </row>
    <row r="3" customFormat="false" ht="15" hidden="false" customHeight="false" outlineLevel="0" collapsed="false">
      <c r="A3" s="28" t="n">
        <v>2</v>
      </c>
      <c r="B3" s="37" t="s">
        <v>2511</v>
      </c>
      <c r="C3" s="38" t="s">
        <v>2512</v>
      </c>
      <c r="D3" s="38" t="n">
        <v>71</v>
      </c>
    </row>
    <row r="4" customFormat="false" ht="15" hidden="false" customHeight="false" outlineLevel="0" collapsed="false">
      <c r="A4" s="28" t="n">
        <v>3</v>
      </c>
      <c r="B4" s="37" t="s">
        <v>312</v>
      </c>
      <c r="C4" s="38" t="s">
        <v>2513</v>
      </c>
      <c r="D4" s="38" t="n">
        <v>71</v>
      </c>
    </row>
    <row r="5" customFormat="false" ht="15" hidden="false" customHeight="false" outlineLevel="0" collapsed="false">
      <c r="A5" s="28" t="n">
        <v>4</v>
      </c>
      <c r="B5" s="37" t="s">
        <v>2514</v>
      </c>
      <c r="C5" s="38" t="s">
        <v>2515</v>
      </c>
      <c r="D5" s="38" t="n">
        <v>73</v>
      </c>
    </row>
    <row r="6" customFormat="false" ht="15" hidden="false" customHeight="false" outlineLevel="0" collapsed="false">
      <c r="A6" s="28" t="n">
        <v>5</v>
      </c>
      <c r="B6" s="37" t="s">
        <v>2516</v>
      </c>
      <c r="C6" s="38" t="s">
        <v>2517</v>
      </c>
      <c r="D6" s="38" t="n">
        <v>84</v>
      </c>
    </row>
    <row r="7" customFormat="false" ht="15" hidden="false" customHeight="false" outlineLevel="0" collapsed="false">
      <c r="A7" s="28" t="n">
        <v>6</v>
      </c>
      <c r="B7" s="37" t="s">
        <v>335</v>
      </c>
      <c r="C7" s="38" t="s">
        <v>2515</v>
      </c>
      <c r="D7" s="38" t="n">
        <v>73</v>
      </c>
    </row>
    <row r="8" customFormat="false" ht="15" hidden="false" customHeight="false" outlineLevel="0" collapsed="false">
      <c r="A8" s="28" t="n">
        <v>7</v>
      </c>
      <c r="B8" s="37" t="s">
        <v>322</v>
      </c>
      <c r="C8" s="38" t="s">
        <v>2513</v>
      </c>
      <c r="D8" s="38" t="n">
        <v>71</v>
      </c>
    </row>
    <row r="9" customFormat="false" ht="15" hidden="false" customHeight="false" outlineLevel="0" collapsed="false">
      <c r="A9" s="28" t="n">
        <v>8</v>
      </c>
      <c r="B9" s="37" t="s">
        <v>350</v>
      </c>
      <c r="C9" s="38" t="s">
        <v>2512</v>
      </c>
      <c r="D9" s="38" t="n">
        <v>71</v>
      </c>
    </row>
    <row r="10" customFormat="false" ht="15" hidden="false" customHeight="false" outlineLevel="0" collapsed="false">
      <c r="A10" s="28" t="n">
        <v>9</v>
      </c>
      <c r="B10" s="37" t="s">
        <v>2518</v>
      </c>
      <c r="C10" s="38" t="s">
        <v>2512</v>
      </c>
      <c r="D10" s="38" t="n">
        <v>71</v>
      </c>
    </row>
    <row r="11" customFormat="false" ht="15" hidden="false" customHeight="false" outlineLevel="0" collapsed="false">
      <c r="A11" s="28" t="n">
        <v>10</v>
      </c>
      <c r="B11" s="37" t="s">
        <v>2519</v>
      </c>
      <c r="C11" s="38" t="s">
        <v>2515</v>
      </c>
      <c r="D11" s="38" t="n">
        <v>73</v>
      </c>
    </row>
    <row r="12" customFormat="false" ht="15" hidden="false" customHeight="false" outlineLevel="0" collapsed="false">
      <c r="A12" s="28" t="n">
        <v>11</v>
      </c>
      <c r="B12" s="37" t="s">
        <v>2520</v>
      </c>
      <c r="C12" s="38" t="s">
        <v>2521</v>
      </c>
      <c r="D12" s="38" t="n">
        <v>112</v>
      </c>
    </row>
    <row r="13" customFormat="false" ht="15" hidden="false" customHeight="false" outlineLevel="0" collapsed="false">
      <c r="A13" s="28" t="n">
        <v>12</v>
      </c>
      <c r="B13" s="37" t="s">
        <v>363</v>
      </c>
      <c r="C13" s="38" t="s">
        <v>2517</v>
      </c>
      <c r="D13" s="38" t="n">
        <v>84</v>
      </c>
    </row>
    <row r="14" customFormat="false" ht="15" hidden="false" customHeight="false" outlineLevel="0" collapsed="false">
      <c r="A14" s="28" t="n">
        <v>13</v>
      </c>
      <c r="B14" s="37" t="s">
        <v>323</v>
      </c>
      <c r="C14" s="38" t="s">
        <v>2513</v>
      </c>
      <c r="D14" s="38" t="n">
        <v>71</v>
      </c>
    </row>
    <row r="15" customFormat="false" ht="15" hidden="false" customHeight="false" outlineLevel="0" collapsed="false">
      <c r="A15" s="28" t="n">
        <v>14</v>
      </c>
      <c r="B15" s="37" t="s">
        <v>2522</v>
      </c>
      <c r="C15" s="38" t="s">
        <v>2523</v>
      </c>
      <c r="D15" s="38" t="n">
        <v>88</v>
      </c>
    </row>
    <row r="16" customFormat="false" ht="15" hidden="false" customHeight="false" outlineLevel="0" collapsed="false">
      <c r="A16" s="28" t="n">
        <v>15</v>
      </c>
      <c r="B16" s="37" t="s">
        <v>321</v>
      </c>
      <c r="C16" s="38" t="s">
        <v>2513</v>
      </c>
      <c r="D16" s="38" t="n">
        <v>71</v>
      </c>
    </row>
    <row r="17" customFormat="false" ht="15" hidden="false" customHeight="false" outlineLevel="0" collapsed="false">
      <c r="A17" s="28" t="n">
        <v>16</v>
      </c>
      <c r="B17" s="37" t="s">
        <v>366</v>
      </c>
      <c r="C17" s="38" t="s">
        <v>2515</v>
      </c>
      <c r="D17" s="38" t="n">
        <v>73</v>
      </c>
    </row>
    <row r="18" customFormat="false" ht="15" hidden="false" customHeight="false" outlineLevel="0" collapsed="false">
      <c r="A18" s="28" t="n">
        <v>17</v>
      </c>
      <c r="B18" s="37" t="s">
        <v>373</v>
      </c>
      <c r="C18" s="38" t="s">
        <v>2517</v>
      </c>
      <c r="D18" s="38" t="n">
        <v>84</v>
      </c>
    </row>
    <row r="19" customFormat="false" ht="15" hidden="false" customHeight="false" outlineLevel="0" collapsed="false">
      <c r="A19" s="28" t="n">
        <v>18</v>
      </c>
      <c r="B19" s="37" t="s">
        <v>324</v>
      </c>
      <c r="C19" s="38" t="s">
        <v>2513</v>
      </c>
      <c r="D19" s="38" t="n">
        <v>71</v>
      </c>
    </row>
    <row r="20" customFormat="false" ht="15" hidden="false" customHeight="false" outlineLevel="0" collapsed="false">
      <c r="A20" s="28" t="n">
        <v>19</v>
      </c>
      <c r="B20" s="37" t="s">
        <v>375</v>
      </c>
      <c r="C20" s="38" t="s">
        <v>2512</v>
      </c>
      <c r="D20" s="38" t="n">
        <v>71</v>
      </c>
    </row>
    <row r="21" customFormat="false" ht="15" hidden="false" customHeight="false" outlineLevel="0" collapsed="false">
      <c r="A21" s="28" t="n">
        <v>20</v>
      </c>
      <c r="B21" s="37" t="s">
        <v>2524</v>
      </c>
      <c r="C21" s="38" t="s">
        <v>2525</v>
      </c>
      <c r="D21" s="38" t="n">
        <v>71</v>
      </c>
    </row>
    <row r="22" customFormat="false" ht="15" hidden="false" customHeight="false" outlineLevel="0" collapsed="false">
      <c r="A22" s="28" t="n">
        <v>21</v>
      </c>
      <c r="B22" s="37" t="s">
        <v>2526</v>
      </c>
      <c r="C22" s="38" t="s">
        <v>2517</v>
      </c>
      <c r="D22" s="38" t="n">
        <v>84</v>
      </c>
    </row>
    <row r="23" customFormat="false" ht="15" hidden="false" customHeight="false" outlineLevel="0" collapsed="false">
      <c r="A23" s="28" t="n">
        <v>22</v>
      </c>
      <c r="B23" s="37" t="s">
        <v>381</v>
      </c>
      <c r="C23" s="38" t="s">
        <v>2515</v>
      </c>
      <c r="D23" s="38" t="n">
        <v>73</v>
      </c>
    </row>
    <row r="24" customFormat="false" ht="15" hidden="false" customHeight="false" outlineLevel="0" collapsed="false">
      <c r="A24" s="28" t="n">
        <v>23</v>
      </c>
      <c r="B24" s="37" t="s">
        <v>390</v>
      </c>
      <c r="C24" s="38" t="s">
        <v>2517</v>
      </c>
      <c r="D24" s="38" t="n">
        <v>84</v>
      </c>
    </row>
    <row r="25" customFormat="false" ht="15" hidden="false" customHeight="false" outlineLevel="0" collapsed="false">
      <c r="A25" s="28" t="n">
        <v>24</v>
      </c>
      <c r="B25" s="37" t="s">
        <v>2527</v>
      </c>
      <c r="C25" s="38" t="s">
        <v>2512</v>
      </c>
      <c r="D25" s="38" t="n">
        <v>71</v>
      </c>
    </row>
    <row r="26" customFormat="false" ht="15" hidden="false" customHeight="false" outlineLevel="0" collapsed="false">
      <c r="A26" s="28" t="n">
        <v>25</v>
      </c>
      <c r="B26" s="37" t="s">
        <v>2528</v>
      </c>
      <c r="C26" s="38" t="s">
        <v>2515</v>
      </c>
      <c r="D26" s="38" t="n">
        <v>73</v>
      </c>
    </row>
    <row r="27" customFormat="false" ht="15" hidden="false" customHeight="false" outlineLevel="0" collapsed="false">
      <c r="A27" s="28" t="n">
        <v>26</v>
      </c>
      <c r="B27" s="37" t="s">
        <v>394</v>
      </c>
      <c r="C27" s="38" t="s">
        <v>2512</v>
      </c>
      <c r="D27" s="38" t="n">
        <v>71</v>
      </c>
    </row>
    <row r="28" customFormat="false" ht="15" hidden="false" customHeight="false" outlineLevel="0" collapsed="false">
      <c r="A28" s="28" t="n">
        <v>27</v>
      </c>
      <c r="B28" s="37" t="s">
        <v>320</v>
      </c>
      <c r="C28" s="38" t="s">
        <v>2513</v>
      </c>
      <c r="D28" s="38" t="n">
        <v>71</v>
      </c>
    </row>
    <row r="29" customFormat="false" ht="15" hidden="false" customHeight="false" outlineLevel="0" collapsed="false">
      <c r="A29" s="28" t="n">
        <v>28</v>
      </c>
      <c r="B29" s="37" t="s">
        <v>314</v>
      </c>
      <c r="C29" s="38" t="s">
        <v>2529</v>
      </c>
      <c r="D29" s="38" t="n">
        <v>71</v>
      </c>
    </row>
    <row r="30" customFormat="false" ht="15" hidden="false" customHeight="false" outlineLevel="0" collapsed="false">
      <c r="A30" s="28" t="n">
        <v>29</v>
      </c>
      <c r="B30" s="37" t="s">
        <v>2530</v>
      </c>
      <c r="C30" s="38" t="s">
        <v>2531</v>
      </c>
      <c r="D30" s="38" t="n">
        <v>71</v>
      </c>
    </row>
    <row r="31" customFormat="false" ht="15" hidden="false" customHeight="false" outlineLevel="0" collapsed="false">
      <c r="A31" s="28" t="n">
        <v>30</v>
      </c>
      <c r="B31" s="37" t="s">
        <v>2532</v>
      </c>
      <c r="C31" s="38" t="s">
        <v>2533</v>
      </c>
      <c r="D31" s="38" t="n">
        <v>77</v>
      </c>
    </row>
    <row r="32" customFormat="false" ht="15" hidden="false" customHeight="false" outlineLevel="0" collapsed="false">
      <c r="A32" s="28" t="n">
        <v>31</v>
      </c>
      <c r="B32" s="37" t="s">
        <v>315</v>
      </c>
      <c r="C32" s="38" t="s">
        <v>2529</v>
      </c>
      <c r="D32" s="38" t="n">
        <v>71</v>
      </c>
    </row>
    <row r="33" customFormat="false" ht="15" hidden="false" customHeight="false" outlineLevel="0" collapsed="false">
      <c r="A33" s="28" t="n">
        <v>32</v>
      </c>
      <c r="B33" s="37" t="s">
        <v>416</v>
      </c>
      <c r="C33" s="38" t="s">
        <v>2534</v>
      </c>
      <c r="D33" s="38" t="n">
        <v>99</v>
      </c>
    </row>
    <row r="34" customFormat="false" ht="15" hidden="false" customHeight="false" outlineLevel="0" collapsed="false">
      <c r="A34" s="28" t="n">
        <v>33</v>
      </c>
      <c r="B34" s="37" t="s">
        <v>417</v>
      </c>
      <c r="C34" s="38" t="s">
        <v>2535</v>
      </c>
      <c r="D34" s="38" t="n">
        <v>99</v>
      </c>
    </row>
    <row r="35" customFormat="false" ht="15" hidden="false" customHeight="false" outlineLevel="0" collapsed="false">
      <c r="A35" s="28" t="n">
        <v>34</v>
      </c>
      <c r="B35" s="37" t="s">
        <v>418</v>
      </c>
      <c r="C35" s="38" t="s">
        <v>2536</v>
      </c>
      <c r="D35" s="38" t="n">
        <v>102</v>
      </c>
    </row>
    <row r="36" customFormat="false" ht="15" hidden="false" customHeight="false" outlineLevel="0" collapsed="false">
      <c r="A36" s="28" t="n">
        <v>35</v>
      </c>
      <c r="B36" s="37" t="s">
        <v>2537</v>
      </c>
      <c r="C36" s="38" t="s">
        <v>2538</v>
      </c>
      <c r="D36" s="38" t="n">
        <v>92</v>
      </c>
    </row>
    <row r="37" customFormat="false" ht="15" hidden="false" customHeight="false" outlineLevel="0" collapsed="false">
      <c r="A37" s="28" t="n">
        <v>36</v>
      </c>
      <c r="B37" s="37" t="s">
        <v>419</v>
      </c>
      <c r="C37" s="38" t="s">
        <v>2539</v>
      </c>
      <c r="D37" s="38" t="n">
        <v>104</v>
      </c>
    </row>
    <row r="38" customFormat="false" ht="15" hidden="false" customHeight="false" outlineLevel="0" collapsed="false">
      <c r="A38" s="28" t="n">
        <v>37</v>
      </c>
      <c r="B38" s="37" t="s">
        <v>420</v>
      </c>
      <c r="C38" s="38" t="s">
        <v>2540</v>
      </c>
      <c r="D38" s="38" t="n">
        <v>95</v>
      </c>
    </row>
    <row r="39" customFormat="false" ht="15" hidden="false" customHeight="false" outlineLevel="0" collapsed="false">
      <c r="A39" s="28" t="n">
        <v>38</v>
      </c>
      <c r="B39" s="37" t="s">
        <v>421</v>
      </c>
      <c r="C39" s="38" t="s">
        <v>2541</v>
      </c>
      <c r="D39" s="38" t="n">
        <v>89</v>
      </c>
    </row>
    <row r="40" customFormat="false" ht="15" hidden="false" customHeight="false" outlineLevel="0" collapsed="false">
      <c r="A40" s="28" t="n">
        <v>39</v>
      </c>
      <c r="B40" s="37" t="s">
        <v>422</v>
      </c>
      <c r="C40" s="38" t="s">
        <v>2542</v>
      </c>
      <c r="D40" s="38" t="n">
        <v>89</v>
      </c>
    </row>
    <row r="41" customFormat="false" ht="15" hidden="false" customHeight="false" outlineLevel="0" collapsed="false">
      <c r="A41" s="28" t="n">
        <v>40</v>
      </c>
      <c r="B41" s="37" t="s">
        <v>423</v>
      </c>
      <c r="C41" s="38" t="s">
        <v>2543</v>
      </c>
      <c r="D41" s="38" t="n">
        <v>86</v>
      </c>
    </row>
    <row r="42" customFormat="false" ht="15" hidden="false" customHeight="false" outlineLevel="0" collapsed="false">
      <c r="A42" s="28" t="n">
        <v>41</v>
      </c>
      <c r="B42" s="37" t="s">
        <v>424</v>
      </c>
      <c r="C42" s="38" t="s">
        <v>2544</v>
      </c>
      <c r="D42" s="38" t="n">
        <v>86</v>
      </c>
    </row>
    <row r="43" customFormat="false" ht="15" hidden="false" customHeight="false" outlineLevel="0" collapsed="false">
      <c r="A43" s="28" t="n">
        <v>42</v>
      </c>
      <c r="B43" s="37" t="s">
        <v>426</v>
      </c>
      <c r="C43" s="38" t="s">
        <v>2545</v>
      </c>
      <c r="D43" s="38" t="n">
        <v>90</v>
      </c>
    </row>
    <row r="44" customFormat="false" ht="15" hidden="false" customHeight="false" outlineLevel="0" collapsed="false">
      <c r="A44" s="28" t="n">
        <v>43</v>
      </c>
      <c r="B44" s="37" t="s">
        <v>2546</v>
      </c>
      <c r="C44" s="38" t="s">
        <v>2547</v>
      </c>
      <c r="D44" s="38" t="n">
        <v>111</v>
      </c>
    </row>
    <row r="45" customFormat="false" ht="15" hidden="false" customHeight="false" outlineLevel="0" collapsed="false">
      <c r="A45" s="28" t="n">
        <v>44</v>
      </c>
      <c r="B45" s="37" t="s">
        <v>428</v>
      </c>
      <c r="C45" s="38" t="s">
        <v>2548</v>
      </c>
      <c r="D45" s="38" t="n">
        <v>97</v>
      </c>
    </row>
    <row r="46" customFormat="false" ht="15" hidden="false" customHeight="false" outlineLevel="0" collapsed="false">
      <c r="A46" s="28" t="n">
        <v>45</v>
      </c>
      <c r="B46" s="37" t="s">
        <v>429</v>
      </c>
      <c r="C46" s="38" t="s">
        <v>2549</v>
      </c>
      <c r="D46" s="38" t="n">
        <v>95</v>
      </c>
    </row>
    <row r="47" customFormat="false" ht="15" hidden="false" customHeight="false" outlineLevel="0" collapsed="false">
      <c r="A47" s="28" t="n">
        <v>46</v>
      </c>
      <c r="B47" s="37" t="s">
        <v>430</v>
      </c>
      <c r="C47" s="38" t="s">
        <v>2550</v>
      </c>
      <c r="D47" s="38" t="n">
        <v>100</v>
      </c>
    </row>
    <row r="48" customFormat="false" ht="15" hidden="false" customHeight="false" outlineLevel="0" collapsed="false">
      <c r="A48" s="28" t="n">
        <v>47</v>
      </c>
      <c r="B48" s="37" t="s">
        <v>431</v>
      </c>
      <c r="C48" s="38" t="s">
        <v>2509</v>
      </c>
      <c r="D48" s="38" t="n">
        <v>73</v>
      </c>
    </row>
    <row r="49" customFormat="false" ht="15" hidden="false" customHeight="false" outlineLevel="0" collapsed="false">
      <c r="A49" s="28" t="n">
        <v>48</v>
      </c>
      <c r="B49" s="37" t="s">
        <v>432</v>
      </c>
      <c r="C49" s="38" t="s">
        <v>2551</v>
      </c>
      <c r="D49" s="38" t="n">
        <v>75</v>
      </c>
    </row>
    <row r="50" customFormat="false" ht="15" hidden="false" customHeight="false" outlineLevel="0" collapsed="false">
      <c r="A50" s="28" t="n">
        <v>49</v>
      </c>
      <c r="B50" s="37" t="s">
        <v>433</v>
      </c>
      <c r="C50" s="38" t="s">
        <v>2552</v>
      </c>
      <c r="D50" s="38" t="n">
        <v>94</v>
      </c>
    </row>
    <row r="51" customFormat="false" ht="15" hidden="false" customHeight="false" outlineLevel="0" collapsed="false">
      <c r="A51" s="28" t="n">
        <v>50</v>
      </c>
      <c r="B51" s="37" t="s">
        <v>434</v>
      </c>
      <c r="C51" s="38" t="s">
        <v>2553</v>
      </c>
      <c r="D51" s="38" t="n">
        <v>100</v>
      </c>
    </row>
    <row r="52" customFormat="false" ht="15" hidden="false" customHeight="false" outlineLevel="0" collapsed="false">
      <c r="A52" s="28" t="n">
        <v>51</v>
      </c>
      <c r="B52" s="37" t="s">
        <v>436</v>
      </c>
      <c r="C52" s="38" t="s">
        <v>2554</v>
      </c>
      <c r="D52" s="38" t="n">
        <v>90</v>
      </c>
    </row>
    <row r="53" customFormat="false" ht="15" hidden="false" customHeight="false" outlineLevel="0" collapsed="false">
      <c r="A53" s="28" t="n">
        <v>52</v>
      </c>
      <c r="B53" s="37" t="s">
        <v>2555</v>
      </c>
      <c r="C53" s="38" t="s">
        <v>2509</v>
      </c>
      <c r="D53" s="38" t="n">
        <v>73</v>
      </c>
    </row>
    <row r="54" customFormat="false" ht="15" hidden="false" customHeight="false" outlineLevel="0" collapsed="false">
      <c r="A54" s="28" t="n">
        <v>53</v>
      </c>
      <c r="B54" s="37" t="s">
        <v>437</v>
      </c>
      <c r="C54" s="38" t="s">
        <v>2556</v>
      </c>
      <c r="D54" s="38" t="n">
        <v>96</v>
      </c>
    </row>
    <row r="55" customFormat="false" ht="15" hidden="false" customHeight="false" outlineLevel="0" collapsed="false">
      <c r="A55" s="28" t="n">
        <v>54</v>
      </c>
      <c r="B55" s="37" t="s">
        <v>2557</v>
      </c>
      <c r="C55" s="38" t="s">
        <v>2558</v>
      </c>
      <c r="D55" s="38" t="n">
        <v>104</v>
      </c>
    </row>
    <row r="56" customFormat="false" ht="15" hidden="false" customHeight="false" outlineLevel="0" collapsed="false">
      <c r="A56" s="28" t="n">
        <v>55</v>
      </c>
      <c r="B56" s="37" t="s">
        <v>438</v>
      </c>
      <c r="C56" s="38" t="s">
        <v>2559</v>
      </c>
      <c r="D56" s="38" t="n">
        <v>91</v>
      </c>
    </row>
    <row r="57" customFormat="false" ht="15" hidden="false" customHeight="false" outlineLevel="0" collapsed="false">
      <c r="A57" s="28" t="n">
        <v>56</v>
      </c>
      <c r="B57" s="37" t="s">
        <v>439</v>
      </c>
      <c r="C57" s="38" t="s">
        <v>2560</v>
      </c>
      <c r="D57" s="38" t="n">
        <v>96</v>
      </c>
    </row>
    <row r="58" customFormat="false" ht="15" hidden="false" customHeight="false" outlineLevel="0" collapsed="false">
      <c r="A58" s="28" t="n">
        <v>57</v>
      </c>
      <c r="B58" s="37" t="s">
        <v>440</v>
      </c>
      <c r="C58" s="38" t="s">
        <v>2561</v>
      </c>
      <c r="D58" s="38" t="n">
        <v>87</v>
      </c>
    </row>
    <row r="59" customFormat="false" ht="15" hidden="false" customHeight="false" outlineLevel="0" collapsed="false">
      <c r="A59" s="28" t="n">
        <v>58</v>
      </c>
      <c r="B59" s="37" t="s">
        <v>441</v>
      </c>
      <c r="C59" s="38" t="s">
        <v>2562</v>
      </c>
      <c r="D59" s="38" t="n">
        <v>93</v>
      </c>
    </row>
    <row r="60" customFormat="false" ht="15" hidden="false" customHeight="false" outlineLevel="0" collapsed="false">
      <c r="A60" s="28" t="n">
        <v>59</v>
      </c>
      <c r="B60" s="37" t="s">
        <v>2563</v>
      </c>
      <c r="C60" s="38" t="s">
        <v>2564</v>
      </c>
      <c r="D60" s="38" t="n">
        <v>115</v>
      </c>
    </row>
    <row r="61" customFormat="false" ht="15" hidden="false" customHeight="false" outlineLevel="0" collapsed="false">
      <c r="A61" s="28" t="n">
        <v>60</v>
      </c>
      <c r="B61" s="37" t="s">
        <v>443</v>
      </c>
      <c r="C61" s="38" t="s">
        <v>2565</v>
      </c>
      <c r="D61" s="38" t="n">
        <v>108</v>
      </c>
    </row>
    <row r="62" customFormat="false" ht="15" hidden="false" customHeight="false" outlineLevel="0" collapsed="false">
      <c r="A62" s="28" t="n">
        <v>61</v>
      </c>
      <c r="B62" s="37" t="s">
        <v>444</v>
      </c>
      <c r="C62" s="38" t="s">
        <v>2566</v>
      </c>
      <c r="D62" s="38" t="n">
        <v>96</v>
      </c>
    </row>
    <row r="63" customFormat="false" ht="15" hidden="false" customHeight="false" outlineLevel="0" collapsed="false">
      <c r="A63" s="28" t="n">
        <v>62</v>
      </c>
      <c r="B63" s="37" t="s">
        <v>445</v>
      </c>
      <c r="C63" s="38" t="s">
        <v>2567</v>
      </c>
      <c r="D63" s="38" t="n">
        <v>94</v>
      </c>
    </row>
    <row r="64" customFormat="false" ht="15" hidden="false" customHeight="false" outlineLevel="0" collapsed="false">
      <c r="A64" s="28" t="n">
        <v>63</v>
      </c>
      <c r="B64" s="37" t="s">
        <v>2568</v>
      </c>
      <c r="C64" s="38" t="s">
        <v>2569</v>
      </c>
      <c r="D64" s="38" t="n">
        <v>89</v>
      </c>
    </row>
    <row r="65" customFormat="false" ht="15" hidden="false" customHeight="false" outlineLevel="0" collapsed="false">
      <c r="A65" s="28" t="n">
        <v>64</v>
      </c>
      <c r="B65" s="37" t="s">
        <v>447</v>
      </c>
      <c r="C65" s="38" t="s">
        <v>2570</v>
      </c>
      <c r="D65" s="38" t="n">
        <v>95</v>
      </c>
    </row>
    <row r="66" customFormat="false" ht="15" hidden="false" customHeight="false" outlineLevel="0" collapsed="false">
      <c r="A66" s="28" t="n">
        <v>65</v>
      </c>
      <c r="B66" s="37" t="s">
        <v>449</v>
      </c>
      <c r="C66" s="38" t="s">
        <v>2571</v>
      </c>
      <c r="D66" s="38" t="n">
        <v>98</v>
      </c>
    </row>
    <row r="67" customFormat="false" ht="15" hidden="false" customHeight="false" outlineLevel="0" collapsed="false">
      <c r="A67" s="28" t="n">
        <v>66</v>
      </c>
      <c r="B67" s="37" t="s">
        <v>2572</v>
      </c>
      <c r="C67" s="38" t="s">
        <v>2573</v>
      </c>
      <c r="D67" s="38" t="n">
        <v>76</v>
      </c>
    </row>
    <row r="68" customFormat="false" ht="15" hidden="false" customHeight="false" outlineLevel="0" collapsed="false">
      <c r="A68" s="28" t="n">
        <v>67</v>
      </c>
      <c r="B68" s="37" t="s">
        <v>450</v>
      </c>
      <c r="C68" s="38" t="s">
        <v>2574</v>
      </c>
      <c r="D68" s="38" t="n">
        <v>84</v>
      </c>
    </row>
    <row r="69" customFormat="false" ht="15" hidden="false" customHeight="false" outlineLevel="0" collapsed="false">
      <c r="A69" s="28" t="n">
        <v>68</v>
      </c>
      <c r="B69" s="37" t="s">
        <v>451</v>
      </c>
      <c r="C69" s="38" t="s">
        <v>2575</v>
      </c>
      <c r="D69" s="38" t="n">
        <v>90</v>
      </c>
    </row>
    <row r="70" customFormat="false" ht="15" hidden="false" customHeight="false" outlineLevel="0" collapsed="false">
      <c r="A70" s="28" t="n">
        <v>69</v>
      </c>
      <c r="B70" s="37" t="s">
        <v>453</v>
      </c>
      <c r="C70" s="38" t="s">
        <v>2576</v>
      </c>
      <c r="D70" s="38" t="n">
        <v>90</v>
      </c>
    </row>
    <row r="71" customFormat="false" ht="15" hidden="false" customHeight="false" outlineLevel="0" collapsed="false">
      <c r="A71" s="28" t="n">
        <v>70</v>
      </c>
      <c r="B71" s="37" t="s">
        <v>454</v>
      </c>
      <c r="C71" s="38" t="s">
        <v>2577</v>
      </c>
      <c r="D71" s="38" t="n">
        <v>92</v>
      </c>
    </row>
    <row r="72" customFormat="false" ht="15" hidden="false" customHeight="false" outlineLevel="0" collapsed="false">
      <c r="A72" s="28" t="n">
        <v>71</v>
      </c>
      <c r="B72" s="37" t="s">
        <v>455</v>
      </c>
      <c r="C72" s="38" t="s">
        <v>2578</v>
      </c>
      <c r="D72" s="38" t="n">
        <v>82</v>
      </c>
    </row>
    <row r="73" customFormat="false" ht="15" hidden="false" customHeight="false" outlineLevel="0" collapsed="false">
      <c r="A73" s="28" t="n">
        <v>72</v>
      </c>
      <c r="B73" s="37" t="s">
        <v>457</v>
      </c>
      <c r="C73" s="38" t="s">
        <v>2579</v>
      </c>
      <c r="D73" s="38" t="n">
        <v>90</v>
      </c>
    </row>
    <row r="74" customFormat="false" ht="15" hidden="false" customHeight="false" outlineLevel="0" collapsed="false">
      <c r="A74" s="28" t="n">
        <v>73</v>
      </c>
      <c r="B74" s="37" t="s">
        <v>2580</v>
      </c>
      <c r="C74" s="38" t="s">
        <v>2581</v>
      </c>
      <c r="D74" s="38" t="n">
        <v>103</v>
      </c>
    </row>
    <row r="75" customFormat="false" ht="15" hidden="false" customHeight="false" outlineLevel="0" collapsed="false">
      <c r="A75" s="28" t="n">
        <v>74</v>
      </c>
      <c r="B75" s="37" t="s">
        <v>458</v>
      </c>
      <c r="C75" s="38" t="s">
        <v>2582</v>
      </c>
      <c r="D75" s="38" t="n">
        <v>90</v>
      </c>
    </row>
    <row r="76" customFormat="false" ht="15" hidden="false" customHeight="false" outlineLevel="0" collapsed="false">
      <c r="A76" s="28" t="n">
        <v>75</v>
      </c>
      <c r="B76" s="37" t="s">
        <v>459</v>
      </c>
      <c r="C76" s="38" t="s">
        <v>2583</v>
      </c>
      <c r="D76" s="38" t="n">
        <v>98</v>
      </c>
    </row>
    <row r="77" customFormat="false" ht="15" hidden="false" customHeight="false" outlineLevel="0" collapsed="false">
      <c r="A77" s="28" t="n">
        <v>76</v>
      </c>
      <c r="B77" s="37" t="s">
        <v>460</v>
      </c>
      <c r="C77" s="38" t="s">
        <v>2584</v>
      </c>
      <c r="D77" s="38" t="n">
        <v>100</v>
      </c>
    </row>
    <row r="78" customFormat="false" ht="15" hidden="false" customHeight="false" outlineLevel="0" collapsed="false">
      <c r="A78" s="28" t="n">
        <v>77</v>
      </c>
      <c r="B78" s="37" t="s">
        <v>461</v>
      </c>
      <c r="C78" s="38" t="s">
        <v>2585</v>
      </c>
      <c r="D78" s="38" t="n">
        <v>91</v>
      </c>
    </row>
    <row r="79" customFormat="false" ht="15" hidden="false" customHeight="false" outlineLevel="0" collapsed="false">
      <c r="A79" s="28" t="n">
        <v>78</v>
      </c>
      <c r="B79" s="37" t="s">
        <v>463</v>
      </c>
      <c r="C79" s="38" t="s">
        <v>2586</v>
      </c>
      <c r="D79" s="38" t="n">
        <v>98</v>
      </c>
    </row>
    <row r="80" customFormat="false" ht="15" hidden="false" customHeight="false" outlineLevel="0" collapsed="false">
      <c r="A80" s="28" t="n">
        <v>79</v>
      </c>
      <c r="B80" s="37" t="s">
        <v>464</v>
      </c>
      <c r="C80" s="38" t="s">
        <v>2587</v>
      </c>
      <c r="D80" s="38" t="n">
        <v>93</v>
      </c>
    </row>
    <row r="81" customFormat="false" ht="15" hidden="false" customHeight="false" outlineLevel="0" collapsed="false">
      <c r="A81" s="28" t="n">
        <v>80</v>
      </c>
      <c r="B81" s="37" t="s">
        <v>2588</v>
      </c>
      <c r="C81" s="38" t="s">
        <v>2589</v>
      </c>
      <c r="D81" s="38" t="n">
        <v>97</v>
      </c>
    </row>
    <row r="82" customFormat="false" ht="15" hidden="false" customHeight="false" outlineLevel="0" collapsed="false">
      <c r="A82" s="28" t="n">
        <v>81</v>
      </c>
      <c r="B82" s="37" t="s">
        <v>466</v>
      </c>
      <c r="C82" s="38" t="s">
        <v>2590</v>
      </c>
      <c r="D82" s="38" t="n">
        <v>91</v>
      </c>
    </row>
    <row r="83" customFormat="false" ht="15" hidden="false" customHeight="false" outlineLevel="0" collapsed="false">
      <c r="A83" s="28" t="n">
        <v>82</v>
      </c>
      <c r="B83" s="37" t="s">
        <v>2591</v>
      </c>
      <c r="C83" s="38" t="s">
        <v>2592</v>
      </c>
      <c r="D83" s="38" t="n">
        <v>75</v>
      </c>
    </row>
    <row r="84" customFormat="false" ht="15" hidden="false" customHeight="false" outlineLevel="0" collapsed="false">
      <c r="A84" s="28" t="n">
        <v>83</v>
      </c>
      <c r="B84" s="37" t="s">
        <v>468</v>
      </c>
      <c r="C84" s="38" t="s">
        <v>2593</v>
      </c>
      <c r="D84" s="38" t="n">
        <v>100</v>
      </c>
    </row>
    <row r="85" customFormat="false" ht="15" hidden="false" customHeight="false" outlineLevel="0" collapsed="false">
      <c r="A85" s="28" t="n">
        <v>84</v>
      </c>
      <c r="B85" s="37" t="s">
        <v>469</v>
      </c>
      <c r="C85" s="38" t="s">
        <v>2594</v>
      </c>
      <c r="D85" s="38" t="n">
        <v>98</v>
      </c>
    </row>
    <row r="86" customFormat="false" ht="15" hidden="false" customHeight="false" outlineLevel="0" collapsed="false">
      <c r="A86" s="28" t="n">
        <v>85</v>
      </c>
      <c r="B86" s="37" t="s">
        <v>470</v>
      </c>
      <c r="C86" s="38" t="s">
        <v>2595</v>
      </c>
      <c r="D86" s="38" t="n">
        <v>95</v>
      </c>
    </row>
    <row r="87" customFormat="false" ht="15" hidden="false" customHeight="false" outlineLevel="0" collapsed="false">
      <c r="A87" s="28" t="n">
        <v>86</v>
      </c>
      <c r="B87" s="37" t="s">
        <v>471</v>
      </c>
      <c r="C87" s="38" t="s">
        <v>2596</v>
      </c>
      <c r="D87" s="38" t="n">
        <v>92</v>
      </c>
    </row>
    <row r="88" customFormat="false" ht="15" hidden="false" customHeight="false" outlineLevel="0" collapsed="false">
      <c r="A88" s="28" t="n">
        <v>87</v>
      </c>
      <c r="B88" s="37" t="s">
        <v>475</v>
      </c>
      <c r="C88" s="38" t="s">
        <v>2597</v>
      </c>
      <c r="D88" s="38" t="n">
        <v>90</v>
      </c>
    </row>
    <row r="89" customFormat="false" ht="15" hidden="false" customHeight="false" outlineLevel="0" collapsed="false">
      <c r="A89" s="28" t="n">
        <v>88</v>
      </c>
      <c r="B89" s="37" t="s">
        <v>476</v>
      </c>
      <c r="C89" s="38" t="s">
        <v>2598</v>
      </c>
      <c r="D89" s="38" t="n">
        <v>89</v>
      </c>
    </row>
    <row r="90" customFormat="false" ht="15" hidden="false" customHeight="false" outlineLevel="0" collapsed="false">
      <c r="A90" s="28" t="n">
        <v>89</v>
      </c>
      <c r="B90" s="37" t="s">
        <v>478</v>
      </c>
      <c r="C90" s="38" t="s">
        <v>2599</v>
      </c>
      <c r="D90" s="38" t="n">
        <v>75</v>
      </c>
    </row>
    <row r="91" customFormat="false" ht="15" hidden="false" customHeight="false" outlineLevel="0" collapsed="false">
      <c r="A91" s="28" t="n">
        <v>90</v>
      </c>
      <c r="B91" s="37" t="s">
        <v>481</v>
      </c>
      <c r="C91" s="38" t="s">
        <v>2600</v>
      </c>
      <c r="D91" s="38" t="n">
        <v>86</v>
      </c>
    </row>
    <row r="92" customFormat="false" ht="15" hidden="false" customHeight="false" outlineLevel="0" collapsed="false">
      <c r="A92" s="28" t="n">
        <v>91</v>
      </c>
      <c r="B92" s="37" t="s">
        <v>482</v>
      </c>
      <c r="C92" s="38" t="s">
        <v>2601</v>
      </c>
      <c r="D92" s="38" t="n">
        <v>94</v>
      </c>
    </row>
    <row r="93" customFormat="false" ht="15" hidden="false" customHeight="false" outlineLevel="0" collapsed="false">
      <c r="A93" s="28" t="n">
        <v>92</v>
      </c>
      <c r="B93" s="37" t="s">
        <v>483</v>
      </c>
      <c r="C93" s="38" t="s">
        <v>2602</v>
      </c>
      <c r="D93" s="38" t="n">
        <v>98</v>
      </c>
    </row>
    <row r="94" customFormat="false" ht="15" hidden="false" customHeight="false" outlineLevel="0" collapsed="false">
      <c r="A94" s="28" t="n">
        <v>93</v>
      </c>
      <c r="B94" s="37" t="s">
        <v>484</v>
      </c>
      <c r="C94" s="38" t="s">
        <v>2603</v>
      </c>
      <c r="D94" s="38" t="n">
        <v>95</v>
      </c>
    </row>
    <row r="95" customFormat="false" ht="15" hidden="false" customHeight="false" outlineLevel="0" collapsed="false">
      <c r="A95" s="28" t="n">
        <v>94</v>
      </c>
      <c r="B95" s="37" t="s">
        <v>485</v>
      </c>
      <c r="C95" s="38" t="s">
        <v>2604</v>
      </c>
      <c r="D95" s="38" t="n">
        <v>95</v>
      </c>
    </row>
    <row r="96" customFormat="false" ht="15" hidden="false" customHeight="false" outlineLevel="0" collapsed="false">
      <c r="A96" s="28" t="n">
        <v>95</v>
      </c>
      <c r="B96" s="37" t="s">
        <v>487</v>
      </c>
      <c r="C96" s="38" t="s">
        <v>2605</v>
      </c>
      <c r="D96" s="38" t="n">
        <v>98</v>
      </c>
    </row>
    <row r="97" customFormat="false" ht="15" hidden="false" customHeight="false" outlineLevel="0" collapsed="false">
      <c r="A97" s="28" t="n">
        <v>96</v>
      </c>
      <c r="B97" s="37" t="s">
        <v>488</v>
      </c>
      <c r="C97" s="38" t="s">
        <v>2606</v>
      </c>
      <c r="D97" s="38" t="n">
        <v>92</v>
      </c>
    </row>
    <row r="98" customFormat="false" ht="15" hidden="false" customHeight="false" outlineLevel="0" collapsed="false">
      <c r="A98" s="28" t="n">
        <v>97</v>
      </c>
      <c r="B98" s="37" t="s">
        <v>489</v>
      </c>
      <c r="C98" s="38" t="s">
        <v>2607</v>
      </c>
      <c r="D98" s="38" t="n">
        <v>75</v>
      </c>
    </row>
    <row r="99" customFormat="false" ht="15" hidden="false" customHeight="false" outlineLevel="0" collapsed="false">
      <c r="A99" s="28" t="n">
        <v>98</v>
      </c>
      <c r="B99" s="37" t="s">
        <v>492</v>
      </c>
      <c r="C99" s="38" t="s">
        <v>2608</v>
      </c>
      <c r="D99" s="38" t="n">
        <v>95</v>
      </c>
    </row>
    <row r="100" customFormat="false" ht="15" hidden="false" customHeight="false" outlineLevel="0" collapsed="false">
      <c r="A100" s="28" t="n">
        <v>99</v>
      </c>
      <c r="B100" s="37" t="s">
        <v>2609</v>
      </c>
      <c r="C100" s="38" t="s">
        <v>2533</v>
      </c>
      <c r="D100" s="38" t="n">
        <v>77</v>
      </c>
    </row>
    <row r="101" customFormat="false" ht="15" hidden="false" customHeight="false" outlineLevel="0" collapsed="false">
      <c r="A101" s="28" t="n">
        <v>100</v>
      </c>
      <c r="B101" s="37" t="s">
        <v>2610</v>
      </c>
      <c r="C101" s="38" t="s">
        <v>2611</v>
      </c>
      <c r="D101" s="38" t="n">
        <v>97</v>
      </c>
    </row>
    <row r="102" customFormat="false" ht="15" hidden="false" customHeight="false" outlineLevel="0" collapsed="false">
      <c r="A102" s="28" t="n">
        <v>101</v>
      </c>
      <c r="B102" s="37" t="s">
        <v>495</v>
      </c>
      <c r="C102" s="38" t="s">
        <v>2612</v>
      </c>
      <c r="D102" s="38" t="n">
        <v>93</v>
      </c>
    </row>
    <row r="103" customFormat="false" ht="15" hidden="false" customHeight="false" outlineLevel="0" collapsed="false">
      <c r="A103" s="28" t="n">
        <v>102</v>
      </c>
      <c r="B103" s="37" t="s">
        <v>498</v>
      </c>
      <c r="C103" s="38" t="s">
        <v>2613</v>
      </c>
      <c r="D103" s="38" t="n">
        <v>89</v>
      </c>
    </row>
    <row r="104" customFormat="false" ht="15" hidden="false" customHeight="false" outlineLevel="0" collapsed="false">
      <c r="A104" s="28" t="n">
        <v>103</v>
      </c>
      <c r="B104" s="37" t="s">
        <v>499</v>
      </c>
      <c r="C104" s="38" t="s">
        <v>2614</v>
      </c>
      <c r="D104" s="38" t="n">
        <v>89</v>
      </c>
    </row>
    <row r="105" customFormat="false" ht="15" hidden="false" customHeight="false" outlineLevel="0" collapsed="false">
      <c r="A105" s="28" t="n">
        <v>104</v>
      </c>
      <c r="B105" s="37" t="s">
        <v>2615</v>
      </c>
      <c r="C105" s="38" t="s">
        <v>2616</v>
      </c>
      <c r="D105" s="38" t="n">
        <v>71</v>
      </c>
    </row>
    <row r="106" customFormat="false" ht="15" hidden="false" customHeight="false" outlineLevel="0" collapsed="false">
      <c r="A106" s="28" t="n">
        <v>105</v>
      </c>
      <c r="B106" s="37" t="s">
        <v>502</v>
      </c>
      <c r="C106" s="38" t="s">
        <v>2592</v>
      </c>
      <c r="D106" s="38" t="n">
        <v>75</v>
      </c>
    </row>
    <row r="107" customFormat="false" ht="15" hidden="false" customHeight="false" outlineLevel="0" collapsed="false">
      <c r="A107" s="28" t="n">
        <v>106</v>
      </c>
      <c r="B107" s="37" t="s">
        <v>504</v>
      </c>
      <c r="C107" s="38" t="s">
        <v>2617</v>
      </c>
      <c r="D107" s="38" t="n">
        <v>87</v>
      </c>
    </row>
    <row r="108" customFormat="false" ht="15" hidden="false" customHeight="false" outlineLevel="0" collapsed="false">
      <c r="A108" s="28" t="n">
        <v>107</v>
      </c>
      <c r="B108" s="37" t="s">
        <v>506</v>
      </c>
      <c r="C108" s="38" t="s">
        <v>2618</v>
      </c>
      <c r="D108" s="38" t="n">
        <v>89</v>
      </c>
    </row>
    <row r="109" customFormat="false" ht="15" hidden="false" customHeight="false" outlineLevel="0" collapsed="false">
      <c r="A109" s="28" t="n">
        <v>108</v>
      </c>
      <c r="B109" s="37" t="s">
        <v>507</v>
      </c>
      <c r="C109" s="38" t="s">
        <v>2619</v>
      </c>
      <c r="D109" s="38" t="n">
        <v>86</v>
      </c>
    </row>
    <row r="110" customFormat="false" ht="15" hidden="false" customHeight="false" outlineLevel="0" collapsed="false">
      <c r="A110" s="28" t="n">
        <v>109</v>
      </c>
      <c r="B110" s="37" t="s">
        <v>508</v>
      </c>
      <c r="C110" s="38" t="s">
        <v>2620</v>
      </c>
      <c r="D110" s="38" t="n">
        <v>90</v>
      </c>
    </row>
    <row r="111" customFormat="false" ht="15" hidden="false" customHeight="false" outlineLevel="0" collapsed="false">
      <c r="A111" s="28" t="n">
        <v>110</v>
      </c>
      <c r="B111" s="37" t="s">
        <v>509</v>
      </c>
      <c r="C111" s="38" t="s">
        <v>2621</v>
      </c>
      <c r="D111" s="38" t="n">
        <v>93</v>
      </c>
    </row>
    <row r="112" customFormat="false" ht="15" hidden="false" customHeight="false" outlineLevel="0" collapsed="false">
      <c r="A112" s="28" t="n">
        <v>111</v>
      </c>
      <c r="B112" s="37" t="s">
        <v>510</v>
      </c>
      <c r="C112" s="38" t="s">
        <v>2622</v>
      </c>
      <c r="D112" s="38" t="n">
        <v>100</v>
      </c>
    </row>
    <row r="113" customFormat="false" ht="15" hidden="false" customHeight="false" outlineLevel="0" collapsed="false">
      <c r="A113" s="28" t="n">
        <v>112</v>
      </c>
      <c r="B113" s="37" t="s">
        <v>513</v>
      </c>
      <c r="C113" s="38" t="s">
        <v>2623</v>
      </c>
      <c r="D113" s="38" t="n">
        <v>94</v>
      </c>
    </row>
    <row r="114" customFormat="false" ht="15" hidden="false" customHeight="false" outlineLevel="0" collapsed="false">
      <c r="A114" s="28" t="n">
        <v>113</v>
      </c>
      <c r="B114" s="37" t="s">
        <v>514</v>
      </c>
      <c r="C114" s="38" t="s">
        <v>2624</v>
      </c>
      <c r="D114" s="38" t="n">
        <v>94</v>
      </c>
    </row>
    <row r="115" customFormat="false" ht="15" hidden="false" customHeight="false" outlineLevel="0" collapsed="false">
      <c r="A115" s="28" t="n">
        <v>114</v>
      </c>
      <c r="B115" s="37" t="s">
        <v>515</v>
      </c>
      <c r="C115" s="38" t="s">
        <v>2625</v>
      </c>
      <c r="D115" s="38" t="n">
        <v>87</v>
      </c>
    </row>
    <row r="116" customFormat="false" ht="15" hidden="false" customHeight="false" outlineLevel="0" collapsed="false">
      <c r="A116" s="28" t="n">
        <v>115</v>
      </c>
      <c r="B116" s="37" t="s">
        <v>517</v>
      </c>
      <c r="C116" s="38" t="s">
        <v>2626</v>
      </c>
      <c r="D116" s="38" t="n">
        <v>101</v>
      </c>
    </row>
    <row r="117" customFormat="false" ht="15" hidden="false" customHeight="false" outlineLevel="0" collapsed="false">
      <c r="A117" s="28" t="n">
        <v>116</v>
      </c>
      <c r="B117" s="37" t="s">
        <v>2627</v>
      </c>
      <c r="C117" s="38" t="s">
        <v>2628</v>
      </c>
      <c r="D117" s="38" t="n">
        <v>90</v>
      </c>
    </row>
    <row r="118" customFormat="false" ht="15" hidden="false" customHeight="false" outlineLevel="0" collapsed="false">
      <c r="A118" s="28" t="n">
        <v>117</v>
      </c>
      <c r="B118" s="37" t="s">
        <v>521</v>
      </c>
      <c r="C118" s="38" t="s">
        <v>2629</v>
      </c>
      <c r="D118" s="38" t="n">
        <v>87</v>
      </c>
    </row>
    <row r="119" customFormat="false" ht="15" hidden="false" customHeight="false" outlineLevel="0" collapsed="false">
      <c r="A119" s="28" t="n">
        <v>118</v>
      </c>
      <c r="B119" s="37" t="s">
        <v>522</v>
      </c>
      <c r="C119" s="38" t="s">
        <v>2630</v>
      </c>
      <c r="D119" s="38" t="n">
        <v>95</v>
      </c>
    </row>
    <row r="120" customFormat="false" ht="15" hidden="false" customHeight="false" outlineLevel="0" collapsed="false">
      <c r="A120" s="28" t="n">
        <v>119</v>
      </c>
      <c r="B120" s="37" t="s">
        <v>523</v>
      </c>
      <c r="C120" s="38" t="s">
        <v>2631</v>
      </c>
      <c r="D120" s="38" t="n">
        <v>90</v>
      </c>
    </row>
    <row r="121" customFormat="false" ht="15" hidden="false" customHeight="false" outlineLevel="0" collapsed="false">
      <c r="A121" s="28" t="n">
        <v>120</v>
      </c>
      <c r="B121" s="37" t="s">
        <v>529</v>
      </c>
      <c r="C121" s="38" t="s">
        <v>2632</v>
      </c>
      <c r="D121" s="38" t="n">
        <v>93</v>
      </c>
    </row>
    <row r="122" customFormat="false" ht="15" hidden="false" customHeight="false" outlineLevel="0" collapsed="false">
      <c r="A122" s="28" t="n">
        <v>121</v>
      </c>
      <c r="B122" s="37" t="s">
        <v>531</v>
      </c>
      <c r="C122" s="38" t="s">
        <v>2509</v>
      </c>
      <c r="D122" s="38" t="n">
        <v>73</v>
      </c>
    </row>
    <row r="123" customFormat="false" ht="15" hidden="false" customHeight="false" outlineLevel="0" collapsed="false">
      <c r="A123" s="28" t="n">
        <v>122</v>
      </c>
      <c r="B123" s="37" t="s">
        <v>532</v>
      </c>
      <c r="C123" s="38" t="s">
        <v>2633</v>
      </c>
      <c r="D123" s="38" t="n">
        <v>107</v>
      </c>
    </row>
    <row r="124" customFormat="false" ht="15" hidden="false" customHeight="false" outlineLevel="0" collapsed="false">
      <c r="A124" s="28" t="n">
        <v>123</v>
      </c>
      <c r="B124" s="37" t="s">
        <v>533</v>
      </c>
      <c r="C124" s="38" t="s">
        <v>2634</v>
      </c>
      <c r="D124" s="38" t="n">
        <v>96</v>
      </c>
    </row>
    <row r="125" customFormat="false" ht="15" hidden="false" customHeight="false" outlineLevel="0" collapsed="false">
      <c r="A125" s="28" t="n">
        <v>124</v>
      </c>
      <c r="B125" s="37" t="s">
        <v>534</v>
      </c>
      <c r="C125" s="38" t="s">
        <v>2635</v>
      </c>
      <c r="D125" s="38" t="n">
        <v>98</v>
      </c>
    </row>
    <row r="126" customFormat="false" ht="15" hidden="false" customHeight="false" outlineLevel="0" collapsed="false">
      <c r="A126" s="28" t="n">
        <v>125</v>
      </c>
      <c r="B126" s="37" t="s">
        <v>535</v>
      </c>
      <c r="C126" s="38" t="s">
        <v>2636</v>
      </c>
      <c r="D126" s="38" t="n">
        <v>99</v>
      </c>
    </row>
    <row r="127" customFormat="false" ht="15" hidden="false" customHeight="false" outlineLevel="0" collapsed="false">
      <c r="A127" s="28" t="n">
        <v>126</v>
      </c>
      <c r="B127" s="37" t="s">
        <v>536</v>
      </c>
      <c r="C127" s="38" t="s">
        <v>2637</v>
      </c>
      <c r="D127" s="38" t="n">
        <v>88</v>
      </c>
    </row>
    <row r="128" customFormat="false" ht="15" hidden="false" customHeight="false" outlineLevel="0" collapsed="false">
      <c r="A128" s="28" t="n">
        <v>127</v>
      </c>
      <c r="B128" s="37" t="s">
        <v>2638</v>
      </c>
      <c r="C128" s="38" t="s">
        <v>2639</v>
      </c>
      <c r="D128" s="38" t="n">
        <v>86</v>
      </c>
    </row>
    <row r="129" customFormat="false" ht="15" hidden="false" customHeight="false" outlineLevel="0" collapsed="false">
      <c r="A129" s="28" t="n">
        <v>128</v>
      </c>
      <c r="B129" s="37" t="s">
        <v>2640</v>
      </c>
      <c r="C129" s="38" t="s">
        <v>2641</v>
      </c>
      <c r="D129" s="38" t="n">
        <v>71</v>
      </c>
    </row>
    <row r="130" customFormat="false" ht="15" hidden="false" customHeight="false" outlineLevel="0" collapsed="false">
      <c r="A130" s="28" t="n">
        <v>129</v>
      </c>
      <c r="B130" s="37" t="s">
        <v>2642</v>
      </c>
      <c r="C130" s="38" t="s">
        <v>2643</v>
      </c>
      <c r="D130" s="38" t="n">
        <v>87</v>
      </c>
    </row>
    <row r="131" customFormat="false" ht="15" hidden="false" customHeight="false" outlineLevel="0" collapsed="false">
      <c r="A131" s="28" t="n">
        <v>130</v>
      </c>
      <c r="B131" s="37" t="s">
        <v>309</v>
      </c>
      <c r="C131" s="38" t="s">
        <v>2644</v>
      </c>
      <c r="D131" s="38" t="n">
        <v>82</v>
      </c>
    </row>
    <row r="132" customFormat="false" ht="15" hidden="false" customHeight="false" outlineLevel="0" collapsed="false">
      <c r="A132" s="28" t="n">
        <v>131</v>
      </c>
      <c r="B132" s="37" t="s">
        <v>2645</v>
      </c>
      <c r="C132" s="38" t="s">
        <v>2646</v>
      </c>
      <c r="D132" s="38" t="n">
        <v>77</v>
      </c>
    </row>
    <row r="133" customFormat="false" ht="15" hidden="false" customHeight="false" outlineLevel="0" collapsed="false">
      <c r="A133" s="28" t="n">
        <v>132</v>
      </c>
      <c r="B133" s="37" t="s">
        <v>548</v>
      </c>
      <c r="C133" s="38" t="s">
        <v>2647</v>
      </c>
      <c r="D133" s="38" t="n">
        <v>99</v>
      </c>
    </row>
    <row r="134" customFormat="false" ht="15" hidden="false" customHeight="false" outlineLevel="0" collapsed="false">
      <c r="A134" s="28" t="n">
        <v>133</v>
      </c>
      <c r="B134" s="37" t="s">
        <v>550</v>
      </c>
      <c r="C134" s="38" t="s">
        <v>2560</v>
      </c>
      <c r="D134" s="38" t="n">
        <v>96</v>
      </c>
    </row>
    <row r="135" customFormat="false" ht="15" hidden="false" customHeight="false" outlineLevel="0" collapsed="false">
      <c r="A135" s="28" t="n">
        <v>134</v>
      </c>
      <c r="B135" s="37" t="s">
        <v>551</v>
      </c>
      <c r="C135" s="38" t="s">
        <v>2648</v>
      </c>
      <c r="D135" s="38" t="n">
        <v>93</v>
      </c>
    </row>
    <row r="136" customFormat="false" ht="15" hidden="false" customHeight="false" outlineLevel="0" collapsed="false">
      <c r="A136" s="28" t="n">
        <v>135</v>
      </c>
      <c r="B136" s="37" t="s">
        <v>553</v>
      </c>
      <c r="C136" s="38" t="s">
        <v>2649</v>
      </c>
      <c r="D136" s="38" t="n">
        <v>94</v>
      </c>
    </row>
    <row r="137" customFormat="false" ht="15" hidden="false" customHeight="false" outlineLevel="0" collapsed="false">
      <c r="A137" s="28" t="n">
        <v>136</v>
      </c>
      <c r="B137" s="37" t="s">
        <v>554</v>
      </c>
      <c r="C137" s="38" t="s">
        <v>2650</v>
      </c>
      <c r="D137" s="38" t="n">
        <v>92</v>
      </c>
    </row>
    <row r="138" customFormat="false" ht="15" hidden="false" customHeight="false" outlineLevel="0" collapsed="false">
      <c r="A138" s="28" t="n">
        <v>137</v>
      </c>
      <c r="B138" s="37" t="s">
        <v>555</v>
      </c>
      <c r="C138" s="38" t="s">
        <v>2651</v>
      </c>
      <c r="D138" s="38" t="n">
        <v>92</v>
      </c>
    </row>
    <row r="139" customFormat="false" ht="15" hidden="false" customHeight="false" outlineLevel="0" collapsed="false">
      <c r="A139" s="28" t="n">
        <v>138</v>
      </c>
      <c r="B139" s="37" t="s">
        <v>557</v>
      </c>
      <c r="C139" s="38" t="s">
        <v>2598</v>
      </c>
      <c r="D139" s="38" t="n">
        <v>89</v>
      </c>
    </row>
    <row r="140" customFormat="false" ht="15" hidden="false" customHeight="false" outlineLevel="0" collapsed="false">
      <c r="A140" s="28" t="n">
        <v>139</v>
      </c>
      <c r="B140" s="37" t="s">
        <v>558</v>
      </c>
      <c r="C140" s="38" t="s">
        <v>2652</v>
      </c>
      <c r="D140" s="38" t="n">
        <v>103</v>
      </c>
    </row>
    <row r="141" customFormat="false" ht="15" hidden="false" customHeight="false" outlineLevel="0" collapsed="false">
      <c r="A141" s="28" t="n">
        <v>140</v>
      </c>
      <c r="B141" s="37" t="s">
        <v>559</v>
      </c>
      <c r="C141" s="38" t="s">
        <v>2634</v>
      </c>
      <c r="D141" s="38" t="n">
        <v>96</v>
      </c>
    </row>
    <row r="142" customFormat="false" ht="15" hidden="false" customHeight="false" outlineLevel="0" collapsed="false">
      <c r="A142" s="28" t="n">
        <v>141</v>
      </c>
      <c r="B142" s="37" t="s">
        <v>560</v>
      </c>
      <c r="C142" s="38" t="s">
        <v>2582</v>
      </c>
      <c r="D142" s="38" t="n">
        <v>90</v>
      </c>
    </row>
    <row r="143" customFormat="false" ht="15" hidden="false" customHeight="false" outlineLevel="0" collapsed="false">
      <c r="A143" s="28" t="n">
        <v>142</v>
      </c>
      <c r="B143" s="37" t="s">
        <v>561</v>
      </c>
      <c r="C143" s="38" t="s">
        <v>2653</v>
      </c>
      <c r="D143" s="38" t="n">
        <v>85</v>
      </c>
    </row>
    <row r="144" customFormat="false" ht="15" hidden="false" customHeight="false" outlineLevel="0" collapsed="false">
      <c r="A144" s="28" t="n">
        <v>143</v>
      </c>
      <c r="B144" s="37" t="s">
        <v>562</v>
      </c>
      <c r="C144" s="38" t="s">
        <v>2654</v>
      </c>
      <c r="D144" s="38" t="n">
        <v>95</v>
      </c>
    </row>
    <row r="145" customFormat="false" ht="15" hidden="false" customHeight="false" outlineLevel="0" collapsed="false">
      <c r="A145" s="28" t="n">
        <v>144</v>
      </c>
      <c r="B145" s="37" t="s">
        <v>563</v>
      </c>
      <c r="C145" s="38" t="s">
        <v>2655</v>
      </c>
      <c r="D145" s="38" t="n">
        <v>91</v>
      </c>
    </row>
    <row r="146" customFormat="false" ht="15" hidden="false" customHeight="false" outlineLevel="0" collapsed="false">
      <c r="A146" s="28" t="n">
        <v>145</v>
      </c>
      <c r="B146" s="37" t="s">
        <v>564</v>
      </c>
      <c r="C146" s="38" t="s">
        <v>2656</v>
      </c>
      <c r="D146" s="38" t="n">
        <v>92</v>
      </c>
    </row>
    <row r="147" customFormat="false" ht="15" hidden="false" customHeight="false" outlineLevel="0" collapsed="false">
      <c r="A147" s="28" t="n">
        <v>146</v>
      </c>
      <c r="B147" s="37" t="s">
        <v>565</v>
      </c>
      <c r="C147" s="38" t="s">
        <v>2657</v>
      </c>
      <c r="D147" s="38" t="n">
        <v>94</v>
      </c>
    </row>
    <row r="148" customFormat="false" ht="15" hidden="false" customHeight="false" outlineLevel="0" collapsed="false">
      <c r="A148" s="28" t="n">
        <v>147</v>
      </c>
      <c r="B148" s="37" t="s">
        <v>566</v>
      </c>
      <c r="C148" s="38" t="s">
        <v>2658</v>
      </c>
      <c r="D148" s="38" t="n">
        <v>98</v>
      </c>
    </row>
    <row r="149" customFormat="false" ht="15" hidden="false" customHeight="false" outlineLevel="0" collapsed="false">
      <c r="A149" s="28" t="n">
        <v>148</v>
      </c>
      <c r="B149" s="37" t="s">
        <v>567</v>
      </c>
      <c r="C149" s="38" t="s">
        <v>2614</v>
      </c>
      <c r="D149" s="38" t="n">
        <v>89</v>
      </c>
    </row>
    <row r="150" customFormat="false" ht="15" hidden="false" customHeight="false" outlineLevel="0" collapsed="false">
      <c r="A150" s="28" t="n">
        <v>149</v>
      </c>
      <c r="B150" s="37" t="s">
        <v>568</v>
      </c>
      <c r="C150" s="38" t="s">
        <v>2570</v>
      </c>
      <c r="D150" s="38" t="n">
        <v>95</v>
      </c>
    </row>
    <row r="151" customFormat="false" ht="15" hidden="false" customHeight="false" outlineLevel="0" collapsed="false">
      <c r="A151" s="28" t="n">
        <v>150</v>
      </c>
      <c r="B151" s="37" t="s">
        <v>569</v>
      </c>
      <c r="C151" s="38" t="s">
        <v>2659</v>
      </c>
      <c r="D151" s="38" t="n">
        <v>88</v>
      </c>
    </row>
    <row r="152" customFormat="false" ht="15" hidden="false" customHeight="false" outlineLevel="0" collapsed="false">
      <c r="A152" s="28" t="n">
        <v>151</v>
      </c>
      <c r="B152" s="37" t="s">
        <v>571</v>
      </c>
      <c r="C152" s="38" t="s">
        <v>2632</v>
      </c>
      <c r="D152" s="38" t="n">
        <v>93</v>
      </c>
    </row>
    <row r="153" customFormat="false" ht="15" hidden="false" customHeight="false" outlineLevel="0" collapsed="false">
      <c r="A153" s="28" t="n">
        <v>152</v>
      </c>
      <c r="B153" s="37" t="s">
        <v>572</v>
      </c>
      <c r="C153" s="38" t="s">
        <v>2660</v>
      </c>
      <c r="D153" s="38" t="n">
        <v>92</v>
      </c>
    </row>
    <row r="154" customFormat="false" ht="15" hidden="false" customHeight="false" outlineLevel="0" collapsed="false">
      <c r="A154" s="28" t="n">
        <v>153</v>
      </c>
      <c r="B154" s="37" t="s">
        <v>573</v>
      </c>
      <c r="C154" s="38" t="s">
        <v>2590</v>
      </c>
      <c r="D154" s="38" t="n">
        <v>91</v>
      </c>
    </row>
    <row r="155" customFormat="false" ht="15" hidden="false" customHeight="false" outlineLevel="0" collapsed="false">
      <c r="A155" s="28" t="n">
        <v>154</v>
      </c>
      <c r="B155" s="37" t="s">
        <v>574</v>
      </c>
      <c r="C155" s="38" t="s">
        <v>2661</v>
      </c>
      <c r="D155" s="38" t="n">
        <v>102</v>
      </c>
    </row>
    <row r="156" customFormat="false" ht="15" hidden="false" customHeight="false" outlineLevel="0" collapsed="false">
      <c r="A156" s="28" t="n">
        <v>155</v>
      </c>
      <c r="B156" s="37" t="s">
        <v>575</v>
      </c>
      <c r="C156" s="38" t="s">
        <v>2662</v>
      </c>
      <c r="D156" s="38" t="n">
        <v>94</v>
      </c>
    </row>
    <row r="157" customFormat="false" ht="15" hidden="false" customHeight="false" outlineLevel="0" collapsed="false">
      <c r="A157" s="28" t="n">
        <v>156</v>
      </c>
      <c r="B157" s="37" t="s">
        <v>576</v>
      </c>
      <c r="C157" s="38" t="s">
        <v>2663</v>
      </c>
      <c r="D157" s="38" t="n">
        <v>104</v>
      </c>
    </row>
    <row r="158" customFormat="false" ht="15" hidden="false" customHeight="false" outlineLevel="0" collapsed="false">
      <c r="A158" s="28" t="n">
        <v>157</v>
      </c>
      <c r="B158" s="37" t="s">
        <v>577</v>
      </c>
      <c r="C158" s="38" t="s">
        <v>2664</v>
      </c>
      <c r="D158" s="38" t="n">
        <v>93</v>
      </c>
    </row>
    <row r="159" customFormat="false" ht="15" hidden="false" customHeight="false" outlineLevel="0" collapsed="false">
      <c r="A159" s="28" t="n">
        <v>158</v>
      </c>
      <c r="B159" s="37" t="s">
        <v>578</v>
      </c>
      <c r="C159" s="38" t="s">
        <v>2665</v>
      </c>
      <c r="D159" s="38" t="n">
        <v>95</v>
      </c>
    </row>
    <row r="160" customFormat="false" ht="15" hidden="false" customHeight="false" outlineLevel="0" collapsed="false">
      <c r="A160" s="28" t="n">
        <v>159</v>
      </c>
      <c r="B160" s="37" t="s">
        <v>579</v>
      </c>
      <c r="C160" s="38" t="s">
        <v>2666</v>
      </c>
      <c r="D160" s="38" t="n">
        <v>94</v>
      </c>
    </row>
    <row r="161" customFormat="false" ht="15" hidden="false" customHeight="false" outlineLevel="0" collapsed="false">
      <c r="A161" s="28" t="n">
        <v>160</v>
      </c>
      <c r="B161" s="37" t="s">
        <v>580</v>
      </c>
      <c r="C161" s="38" t="s">
        <v>2667</v>
      </c>
      <c r="D161" s="38" t="n">
        <v>103</v>
      </c>
    </row>
    <row r="162" customFormat="false" ht="15" hidden="false" customHeight="false" outlineLevel="0" collapsed="false">
      <c r="A162" s="28" t="n">
        <v>161</v>
      </c>
      <c r="B162" s="37" t="s">
        <v>582</v>
      </c>
      <c r="C162" s="38" t="s">
        <v>2595</v>
      </c>
      <c r="D162" s="38" t="n">
        <v>95</v>
      </c>
    </row>
    <row r="163" customFormat="false" ht="15" hidden="false" customHeight="false" outlineLevel="0" collapsed="false">
      <c r="A163" s="28" t="n">
        <v>162</v>
      </c>
      <c r="B163" s="37" t="s">
        <v>584</v>
      </c>
      <c r="C163" s="38" t="s">
        <v>2668</v>
      </c>
      <c r="D163" s="38" t="n">
        <v>98</v>
      </c>
    </row>
    <row r="164" customFormat="false" ht="15" hidden="false" customHeight="false" outlineLevel="0" collapsed="false">
      <c r="A164" s="28" t="n">
        <v>163</v>
      </c>
      <c r="B164" s="37" t="s">
        <v>585</v>
      </c>
      <c r="C164" s="38" t="s">
        <v>2669</v>
      </c>
      <c r="D164" s="38" t="n">
        <v>95</v>
      </c>
    </row>
    <row r="165" customFormat="false" ht="15" hidden="false" customHeight="false" outlineLevel="0" collapsed="false">
      <c r="A165" s="28" t="n">
        <v>164</v>
      </c>
      <c r="B165" s="37" t="s">
        <v>586</v>
      </c>
      <c r="C165" s="38" t="s">
        <v>2670</v>
      </c>
      <c r="D165" s="38" t="n">
        <v>86</v>
      </c>
    </row>
    <row r="166" customFormat="false" ht="15" hidden="false" customHeight="false" outlineLevel="0" collapsed="false">
      <c r="A166" s="28" t="n">
        <v>165</v>
      </c>
      <c r="B166" s="37" t="s">
        <v>587</v>
      </c>
      <c r="C166" s="38" t="s">
        <v>2574</v>
      </c>
      <c r="D166" s="38" t="n">
        <v>84</v>
      </c>
    </row>
    <row r="167" customFormat="false" ht="15" hidden="false" customHeight="false" outlineLevel="0" collapsed="false">
      <c r="A167" s="28" t="n">
        <v>166</v>
      </c>
      <c r="B167" s="37" t="s">
        <v>590</v>
      </c>
      <c r="C167" s="38" t="s">
        <v>2671</v>
      </c>
      <c r="D167" s="38" t="n">
        <v>92</v>
      </c>
    </row>
    <row r="168" customFormat="false" ht="15" hidden="false" customHeight="false" outlineLevel="0" collapsed="false">
      <c r="A168" s="28" t="n">
        <v>167</v>
      </c>
      <c r="B168" s="37" t="s">
        <v>591</v>
      </c>
      <c r="C168" s="38" t="s">
        <v>2672</v>
      </c>
      <c r="D168" s="38" t="n">
        <v>75</v>
      </c>
    </row>
    <row r="169" customFormat="false" ht="15" hidden="false" customHeight="false" outlineLevel="0" collapsed="false">
      <c r="A169" s="28" t="n">
        <v>168</v>
      </c>
      <c r="B169" s="37" t="s">
        <v>592</v>
      </c>
      <c r="C169" s="38" t="s">
        <v>2673</v>
      </c>
      <c r="D169" s="38" t="n">
        <v>107</v>
      </c>
    </row>
    <row r="170" customFormat="false" ht="15" hidden="false" customHeight="false" outlineLevel="0" collapsed="false">
      <c r="A170" s="28" t="n">
        <v>169</v>
      </c>
      <c r="B170" s="37" t="s">
        <v>593</v>
      </c>
      <c r="C170" s="38" t="s">
        <v>2674</v>
      </c>
      <c r="D170" s="38" t="n">
        <v>96</v>
      </c>
    </row>
    <row r="171" customFormat="false" ht="15" hidden="false" customHeight="false" outlineLevel="0" collapsed="false">
      <c r="A171" s="28" t="n">
        <v>170</v>
      </c>
      <c r="B171" s="37" t="s">
        <v>594</v>
      </c>
      <c r="C171" s="38" t="s">
        <v>2675</v>
      </c>
      <c r="D171" s="38" t="n">
        <v>93</v>
      </c>
    </row>
    <row r="172" customFormat="false" ht="15" hidden="false" customHeight="false" outlineLevel="0" collapsed="false">
      <c r="A172" s="28" t="n">
        <v>171</v>
      </c>
      <c r="B172" s="37" t="s">
        <v>595</v>
      </c>
      <c r="C172" s="38" t="s">
        <v>2676</v>
      </c>
      <c r="D172" s="38" t="n">
        <v>93</v>
      </c>
    </row>
    <row r="173" customFormat="false" ht="15" hidden="false" customHeight="false" outlineLevel="0" collapsed="false">
      <c r="A173" s="28" t="n">
        <v>172</v>
      </c>
      <c r="B173" s="37" t="s">
        <v>596</v>
      </c>
      <c r="C173" s="38" t="s">
        <v>2677</v>
      </c>
      <c r="D173" s="38" t="n">
        <v>74</v>
      </c>
    </row>
    <row r="174" customFormat="false" ht="15" hidden="false" customHeight="false" outlineLevel="0" collapsed="false">
      <c r="A174" s="28" t="n">
        <v>173</v>
      </c>
      <c r="B174" s="37" t="s">
        <v>597</v>
      </c>
      <c r="C174" s="38" t="s">
        <v>2678</v>
      </c>
      <c r="D174" s="38" t="n">
        <v>108</v>
      </c>
    </row>
    <row r="175" customFormat="false" ht="15" hidden="false" customHeight="false" outlineLevel="0" collapsed="false">
      <c r="A175" s="28" t="n">
        <v>174</v>
      </c>
      <c r="B175" s="37" t="s">
        <v>598</v>
      </c>
      <c r="C175" s="38" t="s">
        <v>2679</v>
      </c>
      <c r="D175" s="38" t="n">
        <v>95</v>
      </c>
    </row>
    <row r="176" customFormat="false" ht="15" hidden="false" customHeight="false" outlineLevel="0" collapsed="false">
      <c r="A176" s="28" t="n">
        <v>175</v>
      </c>
      <c r="B176" s="37" t="s">
        <v>599</v>
      </c>
      <c r="C176" s="38" t="s">
        <v>2680</v>
      </c>
      <c r="D176" s="38" t="n">
        <v>96</v>
      </c>
    </row>
    <row r="177" customFormat="false" ht="15" hidden="false" customHeight="false" outlineLevel="0" collapsed="false">
      <c r="A177" s="28" t="n">
        <v>176</v>
      </c>
      <c r="B177" s="37" t="s">
        <v>601</v>
      </c>
      <c r="C177" s="38" t="s">
        <v>2681</v>
      </c>
      <c r="D177" s="38" t="n">
        <v>95</v>
      </c>
    </row>
    <row r="178" customFormat="false" ht="15" hidden="false" customHeight="false" outlineLevel="0" collapsed="false">
      <c r="A178" s="28" t="n">
        <v>177</v>
      </c>
      <c r="B178" s="37" t="s">
        <v>602</v>
      </c>
      <c r="C178" s="38" t="s">
        <v>2682</v>
      </c>
      <c r="D178" s="38" t="n">
        <v>90</v>
      </c>
    </row>
    <row r="179" customFormat="false" ht="15" hidden="false" customHeight="false" outlineLevel="0" collapsed="false">
      <c r="A179" s="28" t="n">
        <v>178</v>
      </c>
      <c r="B179" s="37" t="s">
        <v>603</v>
      </c>
      <c r="C179" s="38" t="s">
        <v>2545</v>
      </c>
      <c r="D179" s="38" t="n">
        <v>90</v>
      </c>
    </row>
    <row r="180" customFormat="false" ht="15" hidden="false" customHeight="false" outlineLevel="0" collapsed="false">
      <c r="A180" s="28" t="n">
        <v>179</v>
      </c>
      <c r="B180" s="37" t="s">
        <v>604</v>
      </c>
      <c r="C180" s="38" t="s">
        <v>2578</v>
      </c>
      <c r="D180" s="38" t="n">
        <v>82</v>
      </c>
    </row>
    <row r="181" customFormat="false" ht="15" hidden="false" customHeight="false" outlineLevel="0" collapsed="false">
      <c r="A181" s="28" t="n">
        <v>180</v>
      </c>
      <c r="B181" s="37" t="s">
        <v>605</v>
      </c>
      <c r="C181" s="38" t="s">
        <v>2683</v>
      </c>
      <c r="D181" s="38" t="n">
        <v>103</v>
      </c>
    </row>
    <row r="182" customFormat="false" ht="15" hidden="false" customHeight="false" outlineLevel="0" collapsed="false">
      <c r="A182" s="28" t="n">
        <v>181</v>
      </c>
      <c r="B182" s="37" t="s">
        <v>607</v>
      </c>
      <c r="C182" s="38" t="s">
        <v>2593</v>
      </c>
      <c r="D182" s="38" t="n">
        <v>100</v>
      </c>
    </row>
    <row r="183" customFormat="false" ht="15" hidden="false" customHeight="false" outlineLevel="0" collapsed="false">
      <c r="A183" s="28" t="n">
        <v>182</v>
      </c>
      <c r="B183" s="37" t="s">
        <v>608</v>
      </c>
      <c r="C183" s="38" t="s">
        <v>2684</v>
      </c>
      <c r="D183" s="38" t="n">
        <v>92</v>
      </c>
    </row>
    <row r="184" customFormat="false" ht="15" hidden="false" customHeight="false" outlineLevel="0" collapsed="false">
      <c r="A184" s="28" t="n">
        <v>183</v>
      </c>
      <c r="B184" s="37" t="s">
        <v>609</v>
      </c>
      <c r="C184" s="38" t="s">
        <v>2685</v>
      </c>
      <c r="D184" s="38" t="n">
        <v>90</v>
      </c>
    </row>
    <row r="185" customFormat="false" ht="15" hidden="false" customHeight="false" outlineLevel="0" collapsed="false">
      <c r="A185" s="28" t="n">
        <v>184</v>
      </c>
      <c r="B185" s="37" t="s">
        <v>610</v>
      </c>
      <c r="C185" s="38" t="s">
        <v>2604</v>
      </c>
      <c r="D185" s="38" t="n">
        <v>95</v>
      </c>
    </row>
    <row r="186" customFormat="false" ht="15" hidden="false" customHeight="false" outlineLevel="0" collapsed="false">
      <c r="A186" s="28" t="n">
        <v>185</v>
      </c>
      <c r="B186" s="37" t="s">
        <v>611</v>
      </c>
      <c r="C186" s="38" t="s">
        <v>2686</v>
      </c>
      <c r="D186" s="38" t="n">
        <v>91</v>
      </c>
    </row>
    <row r="187" customFormat="false" ht="15" hidden="false" customHeight="false" outlineLevel="0" collapsed="false">
      <c r="A187" s="28" t="n">
        <v>186</v>
      </c>
      <c r="B187" s="37" t="s">
        <v>612</v>
      </c>
      <c r="C187" s="38" t="s">
        <v>2687</v>
      </c>
      <c r="D187" s="38" t="n">
        <v>99</v>
      </c>
    </row>
    <row r="188" customFormat="false" ht="15" hidden="false" customHeight="false" outlineLevel="0" collapsed="false">
      <c r="A188" s="28" t="n">
        <v>187</v>
      </c>
      <c r="B188" s="37" t="s">
        <v>614</v>
      </c>
      <c r="C188" s="38" t="s">
        <v>2688</v>
      </c>
      <c r="D188" s="38" t="n">
        <v>102</v>
      </c>
    </row>
    <row r="189" customFormat="false" ht="15" hidden="false" customHeight="false" outlineLevel="0" collapsed="false">
      <c r="A189" s="28" t="n">
        <v>188</v>
      </c>
      <c r="B189" s="37" t="s">
        <v>615</v>
      </c>
      <c r="C189" s="38" t="s">
        <v>2689</v>
      </c>
      <c r="D189" s="38" t="n">
        <v>112</v>
      </c>
    </row>
    <row r="190" customFormat="false" ht="15" hidden="false" customHeight="false" outlineLevel="0" collapsed="false">
      <c r="A190" s="28" t="n">
        <v>189</v>
      </c>
      <c r="B190" s="37" t="s">
        <v>616</v>
      </c>
      <c r="C190" s="38" t="s">
        <v>2690</v>
      </c>
      <c r="D190" s="38" t="n">
        <v>96</v>
      </c>
    </row>
    <row r="191" customFormat="false" ht="15" hidden="false" customHeight="false" outlineLevel="0" collapsed="false">
      <c r="A191" s="28" t="n">
        <v>190</v>
      </c>
      <c r="B191" s="37" t="s">
        <v>617</v>
      </c>
      <c r="C191" s="38" t="s">
        <v>2691</v>
      </c>
      <c r="D191" s="38" t="n">
        <v>93</v>
      </c>
    </row>
    <row r="192" customFormat="false" ht="15" hidden="false" customHeight="false" outlineLevel="0" collapsed="false">
      <c r="A192" s="28" t="n">
        <v>191</v>
      </c>
      <c r="B192" s="37" t="s">
        <v>618</v>
      </c>
      <c r="C192" s="38" t="s">
        <v>2692</v>
      </c>
      <c r="D192" s="38" t="n">
        <v>93</v>
      </c>
    </row>
    <row r="193" customFormat="false" ht="15" hidden="false" customHeight="false" outlineLevel="0" collapsed="false">
      <c r="A193" s="28" t="n">
        <v>192</v>
      </c>
      <c r="B193" s="37" t="s">
        <v>619</v>
      </c>
      <c r="C193" s="38" t="s">
        <v>2559</v>
      </c>
      <c r="D193" s="38" t="n">
        <v>91</v>
      </c>
    </row>
    <row r="194" customFormat="false" ht="15" hidden="false" customHeight="false" outlineLevel="0" collapsed="false">
      <c r="A194" s="28" t="n">
        <v>193</v>
      </c>
      <c r="B194" s="37" t="s">
        <v>621</v>
      </c>
      <c r="C194" s="38" t="s">
        <v>2693</v>
      </c>
      <c r="D194" s="38" t="n">
        <v>97</v>
      </c>
    </row>
    <row r="195" customFormat="false" ht="15" hidden="false" customHeight="false" outlineLevel="0" collapsed="false">
      <c r="A195" s="28" t="n">
        <v>194</v>
      </c>
      <c r="B195" s="37" t="s">
        <v>622</v>
      </c>
      <c r="C195" s="38" t="s">
        <v>2694</v>
      </c>
      <c r="D195" s="38" t="n">
        <v>100</v>
      </c>
    </row>
    <row r="196" customFormat="false" ht="15" hidden="false" customHeight="false" outlineLevel="0" collapsed="false">
      <c r="A196" s="28" t="n">
        <v>195</v>
      </c>
      <c r="B196" s="37" t="s">
        <v>623</v>
      </c>
      <c r="C196" s="38" t="s">
        <v>2695</v>
      </c>
      <c r="D196" s="38" t="n">
        <v>97</v>
      </c>
    </row>
    <row r="197" customFormat="false" ht="15" hidden="false" customHeight="false" outlineLevel="0" collapsed="false">
      <c r="A197" s="28" t="n">
        <v>196</v>
      </c>
      <c r="B197" s="37" t="s">
        <v>624</v>
      </c>
      <c r="C197" s="38" t="s">
        <v>2696</v>
      </c>
      <c r="D197" s="38" t="n">
        <v>106</v>
      </c>
    </row>
    <row r="198" customFormat="false" ht="15" hidden="false" customHeight="false" outlineLevel="0" collapsed="false">
      <c r="A198" s="28" t="n">
        <v>197</v>
      </c>
      <c r="B198" s="37" t="s">
        <v>626</v>
      </c>
      <c r="C198" s="38" t="s">
        <v>2697</v>
      </c>
      <c r="D198" s="38" t="n">
        <v>89</v>
      </c>
    </row>
    <row r="199" customFormat="false" ht="15" hidden="false" customHeight="false" outlineLevel="0" collapsed="false">
      <c r="A199" s="28" t="n">
        <v>198</v>
      </c>
      <c r="B199" s="37" t="s">
        <v>627</v>
      </c>
      <c r="C199" s="38" t="s">
        <v>2698</v>
      </c>
      <c r="D199" s="38" t="n">
        <v>101</v>
      </c>
    </row>
    <row r="200" customFormat="false" ht="15" hidden="false" customHeight="false" outlineLevel="0" collapsed="false">
      <c r="A200" s="28" t="n">
        <v>199</v>
      </c>
      <c r="B200" s="37" t="s">
        <v>628</v>
      </c>
      <c r="C200" s="38" t="s">
        <v>2699</v>
      </c>
      <c r="D200" s="38" t="n">
        <v>99</v>
      </c>
    </row>
    <row r="201" customFormat="false" ht="15" hidden="false" customHeight="false" outlineLevel="0" collapsed="false">
      <c r="A201" s="28" t="n">
        <v>200</v>
      </c>
      <c r="B201" s="37" t="s">
        <v>631</v>
      </c>
      <c r="C201" s="38" t="s">
        <v>2700</v>
      </c>
      <c r="D201" s="38" t="n">
        <v>97</v>
      </c>
    </row>
    <row r="202" customFormat="false" ht="15" hidden="false" customHeight="false" outlineLevel="0" collapsed="false">
      <c r="A202" s="28" t="n">
        <v>201</v>
      </c>
      <c r="B202" s="37" t="s">
        <v>632</v>
      </c>
      <c r="C202" s="38" t="s">
        <v>2701</v>
      </c>
      <c r="D202" s="38" t="n">
        <v>95</v>
      </c>
    </row>
    <row r="203" customFormat="false" ht="15" hidden="false" customHeight="false" outlineLevel="0" collapsed="false">
      <c r="A203" s="28" t="n">
        <v>202</v>
      </c>
      <c r="B203" s="37" t="s">
        <v>633</v>
      </c>
      <c r="C203" s="38" t="s">
        <v>2702</v>
      </c>
      <c r="D203" s="38" t="n">
        <v>102</v>
      </c>
    </row>
    <row r="204" customFormat="false" ht="15" hidden="false" customHeight="false" outlineLevel="0" collapsed="false">
      <c r="A204" s="28" t="n">
        <v>203</v>
      </c>
      <c r="B204" s="37" t="s">
        <v>634</v>
      </c>
      <c r="C204" s="38" t="s">
        <v>2703</v>
      </c>
      <c r="D204" s="38" t="n">
        <v>74</v>
      </c>
    </row>
    <row r="205" customFormat="false" ht="15" hidden="false" customHeight="false" outlineLevel="0" collapsed="false">
      <c r="A205" s="28" t="n">
        <v>204</v>
      </c>
      <c r="B205" s="37" t="s">
        <v>636</v>
      </c>
      <c r="C205" s="38" t="s">
        <v>2587</v>
      </c>
      <c r="D205" s="38" t="n">
        <v>93</v>
      </c>
    </row>
    <row r="206" customFormat="false" ht="15" hidden="false" customHeight="false" outlineLevel="0" collapsed="false">
      <c r="A206" s="28" t="n">
        <v>205</v>
      </c>
      <c r="B206" s="37" t="s">
        <v>637</v>
      </c>
      <c r="C206" s="38" t="s">
        <v>2704</v>
      </c>
      <c r="D206" s="38" t="n">
        <v>111</v>
      </c>
    </row>
    <row r="207" customFormat="false" ht="15" hidden="false" customHeight="false" outlineLevel="0" collapsed="false">
      <c r="A207" s="28" t="n">
        <v>206</v>
      </c>
      <c r="B207" s="37" t="s">
        <v>639</v>
      </c>
      <c r="C207" s="38" t="s">
        <v>2705</v>
      </c>
      <c r="D207" s="38" t="n">
        <v>98</v>
      </c>
    </row>
    <row r="208" customFormat="false" ht="15" hidden="false" customHeight="false" outlineLevel="0" collapsed="false">
      <c r="A208" s="28" t="n">
        <v>207</v>
      </c>
      <c r="B208" s="37" t="s">
        <v>640</v>
      </c>
      <c r="C208" s="38" t="s">
        <v>2706</v>
      </c>
      <c r="D208" s="38" t="n">
        <v>110</v>
      </c>
    </row>
    <row r="209" customFormat="false" ht="15" hidden="false" customHeight="false" outlineLevel="0" collapsed="false">
      <c r="A209" s="28" t="n">
        <v>208</v>
      </c>
      <c r="B209" s="37" t="s">
        <v>642</v>
      </c>
      <c r="C209" s="38" t="s">
        <v>2707</v>
      </c>
      <c r="D209" s="38" t="n">
        <v>94</v>
      </c>
    </row>
    <row r="210" customFormat="false" ht="15" hidden="false" customHeight="false" outlineLevel="0" collapsed="false">
      <c r="A210" s="28" t="n">
        <v>209</v>
      </c>
      <c r="B210" s="37" t="s">
        <v>643</v>
      </c>
      <c r="C210" s="38" t="s">
        <v>2708</v>
      </c>
      <c r="D210" s="38" t="n">
        <v>93</v>
      </c>
    </row>
    <row r="211" customFormat="false" ht="15" hidden="false" customHeight="false" outlineLevel="0" collapsed="false">
      <c r="A211" s="28" t="n">
        <v>210</v>
      </c>
      <c r="B211" s="37" t="s">
        <v>644</v>
      </c>
      <c r="C211" s="38" t="s">
        <v>2709</v>
      </c>
      <c r="D211" s="38" t="n">
        <v>89</v>
      </c>
    </row>
    <row r="212" customFormat="false" ht="15" hidden="false" customHeight="false" outlineLevel="0" collapsed="false">
      <c r="A212" s="28" t="n">
        <v>211</v>
      </c>
      <c r="B212" s="37" t="s">
        <v>646</v>
      </c>
      <c r="C212" s="38" t="s">
        <v>2710</v>
      </c>
      <c r="D212" s="38" t="n">
        <v>93</v>
      </c>
    </row>
    <row r="213" customFormat="false" ht="15" hidden="false" customHeight="false" outlineLevel="0" collapsed="false">
      <c r="A213" s="28" t="n">
        <v>212</v>
      </c>
      <c r="B213" s="37" t="s">
        <v>647</v>
      </c>
      <c r="C213" s="38" t="s">
        <v>2711</v>
      </c>
      <c r="D213" s="38" t="n">
        <v>95</v>
      </c>
    </row>
    <row r="214" customFormat="false" ht="15" hidden="false" customHeight="false" outlineLevel="0" collapsed="false">
      <c r="A214" s="28" t="n">
        <v>213</v>
      </c>
      <c r="B214" s="37" t="s">
        <v>648</v>
      </c>
      <c r="C214" s="38" t="s">
        <v>2712</v>
      </c>
      <c r="D214" s="38" t="n">
        <v>96</v>
      </c>
    </row>
    <row r="215" customFormat="false" ht="15" hidden="false" customHeight="false" outlineLevel="0" collapsed="false">
      <c r="A215" s="28" t="n">
        <v>214</v>
      </c>
      <c r="B215" s="37" t="s">
        <v>649</v>
      </c>
      <c r="C215" s="38" t="s">
        <v>2713</v>
      </c>
      <c r="D215" s="38" t="n">
        <v>99</v>
      </c>
    </row>
    <row r="216" customFormat="false" ht="15" hidden="false" customHeight="false" outlineLevel="0" collapsed="false">
      <c r="A216" s="28" t="n">
        <v>215</v>
      </c>
      <c r="B216" s="37" t="s">
        <v>650</v>
      </c>
      <c r="C216" s="38" t="s">
        <v>2714</v>
      </c>
      <c r="D216" s="38" t="n">
        <v>86</v>
      </c>
    </row>
    <row r="217" customFormat="false" ht="15" hidden="false" customHeight="false" outlineLevel="0" collapsed="false">
      <c r="A217" s="28" t="n">
        <v>216</v>
      </c>
      <c r="B217" s="37" t="s">
        <v>652</v>
      </c>
      <c r="C217" s="38" t="s">
        <v>2575</v>
      </c>
      <c r="D217" s="38" t="n">
        <v>90</v>
      </c>
    </row>
    <row r="218" customFormat="false" ht="15" hidden="false" customHeight="false" outlineLevel="0" collapsed="false">
      <c r="A218" s="28" t="n">
        <v>217</v>
      </c>
      <c r="B218" s="37" t="s">
        <v>653</v>
      </c>
      <c r="C218" s="38" t="s">
        <v>2621</v>
      </c>
      <c r="D218" s="38" t="n">
        <v>93</v>
      </c>
    </row>
    <row r="219" customFormat="false" ht="15" hidden="false" customHeight="false" outlineLevel="0" collapsed="false">
      <c r="A219" s="28" t="n">
        <v>218</v>
      </c>
      <c r="B219" s="37" t="s">
        <v>655</v>
      </c>
      <c r="C219" s="38" t="s">
        <v>2715</v>
      </c>
      <c r="D219" s="38" t="n">
        <v>84</v>
      </c>
    </row>
    <row r="220" customFormat="false" ht="15" hidden="false" customHeight="false" outlineLevel="0" collapsed="false">
      <c r="A220" s="28" t="n">
        <v>219</v>
      </c>
      <c r="B220" s="37" t="s">
        <v>656</v>
      </c>
      <c r="C220" s="38" t="s">
        <v>2620</v>
      </c>
      <c r="D220" s="38" t="n">
        <v>90</v>
      </c>
    </row>
    <row r="221" customFormat="false" ht="15" hidden="false" customHeight="false" outlineLevel="0" collapsed="false">
      <c r="A221" s="28" t="n">
        <v>220</v>
      </c>
      <c r="B221" s="37" t="s">
        <v>658</v>
      </c>
      <c r="C221" s="38" t="s">
        <v>2716</v>
      </c>
      <c r="D221" s="38" t="n">
        <v>92</v>
      </c>
    </row>
    <row r="222" customFormat="false" ht="15" hidden="false" customHeight="false" outlineLevel="0" collapsed="false">
      <c r="A222" s="28" t="n">
        <v>221</v>
      </c>
      <c r="B222" s="37" t="s">
        <v>659</v>
      </c>
      <c r="C222" s="38" t="s">
        <v>2717</v>
      </c>
      <c r="D222" s="38" t="n">
        <v>94</v>
      </c>
    </row>
    <row r="223" customFormat="false" ht="15" hidden="false" customHeight="false" outlineLevel="0" collapsed="false">
      <c r="A223" s="28" t="n">
        <v>222</v>
      </c>
      <c r="B223" s="37" t="s">
        <v>660</v>
      </c>
      <c r="C223" s="38" t="s">
        <v>2718</v>
      </c>
      <c r="D223" s="38" t="n">
        <v>99</v>
      </c>
    </row>
    <row r="224" customFormat="false" ht="15" hidden="false" customHeight="false" outlineLevel="0" collapsed="false">
      <c r="A224" s="28" t="n">
        <v>223</v>
      </c>
      <c r="B224" s="37" t="s">
        <v>661</v>
      </c>
      <c r="C224" s="38" t="s">
        <v>2719</v>
      </c>
      <c r="D224" s="38" t="n">
        <v>91</v>
      </c>
    </row>
    <row r="225" customFormat="false" ht="15" hidden="false" customHeight="false" outlineLevel="0" collapsed="false">
      <c r="A225" s="28" t="n">
        <v>224</v>
      </c>
      <c r="B225" s="37" t="s">
        <v>663</v>
      </c>
      <c r="C225" s="38" t="s">
        <v>2565</v>
      </c>
      <c r="D225" s="38" t="n">
        <v>108</v>
      </c>
    </row>
    <row r="226" customFormat="false" ht="15" hidden="false" customHeight="false" outlineLevel="0" collapsed="false">
      <c r="A226" s="28" t="n">
        <v>225</v>
      </c>
      <c r="B226" s="37" t="s">
        <v>666</v>
      </c>
      <c r="C226" s="38" t="s">
        <v>2720</v>
      </c>
      <c r="D226" s="38" t="n">
        <v>88</v>
      </c>
    </row>
    <row r="227" customFormat="false" ht="15" hidden="false" customHeight="false" outlineLevel="0" collapsed="false">
      <c r="A227" s="28" t="n">
        <v>226</v>
      </c>
      <c r="B227" s="37" t="s">
        <v>667</v>
      </c>
      <c r="C227" s="38" t="s">
        <v>2721</v>
      </c>
      <c r="D227" s="38" t="n">
        <v>93</v>
      </c>
    </row>
    <row r="228" customFormat="false" ht="15" hidden="false" customHeight="false" outlineLevel="0" collapsed="false">
      <c r="A228" s="28" t="n">
        <v>227</v>
      </c>
      <c r="B228" s="37" t="s">
        <v>668</v>
      </c>
      <c r="C228" s="38" t="s">
        <v>2586</v>
      </c>
      <c r="D228" s="38" t="n">
        <v>98</v>
      </c>
    </row>
    <row r="229" customFormat="false" ht="15" hidden="false" customHeight="false" outlineLevel="0" collapsed="false">
      <c r="A229" s="28" t="n">
        <v>228</v>
      </c>
      <c r="B229" s="37" t="s">
        <v>669</v>
      </c>
      <c r="C229" s="38" t="s">
        <v>2722</v>
      </c>
      <c r="D229" s="38" t="n">
        <v>101</v>
      </c>
    </row>
    <row r="230" customFormat="false" ht="15" hidden="false" customHeight="false" outlineLevel="0" collapsed="false">
      <c r="A230" s="28" t="n">
        <v>229</v>
      </c>
      <c r="B230" s="37" t="s">
        <v>670</v>
      </c>
      <c r="C230" s="38" t="s">
        <v>2723</v>
      </c>
      <c r="D230" s="38" t="n">
        <v>102</v>
      </c>
    </row>
    <row r="231" customFormat="false" ht="15" hidden="false" customHeight="false" outlineLevel="0" collapsed="false">
      <c r="A231" s="28" t="n">
        <v>230</v>
      </c>
      <c r="B231" s="37" t="s">
        <v>671</v>
      </c>
      <c r="C231" s="38" t="s">
        <v>2724</v>
      </c>
      <c r="D231" s="38" t="n">
        <v>101</v>
      </c>
    </row>
    <row r="232" customFormat="false" ht="15" hidden="false" customHeight="false" outlineLevel="0" collapsed="false">
      <c r="A232" s="28" t="n">
        <v>231</v>
      </c>
      <c r="B232" s="37" t="s">
        <v>672</v>
      </c>
      <c r="C232" s="38" t="s">
        <v>2544</v>
      </c>
      <c r="D232" s="38" t="n">
        <v>86</v>
      </c>
    </row>
    <row r="233" customFormat="false" ht="15" hidden="false" customHeight="false" outlineLevel="0" collapsed="false">
      <c r="A233" s="28" t="n">
        <v>232</v>
      </c>
      <c r="B233" s="37" t="s">
        <v>673</v>
      </c>
      <c r="C233" s="38" t="s">
        <v>2725</v>
      </c>
      <c r="D233" s="38" t="n">
        <v>94</v>
      </c>
    </row>
    <row r="234" customFormat="false" ht="15" hidden="false" customHeight="false" outlineLevel="0" collapsed="false">
      <c r="A234" s="28" t="n">
        <v>233</v>
      </c>
      <c r="B234" s="37" t="s">
        <v>674</v>
      </c>
      <c r="C234" s="38" t="s">
        <v>2726</v>
      </c>
      <c r="D234" s="38" t="n">
        <v>97</v>
      </c>
    </row>
    <row r="235" customFormat="false" ht="15" hidden="false" customHeight="false" outlineLevel="0" collapsed="false">
      <c r="A235" s="28" t="n">
        <v>234</v>
      </c>
      <c r="B235" s="37" t="s">
        <v>675</v>
      </c>
      <c r="C235" s="38" t="s">
        <v>2727</v>
      </c>
      <c r="D235" s="38" t="n">
        <v>100</v>
      </c>
    </row>
    <row r="236" customFormat="false" ht="15" hidden="false" customHeight="false" outlineLevel="0" collapsed="false">
      <c r="A236" s="28" t="n">
        <v>235</v>
      </c>
      <c r="B236" s="37" t="s">
        <v>678</v>
      </c>
      <c r="C236" s="38" t="s">
        <v>2579</v>
      </c>
      <c r="D236" s="38" t="n">
        <v>90</v>
      </c>
    </row>
    <row r="237" customFormat="false" ht="15" hidden="false" customHeight="false" outlineLevel="0" collapsed="false">
      <c r="A237" s="28" t="n">
        <v>236</v>
      </c>
      <c r="B237" s="37" t="s">
        <v>679</v>
      </c>
      <c r="C237" s="38" t="s">
        <v>2539</v>
      </c>
      <c r="D237" s="38" t="n">
        <v>104</v>
      </c>
    </row>
    <row r="238" customFormat="false" ht="15" hidden="false" customHeight="false" outlineLevel="0" collapsed="false">
      <c r="A238" s="28" t="n">
        <v>237</v>
      </c>
      <c r="B238" s="37" t="s">
        <v>681</v>
      </c>
      <c r="C238" s="38" t="s">
        <v>2629</v>
      </c>
      <c r="D238" s="38" t="n">
        <v>87</v>
      </c>
    </row>
    <row r="239" customFormat="false" ht="15" hidden="false" customHeight="false" outlineLevel="0" collapsed="false">
      <c r="A239" s="28" t="n">
        <v>238</v>
      </c>
      <c r="B239" s="37" t="s">
        <v>682</v>
      </c>
      <c r="C239" s="38" t="s">
        <v>2728</v>
      </c>
      <c r="D239" s="38" t="n">
        <v>98</v>
      </c>
    </row>
    <row r="240" customFormat="false" ht="15" hidden="false" customHeight="false" outlineLevel="0" collapsed="false">
      <c r="A240" s="28" t="n">
        <v>239</v>
      </c>
      <c r="B240" s="37" t="s">
        <v>685</v>
      </c>
      <c r="C240" s="38" t="s">
        <v>2729</v>
      </c>
      <c r="D240" s="38" t="n">
        <v>92</v>
      </c>
    </row>
    <row r="241" customFormat="false" ht="15" hidden="false" customHeight="false" outlineLevel="0" collapsed="false">
      <c r="A241" s="28" t="n">
        <v>240</v>
      </c>
      <c r="B241" s="37" t="s">
        <v>688</v>
      </c>
      <c r="C241" s="38" t="s">
        <v>2622</v>
      </c>
      <c r="D241" s="38" t="n">
        <v>100</v>
      </c>
    </row>
    <row r="242" customFormat="false" ht="15" hidden="false" customHeight="false" outlineLevel="0" collapsed="false">
      <c r="A242" s="28" t="n">
        <v>241</v>
      </c>
      <c r="B242" s="37" t="s">
        <v>689</v>
      </c>
      <c r="C242" s="38" t="s">
        <v>2730</v>
      </c>
      <c r="D242" s="38" t="n">
        <v>102</v>
      </c>
    </row>
    <row r="243" customFormat="false" ht="15" hidden="false" customHeight="false" outlineLevel="0" collapsed="false">
      <c r="A243" s="28" t="n">
        <v>242</v>
      </c>
      <c r="B243" s="37" t="s">
        <v>690</v>
      </c>
      <c r="C243" s="38" t="s">
        <v>2596</v>
      </c>
      <c r="D243" s="38" t="n">
        <v>92</v>
      </c>
    </row>
    <row r="244" customFormat="false" ht="15" hidden="false" customHeight="false" outlineLevel="0" collapsed="false">
      <c r="A244" s="28" t="n">
        <v>243</v>
      </c>
      <c r="B244" s="37" t="s">
        <v>691</v>
      </c>
      <c r="C244" s="38" t="s">
        <v>2731</v>
      </c>
      <c r="D244" s="38" t="n">
        <v>91</v>
      </c>
    </row>
    <row r="245" customFormat="false" ht="15" hidden="false" customHeight="false" outlineLevel="0" collapsed="false">
      <c r="A245" s="28" t="n">
        <v>244</v>
      </c>
      <c r="B245" s="37" t="s">
        <v>696</v>
      </c>
      <c r="C245" s="38" t="s">
        <v>2732</v>
      </c>
      <c r="D245" s="38" t="n">
        <v>92</v>
      </c>
    </row>
    <row r="246" customFormat="false" ht="15" hidden="false" customHeight="false" outlineLevel="0" collapsed="false">
      <c r="A246" s="28" t="n">
        <v>245</v>
      </c>
      <c r="B246" s="37" t="s">
        <v>697</v>
      </c>
      <c r="C246" s="38" t="s">
        <v>2613</v>
      </c>
      <c r="D246" s="38" t="n">
        <v>89</v>
      </c>
    </row>
    <row r="247" customFormat="false" ht="15" hidden="false" customHeight="false" outlineLevel="0" collapsed="false">
      <c r="A247" s="28" t="n">
        <v>246</v>
      </c>
      <c r="B247" s="37" t="s">
        <v>698</v>
      </c>
      <c r="C247" s="38" t="s">
        <v>2733</v>
      </c>
      <c r="D247" s="38" t="n">
        <v>93</v>
      </c>
    </row>
    <row r="248" customFormat="false" ht="15" hidden="false" customHeight="false" outlineLevel="0" collapsed="false">
      <c r="A248" s="28" t="n">
        <v>247</v>
      </c>
      <c r="B248" s="37" t="s">
        <v>699</v>
      </c>
      <c r="C248" s="38" t="s">
        <v>2734</v>
      </c>
      <c r="D248" s="38" t="n">
        <v>96</v>
      </c>
    </row>
    <row r="249" customFormat="false" ht="15" hidden="false" customHeight="false" outlineLevel="0" collapsed="false">
      <c r="A249" s="28" t="n">
        <v>248</v>
      </c>
      <c r="B249" s="37" t="s">
        <v>700</v>
      </c>
      <c r="C249" s="38" t="s">
        <v>2735</v>
      </c>
      <c r="D249" s="38" t="n">
        <v>93</v>
      </c>
    </row>
    <row r="250" customFormat="false" ht="15" hidden="false" customHeight="false" outlineLevel="0" collapsed="false">
      <c r="A250" s="28" t="n">
        <v>249</v>
      </c>
      <c r="B250" s="37" t="s">
        <v>701</v>
      </c>
      <c r="C250" s="38" t="s">
        <v>2631</v>
      </c>
      <c r="D250" s="38" t="n">
        <v>90</v>
      </c>
    </row>
    <row r="251" customFormat="false" ht="15" hidden="false" customHeight="false" outlineLevel="0" collapsed="false">
      <c r="A251" s="28" t="n">
        <v>250</v>
      </c>
      <c r="B251" s="37" t="s">
        <v>702</v>
      </c>
      <c r="C251" s="38" t="s">
        <v>2535</v>
      </c>
      <c r="D251" s="38" t="n">
        <v>99</v>
      </c>
    </row>
    <row r="252" customFormat="false" ht="15" hidden="false" customHeight="false" outlineLevel="0" collapsed="false">
      <c r="A252" s="28" t="n">
        <v>251</v>
      </c>
      <c r="B252" s="37" t="s">
        <v>703</v>
      </c>
      <c r="C252" s="38" t="s">
        <v>2736</v>
      </c>
      <c r="D252" s="38" t="n">
        <v>98</v>
      </c>
    </row>
    <row r="253" customFormat="false" ht="15" hidden="false" customHeight="false" outlineLevel="0" collapsed="false">
      <c r="A253" s="28" t="n">
        <v>252</v>
      </c>
      <c r="B253" s="37" t="s">
        <v>704</v>
      </c>
      <c r="C253" s="38" t="s">
        <v>2737</v>
      </c>
      <c r="D253" s="38" t="n">
        <v>91</v>
      </c>
    </row>
    <row r="254" customFormat="false" ht="15" hidden="false" customHeight="false" outlineLevel="0" collapsed="false">
      <c r="A254" s="28" t="n">
        <v>253</v>
      </c>
      <c r="B254" s="37" t="s">
        <v>705</v>
      </c>
      <c r="C254" s="38" t="s">
        <v>2738</v>
      </c>
      <c r="D254" s="38" t="n">
        <v>94</v>
      </c>
    </row>
    <row r="255" customFormat="false" ht="15" hidden="false" customHeight="false" outlineLevel="0" collapsed="false">
      <c r="A255" s="28" t="n">
        <v>254</v>
      </c>
      <c r="B255" s="37" t="s">
        <v>706</v>
      </c>
      <c r="C255" s="38" t="s">
        <v>2739</v>
      </c>
      <c r="D255" s="38" t="n">
        <v>93</v>
      </c>
    </row>
    <row r="256" customFormat="false" ht="15" hidden="false" customHeight="false" outlineLevel="0" collapsed="false">
      <c r="A256" s="28" t="n">
        <v>255</v>
      </c>
      <c r="B256" s="37" t="s">
        <v>707</v>
      </c>
      <c r="C256" s="38" t="s">
        <v>2740</v>
      </c>
      <c r="D256" s="38" t="n">
        <v>94</v>
      </c>
    </row>
    <row r="257" customFormat="false" ht="15" hidden="false" customHeight="false" outlineLevel="0" collapsed="false">
      <c r="A257" s="28" t="n">
        <v>256</v>
      </c>
      <c r="B257" s="37" t="s">
        <v>709</v>
      </c>
      <c r="C257" s="38" t="s">
        <v>2741</v>
      </c>
      <c r="D257" s="38" t="n">
        <v>94</v>
      </c>
    </row>
    <row r="258" customFormat="false" ht="15" hidden="false" customHeight="false" outlineLevel="0" collapsed="false">
      <c r="A258" s="28" t="n">
        <v>257</v>
      </c>
      <c r="B258" s="37" t="s">
        <v>710</v>
      </c>
      <c r="C258" s="38" t="s">
        <v>2605</v>
      </c>
      <c r="D258" s="38" t="n">
        <v>98</v>
      </c>
    </row>
    <row r="259" customFormat="false" ht="15" hidden="false" customHeight="false" outlineLevel="0" collapsed="false">
      <c r="A259" s="28" t="n">
        <v>258</v>
      </c>
      <c r="B259" s="37" t="s">
        <v>711</v>
      </c>
      <c r="C259" s="38" t="s">
        <v>2541</v>
      </c>
      <c r="D259" s="38" t="n">
        <v>89</v>
      </c>
    </row>
    <row r="260" customFormat="false" ht="15" hidden="false" customHeight="false" outlineLevel="0" collapsed="false">
      <c r="A260" s="28" t="n">
        <v>259</v>
      </c>
      <c r="B260" s="37" t="s">
        <v>712</v>
      </c>
      <c r="C260" s="38" t="s">
        <v>2577</v>
      </c>
      <c r="D260" s="38" t="n">
        <v>92</v>
      </c>
    </row>
    <row r="261" customFormat="false" ht="15" hidden="false" customHeight="false" outlineLevel="0" collapsed="false">
      <c r="A261" s="28" t="n">
        <v>260</v>
      </c>
      <c r="B261" s="37" t="s">
        <v>713</v>
      </c>
      <c r="C261" s="38" t="s">
        <v>2742</v>
      </c>
      <c r="D261" s="38" t="n">
        <v>87</v>
      </c>
    </row>
    <row r="262" customFormat="false" ht="15" hidden="false" customHeight="false" outlineLevel="0" collapsed="false">
      <c r="A262" s="28" t="n">
        <v>261</v>
      </c>
      <c r="B262" s="37" t="s">
        <v>718</v>
      </c>
      <c r="C262" s="38" t="s">
        <v>2743</v>
      </c>
      <c r="D262" s="38" t="n">
        <v>77</v>
      </c>
    </row>
    <row r="263" customFormat="false" ht="15" hidden="false" customHeight="false" outlineLevel="0" collapsed="false">
      <c r="A263" s="28" t="n">
        <v>262</v>
      </c>
      <c r="B263" s="37" t="s">
        <v>719</v>
      </c>
      <c r="C263" s="38" t="s">
        <v>2743</v>
      </c>
      <c r="D263" s="38" t="n">
        <v>77</v>
      </c>
    </row>
    <row r="264" customFormat="false" ht="15" hidden="false" customHeight="false" outlineLevel="0" collapsed="false">
      <c r="A264" s="28" t="n">
        <v>263</v>
      </c>
      <c r="B264" s="37" t="s">
        <v>720</v>
      </c>
      <c r="C264" s="38" t="s">
        <v>2743</v>
      </c>
      <c r="D264" s="38" t="n">
        <v>77</v>
      </c>
    </row>
    <row r="265" customFormat="false" ht="15" hidden="false" customHeight="false" outlineLevel="0" collapsed="false">
      <c r="A265" s="28" t="n">
        <v>264</v>
      </c>
      <c r="B265" s="37" t="s">
        <v>721</v>
      </c>
      <c r="C265" s="38" t="s">
        <v>2531</v>
      </c>
      <c r="D265" s="38" t="n">
        <v>71</v>
      </c>
    </row>
    <row r="266" customFormat="false" ht="15" hidden="false" customHeight="false" outlineLevel="0" collapsed="false">
      <c r="A266" s="28" t="n">
        <v>265</v>
      </c>
      <c r="B266" s="37" t="s">
        <v>722</v>
      </c>
      <c r="C266" s="38" t="s">
        <v>2743</v>
      </c>
      <c r="D266" s="38" t="n">
        <v>77</v>
      </c>
    </row>
    <row r="267" customFormat="false" ht="15" hidden="false" customHeight="false" outlineLevel="0" collapsed="false">
      <c r="A267" s="28" t="n">
        <v>266</v>
      </c>
      <c r="B267" s="37" t="s">
        <v>723</v>
      </c>
      <c r="C267" s="38" t="s">
        <v>2531</v>
      </c>
      <c r="D267" s="38" t="n">
        <v>71</v>
      </c>
    </row>
    <row r="268" customFormat="false" ht="15" hidden="false" customHeight="false" outlineLevel="0" collapsed="false">
      <c r="A268" s="28" t="n">
        <v>267</v>
      </c>
      <c r="B268" s="37" t="s">
        <v>724</v>
      </c>
      <c r="C268" s="38" t="s">
        <v>2531</v>
      </c>
      <c r="D268" s="38" t="n">
        <v>71</v>
      </c>
    </row>
    <row r="269" customFormat="false" ht="15" hidden="false" customHeight="false" outlineLevel="0" collapsed="false">
      <c r="A269" s="28" t="n">
        <v>268</v>
      </c>
      <c r="B269" s="37" t="s">
        <v>725</v>
      </c>
      <c r="C269" s="38" t="s">
        <v>2743</v>
      </c>
      <c r="D269" s="38" t="n">
        <v>77</v>
      </c>
    </row>
    <row r="270" customFormat="false" ht="15" hidden="false" customHeight="false" outlineLevel="0" collapsed="false">
      <c r="A270" s="28" t="n">
        <v>269</v>
      </c>
      <c r="B270" s="37" t="s">
        <v>727</v>
      </c>
      <c r="C270" s="38" t="s">
        <v>2743</v>
      </c>
      <c r="D270" s="38" t="n">
        <v>77</v>
      </c>
    </row>
    <row r="271" customFormat="false" ht="15" hidden="false" customHeight="false" outlineLevel="0" collapsed="false">
      <c r="A271" s="28" t="n">
        <v>270</v>
      </c>
      <c r="B271" s="37" t="s">
        <v>317</v>
      </c>
      <c r="C271" s="38" t="s">
        <v>2529</v>
      </c>
      <c r="D271" s="38" t="n">
        <v>71</v>
      </c>
    </row>
    <row r="272" customFormat="false" ht="15" hidden="false" customHeight="false" outlineLevel="0" collapsed="false">
      <c r="A272" s="28" t="n">
        <v>271</v>
      </c>
      <c r="B272" s="37" t="s">
        <v>2744</v>
      </c>
      <c r="C272" s="38" t="s">
        <v>2531</v>
      </c>
      <c r="D272" s="38" t="n">
        <v>71</v>
      </c>
    </row>
    <row r="273" customFormat="false" ht="15" hidden="false" customHeight="false" outlineLevel="0" collapsed="false">
      <c r="A273" s="28" t="n">
        <v>272</v>
      </c>
      <c r="B273" s="37" t="s">
        <v>733</v>
      </c>
      <c r="C273" s="38" t="s">
        <v>2533</v>
      </c>
      <c r="D273" s="38" t="n">
        <v>77</v>
      </c>
    </row>
    <row r="274" customFormat="false" ht="15" hidden="false" customHeight="false" outlineLevel="0" collapsed="false">
      <c r="A274" s="28" t="n">
        <v>273</v>
      </c>
      <c r="B274" s="37" t="s">
        <v>741</v>
      </c>
      <c r="C274" s="38" t="s">
        <v>2745</v>
      </c>
      <c r="D274" s="38" t="n">
        <v>101</v>
      </c>
    </row>
    <row r="275" customFormat="false" ht="15" hidden="false" customHeight="false" outlineLevel="0" collapsed="false">
      <c r="A275" s="28" t="n">
        <v>274</v>
      </c>
      <c r="B275" s="37" t="s">
        <v>2746</v>
      </c>
      <c r="C275" s="38" t="s">
        <v>2747</v>
      </c>
      <c r="D275" s="38" t="n">
        <v>73</v>
      </c>
    </row>
    <row r="276" customFormat="false" ht="15" hidden="false" customHeight="false" outlineLevel="0" collapsed="false">
      <c r="A276" s="28" t="n">
        <v>275</v>
      </c>
      <c r="B276" s="37" t="s">
        <v>755</v>
      </c>
      <c r="C276" s="38" t="s">
        <v>2533</v>
      </c>
      <c r="D276" s="38" t="n">
        <v>77</v>
      </c>
    </row>
    <row r="277" customFormat="false" ht="15" hidden="false" customHeight="false" outlineLevel="0" collapsed="false">
      <c r="A277" s="28" t="n">
        <v>276</v>
      </c>
      <c r="B277" s="37" t="s">
        <v>2748</v>
      </c>
      <c r="C277" s="38" t="s">
        <v>2749</v>
      </c>
      <c r="D277" s="38" t="n">
        <v>109</v>
      </c>
    </row>
    <row r="278" customFormat="false" ht="15" hidden="false" customHeight="false" outlineLevel="0" collapsed="false">
      <c r="A278" s="28" t="n">
        <v>277</v>
      </c>
      <c r="B278" s="37" t="s">
        <v>325</v>
      </c>
      <c r="C278" s="38" t="s">
        <v>2750</v>
      </c>
      <c r="D278" s="38" t="n">
        <v>85</v>
      </c>
    </row>
    <row r="279" customFormat="false" ht="15" hidden="false" customHeight="false" outlineLevel="0" collapsed="false">
      <c r="A279" s="28" t="n">
        <v>278</v>
      </c>
      <c r="B279" s="37" t="s">
        <v>2751</v>
      </c>
      <c r="C279" s="38" t="s">
        <v>2752</v>
      </c>
      <c r="D279" s="38" t="n">
        <v>74</v>
      </c>
    </row>
    <row r="280" customFormat="false" ht="15" hidden="false" customHeight="false" outlineLevel="0" collapsed="false">
      <c r="A280" s="28" t="n">
        <v>279</v>
      </c>
      <c r="B280" s="37" t="s">
        <v>2753</v>
      </c>
      <c r="C280" s="38" t="s">
        <v>2754</v>
      </c>
      <c r="D280" s="38" t="n">
        <v>92</v>
      </c>
    </row>
    <row r="281" customFormat="false" ht="15" hidden="false" customHeight="false" outlineLevel="0" collapsed="false">
      <c r="A281" s="28" t="n">
        <v>280</v>
      </c>
      <c r="B281" s="37" t="s">
        <v>2755</v>
      </c>
      <c r="C281" s="38" t="s">
        <v>2756</v>
      </c>
      <c r="D281" s="38" t="n">
        <v>98</v>
      </c>
    </row>
    <row r="282" customFormat="false" ht="15" hidden="false" customHeight="false" outlineLevel="0" collapsed="false">
      <c r="A282" s="28" t="n">
        <v>281</v>
      </c>
      <c r="B282" s="37" t="s">
        <v>774</v>
      </c>
      <c r="C282" s="38" t="s">
        <v>2533</v>
      </c>
      <c r="D282" s="38" t="n">
        <v>77</v>
      </c>
    </row>
    <row r="283" customFormat="false" ht="15" hidden="false" customHeight="false" outlineLevel="0" collapsed="false">
      <c r="A283" s="28" t="n">
        <v>282</v>
      </c>
      <c r="B283" s="37" t="s">
        <v>2757</v>
      </c>
      <c r="C283" s="38" t="s">
        <v>2758</v>
      </c>
      <c r="D283" s="38" t="n">
        <v>72</v>
      </c>
    </row>
    <row r="284" customFormat="false" ht="15" hidden="false" customHeight="false" outlineLevel="0" collapsed="false">
      <c r="A284" s="28" t="n">
        <v>283</v>
      </c>
      <c r="B284" s="37" t="s">
        <v>776</v>
      </c>
      <c r="C284" s="38" t="s">
        <v>2533</v>
      </c>
      <c r="D284" s="38" t="n">
        <v>77</v>
      </c>
    </row>
    <row r="285" customFormat="false" ht="15" hidden="false" customHeight="false" outlineLevel="0" collapsed="false">
      <c r="A285" s="28" t="n">
        <v>284</v>
      </c>
      <c r="B285" s="37" t="s">
        <v>780</v>
      </c>
      <c r="C285" s="38" t="s">
        <v>2567</v>
      </c>
      <c r="D285" s="38" t="n">
        <v>94</v>
      </c>
    </row>
    <row r="286" customFormat="false" ht="15" hidden="false" customHeight="false" outlineLevel="0" collapsed="false">
      <c r="A286" s="28" t="n">
        <v>285</v>
      </c>
      <c r="B286" s="37" t="s">
        <v>781</v>
      </c>
      <c r="C286" s="38" t="s">
        <v>2759</v>
      </c>
      <c r="D286" s="38" t="n">
        <v>74</v>
      </c>
    </row>
    <row r="287" customFormat="false" ht="15" hidden="false" customHeight="false" outlineLevel="0" collapsed="false">
      <c r="A287" s="28" t="n">
        <v>286</v>
      </c>
      <c r="B287" s="37" t="s">
        <v>783</v>
      </c>
      <c r="C287" s="38" t="s">
        <v>2760</v>
      </c>
      <c r="D287" s="38" t="n">
        <v>99</v>
      </c>
    </row>
    <row r="288" customFormat="false" ht="15" hidden="false" customHeight="false" outlineLevel="0" collapsed="false">
      <c r="A288" s="28" t="n">
        <v>287</v>
      </c>
      <c r="B288" s="37" t="s">
        <v>784</v>
      </c>
      <c r="C288" s="38" t="s">
        <v>2761</v>
      </c>
      <c r="D288" s="38" t="n">
        <v>115</v>
      </c>
    </row>
    <row r="289" customFormat="false" ht="15" hidden="false" customHeight="false" outlineLevel="0" collapsed="false">
      <c r="A289" s="28" t="n">
        <v>288</v>
      </c>
      <c r="B289" s="37" t="s">
        <v>785</v>
      </c>
      <c r="C289" s="38" t="s">
        <v>2762</v>
      </c>
      <c r="D289" s="38" t="n">
        <v>103</v>
      </c>
    </row>
    <row r="290" customFormat="false" ht="15" hidden="false" customHeight="false" outlineLevel="0" collapsed="false">
      <c r="A290" s="28" t="n">
        <v>289</v>
      </c>
      <c r="B290" s="37" t="s">
        <v>786</v>
      </c>
      <c r="C290" s="38" t="s">
        <v>2763</v>
      </c>
      <c r="D290" s="38" t="n">
        <v>97</v>
      </c>
    </row>
    <row r="291" customFormat="false" ht="15" hidden="false" customHeight="false" outlineLevel="0" collapsed="false">
      <c r="A291" s="28" t="n">
        <v>290</v>
      </c>
      <c r="B291" s="37" t="s">
        <v>787</v>
      </c>
      <c r="C291" s="38" t="s">
        <v>2764</v>
      </c>
      <c r="D291" s="38" t="n">
        <v>102</v>
      </c>
    </row>
    <row r="292" customFormat="false" ht="15" hidden="false" customHeight="false" outlineLevel="0" collapsed="false">
      <c r="A292" s="28" t="n">
        <v>291</v>
      </c>
      <c r="B292" s="37" t="s">
        <v>789</v>
      </c>
      <c r="C292" s="38" t="s">
        <v>2765</v>
      </c>
      <c r="D292" s="38" t="n">
        <v>106</v>
      </c>
    </row>
    <row r="293" customFormat="false" ht="15" hidden="false" customHeight="false" outlineLevel="0" collapsed="false">
      <c r="A293" s="28" t="n">
        <v>292</v>
      </c>
      <c r="B293" s="37" t="s">
        <v>790</v>
      </c>
      <c r="C293" s="38" t="s">
        <v>2766</v>
      </c>
      <c r="D293" s="38" t="n">
        <v>100</v>
      </c>
    </row>
    <row r="294" customFormat="false" ht="15" hidden="false" customHeight="false" outlineLevel="0" collapsed="false">
      <c r="A294" s="28" t="n">
        <v>293</v>
      </c>
      <c r="B294" s="37" t="s">
        <v>791</v>
      </c>
      <c r="C294" s="38" t="s">
        <v>2767</v>
      </c>
      <c r="D294" s="38" t="n">
        <v>97</v>
      </c>
    </row>
    <row r="295" customFormat="false" ht="15" hidden="false" customHeight="false" outlineLevel="0" collapsed="false">
      <c r="A295" s="28" t="n">
        <v>294</v>
      </c>
      <c r="B295" s="37" t="s">
        <v>792</v>
      </c>
      <c r="C295" s="38" t="s">
        <v>2768</v>
      </c>
      <c r="D295" s="38" t="n">
        <v>100</v>
      </c>
    </row>
    <row r="296" customFormat="false" ht="15" hidden="false" customHeight="false" outlineLevel="0" collapsed="false">
      <c r="A296" s="28" t="n">
        <v>295</v>
      </c>
      <c r="B296" s="37" t="s">
        <v>793</v>
      </c>
      <c r="C296" s="38" t="s">
        <v>2769</v>
      </c>
      <c r="D296" s="38" t="n">
        <v>101</v>
      </c>
    </row>
    <row r="297" customFormat="false" ht="15" hidden="false" customHeight="false" outlineLevel="0" collapsed="false">
      <c r="A297" s="28" t="n">
        <v>296</v>
      </c>
      <c r="B297" s="37" t="s">
        <v>2770</v>
      </c>
      <c r="C297" s="38" t="s">
        <v>2616</v>
      </c>
      <c r="D297" s="38" t="n">
        <v>71</v>
      </c>
    </row>
    <row r="298" customFormat="false" ht="15" hidden="false" customHeight="false" outlineLevel="0" collapsed="false">
      <c r="A298" s="28" t="n">
        <v>297</v>
      </c>
      <c r="B298" s="37" t="s">
        <v>794</v>
      </c>
      <c r="C298" s="38" t="s">
        <v>2771</v>
      </c>
      <c r="D298" s="38" t="n">
        <v>97</v>
      </c>
    </row>
    <row r="299" customFormat="false" ht="15" hidden="false" customHeight="false" outlineLevel="0" collapsed="false">
      <c r="A299" s="28" t="n">
        <v>298</v>
      </c>
      <c r="B299" s="37" t="s">
        <v>796</v>
      </c>
      <c r="C299" s="38" t="s">
        <v>2772</v>
      </c>
      <c r="D299" s="38" t="n">
        <v>111</v>
      </c>
    </row>
    <row r="300" customFormat="false" ht="15" hidden="false" customHeight="false" outlineLevel="0" collapsed="false">
      <c r="A300" s="28" t="n">
        <v>299</v>
      </c>
      <c r="B300" s="37" t="s">
        <v>797</v>
      </c>
      <c r="C300" s="38" t="s">
        <v>2773</v>
      </c>
      <c r="D300" s="38" t="n">
        <v>98</v>
      </c>
    </row>
    <row r="301" customFormat="false" ht="15" hidden="false" customHeight="false" outlineLevel="0" collapsed="false">
      <c r="A301" s="28" t="n">
        <v>300</v>
      </c>
      <c r="B301" s="37" t="s">
        <v>798</v>
      </c>
      <c r="C301" s="38" t="s">
        <v>2774</v>
      </c>
      <c r="D301" s="38" t="n">
        <v>97</v>
      </c>
    </row>
    <row r="302" customFormat="false" ht="15" hidden="false" customHeight="false" outlineLevel="0" collapsed="false">
      <c r="A302" s="28" t="n">
        <v>301</v>
      </c>
      <c r="B302" s="37" t="s">
        <v>799</v>
      </c>
      <c r="C302" s="38" t="s">
        <v>2775</v>
      </c>
      <c r="D302" s="38" t="n">
        <v>96</v>
      </c>
    </row>
    <row r="303" customFormat="false" ht="15" hidden="false" customHeight="false" outlineLevel="0" collapsed="false">
      <c r="A303" s="28" t="n">
        <v>302</v>
      </c>
      <c r="B303" s="37" t="s">
        <v>800</v>
      </c>
      <c r="C303" s="38" t="s">
        <v>2599</v>
      </c>
      <c r="D303" s="38" t="n">
        <v>75</v>
      </c>
    </row>
    <row r="304" customFormat="false" ht="15" hidden="false" customHeight="false" outlineLevel="0" collapsed="false">
      <c r="A304" s="28" t="n">
        <v>303</v>
      </c>
      <c r="B304" s="37" t="s">
        <v>801</v>
      </c>
      <c r="C304" s="38" t="s">
        <v>2776</v>
      </c>
      <c r="D304" s="38" t="n">
        <v>102</v>
      </c>
    </row>
    <row r="305" customFormat="false" ht="15" hidden="false" customHeight="false" outlineLevel="0" collapsed="false">
      <c r="A305" s="28" t="n">
        <v>304</v>
      </c>
      <c r="B305" s="37" t="s">
        <v>802</v>
      </c>
      <c r="C305" s="38" t="s">
        <v>2777</v>
      </c>
      <c r="D305" s="38" t="n">
        <v>102</v>
      </c>
    </row>
    <row r="306" customFormat="false" ht="15" hidden="false" customHeight="false" outlineLevel="0" collapsed="false">
      <c r="A306" s="28" t="n">
        <v>305</v>
      </c>
      <c r="B306" s="37" t="s">
        <v>803</v>
      </c>
      <c r="C306" s="38" t="s">
        <v>2778</v>
      </c>
      <c r="D306" s="38" t="n">
        <v>101</v>
      </c>
    </row>
    <row r="307" customFormat="false" ht="15" hidden="false" customHeight="false" outlineLevel="0" collapsed="false">
      <c r="A307" s="28" t="n">
        <v>306</v>
      </c>
      <c r="B307" s="37" t="s">
        <v>804</v>
      </c>
      <c r="C307" s="38" t="s">
        <v>2779</v>
      </c>
      <c r="D307" s="38" t="n">
        <v>94</v>
      </c>
    </row>
    <row r="308" customFormat="false" ht="15" hidden="false" customHeight="false" outlineLevel="0" collapsed="false">
      <c r="A308" s="28" t="n">
        <v>307</v>
      </c>
      <c r="B308" s="37" t="s">
        <v>806</v>
      </c>
      <c r="C308" s="38" t="s">
        <v>2780</v>
      </c>
      <c r="D308" s="38" t="n">
        <v>93</v>
      </c>
    </row>
    <row r="309" customFormat="false" ht="15" hidden="false" customHeight="false" outlineLevel="0" collapsed="false">
      <c r="A309" s="28" t="n">
        <v>308</v>
      </c>
      <c r="B309" s="37" t="s">
        <v>807</v>
      </c>
      <c r="C309" s="38" t="s">
        <v>2781</v>
      </c>
      <c r="D309" s="38" t="n">
        <v>101</v>
      </c>
    </row>
    <row r="310" customFormat="false" ht="15" hidden="false" customHeight="false" outlineLevel="0" collapsed="false">
      <c r="A310" s="28" t="n">
        <v>309</v>
      </c>
      <c r="B310" s="37" t="s">
        <v>808</v>
      </c>
      <c r="C310" s="38" t="s">
        <v>2782</v>
      </c>
      <c r="D310" s="38" t="n">
        <v>103</v>
      </c>
    </row>
    <row r="311" customFormat="false" ht="15" hidden="false" customHeight="false" outlineLevel="0" collapsed="false">
      <c r="A311" s="28" t="n">
        <v>310</v>
      </c>
      <c r="B311" s="37" t="s">
        <v>809</v>
      </c>
      <c r="C311" s="38" t="s">
        <v>2783</v>
      </c>
      <c r="D311" s="38" t="n">
        <v>80</v>
      </c>
    </row>
    <row r="312" customFormat="false" ht="15" hidden="false" customHeight="false" outlineLevel="0" collapsed="false">
      <c r="A312" s="28" t="n">
        <v>311</v>
      </c>
      <c r="B312" s="37" t="s">
        <v>810</v>
      </c>
      <c r="C312" s="38" t="s">
        <v>2784</v>
      </c>
      <c r="D312" s="38" t="n">
        <v>75</v>
      </c>
    </row>
    <row r="313" customFormat="false" ht="15" hidden="false" customHeight="false" outlineLevel="0" collapsed="false">
      <c r="A313" s="28" t="n">
        <v>312</v>
      </c>
      <c r="B313" s="37" t="s">
        <v>811</v>
      </c>
      <c r="C313" s="38" t="s">
        <v>2785</v>
      </c>
      <c r="D313" s="38" t="n">
        <v>103</v>
      </c>
    </row>
    <row r="314" customFormat="false" ht="15" hidden="false" customHeight="false" outlineLevel="0" collapsed="false">
      <c r="A314" s="28" t="n">
        <v>313</v>
      </c>
      <c r="B314" s="37" t="s">
        <v>813</v>
      </c>
      <c r="C314" s="38" t="s">
        <v>2786</v>
      </c>
      <c r="D314" s="38" t="n">
        <v>100</v>
      </c>
    </row>
    <row r="315" customFormat="false" ht="15" hidden="false" customHeight="false" outlineLevel="0" collapsed="false">
      <c r="A315" s="28" t="n">
        <v>314</v>
      </c>
      <c r="B315" s="37" t="s">
        <v>814</v>
      </c>
      <c r="C315" s="38" t="s">
        <v>2787</v>
      </c>
      <c r="D315" s="38" t="n">
        <v>104</v>
      </c>
    </row>
    <row r="316" customFormat="false" ht="15" hidden="false" customHeight="false" outlineLevel="0" collapsed="false">
      <c r="A316" s="28" t="n">
        <v>315</v>
      </c>
      <c r="B316" s="37" t="s">
        <v>815</v>
      </c>
      <c r="C316" s="38" t="s">
        <v>2788</v>
      </c>
      <c r="D316" s="38" t="n">
        <v>101</v>
      </c>
    </row>
    <row r="317" customFormat="false" ht="15" hidden="false" customHeight="false" outlineLevel="0" collapsed="false">
      <c r="A317" s="28" t="n">
        <v>316</v>
      </c>
      <c r="B317" s="37" t="s">
        <v>816</v>
      </c>
      <c r="C317" s="38" t="s">
        <v>2789</v>
      </c>
      <c r="D317" s="38" t="n">
        <v>107</v>
      </c>
    </row>
    <row r="318" customFormat="false" ht="15" hidden="false" customHeight="false" outlineLevel="0" collapsed="false">
      <c r="A318" s="28" t="n">
        <v>317</v>
      </c>
      <c r="B318" s="37" t="s">
        <v>817</v>
      </c>
      <c r="C318" s="38" t="s">
        <v>2790</v>
      </c>
      <c r="D318" s="38" t="n">
        <v>97</v>
      </c>
    </row>
    <row r="319" customFormat="false" ht="15" hidden="false" customHeight="false" outlineLevel="0" collapsed="false">
      <c r="A319" s="28" t="n">
        <v>318</v>
      </c>
      <c r="B319" s="37" t="s">
        <v>818</v>
      </c>
      <c r="C319" s="38" t="s">
        <v>2791</v>
      </c>
      <c r="D319" s="38" t="n">
        <v>104</v>
      </c>
    </row>
    <row r="320" customFormat="false" ht="15" hidden="false" customHeight="false" outlineLevel="0" collapsed="false">
      <c r="A320" s="28" t="n">
        <v>319</v>
      </c>
      <c r="B320" s="37" t="s">
        <v>819</v>
      </c>
      <c r="C320" s="38" t="s">
        <v>2792</v>
      </c>
      <c r="D320" s="38" t="n">
        <v>101</v>
      </c>
    </row>
    <row r="321" customFormat="false" ht="15" hidden="false" customHeight="false" outlineLevel="0" collapsed="false">
      <c r="A321" s="28" t="n">
        <v>320</v>
      </c>
      <c r="B321" s="37" t="s">
        <v>820</v>
      </c>
      <c r="C321" s="38" t="s">
        <v>2793</v>
      </c>
      <c r="D321" s="38" t="n">
        <v>100</v>
      </c>
    </row>
    <row r="322" customFormat="false" ht="15" hidden="false" customHeight="false" outlineLevel="0" collapsed="false">
      <c r="A322" s="28" t="n">
        <v>321</v>
      </c>
      <c r="B322" s="37" t="s">
        <v>821</v>
      </c>
      <c r="C322" s="38" t="s">
        <v>2794</v>
      </c>
      <c r="D322" s="38" t="n">
        <v>93</v>
      </c>
    </row>
    <row r="323" customFormat="false" ht="15" hidden="false" customHeight="false" outlineLevel="0" collapsed="false">
      <c r="A323" s="28" t="n">
        <v>322</v>
      </c>
      <c r="B323" s="37" t="s">
        <v>822</v>
      </c>
      <c r="C323" s="38" t="s">
        <v>2795</v>
      </c>
      <c r="D323" s="38" t="n">
        <v>103</v>
      </c>
    </row>
    <row r="324" customFormat="false" ht="15" hidden="false" customHeight="false" outlineLevel="0" collapsed="false">
      <c r="A324" s="28" t="n">
        <v>323</v>
      </c>
      <c r="B324" s="37" t="s">
        <v>823</v>
      </c>
      <c r="C324" s="38" t="s">
        <v>2796</v>
      </c>
      <c r="D324" s="38" t="n">
        <v>102</v>
      </c>
    </row>
    <row r="325" customFormat="false" ht="15" hidden="false" customHeight="false" outlineLevel="0" collapsed="false">
      <c r="A325" s="28" t="n">
        <v>324</v>
      </c>
      <c r="B325" s="37" t="s">
        <v>824</v>
      </c>
      <c r="C325" s="38" t="s">
        <v>2797</v>
      </c>
      <c r="D325" s="38" t="n">
        <v>96</v>
      </c>
    </row>
    <row r="326" customFormat="false" ht="15" hidden="false" customHeight="false" outlineLevel="0" collapsed="false">
      <c r="A326" s="28" t="n">
        <v>325</v>
      </c>
      <c r="B326" s="37" t="s">
        <v>825</v>
      </c>
      <c r="C326" s="38" t="s">
        <v>2798</v>
      </c>
      <c r="D326" s="38" t="n">
        <v>100</v>
      </c>
    </row>
    <row r="327" customFormat="false" ht="15" hidden="false" customHeight="false" outlineLevel="0" collapsed="false">
      <c r="A327" s="28" t="n">
        <v>326</v>
      </c>
      <c r="B327" s="37" t="s">
        <v>826</v>
      </c>
      <c r="C327" s="38" t="s">
        <v>2799</v>
      </c>
      <c r="D327" s="38" t="n">
        <v>96</v>
      </c>
    </row>
    <row r="328" customFormat="false" ht="15" hidden="false" customHeight="false" outlineLevel="0" collapsed="false">
      <c r="A328" s="28" t="n">
        <v>327</v>
      </c>
      <c r="B328" s="37" t="s">
        <v>827</v>
      </c>
      <c r="C328" s="38" t="s">
        <v>2800</v>
      </c>
      <c r="D328" s="38" t="n">
        <v>101</v>
      </c>
    </row>
    <row r="329" customFormat="false" ht="15" hidden="false" customHeight="false" outlineLevel="0" collapsed="false">
      <c r="A329" s="28" t="n">
        <v>328</v>
      </c>
      <c r="B329" s="37" t="s">
        <v>828</v>
      </c>
      <c r="C329" s="38" t="s">
        <v>2801</v>
      </c>
      <c r="D329" s="38" t="n">
        <v>101</v>
      </c>
    </row>
    <row r="330" customFormat="false" ht="15" hidden="false" customHeight="false" outlineLevel="0" collapsed="false">
      <c r="A330" s="28" t="n">
        <v>329</v>
      </c>
      <c r="B330" s="37" t="s">
        <v>829</v>
      </c>
      <c r="C330" s="38" t="s">
        <v>2802</v>
      </c>
      <c r="D330" s="38" t="n">
        <v>109</v>
      </c>
    </row>
    <row r="331" customFormat="false" ht="15" hidden="false" customHeight="false" outlineLevel="0" collapsed="false">
      <c r="A331" s="28" t="n">
        <v>330</v>
      </c>
      <c r="B331" s="37" t="s">
        <v>830</v>
      </c>
      <c r="C331" s="38" t="s">
        <v>2803</v>
      </c>
      <c r="D331" s="38" t="n">
        <v>104</v>
      </c>
    </row>
    <row r="332" customFormat="false" ht="15" hidden="false" customHeight="false" outlineLevel="0" collapsed="false">
      <c r="A332" s="28" t="n">
        <v>331</v>
      </c>
      <c r="B332" s="37" t="s">
        <v>831</v>
      </c>
      <c r="C332" s="38" t="s">
        <v>2804</v>
      </c>
      <c r="D332" s="38" t="n">
        <v>104</v>
      </c>
    </row>
    <row r="333" customFormat="false" ht="15" hidden="false" customHeight="false" outlineLevel="0" collapsed="false">
      <c r="A333" s="28" t="n">
        <v>332</v>
      </c>
      <c r="B333" s="37" t="s">
        <v>832</v>
      </c>
      <c r="C333" s="38" t="s">
        <v>2805</v>
      </c>
      <c r="D333" s="38" t="n">
        <v>101</v>
      </c>
    </row>
    <row r="334" customFormat="false" ht="15" hidden="false" customHeight="false" outlineLevel="0" collapsed="false">
      <c r="A334" s="28" t="n">
        <v>333</v>
      </c>
      <c r="B334" s="37" t="s">
        <v>833</v>
      </c>
      <c r="C334" s="38" t="s">
        <v>2806</v>
      </c>
      <c r="D334" s="38" t="n">
        <v>100</v>
      </c>
    </row>
    <row r="335" customFormat="false" ht="15" hidden="false" customHeight="false" outlineLevel="0" collapsed="false">
      <c r="A335" s="28" t="n">
        <v>334</v>
      </c>
      <c r="B335" s="37" t="s">
        <v>834</v>
      </c>
      <c r="C335" s="38" t="s">
        <v>2807</v>
      </c>
      <c r="D335" s="38" t="n">
        <v>113</v>
      </c>
    </row>
    <row r="336" customFormat="false" ht="15" hidden="false" customHeight="false" outlineLevel="0" collapsed="false">
      <c r="A336" s="28" t="n">
        <v>335</v>
      </c>
      <c r="B336" s="37" t="s">
        <v>836</v>
      </c>
      <c r="C336" s="38" t="s">
        <v>2808</v>
      </c>
      <c r="D336" s="38" t="n">
        <v>95</v>
      </c>
    </row>
    <row r="337" customFormat="false" ht="15" hidden="false" customHeight="false" outlineLevel="0" collapsed="false">
      <c r="A337" s="28" t="n">
        <v>336</v>
      </c>
      <c r="B337" s="37" t="s">
        <v>838</v>
      </c>
      <c r="C337" s="38" t="s">
        <v>2809</v>
      </c>
      <c r="D337" s="38" t="n">
        <v>97</v>
      </c>
    </row>
    <row r="338" customFormat="false" ht="15" hidden="false" customHeight="false" outlineLevel="0" collapsed="false">
      <c r="A338" s="28" t="n">
        <v>337</v>
      </c>
      <c r="B338" s="37" t="s">
        <v>839</v>
      </c>
      <c r="C338" s="38" t="s">
        <v>2810</v>
      </c>
      <c r="D338" s="38" t="n">
        <v>102</v>
      </c>
    </row>
    <row r="339" customFormat="false" ht="15" hidden="false" customHeight="false" outlineLevel="0" collapsed="false">
      <c r="A339" s="28" t="n">
        <v>338</v>
      </c>
      <c r="B339" s="37" t="s">
        <v>841</v>
      </c>
      <c r="C339" s="38" t="s">
        <v>2811</v>
      </c>
      <c r="D339" s="38" t="n">
        <v>93</v>
      </c>
    </row>
    <row r="340" customFormat="false" ht="15" hidden="false" customHeight="false" outlineLevel="0" collapsed="false">
      <c r="A340" s="28" t="n">
        <v>339</v>
      </c>
      <c r="B340" s="37" t="s">
        <v>843</v>
      </c>
      <c r="C340" s="38" t="s">
        <v>2812</v>
      </c>
      <c r="D340" s="38" t="n">
        <v>95</v>
      </c>
    </row>
    <row r="341" customFormat="false" ht="15" hidden="false" customHeight="false" outlineLevel="0" collapsed="false">
      <c r="A341" s="28" t="n">
        <v>340</v>
      </c>
      <c r="B341" s="37" t="s">
        <v>844</v>
      </c>
      <c r="C341" s="38" t="s">
        <v>2813</v>
      </c>
      <c r="D341" s="38" t="n">
        <v>101</v>
      </c>
    </row>
    <row r="342" customFormat="false" ht="15" hidden="false" customHeight="false" outlineLevel="0" collapsed="false">
      <c r="A342" s="28" t="n">
        <v>341</v>
      </c>
      <c r="B342" s="37" t="s">
        <v>845</v>
      </c>
      <c r="C342" s="38" t="s">
        <v>2814</v>
      </c>
      <c r="D342" s="38" t="n">
        <v>96</v>
      </c>
    </row>
    <row r="343" customFormat="false" ht="15" hidden="false" customHeight="false" outlineLevel="0" collapsed="false">
      <c r="A343" s="28" t="n">
        <v>342</v>
      </c>
      <c r="B343" s="37" t="s">
        <v>846</v>
      </c>
      <c r="C343" s="38" t="s">
        <v>2815</v>
      </c>
      <c r="D343" s="38" t="n">
        <v>98</v>
      </c>
    </row>
    <row r="344" customFormat="false" ht="15" hidden="false" customHeight="false" outlineLevel="0" collapsed="false">
      <c r="A344" s="28" t="n">
        <v>343</v>
      </c>
      <c r="B344" s="37" t="s">
        <v>848</v>
      </c>
      <c r="C344" s="38" t="s">
        <v>2816</v>
      </c>
      <c r="D344" s="38" t="n">
        <v>101</v>
      </c>
    </row>
    <row r="345" customFormat="false" ht="15" hidden="false" customHeight="false" outlineLevel="0" collapsed="false">
      <c r="A345" s="28" t="n">
        <v>344</v>
      </c>
      <c r="B345" s="37" t="s">
        <v>849</v>
      </c>
      <c r="C345" s="38" t="s">
        <v>2817</v>
      </c>
      <c r="D345" s="38" t="n">
        <v>91</v>
      </c>
    </row>
    <row r="346" customFormat="false" ht="15" hidden="false" customHeight="false" outlineLevel="0" collapsed="false">
      <c r="A346" s="28" t="n">
        <v>345</v>
      </c>
      <c r="B346" s="37" t="s">
        <v>851</v>
      </c>
      <c r="C346" s="38" t="s">
        <v>2818</v>
      </c>
      <c r="D346" s="38" t="n">
        <v>91</v>
      </c>
    </row>
    <row r="347" customFormat="false" ht="15" hidden="false" customHeight="false" outlineLevel="0" collapsed="false">
      <c r="A347" s="28" t="n">
        <v>346</v>
      </c>
      <c r="B347" s="37" t="s">
        <v>852</v>
      </c>
      <c r="C347" s="38" t="s">
        <v>2819</v>
      </c>
      <c r="D347" s="38" t="n">
        <v>71</v>
      </c>
    </row>
    <row r="348" customFormat="false" ht="15" hidden="false" customHeight="false" outlineLevel="0" collapsed="false">
      <c r="A348" s="28" t="n">
        <v>347</v>
      </c>
      <c r="B348" s="37" t="s">
        <v>853</v>
      </c>
      <c r="C348" s="38" t="s">
        <v>2820</v>
      </c>
      <c r="D348" s="38" t="n">
        <v>80</v>
      </c>
    </row>
    <row r="349" customFormat="false" ht="15" hidden="false" customHeight="false" outlineLevel="0" collapsed="false">
      <c r="A349" s="28" t="n">
        <v>348</v>
      </c>
      <c r="B349" s="37" t="s">
        <v>854</v>
      </c>
      <c r="C349" s="38" t="s">
        <v>2821</v>
      </c>
      <c r="D349" s="38" t="n">
        <v>95</v>
      </c>
    </row>
    <row r="350" customFormat="false" ht="15" hidden="false" customHeight="false" outlineLevel="0" collapsed="false">
      <c r="A350" s="28" t="n">
        <v>349</v>
      </c>
      <c r="B350" s="37" t="s">
        <v>855</v>
      </c>
      <c r="C350" s="38" t="s">
        <v>2822</v>
      </c>
      <c r="D350" s="38" t="n">
        <v>99</v>
      </c>
    </row>
    <row r="351" customFormat="false" ht="15" hidden="false" customHeight="false" outlineLevel="0" collapsed="false">
      <c r="A351" s="28" t="n">
        <v>350</v>
      </c>
      <c r="B351" s="37" t="s">
        <v>856</v>
      </c>
      <c r="C351" s="38" t="s">
        <v>2823</v>
      </c>
      <c r="D351" s="38" t="n">
        <v>100</v>
      </c>
    </row>
    <row r="352" customFormat="false" ht="15" hidden="false" customHeight="false" outlineLevel="0" collapsed="false">
      <c r="A352" s="28" t="n">
        <v>351</v>
      </c>
      <c r="B352" s="37" t="s">
        <v>857</v>
      </c>
      <c r="C352" s="38" t="s">
        <v>2824</v>
      </c>
      <c r="D352" s="38" t="n">
        <v>101</v>
      </c>
    </row>
    <row r="353" customFormat="false" ht="15" hidden="false" customHeight="false" outlineLevel="0" collapsed="false">
      <c r="A353" s="28" t="n">
        <v>352</v>
      </c>
      <c r="B353" s="37" t="s">
        <v>858</v>
      </c>
      <c r="C353" s="38" t="s">
        <v>2825</v>
      </c>
      <c r="D353" s="38" t="n">
        <v>100</v>
      </c>
    </row>
    <row r="354" customFormat="false" ht="15" hidden="false" customHeight="false" outlineLevel="0" collapsed="false">
      <c r="A354" s="28" t="n">
        <v>353</v>
      </c>
      <c r="B354" s="37" t="s">
        <v>859</v>
      </c>
      <c r="C354" s="38" t="s">
        <v>2826</v>
      </c>
      <c r="D354" s="38" t="n">
        <v>87</v>
      </c>
    </row>
    <row r="355" customFormat="false" ht="15" hidden="false" customHeight="false" outlineLevel="0" collapsed="false">
      <c r="A355" s="28" t="n">
        <v>354</v>
      </c>
      <c r="B355" s="37" t="s">
        <v>860</v>
      </c>
      <c r="C355" s="38" t="s">
        <v>2827</v>
      </c>
      <c r="D355" s="38" t="n">
        <v>94</v>
      </c>
    </row>
    <row r="356" customFormat="false" ht="15" hidden="false" customHeight="false" outlineLevel="0" collapsed="false">
      <c r="A356" s="28" t="n">
        <v>355</v>
      </c>
      <c r="B356" s="37" t="s">
        <v>861</v>
      </c>
      <c r="C356" s="38" t="s">
        <v>2828</v>
      </c>
      <c r="D356" s="38" t="n">
        <v>101</v>
      </c>
    </row>
    <row r="357" customFormat="false" ht="15" hidden="false" customHeight="false" outlineLevel="0" collapsed="false">
      <c r="A357" s="28" t="n">
        <v>356</v>
      </c>
      <c r="B357" s="37" t="s">
        <v>862</v>
      </c>
      <c r="C357" s="38" t="s">
        <v>2829</v>
      </c>
      <c r="D357" s="38" t="n">
        <v>98</v>
      </c>
    </row>
    <row r="358" customFormat="false" ht="15" hidden="false" customHeight="false" outlineLevel="0" collapsed="false">
      <c r="A358" s="28" t="n">
        <v>357</v>
      </c>
      <c r="B358" s="37" t="s">
        <v>864</v>
      </c>
      <c r="C358" s="38" t="s">
        <v>2830</v>
      </c>
      <c r="D358" s="38" t="n">
        <v>107</v>
      </c>
    </row>
    <row r="359" customFormat="false" ht="15" hidden="false" customHeight="false" outlineLevel="0" collapsed="false">
      <c r="A359" s="28" t="n">
        <v>358</v>
      </c>
      <c r="B359" s="37" t="s">
        <v>865</v>
      </c>
      <c r="C359" s="38" t="s">
        <v>2831</v>
      </c>
      <c r="D359" s="38" t="n">
        <v>93</v>
      </c>
    </row>
    <row r="360" customFormat="false" ht="15" hidden="false" customHeight="false" outlineLevel="0" collapsed="false">
      <c r="A360" s="28" t="n">
        <v>359</v>
      </c>
      <c r="B360" s="37" t="s">
        <v>866</v>
      </c>
      <c r="C360" s="38" t="s">
        <v>2832</v>
      </c>
      <c r="D360" s="38" t="n">
        <v>95</v>
      </c>
    </row>
    <row r="361" customFormat="false" ht="15" hidden="false" customHeight="false" outlineLevel="0" collapsed="false">
      <c r="A361" s="28" t="n">
        <v>360</v>
      </c>
      <c r="B361" s="37" t="s">
        <v>868</v>
      </c>
      <c r="C361" s="38" t="s">
        <v>2833</v>
      </c>
      <c r="D361" s="38" t="n">
        <v>95</v>
      </c>
    </row>
    <row r="362" customFormat="false" ht="15" hidden="false" customHeight="false" outlineLevel="0" collapsed="false">
      <c r="A362" s="28" t="n">
        <v>361</v>
      </c>
      <c r="B362" s="37" t="s">
        <v>869</v>
      </c>
      <c r="C362" s="38" t="s">
        <v>2834</v>
      </c>
      <c r="D362" s="38" t="n">
        <v>107</v>
      </c>
    </row>
    <row r="363" customFormat="false" ht="15" hidden="false" customHeight="false" outlineLevel="0" collapsed="false">
      <c r="A363" s="28" t="n">
        <v>362</v>
      </c>
      <c r="B363" s="37" t="s">
        <v>870</v>
      </c>
      <c r="C363" s="38" t="s">
        <v>2835</v>
      </c>
      <c r="D363" s="38" t="n">
        <v>100</v>
      </c>
    </row>
    <row r="364" customFormat="false" ht="15" hidden="false" customHeight="false" outlineLevel="0" collapsed="false">
      <c r="A364" s="28" t="n">
        <v>363</v>
      </c>
      <c r="B364" s="37" t="s">
        <v>871</v>
      </c>
      <c r="C364" s="38" t="s">
        <v>2836</v>
      </c>
      <c r="D364" s="38" t="n">
        <v>101</v>
      </c>
    </row>
    <row r="365" customFormat="false" ht="15" hidden="false" customHeight="false" outlineLevel="0" collapsed="false">
      <c r="A365" s="28" t="n">
        <v>364</v>
      </c>
      <c r="B365" s="37" t="s">
        <v>872</v>
      </c>
      <c r="C365" s="38" t="s">
        <v>2837</v>
      </c>
      <c r="D365" s="38" t="n">
        <v>91</v>
      </c>
    </row>
    <row r="366" customFormat="false" ht="15" hidden="false" customHeight="false" outlineLevel="0" collapsed="false">
      <c r="A366" s="28" t="n">
        <v>365</v>
      </c>
      <c r="B366" s="37" t="s">
        <v>873</v>
      </c>
      <c r="C366" s="38" t="s">
        <v>2838</v>
      </c>
      <c r="D366" s="38" t="n">
        <v>95</v>
      </c>
    </row>
    <row r="367" customFormat="false" ht="15" hidden="false" customHeight="false" outlineLevel="0" collapsed="false">
      <c r="A367" s="28" t="n">
        <v>366</v>
      </c>
      <c r="B367" s="37" t="s">
        <v>874</v>
      </c>
      <c r="C367" s="38" t="s">
        <v>2839</v>
      </c>
      <c r="D367" s="38" t="n">
        <v>97</v>
      </c>
    </row>
    <row r="368" customFormat="false" ht="15" hidden="false" customHeight="false" outlineLevel="0" collapsed="false">
      <c r="A368" s="28" t="n">
        <v>367</v>
      </c>
      <c r="B368" s="37" t="s">
        <v>875</v>
      </c>
      <c r="C368" s="38" t="s">
        <v>2840</v>
      </c>
      <c r="D368" s="38" t="n">
        <v>94</v>
      </c>
    </row>
    <row r="369" customFormat="false" ht="15" hidden="false" customHeight="false" outlineLevel="0" collapsed="false">
      <c r="A369" s="28" t="n">
        <v>368</v>
      </c>
      <c r="B369" s="37" t="s">
        <v>876</v>
      </c>
      <c r="C369" s="38" t="s">
        <v>2841</v>
      </c>
      <c r="D369" s="38" t="n">
        <v>105</v>
      </c>
    </row>
    <row r="370" customFormat="false" ht="15" hidden="false" customHeight="false" outlineLevel="0" collapsed="false">
      <c r="A370" s="28" t="n">
        <v>369</v>
      </c>
      <c r="B370" s="37" t="s">
        <v>877</v>
      </c>
      <c r="C370" s="38" t="s">
        <v>2842</v>
      </c>
      <c r="D370" s="38" t="n">
        <v>93</v>
      </c>
    </row>
    <row r="371" customFormat="false" ht="15" hidden="false" customHeight="false" outlineLevel="0" collapsed="false">
      <c r="A371" s="28" t="n">
        <v>370</v>
      </c>
      <c r="B371" s="37" t="s">
        <v>879</v>
      </c>
      <c r="C371" s="38" t="s">
        <v>2843</v>
      </c>
      <c r="D371" s="38" t="n">
        <v>97</v>
      </c>
    </row>
    <row r="372" customFormat="false" ht="15" hidden="false" customHeight="false" outlineLevel="0" collapsed="false">
      <c r="A372" s="28" t="n">
        <v>371</v>
      </c>
      <c r="B372" s="37" t="s">
        <v>880</v>
      </c>
      <c r="C372" s="38" t="s">
        <v>2844</v>
      </c>
      <c r="D372" s="38" t="n">
        <v>98</v>
      </c>
    </row>
    <row r="373" customFormat="false" ht="15" hidden="false" customHeight="false" outlineLevel="0" collapsed="false">
      <c r="A373" s="28" t="n">
        <v>372</v>
      </c>
      <c r="B373" s="37" t="s">
        <v>881</v>
      </c>
      <c r="C373" s="38" t="s">
        <v>2845</v>
      </c>
      <c r="D373" s="38" t="n">
        <v>92</v>
      </c>
    </row>
    <row r="374" customFormat="false" ht="15" hidden="false" customHeight="false" outlineLevel="0" collapsed="false">
      <c r="A374" s="28" t="n">
        <v>373</v>
      </c>
      <c r="B374" s="37" t="s">
        <v>882</v>
      </c>
      <c r="C374" s="38" t="s">
        <v>2846</v>
      </c>
      <c r="D374" s="38" t="n">
        <v>93</v>
      </c>
    </row>
    <row r="375" customFormat="false" ht="15" hidden="false" customHeight="false" outlineLevel="0" collapsed="false">
      <c r="A375" s="28" t="n">
        <v>374</v>
      </c>
      <c r="B375" s="37" t="s">
        <v>883</v>
      </c>
      <c r="C375" s="38" t="s">
        <v>2847</v>
      </c>
      <c r="D375" s="38" t="n">
        <v>97</v>
      </c>
    </row>
    <row r="376" customFormat="false" ht="15" hidden="false" customHeight="false" outlineLevel="0" collapsed="false">
      <c r="A376" s="28" t="n">
        <v>375</v>
      </c>
      <c r="B376" s="37" t="s">
        <v>884</v>
      </c>
      <c r="C376" s="38" t="s">
        <v>2848</v>
      </c>
      <c r="D376" s="38" t="n">
        <v>100</v>
      </c>
    </row>
    <row r="377" customFormat="false" ht="15" hidden="false" customHeight="false" outlineLevel="0" collapsed="false">
      <c r="A377" s="28" t="n">
        <v>376</v>
      </c>
      <c r="B377" s="37" t="s">
        <v>885</v>
      </c>
      <c r="C377" s="38" t="s">
        <v>2849</v>
      </c>
      <c r="D377" s="38" t="n">
        <v>92</v>
      </c>
    </row>
    <row r="378" customFormat="false" ht="15" hidden="false" customHeight="false" outlineLevel="0" collapsed="false">
      <c r="A378" s="28" t="n">
        <v>377</v>
      </c>
      <c r="B378" s="37" t="s">
        <v>886</v>
      </c>
      <c r="C378" s="38" t="s">
        <v>2850</v>
      </c>
      <c r="D378" s="38" t="n">
        <v>96</v>
      </c>
    </row>
    <row r="379" customFormat="false" ht="15" hidden="false" customHeight="false" outlineLevel="0" collapsed="false">
      <c r="A379" s="28" t="n">
        <v>378</v>
      </c>
      <c r="B379" s="37" t="s">
        <v>887</v>
      </c>
      <c r="C379" s="38" t="s">
        <v>2851</v>
      </c>
      <c r="D379" s="38" t="n">
        <v>99</v>
      </c>
    </row>
    <row r="380" customFormat="false" ht="15" hidden="false" customHeight="false" outlineLevel="0" collapsed="false">
      <c r="A380" s="28" t="n">
        <v>379</v>
      </c>
      <c r="B380" s="37" t="s">
        <v>888</v>
      </c>
      <c r="C380" s="38" t="s">
        <v>2852</v>
      </c>
      <c r="D380" s="38" t="n">
        <v>112</v>
      </c>
    </row>
    <row r="381" customFormat="false" ht="15" hidden="false" customHeight="false" outlineLevel="0" collapsed="false">
      <c r="A381" s="28" t="n">
        <v>380</v>
      </c>
      <c r="B381" s="37" t="s">
        <v>889</v>
      </c>
      <c r="C381" s="38" t="s">
        <v>2853</v>
      </c>
      <c r="D381" s="38" t="n">
        <v>104</v>
      </c>
    </row>
    <row r="382" customFormat="false" ht="15" hidden="false" customHeight="false" outlineLevel="0" collapsed="false">
      <c r="A382" s="28" t="n">
        <v>381</v>
      </c>
      <c r="B382" s="37" t="s">
        <v>890</v>
      </c>
      <c r="C382" s="38" t="s">
        <v>2583</v>
      </c>
      <c r="D382" s="38" t="n">
        <v>98</v>
      </c>
    </row>
    <row r="383" customFormat="false" ht="15" hidden="false" customHeight="false" outlineLevel="0" collapsed="false">
      <c r="A383" s="28" t="n">
        <v>382</v>
      </c>
      <c r="B383" s="37" t="s">
        <v>892</v>
      </c>
      <c r="C383" s="38" t="s">
        <v>2854</v>
      </c>
      <c r="D383" s="38" t="n">
        <v>104</v>
      </c>
    </row>
    <row r="384" customFormat="false" ht="15" hidden="false" customHeight="false" outlineLevel="0" collapsed="false">
      <c r="A384" s="28" t="n">
        <v>383</v>
      </c>
      <c r="B384" s="37" t="s">
        <v>893</v>
      </c>
      <c r="C384" s="38" t="s">
        <v>2855</v>
      </c>
      <c r="D384" s="38" t="n">
        <v>73</v>
      </c>
    </row>
    <row r="385" customFormat="false" ht="15" hidden="false" customHeight="false" outlineLevel="0" collapsed="false">
      <c r="A385" s="28" t="n">
        <v>384</v>
      </c>
      <c r="B385" s="37" t="s">
        <v>895</v>
      </c>
      <c r="C385" s="38" t="s">
        <v>2856</v>
      </c>
      <c r="D385" s="38" t="n">
        <v>97</v>
      </c>
    </row>
    <row r="386" customFormat="false" ht="15" hidden="false" customHeight="false" outlineLevel="0" collapsed="false">
      <c r="A386" s="28" t="n">
        <v>385</v>
      </c>
      <c r="B386" s="37" t="s">
        <v>896</v>
      </c>
      <c r="C386" s="38" t="s">
        <v>2857</v>
      </c>
      <c r="D386" s="38" t="n">
        <v>103</v>
      </c>
    </row>
    <row r="387" customFormat="false" ht="15" hidden="false" customHeight="false" outlineLevel="0" collapsed="false">
      <c r="A387" s="28" t="n">
        <v>386</v>
      </c>
      <c r="B387" s="37" t="s">
        <v>897</v>
      </c>
      <c r="C387" s="38" t="s">
        <v>2858</v>
      </c>
      <c r="D387" s="38" t="n">
        <v>90</v>
      </c>
    </row>
    <row r="388" customFormat="false" ht="15" hidden="false" customHeight="false" outlineLevel="0" collapsed="false">
      <c r="A388" s="28" t="n">
        <v>387</v>
      </c>
      <c r="B388" s="37" t="s">
        <v>2859</v>
      </c>
      <c r="C388" s="38" t="s">
        <v>2860</v>
      </c>
      <c r="D388" s="38" t="n">
        <v>71</v>
      </c>
    </row>
    <row r="389" customFormat="false" ht="15" hidden="false" customHeight="false" outlineLevel="0" collapsed="false">
      <c r="A389" s="28" t="n">
        <v>388</v>
      </c>
      <c r="B389" s="37" t="s">
        <v>898</v>
      </c>
      <c r="C389" s="38" t="s">
        <v>2861</v>
      </c>
      <c r="D389" s="38" t="n">
        <v>96</v>
      </c>
    </row>
    <row r="390" customFormat="false" ht="15" hidden="false" customHeight="false" outlineLevel="0" collapsed="false">
      <c r="A390" s="28" t="n">
        <v>389</v>
      </c>
      <c r="B390" s="37" t="s">
        <v>899</v>
      </c>
      <c r="C390" s="38" t="s">
        <v>2862</v>
      </c>
      <c r="D390" s="38" t="n">
        <v>103</v>
      </c>
    </row>
    <row r="391" customFormat="false" ht="15" hidden="false" customHeight="false" outlineLevel="0" collapsed="false">
      <c r="A391" s="28" t="n">
        <v>390</v>
      </c>
      <c r="B391" s="37" t="s">
        <v>900</v>
      </c>
      <c r="C391" s="38" t="s">
        <v>2863</v>
      </c>
      <c r="D391" s="38" t="n">
        <v>101</v>
      </c>
    </row>
    <row r="392" customFormat="false" ht="15" hidden="false" customHeight="false" outlineLevel="0" collapsed="false">
      <c r="A392" s="28" t="n">
        <v>391</v>
      </c>
      <c r="B392" s="37" t="s">
        <v>2864</v>
      </c>
      <c r="C392" s="38" t="s">
        <v>2865</v>
      </c>
      <c r="D392" s="38" t="n">
        <v>71</v>
      </c>
    </row>
    <row r="393" customFormat="false" ht="15" hidden="false" customHeight="false" outlineLevel="0" collapsed="false">
      <c r="A393" s="28" t="n">
        <v>392</v>
      </c>
      <c r="B393" s="37" t="s">
        <v>902</v>
      </c>
      <c r="C393" s="38" t="s">
        <v>2866</v>
      </c>
      <c r="D393" s="38" t="n">
        <v>104</v>
      </c>
    </row>
    <row r="394" customFormat="false" ht="15" hidden="false" customHeight="false" outlineLevel="0" collapsed="false">
      <c r="A394" s="28" t="n">
        <v>393</v>
      </c>
      <c r="B394" s="37" t="s">
        <v>906</v>
      </c>
      <c r="C394" s="38" t="s">
        <v>2867</v>
      </c>
      <c r="D394" s="38" t="n">
        <v>96</v>
      </c>
    </row>
    <row r="395" customFormat="false" ht="15" hidden="false" customHeight="false" outlineLevel="0" collapsed="false">
      <c r="A395" s="28" t="n">
        <v>394</v>
      </c>
      <c r="B395" s="37" t="s">
        <v>907</v>
      </c>
      <c r="C395" s="38" t="s">
        <v>2868</v>
      </c>
      <c r="D395" s="38" t="n">
        <v>94</v>
      </c>
    </row>
    <row r="396" customFormat="false" ht="15" hidden="false" customHeight="false" outlineLevel="0" collapsed="false">
      <c r="A396" s="28" t="n">
        <v>395</v>
      </c>
      <c r="B396" s="37" t="s">
        <v>910</v>
      </c>
      <c r="C396" s="38" t="s">
        <v>2869</v>
      </c>
      <c r="D396" s="38" t="n">
        <v>96</v>
      </c>
    </row>
    <row r="397" customFormat="false" ht="15" hidden="false" customHeight="false" outlineLevel="0" collapsed="false">
      <c r="A397" s="28" t="n">
        <v>396</v>
      </c>
      <c r="B397" s="37" t="s">
        <v>911</v>
      </c>
      <c r="C397" s="38" t="s">
        <v>2870</v>
      </c>
      <c r="D397" s="38" t="n">
        <v>95</v>
      </c>
    </row>
    <row r="398" customFormat="false" ht="15" hidden="false" customHeight="false" outlineLevel="0" collapsed="false">
      <c r="A398" s="28" t="n">
        <v>397</v>
      </c>
      <c r="B398" s="37" t="s">
        <v>912</v>
      </c>
      <c r="C398" s="38" t="s">
        <v>2871</v>
      </c>
      <c r="D398" s="38" t="n">
        <v>106</v>
      </c>
    </row>
    <row r="399" customFormat="false" ht="15" hidden="false" customHeight="false" outlineLevel="0" collapsed="false">
      <c r="A399" s="28" t="n">
        <v>398</v>
      </c>
      <c r="B399" s="37" t="s">
        <v>913</v>
      </c>
      <c r="C399" s="38" t="s">
        <v>2872</v>
      </c>
      <c r="D399" s="38" t="n">
        <v>100</v>
      </c>
    </row>
    <row r="400" customFormat="false" ht="15" hidden="false" customHeight="false" outlineLevel="0" collapsed="false">
      <c r="A400" s="28" t="n">
        <v>399</v>
      </c>
      <c r="B400" s="37" t="s">
        <v>916</v>
      </c>
      <c r="C400" s="38" t="s">
        <v>2873</v>
      </c>
      <c r="D400" s="38" t="n">
        <v>90</v>
      </c>
    </row>
    <row r="401" customFormat="false" ht="15" hidden="false" customHeight="false" outlineLevel="0" collapsed="false">
      <c r="A401" s="28" t="n">
        <v>400</v>
      </c>
      <c r="B401" s="37" t="s">
        <v>917</v>
      </c>
      <c r="C401" s="38" t="s">
        <v>2818</v>
      </c>
      <c r="D401" s="38" t="n">
        <v>91</v>
      </c>
    </row>
    <row r="402" customFormat="false" ht="15" hidden="false" customHeight="false" outlineLevel="0" collapsed="false">
      <c r="A402" s="28" t="n">
        <v>401</v>
      </c>
      <c r="B402" s="37" t="s">
        <v>918</v>
      </c>
      <c r="C402" s="38" t="s">
        <v>2874</v>
      </c>
      <c r="D402" s="38" t="n">
        <v>102</v>
      </c>
    </row>
    <row r="403" customFormat="false" ht="15" hidden="false" customHeight="false" outlineLevel="0" collapsed="false">
      <c r="A403" s="28" t="n">
        <v>402</v>
      </c>
      <c r="B403" s="37" t="s">
        <v>919</v>
      </c>
      <c r="C403" s="38" t="s">
        <v>2875</v>
      </c>
      <c r="D403" s="38" t="n">
        <v>99</v>
      </c>
    </row>
    <row r="404" customFormat="false" ht="15" hidden="false" customHeight="false" outlineLevel="0" collapsed="false">
      <c r="A404" s="28" t="n">
        <v>403</v>
      </c>
      <c r="B404" s="37" t="s">
        <v>920</v>
      </c>
      <c r="C404" s="38" t="s">
        <v>2876</v>
      </c>
      <c r="D404" s="38" t="n">
        <v>105</v>
      </c>
    </row>
    <row r="405" customFormat="false" ht="15" hidden="false" customHeight="false" outlineLevel="0" collapsed="false">
      <c r="A405" s="28" t="n">
        <v>404</v>
      </c>
      <c r="B405" s="37" t="s">
        <v>922</v>
      </c>
      <c r="C405" s="38" t="s">
        <v>2877</v>
      </c>
      <c r="D405" s="38" t="n">
        <v>104</v>
      </c>
    </row>
    <row r="406" customFormat="false" ht="15" hidden="false" customHeight="false" outlineLevel="0" collapsed="false">
      <c r="A406" s="28" t="n">
        <v>405</v>
      </c>
      <c r="B406" s="37" t="s">
        <v>924</v>
      </c>
      <c r="C406" s="38" t="s">
        <v>2878</v>
      </c>
      <c r="D406" s="38" t="n">
        <v>102</v>
      </c>
    </row>
    <row r="407" customFormat="false" ht="15" hidden="false" customHeight="false" outlineLevel="0" collapsed="false">
      <c r="A407" s="28" t="n">
        <v>406</v>
      </c>
      <c r="B407" s="37" t="s">
        <v>925</v>
      </c>
      <c r="C407" s="38" t="s">
        <v>2879</v>
      </c>
      <c r="D407" s="38" t="n">
        <v>90</v>
      </c>
    </row>
    <row r="408" customFormat="false" ht="15" hidden="false" customHeight="false" outlineLevel="0" collapsed="false">
      <c r="A408" s="28" t="n">
        <v>407</v>
      </c>
      <c r="B408" s="37" t="s">
        <v>927</v>
      </c>
      <c r="C408" s="38" t="s">
        <v>2880</v>
      </c>
      <c r="D408" s="38" t="n">
        <v>89</v>
      </c>
    </row>
    <row r="409" customFormat="false" ht="15" hidden="false" customHeight="false" outlineLevel="0" collapsed="false">
      <c r="A409" s="28" t="n">
        <v>408</v>
      </c>
      <c r="B409" s="37" t="s">
        <v>928</v>
      </c>
      <c r="C409" s="38" t="s">
        <v>2881</v>
      </c>
      <c r="D409" s="38" t="n">
        <v>92</v>
      </c>
    </row>
    <row r="410" customFormat="false" ht="15" hidden="false" customHeight="false" outlineLevel="0" collapsed="false">
      <c r="A410" s="28" t="n">
        <v>409</v>
      </c>
      <c r="B410" s="37" t="s">
        <v>929</v>
      </c>
      <c r="C410" s="38" t="s">
        <v>2882</v>
      </c>
      <c r="D410" s="38" t="n">
        <v>108</v>
      </c>
    </row>
    <row r="411" customFormat="false" ht="15" hidden="false" customHeight="false" outlineLevel="0" collapsed="false">
      <c r="A411" s="28" t="n">
        <v>410</v>
      </c>
      <c r="B411" s="37" t="s">
        <v>930</v>
      </c>
      <c r="C411" s="38" t="s">
        <v>2883</v>
      </c>
      <c r="D411" s="38" t="n">
        <v>98</v>
      </c>
    </row>
    <row r="412" customFormat="false" ht="15" hidden="false" customHeight="false" outlineLevel="0" collapsed="false">
      <c r="A412" s="28" t="n">
        <v>411</v>
      </c>
      <c r="B412" s="37" t="s">
        <v>931</v>
      </c>
      <c r="C412" s="38" t="s">
        <v>2884</v>
      </c>
      <c r="D412" s="38" t="n">
        <v>96</v>
      </c>
    </row>
    <row r="413" customFormat="false" ht="15" hidden="false" customHeight="false" outlineLevel="0" collapsed="false">
      <c r="A413" s="28" t="n">
        <v>412</v>
      </c>
      <c r="B413" s="37" t="s">
        <v>932</v>
      </c>
      <c r="C413" s="38" t="s">
        <v>2885</v>
      </c>
      <c r="D413" s="38" t="n">
        <v>90</v>
      </c>
    </row>
    <row r="414" customFormat="false" ht="15" hidden="false" customHeight="false" outlineLevel="0" collapsed="false">
      <c r="A414" s="28" t="n">
        <v>413</v>
      </c>
      <c r="B414" s="37" t="s">
        <v>933</v>
      </c>
      <c r="C414" s="38" t="s">
        <v>2886</v>
      </c>
      <c r="D414" s="38" t="n">
        <v>103</v>
      </c>
    </row>
    <row r="415" customFormat="false" ht="15" hidden="false" customHeight="false" outlineLevel="0" collapsed="false">
      <c r="A415" s="28" t="n">
        <v>414</v>
      </c>
      <c r="B415" s="37" t="s">
        <v>934</v>
      </c>
      <c r="C415" s="38" t="s">
        <v>2887</v>
      </c>
      <c r="D415" s="38" t="n">
        <v>106</v>
      </c>
    </row>
    <row r="416" customFormat="false" ht="15" hidden="false" customHeight="false" outlineLevel="0" collapsed="false">
      <c r="A416" s="28" t="n">
        <v>415</v>
      </c>
      <c r="B416" s="37" t="s">
        <v>935</v>
      </c>
      <c r="C416" s="38" t="s">
        <v>2888</v>
      </c>
      <c r="D416" s="38" t="n">
        <v>104</v>
      </c>
    </row>
    <row r="417" customFormat="false" ht="15" hidden="false" customHeight="false" outlineLevel="0" collapsed="false">
      <c r="A417" s="28" t="n">
        <v>416</v>
      </c>
      <c r="B417" s="37" t="s">
        <v>937</v>
      </c>
      <c r="C417" s="38" t="s">
        <v>2889</v>
      </c>
      <c r="D417" s="38" t="n">
        <v>98</v>
      </c>
    </row>
    <row r="418" customFormat="false" ht="15" hidden="false" customHeight="false" outlineLevel="0" collapsed="false">
      <c r="A418" s="28" t="n">
        <v>417</v>
      </c>
      <c r="B418" s="37" t="s">
        <v>2447</v>
      </c>
      <c r="C418" s="38" t="s">
        <v>2890</v>
      </c>
      <c r="D418" s="38" t="n">
        <v>77</v>
      </c>
    </row>
    <row r="419" customFormat="false" ht="15" hidden="false" customHeight="false" outlineLevel="0" collapsed="false">
      <c r="A419" s="28" t="n">
        <v>418</v>
      </c>
      <c r="B419" s="37" t="s">
        <v>938</v>
      </c>
      <c r="C419" s="38" t="s">
        <v>2891</v>
      </c>
      <c r="D419" s="38" t="n">
        <v>112</v>
      </c>
    </row>
    <row r="420" customFormat="false" ht="15" hidden="false" customHeight="false" outlineLevel="0" collapsed="false">
      <c r="A420" s="28" t="n">
        <v>419</v>
      </c>
      <c r="B420" s="37" t="s">
        <v>939</v>
      </c>
      <c r="C420" s="38" t="s">
        <v>2892</v>
      </c>
      <c r="D420" s="38" t="n">
        <v>101</v>
      </c>
    </row>
    <row r="421" customFormat="false" ht="15" hidden="false" customHeight="false" outlineLevel="0" collapsed="false">
      <c r="A421" s="28" t="n">
        <v>420</v>
      </c>
      <c r="B421" s="37" t="s">
        <v>940</v>
      </c>
      <c r="C421" s="38" t="s">
        <v>2893</v>
      </c>
      <c r="D421" s="38" t="n">
        <v>98</v>
      </c>
    </row>
    <row r="422" customFormat="false" ht="15" hidden="false" customHeight="false" outlineLevel="0" collapsed="false">
      <c r="A422" s="28" t="n">
        <v>421</v>
      </c>
      <c r="B422" s="37" t="s">
        <v>941</v>
      </c>
      <c r="C422" s="38" t="s">
        <v>2894</v>
      </c>
      <c r="D422" s="38" t="n">
        <v>100</v>
      </c>
    </row>
    <row r="423" customFormat="false" ht="15" hidden="false" customHeight="false" outlineLevel="0" collapsed="false">
      <c r="A423" s="28" t="n">
        <v>422</v>
      </c>
      <c r="B423" s="37" t="s">
        <v>942</v>
      </c>
      <c r="C423" s="38" t="s">
        <v>2895</v>
      </c>
      <c r="D423" s="38" t="n">
        <v>103</v>
      </c>
    </row>
    <row r="424" customFormat="false" ht="15" hidden="false" customHeight="false" outlineLevel="0" collapsed="false">
      <c r="A424" s="28" t="n">
        <v>423</v>
      </c>
      <c r="B424" s="37" t="s">
        <v>944</v>
      </c>
      <c r="C424" s="38" t="s">
        <v>2896</v>
      </c>
      <c r="D424" s="38" t="n">
        <v>95</v>
      </c>
    </row>
    <row r="425" customFormat="false" ht="15" hidden="false" customHeight="false" outlineLevel="0" collapsed="false">
      <c r="A425" s="28" t="n">
        <v>424</v>
      </c>
      <c r="B425" s="37" t="s">
        <v>945</v>
      </c>
      <c r="C425" s="38" t="s">
        <v>2880</v>
      </c>
      <c r="D425" s="38" t="n">
        <v>89</v>
      </c>
    </row>
    <row r="426" customFormat="false" ht="15" hidden="false" customHeight="false" outlineLevel="0" collapsed="false">
      <c r="A426" s="28" t="n">
        <v>425</v>
      </c>
      <c r="B426" s="37" t="s">
        <v>946</v>
      </c>
      <c r="C426" s="38" t="s">
        <v>2897</v>
      </c>
      <c r="D426" s="38" t="n">
        <v>107</v>
      </c>
    </row>
    <row r="427" customFormat="false" ht="15" hidden="false" customHeight="false" outlineLevel="0" collapsed="false">
      <c r="A427" s="28" t="n">
        <v>426</v>
      </c>
      <c r="B427" s="37" t="s">
        <v>947</v>
      </c>
      <c r="C427" s="38" t="s">
        <v>2898</v>
      </c>
      <c r="D427" s="38" t="n">
        <v>101</v>
      </c>
    </row>
    <row r="428" customFormat="false" ht="15" hidden="false" customHeight="false" outlineLevel="0" collapsed="false">
      <c r="A428" s="28" t="n">
        <v>427</v>
      </c>
      <c r="B428" s="37" t="s">
        <v>948</v>
      </c>
      <c r="C428" s="38" t="s">
        <v>2899</v>
      </c>
      <c r="D428" s="38" t="n">
        <v>97</v>
      </c>
    </row>
    <row r="429" customFormat="false" ht="15" hidden="false" customHeight="false" outlineLevel="0" collapsed="false">
      <c r="A429" s="28" t="n">
        <v>428</v>
      </c>
      <c r="B429" s="37" t="s">
        <v>950</v>
      </c>
      <c r="C429" s="38" t="s">
        <v>2900</v>
      </c>
      <c r="D429" s="38" t="n">
        <v>99</v>
      </c>
    </row>
    <row r="430" customFormat="false" ht="15" hidden="false" customHeight="false" outlineLevel="0" collapsed="false">
      <c r="A430" s="28" t="n">
        <v>429</v>
      </c>
      <c r="B430" s="37" t="s">
        <v>951</v>
      </c>
      <c r="C430" s="38" t="s">
        <v>2901</v>
      </c>
      <c r="D430" s="38" t="n">
        <v>102</v>
      </c>
    </row>
    <row r="431" customFormat="false" ht="15" hidden="false" customHeight="false" outlineLevel="0" collapsed="false">
      <c r="A431" s="28" t="n">
        <v>430</v>
      </c>
      <c r="B431" s="37" t="s">
        <v>953</v>
      </c>
      <c r="C431" s="38" t="s">
        <v>2902</v>
      </c>
      <c r="D431" s="38" t="n">
        <v>100</v>
      </c>
    </row>
    <row r="432" customFormat="false" ht="15" hidden="false" customHeight="false" outlineLevel="0" collapsed="false">
      <c r="A432" s="28" t="n">
        <v>431</v>
      </c>
      <c r="B432" s="37" t="s">
        <v>954</v>
      </c>
      <c r="C432" s="38" t="s">
        <v>2903</v>
      </c>
      <c r="D432" s="38" t="n">
        <v>104</v>
      </c>
    </row>
    <row r="433" customFormat="false" ht="15" hidden="false" customHeight="false" outlineLevel="0" collapsed="false">
      <c r="A433" s="28" t="n">
        <v>432</v>
      </c>
      <c r="B433" s="37" t="s">
        <v>955</v>
      </c>
      <c r="C433" s="38" t="s">
        <v>2904</v>
      </c>
      <c r="D433" s="38" t="n">
        <v>95</v>
      </c>
    </row>
    <row r="434" customFormat="false" ht="15" hidden="false" customHeight="false" outlineLevel="0" collapsed="false">
      <c r="A434" s="28" t="n">
        <v>433</v>
      </c>
      <c r="B434" s="37" t="s">
        <v>311</v>
      </c>
      <c r="C434" s="38" t="s">
        <v>2905</v>
      </c>
      <c r="D434" s="38" t="n">
        <v>77</v>
      </c>
    </row>
    <row r="435" customFormat="false" ht="15" hidden="false" customHeight="false" outlineLevel="0" collapsed="false">
      <c r="A435" s="28" t="n">
        <v>434</v>
      </c>
      <c r="B435" s="37" t="s">
        <v>956</v>
      </c>
      <c r="C435" s="38" t="s">
        <v>2906</v>
      </c>
      <c r="D435" s="38" t="n">
        <v>103</v>
      </c>
    </row>
    <row r="436" customFormat="false" ht="15" hidden="false" customHeight="false" outlineLevel="0" collapsed="false">
      <c r="A436" s="28" t="n">
        <v>435</v>
      </c>
      <c r="B436" s="37" t="s">
        <v>957</v>
      </c>
      <c r="C436" s="38" t="s">
        <v>2907</v>
      </c>
      <c r="D436" s="38" t="n">
        <v>92</v>
      </c>
    </row>
    <row r="437" customFormat="false" ht="15" hidden="false" customHeight="false" outlineLevel="0" collapsed="false">
      <c r="A437" s="28" t="n">
        <v>436</v>
      </c>
      <c r="B437" s="37" t="s">
        <v>958</v>
      </c>
      <c r="C437" s="38" t="s">
        <v>2908</v>
      </c>
      <c r="D437" s="38" t="n">
        <v>98</v>
      </c>
    </row>
    <row r="438" customFormat="false" ht="15" hidden="false" customHeight="false" outlineLevel="0" collapsed="false">
      <c r="A438" s="28" t="n">
        <v>437</v>
      </c>
      <c r="B438" s="37" t="s">
        <v>959</v>
      </c>
      <c r="C438" s="38" t="s">
        <v>2909</v>
      </c>
      <c r="D438" s="38" t="n">
        <v>116</v>
      </c>
    </row>
    <row r="439" customFormat="false" ht="15" hidden="false" customHeight="false" outlineLevel="0" collapsed="false">
      <c r="A439" s="28" t="n">
        <v>438</v>
      </c>
      <c r="B439" s="37" t="s">
        <v>960</v>
      </c>
      <c r="C439" s="38" t="s">
        <v>2910</v>
      </c>
      <c r="D439" s="38" t="n">
        <v>103</v>
      </c>
    </row>
    <row r="440" customFormat="false" ht="15" hidden="false" customHeight="false" outlineLevel="0" collapsed="false">
      <c r="A440" s="28" t="n">
        <v>439</v>
      </c>
      <c r="B440" s="37" t="s">
        <v>961</v>
      </c>
      <c r="C440" s="38" t="s">
        <v>2911</v>
      </c>
      <c r="D440" s="38" t="n">
        <v>102</v>
      </c>
    </row>
    <row r="441" customFormat="false" ht="15" hidden="false" customHeight="false" outlineLevel="0" collapsed="false">
      <c r="A441" s="28" t="n">
        <v>440</v>
      </c>
      <c r="B441" s="37" t="s">
        <v>962</v>
      </c>
      <c r="C441" s="38" t="s">
        <v>2912</v>
      </c>
      <c r="D441" s="38" t="n">
        <v>101</v>
      </c>
    </row>
    <row r="442" customFormat="false" ht="15" hidden="false" customHeight="false" outlineLevel="0" collapsed="false">
      <c r="A442" s="28" t="n">
        <v>441</v>
      </c>
      <c r="B442" s="37" t="s">
        <v>963</v>
      </c>
      <c r="C442" s="38" t="s">
        <v>2913</v>
      </c>
      <c r="D442" s="38" t="n">
        <v>96</v>
      </c>
    </row>
    <row r="443" customFormat="false" ht="15" hidden="false" customHeight="false" outlineLevel="0" collapsed="false">
      <c r="A443" s="28" t="n">
        <v>442</v>
      </c>
      <c r="B443" s="37" t="s">
        <v>964</v>
      </c>
      <c r="C443" s="38" t="s">
        <v>2914</v>
      </c>
      <c r="D443" s="38" t="n">
        <v>101</v>
      </c>
    </row>
    <row r="444" customFormat="false" ht="15" hidden="false" customHeight="false" outlineLevel="0" collapsed="false">
      <c r="A444" s="28" t="n">
        <v>443</v>
      </c>
      <c r="B444" s="37" t="s">
        <v>965</v>
      </c>
      <c r="C444" s="38" t="s">
        <v>2915</v>
      </c>
      <c r="D444" s="38" t="n">
        <v>99</v>
      </c>
    </row>
    <row r="445" customFormat="false" ht="15" hidden="false" customHeight="false" outlineLevel="0" collapsed="false">
      <c r="A445" s="28" t="n">
        <v>444</v>
      </c>
      <c r="B445" s="37" t="s">
        <v>966</v>
      </c>
      <c r="C445" s="38" t="s">
        <v>2916</v>
      </c>
      <c r="D445" s="38" t="n">
        <v>94</v>
      </c>
    </row>
    <row r="446" customFormat="false" ht="15" hidden="false" customHeight="false" outlineLevel="0" collapsed="false">
      <c r="A446" s="28" t="n">
        <v>445</v>
      </c>
      <c r="B446" s="37" t="s">
        <v>967</v>
      </c>
      <c r="C446" s="38" t="s">
        <v>2917</v>
      </c>
      <c r="D446" s="38" t="n">
        <v>101</v>
      </c>
    </row>
    <row r="447" customFormat="false" ht="15" hidden="false" customHeight="false" outlineLevel="0" collapsed="false">
      <c r="A447" s="28" t="n">
        <v>446</v>
      </c>
      <c r="B447" s="37" t="s">
        <v>968</v>
      </c>
      <c r="C447" s="38" t="s">
        <v>2918</v>
      </c>
      <c r="D447" s="38" t="n">
        <v>103</v>
      </c>
    </row>
    <row r="448" customFormat="false" ht="15" hidden="false" customHeight="false" outlineLevel="0" collapsed="false">
      <c r="A448" s="28" t="n">
        <v>447</v>
      </c>
      <c r="B448" s="37" t="s">
        <v>969</v>
      </c>
      <c r="C448" s="38" t="s">
        <v>2919</v>
      </c>
      <c r="D448" s="38" t="n">
        <v>105</v>
      </c>
    </row>
    <row r="449" customFormat="false" ht="15" hidden="false" customHeight="false" outlineLevel="0" collapsed="false">
      <c r="A449" s="28" t="n">
        <v>448</v>
      </c>
      <c r="B449" s="37" t="s">
        <v>970</v>
      </c>
      <c r="C449" s="38" t="s">
        <v>2920</v>
      </c>
      <c r="D449" s="38" t="n">
        <v>100</v>
      </c>
    </row>
    <row r="450" customFormat="false" ht="15" hidden="false" customHeight="false" outlineLevel="0" collapsed="false">
      <c r="A450" s="28" t="n">
        <v>449</v>
      </c>
      <c r="B450" s="37" t="s">
        <v>971</v>
      </c>
      <c r="C450" s="38" t="s">
        <v>2921</v>
      </c>
      <c r="D450" s="38" t="n">
        <v>96</v>
      </c>
    </row>
    <row r="451" customFormat="false" ht="15" hidden="false" customHeight="false" outlineLevel="0" collapsed="false">
      <c r="A451" s="28" t="n">
        <v>450</v>
      </c>
      <c r="B451" s="37" t="s">
        <v>972</v>
      </c>
      <c r="C451" s="38" t="s">
        <v>2922</v>
      </c>
      <c r="D451" s="38" t="n">
        <v>101</v>
      </c>
    </row>
    <row r="452" customFormat="false" ht="15" hidden="false" customHeight="false" outlineLevel="0" collapsed="false">
      <c r="A452" s="28" t="n">
        <v>451</v>
      </c>
      <c r="B452" s="37" t="s">
        <v>973</v>
      </c>
      <c r="C452" s="38" t="s">
        <v>2923</v>
      </c>
      <c r="D452" s="38" t="n">
        <v>108</v>
      </c>
    </row>
    <row r="453" customFormat="false" ht="15" hidden="false" customHeight="false" outlineLevel="0" collapsed="false">
      <c r="A453" s="28" t="n">
        <v>452</v>
      </c>
      <c r="B453" s="37" t="s">
        <v>974</v>
      </c>
      <c r="C453" s="38" t="s">
        <v>2924</v>
      </c>
      <c r="D453" s="38" t="n">
        <v>99</v>
      </c>
    </row>
    <row r="454" customFormat="false" ht="15" hidden="false" customHeight="false" outlineLevel="0" collapsed="false">
      <c r="A454" s="28" t="n">
        <v>453</v>
      </c>
      <c r="B454" s="37" t="s">
        <v>975</v>
      </c>
      <c r="C454" s="38" t="s">
        <v>2925</v>
      </c>
      <c r="D454" s="38" t="n">
        <v>92</v>
      </c>
    </row>
    <row r="455" customFormat="false" ht="15" hidden="false" customHeight="false" outlineLevel="0" collapsed="false">
      <c r="A455" s="28" t="n">
        <v>454</v>
      </c>
      <c r="B455" s="37" t="s">
        <v>976</v>
      </c>
      <c r="C455" s="38" t="s">
        <v>2926</v>
      </c>
      <c r="D455" s="38" t="n">
        <v>102</v>
      </c>
    </row>
    <row r="456" customFormat="false" ht="15" hidden="false" customHeight="false" outlineLevel="0" collapsed="false">
      <c r="A456" s="28" t="n">
        <v>455</v>
      </c>
      <c r="B456" s="37" t="s">
        <v>977</v>
      </c>
      <c r="C456" s="38" t="s">
        <v>2927</v>
      </c>
      <c r="D456" s="38" t="n">
        <v>78</v>
      </c>
    </row>
    <row r="457" customFormat="false" ht="15" hidden="false" customHeight="false" outlineLevel="0" collapsed="false">
      <c r="A457" s="28" t="n">
        <v>456</v>
      </c>
      <c r="B457" s="37" t="s">
        <v>978</v>
      </c>
      <c r="C457" s="38" t="s">
        <v>2928</v>
      </c>
      <c r="D457" s="38" t="n">
        <v>102</v>
      </c>
    </row>
    <row r="458" customFormat="false" ht="15" hidden="false" customHeight="false" outlineLevel="0" collapsed="false">
      <c r="A458" s="28" t="n">
        <v>457</v>
      </c>
      <c r="B458" s="37" t="s">
        <v>979</v>
      </c>
      <c r="C458" s="38" t="s">
        <v>2929</v>
      </c>
      <c r="D458" s="38" t="n">
        <v>105</v>
      </c>
    </row>
    <row r="459" customFormat="false" ht="15" hidden="false" customHeight="false" outlineLevel="0" collapsed="false">
      <c r="A459" s="28" t="n">
        <v>458</v>
      </c>
      <c r="B459" s="37" t="s">
        <v>980</v>
      </c>
      <c r="C459" s="38" t="s">
        <v>2930</v>
      </c>
      <c r="D459" s="38" t="n">
        <v>103</v>
      </c>
    </row>
    <row r="460" customFormat="false" ht="15" hidden="false" customHeight="false" outlineLevel="0" collapsed="false">
      <c r="A460" s="28" t="n">
        <v>459</v>
      </c>
      <c r="B460" s="37" t="s">
        <v>981</v>
      </c>
      <c r="C460" s="38" t="s">
        <v>2931</v>
      </c>
      <c r="D460" s="38" t="n">
        <v>99</v>
      </c>
    </row>
    <row r="461" customFormat="false" ht="15" hidden="false" customHeight="false" outlineLevel="0" collapsed="false">
      <c r="A461" s="28" t="n">
        <v>460</v>
      </c>
      <c r="B461" s="37" t="s">
        <v>982</v>
      </c>
      <c r="C461" s="38" t="s">
        <v>2932</v>
      </c>
      <c r="D461" s="38" t="n">
        <v>91</v>
      </c>
    </row>
    <row r="462" customFormat="false" ht="15" hidden="false" customHeight="false" outlineLevel="0" collapsed="false">
      <c r="A462" s="28" t="n">
        <v>461</v>
      </c>
      <c r="B462" s="37" t="s">
        <v>983</v>
      </c>
      <c r="C462" s="38" t="s">
        <v>2933</v>
      </c>
      <c r="D462" s="38" t="n">
        <v>96</v>
      </c>
    </row>
    <row r="463" customFormat="false" ht="15" hidden="false" customHeight="false" outlineLevel="0" collapsed="false">
      <c r="A463" s="28" t="n">
        <v>462</v>
      </c>
      <c r="B463" s="37" t="s">
        <v>984</v>
      </c>
      <c r="C463" s="38" t="s">
        <v>2934</v>
      </c>
      <c r="D463" s="38" t="n">
        <v>95</v>
      </c>
    </row>
    <row r="464" customFormat="false" ht="15" hidden="false" customHeight="false" outlineLevel="0" collapsed="false">
      <c r="A464" s="28" t="n">
        <v>463</v>
      </c>
      <c r="B464" s="37" t="s">
        <v>985</v>
      </c>
      <c r="C464" s="38" t="s">
        <v>2935</v>
      </c>
      <c r="D464" s="38" t="n">
        <v>105</v>
      </c>
    </row>
    <row r="465" customFormat="false" ht="15" hidden="false" customHeight="false" outlineLevel="0" collapsed="false">
      <c r="A465" s="28" t="n">
        <v>464</v>
      </c>
      <c r="B465" s="37" t="s">
        <v>986</v>
      </c>
      <c r="C465" s="38" t="s">
        <v>2936</v>
      </c>
      <c r="D465" s="38" t="n">
        <v>106</v>
      </c>
    </row>
    <row r="466" customFormat="false" ht="15" hidden="false" customHeight="false" outlineLevel="0" collapsed="false">
      <c r="A466" s="28" t="n">
        <v>465</v>
      </c>
      <c r="B466" s="37" t="s">
        <v>987</v>
      </c>
      <c r="C466" s="38" t="s">
        <v>2937</v>
      </c>
      <c r="D466" s="38" t="n">
        <v>97</v>
      </c>
    </row>
    <row r="467" customFormat="false" ht="15" hidden="false" customHeight="false" outlineLevel="0" collapsed="false">
      <c r="A467" s="28" t="n">
        <v>466</v>
      </c>
      <c r="B467" s="37" t="s">
        <v>988</v>
      </c>
      <c r="C467" s="38" t="s">
        <v>2556</v>
      </c>
      <c r="D467" s="38" t="n">
        <v>96</v>
      </c>
    </row>
    <row r="468" customFormat="false" ht="15" hidden="false" customHeight="false" outlineLevel="0" collapsed="false">
      <c r="A468" s="28" t="n">
        <v>467</v>
      </c>
      <c r="B468" s="37" t="s">
        <v>989</v>
      </c>
      <c r="C468" s="38" t="s">
        <v>2938</v>
      </c>
      <c r="D468" s="38" t="n">
        <v>106</v>
      </c>
    </row>
    <row r="469" customFormat="false" ht="15" hidden="false" customHeight="false" outlineLevel="0" collapsed="false">
      <c r="A469" s="28" t="n">
        <v>468</v>
      </c>
      <c r="B469" s="37" t="s">
        <v>990</v>
      </c>
      <c r="C469" s="38" t="s">
        <v>2939</v>
      </c>
      <c r="D469" s="38" t="n">
        <v>98</v>
      </c>
    </row>
    <row r="470" customFormat="false" ht="15" hidden="false" customHeight="false" outlineLevel="0" collapsed="false">
      <c r="A470" s="28" t="n">
        <v>469</v>
      </c>
      <c r="B470" s="37" t="s">
        <v>991</v>
      </c>
      <c r="C470" s="38" t="s">
        <v>2940</v>
      </c>
      <c r="D470" s="38" t="n">
        <v>97</v>
      </c>
    </row>
    <row r="471" customFormat="false" ht="15" hidden="false" customHeight="false" outlineLevel="0" collapsed="false">
      <c r="A471" s="28" t="n">
        <v>470</v>
      </c>
      <c r="B471" s="37" t="s">
        <v>992</v>
      </c>
      <c r="C471" s="38" t="s">
        <v>2842</v>
      </c>
      <c r="D471" s="38" t="n">
        <v>93</v>
      </c>
    </row>
    <row r="472" customFormat="false" ht="15" hidden="false" customHeight="false" outlineLevel="0" collapsed="false">
      <c r="A472" s="28" t="n">
        <v>471</v>
      </c>
      <c r="B472" s="37" t="s">
        <v>993</v>
      </c>
      <c r="C472" s="38" t="s">
        <v>2941</v>
      </c>
      <c r="D472" s="38" t="n">
        <v>88</v>
      </c>
    </row>
    <row r="473" customFormat="false" ht="15" hidden="false" customHeight="false" outlineLevel="0" collapsed="false">
      <c r="A473" s="28" t="n">
        <v>472</v>
      </c>
      <c r="B473" s="37" t="s">
        <v>994</v>
      </c>
      <c r="C473" s="38" t="s">
        <v>2942</v>
      </c>
      <c r="D473" s="38" t="n">
        <v>102</v>
      </c>
    </row>
    <row r="474" customFormat="false" ht="15" hidden="false" customHeight="false" outlineLevel="0" collapsed="false">
      <c r="A474" s="28" t="n">
        <v>473</v>
      </c>
      <c r="B474" s="37" t="s">
        <v>995</v>
      </c>
      <c r="C474" s="38" t="s">
        <v>2943</v>
      </c>
      <c r="D474" s="38" t="n">
        <v>104</v>
      </c>
    </row>
    <row r="475" customFormat="false" ht="15" hidden="false" customHeight="false" outlineLevel="0" collapsed="false">
      <c r="A475" s="28" t="n">
        <v>474</v>
      </c>
      <c r="B475" s="37" t="s">
        <v>996</v>
      </c>
      <c r="C475" s="38" t="s">
        <v>2944</v>
      </c>
      <c r="D475" s="38" t="n">
        <v>92</v>
      </c>
    </row>
    <row r="476" customFormat="false" ht="15" hidden="false" customHeight="false" outlineLevel="0" collapsed="false">
      <c r="A476" s="28" t="n">
        <v>475</v>
      </c>
      <c r="B476" s="37" t="s">
        <v>997</v>
      </c>
      <c r="C476" s="38" t="s">
        <v>2945</v>
      </c>
      <c r="D476" s="38" t="n">
        <v>104</v>
      </c>
    </row>
    <row r="477" customFormat="false" ht="15" hidden="false" customHeight="false" outlineLevel="0" collapsed="false">
      <c r="A477" s="28" t="n">
        <v>476</v>
      </c>
      <c r="B477" s="37" t="s">
        <v>998</v>
      </c>
      <c r="C477" s="38" t="s">
        <v>2946</v>
      </c>
      <c r="D477" s="38" t="n">
        <v>105</v>
      </c>
    </row>
    <row r="478" customFormat="false" ht="15" hidden="false" customHeight="false" outlineLevel="0" collapsed="false">
      <c r="A478" s="28" t="n">
        <v>477</v>
      </c>
      <c r="B478" s="37" t="s">
        <v>999</v>
      </c>
      <c r="C478" s="38" t="s">
        <v>2947</v>
      </c>
      <c r="D478" s="38" t="n">
        <v>89</v>
      </c>
    </row>
    <row r="479" customFormat="false" ht="15" hidden="false" customHeight="false" outlineLevel="0" collapsed="false">
      <c r="A479" s="28" t="n">
        <v>478</v>
      </c>
      <c r="B479" s="37" t="s">
        <v>1000</v>
      </c>
      <c r="C479" s="38" t="s">
        <v>2948</v>
      </c>
      <c r="D479" s="38" t="n">
        <v>100</v>
      </c>
    </row>
    <row r="480" customFormat="false" ht="15" hidden="false" customHeight="false" outlineLevel="0" collapsed="false">
      <c r="A480" s="28" t="n">
        <v>479</v>
      </c>
      <c r="B480" s="37" t="s">
        <v>1001</v>
      </c>
      <c r="C480" s="38" t="s">
        <v>2949</v>
      </c>
      <c r="D480" s="38" t="n">
        <v>108</v>
      </c>
    </row>
    <row r="481" customFormat="false" ht="15" hidden="false" customHeight="false" outlineLevel="0" collapsed="false">
      <c r="A481" s="28" t="n">
        <v>480</v>
      </c>
      <c r="B481" s="37" t="s">
        <v>1002</v>
      </c>
      <c r="C481" s="38" t="s">
        <v>2950</v>
      </c>
      <c r="D481" s="38" t="n">
        <v>94</v>
      </c>
    </row>
    <row r="482" customFormat="false" ht="15" hidden="false" customHeight="false" outlineLevel="0" collapsed="false">
      <c r="A482" s="28" t="n">
        <v>481</v>
      </c>
      <c r="B482" s="37" t="s">
        <v>1003</v>
      </c>
      <c r="C482" s="38" t="s">
        <v>2951</v>
      </c>
      <c r="D482" s="38" t="n">
        <v>77</v>
      </c>
    </row>
    <row r="483" customFormat="false" ht="15" hidden="false" customHeight="false" outlineLevel="0" collapsed="false">
      <c r="A483" s="28" t="n">
        <v>482</v>
      </c>
      <c r="B483" s="37" t="s">
        <v>1005</v>
      </c>
      <c r="C483" s="38" t="s">
        <v>2952</v>
      </c>
      <c r="D483" s="38" t="n">
        <v>103</v>
      </c>
    </row>
    <row r="484" customFormat="false" ht="15" hidden="false" customHeight="false" outlineLevel="0" collapsed="false">
      <c r="A484" s="28" t="n">
        <v>483</v>
      </c>
      <c r="B484" s="37" t="s">
        <v>1006</v>
      </c>
      <c r="C484" s="38" t="s">
        <v>2635</v>
      </c>
      <c r="D484" s="38" t="n">
        <v>98</v>
      </c>
    </row>
    <row r="485" customFormat="false" ht="15" hidden="false" customHeight="false" outlineLevel="0" collapsed="false">
      <c r="A485" s="28" t="n">
        <v>484</v>
      </c>
      <c r="B485" s="37" t="s">
        <v>1007</v>
      </c>
      <c r="C485" s="38" t="s">
        <v>2953</v>
      </c>
      <c r="D485" s="38" t="n">
        <v>98</v>
      </c>
    </row>
    <row r="486" customFormat="false" ht="15" hidden="false" customHeight="false" outlineLevel="0" collapsed="false">
      <c r="A486" s="28" t="n">
        <v>485</v>
      </c>
      <c r="B486" s="37" t="s">
        <v>1008</v>
      </c>
      <c r="C486" s="38" t="s">
        <v>2954</v>
      </c>
      <c r="D486" s="38" t="n">
        <v>98</v>
      </c>
    </row>
    <row r="487" customFormat="false" ht="15" hidden="false" customHeight="false" outlineLevel="0" collapsed="false">
      <c r="A487" s="28" t="n">
        <v>486</v>
      </c>
      <c r="B487" s="37" t="s">
        <v>1009</v>
      </c>
      <c r="C487" s="38" t="s">
        <v>2955</v>
      </c>
      <c r="D487" s="38" t="n">
        <v>94</v>
      </c>
    </row>
    <row r="488" customFormat="false" ht="15" hidden="false" customHeight="false" outlineLevel="0" collapsed="false">
      <c r="A488" s="28" t="n">
        <v>487</v>
      </c>
      <c r="B488" s="37" t="s">
        <v>1010</v>
      </c>
      <c r="C488" s="38" t="s">
        <v>2956</v>
      </c>
      <c r="D488" s="38" t="n">
        <v>102</v>
      </c>
    </row>
    <row r="489" customFormat="false" ht="15" hidden="false" customHeight="false" outlineLevel="0" collapsed="false">
      <c r="A489" s="28" t="n">
        <v>488</v>
      </c>
      <c r="B489" s="37" t="s">
        <v>1011</v>
      </c>
      <c r="C489" s="38" t="s">
        <v>2957</v>
      </c>
      <c r="D489" s="38" t="n">
        <v>98</v>
      </c>
    </row>
    <row r="490" customFormat="false" ht="15" hidden="false" customHeight="false" outlineLevel="0" collapsed="false">
      <c r="A490" s="28" t="n">
        <v>489</v>
      </c>
      <c r="B490" s="37" t="s">
        <v>1012</v>
      </c>
      <c r="C490" s="38" t="s">
        <v>2958</v>
      </c>
      <c r="D490" s="38" t="n">
        <v>102</v>
      </c>
    </row>
    <row r="491" customFormat="false" ht="15" hidden="false" customHeight="false" outlineLevel="0" collapsed="false">
      <c r="A491" s="28" t="n">
        <v>490</v>
      </c>
      <c r="B491" s="37" t="s">
        <v>1013</v>
      </c>
      <c r="C491" s="38" t="s">
        <v>2959</v>
      </c>
      <c r="D491" s="38" t="n">
        <v>110</v>
      </c>
    </row>
    <row r="492" customFormat="false" ht="15" hidden="false" customHeight="false" outlineLevel="0" collapsed="false">
      <c r="A492" s="28" t="n">
        <v>491</v>
      </c>
      <c r="B492" s="37" t="s">
        <v>1014</v>
      </c>
      <c r="C492" s="38" t="s">
        <v>2960</v>
      </c>
      <c r="D492" s="38" t="n">
        <v>98</v>
      </c>
    </row>
    <row r="493" customFormat="false" ht="15" hidden="false" customHeight="false" outlineLevel="0" collapsed="false">
      <c r="A493" s="28" t="n">
        <v>492</v>
      </c>
      <c r="B493" s="37" t="s">
        <v>1015</v>
      </c>
      <c r="C493" s="38" t="s">
        <v>2607</v>
      </c>
      <c r="D493" s="38" t="n">
        <v>75</v>
      </c>
    </row>
    <row r="494" customFormat="false" ht="15" hidden="false" customHeight="false" outlineLevel="0" collapsed="false">
      <c r="A494" s="28" t="n">
        <v>493</v>
      </c>
      <c r="B494" s="37" t="s">
        <v>1016</v>
      </c>
      <c r="C494" s="38" t="s">
        <v>2961</v>
      </c>
      <c r="D494" s="38" t="n">
        <v>103</v>
      </c>
    </row>
    <row r="495" customFormat="false" ht="15" hidden="false" customHeight="false" outlineLevel="0" collapsed="false">
      <c r="A495" s="28" t="n">
        <v>494</v>
      </c>
      <c r="B495" s="37" t="s">
        <v>1017</v>
      </c>
      <c r="C495" s="38" t="s">
        <v>2962</v>
      </c>
      <c r="D495" s="38" t="n">
        <v>101</v>
      </c>
    </row>
    <row r="496" customFormat="false" ht="15" hidden="false" customHeight="false" outlineLevel="0" collapsed="false">
      <c r="A496" s="28" t="n">
        <v>495</v>
      </c>
      <c r="B496" s="37" t="s">
        <v>1018</v>
      </c>
      <c r="C496" s="38" t="s">
        <v>2963</v>
      </c>
      <c r="D496" s="38" t="n">
        <v>105</v>
      </c>
    </row>
    <row r="497" customFormat="false" ht="15" hidden="false" customHeight="false" outlineLevel="0" collapsed="false">
      <c r="A497" s="28" t="n">
        <v>496</v>
      </c>
      <c r="B497" s="37" t="s">
        <v>1019</v>
      </c>
      <c r="C497" s="38" t="s">
        <v>2964</v>
      </c>
      <c r="D497" s="38" t="n">
        <v>93</v>
      </c>
    </row>
    <row r="498" customFormat="false" ht="15" hidden="false" customHeight="false" outlineLevel="0" collapsed="false">
      <c r="A498" s="28" t="n">
        <v>497</v>
      </c>
      <c r="B498" s="37" t="s">
        <v>1020</v>
      </c>
      <c r="C498" s="38" t="s">
        <v>2965</v>
      </c>
      <c r="D498" s="38" t="n">
        <v>93</v>
      </c>
    </row>
    <row r="499" customFormat="false" ht="15" hidden="false" customHeight="false" outlineLevel="0" collapsed="false">
      <c r="A499" s="28" t="n">
        <v>498</v>
      </c>
      <c r="B499" s="37" t="s">
        <v>1021</v>
      </c>
      <c r="C499" s="38" t="s">
        <v>2637</v>
      </c>
      <c r="D499" s="38" t="n">
        <v>88</v>
      </c>
    </row>
    <row r="500" customFormat="false" ht="15" hidden="false" customHeight="false" outlineLevel="0" collapsed="false">
      <c r="A500" s="28" t="n">
        <v>499</v>
      </c>
      <c r="B500" s="37" t="s">
        <v>1022</v>
      </c>
      <c r="C500" s="38" t="s">
        <v>2966</v>
      </c>
      <c r="D500" s="38" t="n">
        <v>108</v>
      </c>
    </row>
    <row r="501" customFormat="false" ht="15" hidden="false" customHeight="false" outlineLevel="0" collapsed="false">
      <c r="A501" s="28" t="n">
        <v>500</v>
      </c>
      <c r="B501" s="37" t="s">
        <v>1023</v>
      </c>
      <c r="C501" s="38" t="s">
        <v>2967</v>
      </c>
      <c r="D501" s="38" t="n">
        <v>106</v>
      </c>
    </row>
    <row r="502" customFormat="false" ht="15" hidden="false" customHeight="false" outlineLevel="0" collapsed="false">
      <c r="A502" s="28" t="n">
        <v>501</v>
      </c>
      <c r="B502" s="37" t="s">
        <v>1024</v>
      </c>
      <c r="C502" s="38" t="s">
        <v>2968</v>
      </c>
      <c r="D502" s="38" t="n">
        <v>101</v>
      </c>
    </row>
    <row r="503" customFormat="false" ht="15" hidden="false" customHeight="false" outlineLevel="0" collapsed="false">
      <c r="A503" s="28" t="n">
        <v>502</v>
      </c>
      <c r="B503" s="37" t="s">
        <v>1025</v>
      </c>
      <c r="C503" s="38" t="s">
        <v>2969</v>
      </c>
      <c r="D503" s="38" t="n">
        <v>101</v>
      </c>
    </row>
    <row r="504" customFormat="false" ht="15" hidden="false" customHeight="false" outlineLevel="0" collapsed="false">
      <c r="A504" s="28" t="n">
        <v>503</v>
      </c>
      <c r="B504" s="37" t="s">
        <v>1026</v>
      </c>
      <c r="C504" s="38" t="s">
        <v>2970</v>
      </c>
      <c r="D504" s="38" t="n">
        <v>92</v>
      </c>
    </row>
    <row r="505" customFormat="false" ht="15" hidden="false" customHeight="false" outlineLevel="0" collapsed="false">
      <c r="A505" s="28" t="n">
        <v>504</v>
      </c>
      <c r="B505" s="37" t="s">
        <v>1027</v>
      </c>
      <c r="C505" s="38" t="s">
        <v>2971</v>
      </c>
      <c r="D505" s="38" t="n">
        <v>97</v>
      </c>
    </row>
    <row r="506" customFormat="false" ht="15" hidden="false" customHeight="false" outlineLevel="0" collapsed="false">
      <c r="A506" s="28" t="n">
        <v>505</v>
      </c>
      <c r="B506" s="37" t="s">
        <v>1028</v>
      </c>
      <c r="C506" s="38" t="s">
        <v>2972</v>
      </c>
      <c r="D506" s="38" t="n">
        <v>100</v>
      </c>
    </row>
    <row r="507" customFormat="false" ht="15" hidden="false" customHeight="false" outlineLevel="0" collapsed="false">
      <c r="A507" s="28" t="n">
        <v>506</v>
      </c>
      <c r="B507" s="37" t="s">
        <v>1029</v>
      </c>
      <c r="C507" s="38" t="s">
        <v>2973</v>
      </c>
      <c r="D507" s="38" t="n">
        <v>105</v>
      </c>
    </row>
    <row r="508" customFormat="false" ht="15" hidden="false" customHeight="false" outlineLevel="0" collapsed="false">
      <c r="A508" s="28" t="n">
        <v>507</v>
      </c>
      <c r="B508" s="37" t="s">
        <v>1030</v>
      </c>
      <c r="C508" s="38" t="s">
        <v>2974</v>
      </c>
      <c r="D508" s="38" t="n">
        <v>95</v>
      </c>
    </row>
    <row r="509" customFormat="false" ht="15" hidden="false" customHeight="false" outlineLevel="0" collapsed="false">
      <c r="A509" s="28" t="n">
        <v>508</v>
      </c>
      <c r="B509" s="37" t="s">
        <v>1031</v>
      </c>
      <c r="C509" s="38" t="s">
        <v>2975</v>
      </c>
      <c r="D509" s="38" t="n">
        <v>89</v>
      </c>
    </row>
    <row r="510" customFormat="false" ht="15" hidden="false" customHeight="false" outlineLevel="0" collapsed="false">
      <c r="A510" s="28" t="n">
        <v>509</v>
      </c>
      <c r="B510" s="37" t="s">
        <v>1032</v>
      </c>
      <c r="C510" s="38" t="s">
        <v>2976</v>
      </c>
      <c r="D510" s="38" t="n">
        <v>98</v>
      </c>
    </row>
    <row r="511" customFormat="false" ht="15" hidden="false" customHeight="false" outlineLevel="0" collapsed="false">
      <c r="A511" s="28" t="n">
        <v>510</v>
      </c>
      <c r="B511" s="37" t="s">
        <v>1033</v>
      </c>
      <c r="C511" s="38" t="s">
        <v>2977</v>
      </c>
      <c r="D511" s="38" t="n">
        <v>101</v>
      </c>
    </row>
    <row r="512" customFormat="false" ht="15" hidden="false" customHeight="false" outlineLevel="0" collapsed="false">
      <c r="A512" s="28" t="n">
        <v>511</v>
      </c>
      <c r="B512" s="37" t="s">
        <v>1034</v>
      </c>
      <c r="C512" s="38" t="s">
        <v>2978</v>
      </c>
      <c r="D512" s="38" t="n">
        <v>102</v>
      </c>
    </row>
    <row r="513" customFormat="false" ht="15" hidden="false" customHeight="false" outlineLevel="0" collapsed="false">
      <c r="A513" s="28" t="n">
        <v>512</v>
      </c>
      <c r="B513" s="37" t="s">
        <v>1035</v>
      </c>
      <c r="C513" s="38" t="s">
        <v>2979</v>
      </c>
      <c r="D513" s="38" t="n">
        <v>98</v>
      </c>
    </row>
    <row r="514" customFormat="false" ht="15" hidden="false" customHeight="false" outlineLevel="0" collapsed="false">
      <c r="A514" s="28" t="n">
        <v>513</v>
      </c>
      <c r="B514" s="37" t="s">
        <v>2980</v>
      </c>
      <c r="C514" s="38" t="s">
        <v>2981</v>
      </c>
      <c r="D514" s="38" t="n">
        <v>81</v>
      </c>
    </row>
    <row r="515" customFormat="false" ht="15" hidden="false" customHeight="false" outlineLevel="0" collapsed="false">
      <c r="A515" s="28" t="n">
        <v>514</v>
      </c>
      <c r="B515" s="37" t="s">
        <v>1036</v>
      </c>
      <c r="C515" s="38" t="s">
        <v>2982</v>
      </c>
      <c r="D515" s="38" t="n">
        <v>107</v>
      </c>
    </row>
    <row r="516" customFormat="false" ht="15" hidden="false" customHeight="false" outlineLevel="0" collapsed="false">
      <c r="A516" s="28" t="n">
        <v>515</v>
      </c>
      <c r="B516" s="37" t="s">
        <v>1037</v>
      </c>
      <c r="C516" s="38" t="s">
        <v>2983</v>
      </c>
      <c r="D516" s="38" t="n">
        <v>97</v>
      </c>
    </row>
    <row r="517" customFormat="false" ht="15" hidden="false" customHeight="false" outlineLevel="0" collapsed="false">
      <c r="A517" s="28" t="n">
        <v>516</v>
      </c>
      <c r="B517" s="37" t="s">
        <v>1038</v>
      </c>
      <c r="C517" s="38" t="s">
        <v>2984</v>
      </c>
      <c r="D517" s="38" t="n">
        <v>96</v>
      </c>
    </row>
    <row r="518" customFormat="false" ht="15" hidden="false" customHeight="false" outlineLevel="0" collapsed="false">
      <c r="A518" s="28" t="n">
        <v>517</v>
      </c>
      <c r="B518" s="37" t="s">
        <v>1039</v>
      </c>
      <c r="C518" s="38" t="s">
        <v>2985</v>
      </c>
      <c r="D518" s="38" t="n">
        <v>94</v>
      </c>
    </row>
    <row r="519" customFormat="false" ht="15" hidden="false" customHeight="false" outlineLevel="0" collapsed="false">
      <c r="A519" s="28" t="n">
        <v>518</v>
      </c>
      <c r="B519" s="37" t="s">
        <v>1040</v>
      </c>
      <c r="C519" s="38" t="s">
        <v>2986</v>
      </c>
      <c r="D519" s="38" t="n">
        <v>105</v>
      </c>
    </row>
    <row r="520" customFormat="false" ht="15" hidden="false" customHeight="false" outlineLevel="0" collapsed="false">
      <c r="A520" s="28" t="n">
        <v>519</v>
      </c>
      <c r="B520" s="37" t="s">
        <v>1041</v>
      </c>
      <c r="C520" s="38" t="s">
        <v>2987</v>
      </c>
      <c r="D520" s="38" t="n">
        <v>100</v>
      </c>
    </row>
    <row r="521" customFormat="false" ht="15" hidden="false" customHeight="false" outlineLevel="0" collapsed="false">
      <c r="A521" s="28" t="n">
        <v>520</v>
      </c>
      <c r="B521" s="37" t="s">
        <v>1045</v>
      </c>
      <c r="C521" s="38" t="s">
        <v>2988</v>
      </c>
      <c r="D521" s="38" t="n">
        <v>89</v>
      </c>
    </row>
    <row r="522" customFormat="false" ht="15" hidden="false" customHeight="false" outlineLevel="0" collapsed="false">
      <c r="A522" s="28" t="n">
        <v>521</v>
      </c>
      <c r="B522" s="37" t="s">
        <v>1046</v>
      </c>
      <c r="C522" s="38" t="s">
        <v>2989</v>
      </c>
      <c r="D522" s="38" t="n">
        <v>97</v>
      </c>
    </row>
    <row r="523" customFormat="false" ht="15" hidden="false" customHeight="false" outlineLevel="0" collapsed="false">
      <c r="A523" s="28" t="n">
        <v>522</v>
      </c>
      <c r="B523" s="37" t="s">
        <v>1047</v>
      </c>
      <c r="C523" s="38" t="s">
        <v>2990</v>
      </c>
      <c r="D523" s="38" t="n">
        <v>102</v>
      </c>
    </row>
    <row r="524" customFormat="false" ht="15" hidden="false" customHeight="false" outlineLevel="0" collapsed="false">
      <c r="A524" s="28" t="n">
        <v>523</v>
      </c>
      <c r="B524" s="37" t="s">
        <v>1048</v>
      </c>
      <c r="C524" s="38" t="s">
        <v>2991</v>
      </c>
      <c r="D524" s="38" t="n">
        <v>100</v>
      </c>
    </row>
    <row r="525" customFormat="false" ht="15" hidden="false" customHeight="false" outlineLevel="0" collapsed="false">
      <c r="A525" s="28" t="n">
        <v>524</v>
      </c>
      <c r="B525" s="37" t="s">
        <v>1049</v>
      </c>
      <c r="C525" s="38" t="s">
        <v>2992</v>
      </c>
      <c r="D525" s="38" t="n">
        <v>101</v>
      </c>
    </row>
    <row r="526" customFormat="false" ht="15" hidden="false" customHeight="false" outlineLevel="0" collapsed="false">
      <c r="A526" s="28" t="n">
        <v>525</v>
      </c>
      <c r="B526" s="37" t="s">
        <v>1050</v>
      </c>
      <c r="C526" s="38" t="s">
        <v>2993</v>
      </c>
      <c r="D526" s="38" t="n">
        <v>109</v>
      </c>
    </row>
    <row r="527" customFormat="false" ht="15" hidden="false" customHeight="false" outlineLevel="0" collapsed="false">
      <c r="A527" s="28" t="n">
        <v>526</v>
      </c>
      <c r="B527" s="37" t="s">
        <v>1051</v>
      </c>
      <c r="C527" s="38" t="s">
        <v>2994</v>
      </c>
      <c r="D527" s="38" t="n">
        <v>101</v>
      </c>
    </row>
    <row r="528" customFormat="false" ht="15" hidden="false" customHeight="false" outlineLevel="0" collapsed="false">
      <c r="A528" s="28" t="n">
        <v>527</v>
      </c>
      <c r="B528" s="37" t="s">
        <v>1052</v>
      </c>
      <c r="C528" s="38" t="s">
        <v>2995</v>
      </c>
      <c r="D528" s="38" t="n">
        <v>99</v>
      </c>
    </row>
    <row r="529" customFormat="false" ht="15" hidden="false" customHeight="false" outlineLevel="0" collapsed="false">
      <c r="A529" s="28" t="n">
        <v>528</v>
      </c>
      <c r="B529" s="37" t="s">
        <v>1053</v>
      </c>
      <c r="C529" s="38" t="s">
        <v>2996</v>
      </c>
      <c r="D529" s="38" t="n">
        <v>104</v>
      </c>
    </row>
    <row r="530" customFormat="false" ht="15" hidden="false" customHeight="false" outlineLevel="0" collapsed="false">
      <c r="A530" s="28" t="n">
        <v>529</v>
      </c>
      <c r="B530" s="37" t="s">
        <v>1055</v>
      </c>
      <c r="C530" s="38" t="s">
        <v>2551</v>
      </c>
      <c r="D530" s="38" t="n">
        <v>75</v>
      </c>
    </row>
    <row r="531" customFormat="false" ht="15" hidden="false" customHeight="false" outlineLevel="0" collapsed="false">
      <c r="A531" s="28" t="n">
        <v>530</v>
      </c>
      <c r="B531" s="37" t="s">
        <v>1056</v>
      </c>
      <c r="C531" s="38" t="s">
        <v>2997</v>
      </c>
      <c r="D531" s="38" t="n">
        <v>96</v>
      </c>
    </row>
    <row r="532" customFormat="false" ht="15" hidden="false" customHeight="false" outlineLevel="0" collapsed="false">
      <c r="A532" s="28" t="n">
        <v>531</v>
      </c>
      <c r="B532" s="37" t="s">
        <v>1057</v>
      </c>
      <c r="C532" s="38" t="s">
        <v>2998</v>
      </c>
      <c r="D532" s="38" t="n">
        <v>74</v>
      </c>
    </row>
    <row r="533" customFormat="false" ht="15" hidden="false" customHeight="false" outlineLevel="0" collapsed="false">
      <c r="A533" s="28" t="n">
        <v>532</v>
      </c>
      <c r="B533" s="37" t="s">
        <v>1058</v>
      </c>
      <c r="C533" s="38" t="s">
        <v>2999</v>
      </c>
      <c r="D533" s="38" t="n">
        <v>88</v>
      </c>
    </row>
    <row r="534" customFormat="false" ht="15" hidden="false" customHeight="false" outlineLevel="0" collapsed="false">
      <c r="A534" s="28" t="n">
        <v>533</v>
      </c>
      <c r="B534" s="37" t="s">
        <v>1059</v>
      </c>
      <c r="C534" s="38" t="s">
        <v>3000</v>
      </c>
      <c r="D534" s="38" t="n">
        <v>95</v>
      </c>
    </row>
    <row r="535" customFormat="false" ht="15" hidden="false" customHeight="false" outlineLevel="0" collapsed="false">
      <c r="A535" s="28" t="n">
        <v>534</v>
      </c>
      <c r="B535" s="37" t="s">
        <v>1060</v>
      </c>
      <c r="C535" s="38" t="s">
        <v>3001</v>
      </c>
      <c r="D535" s="38" t="n">
        <v>105</v>
      </c>
    </row>
    <row r="536" customFormat="false" ht="15" hidden="false" customHeight="false" outlineLevel="0" collapsed="false">
      <c r="A536" s="28" t="n">
        <v>535</v>
      </c>
      <c r="B536" s="37" t="s">
        <v>1062</v>
      </c>
      <c r="C536" s="38" t="s">
        <v>3002</v>
      </c>
      <c r="D536" s="38" t="n">
        <v>111</v>
      </c>
    </row>
    <row r="537" customFormat="false" ht="15" hidden="false" customHeight="false" outlineLevel="0" collapsed="false">
      <c r="A537" s="28" t="n">
        <v>536</v>
      </c>
      <c r="B537" s="37" t="s">
        <v>1063</v>
      </c>
      <c r="C537" s="38" t="s">
        <v>3003</v>
      </c>
      <c r="D537" s="38" t="n">
        <v>95</v>
      </c>
    </row>
    <row r="538" customFormat="false" ht="15" hidden="false" customHeight="false" outlineLevel="0" collapsed="false">
      <c r="A538" s="28" t="n">
        <v>537</v>
      </c>
      <c r="B538" s="37" t="s">
        <v>1065</v>
      </c>
      <c r="C538" s="38" t="s">
        <v>2576</v>
      </c>
      <c r="D538" s="38" t="n">
        <v>90</v>
      </c>
    </row>
    <row r="539" customFormat="false" ht="15" hidden="false" customHeight="false" outlineLevel="0" collapsed="false">
      <c r="A539" s="28" t="n">
        <v>538</v>
      </c>
      <c r="B539" s="37" t="s">
        <v>1066</v>
      </c>
      <c r="C539" s="38" t="s">
        <v>3004</v>
      </c>
      <c r="D539" s="38" t="n">
        <v>100</v>
      </c>
    </row>
    <row r="540" customFormat="false" ht="15" hidden="false" customHeight="false" outlineLevel="0" collapsed="false">
      <c r="A540" s="28" t="n">
        <v>539</v>
      </c>
      <c r="B540" s="37" t="s">
        <v>1067</v>
      </c>
      <c r="C540" s="38" t="s">
        <v>3005</v>
      </c>
      <c r="D540" s="38" t="n">
        <v>89</v>
      </c>
    </row>
    <row r="541" customFormat="false" ht="15" hidden="false" customHeight="false" outlineLevel="0" collapsed="false">
      <c r="A541" s="28" t="n">
        <v>540</v>
      </c>
      <c r="B541" s="37" t="s">
        <v>1068</v>
      </c>
      <c r="C541" s="38" t="s">
        <v>3006</v>
      </c>
      <c r="D541" s="38" t="n">
        <v>109</v>
      </c>
    </row>
    <row r="542" customFormat="false" ht="15" hidden="false" customHeight="false" outlineLevel="0" collapsed="false">
      <c r="A542" s="28" t="n">
        <v>541</v>
      </c>
      <c r="B542" s="37" t="s">
        <v>1069</v>
      </c>
      <c r="C542" s="38" t="s">
        <v>2902</v>
      </c>
      <c r="D542" s="38" t="n">
        <v>100</v>
      </c>
    </row>
    <row r="543" customFormat="false" ht="15" hidden="false" customHeight="false" outlineLevel="0" collapsed="false">
      <c r="A543" s="28" t="n">
        <v>542</v>
      </c>
      <c r="B543" s="37" t="s">
        <v>1070</v>
      </c>
      <c r="C543" s="38" t="s">
        <v>3007</v>
      </c>
      <c r="D543" s="38" t="n">
        <v>102</v>
      </c>
    </row>
    <row r="544" customFormat="false" ht="15" hidden="false" customHeight="false" outlineLevel="0" collapsed="false">
      <c r="A544" s="28" t="n">
        <v>543</v>
      </c>
      <c r="B544" s="37" t="s">
        <v>1071</v>
      </c>
      <c r="C544" s="38" t="s">
        <v>3008</v>
      </c>
      <c r="D544" s="38" t="n">
        <v>100</v>
      </c>
    </row>
    <row r="545" customFormat="false" ht="15" hidden="false" customHeight="false" outlineLevel="0" collapsed="false">
      <c r="A545" s="28" t="n">
        <v>544</v>
      </c>
      <c r="B545" s="37" t="s">
        <v>1072</v>
      </c>
      <c r="C545" s="38" t="s">
        <v>2805</v>
      </c>
      <c r="D545" s="38" t="n">
        <v>101</v>
      </c>
    </row>
    <row r="546" customFormat="false" ht="15" hidden="false" customHeight="false" outlineLevel="0" collapsed="false">
      <c r="A546" s="28" t="n">
        <v>545</v>
      </c>
      <c r="B546" s="37" t="s">
        <v>1073</v>
      </c>
      <c r="C546" s="38" t="s">
        <v>3009</v>
      </c>
      <c r="D546" s="38" t="n">
        <v>102</v>
      </c>
    </row>
    <row r="547" customFormat="false" ht="15" hidden="false" customHeight="false" outlineLevel="0" collapsed="false">
      <c r="A547" s="28" t="n">
        <v>546</v>
      </c>
      <c r="B547" s="37" t="s">
        <v>1074</v>
      </c>
      <c r="C547" s="38" t="s">
        <v>2548</v>
      </c>
      <c r="D547" s="38" t="n">
        <v>97</v>
      </c>
    </row>
    <row r="548" customFormat="false" ht="15" hidden="false" customHeight="false" outlineLevel="0" collapsed="false">
      <c r="A548" s="28" t="n">
        <v>547</v>
      </c>
      <c r="B548" s="37" t="s">
        <v>1075</v>
      </c>
      <c r="C548" s="38" t="s">
        <v>2885</v>
      </c>
      <c r="D548" s="38" t="n">
        <v>90</v>
      </c>
    </row>
    <row r="549" customFormat="false" ht="15" hidden="false" customHeight="false" outlineLevel="0" collapsed="false">
      <c r="A549" s="28" t="n">
        <v>548</v>
      </c>
      <c r="B549" s="37" t="s">
        <v>1076</v>
      </c>
      <c r="C549" s="38" t="s">
        <v>3010</v>
      </c>
      <c r="D549" s="38" t="n">
        <v>98</v>
      </c>
    </row>
    <row r="550" customFormat="false" ht="15" hidden="false" customHeight="false" outlineLevel="0" collapsed="false">
      <c r="A550" s="28" t="n">
        <v>549</v>
      </c>
      <c r="B550" s="37" t="s">
        <v>1077</v>
      </c>
      <c r="C550" s="38" t="s">
        <v>3011</v>
      </c>
      <c r="D550" s="38" t="n">
        <v>77</v>
      </c>
    </row>
    <row r="551" customFormat="false" ht="15" hidden="false" customHeight="false" outlineLevel="0" collapsed="false">
      <c r="A551" s="28" t="n">
        <v>550</v>
      </c>
      <c r="B551" s="37" t="s">
        <v>1078</v>
      </c>
      <c r="C551" s="38" t="s">
        <v>3012</v>
      </c>
      <c r="D551" s="38" t="n">
        <v>100</v>
      </c>
    </row>
    <row r="552" customFormat="false" ht="15" hidden="false" customHeight="false" outlineLevel="0" collapsed="false">
      <c r="A552" s="28" t="n">
        <v>551</v>
      </c>
      <c r="B552" s="37" t="s">
        <v>1079</v>
      </c>
      <c r="C552" s="38" t="s">
        <v>2964</v>
      </c>
      <c r="D552" s="38" t="n">
        <v>93</v>
      </c>
    </row>
    <row r="553" customFormat="false" ht="15" hidden="false" customHeight="false" outlineLevel="0" collapsed="false">
      <c r="A553" s="28" t="n">
        <v>552</v>
      </c>
      <c r="B553" s="37" t="s">
        <v>1080</v>
      </c>
      <c r="C553" s="38" t="s">
        <v>3013</v>
      </c>
      <c r="D553" s="38" t="n">
        <v>91</v>
      </c>
    </row>
    <row r="554" customFormat="false" ht="15" hidden="false" customHeight="false" outlineLevel="0" collapsed="false">
      <c r="A554" s="28" t="n">
        <v>553</v>
      </c>
      <c r="B554" s="37" t="s">
        <v>1081</v>
      </c>
      <c r="C554" s="38" t="s">
        <v>2616</v>
      </c>
      <c r="D554" s="38" t="n">
        <v>71</v>
      </c>
    </row>
    <row r="555" customFormat="false" ht="15" hidden="false" customHeight="false" outlineLevel="0" collapsed="false">
      <c r="A555" s="28" t="n">
        <v>554</v>
      </c>
      <c r="B555" s="37" t="s">
        <v>1083</v>
      </c>
      <c r="C555" s="38" t="s">
        <v>3014</v>
      </c>
      <c r="D555" s="38" t="n">
        <v>97</v>
      </c>
    </row>
    <row r="556" customFormat="false" ht="15" hidden="false" customHeight="false" outlineLevel="0" collapsed="false">
      <c r="A556" s="28" t="n">
        <v>555</v>
      </c>
      <c r="B556" s="37" t="s">
        <v>1084</v>
      </c>
      <c r="C556" s="38" t="s">
        <v>3015</v>
      </c>
      <c r="D556" s="38" t="n">
        <v>97</v>
      </c>
    </row>
    <row r="557" customFormat="false" ht="15" hidden="false" customHeight="false" outlineLevel="0" collapsed="false">
      <c r="A557" s="28" t="n">
        <v>556</v>
      </c>
      <c r="B557" s="37" t="s">
        <v>1085</v>
      </c>
      <c r="C557" s="38" t="s">
        <v>3016</v>
      </c>
      <c r="D557" s="38" t="n">
        <v>95</v>
      </c>
    </row>
    <row r="558" customFormat="false" ht="15" hidden="false" customHeight="false" outlineLevel="0" collapsed="false">
      <c r="A558" s="28" t="n">
        <v>557</v>
      </c>
      <c r="B558" s="37" t="s">
        <v>1087</v>
      </c>
      <c r="C558" s="38" t="s">
        <v>3017</v>
      </c>
      <c r="D558" s="38" t="n">
        <v>102</v>
      </c>
    </row>
    <row r="559" customFormat="false" ht="15" hidden="false" customHeight="false" outlineLevel="0" collapsed="false">
      <c r="A559" s="28" t="n">
        <v>558</v>
      </c>
      <c r="B559" s="37" t="s">
        <v>1088</v>
      </c>
      <c r="C559" s="38" t="s">
        <v>3018</v>
      </c>
      <c r="D559" s="38" t="n">
        <v>102</v>
      </c>
    </row>
    <row r="560" customFormat="false" ht="15" hidden="false" customHeight="false" outlineLevel="0" collapsed="false">
      <c r="A560" s="28" t="n">
        <v>559</v>
      </c>
      <c r="B560" s="37" t="s">
        <v>1089</v>
      </c>
      <c r="C560" s="38" t="s">
        <v>3019</v>
      </c>
      <c r="D560" s="38" t="n">
        <v>95</v>
      </c>
    </row>
    <row r="561" customFormat="false" ht="15" hidden="false" customHeight="false" outlineLevel="0" collapsed="false">
      <c r="A561" s="28" t="n">
        <v>560</v>
      </c>
      <c r="B561" s="37" t="s">
        <v>1090</v>
      </c>
      <c r="C561" s="38" t="s">
        <v>3020</v>
      </c>
      <c r="D561" s="38" t="n">
        <v>99</v>
      </c>
    </row>
    <row r="562" customFormat="false" ht="15" hidden="false" customHeight="false" outlineLevel="0" collapsed="false">
      <c r="A562" s="28" t="n">
        <v>561</v>
      </c>
      <c r="B562" s="37" t="s">
        <v>1091</v>
      </c>
      <c r="C562" s="38" t="s">
        <v>3021</v>
      </c>
      <c r="D562" s="38" t="n">
        <v>94</v>
      </c>
    </row>
    <row r="563" customFormat="false" ht="15" hidden="false" customHeight="false" outlineLevel="0" collapsed="false">
      <c r="A563" s="28" t="n">
        <v>562</v>
      </c>
      <c r="B563" s="37" t="s">
        <v>1092</v>
      </c>
      <c r="C563" s="38" t="s">
        <v>3022</v>
      </c>
      <c r="D563" s="38" t="n">
        <v>103</v>
      </c>
    </row>
    <row r="564" customFormat="false" ht="15" hidden="false" customHeight="false" outlineLevel="0" collapsed="false">
      <c r="A564" s="28" t="n">
        <v>563</v>
      </c>
      <c r="B564" s="37" t="s">
        <v>1093</v>
      </c>
      <c r="C564" s="38" t="s">
        <v>3023</v>
      </c>
      <c r="D564" s="38" t="n">
        <v>92</v>
      </c>
    </row>
    <row r="565" customFormat="false" ht="15" hidden="false" customHeight="false" outlineLevel="0" collapsed="false">
      <c r="A565" s="28" t="n">
        <v>564</v>
      </c>
      <c r="B565" s="37" t="s">
        <v>1096</v>
      </c>
      <c r="C565" s="38" t="s">
        <v>3024</v>
      </c>
      <c r="D565" s="38" t="n">
        <v>91</v>
      </c>
    </row>
    <row r="566" customFormat="false" ht="15" hidden="false" customHeight="false" outlineLevel="0" collapsed="false">
      <c r="A566" s="28" t="n">
        <v>565</v>
      </c>
      <c r="B566" s="37" t="s">
        <v>1097</v>
      </c>
      <c r="C566" s="38" t="s">
        <v>3025</v>
      </c>
      <c r="D566" s="38" t="n">
        <v>101</v>
      </c>
    </row>
    <row r="567" customFormat="false" ht="15" hidden="false" customHeight="false" outlineLevel="0" collapsed="false">
      <c r="A567" s="28" t="n">
        <v>566</v>
      </c>
      <c r="B567" s="37" t="s">
        <v>1098</v>
      </c>
      <c r="C567" s="38" t="s">
        <v>3026</v>
      </c>
      <c r="D567" s="38" t="n">
        <v>99</v>
      </c>
    </row>
    <row r="568" customFormat="false" ht="15" hidden="false" customHeight="false" outlineLevel="0" collapsed="false">
      <c r="A568" s="28" t="n">
        <v>567</v>
      </c>
      <c r="B568" s="37" t="s">
        <v>1099</v>
      </c>
      <c r="C568" s="38" t="s">
        <v>3027</v>
      </c>
      <c r="D568" s="38" t="n">
        <v>101</v>
      </c>
    </row>
    <row r="569" customFormat="false" ht="15" hidden="false" customHeight="false" outlineLevel="0" collapsed="false">
      <c r="A569" s="28" t="n">
        <v>568</v>
      </c>
      <c r="B569" s="37" t="s">
        <v>1100</v>
      </c>
      <c r="C569" s="38" t="s">
        <v>3028</v>
      </c>
      <c r="D569" s="38" t="n">
        <v>98</v>
      </c>
    </row>
    <row r="570" customFormat="false" ht="15" hidden="false" customHeight="false" outlineLevel="0" collapsed="false">
      <c r="A570" s="28" t="n">
        <v>569</v>
      </c>
      <c r="B570" s="37" t="s">
        <v>1101</v>
      </c>
      <c r="C570" s="38" t="s">
        <v>3029</v>
      </c>
      <c r="D570" s="38" t="n">
        <v>100</v>
      </c>
    </row>
    <row r="571" customFormat="false" ht="15" hidden="false" customHeight="false" outlineLevel="0" collapsed="false">
      <c r="A571" s="28" t="n">
        <v>570</v>
      </c>
      <c r="B571" s="37" t="s">
        <v>1102</v>
      </c>
      <c r="C571" s="38" t="s">
        <v>2601</v>
      </c>
      <c r="D571" s="38" t="n">
        <v>94</v>
      </c>
    </row>
    <row r="572" customFormat="false" ht="15" hidden="false" customHeight="false" outlineLevel="0" collapsed="false">
      <c r="A572" s="28" t="n">
        <v>571</v>
      </c>
      <c r="B572" s="37" t="s">
        <v>1104</v>
      </c>
      <c r="C572" s="38" t="s">
        <v>3030</v>
      </c>
      <c r="D572" s="38" t="n">
        <v>97</v>
      </c>
    </row>
    <row r="573" customFormat="false" ht="15" hidden="false" customHeight="false" outlineLevel="0" collapsed="false">
      <c r="A573" s="28" t="n">
        <v>572</v>
      </c>
      <c r="B573" s="37" t="s">
        <v>1105</v>
      </c>
      <c r="C573" s="38" t="s">
        <v>3031</v>
      </c>
      <c r="D573" s="38" t="n">
        <v>105</v>
      </c>
    </row>
    <row r="574" customFormat="false" ht="15" hidden="false" customHeight="false" outlineLevel="0" collapsed="false">
      <c r="A574" s="28" t="n">
        <v>573</v>
      </c>
      <c r="B574" s="37" t="s">
        <v>1106</v>
      </c>
      <c r="C574" s="38" t="s">
        <v>3032</v>
      </c>
      <c r="D574" s="38" t="n">
        <v>96</v>
      </c>
    </row>
    <row r="575" customFormat="false" ht="15" hidden="false" customHeight="false" outlineLevel="0" collapsed="false">
      <c r="A575" s="28" t="n">
        <v>574</v>
      </c>
      <c r="B575" s="37" t="s">
        <v>1107</v>
      </c>
      <c r="C575" s="38" t="s">
        <v>2562</v>
      </c>
      <c r="D575" s="38" t="n">
        <v>93</v>
      </c>
    </row>
    <row r="576" customFormat="false" ht="15" hidden="false" customHeight="false" outlineLevel="0" collapsed="false">
      <c r="A576" s="28" t="n">
        <v>575</v>
      </c>
      <c r="B576" s="37" t="s">
        <v>1108</v>
      </c>
      <c r="C576" s="38" t="s">
        <v>3033</v>
      </c>
      <c r="D576" s="38" t="n">
        <v>94</v>
      </c>
    </row>
    <row r="577" customFormat="false" ht="15" hidden="false" customHeight="false" outlineLevel="0" collapsed="false">
      <c r="A577" s="28" t="n">
        <v>576</v>
      </c>
      <c r="B577" s="37" t="s">
        <v>1109</v>
      </c>
      <c r="C577" s="38" t="s">
        <v>2999</v>
      </c>
      <c r="D577" s="38" t="n">
        <v>88</v>
      </c>
    </row>
    <row r="578" customFormat="false" ht="15" hidden="false" customHeight="false" outlineLevel="0" collapsed="false">
      <c r="A578" s="28" t="n">
        <v>577</v>
      </c>
      <c r="B578" s="37" t="s">
        <v>1110</v>
      </c>
      <c r="C578" s="38" t="s">
        <v>3034</v>
      </c>
      <c r="D578" s="38" t="n">
        <v>102</v>
      </c>
    </row>
    <row r="579" customFormat="false" ht="15" hidden="false" customHeight="false" outlineLevel="0" collapsed="false">
      <c r="A579" s="28" t="n">
        <v>578</v>
      </c>
      <c r="B579" s="37" t="s">
        <v>1111</v>
      </c>
      <c r="C579" s="38" t="s">
        <v>3035</v>
      </c>
      <c r="D579" s="38" t="n">
        <v>95</v>
      </c>
    </row>
    <row r="580" customFormat="false" ht="15" hidden="false" customHeight="false" outlineLevel="0" collapsed="false">
      <c r="A580" s="28" t="n">
        <v>579</v>
      </c>
      <c r="B580" s="37" t="s">
        <v>1112</v>
      </c>
      <c r="C580" s="38" t="s">
        <v>3036</v>
      </c>
      <c r="D580" s="38" t="n">
        <v>105</v>
      </c>
    </row>
    <row r="581" customFormat="false" ht="15" hidden="false" customHeight="false" outlineLevel="0" collapsed="false">
      <c r="A581" s="28" t="n">
        <v>580</v>
      </c>
      <c r="B581" s="37" t="s">
        <v>1113</v>
      </c>
      <c r="C581" s="38" t="s">
        <v>2863</v>
      </c>
      <c r="D581" s="38" t="n">
        <v>101</v>
      </c>
    </row>
    <row r="582" customFormat="false" ht="15" hidden="false" customHeight="false" outlineLevel="0" collapsed="false">
      <c r="A582" s="28" t="n">
        <v>581</v>
      </c>
      <c r="B582" s="37" t="s">
        <v>1114</v>
      </c>
      <c r="C582" s="38" t="s">
        <v>3037</v>
      </c>
      <c r="D582" s="38" t="n">
        <v>108</v>
      </c>
    </row>
    <row r="583" customFormat="false" ht="15" hidden="false" customHeight="false" outlineLevel="0" collapsed="false">
      <c r="A583" s="28" t="n">
        <v>582</v>
      </c>
      <c r="B583" s="37" t="s">
        <v>1115</v>
      </c>
      <c r="C583" s="38" t="s">
        <v>3038</v>
      </c>
      <c r="D583" s="38" t="n">
        <v>109</v>
      </c>
    </row>
    <row r="584" customFormat="false" ht="15" hidden="false" customHeight="false" outlineLevel="0" collapsed="false">
      <c r="A584" s="28" t="n">
        <v>583</v>
      </c>
      <c r="B584" s="37" t="s">
        <v>1116</v>
      </c>
      <c r="C584" s="38" t="s">
        <v>3039</v>
      </c>
      <c r="D584" s="38" t="n">
        <v>94</v>
      </c>
    </row>
    <row r="585" customFormat="false" ht="15" hidden="false" customHeight="false" outlineLevel="0" collapsed="false">
      <c r="A585" s="28" t="n">
        <v>584</v>
      </c>
      <c r="B585" s="37" t="s">
        <v>1117</v>
      </c>
      <c r="C585" s="38" t="s">
        <v>2907</v>
      </c>
      <c r="D585" s="38" t="n">
        <v>92</v>
      </c>
    </row>
    <row r="586" customFormat="false" ht="15" hidden="false" customHeight="false" outlineLevel="0" collapsed="false">
      <c r="A586" s="28" t="n">
        <v>585</v>
      </c>
      <c r="B586" s="37" t="s">
        <v>1118</v>
      </c>
      <c r="C586" s="38" t="s">
        <v>3040</v>
      </c>
      <c r="D586" s="38" t="n">
        <v>100</v>
      </c>
    </row>
    <row r="587" customFormat="false" ht="15" hidden="false" customHeight="false" outlineLevel="0" collapsed="false">
      <c r="A587" s="28" t="n">
        <v>586</v>
      </c>
      <c r="B587" s="37" t="s">
        <v>1119</v>
      </c>
      <c r="C587" s="38" t="s">
        <v>3041</v>
      </c>
      <c r="D587" s="38" t="n">
        <v>102</v>
      </c>
    </row>
    <row r="588" customFormat="false" ht="15" hidden="false" customHeight="false" outlineLevel="0" collapsed="false">
      <c r="A588" s="28" t="n">
        <v>587</v>
      </c>
      <c r="B588" s="37" t="s">
        <v>1120</v>
      </c>
      <c r="C588" s="38" t="s">
        <v>3042</v>
      </c>
      <c r="D588" s="38" t="n">
        <v>92</v>
      </c>
    </row>
    <row r="589" customFormat="false" ht="15" hidden="false" customHeight="false" outlineLevel="0" collapsed="false">
      <c r="A589" s="28" t="n">
        <v>588</v>
      </c>
      <c r="B589" s="37" t="s">
        <v>1121</v>
      </c>
      <c r="C589" s="38" t="s">
        <v>3043</v>
      </c>
      <c r="D589" s="38" t="n">
        <v>106</v>
      </c>
    </row>
    <row r="590" customFormat="false" ht="15" hidden="false" customHeight="false" outlineLevel="0" collapsed="false">
      <c r="A590" s="28" t="n">
        <v>589</v>
      </c>
      <c r="B590" s="37" t="s">
        <v>1122</v>
      </c>
      <c r="C590" s="38" t="s">
        <v>3044</v>
      </c>
      <c r="D590" s="38" t="n">
        <v>100</v>
      </c>
    </row>
    <row r="591" customFormat="false" ht="15" hidden="false" customHeight="false" outlineLevel="0" collapsed="false">
      <c r="A591" s="28" t="n">
        <v>590</v>
      </c>
      <c r="B591" s="37" t="s">
        <v>1126</v>
      </c>
      <c r="C591" s="38" t="s">
        <v>3045</v>
      </c>
      <c r="D591" s="38" t="n">
        <v>104</v>
      </c>
    </row>
    <row r="592" customFormat="false" ht="15" hidden="false" customHeight="false" outlineLevel="0" collapsed="false">
      <c r="A592" s="28" t="n">
        <v>591</v>
      </c>
      <c r="B592" s="37" t="s">
        <v>1127</v>
      </c>
      <c r="C592" s="38" t="s">
        <v>3046</v>
      </c>
      <c r="D592" s="38" t="n">
        <v>93</v>
      </c>
    </row>
    <row r="593" customFormat="false" ht="15" hidden="false" customHeight="false" outlineLevel="0" collapsed="false">
      <c r="A593" s="28" t="n">
        <v>592</v>
      </c>
      <c r="B593" s="37" t="s">
        <v>1129</v>
      </c>
      <c r="C593" s="38" t="s">
        <v>2985</v>
      </c>
      <c r="D593" s="38" t="n">
        <v>94</v>
      </c>
    </row>
    <row r="594" customFormat="false" ht="15" hidden="false" customHeight="false" outlineLevel="0" collapsed="false">
      <c r="A594" s="28" t="n">
        <v>593</v>
      </c>
      <c r="B594" s="37" t="s">
        <v>1130</v>
      </c>
      <c r="C594" s="38" t="s">
        <v>3047</v>
      </c>
      <c r="D594" s="38" t="n">
        <v>100</v>
      </c>
    </row>
    <row r="595" customFormat="false" ht="15" hidden="false" customHeight="false" outlineLevel="0" collapsed="false">
      <c r="A595" s="28" t="n">
        <v>594</v>
      </c>
      <c r="B595" s="37" t="s">
        <v>1131</v>
      </c>
      <c r="C595" s="38" t="s">
        <v>2914</v>
      </c>
      <c r="D595" s="38" t="n">
        <v>101</v>
      </c>
    </row>
    <row r="596" customFormat="false" ht="15" hidden="false" customHeight="false" outlineLevel="0" collapsed="false">
      <c r="A596" s="28" t="n">
        <v>595</v>
      </c>
      <c r="B596" s="37" t="s">
        <v>1133</v>
      </c>
      <c r="C596" s="38" t="s">
        <v>3048</v>
      </c>
      <c r="D596" s="38" t="n">
        <v>105</v>
      </c>
    </row>
    <row r="597" customFormat="false" ht="15" hidden="false" customHeight="false" outlineLevel="0" collapsed="false">
      <c r="A597" s="28" t="n">
        <v>596</v>
      </c>
      <c r="B597" s="37" t="s">
        <v>1134</v>
      </c>
      <c r="C597" s="38" t="s">
        <v>3049</v>
      </c>
      <c r="D597" s="38" t="n">
        <v>92</v>
      </c>
    </row>
    <row r="598" customFormat="false" ht="15" hidden="false" customHeight="false" outlineLevel="0" collapsed="false">
      <c r="A598" s="28" t="n">
        <v>597</v>
      </c>
      <c r="B598" s="37" t="s">
        <v>1136</v>
      </c>
      <c r="C598" s="38" t="s">
        <v>3050</v>
      </c>
      <c r="D598" s="38" t="n">
        <v>92</v>
      </c>
    </row>
    <row r="599" customFormat="false" ht="15" hidden="false" customHeight="false" outlineLevel="0" collapsed="false">
      <c r="A599" s="28" t="n">
        <v>598</v>
      </c>
      <c r="B599" s="37" t="s">
        <v>1137</v>
      </c>
      <c r="C599" s="38" t="s">
        <v>2972</v>
      </c>
      <c r="D599" s="38" t="n">
        <v>100</v>
      </c>
    </row>
    <row r="600" customFormat="false" ht="15" hidden="false" customHeight="false" outlineLevel="0" collapsed="false">
      <c r="A600" s="28" t="n">
        <v>599</v>
      </c>
      <c r="B600" s="37" t="s">
        <v>1138</v>
      </c>
      <c r="C600" s="38" t="s">
        <v>3051</v>
      </c>
      <c r="D600" s="38" t="n">
        <v>100</v>
      </c>
    </row>
    <row r="601" customFormat="false" ht="15" hidden="false" customHeight="false" outlineLevel="0" collapsed="false">
      <c r="A601" s="28" t="n">
        <v>600</v>
      </c>
      <c r="B601" s="37" t="s">
        <v>1139</v>
      </c>
      <c r="C601" s="38" t="s">
        <v>3052</v>
      </c>
      <c r="D601" s="38" t="n">
        <v>96</v>
      </c>
    </row>
    <row r="602" customFormat="false" ht="15" hidden="false" customHeight="false" outlineLevel="0" collapsed="false">
      <c r="A602" s="28" t="n">
        <v>601</v>
      </c>
      <c r="B602" s="37" t="s">
        <v>1140</v>
      </c>
      <c r="C602" s="38" t="s">
        <v>3053</v>
      </c>
      <c r="D602" s="38" t="n">
        <v>90</v>
      </c>
    </row>
    <row r="603" customFormat="false" ht="15" hidden="false" customHeight="false" outlineLevel="0" collapsed="false">
      <c r="A603" s="28" t="n">
        <v>602</v>
      </c>
      <c r="B603" s="37" t="s">
        <v>1141</v>
      </c>
      <c r="C603" s="38" t="s">
        <v>3054</v>
      </c>
      <c r="D603" s="38" t="n">
        <v>104</v>
      </c>
    </row>
    <row r="604" customFormat="false" ht="15" hidden="false" customHeight="false" outlineLevel="0" collapsed="false">
      <c r="A604" s="28" t="n">
        <v>603</v>
      </c>
      <c r="B604" s="37" t="s">
        <v>1142</v>
      </c>
      <c r="C604" s="38" t="s">
        <v>3055</v>
      </c>
      <c r="D604" s="38" t="n">
        <v>86</v>
      </c>
    </row>
    <row r="605" customFormat="false" ht="15" hidden="false" customHeight="false" outlineLevel="0" collapsed="false">
      <c r="A605" s="28" t="n">
        <v>604</v>
      </c>
      <c r="B605" s="37" t="s">
        <v>1143</v>
      </c>
      <c r="C605" s="38" t="s">
        <v>3056</v>
      </c>
      <c r="D605" s="38" t="n">
        <v>105</v>
      </c>
    </row>
    <row r="606" customFormat="false" ht="15" hidden="false" customHeight="false" outlineLevel="0" collapsed="false">
      <c r="A606" s="28" t="n">
        <v>605</v>
      </c>
      <c r="B606" s="37" t="s">
        <v>1144</v>
      </c>
      <c r="C606" s="38" t="s">
        <v>3057</v>
      </c>
      <c r="D606" s="38" t="n">
        <v>100</v>
      </c>
    </row>
    <row r="607" customFormat="false" ht="15" hidden="false" customHeight="false" outlineLevel="0" collapsed="false">
      <c r="A607" s="28" t="n">
        <v>606</v>
      </c>
      <c r="B607" s="37" t="s">
        <v>1145</v>
      </c>
      <c r="C607" s="38" t="s">
        <v>3058</v>
      </c>
      <c r="D607" s="38" t="n">
        <v>97</v>
      </c>
    </row>
    <row r="608" customFormat="false" ht="15" hidden="false" customHeight="false" outlineLevel="0" collapsed="false">
      <c r="A608" s="28" t="n">
        <v>607</v>
      </c>
      <c r="B608" s="37" t="s">
        <v>1146</v>
      </c>
      <c r="C608" s="38" t="s">
        <v>3059</v>
      </c>
      <c r="D608" s="38" t="n">
        <v>100</v>
      </c>
    </row>
    <row r="609" customFormat="false" ht="15" hidden="false" customHeight="false" outlineLevel="0" collapsed="false">
      <c r="A609" s="28" t="n">
        <v>608</v>
      </c>
      <c r="B609" s="37" t="s">
        <v>1148</v>
      </c>
      <c r="C609" s="38" t="s">
        <v>3060</v>
      </c>
      <c r="D609" s="38" t="n">
        <v>82</v>
      </c>
    </row>
    <row r="610" customFormat="false" ht="15" hidden="false" customHeight="false" outlineLevel="0" collapsed="false">
      <c r="A610" s="28" t="n">
        <v>609</v>
      </c>
      <c r="B610" s="37" t="s">
        <v>1149</v>
      </c>
      <c r="C610" s="38" t="s">
        <v>3061</v>
      </c>
      <c r="D610" s="38" t="n">
        <v>101</v>
      </c>
    </row>
    <row r="611" customFormat="false" ht="15" hidden="false" customHeight="false" outlineLevel="0" collapsed="false">
      <c r="A611" s="28" t="n">
        <v>610</v>
      </c>
      <c r="B611" s="37" t="s">
        <v>1151</v>
      </c>
      <c r="C611" s="38" t="s">
        <v>3062</v>
      </c>
      <c r="D611" s="38" t="n">
        <v>104</v>
      </c>
    </row>
    <row r="612" customFormat="false" ht="15" hidden="false" customHeight="false" outlineLevel="0" collapsed="false">
      <c r="A612" s="28" t="n">
        <v>611</v>
      </c>
      <c r="B612" s="37" t="s">
        <v>1152</v>
      </c>
      <c r="C612" s="38" t="s">
        <v>3063</v>
      </c>
      <c r="D612" s="38" t="n">
        <v>100</v>
      </c>
    </row>
    <row r="613" customFormat="false" ht="15" hidden="false" customHeight="false" outlineLevel="0" collapsed="false">
      <c r="A613" s="28" t="n">
        <v>612</v>
      </c>
      <c r="B613" s="37" t="s">
        <v>1153</v>
      </c>
      <c r="C613" s="38" t="s">
        <v>3064</v>
      </c>
      <c r="D613" s="38" t="n">
        <v>91</v>
      </c>
    </row>
    <row r="614" customFormat="false" ht="15" hidden="false" customHeight="false" outlineLevel="0" collapsed="false">
      <c r="A614" s="28" t="n">
        <v>613</v>
      </c>
      <c r="B614" s="37" t="s">
        <v>1154</v>
      </c>
      <c r="C614" s="38" t="s">
        <v>3065</v>
      </c>
      <c r="D614" s="38" t="n">
        <v>91</v>
      </c>
    </row>
    <row r="615" customFormat="false" ht="15" hidden="false" customHeight="false" outlineLevel="0" collapsed="false">
      <c r="A615" s="28" t="n">
        <v>614</v>
      </c>
      <c r="B615" s="37" t="s">
        <v>1155</v>
      </c>
      <c r="C615" s="38" t="s">
        <v>3066</v>
      </c>
      <c r="D615" s="38" t="n">
        <v>93</v>
      </c>
    </row>
    <row r="616" customFormat="false" ht="15" hidden="false" customHeight="false" outlineLevel="0" collapsed="false">
      <c r="A616" s="28" t="n">
        <v>615</v>
      </c>
      <c r="B616" s="37" t="s">
        <v>1156</v>
      </c>
      <c r="C616" s="38" t="s">
        <v>3067</v>
      </c>
      <c r="D616" s="38" t="n">
        <v>96</v>
      </c>
    </row>
    <row r="617" customFormat="false" ht="15" hidden="false" customHeight="false" outlineLevel="0" collapsed="false">
      <c r="A617" s="28" t="n">
        <v>616</v>
      </c>
      <c r="B617" s="37" t="s">
        <v>1157</v>
      </c>
      <c r="C617" s="38" t="s">
        <v>3068</v>
      </c>
      <c r="D617" s="38" t="n">
        <v>102</v>
      </c>
    </row>
    <row r="618" customFormat="false" ht="15" hidden="false" customHeight="false" outlineLevel="0" collapsed="false">
      <c r="A618" s="28" t="n">
        <v>617</v>
      </c>
      <c r="B618" s="37" t="s">
        <v>1158</v>
      </c>
      <c r="C618" s="38" t="s">
        <v>2855</v>
      </c>
      <c r="D618" s="38" t="n">
        <v>73</v>
      </c>
    </row>
    <row r="619" customFormat="false" ht="15" hidden="false" customHeight="false" outlineLevel="0" collapsed="false">
      <c r="A619" s="28" t="n">
        <v>618</v>
      </c>
      <c r="B619" s="37" t="s">
        <v>1159</v>
      </c>
      <c r="C619" s="38" t="s">
        <v>3069</v>
      </c>
      <c r="D619" s="38" t="n">
        <v>99</v>
      </c>
    </row>
    <row r="620" customFormat="false" ht="15" hidden="false" customHeight="false" outlineLevel="0" collapsed="false">
      <c r="A620" s="28" t="n">
        <v>619</v>
      </c>
      <c r="B620" s="37" t="s">
        <v>1160</v>
      </c>
      <c r="C620" s="38" t="s">
        <v>3070</v>
      </c>
      <c r="D620" s="38" t="n">
        <v>89</v>
      </c>
    </row>
    <row r="621" customFormat="false" ht="15" hidden="false" customHeight="false" outlineLevel="0" collapsed="false">
      <c r="A621" s="28" t="n">
        <v>620</v>
      </c>
      <c r="B621" s="37" t="s">
        <v>1161</v>
      </c>
      <c r="C621" s="38" t="s">
        <v>3071</v>
      </c>
      <c r="D621" s="38" t="n">
        <v>99</v>
      </c>
    </row>
    <row r="622" customFormat="false" ht="15" hidden="false" customHeight="false" outlineLevel="0" collapsed="false">
      <c r="A622" s="28" t="n">
        <v>621</v>
      </c>
      <c r="B622" s="37" t="s">
        <v>1162</v>
      </c>
      <c r="C622" s="38" t="s">
        <v>3072</v>
      </c>
      <c r="D622" s="38" t="n">
        <v>100</v>
      </c>
    </row>
    <row r="623" customFormat="false" ht="15" hidden="false" customHeight="false" outlineLevel="0" collapsed="false">
      <c r="A623" s="28" t="n">
        <v>622</v>
      </c>
      <c r="B623" s="37" t="s">
        <v>1163</v>
      </c>
      <c r="C623" s="38" t="s">
        <v>3073</v>
      </c>
      <c r="D623" s="38" t="n">
        <v>96</v>
      </c>
    </row>
    <row r="624" customFormat="false" ht="15" hidden="false" customHeight="false" outlineLevel="0" collapsed="false">
      <c r="A624" s="28" t="n">
        <v>623</v>
      </c>
      <c r="B624" s="37" t="s">
        <v>1164</v>
      </c>
      <c r="C624" s="38" t="s">
        <v>3074</v>
      </c>
      <c r="D624" s="38" t="n">
        <v>88</v>
      </c>
    </row>
    <row r="625" customFormat="false" ht="15" hidden="false" customHeight="false" outlineLevel="0" collapsed="false">
      <c r="A625" s="28" t="n">
        <v>624</v>
      </c>
      <c r="B625" s="37" t="s">
        <v>1165</v>
      </c>
      <c r="C625" s="38" t="s">
        <v>3075</v>
      </c>
      <c r="D625" s="38" t="n">
        <v>99</v>
      </c>
    </row>
    <row r="626" customFormat="false" ht="15" hidden="false" customHeight="false" outlineLevel="0" collapsed="false">
      <c r="A626" s="28" t="n">
        <v>625</v>
      </c>
      <c r="B626" s="37" t="s">
        <v>1167</v>
      </c>
      <c r="C626" s="38" t="s">
        <v>3076</v>
      </c>
      <c r="D626" s="38" t="n">
        <v>89</v>
      </c>
    </row>
    <row r="627" customFormat="false" ht="15" hidden="false" customHeight="false" outlineLevel="0" collapsed="false">
      <c r="A627" s="28" t="n">
        <v>626</v>
      </c>
      <c r="B627" s="37" t="s">
        <v>1168</v>
      </c>
      <c r="C627" s="38" t="s">
        <v>3077</v>
      </c>
      <c r="D627" s="38" t="n">
        <v>96</v>
      </c>
    </row>
    <row r="628" customFormat="false" ht="15" hidden="false" customHeight="false" outlineLevel="0" collapsed="false">
      <c r="A628" s="28" t="n">
        <v>627</v>
      </c>
      <c r="B628" s="37" t="s">
        <v>1169</v>
      </c>
      <c r="C628" s="38" t="s">
        <v>3078</v>
      </c>
      <c r="D628" s="38" t="n">
        <v>95</v>
      </c>
    </row>
    <row r="629" customFormat="false" ht="15" hidden="false" customHeight="false" outlineLevel="0" collapsed="false">
      <c r="A629" s="28" t="n">
        <v>628</v>
      </c>
      <c r="B629" s="37" t="s">
        <v>1170</v>
      </c>
      <c r="C629" s="38" t="s">
        <v>3079</v>
      </c>
      <c r="D629" s="38" t="n">
        <v>76</v>
      </c>
    </row>
    <row r="630" customFormat="false" ht="15" hidden="false" customHeight="false" outlineLevel="0" collapsed="false">
      <c r="A630" s="28" t="n">
        <v>629</v>
      </c>
      <c r="B630" s="37" t="s">
        <v>1171</v>
      </c>
      <c r="C630" s="38" t="s">
        <v>3080</v>
      </c>
      <c r="D630" s="38" t="n">
        <v>96</v>
      </c>
    </row>
    <row r="631" customFormat="false" ht="15" hidden="false" customHeight="false" outlineLevel="0" collapsed="false">
      <c r="A631" s="28" t="n">
        <v>630</v>
      </c>
      <c r="B631" s="37" t="s">
        <v>1172</v>
      </c>
      <c r="C631" s="38" t="s">
        <v>3081</v>
      </c>
      <c r="D631" s="38" t="n">
        <v>103</v>
      </c>
    </row>
    <row r="632" customFormat="false" ht="15" hidden="false" customHeight="false" outlineLevel="0" collapsed="false">
      <c r="A632" s="28" t="n">
        <v>631</v>
      </c>
      <c r="B632" s="37" t="s">
        <v>1173</v>
      </c>
      <c r="C632" s="38" t="s">
        <v>3082</v>
      </c>
      <c r="D632" s="38" t="n">
        <v>115</v>
      </c>
    </row>
    <row r="633" customFormat="false" ht="15" hidden="false" customHeight="false" outlineLevel="0" collapsed="false">
      <c r="A633" s="28" t="n">
        <v>632</v>
      </c>
      <c r="B633" s="37" t="s">
        <v>1174</v>
      </c>
      <c r="C633" s="38" t="s">
        <v>3083</v>
      </c>
      <c r="D633" s="38" t="n">
        <v>104</v>
      </c>
    </row>
    <row r="634" customFormat="false" ht="15" hidden="false" customHeight="false" outlineLevel="0" collapsed="false">
      <c r="A634" s="28" t="n">
        <v>633</v>
      </c>
      <c r="B634" s="37" t="s">
        <v>1176</v>
      </c>
      <c r="C634" s="38" t="s">
        <v>3084</v>
      </c>
      <c r="D634" s="38" t="n">
        <v>100</v>
      </c>
    </row>
    <row r="635" customFormat="false" ht="15" hidden="false" customHeight="false" outlineLevel="0" collapsed="false">
      <c r="A635" s="28" t="n">
        <v>634</v>
      </c>
      <c r="B635" s="37" t="s">
        <v>1177</v>
      </c>
      <c r="C635" s="38" t="s">
        <v>3085</v>
      </c>
      <c r="D635" s="38" t="n">
        <v>108</v>
      </c>
    </row>
    <row r="636" customFormat="false" ht="15" hidden="false" customHeight="false" outlineLevel="0" collapsed="false">
      <c r="A636" s="28" t="n">
        <v>635</v>
      </c>
      <c r="B636" s="37" t="s">
        <v>1178</v>
      </c>
      <c r="C636" s="38" t="s">
        <v>3086</v>
      </c>
      <c r="D636" s="38" t="n">
        <v>102</v>
      </c>
    </row>
    <row r="637" customFormat="false" ht="15" hidden="false" customHeight="false" outlineLevel="0" collapsed="false">
      <c r="A637" s="28" t="n">
        <v>636</v>
      </c>
      <c r="B637" s="37" t="s">
        <v>1179</v>
      </c>
      <c r="C637" s="38" t="s">
        <v>3087</v>
      </c>
      <c r="D637" s="38" t="n">
        <v>103</v>
      </c>
    </row>
    <row r="638" customFormat="false" ht="15" hidden="false" customHeight="false" outlineLevel="0" collapsed="false">
      <c r="A638" s="28" t="n">
        <v>637</v>
      </c>
      <c r="B638" s="37" t="s">
        <v>1180</v>
      </c>
      <c r="C638" s="38" t="s">
        <v>3088</v>
      </c>
      <c r="D638" s="38" t="n">
        <v>103</v>
      </c>
    </row>
    <row r="639" customFormat="false" ht="15" hidden="false" customHeight="false" outlineLevel="0" collapsed="false">
      <c r="A639" s="28" t="n">
        <v>638</v>
      </c>
      <c r="B639" s="37" t="s">
        <v>1181</v>
      </c>
      <c r="C639" s="38" t="s">
        <v>3089</v>
      </c>
      <c r="D639" s="38" t="n">
        <v>105</v>
      </c>
    </row>
    <row r="640" customFormat="false" ht="15" hidden="false" customHeight="false" outlineLevel="0" collapsed="false">
      <c r="A640" s="28" t="n">
        <v>639</v>
      </c>
      <c r="B640" s="37" t="s">
        <v>1182</v>
      </c>
      <c r="C640" s="38" t="s">
        <v>3090</v>
      </c>
      <c r="D640" s="38" t="n">
        <v>108</v>
      </c>
    </row>
    <row r="641" customFormat="false" ht="15" hidden="false" customHeight="false" outlineLevel="0" collapsed="false">
      <c r="A641" s="28" t="n">
        <v>640</v>
      </c>
      <c r="B641" s="37" t="s">
        <v>1183</v>
      </c>
      <c r="C641" s="38" t="s">
        <v>3091</v>
      </c>
      <c r="D641" s="38" t="n">
        <v>91</v>
      </c>
    </row>
    <row r="642" customFormat="false" ht="15" hidden="false" customHeight="false" outlineLevel="0" collapsed="false">
      <c r="A642" s="28" t="n">
        <v>641</v>
      </c>
      <c r="B642" s="37" t="s">
        <v>1184</v>
      </c>
      <c r="C642" s="38" t="s">
        <v>3092</v>
      </c>
      <c r="D642" s="38" t="n">
        <v>99</v>
      </c>
    </row>
    <row r="643" customFormat="false" ht="15" hidden="false" customHeight="false" outlineLevel="0" collapsed="false">
      <c r="A643" s="28" t="n">
        <v>642</v>
      </c>
      <c r="B643" s="37" t="s">
        <v>1185</v>
      </c>
      <c r="C643" s="38" t="s">
        <v>3093</v>
      </c>
      <c r="D643" s="38" t="n">
        <v>99</v>
      </c>
    </row>
    <row r="644" customFormat="false" ht="15" hidden="false" customHeight="false" outlineLevel="0" collapsed="false">
      <c r="A644" s="28" t="n">
        <v>643</v>
      </c>
      <c r="B644" s="37" t="s">
        <v>3094</v>
      </c>
      <c r="C644" s="38" t="s">
        <v>3095</v>
      </c>
      <c r="D644" s="38" t="n">
        <v>78</v>
      </c>
    </row>
    <row r="645" customFormat="false" ht="15" hidden="false" customHeight="false" outlineLevel="0" collapsed="false">
      <c r="A645" s="28" t="n">
        <v>644</v>
      </c>
      <c r="B645" s="37" t="s">
        <v>1186</v>
      </c>
      <c r="C645" s="38" t="s">
        <v>3096</v>
      </c>
      <c r="D645" s="38" t="n">
        <v>90</v>
      </c>
    </row>
    <row r="646" customFormat="false" ht="15" hidden="false" customHeight="false" outlineLevel="0" collapsed="false">
      <c r="A646" s="28" t="n">
        <v>645</v>
      </c>
      <c r="B646" s="37" t="s">
        <v>1187</v>
      </c>
      <c r="C646" s="38" t="s">
        <v>3097</v>
      </c>
      <c r="D646" s="38" t="n">
        <v>96</v>
      </c>
    </row>
    <row r="647" customFormat="false" ht="15" hidden="false" customHeight="false" outlineLevel="0" collapsed="false">
      <c r="A647" s="28" t="n">
        <v>646</v>
      </c>
      <c r="B647" s="37" t="s">
        <v>1188</v>
      </c>
      <c r="C647" s="38" t="s">
        <v>3098</v>
      </c>
      <c r="D647" s="38" t="n">
        <v>92</v>
      </c>
    </row>
    <row r="648" customFormat="false" ht="15" hidden="false" customHeight="false" outlineLevel="0" collapsed="false">
      <c r="A648" s="28" t="n">
        <v>647</v>
      </c>
      <c r="B648" s="37" t="s">
        <v>1190</v>
      </c>
      <c r="C648" s="38" t="s">
        <v>3099</v>
      </c>
      <c r="D648" s="38" t="n">
        <v>97</v>
      </c>
    </row>
    <row r="649" customFormat="false" ht="15" hidden="false" customHeight="false" outlineLevel="0" collapsed="false">
      <c r="A649" s="28" t="n">
        <v>648</v>
      </c>
      <c r="B649" s="37" t="s">
        <v>1191</v>
      </c>
      <c r="C649" s="38" t="s">
        <v>3100</v>
      </c>
      <c r="D649" s="38" t="n">
        <v>102</v>
      </c>
    </row>
    <row r="650" customFormat="false" ht="15" hidden="false" customHeight="false" outlineLevel="0" collapsed="false">
      <c r="A650" s="28" t="n">
        <v>649</v>
      </c>
      <c r="B650" s="37" t="s">
        <v>1192</v>
      </c>
      <c r="C650" s="38" t="s">
        <v>3101</v>
      </c>
      <c r="D650" s="38" t="n">
        <v>100</v>
      </c>
    </row>
    <row r="651" customFormat="false" ht="15" hidden="false" customHeight="false" outlineLevel="0" collapsed="false">
      <c r="A651" s="28" t="n">
        <v>650</v>
      </c>
      <c r="B651" s="37" t="s">
        <v>1193</v>
      </c>
      <c r="C651" s="38" t="s">
        <v>3102</v>
      </c>
      <c r="D651" s="38" t="n">
        <v>92</v>
      </c>
    </row>
    <row r="652" customFormat="false" ht="15" hidden="false" customHeight="false" outlineLevel="0" collapsed="false">
      <c r="A652" s="28" t="n">
        <v>651</v>
      </c>
      <c r="B652" s="37" t="s">
        <v>1194</v>
      </c>
      <c r="C652" s="38" t="s">
        <v>3103</v>
      </c>
      <c r="D652" s="38" t="n">
        <v>104</v>
      </c>
    </row>
    <row r="653" customFormat="false" ht="15" hidden="false" customHeight="false" outlineLevel="0" collapsed="false">
      <c r="A653" s="28" t="n">
        <v>652</v>
      </c>
      <c r="B653" s="37" t="s">
        <v>1195</v>
      </c>
      <c r="C653" s="38" t="s">
        <v>3104</v>
      </c>
      <c r="D653" s="38" t="n">
        <v>97</v>
      </c>
    </row>
    <row r="654" customFormat="false" ht="15" hidden="false" customHeight="false" outlineLevel="0" collapsed="false">
      <c r="A654" s="28" t="n">
        <v>653</v>
      </c>
      <c r="B654" s="37" t="s">
        <v>1196</v>
      </c>
      <c r="C654" s="38" t="s">
        <v>3105</v>
      </c>
      <c r="D654" s="38" t="n">
        <v>103</v>
      </c>
    </row>
    <row r="655" customFormat="false" ht="15" hidden="false" customHeight="false" outlineLevel="0" collapsed="false">
      <c r="A655" s="28" t="n">
        <v>654</v>
      </c>
      <c r="B655" s="37" t="s">
        <v>1197</v>
      </c>
      <c r="C655" s="38" t="s">
        <v>3017</v>
      </c>
      <c r="D655" s="38" t="n">
        <v>102</v>
      </c>
    </row>
    <row r="656" customFormat="false" ht="15" hidden="false" customHeight="false" outlineLevel="0" collapsed="false">
      <c r="A656" s="28" t="n">
        <v>655</v>
      </c>
      <c r="B656" s="37" t="s">
        <v>1198</v>
      </c>
      <c r="C656" s="38" t="s">
        <v>3106</v>
      </c>
      <c r="D656" s="38" t="n">
        <v>99</v>
      </c>
    </row>
    <row r="657" customFormat="false" ht="15" hidden="false" customHeight="false" outlineLevel="0" collapsed="false">
      <c r="A657" s="28" t="n">
        <v>656</v>
      </c>
      <c r="B657" s="37" t="s">
        <v>1199</v>
      </c>
      <c r="C657" s="38" t="s">
        <v>3107</v>
      </c>
      <c r="D657" s="38" t="n">
        <v>101</v>
      </c>
    </row>
    <row r="658" customFormat="false" ht="15" hidden="false" customHeight="false" outlineLevel="0" collapsed="false">
      <c r="A658" s="28" t="n">
        <v>657</v>
      </c>
      <c r="B658" s="37" t="s">
        <v>1200</v>
      </c>
      <c r="C658" s="38" t="s">
        <v>3108</v>
      </c>
      <c r="D658" s="38" t="n">
        <v>102</v>
      </c>
    </row>
    <row r="659" customFormat="false" ht="15" hidden="false" customHeight="false" outlineLevel="0" collapsed="false">
      <c r="A659" s="28" t="n">
        <v>658</v>
      </c>
      <c r="B659" s="37" t="s">
        <v>1201</v>
      </c>
      <c r="C659" s="38" t="s">
        <v>3109</v>
      </c>
      <c r="D659" s="38" t="n">
        <v>101</v>
      </c>
    </row>
    <row r="660" customFormat="false" ht="15" hidden="false" customHeight="false" outlineLevel="0" collapsed="false">
      <c r="A660" s="28" t="n">
        <v>659</v>
      </c>
      <c r="B660" s="37" t="s">
        <v>1202</v>
      </c>
      <c r="C660" s="38" t="s">
        <v>3110</v>
      </c>
      <c r="D660" s="38" t="n">
        <v>102</v>
      </c>
    </row>
    <row r="661" customFormat="false" ht="15" hidden="false" customHeight="false" outlineLevel="0" collapsed="false">
      <c r="A661" s="28" t="n">
        <v>660</v>
      </c>
      <c r="B661" s="37" t="s">
        <v>1203</v>
      </c>
      <c r="C661" s="38" t="s">
        <v>3111</v>
      </c>
      <c r="D661" s="38" t="n">
        <v>96</v>
      </c>
    </row>
    <row r="662" customFormat="false" ht="15" hidden="false" customHeight="false" outlineLevel="0" collapsed="false">
      <c r="A662" s="28" t="n">
        <v>661</v>
      </c>
      <c r="B662" s="37" t="s">
        <v>1204</v>
      </c>
      <c r="C662" s="38" t="s">
        <v>3112</v>
      </c>
      <c r="D662" s="38" t="n">
        <v>105</v>
      </c>
    </row>
    <row r="663" customFormat="false" ht="15" hidden="false" customHeight="false" outlineLevel="0" collapsed="false">
      <c r="A663" s="28" t="n">
        <v>662</v>
      </c>
      <c r="B663" s="37" t="s">
        <v>1206</v>
      </c>
      <c r="C663" s="38" t="s">
        <v>3113</v>
      </c>
      <c r="D663" s="38" t="n">
        <v>100</v>
      </c>
    </row>
    <row r="664" customFormat="false" ht="15" hidden="false" customHeight="false" outlineLevel="0" collapsed="false">
      <c r="A664" s="28" t="n">
        <v>663</v>
      </c>
      <c r="B664" s="37" t="s">
        <v>1207</v>
      </c>
      <c r="C664" s="38" t="s">
        <v>3114</v>
      </c>
      <c r="D664" s="38" t="n">
        <v>103</v>
      </c>
    </row>
    <row r="665" customFormat="false" ht="15" hidden="false" customHeight="false" outlineLevel="0" collapsed="false">
      <c r="A665" s="28" t="n">
        <v>664</v>
      </c>
      <c r="B665" s="37" t="s">
        <v>1208</v>
      </c>
      <c r="C665" s="38" t="s">
        <v>3115</v>
      </c>
      <c r="D665" s="38" t="n">
        <v>102</v>
      </c>
    </row>
    <row r="666" customFormat="false" ht="15" hidden="false" customHeight="false" outlineLevel="0" collapsed="false">
      <c r="A666" s="28" t="n">
        <v>665</v>
      </c>
      <c r="B666" s="37" t="s">
        <v>1209</v>
      </c>
      <c r="C666" s="38" t="s">
        <v>3116</v>
      </c>
      <c r="D666" s="38" t="n">
        <v>108</v>
      </c>
    </row>
    <row r="667" customFormat="false" ht="15" hidden="false" customHeight="false" outlineLevel="0" collapsed="false">
      <c r="A667" s="28" t="n">
        <v>666</v>
      </c>
      <c r="B667" s="37" t="s">
        <v>1211</v>
      </c>
      <c r="C667" s="38" t="s">
        <v>3117</v>
      </c>
      <c r="D667" s="38" t="n">
        <v>103</v>
      </c>
    </row>
    <row r="668" customFormat="false" ht="15" hidden="false" customHeight="false" outlineLevel="0" collapsed="false">
      <c r="A668" s="28" t="n">
        <v>667</v>
      </c>
      <c r="B668" s="37" t="s">
        <v>1212</v>
      </c>
      <c r="C668" s="38" t="s">
        <v>3118</v>
      </c>
      <c r="D668" s="38" t="n">
        <v>102</v>
      </c>
    </row>
    <row r="669" customFormat="false" ht="15" hidden="false" customHeight="false" outlineLevel="0" collapsed="false">
      <c r="A669" s="28" t="n">
        <v>668</v>
      </c>
      <c r="B669" s="37" t="s">
        <v>1213</v>
      </c>
      <c r="C669" s="38" t="s">
        <v>3119</v>
      </c>
      <c r="D669" s="38" t="n">
        <v>103</v>
      </c>
    </row>
    <row r="670" customFormat="false" ht="15" hidden="false" customHeight="false" outlineLevel="0" collapsed="false">
      <c r="A670" s="28" t="n">
        <v>669</v>
      </c>
      <c r="B670" s="37" t="s">
        <v>1214</v>
      </c>
      <c r="C670" s="38" t="s">
        <v>3120</v>
      </c>
      <c r="D670" s="38" t="n">
        <v>96</v>
      </c>
    </row>
    <row r="671" customFormat="false" ht="15" hidden="false" customHeight="false" outlineLevel="0" collapsed="false">
      <c r="A671" s="28" t="n">
        <v>670</v>
      </c>
      <c r="B671" s="37" t="s">
        <v>1215</v>
      </c>
      <c r="C671" s="38" t="s">
        <v>3121</v>
      </c>
      <c r="D671" s="38" t="n">
        <v>104</v>
      </c>
    </row>
    <row r="672" customFormat="false" ht="15" hidden="false" customHeight="false" outlineLevel="0" collapsed="false">
      <c r="A672" s="28" t="n">
        <v>671</v>
      </c>
      <c r="B672" s="37" t="s">
        <v>1216</v>
      </c>
      <c r="C672" s="38" t="s">
        <v>3122</v>
      </c>
      <c r="D672" s="38" t="n">
        <v>97</v>
      </c>
    </row>
    <row r="673" customFormat="false" ht="15" hidden="false" customHeight="false" outlineLevel="0" collapsed="false">
      <c r="A673" s="28" t="n">
        <v>672</v>
      </c>
      <c r="B673" s="37" t="s">
        <v>1217</v>
      </c>
      <c r="C673" s="38" t="s">
        <v>2551</v>
      </c>
      <c r="D673" s="38" t="n">
        <v>75</v>
      </c>
    </row>
    <row r="674" customFormat="false" ht="15" hidden="false" customHeight="false" outlineLevel="0" collapsed="false">
      <c r="A674" s="28" t="n">
        <v>673</v>
      </c>
      <c r="B674" s="37" t="s">
        <v>1218</v>
      </c>
      <c r="C674" s="38" t="s">
        <v>3123</v>
      </c>
      <c r="D674" s="38" t="n">
        <v>102</v>
      </c>
    </row>
    <row r="675" customFormat="false" ht="15" hidden="false" customHeight="false" outlineLevel="0" collapsed="false">
      <c r="A675" s="28" t="n">
        <v>674</v>
      </c>
      <c r="B675" s="37" t="s">
        <v>1219</v>
      </c>
      <c r="C675" s="38" t="s">
        <v>3124</v>
      </c>
      <c r="D675" s="38" t="n">
        <v>98</v>
      </c>
    </row>
    <row r="676" customFormat="false" ht="15" hidden="false" customHeight="false" outlineLevel="0" collapsed="false">
      <c r="A676" s="28" t="n">
        <v>675</v>
      </c>
      <c r="B676" s="37" t="s">
        <v>1221</v>
      </c>
      <c r="C676" s="38" t="s">
        <v>3125</v>
      </c>
      <c r="D676" s="38" t="n">
        <v>103</v>
      </c>
    </row>
    <row r="677" customFormat="false" ht="15" hidden="false" customHeight="false" outlineLevel="0" collapsed="false">
      <c r="A677" s="28" t="n">
        <v>676</v>
      </c>
      <c r="B677" s="37" t="s">
        <v>1222</v>
      </c>
      <c r="C677" s="38" t="s">
        <v>3126</v>
      </c>
      <c r="D677" s="38" t="n">
        <v>108</v>
      </c>
    </row>
    <row r="678" customFormat="false" ht="15" hidden="false" customHeight="false" outlineLevel="0" collapsed="false">
      <c r="A678" s="28" t="n">
        <v>677</v>
      </c>
      <c r="B678" s="37" t="s">
        <v>1223</v>
      </c>
      <c r="C678" s="38" t="s">
        <v>3127</v>
      </c>
      <c r="D678" s="38" t="n">
        <v>90</v>
      </c>
    </row>
    <row r="679" customFormat="false" ht="15" hidden="false" customHeight="false" outlineLevel="0" collapsed="false">
      <c r="A679" s="28" t="n">
        <v>678</v>
      </c>
      <c r="B679" s="37" t="s">
        <v>1225</v>
      </c>
      <c r="C679" s="38" t="s">
        <v>3128</v>
      </c>
      <c r="D679" s="38" t="n">
        <v>104</v>
      </c>
    </row>
    <row r="680" customFormat="false" ht="15" hidden="false" customHeight="false" outlineLevel="0" collapsed="false">
      <c r="A680" s="28" t="n">
        <v>679</v>
      </c>
      <c r="B680" s="37" t="s">
        <v>1226</v>
      </c>
      <c r="C680" s="38" t="s">
        <v>3129</v>
      </c>
      <c r="D680" s="38" t="n">
        <v>104</v>
      </c>
    </row>
    <row r="681" customFormat="false" ht="15" hidden="false" customHeight="false" outlineLevel="0" collapsed="false">
      <c r="A681" s="28" t="n">
        <v>680</v>
      </c>
      <c r="B681" s="37" t="s">
        <v>1227</v>
      </c>
      <c r="C681" s="38" t="s">
        <v>3130</v>
      </c>
      <c r="D681" s="38" t="n">
        <v>110</v>
      </c>
    </row>
    <row r="682" customFormat="false" ht="15" hidden="false" customHeight="false" outlineLevel="0" collapsed="false">
      <c r="A682" s="28" t="n">
        <v>681</v>
      </c>
      <c r="B682" s="37" t="s">
        <v>1228</v>
      </c>
      <c r="C682" s="38" t="s">
        <v>3131</v>
      </c>
      <c r="D682" s="38" t="n">
        <v>100</v>
      </c>
    </row>
    <row r="683" customFormat="false" ht="15" hidden="false" customHeight="false" outlineLevel="0" collapsed="false">
      <c r="A683" s="28" t="n">
        <v>682</v>
      </c>
      <c r="B683" s="37" t="s">
        <v>1229</v>
      </c>
      <c r="C683" s="38" t="s">
        <v>3132</v>
      </c>
      <c r="D683" s="38" t="n">
        <v>105</v>
      </c>
    </row>
    <row r="684" customFormat="false" ht="15" hidden="false" customHeight="false" outlineLevel="0" collapsed="false">
      <c r="A684" s="28" t="n">
        <v>683</v>
      </c>
      <c r="B684" s="37" t="s">
        <v>1230</v>
      </c>
      <c r="C684" s="38" t="s">
        <v>3133</v>
      </c>
      <c r="D684" s="38" t="n">
        <v>101</v>
      </c>
    </row>
    <row r="685" customFormat="false" ht="15" hidden="false" customHeight="false" outlineLevel="0" collapsed="false">
      <c r="A685" s="28" t="n">
        <v>684</v>
      </c>
      <c r="B685" s="37" t="s">
        <v>1231</v>
      </c>
      <c r="C685" s="38" t="s">
        <v>3134</v>
      </c>
      <c r="D685" s="38" t="n">
        <v>98</v>
      </c>
    </row>
    <row r="686" customFormat="false" ht="15" hidden="false" customHeight="false" outlineLevel="0" collapsed="false">
      <c r="A686" s="28" t="n">
        <v>685</v>
      </c>
      <c r="B686" s="37" t="s">
        <v>1232</v>
      </c>
      <c r="C686" s="38" t="s">
        <v>3135</v>
      </c>
      <c r="D686" s="38" t="n">
        <v>101</v>
      </c>
    </row>
    <row r="687" customFormat="false" ht="15" hidden="false" customHeight="false" outlineLevel="0" collapsed="false">
      <c r="A687" s="28" t="n">
        <v>686</v>
      </c>
      <c r="B687" s="37" t="s">
        <v>1233</v>
      </c>
      <c r="C687" s="38" t="s">
        <v>2603</v>
      </c>
      <c r="D687" s="38" t="n">
        <v>95</v>
      </c>
    </row>
    <row r="688" customFormat="false" ht="15" hidden="false" customHeight="false" outlineLevel="0" collapsed="false">
      <c r="A688" s="28" t="n">
        <v>687</v>
      </c>
      <c r="B688" s="37" t="s">
        <v>1234</v>
      </c>
      <c r="C688" s="38" t="s">
        <v>3136</v>
      </c>
      <c r="D688" s="38" t="n">
        <v>102</v>
      </c>
    </row>
    <row r="689" customFormat="false" ht="15" hidden="false" customHeight="false" outlineLevel="0" collapsed="false">
      <c r="A689" s="28" t="n">
        <v>688</v>
      </c>
      <c r="B689" s="37" t="s">
        <v>1235</v>
      </c>
      <c r="C689" s="38" t="s">
        <v>3137</v>
      </c>
      <c r="D689" s="38" t="n">
        <v>96</v>
      </c>
    </row>
    <row r="690" customFormat="false" ht="15" hidden="false" customHeight="false" outlineLevel="0" collapsed="false">
      <c r="A690" s="28" t="n">
        <v>689</v>
      </c>
      <c r="B690" s="37" t="s">
        <v>1236</v>
      </c>
      <c r="C690" s="38" t="s">
        <v>3138</v>
      </c>
      <c r="D690" s="38" t="n">
        <v>93</v>
      </c>
    </row>
    <row r="691" customFormat="false" ht="15" hidden="false" customHeight="false" outlineLevel="0" collapsed="false">
      <c r="A691" s="28" t="n">
        <v>690</v>
      </c>
      <c r="B691" s="37" t="s">
        <v>1238</v>
      </c>
      <c r="C691" s="38" t="s">
        <v>3139</v>
      </c>
      <c r="D691" s="38" t="n">
        <v>98</v>
      </c>
    </row>
    <row r="692" customFormat="false" ht="15" hidden="false" customHeight="false" outlineLevel="0" collapsed="false">
      <c r="A692" s="28" t="n">
        <v>691</v>
      </c>
      <c r="B692" s="37" t="s">
        <v>1240</v>
      </c>
      <c r="C692" s="38" t="s">
        <v>3140</v>
      </c>
      <c r="D692" s="38" t="n">
        <v>119</v>
      </c>
    </row>
    <row r="693" customFormat="false" ht="15" hidden="false" customHeight="false" outlineLevel="0" collapsed="false">
      <c r="A693" s="28" t="n">
        <v>692</v>
      </c>
      <c r="B693" s="37" t="s">
        <v>1241</v>
      </c>
      <c r="C693" s="38" t="s">
        <v>3141</v>
      </c>
      <c r="D693" s="38" t="n">
        <v>106</v>
      </c>
    </row>
    <row r="694" customFormat="false" ht="15" hidden="false" customHeight="false" outlineLevel="0" collapsed="false">
      <c r="A694" s="28" t="n">
        <v>693</v>
      </c>
      <c r="B694" s="37" t="s">
        <v>1242</v>
      </c>
      <c r="C694" s="38" t="s">
        <v>3142</v>
      </c>
      <c r="D694" s="38" t="n">
        <v>111</v>
      </c>
    </row>
    <row r="695" customFormat="false" ht="15" hidden="false" customHeight="false" outlineLevel="0" collapsed="false">
      <c r="A695" s="28" t="n">
        <v>694</v>
      </c>
      <c r="B695" s="37" t="s">
        <v>1243</v>
      </c>
      <c r="C695" s="38" t="s">
        <v>3143</v>
      </c>
      <c r="D695" s="38" t="n">
        <v>90</v>
      </c>
    </row>
    <row r="696" customFormat="false" ht="15" hidden="false" customHeight="false" outlineLevel="0" collapsed="false">
      <c r="A696" s="28" t="n">
        <v>695</v>
      </c>
      <c r="B696" s="37" t="s">
        <v>1244</v>
      </c>
      <c r="C696" s="38" t="s">
        <v>3144</v>
      </c>
      <c r="D696" s="38" t="n">
        <v>102</v>
      </c>
    </row>
    <row r="697" customFormat="false" ht="15" hidden="false" customHeight="false" outlineLevel="0" collapsed="false">
      <c r="A697" s="28" t="n">
        <v>696</v>
      </c>
      <c r="B697" s="37" t="s">
        <v>1246</v>
      </c>
      <c r="C697" s="38" t="s">
        <v>3145</v>
      </c>
      <c r="D697" s="38" t="n">
        <v>99</v>
      </c>
    </row>
    <row r="698" customFormat="false" ht="15" hidden="false" customHeight="false" outlineLevel="0" collapsed="false">
      <c r="A698" s="28" t="n">
        <v>697</v>
      </c>
      <c r="B698" s="37" t="s">
        <v>1248</v>
      </c>
      <c r="C698" s="38" t="s">
        <v>3072</v>
      </c>
      <c r="D698" s="38" t="n">
        <v>100</v>
      </c>
    </row>
    <row r="699" customFormat="false" ht="15" hidden="false" customHeight="false" outlineLevel="0" collapsed="false">
      <c r="A699" s="28" t="n">
        <v>698</v>
      </c>
      <c r="B699" s="37" t="s">
        <v>1249</v>
      </c>
      <c r="C699" s="38" t="s">
        <v>3146</v>
      </c>
      <c r="D699" s="38" t="n">
        <v>87</v>
      </c>
    </row>
    <row r="700" customFormat="false" ht="15" hidden="false" customHeight="false" outlineLevel="0" collapsed="false">
      <c r="A700" s="28" t="n">
        <v>699</v>
      </c>
      <c r="B700" s="37" t="s">
        <v>1250</v>
      </c>
      <c r="C700" s="38" t="s">
        <v>2954</v>
      </c>
      <c r="D700" s="38" t="n">
        <v>98</v>
      </c>
    </row>
    <row r="701" customFormat="false" ht="15" hidden="false" customHeight="false" outlineLevel="0" collapsed="false">
      <c r="A701" s="28" t="n">
        <v>700</v>
      </c>
      <c r="B701" s="37" t="s">
        <v>1251</v>
      </c>
      <c r="C701" s="38" t="s">
        <v>3147</v>
      </c>
      <c r="D701" s="38" t="n">
        <v>115</v>
      </c>
    </row>
    <row r="702" customFormat="false" ht="15" hidden="false" customHeight="false" outlineLevel="0" collapsed="false">
      <c r="A702" s="28" t="n">
        <v>701</v>
      </c>
      <c r="B702" s="37" t="s">
        <v>1252</v>
      </c>
      <c r="C702" s="38" t="s">
        <v>3019</v>
      </c>
      <c r="D702" s="38" t="n">
        <v>95</v>
      </c>
    </row>
    <row r="703" customFormat="false" ht="15" hidden="false" customHeight="false" outlineLevel="0" collapsed="false">
      <c r="A703" s="28" t="n">
        <v>702</v>
      </c>
      <c r="B703" s="37" t="s">
        <v>1253</v>
      </c>
      <c r="C703" s="38" t="s">
        <v>3148</v>
      </c>
      <c r="D703" s="38" t="n">
        <v>104</v>
      </c>
    </row>
    <row r="704" customFormat="false" ht="15" hidden="false" customHeight="false" outlineLevel="0" collapsed="false">
      <c r="A704" s="28" t="n">
        <v>703</v>
      </c>
      <c r="B704" s="37" t="s">
        <v>1254</v>
      </c>
      <c r="C704" s="38" t="s">
        <v>3149</v>
      </c>
      <c r="D704" s="38" t="n">
        <v>89</v>
      </c>
    </row>
    <row r="705" customFormat="false" ht="15" hidden="false" customHeight="false" outlineLevel="0" collapsed="false">
      <c r="A705" s="28" t="n">
        <v>704</v>
      </c>
      <c r="B705" s="37" t="s">
        <v>1255</v>
      </c>
      <c r="C705" s="38" t="s">
        <v>3150</v>
      </c>
      <c r="D705" s="38" t="n">
        <v>97</v>
      </c>
    </row>
    <row r="706" customFormat="false" ht="15" hidden="false" customHeight="false" outlineLevel="0" collapsed="false">
      <c r="A706" s="28" t="n">
        <v>705</v>
      </c>
      <c r="B706" s="37" t="s">
        <v>307</v>
      </c>
      <c r="C706" s="38" t="s">
        <v>3151</v>
      </c>
      <c r="D706" s="38" t="n">
        <v>81</v>
      </c>
    </row>
    <row r="707" customFormat="false" ht="15" hidden="false" customHeight="false" outlineLevel="0" collapsed="false">
      <c r="A707" s="28" t="n">
        <v>706</v>
      </c>
      <c r="B707" s="37" t="s">
        <v>1256</v>
      </c>
      <c r="C707" s="38" t="s">
        <v>3152</v>
      </c>
      <c r="D707" s="38" t="n">
        <v>88</v>
      </c>
    </row>
    <row r="708" customFormat="false" ht="15" hidden="false" customHeight="false" outlineLevel="0" collapsed="false">
      <c r="A708" s="28" t="n">
        <v>707</v>
      </c>
      <c r="B708" s="37" t="s">
        <v>1257</v>
      </c>
      <c r="C708" s="38" t="s">
        <v>3153</v>
      </c>
      <c r="D708" s="38" t="n">
        <v>100</v>
      </c>
    </row>
    <row r="709" customFormat="false" ht="15" hidden="false" customHeight="false" outlineLevel="0" collapsed="false">
      <c r="A709" s="28" t="n">
        <v>708</v>
      </c>
      <c r="B709" s="37" t="s">
        <v>1258</v>
      </c>
      <c r="C709" s="38" t="s">
        <v>3154</v>
      </c>
      <c r="D709" s="38" t="n">
        <v>99</v>
      </c>
    </row>
    <row r="710" customFormat="false" ht="15" hidden="false" customHeight="false" outlineLevel="0" collapsed="false">
      <c r="A710" s="28" t="n">
        <v>709</v>
      </c>
      <c r="B710" s="37" t="s">
        <v>1260</v>
      </c>
      <c r="C710" s="38" t="s">
        <v>3155</v>
      </c>
      <c r="D710" s="38" t="n">
        <v>100</v>
      </c>
    </row>
    <row r="711" customFormat="false" ht="15" hidden="false" customHeight="false" outlineLevel="0" collapsed="false">
      <c r="A711" s="28" t="n">
        <v>710</v>
      </c>
      <c r="B711" s="37" t="s">
        <v>1261</v>
      </c>
      <c r="C711" s="38" t="s">
        <v>3156</v>
      </c>
      <c r="D711" s="38" t="n">
        <v>81</v>
      </c>
    </row>
    <row r="712" customFormat="false" ht="15" hidden="false" customHeight="false" outlineLevel="0" collapsed="false">
      <c r="A712" s="28" t="n">
        <v>711</v>
      </c>
      <c r="B712" s="37" t="s">
        <v>2450</v>
      </c>
      <c r="C712" s="38" t="s">
        <v>3157</v>
      </c>
      <c r="D712" s="38" t="n">
        <v>94</v>
      </c>
    </row>
    <row r="713" customFormat="false" ht="15" hidden="false" customHeight="false" outlineLevel="0" collapsed="false">
      <c r="A713" s="28" t="n">
        <v>712</v>
      </c>
      <c r="B713" s="37" t="s">
        <v>1262</v>
      </c>
      <c r="C713" s="38" t="s">
        <v>3158</v>
      </c>
      <c r="D713" s="38" t="n">
        <v>104</v>
      </c>
    </row>
    <row r="714" customFormat="false" ht="15" hidden="false" customHeight="false" outlineLevel="0" collapsed="false">
      <c r="A714" s="28" t="n">
        <v>713</v>
      </c>
      <c r="B714" s="37" t="s">
        <v>1263</v>
      </c>
      <c r="C714" s="38" t="s">
        <v>3159</v>
      </c>
      <c r="D714" s="38" t="n">
        <v>105</v>
      </c>
    </row>
    <row r="715" customFormat="false" ht="15" hidden="false" customHeight="false" outlineLevel="0" collapsed="false">
      <c r="A715" s="28" t="n">
        <v>714</v>
      </c>
      <c r="B715" s="37" t="s">
        <v>1266</v>
      </c>
      <c r="C715" s="38" t="s">
        <v>3160</v>
      </c>
      <c r="D715" s="38" t="n">
        <v>102</v>
      </c>
    </row>
    <row r="716" customFormat="false" ht="15" hidden="false" customHeight="false" outlineLevel="0" collapsed="false">
      <c r="A716" s="28" t="n">
        <v>715</v>
      </c>
      <c r="B716" s="37" t="s">
        <v>1267</v>
      </c>
      <c r="C716" s="38" t="s">
        <v>3161</v>
      </c>
      <c r="D716" s="38" t="n">
        <v>95</v>
      </c>
    </row>
    <row r="717" customFormat="false" ht="15" hidden="false" customHeight="false" outlineLevel="0" collapsed="false">
      <c r="A717" s="28" t="n">
        <v>716</v>
      </c>
      <c r="B717" s="37" t="s">
        <v>1268</v>
      </c>
      <c r="C717" s="38" t="s">
        <v>3162</v>
      </c>
      <c r="D717" s="38" t="n">
        <v>100</v>
      </c>
    </row>
    <row r="718" customFormat="false" ht="15" hidden="false" customHeight="false" outlineLevel="0" collapsed="false">
      <c r="A718" s="28" t="n">
        <v>717</v>
      </c>
      <c r="B718" s="37" t="s">
        <v>1269</v>
      </c>
      <c r="C718" s="38" t="s">
        <v>3163</v>
      </c>
      <c r="D718" s="38" t="n">
        <v>92</v>
      </c>
    </row>
    <row r="719" customFormat="false" ht="15" hidden="false" customHeight="false" outlineLevel="0" collapsed="false">
      <c r="A719" s="28" t="n">
        <v>718</v>
      </c>
      <c r="B719" s="37" t="s">
        <v>1270</v>
      </c>
      <c r="C719" s="38" t="s">
        <v>3164</v>
      </c>
      <c r="D719" s="38" t="n">
        <v>104</v>
      </c>
    </row>
    <row r="720" customFormat="false" ht="15" hidden="false" customHeight="false" outlineLevel="0" collapsed="false">
      <c r="A720" s="28" t="n">
        <v>719</v>
      </c>
      <c r="B720" s="37" t="s">
        <v>1271</v>
      </c>
      <c r="C720" s="38" t="s">
        <v>3165</v>
      </c>
      <c r="D720" s="38" t="n">
        <v>106</v>
      </c>
    </row>
    <row r="721" customFormat="false" ht="15" hidden="false" customHeight="false" outlineLevel="0" collapsed="false">
      <c r="A721" s="28" t="n">
        <v>720</v>
      </c>
      <c r="B721" s="37" t="s">
        <v>1272</v>
      </c>
      <c r="C721" s="38" t="s">
        <v>3166</v>
      </c>
      <c r="D721" s="38" t="n">
        <v>96</v>
      </c>
    </row>
    <row r="722" customFormat="false" ht="15" hidden="false" customHeight="false" outlineLevel="0" collapsed="false">
      <c r="A722" s="28" t="n">
        <v>721</v>
      </c>
      <c r="B722" s="37" t="s">
        <v>1273</v>
      </c>
      <c r="C722" s="38" t="s">
        <v>3167</v>
      </c>
      <c r="D722" s="38" t="n">
        <v>101</v>
      </c>
    </row>
    <row r="723" customFormat="false" ht="15" hidden="false" customHeight="false" outlineLevel="0" collapsed="false">
      <c r="A723" s="28" t="n">
        <v>722</v>
      </c>
      <c r="B723" s="37" t="s">
        <v>1274</v>
      </c>
      <c r="C723" s="38" t="s">
        <v>2811</v>
      </c>
      <c r="D723" s="38" t="n">
        <v>93</v>
      </c>
    </row>
    <row r="724" customFormat="false" ht="15" hidden="false" customHeight="false" outlineLevel="0" collapsed="false">
      <c r="A724" s="28" t="n">
        <v>723</v>
      </c>
      <c r="B724" s="37" t="s">
        <v>1275</v>
      </c>
      <c r="C724" s="38" t="s">
        <v>3168</v>
      </c>
      <c r="D724" s="38" t="n">
        <v>101</v>
      </c>
    </row>
    <row r="725" customFormat="false" ht="15" hidden="false" customHeight="false" outlineLevel="0" collapsed="false">
      <c r="A725" s="28" t="n">
        <v>724</v>
      </c>
      <c r="B725" s="37" t="s">
        <v>1276</v>
      </c>
      <c r="C725" s="38" t="s">
        <v>3169</v>
      </c>
      <c r="D725" s="38" t="n">
        <v>103</v>
      </c>
    </row>
    <row r="726" customFormat="false" ht="15" hidden="false" customHeight="false" outlineLevel="0" collapsed="false">
      <c r="A726" s="28" t="n">
        <v>725</v>
      </c>
      <c r="B726" s="37" t="s">
        <v>1277</v>
      </c>
      <c r="C726" s="38" t="s">
        <v>3170</v>
      </c>
      <c r="D726" s="38" t="n">
        <v>105</v>
      </c>
    </row>
    <row r="727" customFormat="false" ht="15" hidden="false" customHeight="false" outlineLevel="0" collapsed="false">
      <c r="A727" s="28" t="n">
        <v>726</v>
      </c>
      <c r="B727" s="37" t="s">
        <v>1278</v>
      </c>
      <c r="C727" s="38" t="s">
        <v>3171</v>
      </c>
      <c r="D727" s="38" t="n">
        <v>103</v>
      </c>
    </row>
    <row r="728" customFormat="false" ht="15" hidden="false" customHeight="false" outlineLevel="0" collapsed="false">
      <c r="A728" s="28" t="n">
        <v>727</v>
      </c>
      <c r="B728" s="37" t="s">
        <v>1279</v>
      </c>
      <c r="C728" s="38" t="s">
        <v>3172</v>
      </c>
      <c r="D728" s="38" t="n">
        <v>83</v>
      </c>
    </row>
    <row r="729" customFormat="false" ht="15" hidden="false" customHeight="false" outlineLevel="0" collapsed="false">
      <c r="A729" s="28" t="n">
        <v>728</v>
      </c>
      <c r="B729" s="37" t="s">
        <v>1280</v>
      </c>
      <c r="C729" s="38" t="s">
        <v>3173</v>
      </c>
      <c r="D729" s="38" t="n">
        <v>98</v>
      </c>
    </row>
    <row r="730" customFormat="false" ht="15" hidden="false" customHeight="false" outlineLevel="0" collapsed="false">
      <c r="A730" s="28" t="n">
        <v>729</v>
      </c>
      <c r="B730" s="37" t="s">
        <v>3174</v>
      </c>
      <c r="C730" s="38" t="s">
        <v>2573</v>
      </c>
      <c r="D730" s="38" t="n">
        <v>76</v>
      </c>
    </row>
    <row r="731" customFormat="false" ht="15" hidden="false" customHeight="false" outlineLevel="0" collapsed="false">
      <c r="A731" s="28" t="n">
        <v>730</v>
      </c>
      <c r="B731" s="37" t="s">
        <v>1281</v>
      </c>
      <c r="C731" s="38" t="s">
        <v>3175</v>
      </c>
      <c r="D731" s="38" t="n">
        <v>103</v>
      </c>
    </row>
    <row r="732" customFormat="false" ht="15" hidden="false" customHeight="false" outlineLevel="0" collapsed="false">
      <c r="A732" s="28" t="n">
        <v>731</v>
      </c>
      <c r="B732" s="37" t="s">
        <v>1282</v>
      </c>
      <c r="C732" s="38" t="s">
        <v>3176</v>
      </c>
      <c r="D732" s="38" t="n">
        <v>103</v>
      </c>
    </row>
    <row r="733" customFormat="false" ht="15" hidden="false" customHeight="false" outlineLevel="0" collapsed="false">
      <c r="A733" s="28" t="n">
        <v>732</v>
      </c>
      <c r="B733" s="37" t="s">
        <v>1284</v>
      </c>
      <c r="C733" s="38" t="s">
        <v>3177</v>
      </c>
      <c r="D733" s="38" t="n">
        <v>108</v>
      </c>
    </row>
    <row r="734" customFormat="false" ht="15" hidden="false" customHeight="false" outlineLevel="0" collapsed="false">
      <c r="A734" s="28" t="n">
        <v>733</v>
      </c>
      <c r="B734" s="37" t="s">
        <v>1286</v>
      </c>
      <c r="C734" s="38" t="s">
        <v>3178</v>
      </c>
      <c r="D734" s="38" t="n">
        <v>99</v>
      </c>
    </row>
    <row r="735" customFormat="false" ht="15" hidden="false" customHeight="false" outlineLevel="0" collapsed="false">
      <c r="A735" s="28" t="n">
        <v>734</v>
      </c>
      <c r="B735" s="37" t="s">
        <v>1287</v>
      </c>
      <c r="C735" s="38" t="s">
        <v>3179</v>
      </c>
      <c r="D735" s="38" t="n">
        <v>107</v>
      </c>
    </row>
    <row r="736" customFormat="false" ht="15" hidden="false" customHeight="false" outlineLevel="0" collapsed="false">
      <c r="A736" s="28" t="n">
        <v>735</v>
      </c>
      <c r="B736" s="37" t="s">
        <v>1288</v>
      </c>
      <c r="C736" s="38" t="s">
        <v>3180</v>
      </c>
      <c r="D736" s="38" t="n">
        <v>76</v>
      </c>
    </row>
    <row r="737" customFormat="false" ht="15" hidden="false" customHeight="false" outlineLevel="0" collapsed="false">
      <c r="A737" s="28" t="n">
        <v>736</v>
      </c>
      <c r="B737" s="37" t="s">
        <v>1289</v>
      </c>
      <c r="C737" s="38" t="s">
        <v>3181</v>
      </c>
      <c r="D737" s="38" t="n">
        <v>95</v>
      </c>
    </row>
    <row r="738" customFormat="false" ht="15" hidden="false" customHeight="false" outlineLevel="0" collapsed="false">
      <c r="A738" s="28" t="n">
        <v>737</v>
      </c>
      <c r="B738" s="37" t="s">
        <v>1291</v>
      </c>
      <c r="C738" s="38" t="s">
        <v>3182</v>
      </c>
      <c r="D738" s="38" t="n">
        <v>99</v>
      </c>
    </row>
    <row r="739" customFormat="false" ht="15" hidden="false" customHeight="false" outlineLevel="0" collapsed="false">
      <c r="A739" s="28" t="n">
        <v>738</v>
      </c>
      <c r="B739" s="37" t="s">
        <v>1292</v>
      </c>
      <c r="C739" s="38" t="s">
        <v>3183</v>
      </c>
      <c r="D739" s="38" t="n">
        <v>112</v>
      </c>
    </row>
    <row r="740" customFormat="false" ht="15" hidden="false" customHeight="false" outlineLevel="0" collapsed="false">
      <c r="A740" s="28" t="n">
        <v>739</v>
      </c>
      <c r="B740" s="37" t="s">
        <v>3184</v>
      </c>
      <c r="C740" s="38" t="s">
        <v>2573</v>
      </c>
      <c r="D740" s="38" t="n">
        <v>76</v>
      </c>
    </row>
    <row r="741" customFormat="false" ht="15" hidden="false" customHeight="false" outlineLevel="0" collapsed="false">
      <c r="A741" s="28" t="n">
        <v>740</v>
      </c>
      <c r="B741" s="37" t="s">
        <v>1293</v>
      </c>
      <c r="C741" s="38" t="s">
        <v>3185</v>
      </c>
      <c r="D741" s="38" t="n">
        <v>90</v>
      </c>
    </row>
    <row r="742" customFormat="false" ht="15" hidden="false" customHeight="false" outlineLevel="0" collapsed="false">
      <c r="A742" s="28" t="n">
        <v>741</v>
      </c>
      <c r="B742" s="37" t="s">
        <v>1294</v>
      </c>
      <c r="C742" s="38" t="s">
        <v>3186</v>
      </c>
      <c r="D742" s="38" t="n">
        <v>90</v>
      </c>
    </row>
    <row r="743" customFormat="false" ht="15" hidden="false" customHeight="false" outlineLevel="0" collapsed="false">
      <c r="A743" s="28" t="n">
        <v>742</v>
      </c>
      <c r="B743" s="37" t="s">
        <v>1295</v>
      </c>
      <c r="C743" s="38" t="s">
        <v>3187</v>
      </c>
      <c r="D743" s="38" t="n">
        <v>100</v>
      </c>
    </row>
    <row r="744" customFormat="false" ht="15" hidden="false" customHeight="false" outlineLevel="0" collapsed="false">
      <c r="A744" s="28" t="n">
        <v>743</v>
      </c>
      <c r="B744" s="37" t="s">
        <v>1296</v>
      </c>
      <c r="C744" s="38" t="s">
        <v>3188</v>
      </c>
      <c r="D744" s="38" t="n">
        <v>101</v>
      </c>
    </row>
    <row r="745" customFormat="false" ht="15" hidden="false" customHeight="false" outlineLevel="0" collapsed="false">
      <c r="A745" s="28" t="n">
        <v>744</v>
      </c>
      <c r="B745" s="37" t="s">
        <v>1297</v>
      </c>
      <c r="C745" s="38" t="s">
        <v>2989</v>
      </c>
      <c r="D745" s="38" t="n">
        <v>97</v>
      </c>
    </row>
    <row r="746" customFormat="false" ht="15" hidden="false" customHeight="false" outlineLevel="0" collapsed="false">
      <c r="A746" s="28" t="n">
        <v>745</v>
      </c>
      <c r="B746" s="37" t="s">
        <v>1298</v>
      </c>
      <c r="C746" s="38" t="s">
        <v>2783</v>
      </c>
      <c r="D746" s="38" t="n">
        <v>80</v>
      </c>
    </row>
    <row r="747" customFormat="false" ht="15" hidden="false" customHeight="false" outlineLevel="0" collapsed="false">
      <c r="A747" s="28" t="n">
        <v>746</v>
      </c>
      <c r="B747" s="37" t="s">
        <v>1299</v>
      </c>
      <c r="C747" s="38" t="s">
        <v>3189</v>
      </c>
      <c r="D747" s="38" t="n">
        <v>97</v>
      </c>
    </row>
    <row r="748" customFormat="false" ht="15" hidden="false" customHeight="false" outlineLevel="0" collapsed="false">
      <c r="A748" s="28" t="n">
        <v>747</v>
      </c>
      <c r="B748" s="37" t="s">
        <v>1300</v>
      </c>
      <c r="C748" s="38" t="s">
        <v>3190</v>
      </c>
      <c r="D748" s="38" t="n">
        <v>95</v>
      </c>
    </row>
    <row r="749" customFormat="false" ht="15" hidden="false" customHeight="false" outlineLevel="0" collapsed="false">
      <c r="A749" s="28" t="n">
        <v>748</v>
      </c>
      <c r="B749" s="37" t="s">
        <v>1301</v>
      </c>
      <c r="C749" s="38" t="s">
        <v>3172</v>
      </c>
      <c r="D749" s="38" t="n">
        <v>83</v>
      </c>
    </row>
    <row r="750" customFormat="false" ht="15" hidden="false" customHeight="false" outlineLevel="0" collapsed="false">
      <c r="A750" s="28" t="n">
        <v>749</v>
      </c>
      <c r="B750" s="37" t="s">
        <v>1302</v>
      </c>
      <c r="C750" s="38" t="s">
        <v>3191</v>
      </c>
      <c r="D750" s="38" t="n">
        <v>100</v>
      </c>
    </row>
    <row r="751" customFormat="false" ht="15" hidden="false" customHeight="false" outlineLevel="0" collapsed="false">
      <c r="A751" s="28" t="n">
        <v>750</v>
      </c>
      <c r="B751" s="37" t="s">
        <v>1303</v>
      </c>
      <c r="C751" s="38" t="s">
        <v>3192</v>
      </c>
      <c r="D751" s="38" t="n">
        <v>73</v>
      </c>
    </row>
    <row r="752" customFormat="false" ht="15" hidden="false" customHeight="false" outlineLevel="0" collapsed="false">
      <c r="A752" s="28" t="n">
        <v>751</v>
      </c>
      <c r="B752" s="37" t="s">
        <v>1304</v>
      </c>
      <c r="C752" s="38" t="s">
        <v>3193</v>
      </c>
      <c r="D752" s="38" t="n">
        <v>97</v>
      </c>
    </row>
    <row r="753" customFormat="false" ht="15" hidden="false" customHeight="false" outlineLevel="0" collapsed="false">
      <c r="A753" s="28" t="n">
        <v>752</v>
      </c>
      <c r="B753" s="37" t="s">
        <v>1305</v>
      </c>
      <c r="C753" s="38" t="s">
        <v>3194</v>
      </c>
      <c r="D753" s="38" t="n">
        <v>99</v>
      </c>
    </row>
    <row r="754" customFormat="false" ht="15" hidden="false" customHeight="false" outlineLevel="0" collapsed="false">
      <c r="A754" s="28" t="n">
        <v>753</v>
      </c>
      <c r="B754" s="37" t="s">
        <v>1306</v>
      </c>
      <c r="C754" s="38" t="s">
        <v>3195</v>
      </c>
      <c r="D754" s="38" t="n">
        <v>84</v>
      </c>
    </row>
    <row r="755" customFormat="false" ht="15" hidden="false" customHeight="false" outlineLevel="0" collapsed="false">
      <c r="A755" s="28" t="n">
        <v>754</v>
      </c>
      <c r="B755" s="37" t="s">
        <v>1307</v>
      </c>
      <c r="C755" s="38" t="s">
        <v>2540</v>
      </c>
      <c r="D755" s="38" t="n">
        <v>95</v>
      </c>
    </row>
    <row r="756" customFormat="false" ht="15" hidden="false" customHeight="false" outlineLevel="0" collapsed="false">
      <c r="A756" s="28" t="n">
        <v>755</v>
      </c>
      <c r="B756" s="37" t="s">
        <v>1308</v>
      </c>
      <c r="C756" s="38" t="s">
        <v>3196</v>
      </c>
      <c r="D756" s="38" t="n">
        <v>102</v>
      </c>
    </row>
    <row r="757" customFormat="false" ht="15" hidden="false" customHeight="false" outlineLevel="0" collapsed="false">
      <c r="A757" s="28" t="n">
        <v>756</v>
      </c>
      <c r="B757" s="37" t="s">
        <v>1309</v>
      </c>
      <c r="C757" s="38" t="s">
        <v>3197</v>
      </c>
      <c r="D757" s="38" t="n">
        <v>101</v>
      </c>
    </row>
    <row r="758" customFormat="false" ht="15" hidden="false" customHeight="false" outlineLevel="0" collapsed="false">
      <c r="A758" s="28" t="n">
        <v>757</v>
      </c>
      <c r="B758" s="37" t="s">
        <v>3198</v>
      </c>
      <c r="C758" s="38" t="s">
        <v>3199</v>
      </c>
      <c r="D758" s="38" t="n">
        <v>81</v>
      </c>
    </row>
    <row r="759" customFormat="false" ht="15" hidden="false" customHeight="false" outlineLevel="0" collapsed="false">
      <c r="A759" s="28" t="n">
        <v>758</v>
      </c>
      <c r="B759" s="37" t="s">
        <v>1310</v>
      </c>
      <c r="C759" s="38" t="s">
        <v>3200</v>
      </c>
      <c r="D759" s="38" t="n">
        <v>94</v>
      </c>
    </row>
    <row r="760" customFormat="false" ht="15" hidden="false" customHeight="false" outlineLevel="0" collapsed="false">
      <c r="A760" s="28" t="n">
        <v>759</v>
      </c>
      <c r="B760" s="37" t="s">
        <v>1311</v>
      </c>
      <c r="C760" s="38" t="s">
        <v>3201</v>
      </c>
      <c r="D760" s="38" t="n">
        <v>93</v>
      </c>
    </row>
    <row r="761" customFormat="false" ht="15" hidden="false" customHeight="false" outlineLevel="0" collapsed="false">
      <c r="A761" s="28" t="n">
        <v>760</v>
      </c>
      <c r="B761" s="37" t="s">
        <v>1312</v>
      </c>
      <c r="C761" s="38" t="s">
        <v>3202</v>
      </c>
      <c r="D761" s="38" t="n">
        <v>102</v>
      </c>
    </row>
    <row r="762" customFormat="false" ht="15" hidden="false" customHeight="false" outlineLevel="0" collapsed="false">
      <c r="A762" s="28" t="n">
        <v>761</v>
      </c>
      <c r="B762" s="37" t="s">
        <v>1313</v>
      </c>
      <c r="C762" s="38" t="s">
        <v>3203</v>
      </c>
      <c r="D762" s="38" t="n">
        <v>101</v>
      </c>
    </row>
    <row r="763" customFormat="false" ht="15" hidden="false" customHeight="false" outlineLevel="0" collapsed="false">
      <c r="A763" s="28" t="n">
        <v>762</v>
      </c>
      <c r="B763" s="37" t="s">
        <v>1314</v>
      </c>
      <c r="C763" s="38" t="s">
        <v>2844</v>
      </c>
      <c r="D763" s="38" t="n">
        <v>98</v>
      </c>
    </row>
    <row r="764" customFormat="false" ht="15" hidden="false" customHeight="false" outlineLevel="0" collapsed="false">
      <c r="A764" s="28" t="n">
        <v>763</v>
      </c>
      <c r="B764" s="37" t="s">
        <v>1315</v>
      </c>
      <c r="C764" s="38" t="s">
        <v>3204</v>
      </c>
      <c r="D764" s="38" t="n">
        <v>94</v>
      </c>
    </row>
    <row r="765" customFormat="false" ht="15" hidden="false" customHeight="false" outlineLevel="0" collapsed="false">
      <c r="A765" s="28" t="n">
        <v>764</v>
      </c>
      <c r="B765" s="37" t="s">
        <v>1316</v>
      </c>
      <c r="C765" s="38" t="s">
        <v>3205</v>
      </c>
      <c r="D765" s="38" t="n">
        <v>92</v>
      </c>
    </row>
    <row r="766" customFormat="false" ht="15" hidden="false" customHeight="false" outlineLevel="0" collapsed="false">
      <c r="A766" s="28" t="n">
        <v>765</v>
      </c>
      <c r="B766" s="37" t="s">
        <v>1317</v>
      </c>
      <c r="C766" s="38" t="s">
        <v>3206</v>
      </c>
      <c r="D766" s="38" t="n">
        <v>96</v>
      </c>
    </row>
    <row r="767" customFormat="false" ht="15" hidden="false" customHeight="false" outlineLevel="0" collapsed="false">
      <c r="A767" s="28" t="n">
        <v>766</v>
      </c>
      <c r="B767" s="37" t="s">
        <v>1318</v>
      </c>
      <c r="C767" s="38" t="s">
        <v>3207</v>
      </c>
      <c r="D767" s="38" t="n">
        <v>106</v>
      </c>
    </row>
    <row r="768" customFormat="false" ht="15" hidden="false" customHeight="false" outlineLevel="0" collapsed="false">
      <c r="A768" s="28" t="n">
        <v>767</v>
      </c>
      <c r="B768" s="37" t="s">
        <v>1319</v>
      </c>
      <c r="C768" s="38" t="s">
        <v>3208</v>
      </c>
      <c r="D768" s="38" t="n">
        <v>97</v>
      </c>
    </row>
    <row r="769" customFormat="false" ht="15" hidden="false" customHeight="false" outlineLevel="0" collapsed="false">
      <c r="A769" s="28" t="n">
        <v>768</v>
      </c>
      <c r="B769" s="37" t="s">
        <v>1320</v>
      </c>
      <c r="C769" s="38" t="s">
        <v>3209</v>
      </c>
      <c r="D769" s="38" t="n">
        <v>99</v>
      </c>
    </row>
    <row r="770" customFormat="false" ht="15" hidden="false" customHeight="false" outlineLevel="0" collapsed="false">
      <c r="A770" s="28" t="n">
        <v>769</v>
      </c>
      <c r="B770" s="37" t="s">
        <v>1321</v>
      </c>
      <c r="C770" s="38" t="s">
        <v>3210</v>
      </c>
      <c r="D770" s="38" t="n">
        <v>98</v>
      </c>
    </row>
    <row r="771" customFormat="false" ht="15" hidden="false" customHeight="false" outlineLevel="0" collapsed="false">
      <c r="A771" s="28" t="n">
        <v>770</v>
      </c>
      <c r="B771" s="37" t="s">
        <v>1322</v>
      </c>
      <c r="C771" s="38" t="s">
        <v>3211</v>
      </c>
      <c r="D771" s="38" t="n">
        <v>93</v>
      </c>
    </row>
    <row r="772" customFormat="false" ht="15" hidden="false" customHeight="false" outlineLevel="0" collapsed="false">
      <c r="A772" s="28" t="n">
        <v>771</v>
      </c>
      <c r="B772" s="37" t="s">
        <v>1323</v>
      </c>
      <c r="C772" s="38" t="s">
        <v>3212</v>
      </c>
      <c r="D772" s="38" t="n">
        <v>92</v>
      </c>
    </row>
    <row r="773" customFormat="false" ht="15" hidden="false" customHeight="false" outlineLevel="0" collapsed="false">
      <c r="A773" s="28" t="n">
        <v>772</v>
      </c>
      <c r="B773" s="37" t="s">
        <v>1324</v>
      </c>
      <c r="C773" s="38" t="s">
        <v>2630</v>
      </c>
      <c r="D773" s="38" t="n">
        <v>95</v>
      </c>
    </row>
    <row r="774" customFormat="false" ht="15" hidden="false" customHeight="false" outlineLevel="0" collapsed="false">
      <c r="A774" s="28" t="n">
        <v>773</v>
      </c>
      <c r="B774" s="37" t="s">
        <v>1325</v>
      </c>
      <c r="C774" s="38" t="s">
        <v>3213</v>
      </c>
      <c r="D774" s="38" t="n">
        <v>91</v>
      </c>
    </row>
    <row r="775" customFormat="false" ht="15" hidden="false" customHeight="false" outlineLevel="0" collapsed="false">
      <c r="A775" s="28" t="n">
        <v>774</v>
      </c>
      <c r="B775" s="37" t="s">
        <v>1326</v>
      </c>
      <c r="C775" s="38" t="s">
        <v>2554</v>
      </c>
      <c r="D775" s="38" t="n">
        <v>90</v>
      </c>
    </row>
    <row r="776" customFormat="false" ht="15" hidden="false" customHeight="false" outlineLevel="0" collapsed="false">
      <c r="A776" s="28" t="n">
        <v>775</v>
      </c>
      <c r="B776" s="37" t="s">
        <v>1327</v>
      </c>
      <c r="C776" s="38" t="s">
        <v>3214</v>
      </c>
      <c r="D776" s="38" t="n">
        <v>101</v>
      </c>
    </row>
    <row r="777" customFormat="false" ht="15" hidden="false" customHeight="false" outlineLevel="0" collapsed="false">
      <c r="A777" s="28" t="n">
        <v>776</v>
      </c>
      <c r="B777" s="37" t="s">
        <v>1329</v>
      </c>
      <c r="C777" s="38" t="s">
        <v>3215</v>
      </c>
      <c r="D777" s="38" t="n">
        <v>102</v>
      </c>
    </row>
    <row r="778" customFormat="false" ht="15" hidden="false" customHeight="false" outlineLevel="0" collapsed="false">
      <c r="A778" s="28" t="n">
        <v>777</v>
      </c>
      <c r="B778" s="37" t="s">
        <v>1330</v>
      </c>
      <c r="C778" s="38" t="s">
        <v>2763</v>
      </c>
      <c r="D778" s="38" t="n">
        <v>97</v>
      </c>
    </row>
    <row r="779" customFormat="false" ht="15" hidden="false" customHeight="false" outlineLevel="0" collapsed="false">
      <c r="A779" s="28" t="n">
        <v>778</v>
      </c>
      <c r="B779" s="37" t="s">
        <v>1331</v>
      </c>
      <c r="C779" s="38" t="s">
        <v>3186</v>
      </c>
      <c r="D779" s="38" t="n">
        <v>90</v>
      </c>
    </row>
    <row r="780" customFormat="false" ht="15" hidden="false" customHeight="false" outlineLevel="0" collapsed="false">
      <c r="A780" s="28" t="n">
        <v>779</v>
      </c>
      <c r="B780" s="37" t="s">
        <v>1334</v>
      </c>
      <c r="C780" s="38" t="s">
        <v>3216</v>
      </c>
      <c r="D780" s="38" t="n">
        <v>105</v>
      </c>
    </row>
    <row r="781" customFormat="false" ht="15" hidden="false" customHeight="false" outlineLevel="0" collapsed="false">
      <c r="A781" s="28" t="n">
        <v>780</v>
      </c>
      <c r="B781" s="37" t="s">
        <v>1335</v>
      </c>
      <c r="C781" s="38" t="s">
        <v>3217</v>
      </c>
      <c r="D781" s="38" t="n">
        <v>100</v>
      </c>
    </row>
    <row r="782" customFormat="false" ht="15" hidden="false" customHeight="false" outlineLevel="0" collapsed="false">
      <c r="A782" s="28" t="n">
        <v>781</v>
      </c>
      <c r="B782" s="37" t="s">
        <v>1336</v>
      </c>
      <c r="C782" s="38" t="s">
        <v>3218</v>
      </c>
      <c r="D782" s="38" t="n">
        <v>94</v>
      </c>
    </row>
    <row r="783" customFormat="false" ht="15" hidden="false" customHeight="false" outlineLevel="0" collapsed="false">
      <c r="A783" s="28" t="n">
        <v>782</v>
      </c>
      <c r="B783" s="37" t="s">
        <v>1337</v>
      </c>
      <c r="C783" s="38" t="s">
        <v>3219</v>
      </c>
      <c r="D783" s="38" t="n">
        <v>98</v>
      </c>
    </row>
    <row r="784" customFormat="false" ht="15" hidden="false" customHeight="false" outlineLevel="0" collapsed="false">
      <c r="A784" s="28" t="n">
        <v>783</v>
      </c>
      <c r="B784" s="37" t="s">
        <v>1338</v>
      </c>
      <c r="C784" s="38" t="s">
        <v>3195</v>
      </c>
      <c r="D784" s="38" t="n">
        <v>84</v>
      </c>
    </row>
    <row r="785" customFormat="false" ht="15" hidden="false" customHeight="false" outlineLevel="0" collapsed="false">
      <c r="A785" s="28" t="n">
        <v>784</v>
      </c>
      <c r="B785" s="37" t="s">
        <v>1339</v>
      </c>
      <c r="C785" s="38" t="s">
        <v>3220</v>
      </c>
      <c r="D785" s="38" t="n">
        <v>96</v>
      </c>
    </row>
    <row r="786" customFormat="false" ht="15" hidden="false" customHeight="false" outlineLevel="0" collapsed="false">
      <c r="A786" s="28" t="n">
        <v>785</v>
      </c>
      <c r="B786" s="37" t="s">
        <v>1340</v>
      </c>
      <c r="C786" s="38" t="s">
        <v>3221</v>
      </c>
      <c r="D786" s="38" t="n">
        <v>77</v>
      </c>
    </row>
    <row r="787" customFormat="false" ht="15" hidden="false" customHeight="false" outlineLevel="0" collapsed="false">
      <c r="A787" s="28" t="n">
        <v>786</v>
      </c>
      <c r="B787" s="37" t="s">
        <v>1341</v>
      </c>
      <c r="C787" s="38" t="s">
        <v>3222</v>
      </c>
      <c r="D787" s="38" t="n">
        <v>101</v>
      </c>
    </row>
    <row r="788" customFormat="false" ht="15" hidden="false" customHeight="false" outlineLevel="0" collapsed="false">
      <c r="A788" s="28" t="n">
        <v>787</v>
      </c>
      <c r="B788" s="37" t="s">
        <v>1342</v>
      </c>
      <c r="C788" s="38" t="s">
        <v>3223</v>
      </c>
      <c r="D788" s="38" t="n">
        <v>102</v>
      </c>
    </row>
    <row r="789" customFormat="false" ht="15" hidden="false" customHeight="false" outlineLevel="0" collapsed="false">
      <c r="A789" s="28" t="n">
        <v>788</v>
      </c>
      <c r="B789" s="37" t="s">
        <v>1344</v>
      </c>
      <c r="C789" s="38" t="s">
        <v>3224</v>
      </c>
      <c r="D789" s="38" t="n">
        <v>94</v>
      </c>
    </row>
    <row r="790" customFormat="false" ht="15" hidden="false" customHeight="false" outlineLevel="0" collapsed="false">
      <c r="A790" s="28" t="n">
        <v>789</v>
      </c>
      <c r="B790" s="37" t="s">
        <v>1345</v>
      </c>
      <c r="C790" s="38" t="s">
        <v>3225</v>
      </c>
      <c r="D790" s="38" t="n">
        <v>112</v>
      </c>
    </row>
    <row r="791" customFormat="false" ht="15" hidden="false" customHeight="false" outlineLevel="0" collapsed="false">
      <c r="A791" s="28" t="n">
        <v>790</v>
      </c>
      <c r="B791" s="37" t="s">
        <v>1347</v>
      </c>
      <c r="C791" s="38" t="s">
        <v>3226</v>
      </c>
      <c r="D791" s="38" t="n">
        <v>93</v>
      </c>
    </row>
    <row r="792" customFormat="false" ht="15" hidden="false" customHeight="false" outlineLevel="0" collapsed="false">
      <c r="A792" s="28" t="n">
        <v>791</v>
      </c>
      <c r="B792" s="37" t="s">
        <v>1348</v>
      </c>
      <c r="C792" s="38" t="s">
        <v>3227</v>
      </c>
      <c r="D792" s="38" t="n">
        <v>95</v>
      </c>
    </row>
    <row r="793" customFormat="false" ht="15" hidden="false" customHeight="false" outlineLevel="0" collapsed="false">
      <c r="A793" s="28" t="n">
        <v>792</v>
      </c>
      <c r="B793" s="37" t="s">
        <v>1349</v>
      </c>
      <c r="C793" s="38" t="s">
        <v>3228</v>
      </c>
      <c r="D793" s="38" t="n">
        <v>96</v>
      </c>
    </row>
    <row r="794" customFormat="false" ht="15" hidden="false" customHeight="false" outlineLevel="0" collapsed="false">
      <c r="A794" s="28" t="n">
        <v>793</v>
      </c>
      <c r="B794" s="37" t="s">
        <v>1350</v>
      </c>
      <c r="C794" s="38" t="s">
        <v>3210</v>
      </c>
      <c r="D794" s="38" t="n">
        <v>98</v>
      </c>
    </row>
    <row r="795" customFormat="false" ht="15" hidden="false" customHeight="false" outlineLevel="0" collapsed="false">
      <c r="A795" s="28" t="n">
        <v>794</v>
      </c>
      <c r="B795" s="37" t="s">
        <v>1352</v>
      </c>
      <c r="C795" s="38" t="s">
        <v>2953</v>
      </c>
      <c r="D795" s="38" t="n">
        <v>98</v>
      </c>
    </row>
    <row r="796" customFormat="false" ht="15" hidden="false" customHeight="false" outlineLevel="0" collapsed="false">
      <c r="A796" s="28" t="n">
        <v>795</v>
      </c>
      <c r="B796" s="37" t="s">
        <v>1353</v>
      </c>
      <c r="C796" s="38" t="s">
        <v>3004</v>
      </c>
      <c r="D796" s="38" t="n">
        <v>100</v>
      </c>
    </row>
    <row r="797" customFormat="false" ht="15" hidden="false" customHeight="false" outlineLevel="0" collapsed="false">
      <c r="A797" s="28" t="n">
        <v>796</v>
      </c>
      <c r="B797" s="37" t="s">
        <v>1354</v>
      </c>
      <c r="C797" s="38" t="s">
        <v>3229</v>
      </c>
      <c r="D797" s="38" t="n">
        <v>93</v>
      </c>
    </row>
    <row r="798" customFormat="false" ht="15" hidden="false" customHeight="false" outlineLevel="0" collapsed="false">
      <c r="A798" s="28" t="n">
        <v>797</v>
      </c>
      <c r="B798" s="37" t="s">
        <v>1355</v>
      </c>
      <c r="C798" s="38" t="s">
        <v>3230</v>
      </c>
      <c r="D798" s="38" t="n">
        <v>94</v>
      </c>
    </row>
    <row r="799" customFormat="false" ht="15" hidden="false" customHeight="false" outlineLevel="0" collapsed="false">
      <c r="A799" s="28" t="n">
        <v>798</v>
      </c>
      <c r="B799" s="37" t="s">
        <v>1356</v>
      </c>
      <c r="C799" s="38" t="s">
        <v>3231</v>
      </c>
      <c r="D799" s="38" t="n">
        <v>113</v>
      </c>
    </row>
    <row r="800" customFormat="false" ht="15" hidden="false" customHeight="false" outlineLevel="0" collapsed="false">
      <c r="A800" s="28" t="n">
        <v>799</v>
      </c>
      <c r="B800" s="37" t="s">
        <v>1357</v>
      </c>
      <c r="C800" s="38" t="s">
        <v>3232</v>
      </c>
      <c r="D800" s="38" t="n">
        <v>100</v>
      </c>
    </row>
    <row r="801" customFormat="false" ht="15" hidden="false" customHeight="false" outlineLevel="0" collapsed="false">
      <c r="A801" s="28" t="n">
        <v>800</v>
      </c>
      <c r="B801" s="37" t="s">
        <v>1359</v>
      </c>
      <c r="C801" s="38" t="s">
        <v>3233</v>
      </c>
      <c r="D801" s="38" t="n">
        <v>98</v>
      </c>
    </row>
    <row r="802" customFormat="false" ht="15" hidden="false" customHeight="false" outlineLevel="0" collapsed="false">
      <c r="A802" s="28" t="n">
        <v>801</v>
      </c>
      <c r="B802" s="37" t="s">
        <v>1360</v>
      </c>
      <c r="C802" s="38" t="s">
        <v>2571</v>
      </c>
      <c r="D802" s="38" t="n">
        <v>98</v>
      </c>
    </row>
    <row r="803" customFormat="false" ht="15" hidden="false" customHeight="false" outlineLevel="0" collapsed="false">
      <c r="A803" s="28" t="n">
        <v>802</v>
      </c>
      <c r="B803" s="37" t="s">
        <v>1361</v>
      </c>
      <c r="C803" s="38" t="s">
        <v>3234</v>
      </c>
      <c r="D803" s="38" t="n">
        <v>106</v>
      </c>
    </row>
    <row r="804" customFormat="false" ht="15" hidden="false" customHeight="false" outlineLevel="0" collapsed="false">
      <c r="A804" s="28" t="n">
        <v>803</v>
      </c>
      <c r="B804" s="37" t="s">
        <v>1362</v>
      </c>
      <c r="C804" s="38" t="s">
        <v>3235</v>
      </c>
      <c r="D804" s="38" t="n">
        <v>104</v>
      </c>
    </row>
    <row r="805" customFormat="false" ht="15" hidden="false" customHeight="false" outlineLevel="0" collapsed="false">
      <c r="A805" s="28" t="n">
        <v>804</v>
      </c>
      <c r="B805" s="37" t="s">
        <v>1363</v>
      </c>
      <c r="C805" s="38" t="s">
        <v>3236</v>
      </c>
      <c r="D805" s="38" t="n">
        <v>106</v>
      </c>
    </row>
    <row r="806" customFormat="false" ht="15" hidden="false" customHeight="false" outlineLevel="0" collapsed="false">
      <c r="A806" s="28" t="n">
        <v>805</v>
      </c>
      <c r="B806" s="37" t="s">
        <v>1364</v>
      </c>
      <c r="C806" s="38" t="s">
        <v>3237</v>
      </c>
      <c r="D806" s="38" t="n">
        <v>102</v>
      </c>
    </row>
    <row r="807" customFormat="false" ht="15" hidden="false" customHeight="false" outlineLevel="0" collapsed="false">
      <c r="A807" s="28" t="n">
        <v>806</v>
      </c>
      <c r="B807" s="37" t="s">
        <v>1365</v>
      </c>
      <c r="C807" s="38" t="s">
        <v>2881</v>
      </c>
      <c r="D807" s="38" t="n">
        <v>92</v>
      </c>
    </row>
    <row r="808" customFormat="false" ht="15" hidden="false" customHeight="false" outlineLevel="0" collapsed="false">
      <c r="A808" s="28" t="n">
        <v>807</v>
      </c>
      <c r="B808" s="37" t="s">
        <v>1366</v>
      </c>
      <c r="C808" s="38" t="s">
        <v>2855</v>
      </c>
      <c r="D808" s="38" t="n">
        <v>73</v>
      </c>
    </row>
    <row r="809" customFormat="false" ht="15" hidden="false" customHeight="false" outlineLevel="0" collapsed="false">
      <c r="A809" s="28" t="n">
        <v>808</v>
      </c>
      <c r="B809" s="37" t="s">
        <v>1367</v>
      </c>
      <c r="C809" s="38" t="s">
        <v>3238</v>
      </c>
      <c r="D809" s="38" t="n">
        <v>92</v>
      </c>
    </row>
    <row r="810" customFormat="false" ht="15" hidden="false" customHeight="false" outlineLevel="0" collapsed="false">
      <c r="A810" s="28" t="n">
        <v>809</v>
      </c>
      <c r="B810" s="37" t="s">
        <v>1368</v>
      </c>
      <c r="C810" s="38" t="s">
        <v>3239</v>
      </c>
      <c r="D810" s="38" t="n">
        <v>102</v>
      </c>
    </row>
    <row r="811" customFormat="false" ht="15" hidden="false" customHeight="false" outlineLevel="0" collapsed="false">
      <c r="A811" s="28" t="n">
        <v>810</v>
      </c>
      <c r="B811" s="37" t="s">
        <v>3240</v>
      </c>
      <c r="C811" s="38" t="s">
        <v>3195</v>
      </c>
      <c r="D811" s="38" t="n">
        <v>84</v>
      </c>
    </row>
    <row r="812" customFormat="false" ht="15" hidden="false" customHeight="false" outlineLevel="0" collapsed="false">
      <c r="A812" s="28" t="n">
        <v>811</v>
      </c>
      <c r="B812" s="37" t="s">
        <v>1369</v>
      </c>
      <c r="C812" s="38" t="s">
        <v>2759</v>
      </c>
      <c r="D812" s="38" t="n">
        <v>74</v>
      </c>
    </row>
    <row r="813" customFormat="false" ht="15" hidden="false" customHeight="false" outlineLevel="0" collapsed="false">
      <c r="A813" s="28" t="n">
        <v>812</v>
      </c>
      <c r="B813" s="37" t="s">
        <v>1370</v>
      </c>
      <c r="C813" s="38" t="s">
        <v>3241</v>
      </c>
      <c r="D813" s="38" t="n">
        <v>95</v>
      </c>
    </row>
    <row r="814" customFormat="false" ht="15" hidden="false" customHeight="false" outlineLevel="0" collapsed="false">
      <c r="A814" s="28" t="n">
        <v>813</v>
      </c>
      <c r="B814" s="37" t="s">
        <v>1371</v>
      </c>
      <c r="C814" s="38" t="s">
        <v>2561</v>
      </c>
      <c r="D814" s="38" t="n">
        <v>87</v>
      </c>
    </row>
    <row r="815" customFormat="false" ht="15" hidden="false" customHeight="false" outlineLevel="0" collapsed="false">
      <c r="A815" s="28" t="n">
        <v>814</v>
      </c>
      <c r="B815" s="37" t="s">
        <v>1372</v>
      </c>
      <c r="C815" s="38" t="s">
        <v>3242</v>
      </c>
      <c r="D815" s="38" t="n">
        <v>82</v>
      </c>
    </row>
    <row r="816" customFormat="false" ht="15" hidden="false" customHeight="false" outlineLevel="0" collapsed="false">
      <c r="A816" s="28" t="n">
        <v>815</v>
      </c>
      <c r="B816" s="37" t="s">
        <v>1373</v>
      </c>
      <c r="C816" s="38" t="s">
        <v>3243</v>
      </c>
      <c r="D816" s="38" t="n">
        <v>96</v>
      </c>
    </row>
    <row r="817" customFormat="false" ht="15" hidden="false" customHeight="false" outlineLevel="0" collapsed="false">
      <c r="A817" s="28" t="n">
        <v>816</v>
      </c>
      <c r="B817" s="37" t="s">
        <v>1374</v>
      </c>
      <c r="C817" s="38" t="s">
        <v>3244</v>
      </c>
      <c r="D817" s="38" t="n">
        <v>84</v>
      </c>
    </row>
    <row r="818" customFormat="false" ht="15" hidden="false" customHeight="false" outlineLevel="0" collapsed="false">
      <c r="A818" s="28" t="n">
        <v>817</v>
      </c>
      <c r="B818" s="37" t="s">
        <v>1375</v>
      </c>
      <c r="C818" s="38" t="s">
        <v>3245</v>
      </c>
      <c r="D818" s="38" t="n">
        <v>93</v>
      </c>
    </row>
    <row r="819" customFormat="false" ht="15" hidden="false" customHeight="false" outlineLevel="0" collapsed="false">
      <c r="A819" s="28" t="n">
        <v>818</v>
      </c>
      <c r="B819" s="37" t="s">
        <v>1376</v>
      </c>
      <c r="C819" s="38" t="s">
        <v>3246</v>
      </c>
      <c r="D819" s="38" t="n">
        <v>101</v>
      </c>
    </row>
    <row r="820" customFormat="false" ht="15" hidden="false" customHeight="false" outlineLevel="0" collapsed="false">
      <c r="A820" s="28" t="n">
        <v>819</v>
      </c>
      <c r="B820" s="37" t="s">
        <v>1378</v>
      </c>
      <c r="C820" s="38" t="s">
        <v>3247</v>
      </c>
      <c r="D820" s="38" t="n">
        <v>100</v>
      </c>
    </row>
    <row r="821" customFormat="false" ht="15" hidden="false" customHeight="false" outlineLevel="0" collapsed="false">
      <c r="A821" s="28" t="n">
        <v>820</v>
      </c>
      <c r="B821" s="37" t="s">
        <v>1379</v>
      </c>
      <c r="C821" s="38" t="s">
        <v>3248</v>
      </c>
      <c r="D821" s="38" t="n">
        <v>108</v>
      </c>
    </row>
    <row r="822" customFormat="false" ht="15" hidden="false" customHeight="false" outlineLevel="0" collapsed="false">
      <c r="A822" s="28" t="n">
        <v>821</v>
      </c>
      <c r="B822" s="37" t="s">
        <v>1380</v>
      </c>
      <c r="C822" s="38" t="s">
        <v>3249</v>
      </c>
      <c r="D822" s="38" t="n">
        <v>94</v>
      </c>
    </row>
    <row r="823" customFormat="false" ht="15" hidden="false" customHeight="false" outlineLevel="0" collapsed="false">
      <c r="A823" s="28" t="n">
        <v>822</v>
      </c>
      <c r="B823" s="37" t="s">
        <v>1381</v>
      </c>
      <c r="C823" s="38" t="s">
        <v>3250</v>
      </c>
      <c r="D823" s="38" t="n">
        <v>102</v>
      </c>
    </row>
    <row r="824" customFormat="false" ht="15" hidden="false" customHeight="false" outlineLevel="0" collapsed="false">
      <c r="A824" s="28" t="n">
        <v>823</v>
      </c>
      <c r="B824" s="37" t="s">
        <v>1383</v>
      </c>
      <c r="C824" s="38" t="s">
        <v>3251</v>
      </c>
      <c r="D824" s="38" t="n">
        <v>92</v>
      </c>
    </row>
    <row r="825" customFormat="false" ht="15" hidden="false" customHeight="false" outlineLevel="0" collapsed="false">
      <c r="A825" s="28" t="n">
        <v>824</v>
      </c>
      <c r="B825" s="37" t="s">
        <v>1384</v>
      </c>
      <c r="C825" s="38" t="s">
        <v>3252</v>
      </c>
      <c r="D825" s="38" t="n">
        <v>103</v>
      </c>
    </row>
    <row r="826" customFormat="false" ht="15" hidden="false" customHeight="false" outlineLevel="0" collapsed="false">
      <c r="A826" s="28" t="n">
        <v>825</v>
      </c>
      <c r="B826" s="37" t="s">
        <v>1385</v>
      </c>
      <c r="C826" s="38" t="s">
        <v>3253</v>
      </c>
      <c r="D826" s="38" t="n">
        <v>105</v>
      </c>
    </row>
    <row r="827" customFormat="false" ht="15" hidden="false" customHeight="false" outlineLevel="0" collapsed="false">
      <c r="A827" s="28" t="n">
        <v>826</v>
      </c>
      <c r="B827" s="37" t="s">
        <v>1386</v>
      </c>
      <c r="C827" s="38" t="s">
        <v>3254</v>
      </c>
      <c r="D827" s="38" t="n">
        <v>96</v>
      </c>
    </row>
    <row r="828" customFormat="false" ht="15" hidden="false" customHeight="false" outlineLevel="0" collapsed="false">
      <c r="A828" s="28" t="n">
        <v>827</v>
      </c>
      <c r="B828" s="37" t="s">
        <v>1388</v>
      </c>
      <c r="C828" s="38" t="s">
        <v>3255</v>
      </c>
      <c r="D828" s="38" t="n">
        <v>94</v>
      </c>
    </row>
    <row r="829" customFormat="false" ht="15" hidden="false" customHeight="false" outlineLevel="0" collapsed="false">
      <c r="A829" s="28" t="n">
        <v>828</v>
      </c>
      <c r="B829" s="37" t="s">
        <v>1389</v>
      </c>
      <c r="C829" s="38" t="s">
        <v>3256</v>
      </c>
      <c r="D829" s="38" t="n">
        <v>95</v>
      </c>
    </row>
    <row r="830" customFormat="false" ht="15" hidden="false" customHeight="false" outlineLevel="0" collapsed="false">
      <c r="A830" s="28" t="n">
        <v>829</v>
      </c>
      <c r="B830" s="37" t="s">
        <v>1390</v>
      </c>
      <c r="C830" s="38" t="s">
        <v>3257</v>
      </c>
      <c r="D830" s="38" t="n">
        <v>91</v>
      </c>
    </row>
    <row r="831" customFormat="false" ht="15" hidden="false" customHeight="false" outlineLevel="0" collapsed="false">
      <c r="A831" s="28" t="n">
        <v>830</v>
      </c>
      <c r="B831" s="37" t="s">
        <v>1391</v>
      </c>
      <c r="C831" s="38" t="s">
        <v>3258</v>
      </c>
      <c r="D831" s="38" t="n">
        <v>106</v>
      </c>
    </row>
    <row r="832" customFormat="false" ht="15" hidden="false" customHeight="false" outlineLevel="0" collapsed="false">
      <c r="A832" s="28" t="n">
        <v>831</v>
      </c>
      <c r="B832" s="37" t="s">
        <v>1392</v>
      </c>
      <c r="C832" s="38" t="s">
        <v>3259</v>
      </c>
      <c r="D832" s="38" t="n">
        <v>107</v>
      </c>
    </row>
    <row r="833" customFormat="false" ht="15" hidden="false" customHeight="false" outlineLevel="0" collapsed="false">
      <c r="A833" s="28" t="n">
        <v>832</v>
      </c>
      <c r="B833" s="37" t="s">
        <v>1394</v>
      </c>
      <c r="C833" s="38" t="s">
        <v>3260</v>
      </c>
      <c r="D833" s="38" t="n">
        <v>100</v>
      </c>
    </row>
    <row r="834" customFormat="false" ht="15" hidden="false" customHeight="false" outlineLevel="0" collapsed="false">
      <c r="A834" s="28" t="n">
        <v>833</v>
      </c>
      <c r="B834" s="37" t="s">
        <v>1395</v>
      </c>
      <c r="C834" s="38" t="s">
        <v>3261</v>
      </c>
      <c r="D834" s="38" t="n">
        <v>77</v>
      </c>
    </row>
    <row r="835" customFormat="false" ht="15" hidden="false" customHeight="false" outlineLevel="0" collapsed="false">
      <c r="A835" s="28" t="n">
        <v>834</v>
      </c>
      <c r="B835" s="37" t="s">
        <v>1397</v>
      </c>
      <c r="C835" s="38" t="s">
        <v>3262</v>
      </c>
      <c r="D835" s="38" t="n">
        <v>77</v>
      </c>
    </row>
    <row r="836" customFormat="false" ht="15" hidden="false" customHeight="false" outlineLevel="0" collapsed="false">
      <c r="A836" s="28" t="n">
        <v>835</v>
      </c>
      <c r="B836" s="37" t="s">
        <v>1398</v>
      </c>
      <c r="C836" s="38" t="s">
        <v>2616</v>
      </c>
      <c r="D836" s="38" t="n">
        <v>71</v>
      </c>
    </row>
    <row r="837" customFormat="false" ht="15" hidden="false" customHeight="false" outlineLevel="0" collapsed="false">
      <c r="A837" s="28" t="n">
        <v>836</v>
      </c>
      <c r="B837" s="37" t="s">
        <v>1399</v>
      </c>
      <c r="C837" s="38" t="s">
        <v>3263</v>
      </c>
      <c r="D837" s="38" t="n">
        <v>92</v>
      </c>
    </row>
    <row r="838" customFormat="false" ht="15" hidden="false" customHeight="false" outlineLevel="0" collapsed="false">
      <c r="A838" s="28" t="n">
        <v>837</v>
      </c>
      <c r="B838" s="37" t="s">
        <v>1401</v>
      </c>
      <c r="C838" s="38" t="s">
        <v>2984</v>
      </c>
      <c r="D838" s="38" t="n">
        <v>96</v>
      </c>
    </row>
    <row r="839" customFormat="false" ht="15" hidden="false" customHeight="false" outlineLevel="0" collapsed="false">
      <c r="A839" s="28" t="n">
        <v>838</v>
      </c>
      <c r="B839" s="37" t="s">
        <v>1402</v>
      </c>
      <c r="C839" s="38" t="s">
        <v>3264</v>
      </c>
      <c r="D839" s="38" t="n">
        <v>100</v>
      </c>
    </row>
    <row r="840" customFormat="false" ht="15" hidden="false" customHeight="false" outlineLevel="0" collapsed="false">
      <c r="A840" s="28" t="n">
        <v>839</v>
      </c>
      <c r="B840" s="37" t="s">
        <v>1403</v>
      </c>
      <c r="C840" s="38" t="s">
        <v>3265</v>
      </c>
      <c r="D840" s="38" t="n">
        <v>104</v>
      </c>
    </row>
    <row r="841" customFormat="false" ht="15" hidden="false" customHeight="false" outlineLevel="0" collapsed="false">
      <c r="A841" s="28" t="n">
        <v>840</v>
      </c>
      <c r="B841" s="37" t="s">
        <v>1404</v>
      </c>
      <c r="C841" s="38" t="s">
        <v>3152</v>
      </c>
      <c r="D841" s="38" t="n">
        <v>88</v>
      </c>
    </row>
    <row r="842" customFormat="false" ht="15" hidden="false" customHeight="false" outlineLevel="0" collapsed="false">
      <c r="A842" s="28" t="n">
        <v>841</v>
      </c>
      <c r="B842" s="37" t="s">
        <v>1406</v>
      </c>
      <c r="C842" s="38" t="s">
        <v>3266</v>
      </c>
      <c r="D842" s="38" t="n">
        <v>99</v>
      </c>
    </row>
    <row r="843" customFormat="false" ht="15" hidden="false" customHeight="false" outlineLevel="0" collapsed="false">
      <c r="A843" s="28" t="n">
        <v>842</v>
      </c>
      <c r="B843" s="37" t="s">
        <v>1407</v>
      </c>
      <c r="C843" s="38" t="s">
        <v>3267</v>
      </c>
      <c r="D843" s="38" t="n">
        <v>103</v>
      </c>
    </row>
    <row r="844" customFormat="false" ht="15" hidden="false" customHeight="false" outlineLevel="0" collapsed="false">
      <c r="A844" s="28" t="n">
        <v>843</v>
      </c>
      <c r="B844" s="37" t="s">
        <v>1408</v>
      </c>
      <c r="C844" s="38" t="s">
        <v>3268</v>
      </c>
      <c r="D844" s="38" t="n">
        <v>103</v>
      </c>
    </row>
    <row r="845" customFormat="false" ht="15" hidden="false" customHeight="false" outlineLevel="0" collapsed="false">
      <c r="A845" s="28" t="n">
        <v>844</v>
      </c>
      <c r="B845" s="37" t="s">
        <v>1410</v>
      </c>
      <c r="C845" s="38" t="s">
        <v>3269</v>
      </c>
      <c r="D845" s="38" t="n">
        <v>93</v>
      </c>
    </row>
    <row r="846" customFormat="false" ht="15" hidden="false" customHeight="false" outlineLevel="0" collapsed="false">
      <c r="A846" s="28" t="n">
        <v>845</v>
      </c>
      <c r="B846" s="37" t="s">
        <v>1411</v>
      </c>
      <c r="C846" s="38" t="s">
        <v>2873</v>
      </c>
      <c r="D846" s="38" t="n">
        <v>90</v>
      </c>
    </row>
    <row r="847" customFormat="false" ht="15" hidden="false" customHeight="false" outlineLevel="0" collapsed="false">
      <c r="A847" s="28" t="n">
        <v>846</v>
      </c>
      <c r="B847" s="37" t="s">
        <v>1412</v>
      </c>
      <c r="C847" s="38" t="s">
        <v>3270</v>
      </c>
      <c r="D847" s="38" t="n">
        <v>97</v>
      </c>
    </row>
    <row r="848" customFormat="false" ht="15" hidden="false" customHeight="false" outlineLevel="0" collapsed="false">
      <c r="A848" s="28" t="n">
        <v>847</v>
      </c>
      <c r="B848" s="37" t="s">
        <v>1413</v>
      </c>
      <c r="C848" s="38" t="s">
        <v>3271</v>
      </c>
      <c r="D848" s="38" t="n">
        <v>97</v>
      </c>
    </row>
    <row r="849" customFormat="false" ht="15" hidden="false" customHeight="false" outlineLevel="0" collapsed="false">
      <c r="A849" s="28" t="n">
        <v>848</v>
      </c>
      <c r="B849" s="37" t="s">
        <v>1414</v>
      </c>
      <c r="C849" s="38" t="s">
        <v>3272</v>
      </c>
      <c r="D849" s="38" t="n">
        <v>111</v>
      </c>
    </row>
    <row r="850" customFormat="false" ht="15" hidden="false" customHeight="false" outlineLevel="0" collapsed="false">
      <c r="A850" s="28" t="n">
        <v>849</v>
      </c>
      <c r="B850" s="37" t="s">
        <v>1415</v>
      </c>
      <c r="C850" s="38" t="s">
        <v>3273</v>
      </c>
      <c r="D850" s="38" t="n">
        <v>99</v>
      </c>
    </row>
    <row r="851" customFormat="false" ht="15" hidden="false" customHeight="false" outlineLevel="0" collapsed="false">
      <c r="A851" s="28" t="n">
        <v>850</v>
      </c>
      <c r="B851" s="37" t="s">
        <v>1416</v>
      </c>
      <c r="C851" s="38" t="s">
        <v>3274</v>
      </c>
      <c r="D851" s="38" t="n">
        <v>105</v>
      </c>
    </row>
    <row r="852" customFormat="false" ht="15" hidden="false" customHeight="false" outlineLevel="0" collapsed="false">
      <c r="A852" s="28" t="n">
        <v>851</v>
      </c>
      <c r="B852" s="37" t="s">
        <v>1417</v>
      </c>
      <c r="C852" s="38" t="s">
        <v>3275</v>
      </c>
      <c r="D852" s="38" t="n">
        <v>87</v>
      </c>
    </row>
    <row r="853" customFormat="false" ht="15" hidden="false" customHeight="false" outlineLevel="0" collapsed="false">
      <c r="A853" s="28" t="n">
        <v>852</v>
      </c>
      <c r="B853" s="37" t="s">
        <v>1418</v>
      </c>
      <c r="C853" s="38" t="s">
        <v>3276</v>
      </c>
      <c r="D853" s="38" t="n">
        <v>93</v>
      </c>
    </row>
    <row r="854" customFormat="false" ht="15" hidden="false" customHeight="false" outlineLevel="0" collapsed="false">
      <c r="A854" s="28" t="n">
        <v>853</v>
      </c>
      <c r="B854" s="37" t="s">
        <v>3277</v>
      </c>
      <c r="C854" s="38" t="s">
        <v>3278</v>
      </c>
      <c r="D854" s="38" t="n">
        <v>76</v>
      </c>
    </row>
    <row r="855" customFormat="false" ht="15" hidden="false" customHeight="false" outlineLevel="0" collapsed="false">
      <c r="A855" s="28" t="n">
        <v>854</v>
      </c>
      <c r="B855" s="37" t="s">
        <v>1420</v>
      </c>
      <c r="C855" s="38" t="s">
        <v>3279</v>
      </c>
      <c r="D855" s="38" t="n">
        <v>92</v>
      </c>
    </row>
    <row r="856" customFormat="false" ht="15" hidden="false" customHeight="false" outlineLevel="0" collapsed="false">
      <c r="A856" s="28" t="n">
        <v>855</v>
      </c>
      <c r="B856" s="37" t="s">
        <v>1421</v>
      </c>
      <c r="C856" s="38" t="s">
        <v>3280</v>
      </c>
      <c r="D856" s="38" t="n">
        <v>103</v>
      </c>
    </row>
    <row r="857" customFormat="false" ht="15" hidden="false" customHeight="false" outlineLevel="0" collapsed="false">
      <c r="A857" s="28" t="n">
        <v>856</v>
      </c>
      <c r="B857" s="37" t="s">
        <v>1422</v>
      </c>
      <c r="C857" s="38" t="s">
        <v>3281</v>
      </c>
      <c r="D857" s="38" t="n">
        <v>94</v>
      </c>
    </row>
    <row r="858" customFormat="false" ht="15" hidden="false" customHeight="false" outlineLevel="0" collapsed="false">
      <c r="A858" s="28" t="n">
        <v>857</v>
      </c>
      <c r="B858" s="37" t="s">
        <v>1423</v>
      </c>
      <c r="C858" s="38" t="s">
        <v>3282</v>
      </c>
      <c r="D858" s="38" t="n">
        <v>103</v>
      </c>
    </row>
    <row r="859" customFormat="false" ht="15" hidden="false" customHeight="false" outlineLevel="0" collapsed="false">
      <c r="A859" s="28" t="n">
        <v>858</v>
      </c>
      <c r="B859" s="37" t="s">
        <v>1424</v>
      </c>
      <c r="C859" s="38" t="s">
        <v>3070</v>
      </c>
      <c r="D859" s="38" t="n">
        <v>89</v>
      </c>
    </row>
    <row r="860" customFormat="false" ht="15" hidden="false" customHeight="false" outlineLevel="0" collapsed="false">
      <c r="A860" s="28" t="n">
        <v>859</v>
      </c>
      <c r="B860" s="37" t="s">
        <v>1425</v>
      </c>
      <c r="C860" s="38" t="s">
        <v>3283</v>
      </c>
      <c r="D860" s="38" t="n">
        <v>83</v>
      </c>
    </row>
    <row r="861" customFormat="false" ht="15" hidden="false" customHeight="false" outlineLevel="0" collapsed="false">
      <c r="A861" s="28" t="n">
        <v>860</v>
      </c>
      <c r="B861" s="37" t="s">
        <v>1426</v>
      </c>
      <c r="C861" s="38" t="s">
        <v>2992</v>
      </c>
      <c r="D861" s="38" t="n">
        <v>101</v>
      </c>
    </row>
    <row r="862" customFormat="false" ht="15" hidden="false" customHeight="false" outlineLevel="0" collapsed="false">
      <c r="A862" s="28" t="n">
        <v>861</v>
      </c>
      <c r="B862" s="37" t="s">
        <v>1427</v>
      </c>
      <c r="C862" s="38" t="s">
        <v>3284</v>
      </c>
      <c r="D862" s="38" t="n">
        <v>99</v>
      </c>
    </row>
    <row r="863" customFormat="false" ht="15" hidden="false" customHeight="false" outlineLevel="0" collapsed="false">
      <c r="A863" s="28" t="n">
        <v>862</v>
      </c>
      <c r="B863" s="37" t="s">
        <v>1428</v>
      </c>
      <c r="C863" s="38" t="s">
        <v>3285</v>
      </c>
      <c r="D863" s="38" t="n">
        <v>103</v>
      </c>
    </row>
    <row r="864" customFormat="false" ht="15" hidden="false" customHeight="false" outlineLevel="0" collapsed="false">
      <c r="A864" s="28" t="n">
        <v>863</v>
      </c>
      <c r="B864" s="37" t="s">
        <v>1429</v>
      </c>
      <c r="C864" s="38" t="s">
        <v>3286</v>
      </c>
      <c r="D864" s="38" t="n">
        <v>90</v>
      </c>
    </row>
    <row r="865" customFormat="false" ht="15" hidden="false" customHeight="false" outlineLevel="0" collapsed="false">
      <c r="A865" s="28" t="n">
        <v>864</v>
      </c>
      <c r="B865" s="37" t="s">
        <v>326</v>
      </c>
      <c r="C865" s="38" t="s">
        <v>3287</v>
      </c>
      <c r="D865" s="38" t="n">
        <v>75</v>
      </c>
    </row>
    <row r="866" customFormat="false" ht="15" hidden="false" customHeight="false" outlineLevel="0" collapsed="false">
      <c r="A866" s="28" t="n">
        <v>865</v>
      </c>
      <c r="B866" s="37" t="s">
        <v>1431</v>
      </c>
      <c r="C866" s="38" t="s">
        <v>3288</v>
      </c>
      <c r="D866" s="38" t="n">
        <v>98</v>
      </c>
    </row>
    <row r="867" customFormat="false" ht="15" hidden="false" customHeight="false" outlineLevel="0" collapsed="false">
      <c r="A867" s="28" t="n">
        <v>866</v>
      </c>
      <c r="B867" s="37" t="s">
        <v>1432</v>
      </c>
      <c r="C867" s="38" t="s">
        <v>3289</v>
      </c>
      <c r="D867" s="38" t="n">
        <v>103</v>
      </c>
    </row>
    <row r="868" customFormat="false" ht="15" hidden="false" customHeight="false" outlineLevel="0" collapsed="false">
      <c r="A868" s="28" t="n">
        <v>867</v>
      </c>
      <c r="B868" s="37" t="s">
        <v>1433</v>
      </c>
      <c r="C868" s="38" t="s">
        <v>3290</v>
      </c>
      <c r="D868" s="38" t="n">
        <v>101</v>
      </c>
    </row>
    <row r="869" customFormat="false" ht="15" hidden="false" customHeight="false" outlineLevel="0" collapsed="false">
      <c r="A869" s="28" t="n">
        <v>868</v>
      </c>
      <c r="B869" s="37" t="s">
        <v>1434</v>
      </c>
      <c r="C869" s="38" t="s">
        <v>3291</v>
      </c>
      <c r="D869" s="38" t="n">
        <v>117</v>
      </c>
    </row>
    <row r="870" customFormat="false" ht="15" hidden="false" customHeight="false" outlineLevel="0" collapsed="false">
      <c r="A870" s="28" t="n">
        <v>869</v>
      </c>
      <c r="B870" s="37" t="s">
        <v>1435</v>
      </c>
      <c r="C870" s="38" t="s">
        <v>3292</v>
      </c>
      <c r="D870" s="38" t="n">
        <v>73</v>
      </c>
    </row>
    <row r="871" customFormat="false" ht="15" hidden="false" customHeight="false" outlineLevel="0" collapsed="false">
      <c r="A871" s="28" t="n">
        <v>870</v>
      </c>
      <c r="B871" s="37" t="s">
        <v>1436</v>
      </c>
      <c r="C871" s="38" t="s">
        <v>3293</v>
      </c>
      <c r="D871" s="38" t="n">
        <v>101</v>
      </c>
    </row>
    <row r="872" customFormat="false" ht="15" hidden="false" customHeight="false" outlineLevel="0" collapsed="false">
      <c r="A872" s="28" t="n">
        <v>871</v>
      </c>
      <c r="B872" s="37" t="s">
        <v>1437</v>
      </c>
      <c r="C872" s="38" t="s">
        <v>3294</v>
      </c>
      <c r="D872" s="38" t="n">
        <v>97</v>
      </c>
    </row>
    <row r="873" customFormat="false" ht="15" hidden="false" customHeight="false" outlineLevel="0" collapsed="false">
      <c r="A873" s="28" t="n">
        <v>872</v>
      </c>
      <c r="B873" s="37" t="s">
        <v>1438</v>
      </c>
      <c r="C873" s="38" t="s">
        <v>3295</v>
      </c>
      <c r="D873" s="38" t="n">
        <v>94</v>
      </c>
    </row>
    <row r="874" customFormat="false" ht="15" hidden="false" customHeight="false" outlineLevel="0" collapsed="false">
      <c r="A874" s="28" t="n">
        <v>873</v>
      </c>
      <c r="B874" s="37" t="s">
        <v>1439</v>
      </c>
      <c r="C874" s="38" t="s">
        <v>3296</v>
      </c>
      <c r="D874" s="38" t="n">
        <v>103</v>
      </c>
    </row>
    <row r="875" customFormat="false" ht="15" hidden="false" customHeight="false" outlineLevel="0" collapsed="false">
      <c r="A875" s="28" t="n">
        <v>874</v>
      </c>
      <c r="B875" s="37" t="s">
        <v>1440</v>
      </c>
      <c r="C875" s="38" t="s">
        <v>3297</v>
      </c>
      <c r="D875" s="38" t="n">
        <v>104</v>
      </c>
    </row>
    <row r="876" customFormat="false" ht="15" hidden="false" customHeight="false" outlineLevel="0" collapsed="false">
      <c r="A876" s="28" t="n">
        <v>875</v>
      </c>
      <c r="B876" s="37" t="s">
        <v>1441</v>
      </c>
      <c r="C876" s="38" t="s">
        <v>3298</v>
      </c>
      <c r="D876" s="38" t="n">
        <v>104</v>
      </c>
    </row>
    <row r="877" customFormat="false" ht="15" hidden="false" customHeight="false" outlineLevel="0" collapsed="false">
      <c r="A877" s="28" t="n">
        <v>876</v>
      </c>
      <c r="B877" s="37" t="s">
        <v>1442</v>
      </c>
      <c r="C877" s="38" t="s">
        <v>2543</v>
      </c>
      <c r="D877" s="38" t="n">
        <v>86</v>
      </c>
    </row>
    <row r="878" customFormat="false" ht="15" hidden="false" customHeight="false" outlineLevel="0" collapsed="false">
      <c r="A878" s="28" t="n">
        <v>877</v>
      </c>
      <c r="B878" s="37" t="s">
        <v>1443</v>
      </c>
      <c r="C878" s="38" t="s">
        <v>2624</v>
      </c>
      <c r="D878" s="38" t="n">
        <v>94</v>
      </c>
    </row>
    <row r="879" customFormat="false" ht="15" hidden="false" customHeight="false" outlineLevel="0" collapsed="false">
      <c r="A879" s="28" t="n">
        <v>878</v>
      </c>
      <c r="B879" s="37" t="s">
        <v>1444</v>
      </c>
      <c r="C879" s="38" t="s">
        <v>3299</v>
      </c>
      <c r="D879" s="38" t="n">
        <v>99</v>
      </c>
    </row>
    <row r="880" customFormat="false" ht="15" hidden="false" customHeight="false" outlineLevel="0" collapsed="false">
      <c r="A880" s="28" t="n">
        <v>879</v>
      </c>
      <c r="B880" s="37" t="s">
        <v>1445</v>
      </c>
      <c r="C880" s="38" t="s">
        <v>3300</v>
      </c>
      <c r="D880" s="38" t="n">
        <v>92</v>
      </c>
    </row>
    <row r="881" customFormat="false" ht="15" hidden="false" customHeight="false" outlineLevel="0" collapsed="false">
      <c r="A881" s="28" t="n">
        <v>880</v>
      </c>
      <c r="B881" s="37" t="s">
        <v>1446</v>
      </c>
      <c r="C881" s="38" t="s">
        <v>3301</v>
      </c>
      <c r="D881" s="38" t="n">
        <v>105</v>
      </c>
    </row>
    <row r="882" customFormat="false" ht="15" hidden="false" customHeight="false" outlineLevel="0" collapsed="false">
      <c r="A882" s="28" t="n">
        <v>881</v>
      </c>
      <c r="B882" s="37" t="s">
        <v>1448</v>
      </c>
      <c r="C882" s="38" t="s">
        <v>3302</v>
      </c>
      <c r="D882" s="38" t="n">
        <v>104</v>
      </c>
    </row>
    <row r="883" customFormat="false" ht="15" hidden="false" customHeight="false" outlineLevel="0" collapsed="false">
      <c r="A883" s="28" t="n">
        <v>882</v>
      </c>
      <c r="B883" s="37" t="s">
        <v>1449</v>
      </c>
      <c r="C883" s="38" t="s">
        <v>3303</v>
      </c>
      <c r="D883" s="38" t="n">
        <v>99</v>
      </c>
    </row>
    <row r="884" customFormat="false" ht="15" hidden="false" customHeight="false" outlineLevel="0" collapsed="false">
      <c r="A884" s="28" t="n">
        <v>883</v>
      </c>
      <c r="B884" s="37" t="s">
        <v>1450</v>
      </c>
      <c r="C884" s="38" t="s">
        <v>3304</v>
      </c>
      <c r="D884" s="38" t="n">
        <v>101</v>
      </c>
    </row>
    <row r="885" customFormat="false" ht="15" hidden="false" customHeight="false" outlineLevel="0" collapsed="false">
      <c r="A885" s="28" t="n">
        <v>884</v>
      </c>
      <c r="B885" s="37" t="s">
        <v>1451</v>
      </c>
      <c r="C885" s="38" t="s">
        <v>3102</v>
      </c>
      <c r="D885" s="38" t="n">
        <v>92</v>
      </c>
    </row>
    <row r="886" customFormat="false" ht="15" hidden="false" customHeight="false" outlineLevel="0" collapsed="false">
      <c r="A886" s="28" t="n">
        <v>885</v>
      </c>
      <c r="B886" s="37" t="s">
        <v>1452</v>
      </c>
      <c r="C886" s="38" t="s">
        <v>3305</v>
      </c>
      <c r="D886" s="38" t="n">
        <v>100</v>
      </c>
    </row>
    <row r="887" customFormat="false" ht="15" hidden="false" customHeight="false" outlineLevel="0" collapsed="false">
      <c r="A887" s="28" t="n">
        <v>886</v>
      </c>
      <c r="B887" s="37" t="s">
        <v>1453</v>
      </c>
      <c r="C887" s="38" t="s">
        <v>3306</v>
      </c>
      <c r="D887" s="38" t="n">
        <v>102</v>
      </c>
    </row>
    <row r="888" customFormat="false" ht="15" hidden="false" customHeight="false" outlineLevel="0" collapsed="false">
      <c r="A888" s="28" t="n">
        <v>887</v>
      </c>
      <c r="B888" s="37" t="s">
        <v>1454</v>
      </c>
      <c r="C888" s="38" t="s">
        <v>3307</v>
      </c>
      <c r="D888" s="38" t="n">
        <v>100</v>
      </c>
    </row>
    <row r="889" customFormat="false" ht="15" hidden="false" customHeight="false" outlineLevel="0" collapsed="false">
      <c r="A889" s="28" t="n">
        <v>888</v>
      </c>
      <c r="B889" s="37" t="s">
        <v>1455</v>
      </c>
      <c r="C889" s="38" t="s">
        <v>3308</v>
      </c>
      <c r="D889" s="38" t="n">
        <v>97</v>
      </c>
    </row>
    <row r="890" customFormat="false" ht="15" hidden="false" customHeight="false" outlineLevel="0" collapsed="false">
      <c r="A890" s="28" t="n">
        <v>889</v>
      </c>
      <c r="B890" s="37" t="s">
        <v>1456</v>
      </c>
      <c r="C890" s="38" t="s">
        <v>3309</v>
      </c>
      <c r="D890" s="38" t="n">
        <v>95</v>
      </c>
    </row>
    <row r="891" customFormat="false" ht="15" hidden="false" customHeight="false" outlineLevel="0" collapsed="false">
      <c r="A891" s="28" t="n">
        <v>890</v>
      </c>
      <c r="B891" s="37" t="s">
        <v>1457</v>
      </c>
      <c r="C891" s="38" t="s">
        <v>3310</v>
      </c>
      <c r="D891" s="38" t="n">
        <v>101</v>
      </c>
    </row>
    <row r="892" customFormat="false" ht="15" hidden="false" customHeight="false" outlineLevel="0" collapsed="false">
      <c r="A892" s="28" t="n">
        <v>891</v>
      </c>
      <c r="B892" s="37" t="s">
        <v>1460</v>
      </c>
      <c r="C892" s="38" t="s">
        <v>3311</v>
      </c>
      <c r="D892" s="38" t="n">
        <v>100</v>
      </c>
    </row>
    <row r="893" customFormat="false" ht="15" hidden="false" customHeight="false" outlineLevel="0" collapsed="false">
      <c r="A893" s="28" t="n">
        <v>892</v>
      </c>
      <c r="B893" s="37" t="s">
        <v>1461</v>
      </c>
      <c r="C893" s="38" t="s">
        <v>3312</v>
      </c>
      <c r="D893" s="38" t="n">
        <v>99</v>
      </c>
    </row>
    <row r="894" customFormat="false" ht="15" hidden="false" customHeight="false" outlineLevel="0" collapsed="false">
      <c r="A894" s="28" t="n">
        <v>893</v>
      </c>
      <c r="B894" s="37" t="s">
        <v>1462</v>
      </c>
      <c r="C894" s="38" t="s">
        <v>3313</v>
      </c>
      <c r="D894" s="38" t="n">
        <v>107</v>
      </c>
    </row>
    <row r="895" customFormat="false" ht="15" hidden="false" customHeight="false" outlineLevel="0" collapsed="false">
      <c r="A895" s="28" t="n">
        <v>894</v>
      </c>
      <c r="B895" s="37" t="s">
        <v>1464</v>
      </c>
      <c r="C895" s="38" t="s">
        <v>3314</v>
      </c>
      <c r="D895" s="38" t="n">
        <v>93</v>
      </c>
    </row>
    <row r="896" customFormat="false" ht="15" hidden="false" customHeight="false" outlineLevel="0" collapsed="false">
      <c r="A896" s="28" t="n">
        <v>895</v>
      </c>
      <c r="B896" s="37" t="s">
        <v>1465</v>
      </c>
      <c r="C896" s="38" t="s">
        <v>3315</v>
      </c>
      <c r="D896" s="38" t="n">
        <v>107</v>
      </c>
    </row>
    <row r="897" customFormat="false" ht="15" hidden="false" customHeight="false" outlineLevel="0" collapsed="false">
      <c r="A897" s="28" t="n">
        <v>896</v>
      </c>
      <c r="B897" s="37" t="s">
        <v>1466</v>
      </c>
      <c r="C897" s="38" t="s">
        <v>3316</v>
      </c>
      <c r="D897" s="38" t="n">
        <v>99</v>
      </c>
    </row>
    <row r="898" customFormat="false" ht="15" hidden="false" customHeight="false" outlineLevel="0" collapsed="false">
      <c r="A898" s="28" t="n">
        <v>897</v>
      </c>
      <c r="B898" s="37" t="s">
        <v>1467</v>
      </c>
      <c r="C898" s="38" t="s">
        <v>3317</v>
      </c>
      <c r="D898" s="38" t="n">
        <v>90</v>
      </c>
    </row>
    <row r="899" customFormat="false" ht="15" hidden="false" customHeight="false" outlineLevel="0" collapsed="false">
      <c r="A899" s="28" t="n">
        <v>898</v>
      </c>
      <c r="B899" s="37" t="s">
        <v>1468</v>
      </c>
      <c r="C899" s="38" t="s">
        <v>3318</v>
      </c>
      <c r="D899" s="38" t="n">
        <v>99</v>
      </c>
    </row>
    <row r="900" customFormat="false" ht="15" hidden="false" customHeight="false" outlineLevel="0" collapsed="false">
      <c r="A900" s="28" t="n">
        <v>899</v>
      </c>
      <c r="B900" s="37" t="s">
        <v>1469</v>
      </c>
      <c r="C900" s="38" t="s">
        <v>3319</v>
      </c>
      <c r="D900" s="38" t="n">
        <v>106</v>
      </c>
    </row>
    <row r="901" customFormat="false" ht="15" hidden="false" customHeight="false" outlineLevel="0" collapsed="false">
      <c r="A901" s="28" t="n">
        <v>900</v>
      </c>
      <c r="B901" s="37" t="s">
        <v>1470</v>
      </c>
      <c r="C901" s="38" t="s">
        <v>3320</v>
      </c>
      <c r="D901" s="38" t="n">
        <v>90</v>
      </c>
    </row>
    <row r="902" customFormat="false" ht="15" hidden="false" customHeight="false" outlineLevel="0" collapsed="false">
      <c r="A902" s="28" t="n">
        <v>901</v>
      </c>
      <c r="B902" s="37" t="s">
        <v>1471</v>
      </c>
      <c r="C902" s="38" t="s">
        <v>3321</v>
      </c>
      <c r="D902" s="38" t="n">
        <v>104</v>
      </c>
    </row>
    <row r="903" customFormat="false" ht="15" hidden="false" customHeight="false" outlineLevel="0" collapsed="false">
      <c r="A903" s="28" t="n">
        <v>902</v>
      </c>
      <c r="B903" s="37" t="s">
        <v>1472</v>
      </c>
      <c r="C903" s="38" t="s">
        <v>3322</v>
      </c>
      <c r="D903" s="38" t="n">
        <v>93</v>
      </c>
    </row>
    <row r="904" customFormat="false" ht="15" hidden="false" customHeight="false" outlineLevel="0" collapsed="false">
      <c r="A904" s="28" t="n">
        <v>903</v>
      </c>
      <c r="B904" s="37" t="s">
        <v>1473</v>
      </c>
      <c r="C904" s="38" t="s">
        <v>3323</v>
      </c>
      <c r="D904" s="38" t="n">
        <v>95</v>
      </c>
    </row>
    <row r="905" customFormat="false" ht="15" hidden="false" customHeight="false" outlineLevel="0" collapsed="false">
      <c r="A905" s="28" t="n">
        <v>904</v>
      </c>
      <c r="B905" s="37" t="s">
        <v>1474</v>
      </c>
      <c r="C905" s="38" t="s">
        <v>3324</v>
      </c>
      <c r="D905" s="38" t="n">
        <v>105</v>
      </c>
    </row>
    <row r="906" customFormat="false" ht="15" hidden="false" customHeight="false" outlineLevel="0" collapsed="false">
      <c r="A906" s="28" t="n">
        <v>905</v>
      </c>
      <c r="B906" s="37" t="s">
        <v>3325</v>
      </c>
      <c r="C906" s="38" t="s">
        <v>2754</v>
      </c>
      <c r="D906" s="38" t="n">
        <v>92</v>
      </c>
    </row>
    <row r="907" customFormat="false" ht="15" hidden="false" customHeight="false" outlineLevel="0" collapsed="false">
      <c r="A907" s="28" t="n">
        <v>906</v>
      </c>
      <c r="B907" s="37" t="s">
        <v>1475</v>
      </c>
      <c r="C907" s="38" t="s">
        <v>3144</v>
      </c>
      <c r="D907" s="38" t="n">
        <v>102</v>
      </c>
    </row>
    <row r="908" customFormat="false" ht="15" hidden="false" customHeight="false" outlineLevel="0" collapsed="false">
      <c r="A908" s="28" t="n">
        <v>907</v>
      </c>
      <c r="B908" s="37" t="s">
        <v>1476</v>
      </c>
      <c r="C908" s="38" t="s">
        <v>3326</v>
      </c>
      <c r="D908" s="38" t="n">
        <v>97</v>
      </c>
    </row>
    <row r="909" customFormat="false" ht="15" hidden="false" customHeight="false" outlineLevel="0" collapsed="false">
      <c r="A909" s="28" t="n">
        <v>908</v>
      </c>
      <c r="B909" s="37" t="s">
        <v>1477</v>
      </c>
      <c r="C909" s="38" t="s">
        <v>3327</v>
      </c>
      <c r="D909" s="38" t="n">
        <v>102</v>
      </c>
    </row>
    <row r="910" customFormat="false" ht="15" hidden="false" customHeight="false" outlineLevel="0" collapsed="false">
      <c r="A910" s="28" t="n">
        <v>909</v>
      </c>
      <c r="B910" s="37" t="s">
        <v>1478</v>
      </c>
      <c r="C910" s="38" t="s">
        <v>3279</v>
      </c>
      <c r="D910" s="38" t="n">
        <v>92</v>
      </c>
    </row>
    <row r="911" customFormat="false" ht="15" hidden="false" customHeight="false" outlineLevel="0" collapsed="false">
      <c r="A911" s="28" t="n">
        <v>910</v>
      </c>
      <c r="B911" s="37" t="s">
        <v>1479</v>
      </c>
      <c r="C911" s="38" t="s">
        <v>3328</v>
      </c>
      <c r="D911" s="38" t="n">
        <v>104</v>
      </c>
    </row>
    <row r="912" customFormat="false" ht="15" hidden="false" customHeight="false" outlineLevel="0" collapsed="false">
      <c r="A912" s="28" t="n">
        <v>911</v>
      </c>
      <c r="B912" s="37" t="s">
        <v>1480</v>
      </c>
      <c r="C912" s="38" t="s">
        <v>2936</v>
      </c>
      <c r="D912" s="38" t="n">
        <v>106</v>
      </c>
    </row>
    <row r="913" customFormat="false" ht="15" hidden="false" customHeight="false" outlineLevel="0" collapsed="false">
      <c r="A913" s="28" t="n">
        <v>912</v>
      </c>
      <c r="B913" s="37" t="s">
        <v>1481</v>
      </c>
      <c r="C913" s="38" t="s">
        <v>2788</v>
      </c>
      <c r="D913" s="38" t="n">
        <v>101</v>
      </c>
    </row>
    <row r="914" customFormat="false" ht="15" hidden="false" customHeight="false" outlineLevel="0" collapsed="false">
      <c r="A914" s="28" t="n">
        <v>913</v>
      </c>
      <c r="B914" s="37" t="s">
        <v>1483</v>
      </c>
      <c r="C914" s="38" t="s">
        <v>3329</v>
      </c>
      <c r="D914" s="38" t="n">
        <v>97</v>
      </c>
    </row>
    <row r="915" customFormat="false" ht="15" hidden="false" customHeight="false" outlineLevel="0" collapsed="false">
      <c r="A915" s="28" t="n">
        <v>914</v>
      </c>
      <c r="B915" s="37" t="s">
        <v>1484</v>
      </c>
      <c r="C915" s="38" t="s">
        <v>3320</v>
      </c>
      <c r="D915" s="38" t="n">
        <v>90</v>
      </c>
    </row>
    <row r="916" customFormat="false" ht="15" hidden="false" customHeight="false" outlineLevel="0" collapsed="false">
      <c r="A916" s="28" t="n">
        <v>915</v>
      </c>
      <c r="B916" s="37" t="s">
        <v>1487</v>
      </c>
      <c r="C916" s="38" t="s">
        <v>3330</v>
      </c>
      <c r="D916" s="38" t="n">
        <v>90</v>
      </c>
    </row>
    <row r="917" customFormat="false" ht="15" hidden="false" customHeight="false" outlineLevel="0" collapsed="false">
      <c r="A917" s="28" t="n">
        <v>916</v>
      </c>
      <c r="B917" s="37" t="s">
        <v>1488</v>
      </c>
      <c r="C917" s="38" t="s">
        <v>3331</v>
      </c>
      <c r="D917" s="38" t="n">
        <v>106</v>
      </c>
    </row>
    <row r="918" customFormat="false" ht="15" hidden="false" customHeight="false" outlineLevel="0" collapsed="false">
      <c r="A918" s="28" t="n">
        <v>917</v>
      </c>
      <c r="B918" s="37" t="s">
        <v>1489</v>
      </c>
      <c r="C918" s="38" t="s">
        <v>3332</v>
      </c>
      <c r="D918" s="38" t="n">
        <v>110</v>
      </c>
    </row>
    <row r="919" customFormat="false" ht="15" hidden="false" customHeight="false" outlineLevel="0" collapsed="false">
      <c r="A919" s="28" t="n">
        <v>918</v>
      </c>
      <c r="B919" s="37" t="s">
        <v>1490</v>
      </c>
      <c r="C919" s="38" t="s">
        <v>3333</v>
      </c>
      <c r="D919" s="38" t="n">
        <v>95</v>
      </c>
    </row>
    <row r="920" customFormat="false" ht="15" hidden="false" customHeight="false" outlineLevel="0" collapsed="false">
      <c r="A920" s="28" t="n">
        <v>919</v>
      </c>
      <c r="B920" s="37" t="s">
        <v>1491</v>
      </c>
      <c r="C920" s="38" t="s">
        <v>3334</v>
      </c>
      <c r="D920" s="38" t="n">
        <v>103</v>
      </c>
    </row>
    <row r="921" customFormat="false" ht="15" hidden="false" customHeight="false" outlineLevel="0" collapsed="false">
      <c r="A921" s="28" t="n">
        <v>920</v>
      </c>
      <c r="B921" s="37" t="s">
        <v>1492</v>
      </c>
      <c r="C921" s="38" t="s">
        <v>3335</v>
      </c>
      <c r="D921" s="38" t="n">
        <v>97</v>
      </c>
    </row>
    <row r="922" customFormat="false" ht="15" hidden="false" customHeight="false" outlineLevel="0" collapsed="false">
      <c r="A922" s="28" t="n">
        <v>921</v>
      </c>
      <c r="B922" s="37" t="s">
        <v>1493</v>
      </c>
      <c r="C922" s="38" t="s">
        <v>3336</v>
      </c>
      <c r="D922" s="38" t="n">
        <v>95</v>
      </c>
    </row>
    <row r="923" customFormat="false" ht="15" hidden="false" customHeight="false" outlineLevel="0" collapsed="false">
      <c r="A923" s="28" t="n">
        <v>922</v>
      </c>
      <c r="B923" s="37" t="s">
        <v>1494</v>
      </c>
      <c r="C923" s="38" t="s">
        <v>3337</v>
      </c>
      <c r="D923" s="38" t="n">
        <v>105</v>
      </c>
    </row>
    <row r="924" customFormat="false" ht="15" hidden="false" customHeight="false" outlineLevel="0" collapsed="false">
      <c r="A924" s="28" t="n">
        <v>923</v>
      </c>
      <c r="B924" s="37" t="s">
        <v>1495</v>
      </c>
      <c r="C924" s="38" t="s">
        <v>3338</v>
      </c>
      <c r="D924" s="38" t="n">
        <v>110</v>
      </c>
    </row>
    <row r="925" customFormat="false" ht="15" hidden="false" customHeight="false" outlineLevel="0" collapsed="false">
      <c r="A925" s="28" t="n">
        <v>924</v>
      </c>
      <c r="B925" s="37" t="s">
        <v>1496</v>
      </c>
      <c r="C925" s="38" t="s">
        <v>3339</v>
      </c>
      <c r="D925" s="38" t="n">
        <v>103</v>
      </c>
    </row>
    <row r="926" customFormat="false" ht="15" hidden="false" customHeight="false" outlineLevel="0" collapsed="false">
      <c r="A926" s="28" t="n">
        <v>925</v>
      </c>
      <c r="B926" s="37" t="s">
        <v>1497</v>
      </c>
      <c r="C926" s="38" t="s">
        <v>2599</v>
      </c>
      <c r="D926" s="38" t="n">
        <v>75</v>
      </c>
    </row>
    <row r="927" customFormat="false" ht="15" hidden="false" customHeight="false" outlineLevel="0" collapsed="false">
      <c r="A927" s="28" t="n">
        <v>926</v>
      </c>
      <c r="B927" s="37" t="s">
        <v>310</v>
      </c>
      <c r="C927" s="38" t="s">
        <v>3340</v>
      </c>
      <c r="D927" s="38" t="n">
        <v>75</v>
      </c>
    </row>
    <row r="928" customFormat="false" ht="15" hidden="false" customHeight="false" outlineLevel="0" collapsed="false">
      <c r="A928" s="28" t="n">
        <v>927</v>
      </c>
      <c r="B928" s="37" t="s">
        <v>1499</v>
      </c>
      <c r="C928" s="38" t="s">
        <v>3341</v>
      </c>
      <c r="D928" s="38" t="n">
        <v>100</v>
      </c>
    </row>
    <row r="929" customFormat="false" ht="15" hidden="false" customHeight="false" outlineLevel="0" collapsed="false">
      <c r="A929" s="28" t="n">
        <v>928</v>
      </c>
      <c r="B929" s="37" t="s">
        <v>3342</v>
      </c>
      <c r="C929" s="38" t="s">
        <v>3192</v>
      </c>
      <c r="D929" s="38" t="n">
        <v>73</v>
      </c>
    </row>
    <row r="930" customFormat="false" ht="15" hidden="false" customHeight="false" outlineLevel="0" collapsed="false">
      <c r="A930" s="28" t="n">
        <v>929</v>
      </c>
      <c r="B930" s="37" t="s">
        <v>1503</v>
      </c>
      <c r="C930" s="38" t="s">
        <v>3343</v>
      </c>
      <c r="D930" s="38" t="n">
        <v>101</v>
      </c>
    </row>
    <row r="931" customFormat="false" ht="15" hidden="false" customHeight="false" outlineLevel="0" collapsed="false">
      <c r="A931" s="28" t="n">
        <v>930</v>
      </c>
      <c r="B931" s="37" t="s">
        <v>1505</v>
      </c>
      <c r="C931" s="38" t="s">
        <v>3344</v>
      </c>
      <c r="D931" s="38" t="n">
        <v>97</v>
      </c>
    </row>
    <row r="932" customFormat="false" ht="15" hidden="false" customHeight="false" outlineLevel="0" collapsed="false">
      <c r="A932" s="28" t="n">
        <v>931</v>
      </c>
      <c r="B932" s="37" t="s">
        <v>1506</v>
      </c>
      <c r="C932" s="38" t="s">
        <v>3345</v>
      </c>
      <c r="D932" s="38" t="n">
        <v>101</v>
      </c>
    </row>
    <row r="933" customFormat="false" ht="15" hidden="false" customHeight="false" outlineLevel="0" collapsed="false">
      <c r="A933" s="28" t="n">
        <v>932</v>
      </c>
      <c r="B933" s="37" t="s">
        <v>1507</v>
      </c>
      <c r="C933" s="38" t="s">
        <v>3346</v>
      </c>
      <c r="D933" s="38" t="n">
        <v>99</v>
      </c>
    </row>
    <row r="934" customFormat="false" ht="15" hidden="false" customHeight="false" outlineLevel="0" collapsed="false">
      <c r="A934" s="28" t="n">
        <v>933</v>
      </c>
      <c r="B934" s="37" t="s">
        <v>1508</v>
      </c>
      <c r="C934" s="38" t="s">
        <v>3347</v>
      </c>
      <c r="D934" s="38" t="n">
        <v>105</v>
      </c>
    </row>
    <row r="935" customFormat="false" ht="15" hidden="false" customHeight="false" outlineLevel="0" collapsed="false">
      <c r="A935" s="28" t="n">
        <v>934</v>
      </c>
      <c r="B935" s="37" t="s">
        <v>1509</v>
      </c>
      <c r="C935" s="38" t="s">
        <v>3348</v>
      </c>
      <c r="D935" s="38" t="n">
        <v>97</v>
      </c>
    </row>
    <row r="936" customFormat="false" ht="15" hidden="false" customHeight="false" outlineLevel="0" collapsed="false">
      <c r="A936" s="28" t="n">
        <v>935</v>
      </c>
      <c r="B936" s="37" t="s">
        <v>1510</v>
      </c>
      <c r="C936" s="38" t="s">
        <v>3172</v>
      </c>
      <c r="D936" s="38" t="n">
        <v>83</v>
      </c>
    </row>
    <row r="937" customFormat="false" ht="15" hidden="false" customHeight="false" outlineLevel="0" collapsed="false">
      <c r="A937" s="28" t="n">
        <v>936</v>
      </c>
      <c r="B937" s="37" t="s">
        <v>1511</v>
      </c>
      <c r="C937" s="38" t="s">
        <v>3316</v>
      </c>
      <c r="D937" s="38" t="n">
        <v>99</v>
      </c>
    </row>
    <row r="938" customFormat="false" ht="15" hidden="false" customHeight="false" outlineLevel="0" collapsed="false">
      <c r="A938" s="28" t="n">
        <v>937</v>
      </c>
      <c r="B938" s="37" t="s">
        <v>1512</v>
      </c>
      <c r="C938" s="38" t="s">
        <v>3349</v>
      </c>
      <c r="D938" s="38" t="n">
        <v>98</v>
      </c>
    </row>
    <row r="939" customFormat="false" ht="15" hidden="false" customHeight="false" outlineLevel="0" collapsed="false">
      <c r="A939" s="28" t="n">
        <v>938</v>
      </c>
      <c r="B939" s="37" t="s">
        <v>1513</v>
      </c>
      <c r="C939" s="38" t="s">
        <v>3350</v>
      </c>
      <c r="D939" s="38" t="n">
        <v>100</v>
      </c>
    </row>
    <row r="940" customFormat="false" ht="15" hidden="false" customHeight="false" outlineLevel="0" collapsed="false">
      <c r="A940" s="28" t="n">
        <v>939</v>
      </c>
      <c r="B940" s="37" t="s">
        <v>1514</v>
      </c>
      <c r="C940" s="38" t="s">
        <v>3206</v>
      </c>
      <c r="D940" s="38" t="n">
        <v>96</v>
      </c>
    </row>
    <row r="941" customFormat="false" ht="15" hidden="false" customHeight="false" outlineLevel="0" collapsed="false">
      <c r="A941" s="28" t="n">
        <v>940</v>
      </c>
      <c r="B941" s="37" t="s">
        <v>1516</v>
      </c>
      <c r="C941" s="38" t="s">
        <v>3038</v>
      </c>
      <c r="D941" s="38" t="n">
        <v>109</v>
      </c>
    </row>
    <row r="942" customFormat="false" ht="15" hidden="false" customHeight="false" outlineLevel="0" collapsed="false">
      <c r="A942" s="28" t="n">
        <v>941</v>
      </c>
      <c r="B942" s="37" t="s">
        <v>1517</v>
      </c>
      <c r="C942" s="38" t="s">
        <v>3351</v>
      </c>
      <c r="D942" s="38" t="n">
        <v>95</v>
      </c>
    </row>
    <row r="943" customFormat="false" ht="15" hidden="false" customHeight="false" outlineLevel="0" collapsed="false">
      <c r="A943" s="28" t="n">
        <v>942</v>
      </c>
      <c r="B943" s="37" t="s">
        <v>1518</v>
      </c>
      <c r="C943" s="38" t="s">
        <v>2600</v>
      </c>
      <c r="D943" s="38" t="n">
        <v>86</v>
      </c>
    </row>
    <row r="944" customFormat="false" ht="15" hidden="false" customHeight="false" outlineLevel="0" collapsed="false">
      <c r="A944" s="28" t="n">
        <v>943</v>
      </c>
      <c r="B944" s="37" t="s">
        <v>1519</v>
      </c>
      <c r="C944" s="38" t="s">
        <v>3352</v>
      </c>
      <c r="D944" s="38" t="n">
        <v>108</v>
      </c>
    </row>
    <row r="945" customFormat="false" ht="15" hidden="false" customHeight="false" outlineLevel="0" collapsed="false">
      <c r="A945" s="28" t="n">
        <v>944</v>
      </c>
      <c r="B945" s="37" t="s">
        <v>1520</v>
      </c>
      <c r="C945" s="38" t="s">
        <v>3353</v>
      </c>
      <c r="D945" s="38" t="n">
        <v>99</v>
      </c>
    </row>
    <row r="946" customFormat="false" ht="15" hidden="false" customHeight="false" outlineLevel="0" collapsed="false">
      <c r="A946" s="28" t="n">
        <v>945</v>
      </c>
      <c r="B946" s="37" t="s">
        <v>1521</v>
      </c>
      <c r="C946" s="38" t="s">
        <v>3354</v>
      </c>
      <c r="D946" s="38" t="n">
        <v>96</v>
      </c>
    </row>
    <row r="947" customFormat="false" ht="15" hidden="false" customHeight="false" outlineLevel="0" collapsed="false">
      <c r="A947" s="28" t="n">
        <v>946</v>
      </c>
      <c r="B947" s="37" t="s">
        <v>1525</v>
      </c>
      <c r="C947" s="38" t="s">
        <v>3355</v>
      </c>
      <c r="D947" s="38" t="n">
        <v>98</v>
      </c>
    </row>
    <row r="948" customFormat="false" ht="15" hidden="false" customHeight="false" outlineLevel="0" collapsed="false">
      <c r="A948" s="28" t="n">
        <v>947</v>
      </c>
      <c r="B948" s="37" t="s">
        <v>1526</v>
      </c>
      <c r="C948" s="38" t="s">
        <v>3356</v>
      </c>
      <c r="D948" s="38" t="n">
        <v>94</v>
      </c>
    </row>
    <row r="949" customFormat="false" ht="15" hidden="false" customHeight="false" outlineLevel="0" collapsed="false">
      <c r="A949" s="28" t="n">
        <v>948</v>
      </c>
      <c r="B949" s="37" t="s">
        <v>1527</v>
      </c>
      <c r="C949" s="38" t="s">
        <v>3357</v>
      </c>
      <c r="D949" s="38" t="n">
        <v>93</v>
      </c>
    </row>
    <row r="950" customFormat="false" ht="15" hidden="false" customHeight="false" outlineLevel="0" collapsed="false">
      <c r="A950" s="28" t="n">
        <v>949</v>
      </c>
      <c r="B950" s="37" t="s">
        <v>1528</v>
      </c>
      <c r="C950" s="38" t="s">
        <v>3358</v>
      </c>
      <c r="D950" s="38" t="n">
        <v>89</v>
      </c>
    </row>
    <row r="951" customFormat="false" ht="15" hidden="false" customHeight="false" outlineLevel="0" collapsed="false">
      <c r="A951" s="28" t="n">
        <v>950</v>
      </c>
      <c r="B951" s="37" t="s">
        <v>1529</v>
      </c>
      <c r="C951" s="38" t="s">
        <v>3359</v>
      </c>
      <c r="D951" s="38" t="n">
        <v>99</v>
      </c>
    </row>
    <row r="952" customFormat="false" ht="15" hidden="false" customHeight="false" outlineLevel="0" collapsed="false">
      <c r="A952" s="28" t="n">
        <v>951</v>
      </c>
      <c r="B952" s="37" t="s">
        <v>1530</v>
      </c>
      <c r="C952" s="38" t="s">
        <v>3227</v>
      </c>
      <c r="D952" s="38" t="n">
        <v>95</v>
      </c>
    </row>
    <row r="953" customFormat="false" ht="15" hidden="false" customHeight="false" outlineLevel="0" collapsed="false">
      <c r="A953" s="28" t="n">
        <v>952</v>
      </c>
      <c r="B953" s="37" t="s">
        <v>1531</v>
      </c>
      <c r="C953" s="38" t="s">
        <v>3360</v>
      </c>
      <c r="D953" s="38" t="n">
        <v>97</v>
      </c>
    </row>
    <row r="954" customFormat="false" ht="15" hidden="false" customHeight="false" outlineLevel="0" collapsed="false">
      <c r="A954" s="28" t="n">
        <v>953</v>
      </c>
      <c r="B954" s="37" t="s">
        <v>1532</v>
      </c>
      <c r="C954" s="38" t="s">
        <v>3361</v>
      </c>
      <c r="D954" s="38" t="n">
        <v>94</v>
      </c>
    </row>
    <row r="955" customFormat="false" ht="15" hidden="false" customHeight="false" outlineLevel="0" collapsed="false">
      <c r="A955" s="28" t="n">
        <v>954</v>
      </c>
      <c r="B955" s="37" t="s">
        <v>1533</v>
      </c>
      <c r="C955" s="38" t="s">
        <v>3362</v>
      </c>
      <c r="D955" s="38" t="n">
        <v>96</v>
      </c>
    </row>
    <row r="956" customFormat="false" ht="15" hidden="false" customHeight="false" outlineLevel="0" collapsed="false">
      <c r="A956" s="28" t="n">
        <v>955</v>
      </c>
      <c r="B956" s="37" t="s">
        <v>319</v>
      </c>
      <c r="C956" s="38" t="s">
        <v>3363</v>
      </c>
      <c r="D956" s="38" t="n">
        <v>89</v>
      </c>
    </row>
    <row r="957" customFormat="false" ht="15" hidden="false" customHeight="false" outlineLevel="0" collapsed="false">
      <c r="A957" s="28" t="n">
        <v>956</v>
      </c>
      <c r="B957" s="37" t="s">
        <v>1534</v>
      </c>
      <c r="C957" s="38" t="s">
        <v>2820</v>
      </c>
      <c r="D957" s="38" t="n">
        <v>80</v>
      </c>
    </row>
    <row r="958" customFormat="false" ht="15" hidden="false" customHeight="false" outlineLevel="0" collapsed="false">
      <c r="A958" s="28" t="n">
        <v>957</v>
      </c>
      <c r="B958" s="37" t="s">
        <v>1535</v>
      </c>
      <c r="C958" s="38" t="s">
        <v>2616</v>
      </c>
      <c r="D958" s="38" t="n">
        <v>71</v>
      </c>
    </row>
    <row r="959" customFormat="false" ht="15" hidden="false" customHeight="false" outlineLevel="0" collapsed="false">
      <c r="A959" s="28" t="n">
        <v>958</v>
      </c>
      <c r="B959" s="37" t="s">
        <v>1537</v>
      </c>
      <c r="C959" s="38" t="s">
        <v>3364</v>
      </c>
      <c r="D959" s="38" t="n">
        <v>98</v>
      </c>
    </row>
    <row r="960" customFormat="false" ht="15" hidden="false" customHeight="false" outlineLevel="0" collapsed="false">
      <c r="A960" s="28" t="n">
        <v>959</v>
      </c>
      <c r="B960" s="37" t="s">
        <v>3365</v>
      </c>
      <c r="C960" s="38" t="s">
        <v>3366</v>
      </c>
      <c r="D960" s="38" t="n">
        <v>72</v>
      </c>
    </row>
    <row r="961" customFormat="false" ht="15" hidden="false" customHeight="false" outlineLevel="0" collapsed="false">
      <c r="A961" s="28" t="n">
        <v>960</v>
      </c>
      <c r="B961" s="37" t="s">
        <v>1539</v>
      </c>
      <c r="C961" s="38" t="s">
        <v>3367</v>
      </c>
      <c r="D961" s="38" t="n">
        <v>93</v>
      </c>
    </row>
    <row r="962" customFormat="false" ht="15" hidden="false" customHeight="false" outlineLevel="0" collapsed="false">
      <c r="A962" s="28" t="n">
        <v>961</v>
      </c>
      <c r="B962" s="37" t="s">
        <v>1541</v>
      </c>
      <c r="C962" s="38" t="s">
        <v>3368</v>
      </c>
      <c r="D962" s="38" t="n">
        <v>98</v>
      </c>
    </row>
    <row r="963" customFormat="false" ht="15" hidden="false" customHeight="false" outlineLevel="0" collapsed="false">
      <c r="A963" s="28" t="n">
        <v>962</v>
      </c>
      <c r="B963" s="37" t="s">
        <v>1542</v>
      </c>
      <c r="C963" s="38" t="s">
        <v>3369</v>
      </c>
      <c r="D963" s="38" t="n">
        <v>100</v>
      </c>
    </row>
    <row r="964" customFormat="false" ht="15" hidden="false" customHeight="false" outlineLevel="0" collapsed="false">
      <c r="A964" s="28" t="n">
        <v>963</v>
      </c>
      <c r="B964" s="37" t="s">
        <v>1543</v>
      </c>
      <c r="C964" s="38" t="s">
        <v>3370</v>
      </c>
      <c r="D964" s="38" t="n">
        <v>95</v>
      </c>
    </row>
    <row r="965" customFormat="false" ht="15" hidden="false" customHeight="false" outlineLevel="0" collapsed="false">
      <c r="A965" s="28" t="n">
        <v>964</v>
      </c>
      <c r="B965" s="37" t="s">
        <v>1545</v>
      </c>
      <c r="C965" s="38" t="s">
        <v>3330</v>
      </c>
      <c r="D965" s="38" t="n">
        <v>90</v>
      </c>
    </row>
    <row r="966" customFormat="false" ht="15" hidden="false" customHeight="false" outlineLevel="0" collapsed="false">
      <c r="A966" s="28" t="n">
        <v>965</v>
      </c>
      <c r="B966" s="37" t="s">
        <v>1546</v>
      </c>
      <c r="C966" s="38" t="s">
        <v>3371</v>
      </c>
      <c r="D966" s="38" t="n">
        <v>100</v>
      </c>
    </row>
    <row r="967" customFormat="false" ht="15" hidden="false" customHeight="false" outlineLevel="0" collapsed="false">
      <c r="A967" s="28" t="n">
        <v>966</v>
      </c>
      <c r="B967" s="37" t="s">
        <v>1547</v>
      </c>
      <c r="C967" s="38" t="s">
        <v>3150</v>
      </c>
      <c r="D967" s="38" t="n">
        <v>97</v>
      </c>
    </row>
    <row r="968" customFormat="false" ht="15" hidden="false" customHeight="false" outlineLevel="0" collapsed="false">
      <c r="A968" s="28" t="n">
        <v>967</v>
      </c>
      <c r="B968" s="37" t="s">
        <v>1548</v>
      </c>
      <c r="C968" s="38" t="s">
        <v>3372</v>
      </c>
      <c r="D968" s="38" t="n">
        <v>97</v>
      </c>
    </row>
    <row r="969" customFormat="false" ht="15" hidden="false" customHeight="false" outlineLevel="0" collapsed="false">
      <c r="A969" s="28" t="n">
        <v>968</v>
      </c>
      <c r="B969" s="37" t="s">
        <v>1549</v>
      </c>
      <c r="C969" s="38" t="s">
        <v>3373</v>
      </c>
      <c r="D969" s="38" t="n">
        <v>107</v>
      </c>
    </row>
    <row r="970" customFormat="false" ht="15" hidden="false" customHeight="false" outlineLevel="0" collapsed="false">
      <c r="A970" s="28" t="n">
        <v>969</v>
      </c>
      <c r="B970" s="37" t="s">
        <v>1550</v>
      </c>
      <c r="C970" s="38" t="s">
        <v>2597</v>
      </c>
      <c r="D970" s="38" t="n">
        <v>90</v>
      </c>
    </row>
    <row r="971" customFormat="false" ht="15" hidden="false" customHeight="false" outlineLevel="0" collapsed="false">
      <c r="A971" s="28" t="n">
        <v>970</v>
      </c>
      <c r="B971" s="37" t="s">
        <v>1551</v>
      </c>
      <c r="C971" s="38" t="s">
        <v>3374</v>
      </c>
      <c r="D971" s="38" t="n">
        <v>100</v>
      </c>
    </row>
    <row r="972" customFormat="false" ht="15" hidden="false" customHeight="false" outlineLevel="0" collapsed="false">
      <c r="A972" s="28" t="n">
        <v>971</v>
      </c>
      <c r="B972" s="37" t="s">
        <v>1552</v>
      </c>
      <c r="C972" s="38" t="s">
        <v>3101</v>
      </c>
      <c r="D972" s="38" t="n">
        <v>100</v>
      </c>
    </row>
    <row r="973" customFormat="false" ht="15" hidden="false" customHeight="false" outlineLevel="0" collapsed="false">
      <c r="A973" s="28" t="n">
        <v>972</v>
      </c>
      <c r="B973" s="37" t="s">
        <v>1554</v>
      </c>
      <c r="C973" s="38" t="s">
        <v>3375</v>
      </c>
      <c r="D973" s="38" t="n">
        <v>91</v>
      </c>
    </row>
    <row r="974" customFormat="false" ht="15" hidden="false" customHeight="false" outlineLevel="0" collapsed="false">
      <c r="A974" s="28" t="n">
        <v>973</v>
      </c>
      <c r="B974" s="37" t="s">
        <v>1555</v>
      </c>
      <c r="C974" s="38" t="s">
        <v>3376</v>
      </c>
      <c r="D974" s="38" t="n">
        <v>97</v>
      </c>
    </row>
    <row r="975" customFormat="false" ht="15" hidden="false" customHeight="false" outlineLevel="0" collapsed="false">
      <c r="A975" s="28" t="n">
        <v>974</v>
      </c>
      <c r="B975" s="37" t="s">
        <v>1556</v>
      </c>
      <c r="C975" s="38" t="s">
        <v>3377</v>
      </c>
      <c r="D975" s="38" t="n">
        <v>107</v>
      </c>
    </row>
    <row r="976" customFormat="false" ht="15" hidden="false" customHeight="false" outlineLevel="0" collapsed="false">
      <c r="A976" s="28" t="n">
        <v>975</v>
      </c>
      <c r="B976" s="37" t="s">
        <v>1557</v>
      </c>
      <c r="C976" s="38" t="s">
        <v>3378</v>
      </c>
      <c r="D976" s="38" t="n">
        <v>102</v>
      </c>
    </row>
    <row r="977" customFormat="false" ht="15" hidden="false" customHeight="false" outlineLevel="0" collapsed="false">
      <c r="A977" s="28" t="n">
        <v>976</v>
      </c>
      <c r="B977" s="37" t="s">
        <v>1558</v>
      </c>
      <c r="C977" s="38" t="s">
        <v>3211</v>
      </c>
      <c r="D977" s="38" t="n">
        <v>93</v>
      </c>
    </row>
    <row r="978" customFormat="false" ht="15" hidden="false" customHeight="false" outlineLevel="0" collapsed="false">
      <c r="A978" s="28" t="n">
        <v>977</v>
      </c>
      <c r="B978" s="37" t="s">
        <v>1559</v>
      </c>
      <c r="C978" s="38" t="s">
        <v>3379</v>
      </c>
      <c r="D978" s="38" t="n">
        <v>105</v>
      </c>
    </row>
    <row r="979" customFormat="false" ht="15" hidden="false" customHeight="false" outlineLevel="0" collapsed="false">
      <c r="A979" s="28" t="n">
        <v>978</v>
      </c>
      <c r="B979" s="37" t="s">
        <v>1561</v>
      </c>
      <c r="C979" s="38" t="s">
        <v>3230</v>
      </c>
      <c r="D979" s="38" t="n">
        <v>94</v>
      </c>
    </row>
    <row r="980" customFormat="false" ht="15" hidden="false" customHeight="false" outlineLevel="0" collapsed="false">
      <c r="A980" s="28" t="n">
        <v>979</v>
      </c>
      <c r="B980" s="37" t="s">
        <v>1562</v>
      </c>
      <c r="C980" s="38" t="s">
        <v>3380</v>
      </c>
      <c r="D980" s="38" t="n">
        <v>88</v>
      </c>
    </row>
    <row r="981" customFormat="false" ht="15" hidden="false" customHeight="false" outlineLevel="0" collapsed="false">
      <c r="A981" s="28" t="n">
        <v>980</v>
      </c>
      <c r="B981" s="37" t="s">
        <v>1563</v>
      </c>
      <c r="C981" s="38" t="s">
        <v>3381</v>
      </c>
      <c r="D981" s="38" t="n">
        <v>98</v>
      </c>
    </row>
    <row r="982" customFormat="false" ht="15" hidden="false" customHeight="false" outlineLevel="0" collapsed="false">
      <c r="A982" s="28" t="n">
        <v>981</v>
      </c>
      <c r="B982" s="37" t="s">
        <v>1564</v>
      </c>
      <c r="C982" s="38" t="s">
        <v>3382</v>
      </c>
      <c r="D982" s="38" t="n">
        <v>98</v>
      </c>
    </row>
    <row r="983" customFormat="false" ht="15" hidden="false" customHeight="false" outlineLevel="0" collapsed="false">
      <c r="A983" s="28" t="n">
        <v>982</v>
      </c>
      <c r="B983" s="37" t="s">
        <v>1565</v>
      </c>
      <c r="C983" s="38" t="s">
        <v>3383</v>
      </c>
      <c r="D983" s="38" t="n">
        <v>97</v>
      </c>
    </row>
    <row r="984" customFormat="false" ht="15" hidden="false" customHeight="false" outlineLevel="0" collapsed="false">
      <c r="A984" s="28" t="n">
        <v>983</v>
      </c>
      <c r="B984" s="37" t="s">
        <v>1566</v>
      </c>
      <c r="C984" s="38" t="s">
        <v>3283</v>
      </c>
      <c r="D984" s="38" t="n">
        <v>83</v>
      </c>
    </row>
    <row r="985" customFormat="false" ht="15" hidden="false" customHeight="false" outlineLevel="0" collapsed="false">
      <c r="A985" s="28" t="n">
        <v>984</v>
      </c>
      <c r="B985" s="37" t="s">
        <v>1567</v>
      </c>
      <c r="C985" s="38" t="s">
        <v>3384</v>
      </c>
      <c r="D985" s="38" t="n">
        <v>96</v>
      </c>
    </row>
    <row r="986" customFormat="false" ht="15" hidden="false" customHeight="false" outlineLevel="0" collapsed="false">
      <c r="A986" s="28" t="n">
        <v>985</v>
      </c>
      <c r="B986" s="37" t="s">
        <v>1568</v>
      </c>
      <c r="C986" s="38" t="s">
        <v>3385</v>
      </c>
      <c r="D986" s="38" t="n">
        <v>101</v>
      </c>
    </row>
    <row r="987" customFormat="false" ht="15" hidden="false" customHeight="false" outlineLevel="0" collapsed="false">
      <c r="A987" s="28" t="n">
        <v>986</v>
      </c>
      <c r="B987" s="37" t="s">
        <v>1569</v>
      </c>
      <c r="C987" s="38" t="s">
        <v>3386</v>
      </c>
      <c r="D987" s="38" t="n">
        <v>92</v>
      </c>
    </row>
    <row r="988" customFormat="false" ht="15" hidden="false" customHeight="false" outlineLevel="0" collapsed="false">
      <c r="A988" s="28" t="n">
        <v>987</v>
      </c>
      <c r="B988" s="37" t="s">
        <v>1570</v>
      </c>
      <c r="C988" s="38" t="s">
        <v>2787</v>
      </c>
      <c r="D988" s="38" t="n">
        <v>104</v>
      </c>
    </row>
    <row r="989" customFormat="false" ht="15" hidden="false" customHeight="false" outlineLevel="0" collapsed="false">
      <c r="A989" s="28" t="n">
        <v>988</v>
      </c>
      <c r="B989" s="37" t="s">
        <v>1571</v>
      </c>
      <c r="C989" s="38" t="s">
        <v>3387</v>
      </c>
      <c r="D989" s="38" t="n">
        <v>107</v>
      </c>
    </row>
    <row r="990" customFormat="false" ht="15" hidden="false" customHeight="false" outlineLevel="0" collapsed="false">
      <c r="A990" s="28" t="n">
        <v>989</v>
      </c>
      <c r="B990" s="37" t="s">
        <v>1572</v>
      </c>
      <c r="C990" s="38" t="s">
        <v>3388</v>
      </c>
      <c r="D990" s="38" t="n">
        <v>100</v>
      </c>
    </row>
    <row r="991" customFormat="false" ht="15" hidden="false" customHeight="false" outlineLevel="0" collapsed="false">
      <c r="A991" s="28" t="n">
        <v>990</v>
      </c>
      <c r="B991" s="37" t="s">
        <v>1573</v>
      </c>
      <c r="C991" s="38" t="s">
        <v>3389</v>
      </c>
      <c r="D991" s="38" t="n">
        <v>94</v>
      </c>
    </row>
    <row r="992" customFormat="false" ht="15" hidden="false" customHeight="false" outlineLevel="0" collapsed="false">
      <c r="A992" s="28" t="n">
        <v>991</v>
      </c>
      <c r="B992" s="37" t="s">
        <v>1574</v>
      </c>
      <c r="C992" s="38" t="s">
        <v>3390</v>
      </c>
      <c r="D992" s="38" t="n">
        <v>110</v>
      </c>
    </row>
    <row r="993" customFormat="false" ht="15" hidden="false" customHeight="false" outlineLevel="0" collapsed="false">
      <c r="A993" s="28" t="n">
        <v>992</v>
      </c>
      <c r="B993" s="37" t="s">
        <v>1575</v>
      </c>
      <c r="C993" s="38" t="s">
        <v>2606</v>
      </c>
      <c r="D993" s="38" t="n">
        <v>92</v>
      </c>
    </row>
    <row r="994" customFormat="false" ht="15" hidden="false" customHeight="false" outlineLevel="0" collapsed="false">
      <c r="A994" s="28" t="n">
        <v>993</v>
      </c>
      <c r="B994" s="37" t="s">
        <v>1577</v>
      </c>
      <c r="C994" s="38" t="s">
        <v>3391</v>
      </c>
      <c r="D994" s="38" t="n">
        <v>98</v>
      </c>
    </row>
    <row r="995" customFormat="false" ht="15" hidden="false" customHeight="false" outlineLevel="0" collapsed="false">
      <c r="A995" s="28" t="n">
        <v>994</v>
      </c>
      <c r="B995" s="37" t="s">
        <v>1579</v>
      </c>
      <c r="C995" s="38" t="s">
        <v>3392</v>
      </c>
      <c r="D995" s="38" t="n">
        <v>106</v>
      </c>
    </row>
    <row r="996" customFormat="false" ht="15" hidden="false" customHeight="false" outlineLevel="0" collapsed="false">
      <c r="A996" s="28" t="n">
        <v>995</v>
      </c>
      <c r="B996" s="37" t="s">
        <v>1580</v>
      </c>
      <c r="C996" s="38" t="s">
        <v>3393</v>
      </c>
      <c r="D996" s="38" t="n">
        <v>93</v>
      </c>
    </row>
    <row r="997" customFormat="false" ht="15" hidden="false" customHeight="false" outlineLevel="0" collapsed="false">
      <c r="A997" s="28" t="n">
        <v>996</v>
      </c>
      <c r="B997" s="37" t="s">
        <v>1581</v>
      </c>
      <c r="C997" s="38" t="s">
        <v>3394</v>
      </c>
      <c r="D997" s="38" t="n">
        <v>101</v>
      </c>
    </row>
    <row r="998" customFormat="false" ht="15" hidden="false" customHeight="false" outlineLevel="0" collapsed="false">
      <c r="A998" s="28" t="n">
        <v>997</v>
      </c>
      <c r="B998" s="37" t="s">
        <v>1583</v>
      </c>
      <c r="C998" s="38" t="s">
        <v>3395</v>
      </c>
      <c r="D998" s="38" t="n">
        <v>98</v>
      </c>
    </row>
    <row r="999" customFormat="false" ht="15" hidden="false" customHeight="false" outlineLevel="0" collapsed="false">
      <c r="A999" s="28" t="n">
        <v>998</v>
      </c>
      <c r="B999" s="37" t="s">
        <v>1584</v>
      </c>
      <c r="C999" s="38" t="s">
        <v>3396</v>
      </c>
      <c r="D999" s="38" t="n">
        <v>107</v>
      </c>
    </row>
    <row r="1000" customFormat="false" ht="15" hidden="false" customHeight="false" outlineLevel="0" collapsed="false">
      <c r="A1000" s="28" t="n">
        <v>999</v>
      </c>
      <c r="B1000" s="37" t="s">
        <v>1585</v>
      </c>
      <c r="C1000" s="38" t="s">
        <v>3397</v>
      </c>
      <c r="D1000" s="38" t="n">
        <v>101</v>
      </c>
    </row>
    <row r="1001" customFormat="false" ht="15" hidden="false" customHeight="false" outlineLevel="0" collapsed="false">
      <c r="A1001" s="28" t="n">
        <v>1000</v>
      </c>
      <c r="B1001" s="37" t="s">
        <v>1586</v>
      </c>
      <c r="C1001" s="38" t="s">
        <v>3398</v>
      </c>
      <c r="D1001" s="38" t="n">
        <v>103</v>
      </c>
    </row>
    <row r="1002" customFormat="false" ht="15" hidden="false" customHeight="false" outlineLevel="0" collapsed="false">
      <c r="A1002" s="28" t="n">
        <v>1001</v>
      </c>
      <c r="B1002" s="37" t="s">
        <v>1587</v>
      </c>
      <c r="C1002" s="38" t="s">
        <v>2633</v>
      </c>
      <c r="D1002" s="38" t="n">
        <v>107</v>
      </c>
    </row>
    <row r="1003" customFormat="false" ht="15" hidden="false" customHeight="false" outlineLevel="0" collapsed="false">
      <c r="A1003" s="28" t="n">
        <v>1002</v>
      </c>
      <c r="B1003" s="37" t="s">
        <v>1588</v>
      </c>
      <c r="C1003" s="38" t="s">
        <v>2855</v>
      </c>
      <c r="D1003" s="38" t="n">
        <v>73</v>
      </c>
    </row>
    <row r="1004" customFormat="false" ht="15" hidden="false" customHeight="false" outlineLevel="0" collapsed="false">
      <c r="A1004" s="28" t="n">
        <v>1003</v>
      </c>
      <c r="B1004" s="37" t="s">
        <v>1589</v>
      </c>
      <c r="C1004" s="38" t="s">
        <v>3399</v>
      </c>
      <c r="D1004" s="38" t="n">
        <v>97</v>
      </c>
    </row>
    <row r="1005" customFormat="false" ht="15" hidden="false" customHeight="false" outlineLevel="0" collapsed="false">
      <c r="A1005" s="28" t="n">
        <v>1004</v>
      </c>
      <c r="B1005" s="37" t="s">
        <v>1590</v>
      </c>
      <c r="C1005" s="38" t="s">
        <v>2928</v>
      </c>
      <c r="D1005" s="38" t="n">
        <v>102</v>
      </c>
    </row>
    <row r="1006" customFormat="false" ht="15" hidden="false" customHeight="false" outlineLevel="0" collapsed="false">
      <c r="A1006" s="28" t="n">
        <v>1005</v>
      </c>
      <c r="B1006" s="37" t="s">
        <v>1591</v>
      </c>
      <c r="C1006" s="38" t="s">
        <v>3400</v>
      </c>
      <c r="D1006" s="38" t="n">
        <v>115</v>
      </c>
    </row>
    <row r="1007" customFormat="false" ht="15" hidden="false" customHeight="false" outlineLevel="0" collapsed="false">
      <c r="A1007" s="28" t="n">
        <v>1006</v>
      </c>
      <c r="B1007" s="37" t="s">
        <v>1592</v>
      </c>
      <c r="C1007" s="38" t="s">
        <v>3401</v>
      </c>
      <c r="D1007" s="38" t="n">
        <v>97</v>
      </c>
    </row>
    <row r="1008" customFormat="false" ht="15" hidden="false" customHeight="false" outlineLevel="0" collapsed="false">
      <c r="A1008" s="28" t="n">
        <v>1007</v>
      </c>
      <c r="B1008" s="37" t="s">
        <v>1594</v>
      </c>
      <c r="C1008" s="38" t="s">
        <v>3402</v>
      </c>
      <c r="D1008" s="38" t="n">
        <v>91</v>
      </c>
    </row>
    <row r="1009" customFormat="false" ht="15" hidden="false" customHeight="false" outlineLevel="0" collapsed="false">
      <c r="A1009" s="28" t="n">
        <v>1008</v>
      </c>
      <c r="B1009" s="37" t="s">
        <v>1595</v>
      </c>
      <c r="C1009" s="38" t="s">
        <v>3403</v>
      </c>
      <c r="D1009" s="38" t="n">
        <v>97</v>
      </c>
    </row>
    <row r="1010" customFormat="false" ht="15" hidden="false" customHeight="false" outlineLevel="0" collapsed="false">
      <c r="A1010" s="28" t="n">
        <v>1009</v>
      </c>
      <c r="B1010" s="37" t="s">
        <v>1597</v>
      </c>
      <c r="C1010" s="38" t="s">
        <v>3404</v>
      </c>
      <c r="D1010" s="38" t="n">
        <v>100</v>
      </c>
    </row>
    <row r="1011" customFormat="false" ht="15" hidden="false" customHeight="false" outlineLevel="0" collapsed="false">
      <c r="A1011" s="28" t="n">
        <v>1010</v>
      </c>
      <c r="B1011" s="37" t="s">
        <v>1598</v>
      </c>
      <c r="C1011" s="38" t="s">
        <v>3405</v>
      </c>
      <c r="D1011" s="38" t="n">
        <v>99</v>
      </c>
    </row>
    <row r="1012" customFormat="false" ht="15" hidden="false" customHeight="false" outlineLevel="0" collapsed="false">
      <c r="A1012" s="28" t="n">
        <v>1011</v>
      </c>
      <c r="B1012" s="37" t="s">
        <v>3406</v>
      </c>
      <c r="C1012" s="38" t="s">
        <v>3195</v>
      </c>
      <c r="D1012" s="38" t="n">
        <v>84</v>
      </c>
    </row>
    <row r="1013" customFormat="false" ht="15" hidden="false" customHeight="false" outlineLevel="0" collapsed="false">
      <c r="A1013" s="28" t="n">
        <v>1012</v>
      </c>
      <c r="B1013" s="37" t="s">
        <v>1599</v>
      </c>
      <c r="C1013" s="38" t="s">
        <v>3407</v>
      </c>
      <c r="D1013" s="38" t="n">
        <v>92</v>
      </c>
    </row>
    <row r="1014" customFormat="false" ht="15" hidden="false" customHeight="false" outlineLevel="0" collapsed="false">
      <c r="A1014" s="28" t="n">
        <v>1013</v>
      </c>
      <c r="B1014" s="37" t="s">
        <v>1600</v>
      </c>
      <c r="C1014" s="38" t="s">
        <v>3408</v>
      </c>
      <c r="D1014" s="38" t="n">
        <v>108</v>
      </c>
    </row>
    <row r="1015" customFormat="false" ht="15" hidden="false" customHeight="false" outlineLevel="0" collapsed="false">
      <c r="A1015" s="28" t="n">
        <v>1014</v>
      </c>
      <c r="B1015" s="37" t="s">
        <v>1601</v>
      </c>
      <c r="C1015" s="38" t="s">
        <v>3409</v>
      </c>
      <c r="D1015" s="38" t="n">
        <v>89</v>
      </c>
    </row>
    <row r="1016" customFormat="false" ht="15" hidden="false" customHeight="false" outlineLevel="0" collapsed="false">
      <c r="A1016" s="28" t="n">
        <v>1015</v>
      </c>
      <c r="B1016" s="37" t="s">
        <v>1602</v>
      </c>
      <c r="C1016" s="38" t="s">
        <v>2553</v>
      </c>
      <c r="D1016" s="38" t="n">
        <v>100</v>
      </c>
    </row>
    <row r="1017" customFormat="false" ht="15" hidden="false" customHeight="false" outlineLevel="0" collapsed="false">
      <c r="A1017" s="28" t="n">
        <v>1016</v>
      </c>
      <c r="B1017" s="37" t="s">
        <v>1603</v>
      </c>
      <c r="C1017" s="38" t="s">
        <v>3410</v>
      </c>
      <c r="D1017" s="38" t="n">
        <v>98</v>
      </c>
    </row>
    <row r="1018" customFormat="false" ht="15" hidden="false" customHeight="false" outlineLevel="0" collapsed="false">
      <c r="A1018" s="28" t="n">
        <v>1017</v>
      </c>
      <c r="B1018" s="37" t="s">
        <v>1604</v>
      </c>
      <c r="C1018" s="38" t="s">
        <v>3411</v>
      </c>
      <c r="D1018" s="38" t="n">
        <v>103</v>
      </c>
    </row>
    <row r="1019" customFormat="false" ht="15" hidden="false" customHeight="false" outlineLevel="0" collapsed="false">
      <c r="A1019" s="28" t="n">
        <v>1018</v>
      </c>
      <c r="B1019" s="37" t="s">
        <v>1605</v>
      </c>
      <c r="C1019" s="38" t="s">
        <v>3204</v>
      </c>
      <c r="D1019" s="38" t="n">
        <v>94</v>
      </c>
    </row>
    <row r="1020" customFormat="false" ht="15" hidden="false" customHeight="false" outlineLevel="0" collapsed="false">
      <c r="A1020" s="28" t="n">
        <v>1019</v>
      </c>
      <c r="B1020" s="37" t="s">
        <v>1606</v>
      </c>
      <c r="C1020" s="38" t="s">
        <v>2602</v>
      </c>
      <c r="D1020" s="38" t="n">
        <v>98</v>
      </c>
    </row>
    <row r="1021" customFormat="false" ht="15" hidden="false" customHeight="false" outlineLevel="0" collapsed="false">
      <c r="A1021" s="28" t="n">
        <v>1020</v>
      </c>
      <c r="B1021" s="37" t="s">
        <v>1607</v>
      </c>
      <c r="C1021" s="38" t="s">
        <v>3049</v>
      </c>
      <c r="D1021" s="38" t="n">
        <v>92</v>
      </c>
    </row>
    <row r="1022" customFormat="false" ht="15" hidden="false" customHeight="false" outlineLevel="0" collapsed="false">
      <c r="A1022" s="28" t="n">
        <v>1021</v>
      </c>
      <c r="B1022" s="37" t="s">
        <v>1608</v>
      </c>
      <c r="C1022" s="38" t="s">
        <v>3247</v>
      </c>
      <c r="D1022" s="38" t="n">
        <v>100</v>
      </c>
    </row>
    <row r="1023" customFormat="false" ht="15" hidden="false" customHeight="false" outlineLevel="0" collapsed="false">
      <c r="A1023" s="28" t="n">
        <v>1022</v>
      </c>
      <c r="B1023" s="37" t="s">
        <v>1609</v>
      </c>
      <c r="C1023" s="38" t="s">
        <v>2855</v>
      </c>
      <c r="D1023" s="38" t="n">
        <v>73</v>
      </c>
    </row>
    <row r="1024" customFormat="false" ht="15" hidden="false" customHeight="false" outlineLevel="0" collapsed="false">
      <c r="A1024" s="28" t="n">
        <v>1023</v>
      </c>
      <c r="B1024" s="37" t="s">
        <v>1610</v>
      </c>
      <c r="C1024" s="38" t="s">
        <v>3412</v>
      </c>
      <c r="D1024" s="38" t="n">
        <v>92</v>
      </c>
    </row>
    <row r="1025" customFormat="false" ht="15" hidden="false" customHeight="false" outlineLevel="0" collapsed="false">
      <c r="A1025" s="28" t="n">
        <v>1024</v>
      </c>
      <c r="B1025" s="37" t="s">
        <v>1611</v>
      </c>
      <c r="C1025" s="38" t="s">
        <v>3413</v>
      </c>
      <c r="D1025" s="38" t="n">
        <v>103</v>
      </c>
    </row>
    <row r="1026" customFormat="false" ht="15" hidden="false" customHeight="false" outlineLevel="0" collapsed="false">
      <c r="A1026" s="28" t="n">
        <v>1025</v>
      </c>
      <c r="B1026" s="37" t="s">
        <v>1612</v>
      </c>
      <c r="C1026" s="38" t="s">
        <v>3414</v>
      </c>
      <c r="D1026" s="38" t="n">
        <v>100</v>
      </c>
    </row>
    <row r="1027" customFormat="false" ht="15" hidden="false" customHeight="false" outlineLevel="0" collapsed="false">
      <c r="A1027" s="28" t="n">
        <v>1026</v>
      </c>
      <c r="B1027" s="37" t="s">
        <v>1613</v>
      </c>
      <c r="C1027" s="38" t="s">
        <v>3415</v>
      </c>
      <c r="D1027" s="38" t="n">
        <v>97</v>
      </c>
    </row>
    <row r="1028" customFormat="false" ht="15" hidden="false" customHeight="false" outlineLevel="0" collapsed="false">
      <c r="A1028" s="28" t="n">
        <v>1027</v>
      </c>
      <c r="B1028" s="37" t="s">
        <v>1614</v>
      </c>
      <c r="C1028" s="38" t="s">
        <v>3175</v>
      </c>
      <c r="D1028" s="38" t="n">
        <v>103</v>
      </c>
    </row>
    <row r="1029" customFormat="false" ht="15" hidden="false" customHeight="false" outlineLevel="0" collapsed="false">
      <c r="A1029" s="28" t="n">
        <v>1028</v>
      </c>
      <c r="B1029" s="37" t="s">
        <v>1615</v>
      </c>
      <c r="C1029" s="38" t="s">
        <v>3416</v>
      </c>
      <c r="D1029" s="38" t="n">
        <v>97</v>
      </c>
    </row>
    <row r="1030" customFormat="false" ht="15" hidden="false" customHeight="false" outlineLevel="0" collapsed="false">
      <c r="A1030" s="28" t="n">
        <v>1029</v>
      </c>
      <c r="B1030" s="37" t="s">
        <v>1616</v>
      </c>
      <c r="C1030" s="38" t="s">
        <v>2759</v>
      </c>
      <c r="D1030" s="38" t="n">
        <v>74</v>
      </c>
    </row>
    <row r="1031" customFormat="false" ht="15" hidden="false" customHeight="false" outlineLevel="0" collapsed="false">
      <c r="A1031" s="28" t="n">
        <v>1030</v>
      </c>
      <c r="B1031" s="37" t="s">
        <v>1617</v>
      </c>
      <c r="C1031" s="38" t="s">
        <v>2975</v>
      </c>
      <c r="D1031" s="38" t="n">
        <v>89</v>
      </c>
    </row>
    <row r="1032" customFormat="false" ht="15" hidden="false" customHeight="false" outlineLevel="0" collapsed="false">
      <c r="A1032" s="28" t="n">
        <v>1031</v>
      </c>
      <c r="B1032" s="37" t="s">
        <v>1618</v>
      </c>
      <c r="C1032" s="38" t="s">
        <v>3417</v>
      </c>
      <c r="D1032" s="38" t="n">
        <v>99</v>
      </c>
    </row>
    <row r="1033" customFormat="false" ht="15" hidden="false" customHeight="false" outlineLevel="0" collapsed="false">
      <c r="A1033" s="28" t="n">
        <v>1032</v>
      </c>
      <c r="B1033" s="37" t="s">
        <v>1619</v>
      </c>
      <c r="C1033" s="38" t="s">
        <v>3418</v>
      </c>
      <c r="D1033" s="38" t="n">
        <v>111</v>
      </c>
    </row>
    <row r="1034" customFormat="false" ht="15" hidden="false" customHeight="false" outlineLevel="0" collapsed="false">
      <c r="A1034" s="28" t="n">
        <v>1033</v>
      </c>
      <c r="B1034" s="37" t="s">
        <v>3419</v>
      </c>
      <c r="C1034" s="38" t="s">
        <v>3420</v>
      </c>
      <c r="D1034" s="38" t="n">
        <v>83</v>
      </c>
    </row>
    <row r="1035" customFormat="false" ht="15" hidden="false" customHeight="false" outlineLevel="0" collapsed="false">
      <c r="A1035" s="28" t="n">
        <v>1034</v>
      </c>
      <c r="B1035" s="37" t="s">
        <v>1621</v>
      </c>
      <c r="C1035" s="38" t="s">
        <v>3421</v>
      </c>
      <c r="D1035" s="38" t="n">
        <v>103</v>
      </c>
    </row>
    <row r="1036" customFormat="false" ht="15" hidden="false" customHeight="false" outlineLevel="0" collapsed="false">
      <c r="A1036" s="28" t="n">
        <v>1035</v>
      </c>
      <c r="B1036" s="37" t="s">
        <v>1622</v>
      </c>
      <c r="C1036" s="38" t="s">
        <v>3422</v>
      </c>
      <c r="D1036" s="38" t="n">
        <v>99</v>
      </c>
    </row>
    <row r="1037" customFormat="false" ht="15" hidden="false" customHeight="false" outlineLevel="0" collapsed="false">
      <c r="A1037" s="28" t="n">
        <v>1036</v>
      </c>
      <c r="B1037" s="37" t="s">
        <v>1623</v>
      </c>
      <c r="C1037" s="38" t="s">
        <v>3423</v>
      </c>
      <c r="D1037" s="38" t="n">
        <v>97</v>
      </c>
    </row>
    <row r="1038" customFormat="false" ht="15" hidden="false" customHeight="false" outlineLevel="0" collapsed="false">
      <c r="A1038" s="28" t="n">
        <v>1037</v>
      </c>
      <c r="B1038" s="37" t="s">
        <v>1625</v>
      </c>
      <c r="C1038" s="38" t="s">
        <v>3045</v>
      </c>
      <c r="D1038" s="38" t="n">
        <v>104</v>
      </c>
    </row>
    <row r="1039" customFormat="false" ht="15" hidden="false" customHeight="false" outlineLevel="0" collapsed="false">
      <c r="A1039" s="28" t="n">
        <v>1038</v>
      </c>
      <c r="B1039" s="37" t="s">
        <v>1626</v>
      </c>
      <c r="C1039" s="38" t="s">
        <v>3317</v>
      </c>
      <c r="D1039" s="38" t="n">
        <v>90</v>
      </c>
    </row>
    <row r="1040" customFormat="false" ht="15" hidden="false" customHeight="false" outlineLevel="0" collapsed="false">
      <c r="A1040" s="28" t="n">
        <v>1039</v>
      </c>
      <c r="B1040" s="37" t="s">
        <v>1627</v>
      </c>
      <c r="C1040" s="38" t="s">
        <v>3424</v>
      </c>
      <c r="D1040" s="38" t="n">
        <v>97</v>
      </c>
    </row>
    <row r="1041" customFormat="false" ht="15" hidden="false" customHeight="false" outlineLevel="0" collapsed="false">
      <c r="A1041" s="28" t="n">
        <v>1040</v>
      </c>
      <c r="B1041" s="37" t="s">
        <v>1628</v>
      </c>
      <c r="C1041" s="38" t="s">
        <v>3425</v>
      </c>
      <c r="D1041" s="38" t="n">
        <v>102</v>
      </c>
    </row>
    <row r="1042" customFormat="false" ht="15" hidden="false" customHeight="false" outlineLevel="0" collapsed="false">
      <c r="A1042" s="28" t="n">
        <v>1041</v>
      </c>
      <c r="B1042" s="37" t="s">
        <v>1629</v>
      </c>
      <c r="C1042" s="38" t="s">
        <v>3426</v>
      </c>
      <c r="D1042" s="38" t="n">
        <v>93</v>
      </c>
    </row>
    <row r="1043" customFormat="false" ht="15" hidden="false" customHeight="false" outlineLevel="0" collapsed="false">
      <c r="A1043" s="28" t="n">
        <v>1042</v>
      </c>
      <c r="B1043" s="37" t="s">
        <v>1631</v>
      </c>
      <c r="C1043" s="38" t="s">
        <v>3427</v>
      </c>
      <c r="D1043" s="38" t="n">
        <v>101</v>
      </c>
    </row>
    <row r="1044" customFormat="false" ht="15" hidden="false" customHeight="false" outlineLevel="0" collapsed="false">
      <c r="A1044" s="28" t="n">
        <v>1043</v>
      </c>
      <c r="B1044" s="37" t="s">
        <v>1632</v>
      </c>
      <c r="C1044" s="38" t="s">
        <v>3428</v>
      </c>
      <c r="D1044" s="38" t="n">
        <v>107</v>
      </c>
    </row>
    <row r="1045" customFormat="false" ht="15" hidden="false" customHeight="false" outlineLevel="0" collapsed="false">
      <c r="A1045" s="28" t="n">
        <v>1044</v>
      </c>
      <c r="B1045" s="37" t="s">
        <v>1633</v>
      </c>
      <c r="C1045" s="38" t="s">
        <v>3429</v>
      </c>
      <c r="D1045" s="38" t="n">
        <v>105</v>
      </c>
    </row>
    <row r="1046" customFormat="false" ht="15" hidden="false" customHeight="false" outlineLevel="0" collapsed="false">
      <c r="A1046" s="28" t="n">
        <v>1045</v>
      </c>
      <c r="B1046" s="37" t="s">
        <v>1634</v>
      </c>
      <c r="C1046" s="38" t="s">
        <v>3430</v>
      </c>
      <c r="D1046" s="38" t="n">
        <v>102</v>
      </c>
    </row>
    <row r="1047" customFormat="false" ht="15" hidden="false" customHeight="false" outlineLevel="0" collapsed="false">
      <c r="A1047" s="28" t="n">
        <v>1046</v>
      </c>
      <c r="B1047" s="37" t="s">
        <v>1635</v>
      </c>
      <c r="C1047" s="38" t="s">
        <v>3431</v>
      </c>
      <c r="D1047" s="38" t="n">
        <v>102</v>
      </c>
    </row>
    <row r="1048" customFormat="false" ht="15" hidden="false" customHeight="false" outlineLevel="0" collapsed="false">
      <c r="A1048" s="28" t="n">
        <v>1047</v>
      </c>
      <c r="B1048" s="37" t="s">
        <v>1636</v>
      </c>
      <c r="C1048" s="38" t="s">
        <v>3432</v>
      </c>
      <c r="D1048" s="38" t="n">
        <v>101</v>
      </c>
    </row>
    <row r="1049" customFormat="false" ht="15" hidden="false" customHeight="false" outlineLevel="0" collapsed="false">
      <c r="A1049" s="28" t="n">
        <v>1048</v>
      </c>
      <c r="B1049" s="37" t="s">
        <v>1637</v>
      </c>
      <c r="C1049" s="38" t="s">
        <v>3433</v>
      </c>
      <c r="D1049" s="38" t="n">
        <v>107</v>
      </c>
    </row>
    <row r="1050" customFormat="false" ht="15" hidden="false" customHeight="false" outlineLevel="0" collapsed="false">
      <c r="A1050" s="28" t="n">
        <v>1049</v>
      </c>
      <c r="B1050" s="37" t="s">
        <v>1638</v>
      </c>
      <c r="C1050" s="38" t="s">
        <v>3434</v>
      </c>
      <c r="D1050" s="38" t="n">
        <v>108</v>
      </c>
    </row>
    <row r="1051" customFormat="false" ht="15" hidden="false" customHeight="false" outlineLevel="0" collapsed="false">
      <c r="A1051" s="28" t="n">
        <v>1050</v>
      </c>
      <c r="B1051" s="37" t="s">
        <v>1639</v>
      </c>
      <c r="C1051" s="38" t="s">
        <v>3435</v>
      </c>
      <c r="D1051" s="38" t="n">
        <v>105</v>
      </c>
    </row>
    <row r="1052" customFormat="false" ht="15" hidden="false" customHeight="false" outlineLevel="0" collapsed="false">
      <c r="A1052" s="28" t="n">
        <v>1051</v>
      </c>
      <c r="B1052" s="37" t="s">
        <v>1640</v>
      </c>
      <c r="C1052" s="38" t="s">
        <v>2965</v>
      </c>
      <c r="D1052" s="38" t="n">
        <v>93</v>
      </c>
    </row>
    <row r="1053" customFormat="false" ht="15" hidden="false" customHeight="false" outlineLevel="0" collapsed="false">
      <c r="A1053" s="28" t="n">
        <v>1052</v>
      </c>
      <c r="B1053" s="37" t="s">
        <v>1641</v>
      </c>
      <c r="C1053" s="38" t="s">
        <v>3436</v>
      </c>
      <c r="D1053" s="38" t="n">
        <v>108</v>
      </c>
    </row>
    <row r="1054" customFormat="false" ht="15" hidden="false" customHeight="false" outlineLevel="0" collapsed="false">
      <c r="A1054" s="28" t="n">
        <v>1053</v>
      </c>
      <c r="B1054" s="37" t="s">
        <v>1642</v>
      </c>
      <c r="C1054" s="38" t="s">
        <v>2573</v>
      </c>
      <c r="D1054" s="38" t="n">
        <v>76</v>
      </c>
    </row>
    <row r="1055" customFormat="false" ht="15" hidden="false" customHeight="false" outlineLevel="0" collapsed="false">
      <c r="A1055" s="28" t="n">
        <v>1054</v>
      </c>
      <c r="B1055" s="37" t="s">
        <v>1643</v>
      </c>
      <c r="C1055" s="38" t="s">
        <v>3437</v>
      </c>
      <c r="D1055" s="38" t="n">
        <v>94</v>
      </c>
    </row>
    <row r="1056" customFormat="false" ht="15" hidden="false" customHeight="false" outlineLevel="0" collapsed="false">
      <c r="A1056" s="28" t="n">
        <v>1055</v>
      </c>
      <c r="B1056" s="37" t="s">
        <v>1644</v>
      </c>
      <c r="C1056" s="38" t="s">
        <v>3438</v>
      </c>
      <c r="D1056" s="38" t="n">
        <v>97</v>
      </c>
    </row>
    <row r="1057" customFormat="false" ht="15" hidden="false" customHeight="false" outlineLevel="0" collapsed="false">
      <c r="A1057" s="28" t="n">
        <v>1056</v>
      </c>
      <c r="B1057" s="37" t="s">
        <v>1645</v>
      </c>
      <c r="C1057" s="38" t="s">
        <v>3439</v>
      </c>
      <c r="D1057" s="38" t="n">
        <v>97</v>
      </c>
    </row>
    <row r="1058" customFormat="false" ht="15" hidden="false" customHeight="false" outlineLevel="0" collapsed="false">
      <c r="A1058" s="28" t="n">
        <v>1057</v>
      </c>
      <c r="B1058" s="37" t="s">
        <v>1646</v>
      </c>
      <c r="C1058" s="38" t="s">
        <v>3440</v>
      </c>
      <c r="D1058" s="38" t="n">
        <v>96</v>
      </c>
    </row>
    <row r="1059" customFormat="false" ht="15" hidden="false" customHeight="false" outlineLevel="0" collapsed="false">
      <c r="A1059" s="28" t="n">
        <v>1058</v>
      </c>
      <c r="B1059" s="37" t="s">
        <v>3441</v>
      </c>
      <c r="C1059" s="38" t="s">
        <v>3195</v>
      </c>
      <c r="D1059" s="38" t="n">
        <v>84</v>
      </c>
    </row>
    <row r="1060" customFormat="false" ht="15" hidden="false" customHeight="false" outlineLevel="0" collapsed="false">
      <c r="A1060" s="28" t="n">
        <v>1059</v>
      </c>
      <c r="B1060" s="37" t="s">
        <v>1648</v>
      </c>
      <c r="C1060" s="38" t="s">
        <v>3442</v>
      </c>
      <c r="D1060" s="38" t="n">
        <v>96</v>
      </c>
    </row>
    <row r="1061" customFormat="false" ht="15" hidden="false" customHeight="false" outlineLevel="0" collapsed="false">
      <c r="A1061" s="28" t="n">
        <v>1060</v>
      </c>
      <c r="B1061" s="37" t="s">
        <v>3443</v>
      </c>
      <c r="C1061" s="38" t="s">
        <v>3444</v>
      </c>
      <c r="D1061" s="38" t="n">
        <v>91</v>
      </c>
    </row>
    <row r="1062" customFormat="false" ht="15" hidden="false" customHeight="false" outlineLevel="0" collapsed="false">
      <c r="A1062" s="28" t="n">
        <v>1061</v>
      </c>
      <c r="B1062" s="37" t="s">
        <v>1650</v>
      </c>
      <c r="C1062" s="38" t="s">
        <v>3374</v>
      </c>
      <c r="D1062" s="38" t="n">
        <v>100</v>
      </c>
    </row>
    <row r="1063" customFormat="false" ht="15" hidden="false" customHeight="false" outlineLevel="0" collapsed="false">
      <c r="A1063" s="28" t="n">
        <v>1062</v>
      </c>
      <c r="B1063" s="37" t="s">
        <v>1651</v>
      </c>
      <c r="C1063" s="38" t="s">
        <v>3445</v>
      </c>
      <c r="D1063" s="38" t="n">
        <v>102</v>
      </c>
    </row>
    <row r="1064" customFormat="false" ht="15" hidden="false" customHeight="false" outlineLevel="0" collapsed="false">
      <c r="A1064" s="28" t="n">
        <v>1063</v>
      </c>
      <c r="B1064" s="37" t="s">
        <v>1652</v>
      </c>
      <c r="C1064" s="38" t="s">
        <v>3346</v>
      </c>
      <c r="D1064" s="38" t="n">
        <v>99</v>
      </c>
    </row>
    <row r="1065" customFormat="false" ht="15" hidden="false" customHeight="false" outlineLevel="0" collapsed="false">
      <c r="A1065" s="28" t="n">
        <v>1064</v>
      </c>
      <c r="B1065" s="37" t="s">
        <v>1653</v>
      </c>
      <c r="C1065" s="38" t="s">
        <v>3446</v>
      </c>
      <c r="D1065" s="38" t="n">
        <v>99</v>
      </c>
    </row>
    <row r="1066" customFormat="false" ht="15" hidden="false" customHeight="false" outlineLevel="0" collapsed="false">
      <c r="A1066" s="28" t="n">
        <v>1065</v>
      </c>
      <c r="B1066" s="37" t="s">
        <v>1655</v>
      </c>
      <c r="C1066" s="38" t="s">
        <v>3447</v>
      </c>
      <c r="D1066" s="38" t="n">
        <v>91</v>
      </c>
    </row>
    <row r="1067" customFormat="false" ht="15" hidden="false" customHeight="false" outlineLevel="0" collapsed="false">
      <c r="A1067" s="28" t="n">
        <v>1066</v>
      </c>
      <c r="B1067" s="37" t="s">
        <v>1656</v>
      </c>
      <c r="C1067" s="38" t="s">
        <v>3448</v>
      </c>
      <c r="D1067" s="38" t="n">
        <v>110</v>
      </c>
    </row>
    <row r="1068" customFormat="false" ht="15" hidden="false" customHeight="false" outlineLevel="0" collapsed="false">
      <c r="A1068" s="28" t="n">
        <v>1067</v>
      </c>
      <c r="B1068" s="37" t="s">
        <v>1657</v>
      </c>
      <c r="C1068" s="38" t="s">
        <v>3449</v>
      </c>
      <c r="D1068" s="38" t="n">
        <v>99</v>
      </c>
    </row>
    <row r="1069" customFormat="false" ht="15" hidden="false" customHeight="false" outlineLevel="0" collapsed="false">
      <c r="A1069" s="28" t="n">
        <v>1068</v>
      </c>
      <c r="B1069" s="37" t="s">
        <v>1658</v>
      </c>
      <c r="C1069" s="38" t="s">
        <v>3450</v>
      </c>
      <c r="D1069" s="38" t="n">
        <v>103</v>
      </c>
    </row>
    <row r="1070" customFormat="false" ht="15" hidden="false" customHeight="false" outlineLevel="0" collapsed="false">
      <c r="A1070" s="28" t="n">
        <v>1069</v>
      </c>
      <c r="B1070" s="37" t="s">
        <v>1660</v>
      </c>
      <c r="C1070" s="38" t="s">
        <v>2759</v>
      </c>
      <c r="D1070" s="38" t="n">
        <v>74</v>
      </c>
    </row>
    <row r="1071" customFormat="false" ht="15" hidden="false" customHeight="false" outlineLevel="0" collapsed="false">
      <c r="A1071" s="28" t="n">
        <v>1070</v>
      </c>
      <c r="B1071" s="37" t="s">
        <v>1661</v>
      </c>
      <c r="C1071" s="38" t="s">
        <v>3451</v>
      </c>
      <c r="D1071" s="38" t="n">
        <v>97</v>
      </c>
    </row>
    <row r="1072" customFormat="false" ht="15" hidden="false" customHeight="false" outlineLevel="0" collapsed="false">
      <c r="A1072" s="28" t="n">
        <v>1071</v>
      </c>
      <c r="B1072" s="37" t="s">
        <v>1662</v>
      </c>
      <c r="C1072" s="38" t="s">
        <v>3452</v>
      </c>
      <c r="D1072" s="38" t="n">
        <v>96</v>
      </c>
    </row>
    <row r="1073" customFormat="false" ht="15" hidden="false" customHeight="false" outlineLevel="0" collapsed="false">
      <c r="A1073" s="28" t="n">
        <v>1072</v>
      </c>
      <c r="B1073" s="37" t="s">
        <v>3453</v>
      </c>
      <c r="C1073" s="38" t="s">
        <v>3172</v>
      </c>
      <c r="D1073" s="38" t="n">
        <v>83</v>
      </c>
    </row>
    <row r="1074" customFormat="false" ht="15" hidden="false" customHeight="false" outlineLevel="0" collapsed="false">
      <c r="A1074" s="28" t="n">
        <v>1073</v>
      </c>
      <c r="B1074" s="37" t="s">
        <v>1664</v>
      </c>
      <c r="C1074" s="38" t="s">
        <v>3454</v>
      </c>
      <c r="D1074" s="38" t="n">
        <v>106</v>
      </c>
    </row>
    <row r="1075" customFormat="false" ht="15" hidden="false" customHeight="false" outlineLevel="0" collapsed="false">
      <c r="A1075" s="28" t="n">
        <v>1074</v>
      </c>
      <c r="B1075" s="37" t="s">
        <v>1665</v>
      </c>
      <c r="C1075" s="38" t="s">
        <v>3455</v>
      </c>
      <c r="D1075" s="38" t="n">
        <v>104</v>
      </c>
    </row>
    <row r="1076" customFormat="false" ht="15" hidden="false" customHeight="false" outlineLevel="0" collapsed="false">
      <c r="A1076" s="28" t="n">
        <v>1075</v>
      </c>
      <c r="B1076" s="37" t="s">
        <v>1666</v>
      </c>
      <c r="C1076" s="38" t="s">
        <v>3456</v>
      </c>
      <c r="D1076" s="38" t="n">
        <v>104</v>
      </c>
    </row>
    <row r="1077" customFormat="false" ht="15" hidden="false" customHeight="false" outlineLevel="0" collapsed="false">
      <c r="A1077" s="28" t="n">
        <v>1076</v>
      </c>
      <c r="B1077" s="37" t="s">
        <v>1667</v>
      </c>
      <c r="C1077" s="38" t="s">
        <v>3457</v>
      </c>
      <c r="D1077" s="38" t="n">
        <v>100</v>
      </c>
    </row>
    <row r="1078" customFormat="false" ht="15" hidden="false" customHeight="false" outlineLevel="0" collapsed="false">
      <c r="A1078" s="28" t="n">
        <v>1077</v>
      </c>
      <c r="B1078" s="37" t="s">
        <v>1668</v>
      </c>
      <c r="C1078" s="38" t="s">
        <v>3458</v>
      </c>
      <c r="D1078" s="38" t="n">
        <v>99</v>
      </c>
    </row>
    <row r="1079" customFormat="false" ht="15" hidden="false" customHeight="false" outlineLevel="0" collapsed="false">
      <c r="A1079" s="28" t="n">
        <v>1078</v>
      </c>
      <c r="B1079" s="37" t="s">
        <v>1669</v>
      </c>
      <c r="C1079" s="38" t="s">
        <v>3459</v>
      </c>
      <c r="D1079" s="38" t="n">
        <v>96</v>
      </c>
    </row>
    <row r="1080" customFormat="false" ht="15" hidden="false" customHeight="false" outlineLevel="0" collapsed="false">
      <c r="A1080" s="28" t="n">
        <v>1079</v>
      </c>
      <c r="B1080" s="37" t="s">
        <v>1670</v>
      </c>
      <c r="C1080" s="38" t="s">
        <v>3372</v>
      </c>
      <c r="D1080" s="38" t="n">
        <v>97</v>
      </c>
    </row>
    <row r="1081" customFormat="false" ht="15" hidden="false" customHeight="false" outlineLevel="0" collapsed="false">
      <c r="A1081" s="28" t="n">
        <v>1080</v>
      </c>
      <c r="B1081" s="37" t="s">
        <v>1671</v>
      </c>
      <c r="C1081" s="38" t="s">
        <v>3460</v>
      </c>
      <c r="D1081" s="38" t="n">
        <v>91</v>
      </c>
    </row>
    <row r="1082" customFormat="false" ht="15" hidden="false" customHeight="false" outlineLevel="0" collapsed="false">
      <c r="A1082" s="28" t="n">
        <v>1081</v>
      </c>
      <c r="B1082" s="37" t="s">
        <v>3461</v>
      </c>
      <c r="C1082" s="38" t="s">
        <v>2820</v>
      </c>
      <c r="D1082" s="38" t="n">
        <v>80</v>
      </c>
    </row>
    <row r="1083" customFormat="false" ht="15" hidden="false" customHeight="false" outlineLevel="0" collapsed="false">
      <c r="A1083" s="28" t="n">
        <v>1082</v>
      </c>
      <c r="B1083" s="37" t="s">
        <v>1672</v>
      </c>
      <c r="C1083" s="38" t="s">
        <v>3462</v>
      </c>
      <c r="D1083" s="38" t="n">
        <v>105</v>
      </c>
    </row>
    <row r="1084" customFormat="false" ht="15" hidden="false" customHeight="false" outlineLevel="0" collapsed="false">
      <c r="A1084" s="28" t="n">
        <v>1083</v>
      </c>
      <c r="B1084" s="37" t="s">
        <v>1673</v>
      </c>
      <c r="C1084" s="38" t="s">
        <v>3463</v>
      </c>
      <c r="D1084" s="38" t="n">
        <v>95</v>
      </c>
    </row>
    <row r="1085" customFormat="false" ht="15" hidden="false" customHeight="false" outlineLevel="0" collapsed="false">
      <c r="A1085" s="28" t="n">
        <v>1084</v>
      </c>
      <c r="B1085" s="37" t="s">
        <v>1674</v>
      </c>
      <c r="C1085" s="38" t="s">
        <v>3464</v>
      </c>
      <c r="D1085" s="38" t="n">
        <v>99</v>
      </c>
    </row>
    <row r="1086" customFormat="false" ht="15" hidden="false" customHeight="false" outlineLevel="0" collapsed="false">
      <c r="A1086" s="28" t="n">
        <v>1085</v>
      </c>
      <c r="B1086" s="37" t="s">
        <v>1675</v>
      </c>
      <c r="C1086" s="38" t="s">
        <v>3465</v>
      </c>
      <c r="D1086" s="38" t="n">
        <v>92</v>
      </c>
    </row>
    <row r="1087" customFormat="false" ht="15" hidden="false" customHeight="false" outlineLevel="0" collapsed="false">
      <c r="A1087" s="28" t="n">
        <v>1086</v>
      </c>
      <c r="B1087" s="37" t="s">
        <v>1678</v>
      </c>
      <c r="C1087" s="38" t="s">
        <v>3466</v>
      </c>
      <c r="D1087" s="38" t="n">
        <v>108</v>
      </c>
    </row>
    <row r="1088" customFormat="false" ht="15" hidden="false" customHeight="false" outlineLevel="0" collapsed="false">
      <c r="A1088" s="28" t="n">
        <v>1087</v>
      </c>
      <c r="B1088" s="37" t="s">
        <v>1679</v>
      </c>
      <c r="C1088" s="38" t="s">
        <v>3467</v>
      </c>
      <c r="D1088" s="38" t="n">
        <v>91</v>
      </c>
    </row>
    <row r="1089" customFormat="false" ht="15" hidden="false" customHeight="false" outlineLevel="0" collapsed="false">
      <c r="A1089" s="28" t="n">
        <v>1088</v>
      </c>
      <c r="B1089" s="37" t="s">
        <v>1680</v>
      </c>
      <c r="C1089" s="38" t="s">
        <v>3311</v>
      </c>
      <c r="D1089" s="38" t="n">
        <v>100</v>
      </c>
    </row>
    <row r="1090" customFormat="false" ht="15" hidden="false" customHeight="false" outlineLevel="0" collapsed="false">
      <c r="A1090" s="28" t="n">
        <v>1089</v>
      </c>
      <c r="B1090" s="37" t="s">
        <v>1681</v>
      </c>
      <c r="C1090" s="38" t="s">
        <v>3468</v>
      </c>
      <c r="D1090" s="38" t="n">
        <v>103</v>
      </c>
    </row>
    <row r="1091" customFormat="false" ht="15" hidden="false" customHeight="false" outlineLevel="0" collapsed="false">
      <c r="A1091" s="28" t="n">
        <v>1090</v>
      </c>
      <c r="B1091" s="37" t="s">
        <v>1682</v>
      </c>
      <c r="C1091" s="38" t="s">
        <v>3469</v>
      </c>
      <c r="D1091" s="38" t="n">
        <v>96</v>
      </c>
    </row>
    <row r="1092" customFormat="false" ht="15" hidden="false" customHeight="false" outlineLevel="0" collapsed="false">
      <c r="A1092" s="28" t="n">
        <v>1091</v>
      </c>
      <c r="B1092" s="37" t="s">
        <v>1683</v>
      </c>
      <c r="C1092" s="38" t="s">
        <v>3262</v>
      </c>
      <c r="D1092" s="38" t="n">
        <v>77</v>
      </c>
    </row>
    <row r="1093" customFormat="false" ht="15" hidden="false" customHeight="false" outlineLevel="0" collapsed="false">
      <c r="A1093" s="28" t="n">
        <v>1092</v>
      </c>
      <c r="B1093" s="37" t="s">
        <v>1684</v>
      </c>
      <c r="C1093" s="38" t="s">
        <v>3470</v>
      </c>
      <c r="D1093" s="38" t="n">
        <v>104</v>
      </c>
    </row>
    <row r="1094" customFormat="false" ht="15" hidden="false" customHeight="false" outlineLevel="0" collapsed="false">
      <c r="A1094" s="28" t="n">
        <v>1093</v>
      </c>
      <c r="B1094" s="37" t="s">
        <v>1685</v>
      </c>
      <c r="C1094" s="38" t="s">
        <v>3471</v>
      </c>
      <c r="D1094" s="38" t="n">
        <v>90</v>
      </c>
    </row>
    <row r="1095" customFormat="false" ht="15" hidden="false" customHeight="false" outlineLevel="0" collapsed="false">
      <c r="A1095" s="28" t="n">
        <v>1094</v>
      </c>
      <c r="B1095" s="37" t="s">
        <v>1687</v>
      </c>
      <c r="C1095" s="38" t="s">
        <v>3472</v>
      </c>
      <c r="D1095" s="38" t="n">
        <v>97</v>
      </c>
    </row>
    <row r="1096" customFormat="false" ht="15" hidden="false" customHeight="false" outlineLevel="0" collapsed="false">
      <c r="A1096" s="28" t="n">
        <v>1095</v>
      </c>
      <c r="B1096" s="37" t="s">
        <v>1688</v>
      </c>
      <c r="C1096" s="38" t="s">
        <v>3473</v>
      </c>
      <c r="D1096" s="38" t="n">
        <v>95</v>
      </c>
    </row>
    <row r="1097" customFormat="false" ht="15" hidden="false" customHeight="false" outlineLevel="0" collapsed="false">
      <c r="A1097" s="28" t="n">
        <v>1096</v>
      </c>
      <c r="B1097" s="37" t="s">
        <v>1689</v>
      </c>
      <c r="C1097" s="38" t="s">
        <v>3474</v>
      </c>
      <c r="D1097" s="38" t="n">
        <v>108</v>
      </c>
    </row>
    <row r="1098" customFormat="false" ht="15" hidden="false" customHeight="false" outlineLevel="0" collapsed="false">
      <c r="A1098" s="28" t="n">
        <v>1097</v>
      </c>
      <c r="B1098" s="37" t="s">
        <v>1690</v>
      </c>
      <c r="C1098" s="38" t="s">
        <v>3475</v>
      </c>
      <c r="D1098" s="38" t="n">
        <v>100</v>
      </c>
    </row>
    <row r="1099" customFormat="false" ht="15" hidden="false" customHeight="false" outlineLevel="0" collapsed="false">
      <c r="A1099" s="28" t="n">
        <v>1098</v>
      </c>
      <c r="B1099" s="37" t="s">
        <v>1691</v>
      </c>
      <c r="C1099" s="38" t="s">
        <v>3476</v>
      </c>
      <c r="D1099" s="38" t="n">
        <v>92</v>
      </c>
    </row>
    <row r="1100" customFormat="false" ht="15" hidden="false" customHeight="false" outlineLevel="0" collapsed="false">
      <c r="A1100" s="28" t="n">
        <v>1099</v>
      </c>
      <c r="B1100" s="37" t="s">
        <v>1692</v>
      </c>
      <c r="C1100" s="38" t="s">
        <v>3477</v>
      </c>
      <c r="D1100" s="38" t="n">
        <v>106</v>
      </c>
    </row>
    <row r="1101" customFormat="false" ht="15" hidden="false" customHeight="false" outlineLevel="0" collapsed="false">
      <c r="A1101" s="28" t="n">
        <v>1100</v>
      </c>
      <c r="B1101" s="37" t="s">
        <v>1693</v>
      </c>
      <c r="C1101" s="38" t="s">
        <v>3478</v>
      </c>
      <c r="D1101" s="38" t="n">
        <v>106</v>
      </c>
    </row>
    <row r="1102" customFormat="false" ht="15" hidden="false" customHeight="false" outlineLevel="0" collapsed="false">
      <c r="A1102" s="28" t="n">
        <v>1101</v>
      </c>
      <c r="B1102" s="37" t="s">
        <v>1694</v>
      </c>
      <c r="C1102" s="38" t="s">
        <v>3479</v>
      </c>
      <c r="D1102" s="38" t="n">
        <v>96</v>
      </c>
    </row>
    <row r="1103" customFormat="false" ht="15" hidden="false" customHeight="false" outlineLevel="0" collapsed="false">
      <c r="A1103" s="28" t="n">
        <v>1102</v>
      </c>
      <c r="B1103" s="37" t="s">
        <v>1695</v>
      </c>
      <c r="C1103" s="38" t="s">
        <v>3480</v>
      </c>
      <c r="D1103" s="38" t="n">
        <v>104</v>
      </c>
    </row>
    <row r="1104" customFormat="false" ht="15" hidden="false" customHeight="false" outlineLevel="0" collapsed="false">
      <c r="A1104" s="28" t="n">
        <v>1103</v>
      </c>
      <c r="B1104" s="37" t="s">
        <v>1696</v>
      </c>
      <c r="C1104" s="38" t="s">
        <v>3481</v>
      </c>
      <c r="D1104" s="38" t="n">
        <v>98</v>
      </c>
    </row>
    <row r="1105" customFormat="false" ht="15" hidden="false" customHeight="false" outlineLevel="0" collapsed="false">
      <c r="A1105" s="28" t="n">
        <v>1104</v>
      </c>
      <c r="B1105" s="37" t="s">
        <v>1697</v>
      </c>
      <c r="C1105" s="38" t="s">
        <v>3482</v>
      </c>
      <c r="D1105" s="38" t="n">
        <v>97</v>
      </c>
    </row>
    <row r="1106" customFormat="false" ht="15" hidden="false" customHeight="false" outlineLevel="0" collapsed="false">
      <c r="A1106" s="28" t="n">
        <v>1105</v>
      </c>
      <c r="B1106" s="37" t="s">
        <v>1698</v>
      </c>
      <c r="C1106" s="38" t="s">
        <v>3483</v>
      </c>
      <c r="D1106" s="38" t="n">
        <v>96</v>
      </c>
    </row>
    <row r="1107" customFormat="false" ht="15" hidden="false" customHeight="false" outlineLevel="0" collapsed="false">
      <c r="A1107" s="28" t="n">
        <v>1106</v>
      </c>
      <c r="B1107" s="37" t="s">
        <v>1699</v>
      </c>
      <c r="C1107" s="38" t="s">
        <v>3484</v>
      </c>
      <c r="D1107" s="38" t="n">
        <v>109</v>
      </c>
    </row>
    <row r="1108" customFormat="false" ht="15" hidden="false" customHeight="false" outlineLevel="0" collapsed="false">
      <c r="A1108" s="28" t="n">
        <v>1107</v>
      </c>
      <c r="B1108" s="37" t="s">
        <v>1701</v>
      </c>
      <c r="C1108" s="38" t="s">
        <v>3485</v>
      </c>
      <c r="D1108" s="38" t="n">
        <v>104</v>
      </c>
    </row>
    <row r="1109" customFormat="false" ht="15" hidden="false" customHeight="false" outlineLevel="0" collapsed="false">
      <c r="A1109" s="28" t="n">
        <v>1108</v>
      </c>
      <c r="B1109" s="37" t="s">
        <v>1702</v>
      </c>
      <c r="C1109" s="38" t="s">
        <v>3486</v>
      </c>
      <c r="D1109" s="38" t="n">
        <v>95</v>
      </c>
    </row>
    <row r="1110" customFormat="false" ht="15" hidden="false" customHeight="false" outlineLevel="0" collapsed="false">
      <c r="A1110" s="28" t="n">
        <v>1109</v>
      </c>
      <c r="B1110" s="37" t="s">
        <v>1703</v>
      </c>
      <c r="C1110" s="38" t="s">
        <v>3192</v>
      </c>
      <c r="D1110" s="38" t="n">
        <v>73</v>
      </c>
    </row>
    <row r="1111" customFormat="false" ht="15" hidden="false" customHeight="false" outlineLevel="0" collapsed="false">
      <c r="A1111" s="28" t="n">
        <v>1110</v>
      </c>
      <c r="B1111" s="37" t="s">
        <v>1704</v>
      </c>
      <c r="C1111" s="38" t="s">
        <v>2812</v>
      </c>
      <c r="D1111" s="38" t="n">
        <v>95</v>
      </c>
    </row>
    <row r="1112" customFormat="false" ht="15" hidden="false" customHeight="false" outlineLevel="0" collapsed="false">
      <c r="A1112" s="28" t="n">
        <v>1111</v>
      </c>
      <c r="B1112" s="37" t="s">
        <v>1705</v>
      </c>
      <c r="C1112" s="38" t="s">
        <v>3281</v>
      </c>
      <c r="D1112" s="38" t="n">
        <v>94</v>
      </c>
    </row>
    <row r="1113" customFormat="false" ht="15" hidden="false" customHeight="false" outlineLevel="0" collapsed="false">
      <c r="A1113" s="28" t="n">
        <v>1112</v>
      </c>
      <c r="B1113" s="37" t="s">
        <v>1706</v>
      </c>
      <c r="C1113" s="38" t="s">
        <v>3487</v>
      </c>
      <c r="D1113" s="38" t="n">
        <v>93</v>
      </c>
    </row>
    <row r="1114" customFormat="false" ht="15" hidden="false" customHeight="false" outlineLevel="0" collapsed="false">
      <c r="A1114" s="28" t="n">
        <v>1113</v>
      </c>
      <c r="B1114" s="37" t="s">
        <v>1707</v>
      </c>
      <c r="C1114" s="38" t="s">
        <v>3488</v>
      </c>
      <c r="D1114" s="38" t="n">
        <v>115</v>
      </c>
    </row>
    <row r="1115" customFormat="false" ht="15" hidden="false" customHeight="false" outlineLevel="0" collapsed="false">
      <c r="A1115" s="28" t="n">
        <v>1114</v>
      </c>
      <c r="B1115" s="37" t="s">
        <v>1708</v>
      </c>
      <c r="C1115" s="38" t="s">
        <v>3489</v>
      </c>
      <c r="D1115" s="38" t="n">
        <v>93</v>
      </c>
    </row>
    <row r="1116" customFormat="false" ht="15" hidden="false" customHeight="false" outlineLevel="0" collapsed="false">
      <c r="A1116" s="28" t="n">
        <v>1115</v>
      </c>
      <c r="B1116" s="37" t="s">
        <v>1709</v>
      </c>
      <c r="C1116" s="38" t="s">
        <v>3490</v>
      </c>
      <c r="D1116" s="38" t="n">
        <v>97</v>
      </c>
    </row>
    <row r="1117" customFormat="false" ht="15" hidden="false" customHeight="false" outlineLevel="0" collapsed="false">
      <c r="A1117" s="28" t="n">
        <v>1116</v>
      </c>
      <c r="B1117" s="37" t="s">
        <v>1710</v>
      </c>
      <c r="C1117" s="38" t="s">
        <v>2801</v>
      </c>
      <c r="D1117" s="38" t="n">
        <v>101</v>
      </c>
    </row>
    <row r="1118" customFormat="false" ht="15" hidden="false" customHeight="false" outlineLevel="0" collapsed="false">
      <c r="A1118" s="28" t="n">
        <v>1117</v>
      </c>
      <c r="B1118" s="37" t="s">
        <v>1711</v>
      </c>
      <c r="C1118" s="38" t="s">
        <v>3491</v>
      </c>
      <c r="D1118" s="38" t="n">
        <v>108</v>
      </c>
    </row>
    <row r="1119" customFormat="false" ht="15" hidden="false" customHeight="false" outlineLevel="0" collapsed="false">
      <c r="A1119" s="28" t="n">
        <v>1118</v>
      </c>
      <c r="B1119" s="37" t="s">
        <v>1712</v>
      </c>
      <c r="C1119" s="38" t="s">
        <v>3492</v>
      </c>
      <c r="D1119" s="38" t="n">
        <v>92</v>
      </c>
    </row>
    <row r="1120" customFormat="false" ht="15" hidden="false" customHeight="false" outlineLevel="0" collapsed="false">
      <c r="A1120" s="28" t="n">
        <v>1119</v>
      </c>
      <c r="B1120" s="37" t="s">
        <v>1713</v>
      </c>
      <c r="C1120" s="38" t="s">
        <v>3493</v>
      </c>
      <c r="D1120" s="38" t="n">
        <v>93</v>
      </c>
    </row>
    <row r="1121" customFormat="false" ht="15" hidden="false" customHeight="false" outlineLevel="0" collapsed="false">
      <c r="A1121" s="28" t="n">
        <v>1120</v>
      </c>
      <c r="B1121" s="37" t="s">
        <v>1714</v>
      </c>
      <c r="C1121" s="38" t="s">
        <v>3253</v>
      </c>
      <c r="D1121" s="38" t="n">
        <v>105</v>
      </c>
    </row>
    <row r="1122" customFormat="false" ht="15" hidden="false" customHeight="false" outlineLevel="0" collapsed="false">
      <c r="A1122" s="28" t="n">
        <v>1121</v>
      </c>
      <c r="B1122" s="37" t="s">
        <v>1715</v>
      </c>
      <c r="C1122" s="38" t="s">
        <v>3494</v>
      </c>
      <c r="D1122" s="38" t="n">
        <v>104</v>
      </c>
    </row>
    <row r="1123" customFormat="false" ht="15" hidden="false" customHeight="false" outlineLevel="0" collapsed="false">
      <c r="A1123" s="28" t="n">
        <v>1122</v>
      </c>
      <c r="B1123" s="37" t="s">
        <v>1716</v>
      </c>
      <c r="C1123" s="38" t="s">
        <v>3495</v>
      </c>
      <c r="D1123" s="38" t="n">
        <v>102</v>
      </c>
    </row>
    <row r="1124" customFormat="false" ht="15" hidden="false" customHeight="false" outlineLevel="0" collapsed="false">
      <c r="A1124" s="28" t="n">
        <v>1123</v>
      </c>
      <c r="B1124" s="37" t="s">
        <v>1717</v>
      </c>
      <c r="C1124" s="38" t="s">
        <v>3496</v>
      </c>
      <c r="D1124" s="38" t="n">
        <v>105</v>
      </c>
    </row>
    <row r="1125" customFormat="false" ht="15" hidden="false" customHeight="false" outlineLevel="0" collapsed="false">
      <c r="A1125" s="28" t="n">
        <v>1124</v>
      </c>
      <c r="B1125" s="37" t="s">
        <v>1718</v>
      </c>
      <c r="C1125" s="38" t="s">
        <v>3497</v>
      </c>
      <c r="D1125" s="38" t="n">
        <v>102</v>
      </c>
    </row>
    <row r="1126" customFormat="false" ht="15" hidden="false" customHeight="false" outlineLevel="0" collapsed="false">
      <c r="A1126" s="28" t="n">
        <v>1125</v>
      </c>
      <c r="B1126" s="37" t="s">
        <v>1719</v>
      </c>
      <c r="C1126" s="38" t="s">
        <v>3498</v>
      </c>
      <c r="D1126" s="38" t="n">
        <v>98</v>
      </c>
    </row>
    <row r="1127" customFormat="false" ht="15" hidden="false" customHeight="false" outlineLevel="0" collapsed="false">
      <c r="A1127" s="28" t="n">
        <v>1126</v>
      </c>
      <c r="B1127" s="37" t="s">
        <v>1721</v>
      </c>
      <c r="C1127" s="38" t="s">
        <v>3499</v>
      </c>
      <c r="D1127" s="38" t="n">
        <v>101</v>
      </c>
    </row>
    <row r="1128" customFormat="false" ht="15" hidden="false" customHeight="false" outlineLevel="0" collapsed="false">
      <c r="A1128" s="28" t="n">
        <v>1127</v>
      </c>
      <c r="B1128" s="37" t="s">
        <v>1722</v>
      </c>
      <c r="C1128" s="38" t="s">
        <v>3500</v>
      </c>
      <c r="D1128" s="38" t="n">
        <v>105</v>
      </c>
    </row>
    <row r="1129" customFormat="false" ht="15" hidden="false" customHeight="false" outlineLevel="0" collapsed="false">
      <c r="A1129" s="28" t="n">
        <v>1128</v>
      </c>
      <c r="B1129" s="37" t="s">
        <v>1723</v>
      </c>
      <c r="C1129" s="38" t="s">
        <v>3501</v>
      </c>
      <c r="D1129" s="38" t="n">
        <v>107</v>
      </c>
    </row>
    <row r="1130" customFormat="false" ht="15" hidden="false" customHeight="false" outlineLevel="0" collapsed="false">
      <c r="A1130" s="28" t="n">
        <v>1129</v>
      </c>
      <c r="B1130" s="37" t="s">
        <v>1726</v>
      </c>
      <c r="C1130" s="38" t="s">
        <v>3172</v>
      </c>
      <c r="D1130" s="38" t="n">
        <v>83</v>
      </c>
    </row>
    <row r="1131" customFormat="false" ht="15" hidden="false" customHeight="false" outlineLevel="0" collapsed="false">
      <c r="A1131" s="28" t="n">
        <v>1130</v>
      </c>
      <c r="B1131" s="37" t="s">
        <v>1727</v>
      </c>
      <c r="C1131" s="38" t="s">
        <v>3502</v>
      </c>
      <c r="D1131" s="38" t="n">
        <v>95</v>
      </c>
    </row>
    <row r="1132" customFormat="false" ht="15" hidden="false" customHeight="false" outlineLevel="0" collapsed="false">
      <c r="A1132" s="28" t="n">
        <v>1131</v>
      </c>
      <c r="B1132" s="37" t="s">
        <v>1728</v>
      </c>
      <c r="C1132" s="38" t="s">
        <v>3503</v>
      </c>
      <c r="D1132" s="38" t="n">
        <v>99</v>
      </c>
    </row>
    <row r="1133" customFormat="false" ht="15" hidden="false" customHeight="false" outlineLevel="0" collapsed="false">
      <c r="A1133" s="28" t="n">
        <v>1132</v>
      </c>
      <c r="B1133" s="37" t="s">
        <v>1729</v>
      </c>
      <c r="C1133" s="38" t="s">
        <v>3504</v>
      </c>
      <c r="D1133" s="38" t="n">
        <v>98</v>
      </c>
    </row>
    <row r="1134" customFormat="false" ht="15" hidden="false" customHeight="false" outlineLevel="0" collapsed="false">
      <c r="A1134" s="28" t="n">
        <v>1133</v>
      </c>
      <c r="B1134" s="37" t="s">
        <v>1730</v>
      </c>
      <c r="C1134" s="38" t="s">
        <v>3505</v>
      </c>
      <c r="D1134" s="38" t="n">
        <v>108</v>
      </c>
    </row>
    <row r="1135" customFormat="false" ht="15" hidden="false" customHeight="false" outlineLevel="0" collapsed="false">
      <c r="A1135" s="28" t="n">
        <v>1134</v>
      </c>
      <c r="B1135" s="37" t="s">
        <v>1731</v>
      </c>
      <c r="C1135" s="38" t="s">
        <v>3506</v>
      </c>
      <c r="D1135" s="38" t="n">
        <v>101</v>
      </c>
    </row>
    <row r="1136" customFormat="false" ht="15" hidden="false" customHeight="false" outlineLevel="0" collapsed="false">
      <c r="A1136" s="28" t="n">
        <v>1135</v>
      </c>
      <c r="B1136" s="37" t="s">
        <v>1733</v>
      </c>
      <c r="C1136" s="38" t="s">
        <v>2958</v>
      </c>
      <c r="D1136" s="38" t="n">
        <v>102</v>
      </c>
    </row>
    <row r="1137" customFormat="false" ht="15" hidden="false" customHeight="false" outlineLevel="0" collapsed="false">
      <c r="A1137" s="28" t="n">
        <v>1136</v>
      </c>
      <c r="B1137" s="37" t="s">
        <v>1734</v>
      </c>
      <c r="C1137" s="38" t="s">
        <v>3507</v>
      </c>
      <c r="D1137" s="38" t="n">
        <v>98</v>
      </c>
    </row>
    <row r="1138" customFormat="false" ht="15" hidden="false" customHeight="false" outlineLevel="0" collapsed="false">
      <c r="A1138" s="28" t="n">
        <v>1137</v>
      </c>
      <c r="B1138" s="37" t="s">
        <v>1735</v>
      </c>
      <c r="C1138" s="38" t="s">
        <v>3508</v>
      </c>
      <c r="D1138" s="38" t="n">
        <v>105</v>
      </c>
    </row>
    <row r="1139" customFormat="false" ht="15" hidden="false" customHeight="false" outlineLevel="0" collapsed="false">
      <c r="A1139" s="28" t="n">
        <v>1138</v>
      </c>
      <c r="B1139" s="37" t="s">
        <v>1737</v>
      </c>
      <c r="C1139" s="38" t="s">
        <v>3509</v>
      </c>
      <c r="D1139" s="38" t="n">
        <v>89</v>
      </c>
    </row>
    <row r="1140" customFormat="false" ht="15" hidden="false" customHeight="false" outlineLevel="0" collapsed="false">
      <c r="A1140" s="28" t="n">
        <v>1139</v>
      </c>
      <c r="B1140" s="37" t="s">
        <v>1738</v>
      </c>
      <c r="C1140" s="38" t="s">
        <v>3510</v>
      </c>
      <c r="D1140" s="38" t="n">
        <v>97</v>
      </c>
    </row>
    <row r="1141" customFormat="false" ht="15" hidden="false" customHeight="false" outlineLevel="0" collapsed="false">
      <c r="A1141" s="28" t="n">
        <v>1140</v>
      </c>
      <c r="B1141" s="37" t="s">
        <v>1739</v>
      </c>
      <c r="C1141" s="38" t="s">
        <v>3511</v>
      </c>
      <c r="D1141" s="38" t="n">
        <v>101</v>
      </c>
    </row>
    <row r="1142" customFormat="false" ht="15" hidden="false" customHeight="false" outlineLevel="0" collapsed="false">
      <c r="A1142" s="28" t="n">
        <v>1141</v>
      </c>
      <c r="B1142" s="37" t="s">
        <v>1740</v>
      </c>
      <c r="C1142" s="38" t="s">
        <v>3512</v>
      </c>
      <c r="D1142" s="38" t="n">
        <v>94</v>
      </c>
    </row>
    <row r="1143" customFormat="false" ht="15" hidden="false" customHeight="false" outlineLevel="0" collapsed="false">
      <c r="A1143" s="28" t="n">
        <v>1142</v>
      </c>
      <c r="B1143" s="37" t="s">
        <v>1741</v>
      </c>
      <c r="C1143" s="38" t="s">
        <v>3513</v>
      </c>
      <c r="D1143" s="38" t="n">
        <v>108</v>
      </c>
    </row>
    <row r="1144" customFormat="false" ht="15" hidden="false" customHeight="false" outlineLevel="0" collapsed="false">
      <c r="A1144" s="28" t="n">
        <v>1143</v>
      </c>
      <c r="B1144" s="37" t="s">
        <v>1742</v>
      </c>
      <c r="C1144" s="38" t="s">
        <v>3514</v>
      </c>
      <c r="D1144" s="38" t="n">
        <v>105</v>
      </c>
    </row>
    <row r="1145" customFormat="false" ht="15" hidden="false" customHeight="false" outlineLevel="0" collapsed="false">
      <c r="A1145" s="28" t="n">
        <v>1144</v>
      </c>
      <c r="B1145" s="37" t="s">
        <v>1743</v>
      </c>
      <c r="C1145" s="38" t="s">
        <v>3515</v>
      </c>
      <c r="D1145" s="38" t="n">
        <v>102</v>
      </c>
    </row>
    <row r="1146" customFormat="false" ht="15" hidden="false" customHeight="false" outlineLevel="0" collapsed="false">
      <c r="A1146" s="28" t="n">
        <v>1145</v>
      </c>
      <c r="B1146" s="37" t="s">
        <v>1744</v>
      </c>
      <c r="C1146" s="38" t="s">
        <v>3192</v>
      </c>
      <c r="D1146" s="38" t="n">
        <v>73</v>
      </c>
    </row>
    <row r="1147" customFormat="false" ht="15" hidden="false" customHeight="false" outlineLevel="0" collapsed="false">
      <c r="A1147" s="28" t="n">
        <v>1146</v>
      </c>
      <c r="B1147" s="37" t="s">
        <v>1746</v>
      </c>
      <c r="C1147" s="38" t="s">
        <v>3131</v>
      </c>
      <c r="D1147" s="38" t="n">
        <v>100</v>
      </c>
    </row>
    <row r="1148" customFormat="false" ht="15" hidden="false" customHeight="false" outlineLevel="0" collapsed="false">
      <c r="A1148" s="28" t="n">
        <v>1147</v>
      </c>
      <c r="B1148" s="37" t="s">
        <v>1747</v>
      </c>
      <c r="C1148" s="38" t="s">
        <v>3516</v>
      </c>
      <c r="D1148" s="38" t="n">
        <v>99</v>
      </c>
    </row>
    <row r="1149" customFormat="false" ht="15" hidden="false" customHeight="false" outlineLevel="0" collapsed="false">
      <c r="A1149" s="28" t="n">
        <v>1148</v>
      </c>
      <c r="B1149" s="37" t="s">
        <v>1749</v>
      </c>
      <c r="C1149" s="38" t="s">
        <v>3517</v>
      </c>
      <c r="D1149" s="38" t="n">
        <v>99</v>
      </c>
    </row>
    <row r="1150" customFormat="false" ht="15" hidden="false" customHeight="false" outlineLevel="0" collapsed="false">
      <c r="A1150" s="28" t="n">
        <v>1149</v>
      </c>
      <c r="B1150" s="37" t="s">
        <v>1751</v>
      </c>
      <c r="C1150" s="38" t="s">
        <v>3518</v>
      </c>
      <c r="D1150" s="38" t="n">
        <v>109</v>
      </c>
    </row>
    <row r="1151" customFormat="false" ht="15" hidden="false" customHeight="false" outlineLevel="0" collapsed="false">
      <c r="A1151" s="28" t="n">
        <v>1150</v>
      </c>
      <c r="B1151" s="37" t="s">
        <v>1752</v>
      </c>
      <c r="C1151" s="38" t="s">
        <v>3519</v>
      </c>
      <c r="D1151" s="38" t="n">
        <v>108</v>
      </c>
    </row>
    <row r="1152" customFormat="false" ht="15" hidden="false" customHeight="false" outlineLevel="0" collapsed="false">
      <c r="A1152" s="28" t="n">
        <v>1151</v>
      </c>
      <c r="B1152" s="37" t="s">
        <v>1753</v>
      </c>
      <c r="C1152" s="38" t="s">
        <v>3520</v>
      </c>
      <c r="D1152" s="38" t="n">
        <v>98</v>
      </c>
    </row>
    <row r="1153" customFormat="false" ht="15" hidden="false" customHeight="false" outlineLevel="0" collapsed="false">
      <c r="A1153" s="28" t="n">
        <v>1152</v>
      </c>
      <c r="B1153" s="37" t="s">
        <v>1754</v>
      </c>
      <c r="C1153" s="38" t="s">
        <v>3521</v>
      </c>
      <c r="D1153" s="38" t="n">
        <v>101</v>
      </c>
    </row>
    <row r="1154" customFormat="false" ht="15" hidden="false" customHeight="false" outlineLevel="0" collapsed="false">
      <c r="A1154" s="28" t="n">
        <v>1153</v>
      </c>
      <c r="B1154" s="37" t="s">
        <v>1755</v>
      </c>
      <c r="C1154" s="38" t="s">
        <v>3522</v>
      </c>
      <c r="D1154" s="38" t="n">
        <v>101</v>
      </c>
    </row>
    <row r="1155" customFormat="false" ht="15" hidden="false" customHeight="false" outlineLevel="0" collapsed="false">
      <c r="A1155" s="28" t="n">
        <v>1154</v>
      </c>
      <c r="B1155" s="37" t="s">
        <v>1756</v>
      </c>
      <c r="C1155" s="38" t="s">
        <v>3065</v>
      </c>
      <c r="D1155" s="38" t="n">
        <v>91</v>
      </c>
    </row>
    <row r="1156" customFormat="false" ht="15" hidden="false" customHeight="false" outlineLevel="0" collapsed="false">
      <c r="A1156" s="28" t="n">
        <v>1155</v>
      </c>
      <c r="B1156" s="37" t="s">
        <v>1757</v>
      </c>
      <c r="C1156" s="38" t="s">
        <v>3232</v>
      </c>
      <c r="D1156" s="38" t="n">
        <v>100</v>
      </c>
    </row>
    <row r="1157" customFormat="false" ht="15" hidden="false" customHeight="false" outlineLevel="0" collapsed="false">
      <c r="A1157" s="28" t="n">
        <v>1156</v>
      </c>
      <c r="B1157" s="37" t="s">
        <v>1758</v>
      </c>
      <c r="C1157" s="38" t="s">
        <v>3015</v>
      </c>
      <c r="D1157" s="38" t="n">
        <v>97</v>
      </c>
    </row>
    <row r="1158" customFormat="false" ht="15" hidden="false" customHeight="false" outlineLevel="0" collapsed="false">
      <c r="A1158" s="28" t="n">
        <v>1157</v>
      </c>
      <c r="B1158" s="37" t="s">
        <v>1759</v>
      </c>
      <c r="C1158" s="38" t="s">
        <v>3523</v>
      </c>
      <c r="D1158" s="38" t="n">
        <v>89</v>
      </c>
    </row>
    <row r="1159" customFormat="false" ht="15" hidden="false" customHeight="false" outlineLevel="0" collapsed="false">
      <c r="A1159" s="28" t="n">
        <v>1158</v>
      </c>
      <c r="B1159" s="37" t="s">
        <v>1760</v>
      </c>
      <c r="C1159" s="38" t="s">
        <v>3489</v>
      </c>
      <c r="D1159" s="38" t="n">
        <v>93</v>
      </c>
    </row>
    <row r="1160" customFormat="false" ht="15" hidden="false" customHeight="false" outlineLevel="0" collapsed="false">
      <c r="A1160" s="28" t="n">
        <v>1159</v>
      </c>
      <c r="B1160" s="37" t="s">
        <v>1761</v>
      </c>
      <c r="C1160" s="38" t="s">
        <v>3524</v>
      </c>
      <c r="D1160" s="38" t="n">
        <v>100</v>
      </c>
    </row>
    <row r="1161" customFormat="false" ht="15" hidden="false" customHeight="false" outlineLevel="0" collapsed="false">
      <c r="A1161" s="28" t="n">
        <v>1160</v>
      </c>
      <c r="B1161" s="37" t="s">
        <v>1762</v>
      </c>
      <c r="C1161" s="38" t="s">
        <v>3525</v>
      </c>
      <c r="D1161" s="38" t="n">
        <v>101</v>
      </c>
    </row>
    <row r="1162" customFormat="false" ht="15" hidden="false" customHeight="false" outlineLevel="0" collapsed="false">
      <c r="A1162" s="28" t="n">
        <v>1161</v>
      </c>
      <c r="B1162" s="37" t="s">
        <v>1763</v>
      </c>
      <c r="C1162" s="38" t="s">
        <v>3526</v>
      </c>
      <c r="D1162" s="38" t="n">
        <v>100</v>
      </c>
    </row>
    <row r="1163" customFormat="false" ht="15" hidden="false" customHeight="false" outlineLevel="0" collapsed="false">
      <c r="A1163" s="28" t="n">
        <v>1162</v>
      </c>
      <c r="B1163" s="37" t="s">
        <v>1764</v>
      </c>
      <c r="C1163" s="38" t="s">
        <v>3527</v>
      </c>
      <c r="D1163" s="38" t="n">
        <v>98</v>
      </c>
    </row>
    <row r="1164" customFormat="false" ht="15" hidden="false" customHeight="false" outlineLevel="0" collapsed="false">
      <c r="A1164" s="28" t="n">
        <v>1163</v>
      </c>
      <c r="B1164" s="37" t="s">
        <v>1765</v>
      </c>
      <c r="C1164" s="38" t="s">
        <v>3528</v>
      </c>
      <c r="D1164" s="38" t="n">
        <v>104</v>
      </c>
    </row>
    <row r="1165" customFormat="false" ht="15" hidden="false" customHeight="false" outlineLevel="0" collapsed="false">
      <c r="A1165" s="28" t="n">
        <v>1164</v>
      </c>
      <c r="B1165" s="37" t="s">
        <v>1766</v>
      </c>
      <c r="C1165" s="38" t="s">
        <v>3529</v>
      </c>
      <c r="D1165" s="38" t="n">
        <v>102</v>
      </c>
    </row>
    <row r="1166" customFormat="false" ht="15" hidden="false" customHeight="false" outlineLevel="0" collapsed="false">
      <c r="A1166" s="28" t="n">
        <v>1165</v>
      </c>
      <c r="B1166" s="37" t="s">
        <v>1767</v>
      </c>
      <c r="C1166" s="38" t="s">
        <v>3530</v>
      </c>
      <c r="D1166" s="38" t="n">
        <v>98</v>
      </c>
    </row>
    <row r="1167" customFormat="false" ht="15" hidden="false" customHeight="false" outlineLevel="0" collapsed="false">
      <c r="A1167" s="28" t="n">
        <v>1166</v>
      </c>
      <c r="B1167" s="37" t="s">
        <v>1768</v>
      </c>
      <c r="C1167" s="38" t="s">
        <v>3531</v>
      </c>
      <c r="D1167" s="38" t="n">
        <v>112</v>
      </c>
    </row>
    <row r="1168" customFormat="false" ht="15" hidden="false" customHeight="false" outlineLevel="0" collapsed="false">
      <c r="A1168" s="28" t="n">
        <v>1167</v>
      </c>
      <c r="B1168" s="37" t="s">
        <v>1770</v>
      </c>
      <c r="C1168" s="38" t="s">
        <v>3532</v>
      </c>
      <c r="D1168" s="38" t="n">
        <v>105</v>
      </c>
    </row>
    <row r="1169" customFormat="false" ht="15" hidden="false" customHeight="false" outlineLevel="0" collapsed="false">
      <c r="A1169" s="28" t="n">
        <v>1168</v>
      </c>
      <c r="B1169" s="37" t="s">
        <v>1772</v>
      </c>
      <c r="C1169" s="38" t="s">
        <v>3533</v>
      </c>
      <c r="D1169" s="38" t="n">
        <v>100</v>
      </c>
    </row>
    <row r="1170" customFormat="false" ht="15" hidden="false" customHeight="false" outlineLevel="0" collapsed="false">
      <c r="A1170" s="28" t="n">
        <v>1169</v>
      </c>
      <c r="B1170" s="37" t="s">
        <v>1773</v>
      </c>
      <c r="C1170" s="38" t="s">
        <v>3534</v>
      </c>
      <c r="D1170" s="38" t="n">
        <v>109</v>
      </c>
    </row>
    <row r="1171" customFormat="false" ht="15" hidden="false" customHeight="false" outlineLevel="0" collapsed="false">
      <c r="A1171" s="28" t="n">
        <v>1170</v>
      </c>
      <c r="B1171" s="37" t="s">
        <v>1774</v>
      </c>
      <c r="C1171" s="38" t="s">
        <v>3535</v>
      </c>
      <c r="D1171" s="38" t="n">
        <v>97</v>
      </c>
    </row>
    <row r="1172" customFormat="false" ht="15" hidden="false" customHeight="false" outlineLevel="0" collapsed="false">
      <c r="A1172" s="28" t="n">
        <v>1171</v>
      </c>
      <c r="B1172" s="37" t="s">
        <v>1776</v>
      </c>
      <c r="C1172" s="38" t="s">
        <v>3192</v>
      </c>
      <c r="D1172" s="38" t="n">
        <v>73</v>
      </c>
    </row>
    <row r="1173" customFormat="false" ht="15" hidden="false" customHeight="false" outlineLevel="0" collapsed="false">
      <c r="A1173" s="28" t="n">
        <v>1172</v>
      </c>
      <c r="B1173" s="37" t="s">
        <v>1777</v>
      </c>
      <c r="C1173" s="38" t="s">
        <v>3536</v>
      </c>
      <c r="D1173" s="38" t="n">
        <v>103</v>
      </c>
    </row>
    <row r="1174" customFormat="false" ht="15" hidden="false" customHeight="false" outlineLevel="0" collapsed="false">
      <c r="A1174" s="28" t="n">
        <v>1173</v>
      </c>
      <c r="B1174" s="37" t="s">
        <v>1780</v>
      </c>
      <c r="C1174" s="38" t="s">
        <v>3537</v>
      </c>
      <c r="D1174" s="38" t="n">
        <v>94</v>
      </c>
    </row>
    <row r="1175" customFormat="false" ht="15" hidden="false" customHeight="false" outlineLevel="0" collapsed="false">
      <c r="A1175" s="28" t="n">
        <v>1174</v>
      </c>
      <c r="B1175" s="37" t="s">
        <v>1781</v>
      </c>
      <c r="C1175" s="38" t="s">
        <v>3538</v>
      </c>
      <c r="D1175" s="38" t="n">
        <v>97</v>
      </c>
    </row>
    <row r="1176" customFormat="false" ht="15" hidden="false" customHeight="false" outlineLevel="0" collapsed="false">
      <c r="A1176" s="28" t="n">
        <v>1175</v>
      </c>
      <c r="B1176" s="37" t="s">
        <v>1782</v>
      </c>
      <c r="C1176" s="38" t="s">
        <v>3143</v>
      </c>
      <c r="D1176" s="38" t="n">
        <v>90</v>
      </c>
    </row>
    <row r="1177" customFormat="false" ht="15" hidden="false" customHeight="false" outlineLevel="0" collapsed="false">
      <c r="A1177" s="28" t="n">
        <v>1176</v>
      </c>
      <c r="B1177" s="37" t="s">
        <v>1783</v>
      </c>
      <c r="C1177" s="38" t="s">
        <v>3539</v>
      </c>
      <c r="D1177" s="38" t="n">
        <v>104</v>
      </c>
    </row>
    <row r="1178" customFormat="false" ht="15" hidden="false" customHeight="false" outlineLevel="0" collapsed="false">
      <c r="A1178" s="28" t="n">
        <v>1177</v>
      </c>
      <c r="B1178" s="37" t="s">
        <v>1784</v>
      </c>
      <c r="C1178" s="38" t="s">
        <v>3540</v>
      </c>
      <c r="D1178" s="38" t="n">
        <v>91</v>
      </c>
    </row>
    <row r="1179" customFormat="false" ht="15" hidden="false" customHeight="false" outlineLevel="0" collapsed="false">
      <c r="A1179" s="28" t="n">
        <v>1178</v>
      </c>
      <c r="B1179" s="37" t="s">
        <v>1786</v>
      </c>
      <c r="C1179" s="38" t="s">
        <v>3541</v>
      </c>
      <c r="D1179" s="38" t="n">
        <v>103</v>
      </c>
    </row>
    <row r="1180" customFormat="false" ht="15" hidden="false" customHeight="false" outlineLevel="0" collapsed="false">
      <c r="A1180" s="28" t="n">
        <v>1179</v>
      </c>
      <c r="B1180" s="37" t="s">
        <v>1787</v>
      </c>
      <c r="C1180" s="38" t="s">
        <v>3360</v>
      </c>
      <c r="D1180" s="38" t="n">
        <v>97</v>
      </c>
    </row>
    <row r="1181" customFormat="false" ht="15" hidden="false" customHeight="false" outlineLevel="0" collapsed="false">
      <c r="A1181" s="28" t="n">
        <v>1180</v>
      </c>
      <c r="B1181" s="37" t="s">
        <v>1788</v>
      </c>
      <c r="C1181" s="38" t="s">
        <v>3542</v>
      </c>
      <c r="D1181" s="38" t="n">
        <v>110</v>
      </c>
    </row>
    <row r="1182" customFormat="false" ht="15" hidden="false" customHeight="false" outlineLevel="0" collapsed="false">
      <c r="A1182" s="28" t="n">
        <v>1181</v>
      </c>
      <c r="B1182" s="37" t="s">
        <v>1791</v>
      </c>
      <c r="C1182" s="38" t="s">
        <v>3543</v>
      </c>
      <c r="D1182" s="38" t="n">
        <v>99</v>
      </c>
    </row>
    <row r="1183" customFormat="false" ht="15" hidden="false" customHeight="false" outlineLevel="0" collapsed="false">
      <c r="A1183" s="28" t="n">
        <v>1182</v>
      </c>
      <c r="B1183" s="37" t="s">
        <v>316</v>
      </c>
      <c r="C1183" s="38" t="s">
        <v>3544</v>
      </c>
      <c r="D1183" s="38" t="n">
        <v>84</v>
      </c>
    </row>
    <row r="1184" customFormat="false" ht="15" hidden="false" customHeight="false" outlineLevel="0" collapsed="false">
      <c r="A1184" s="28" t="n">
        <v>1183</v>
      </c>
      <c r="B1184" s="37" t="s">
        <v>3545</v>
      </c>
      <c r="C1184" s="38" t="s">
        <v>3546</v>
      </c>
      <c r="D1184" s="38" t="n">
        <v>85</v>
      </c>
    </row>
    <row r="1185" customFormat="false" ht="15" hidden="false" customHeight="false" outlineLevel="0" collapsed="false">
      <c r="A1185" s="28" t="n">
        <v>1184</v>
      </c>
      <c r="B1185" s="37" t="s">
        <v>1793</v>
      </c>
      <c r="C1185" s="38" t="s">
        <v>3083</v>
      </c>
      <c r="D1185" s="38" t="n">
        <v>104</v>
      </c>
    </row>
    <row r="1186" customFormat="false" ht="15" hidden="false" customHeight="false" outlineLevel="0" collapsed="false">
      <c r="A1186" s="28" t="n">
        <v>1185</v>
      </c>
      <c r="B1186" s="37" t="s">
        <v>1794</v>
      </c>
      <c r="C1186" s="38" t="s">
        <v>3547</v>
      </c>
      <c r="D1186" s="38" t="n">
        <v>107</v>
      </c>
    </row>
    <row r="1187" customFormat="false" ht="15" hidden="false" customHeight="false" outlineLevel="0" collapsed="false">
      <c r="A1187" s="28" t="n">
        <v>1186</v>
      </c>
      <c r="B1187" s="37" t="s">
        <v>1795</v>
      </c>
      <c r="C1187" s="38" t="s">
        <v>3548</v>
      </c>
      <c r="D1187" s="38" t="n">
        <v>101</v>
      </c>
    </row>
    <row r="1188" customFormat="false" ht="15" hidden="false" customHeight="false" outlineLevel="0" collapsed="false">
      <c r="A1188" s="28" t="n">
        <v>1187</v>
      </c>
      <c r="B1188" s="37" t="s">
        <v>1796</v>
      </c>
      <c r="C1188" s="38" t="s">
        <v>3549</v>
      </c>
      <c r="D1188" s="38" t="n">
        <v>95</v>
      </c>
    </row>
    <row r="1189" customFormat="false" ht="15" hidden="false" customHeight="false" outlineLevel="0" collapsed="false">
      <c r="A1189" s="28" t="n">
        <v>1188</v>
      </c>
      <c r="B1189" s="37" t="s">
        <v>1797</v>
      </c>
      <c r="C1189" s="38" t="s">
        <v>3550</v>
      </c>
      <c r="D1189" s="38" t="n">
        <v>99</v>
      </c>
    </row>
    <row r="1190" customFormat="false" ht="15" hidden="false" customHeight="false" outlineLevel="0" collapsed="false">
      <c r="A1190" s="28" t="n">
        <v>1189</v>
      </c>
      <c r="B1190" s="37" t="s">
        <v>1798</v>
      </c>
      <c r="C1190" s="38" t="s">
        <v>3551</v>
      </c>
      <c r="D1190" s="38" t="n">
        <v>103</v>
      </c>
    </row>
    <row r="1191" customFormat="false" ht="15" hidden="false" customHeight="false" outlineLevel="0" collapsed="false">
      <c r="A1191" s="28" t="n">
        <v>1190</v>
      </c>
      <c r="B1191" s="37" t="s">
        <v>1799</v>
      </c>
      <c r="C1191" s="38" t="s">
        <v>2820</v>
      </c>
      <c r="D1191" s="38" t="n">
        <v>80</v>
      </c>
    </row>
    <row r="1192" customFormat="false" ht="15" hidden="false" customHeight="false" outlineLevel="0" collapsed="false">
      <c r="A1192" s="28" t="n">
        <v>1191</v>
      </c>
      <c r="B1192" s="37" t="s">
        <v>1800</v>
      </c>
      <c r="C1192" s="38" t="s">
        <v>3552</v>
      </c>
      <c r="D1192" s="38" t="n">
        <v>104</v>
      </c>
    </row>
    <row r="1193" customFormat="false" ht="15" hidden="false" customHeight="false" outlineLevel="0" collapsed="false">
      <c r="A1193" s="28" t="n">
        <v>1192</v>
      </c>
      <c r="B1193" s="37" t="s">
        <v>1801</v>
      </c>
      <c r="C1193" s="38" t="s">
        <v>3552</v>
      </c>
      <c r="D1193" s="38" t="n">
        <v>104</v>
      </c>
    </row>
    <row r="1194" customFormat="false" ht="15" hidden="false" customHeight="false" outlineLevel="0" collapsed="false">
      <c r="A1194" s="28" t="n">
        <v>1193</v>
      </c>
      <c r="B1194" s="37" t="s">
        <v>1802</v>
      </c>
      <c r="C1194" s="38" t="s">
        <v>3553</v>
      </c>
      <c r="D1194" s="38" t="n">
        <v>103</v>
      </c>
    </row>
    <row r="1195" customFormat="false" ht="15" hidden="false" customHeight="false" outlineLevel="0" collapsed="false">
      <c r="A1195" s="28" t="n">
        <v>1194</v>
      </c>
      <c r="B1195" s="37" t="s">
        <v>1804</v>
      </c>
      <c r="C1195" s="38" t="s">
        <v>3554</v>
      </c>
      <c r="D1195" s="38" t="n">
        <v>111</v>
      </c>
    </row>
    <row r="1196" customFormat="false" ht="15" hidden="false" customHeight="false" outlineLevel="0" collapsed="false">
      <c r="A1196" s="28" t="n">
        <v>1195</v>
      </c>
      <c r="B1196" s="37" t="s">
        <v>1805</v>
      </c>
      <c r="C1196" s="38" t="s">
        <v>3555</v>
      </c>
      <c r="D1196" s="38" t="n">
        <v>98</v>
      </c>
    </row>
    <row r="1197" customFormat="false" ht="15" hidden="false" customHeight="false" outlineLevel="0" collapsed="false">
      <c r="A1197" s="28" t="n">
        <v>1196</v>
      </c>
      <c r="B1197" s="37" t="s">
        <v>1806</v>
      </c>
      <c r="C1197" s="38" t="s">
        <v>2832</v>
      </c>
      <c r="D1197" s="38" t="n">
        <v>95</v>
      </c>
    </row>
    <row r="1198" customFormat="false" ht="15" hidden="false" customHeight="false" outlineLevel="0" collapsed="false">
      <c r="A1198" s="28" t="n">
        <v>1197</v>
      </c>
      <c r="B1198" s="37" t="s">
        <v>1807</v>
      </c>
      <c r="C1198" s="38" t="s">
        <v>3556</v>
      </c>
      <c r="D1198" s="38" t="n">
        <v>102</v>
      </c>
    </row>
    <row r="1199" customFormat="false" ht="15" hidden="false" customHeight="false" outlineLevel="0" collapsed="false">
      <c r="A1199" s="28" t="n">
        <v>1198</v>
      </c>
      <c r="B1199" s="37" t="s">
        <v>1808</v>
      </c>
      <c r="C1199" s="38" t="s">
        <v>3557</v>
      </c>
      <c r="D1199" s="38" t="n">
        <v>103</v>
      </c>
    </row>
    <row r="1200" customFormat="false" ht="15" hidden="false" customHeight="false" outlineLevel="0" collapsed="false">
      <c r="A1200" s="28" t="n">
        <v>1199</v>
      </c>
      <c r="B1200" s="37" t="s">
        <v>1810</v>
      </c>
      <c r="C1200" s="38" t="s">
        <v>3558</v>
      </c>
      <c r="D1200" s="38" t="n">
        <v>71</v>
      </c>
    </row>
    <row r="1201" customFormat="false" ht="15" hidden="false" customHeight="false" outlineLevel="0" collapsed="false">
      <c r="A1201" s="28" t="n">
        <v>1200</v>
      </c>
      <c r="B1201" s="37" t="s">
        <v>1811</v>
      </c>
      <c r="C1201" s="38" t="s">
        <v>3559</v>
      </c>
      <c r="D1201" s="38" t="n">
        <v>102</v>
      </c>
    </row>
    <row r="1202" customFormat="false" ht="15" hidden="false" customHeight="false" outlineLevel="0" collapsed="false">
      <c r="A1202" s="28" t="n">
        <v>1201</v>
      </c>
      <c r="B1202" s="37" t="s">
        <v>1812</v>
      </c>
      <c r="C1202" s="38" t="s">
        <v>3560</v>
      </c>
      <c r="D1202" s="38" t="n">
        <v>99</v>
      </c>
    </row>
    <row r="1203" customFormat="false" ht="15" hidden="false" customHeight="false" outlineLevel="0" collapsed="false">
      <c r="A1203" s="28" t="n">
        <v>1202</v>
      </c>
      <c r="B1203" s="37" t="s">
        <v>1813</v>
      </c>
      <c r="C1203" s="38" t="s">
        <v>3549</v>
      </c>
      <c r="D1203" s="38" t="n">
        <v>95</v>
      </c>
    </row>
    <row r="1204" customFormat="false" ht="15" hidden="false" customHeight="false" outlineLevel="0" collapsed="false">
      <c r="A1204" s="28" t="n">
        <v>1203</v>
      </c>
      <c r="B1204" s="37" t="s">
        <v>1814</v>
      </c>
      <c r="C1204" s="38" t="s">
        <v>3561</v>
      </c>
      <c r="D1204" s="38" t="n">
        <v>97</v>
      </c>
    </row>
    <row r="1205" customFormat="false" ht="15" hidden="false" customHeight="false" outlineLevel="0" collapsed="false">
      <c r="A1205" s="28" t="n">
        <v>1204</v>
      </c>
      <c r="B1205" s="37" t="s">
        <v>1815</v>
      </c>
      <c r="C1205" s="38" t="s">
        <v>3562</v>
      </c>
      <c r="D1205" s="38" t="n">
        <v>105</v>
      </c>
    </row>
    <row r="1206" customFormat="false" ht="15" hidden="false" customHeight="false" outlineLevel="0" collapsed="false">
      <c r="A1206" s="28" t="n">
        <v>1205</v>
      </c>
      <c r="B1206" s="37" t="s">
        <v>1816</v>
      </c>
      <c r="C1206" s="38" t="s">
        <v>3563</v>
      </c>
      <c r="D1206" s="38" t="n">
        <v>94</v>
      </c>
    </row>
    <row r="1207" customFormat="false" ht="15" hidden="false" customHeight="false" outlineLevel="0" collapsed="false">
      <c r="A1207" s="28" t="n">
        <v>1206</v>
      </c>
      <c r="B1207" s="37" t="s">
        <v>1817</v>
      </c>
      <c r="C1207" s="38" t="s">
        <v>3564</v>
      </c>
      <c r="D1207" s="38" t="n">
        <v>91</v>
      </c>
    </row>
    <row r="1208" customFormat="false" ht="15" hidden="false" customHeight="false" outlineLevel="0" collapsed="false">
      <c r="A1208" s="28" t="n">
        <v>1207</v>
      </c>
      <c r="B1208" s="37" t="s">
        <v>3565</v>
      </c>
      <c r="C1208" s="38" t="s">
        <v>3566</v>
      </c>
      <c r="D1208" s="38" t="n">
        <v>90</v>
      </c>
    </row>
    <row r="1209" customFormat="false" ht="15" hidden="false" customHeight="false" outlineLevel="0" collapsed="false">
      <c r="A1209" s="28" t="n">
        <v>1208</v>
      </c>
      <c r="B1209" s="37" t="s">
        <v>1818</v>
      </c>
      <c r="C1209" s="38" t="s">
        <v>3567</v>
      </c>
      <c r="D1209" s="38" t="n">
        <v>99</v>
      </c>
    </row>
    <row r="1210" customFormat="false" ht="15" hidden="false" customHeight="false" outlineLevel="0" collapsed="false">
      <c r="A1210" s="28" t="n">
        <v>1209</v>
      </c>
      <c r="B1210" s="37" t="s">
        <v>1819</v>
      </c>
      <c r="C1210" s="38" t="s">
        <v>3568</v>
      </c>
      <c r="D1210" s="38" t="n">
        <v>98</v>
      </c>
    </row>
    <row r="1211" customFormat="false" ht="15" hidden="false" customHeight="false" outlineLevel="0" collapsed="false">
      <c r="A1211" s="28" t="n">
        <v>1210</v>
      </c>
      <c r="B1211" s="37" t="s">
        <v>1820</v>
      </c>
      <c r="C1211" s="38" t="s">
        <v>3569</v>
      </c>
      <c r="D1211" s="38" t="n">
        <v>89</v>
      </c>
    </row>
    <row r="1212" customFormat="false" ht="15" hidden="false" customHeight="false" outlineLevel="0" collapsed="false">
      <c r="A1212" s="28" t="n">
        <v>1211</v>
      </c>
      <c r="B1212" s="37" t="s">
        <v>1821</v>
      </c>
      <c r="C1212" s="38" t="s">
        <v>2534</v>
      </c>
      <c r="D1212" s="38" t="n">
        <v>99</v>
      </c>
    </row>
    <row r="1213" customFormat="false" ht="15" hidden="false" customHeight="false" outlineLevel="0" collapsed="false">
      <c r="A1213" s="28" t="n">
        <v>1212</v>
      </c>
      <c r="B1213" s="37" t="s">
        <v>1823</v>
      </c>
      <c r="C1213" s="38" t="s">
        <v>3570</v>
      </c>
      <c r="D1213" s="38" t="n">
        <v>106</v>
      </c>
    </row>
    <row r="1214" customFormat="false" ht="15" hidden="false" customHeight="false" outlineLevel="0" collapsed="false">
      <c r="A1214" s="28" t="n">
        <v>1213</v>
      </c>
      <c r="B1214" s="37" t="s">
        <v>1824</v>
      </c>
      <c r="C1214" s="38" t="s">
        <v>3571</v>
      </c>
      <c r="D1214" s="38" t="n">
        <v>79</v>
      </c>
    </row>
    <row r="1215" customFormat="false" ht="15" hidden="false" customHeight="false" outlineLevel="0" collapsed="false">
      <c r="A1215" s="28" t="n">
        <v>1214</v>
      </c>
      <c r="B1215" s="37" t="s">
        <v>1825</v>
      </c>
      <c r="C1215" s="38" t="s">
        <v>2626</v>
      </c>
      <c r="D1215" s="38" t="n">
        <v>101</v>
      </c>
    </row>
    <row r="1216" customFormat="false" ht="15" hidden="false" customHeight="false" outlineLevel="0" collapsed="false">
      <c r="A1216" s="28" t="n">
        <v>1215</v>
      </c>
      <c r="B1216" s="37" t="s">
        <v>1826</v>
      </c>
      <c r="C1216" s="38" t="s">
        <v>3572</v>
      </c>
      <c r="D1216" s="38" t="n">
        <v>94</v>
      </c>
    </row>
    <row r="1217" customFormat="false" ht="15" hidden="false" customHeight="false" outlineLevel="0" collapsed="false">
      <c r="A1217" s="28" t="n">
        <v>1216</v>
      </c>
      <c r="B1217" s="37" t="s">
        <v>1827</v>
      </c>
      <c r="C1217" s="38" t="s">
        <v>3195</v>
      </c>
      <c r="D1217" s="38" t="n">
        <v>84</v>
      </c>
    </row>
    <row r="1218" customFormat="false" ht="15" hidden="false" customHeight="false" outlineLevel="0" collapsed="false">
      <c r="A1218" s="28" t="n">
        <v>1217</v>
      </c>
      <c r="B1218" s="37" t="s">
        <v>1829</v>
      </c>
      <c r="C1218" s="38" t="s">
        <v>3573</v>
      </c>
      <c r="D1218" s="38" t="n">
        <v>94</v>
      </c>
    </row>
    <row r="1219" customFormat="false" ht="15" hidden="false" customHeight="false" outlineLevel="0" collapsed="false">
      <c r="A1219" s="28" t="n">
        <v>1218</v>
      </c>
      <c r="B1219" s="37" t="s">
        <v>1830</v>
      </c>
      <c r="C1219" s="38" t="s">
        <v>2573</v>
      </c>
      <c r="D1219" s="38" t="n">
        <v>76</v>
      </c>
    </row>
    <row r="1220" customFormat="false" ht="15" hidden="false" customHeight="false" outlineLevel="0" collapsed="false">
      <c r="A1220" s="28" t="n">
        <v>1219</v>
      </c>
      <c r="B1220" s="37" t="s">
        <v>1831</v>
      </c>
      <c r="C1220" s="38" t="s">
        <v>3574</v>
      </c>
      <c r="D1220" s="38" t="n">
        <v>103</v>
      </c>
    </row>
    <row r="1221" customFormat="false" ht="15" hidden="false" customHeight="false" outlineLevel="0" collapsed="false">
      <c r="A1221" s="28" t="n">
        <v>1220</v>
      </c>
      <c r="B1221" s="37" t="s">
        <v>1834</v>
      </c>
      <c r="C1221" s="38" t="s">
        <v>3270</v>
      </c>
      <c r="D1221" s="38" t="n">
        <v>97</v>
      </c>
    </row>
    <row r="1222" customFormat="false" ht="15" hidden="false" customHeight="false" outlineLevel="0" collapsed="false">
      <c r="A1222" s="28" t="n">
        <v>1221</v>
      </c>
      <c r="B1222" s="37" t="s">
        <v>1835</v>
      </c>
      <c r="C1222" s="38" t="s">
        <v>3575</v>
      </c>
      <c r="D1222" s="38" t="n">
        <v>93</v>
      </c>
    </row>
    <row r="1223" customFormat="false" ht="15" hidden="false" customHeight="false" outlineLevel="0" collapsed="false">
      <c r="A1223" s="28" t="n">
        <v>1222</v>
      </c>
      <c r="B1223" s="37" t="s">
        <v>1836</v>
      </c>
      <c r="C1223" s="38" t="s">
        <v>3576</v>
      </c>
      <c r="D1223" s="38" t="n">
        <v>95</v>
      </c>
    </row>
    <row r="1224" customFormat="false" ht="15" hidden="false" customHeight="false" outlineLevel="0" collapsed="false">
      <c r="A1224" s="28" t="n">
        <v>1223</v>
      </c>
      <c r="B1224" s="37" t="s">
        <v>1839</v>
      </c>
      <c r="C1224" s="38" t="s">
        <v>3577</v>
      </c>
      <c r="D1224" s="38" t="n">
        <v>98</v>
      </c>
    </row>
    <row r="1225" customFormat="false" ht="15" hidden="false" customHeight="false" outlineLevel="0" collapsed="false">
      <c r="A1225" s="28" t="n">
        <v>1224</v>
      </c>
      <c r="B1225" s="37" t="s">
        <v>1841</v>
      </c>
      <c r="C1225" s="38" t="s">
        <v>3578</v>
      </c>
      <c r="D1225" s="38" t="n">
        <v>91</v>
      </c>
    </row>
    <row r="1226" customFormat="false" ht="15" hidden="false" customHeight="false" outlineLevel="0" collapsed="false">
      <c r="A1226" s="28" t="n">
        <v>1225</v>
      </c>
      <c r="B1226" s="37" t="s">
        <v>1842</v>
      </c>
      <c r="C1226" s="38" t="s">
        <v>3579</v>
      </c>
      <c r="D1226" s="38" t="n">
        <v>102</v>
      </c>
    </row>
    <row r="1227" customFormat="false" ht="15" hidden="false" customHeight="false" outlineLevel="0" collapsed="false">
      <c r="A1227" s="28" t="n">
        <v>1226</v>
      </c>
      <c r="B1227" s="37" t="s">
        <v>1843</v>
      </c>
      <c r="C1227" s="38" t="s">
        <v>3580</v>
      </c>
      <c r="D1227" s="38" t="n">
        <v>97</v>
      </c>
    </row>
    <row r="1228" customFormat="false" ht="15" hidden="false" customHeight="false" outlineLevel="0" collapsed="false">
      <c r="A1228" s="28" t="n">
        <v>1227</v>
      </c>
      <c r="B1228" s="37" t="s">
        <v>1844</v>
      </c>
      <c r="C1228" s="38" t="s">
        <v>3581</v>
      </c>
      <c r="D1228" s="38" t="n">
        <v>98</v>
      </c>
    </row>
    <row r="1229" customFormat="false" ht="15" hidden="false" customHeight="false" outlineLevel="0" collapsed="false">
      <c r="A1229" s="28" t="n">
        <v>1228</v>
      </c>
      <c r="B1229" s="37" t="s">
        <v>1845</v>
      </c>
      <c r="C1229" s="38" t="s">
        <v>3582</v>
      </c>
      <c r="D1229" s="38" t="n">
        <v>102</v>
      </c>
    </row>
    <row r="1230" customFormat="false" ht="15" hidden="false" customHeight="false" outlineLevel="0" collapsed="false">
      <c r="A1230" s="28" t="n">
        <v>1229</v>
      </c>
      <c r="B1230" s="37" t="s">
        <v>1846</v>
      </c>
      <c r="C1230" s="38" t="s">
        <v>3583</v>
      </c>
      <c r="D1230" s="38" t="n">
        <v>99</v>
      </c>
    </row>
    <row r="1231" customFormat="false" ht="15" hidden="false" customHeight="false" outlineLevel="0" collapsed="false">
      <c r="A1231" s="28" t="n">
        <v>1230</v>
      </c>
      <c r="B1231" s="37" t="s">
        <v>1847</v>
      </c>
      <c r="C1231" s="38" t="s">
        <v>3584</v>
      </c>
      <c r="D1231" s="38" t="n">
        <v>105</v>
      </c>
    </row>
    <row r="1232" customFormat="false" ht="15" hidden="false" customHeight="false" outlineLevel="0" collapsed="false">
      <c r="A1232" s="28" t="n">
        <v>1231</v>
      </c>
      <c r="B1232" s="37" t="s">
        <v>1848</v>
      </c>
      <c r="C1232" s="38" t="s">
        <v>3585</v>
      </c>
      <c r="D1232" s="38" t="n">
        <v>105</v>
      </c>
    </row>
    <row r="1233" customFormat="false" ht="15" hidden="false" customHeight="false" outlineLevel="0" collapsed="false">
      <c r="A1233" s="28" t="n">
        <v>1232</v>
      </c>
      <c r="B1233" s="37" t="s">
        <v>1849</v>
      </c>
      <c r="C1233" s="38" t="s">
        <v>3586</v>
      </c>
      <c r="D1233" s="38" t="n">
        <v>107</v>
      </c>
    </row>
    <row r="1234" customFormat="false" ht="15" hidden="false" customHeight="false" outlineLevel="0" collapsed="false">
      <c r="A1234" s="28" t="n">
        <v>1233</v>
      </c>
      <c r="B1234" s="37" t="s">
        <v>1850</v>
      </c>
      <c r="C1234" s="38" t="s">
        <v>3587</v>
      </c>
      <c r="D1234" s="38" t="n">
        <v>98</v>
      </c>
    </row>
    <row r="1235" customFormat="false" ht="15" hidden="false" customHeight="false" outlineLevel="0" collapsed="false">
      <c r="A1235" s="28" t="n">
        <v>1234</v>
      </c>
      <c r="B1235" s="37" t="s">
        <v>1851</v>
      </c>
      <c r="C1235" s="38" t="s">
        <v>3588</v>
      </c>
      <c r="D1235" s="38" t="n">
        <v>102</v>
      </c>
    </row>
    <row r="1236" customFormat="false" ht="15" hidden="false" customHeight="false" outlineLevel="0" collapsed="false">
      <c r="A1236" s="28" t="n">
        <v>1235</v>
      </c>
      <c r="B1236" s="37" t="s">
        <v>1852</v>
      </c>
      <c r="C1236" s="38" t="s">
        <v>3589</v>
      </c>
      <c r="D1236" s="38" t="n">
        <v>108</v>
      </c>
    </row>
    <row r="1237" customFormat="false" ht="15" hidden="false" customHeight="false" outlineLevel="0" collapsed="false">
      <c r="A1237" s="28" t="n">
        <v>1236</v>
      </c>
      <c r="B1237" s="37" t="s">
        <v>1853</v>
      </c>
      <c r="C1237" s="38" t="s">
        <v>3590</v>
      </c>
      <c r="D1237" s="38" t="n">
        <v>99</v>
      </c>
    </row>
    <row r="1238" customFormat="false" ht="15" hidden="false" customHeight="false" outlineLevel="0" collapsed="false">
      <c r="A1238" s="28" t="n">
        <v>1237</v>
      </c>
      <c r="B1238" s="37" t="s">
        <v>1854</v>
      </c>
      <c r="C1238" s="38" t="s">
        <v>3166</v>
      </c>
      <c r="D1238" s="38" t="n">
        <v>96</v>
      </c>
    </row>
    <row r="1239" customFormat="false" ht="15" hidden="false" customHeight="false" outlineLevel="0" collapsed="false">
      <c r="A1239" s="28" t="n">
        <v>1238</v>
      </c>
      <c r="B1239" s="37" t="s">
        <v>1855</v>
      </c>
      <c r="C1239" s="38" t="s">
        <v>3591</v>
      </c>
      <c r="D1239" s="38" t="n">
        <v>109</v>
      </c>
    </row>
    <row r="1240" customFormat="false" ht="15" hidden="false" customHeight="false" outlineLevel="0" collapsed="false">
      <c r="A1240" s="28" t="n">
        <v>1239</v>
      </c>
      <c r="B1240" s="37" t="s">
        <v>1857</v>
      </c>
      <c r="C1240" s="38" t="s">
        <v>3592</v>
      </c>
      <c r="D1240" s="38" t="n">
        <v>108</v>
      </c>
    </row>
    <row r="1241" customFormat="false" ht="15" hidden="false" customHeight="false" outlineLevel="0" collapsed="false">
      <c r="A1241" s="28" t="n">
        <v>1240</v>
      </c>
      <c r="B1241" s="37" t="s">
        <v>1858</v>
      </c>
      <c r="C1241" s="38" t="s">
        <v>3593</v>
      </c>
      <c r="D1241" s="38" t="n">
        <v>109</v>
      </c>
    </row>
    <row r="1242" customFormat="false" ht="15" hidden="false" customHeight="false" outlineLevel="0" collapsed="false">
      <c r="A1242" s="28" t="n">
        <v>1241</v>
      </c>
      <c r="B1242" s="37" t="s">
        <v>1859</v>
      </c>
      <c r="C1242" s="38" t="s">
        <v>3594</v>
      </c>
      <c r="D1242" s="38" t="n">
        <v>91</v>
      </c>
    </row>
    <row r="1243" customFormat="false" ht="15" hidden="false" customHeight="false" outlineLevel="0" collapsed="false">
      <c r="A1243" s="28" t="n">
        <v>1242</v>
      </c>
      <c r="B1243" s="37" t="s">
        <v>1861</v>
      </c>
      <c r="C1243" s="38" t="s">
        <v>3595</v>
      </c>
      <c r="D1243" s="38" t="n">
        <v>93</v>
      </c>
    </row>
    <row r="1244" customFormat="false" ht="15" hidden="false" customHeight="false" outlineLevel="0" collapsed="false">
      <c r="A1244" s="28" t="n">
        <v>1243</v>
      </c>
      <c r="B1244" s="37" t="s">
        <v>1862</v>
      </c>
      <c r="C1244" s="38" t="s">
        <v>3596</v>
      </c>
      <c r="D1244" s="38" t="n">
        <v>101</v>
      </c>
    </row>
    <row r="1245" customFormat="false" ht="15" hidden="false" customHeight="false" outlineLevel="0" collapsed="false">
      <c r="A1245" s="28" t="n">
        <v>1244</v>
      </c>
      <c r="B1245" s="37" t="s">
        <v>1863</v>
      </c>
      <c r="C1245" s="38" t="s">
        <v>3597</v>
      </c>
      <c r="D1245" s="38" t="n">
        <v>104</v>
      </c>
    </row>
    <row r="1246" customFormat="false" ht="15" hidden="false" customHeight="false" outlineLevel="0" collapsed="false">
      <c r="A1246" s="28" t="n">
        <v>1245</v>
      </c>
      <c r="B1246" s="37" t="s">
        <v>1864</v>
      </c>
      <c r="C1246" s="38" t="s">
        <v>3598</v>
      </c>
      <c r="D1246" s="38" t="n">
        <v>104</v>
      </c>
    </row>
    <row r="1247" customFormat="false" ht="15" hidden="false" customHeight="false" outlineLevel="0" collapsed="false">
      <c r="A1247" s="28" t="n">
        <v>1246</v>
      </c>
      <c r="B1247" s="37" t="s">
        <v>1865</v>
      </c>
      <c r="C1247" s="38" t="s">
        <v>3599</v>
      </c>
      <c r="D1247" s="38" t="n">
        <v>99</v>
      </c>
    </row>
    <row r="1248" customFormat="false" ht="15" hidden="false" customHeight="false" outlineLevel="0" collapsed="false">
      <c r="A1248" s="28" t="n">
        <v>1247</v>
      </c>
      <c r="B1248" s="37" t="s">
        <v>1866</v>
      </c>
      <c r="C1248" s="38" t="s">
        <v>3600</v>
      </c>
      <c r="D1248" s="38" t="n">
        <v>100</v>
      </c>
    </row>
    <row r="1249" customFormat="false" ht="15" hidden="false" customHeight="false" outlineLevel="0" collapsed="false">
      <c r="A1249" s="28" t="n">
        <v>1248</v>
      </c>
      <c r="B1249" s="37" t="s">
        <v>1867</v>
      </c>
      <c r="C1249" s="38" t="s">
        <v>3601</v>
      </c>
      <c r="D1249" s="38" t="n">
        <v>99</v>
      </c>
    </row>
    <row r="1250" customFormat="false" ht="15" hidden="false" customHeight="false" outlineLevel="0" collapsed="false">
      <c r="A1250" s="28" t="n">
        <v>1249</v>
      </c>
      <c r="B1250" s="37" t="s">
        <v>1868</v>
      </c>
      <c r="C1250" s="38" t="s">
        <v>3229</v>
      </c>
      <c r="D1250" s="38" t="n">
        <v>93</v>
      </c>
    </row>
    <row r="1251" customFormat="false" ht="15" hidden="false" customHeight="false" outlineLevel="0" collapsed="false">
      <c r="A1251" s="28" t="n">
        <v>1250</v>
      </c>
      <c r="B1251" s="37" t="s">
        <v>1869</v>
      </c>
      <c r="C1251" s="38" t="s">
        <v>3602</v>
      </c>
      <c r="D1251" s="38" t="n">
        <v>94</v>
      </c>
    </row>
    <row r="1252" customFormat="false" ht="15" hidden="false" customHeight="false" outlineLevel="0" collapsed="false">
      <c r="A1252" s="28" t="n">
        <v>1251</v>
      </c>
      <c r="B1252" s="37" t="s">
        <v>1870</v>
      </c>
      <c r="C1252" s="38" t="s">
        <v>3603</v>
      </c>
      <c r="D1252" s="38" t="n">
        <v>110</v>
      </c>
    </row>
    <row r="1253" customFormat="false" ht="15" hidden="false" customHeight="false" outlineLevel="0" collapsed="false">
      <c r="A1253" s="28" t="n">
        <v>1252</v>
      </c>
      <c r="B1253" s="37" t="s">
        <v>1871</v>
      </c>
      <c r="C1253" s="38" t="s">
        <v>3604</v>
      </c>
      <c r="D1253" s="38" t="n">
        <v>106</v>
      </c>
    </row>
    <row r="1254" customFormat="false" ht="15" hidden="false" customHeight="false" outlineLevel="0" collapsed="false">
      <c r="A1254" s="28" t="n">
        <v>1253</v>
      </c>
      <c r="B1254" s="37" t="s">
        <v>1872</v>
      </c>
      <c r="C1254" s="38" t="s">
        <v>3605</v>
      </c>
      <c r="D1254" s="38" t="n">
        <v>100</v>
      </c>
    </row>
    <row r="1255" customFormat="false" ht="15" hidden="false" customHeight="false" outlineLevel="0" collapsed="false">
      <c r="A1255" s="28" t="n">
        <v>1254</v>
      </c>
      <c r="B1255" s="37" t="s">
        <v>1873</v>
      </c>
      <c r="C1255" s="38" t="s">
        <v>2573</v>
      </c>
      <c r="D1255" s="38" t="n">
        <v>76</v>
      </c>
    </row>
    <row r="1256" customFormat="false" ht="15" hidden="false" customHeight="false" outlineLevel="0" collapsed="false">
      <c r="A1256" s="28" t="n">
        <v>1255</v>
      </c>
      <c r="B1256" s="37" t="s">
        <v>1874</v>
      </c>
      <c r="C1256" s="38" t="s">
        <v>3606</v>
      </c>
      <c r="D1256" s="38" t="n">
        <v>96</v>
      </c>
    </row>
    <row r="1257" customFormat="false" ht="15" hidden="false" customHeight="false" outlineLevel="0" collapsed="false">
      <c r="A1257" s="28" t="n">
        <v>1256</v>
      </c>
      <c r="B1257" s="37" t="s">
        <v>1875</v>
      </c>
      <c r="C1257" s="38" t="s">
        <v>3607</v>
      </c>
      <c r="D1257" s="38" t="n">
        <v>104</v>
      </c>
    </row>
    <row r="1258" customFormat="false" ht="15" hidden="false" customHeight="false" outlineLevel="0" collapsed="false">
      <c r="A1258" s="28" t="n">
        <v>1257</v>
      </c>
      <c r="B1258" s="37" t="s">
        <v>1876</v>
      </c>
      <c r="C1258" s="38" t="s">
        <v>3383</v>
      </c>
      <c r="D1258" s="38" t="n">
        <v>97</v>
      </c>
    </row>
    <row r="1259" customFormat="false" ht="15" hidden="false" customHeight="false" outlineLevel="0" collapsed="false">
      <c r="A1259" s="28" t="n">
        <v>1258</v>
      </c>
      <c r="B1259" s="37" t="s">
        <v>1877</v>
      </c>
      <c r="C1259" s="38" t="s">
        <v>3312</v>
      </c>
      <c r="D1259" s="38" t="n">
        <v>99</v>
      </c>
    </row>
    <row r="1260" customFormat="false" ht="15" hidden="false" customHeight="false" outlineLevel="0" collapsed="false">
      <c r="A1260" s="28" t="n">
        <v>1259</v>
      </c>
      <c r="B1260" s="37" t="s">
        <v>1878</v>
      </c>
      <c r="C1260" s="38" t="s">
        <v>3608</v>
      </c>
      <c r="D1260" s="38" t="n">
        <v>99</v>
      </c>
    </row>
    <row r="1261" customFormat="false" ht="15" hidden="false" customHeight="false" outlineLevel="0" collapsed="false">
      <c r="A1261" s="28" t="n">
        <v>1260</v>
      </c>
      <c r="B1261" s="37" t="s">
        <v>1880</v>
      </c>
      <c r="C1261" s="38" t="s">
        <v>3609</v>
      </c>
      <c r="D1261" s="38" t="n">
        <v>101</v>
      </c>
    </row>
    <row r="1262" customFormat="false" ht="15" hidden="false" customHeight="false" outlineLevel="0" collapsed="false">
      <c r="A1262" s="28" t="n">
        <v>1261</v>
      </c>
      <c r="B1262" s="37" t="s">
        <v>1881</v>
      </c>
      <c r="C1262" s="38" t="s">
        <v>3610</v>
      </c>
      <c r="D1262" s="38" t="n">
        <v>101</v>
      </c>
    </row>
    <row r="1263" customFormat="false" ht="15" hidden="false" customHeight="false" outlineLevel="0" collapsed="false">
      <c r="A1263" s="28" t="n">
        <v>1262</v>
      </c>
      <c r="B1263" s="37" t="s">
        <v>1882</v>
      </c>
      <c r="C1263" s="38" t="s">
        <v>3611</v>
      </c>
      <c r="D1263" s="38" t="n">
        <v>98</v>
      </c>
    </row>
    <row r="1264" customFormat="false" ht="15" hidden="false" customHeight="false" outlineLevel="0" collapsed="false">
      <c r="A1264" s="28" t="n">
        <v>1263</v>
      </c>
      <c r="B1264" s="37" t="s">
        <v>1883</v>
      </c>
      <c r="C1264" s="38" t="s">
        <v>3337</v>
      </c>
      <c r="D1264" s="38" t="n">
        <v>105</v>
      </c>
    </row>
    <row r="1265" customFormat="false" ht="15" hidden="false" customHeight="false" outlineLevel="0" collapsed="false">
      <c r="A1265" s="28" t="n">
        <v>1264</v>
      </c>
      <c r="B1265" s="37" t="s">
        <v>1884</v>
      </c>
      <c r="C1265" s="38" t="s">
        <v>3612</v>
      </c>
      <c r="D1265" s="38" t="n">
        <v>102</v>
      </c>
    </row>
    <row r="1266" customFormat="false" ht="15" hidden="false" customHeight="false" outlineLevel="0" collapsed="false">
      <c r="A1266" s="28" t="n">
        <v>1265</v>
      </c>
      <c r="B1266" s="37" t="s">
        <v>1885</v>
      </c>
      <c r="C1266" s="38" t="s">
        <v>3613</v>
      </c>
      <c r="D1266" s="38" t="n">
        <v>97</v>
      </c>
    </row>
    <row r="1267" customFormat="false" ht="15" hidden="false" customHeight="false" outlineLevel="0" collapsed="false">
      <c r="A1267" s="28" t="n">
        <v>1266</v>
      </c>
      <c r="B1267" s="37" t="s">
        <v>1886</v>
      </c>
      <c r="C1267" s="38" t="s">
        <v>3241</v>
      </c>
      <c r="D1267" s="38" t="n">
        <v>95</v>
      </c>
    </row>
    <row r="1268" customFormat="false" ht="15" hidden="false" customHeight="false" outlineLevel="0" collapsed="false">
      <c r="A1268" s="28" t="n">
        <v>1267</v>
      </c>
      <c r="B1268" s="37" t="s">
        <v>1887</v>
      </c>
      <c r="C1268" s="38" t="s">
        <v>3614</v>
      </c>
      <c r="D1268" s="38" t="n">
        <v>92</v>
      </c>
    </row>
    <row r="1269" customFormat="false" ht="15" hidden="false" customHeight="false" outlineLevel="0" collapsed="false">
      <c r="A1269" s="28" t="n">
        <v>1268</v>
      </c>
      <c r="B1269" s="37" t="s">
        <v>1888</v>
      </c>
      <c r="C1269" s="38" t="s">
        <v>3018</v>
      </c>
      <c r="D1269" s="38" t="n">
        <v>102</v>
      </c>
    </row>
    <row r="1270" customFormat="false" ht="15" hidden="false" customHeight="false" outlineLevel="0" collapsed="false">
      <c r="A1270" s="28" t="n">
        <v>1269</v>
      </c>
      <c r="B1270" s="37" t="s">
        <v>1889</v>
      </c>
      <c r="C1270" s="38" t="s">
        <v>3615</v>
      </c>
      <c r="D1270" s="38" t="n">
        <v>103</v>
      </c>
    </row>
    <row r="1271" customFormat="false" ht="15" hidden="false" customHeight="false" outlineLevel="0" collapsed="false">
      <c r="A1271" s="28" t="n">
        <v>1270</v>
      </c>
      <c r="B1271" s="37" t="s">
        <v>1890</v>
      </c>
      <c r="C1271" s="38" t="s">
        <v>3616</v>
      </c>
      <c r="D1271" s="38" t="n">
        <v>103</v>
      </c>
    </row>
    <row r="1272" customFormat="false" ht="15" hidden="false" customHeight="false" outlineLevel="0" collapsed="false">
      <c r="A1272" s="28" t="n">
        <v>1271</v>
      </c>
      <c r="B1272" s="37" t="s">
        <v>1892</v>
      </c>
      <c r="C1272" s="38" t="s">
        <v>3617</v>
      </c>
      <c r="D1272" s="38" t="n">
        <v>91</v>
      </c>
    </row>
    <row r="1273" customFormat="false" ht="15" hidden="false" customHeight="false" outlineLevel="0" collapsed="false">
      <c r="A1273" s="28" t="n">
        <v>1272</v>
      </c>
      <c r="B1273" s="37" t="s">
        <v>1893</v>
      </c>
      <c r="C1273" s="38" t="s">
        <v>3618</v>
      </c>
      <c r="D1273" s="38" t="n">
        <v>106</v>
      </c>
    </row>
    <row r="1274" customFormat="false" ht="15" hidden="false" customHeight="false" outlineLevel="0" collapsed="false">
      <c r="A1274" s="28" t="n">
        <v>1273</v>
      </c>
      <c r="B1274" s="37" t="s">
        <v>1894</v>
      </c>
      <c r="C1274" s="38" t="s">
        <v>3619</v>
      </c>
      <c r="D1274" s="38" t="n">
        <v>93</v>
      </c>
    </row>
    <row r="1275" customFormat="false" ht="15" hidden="false" customHeight="false" outlineLevel="0" collapsed="false">
      <c r="A1275" s="28" t="n">
        <v>1274</v>
      </c>
      <c r="B1275" s="37" t="s">
        <v>1895</v>
      </c>
      <c r="C1275" s="38" t="s">
        <v>3620</v>
      </c>
      <c r="D1275" s="38" t="n">
        <v>100</v>
      </c>
    </row>
    <row r="1276" customFormat="false" ht="15" hidden="false" customHeight="false" outlineLevel="0" collapsed="false">
      <c r="A1276" s="28" t="n">
        <v>1275</v>
      </c>
      <c r="B1276" s="37" t="s">
        <v>1896</v>
      </c>
      <c r="C1276" s="38" t="s">
        <v>3244</v>
      </c>
      <c r="D1276" s="38" t="n">
        <v>84</v>
      </c>
    </row>
    <row r="1277" customFormat="false" ht="15" hidden="false" customHeight="false" outlineLevel="0" collapsed="false">
      <c r="A1277" s="28" t="n">
        <v>1276</v>
      </c>
      <c r="B1277" s="37" t="s">
        <v>1897</v>
      </c>
      <c r="C1277" s="38" t="s">
        <v>3621</v>
      </c>
      <c r="D1277" s="38" t="n">
        <v>98</v>
      </c>
    </row>
    <row r="1278" customFormat="false" ht="15" hidden="false" customHeight="false" outlineLevel="0" collapsed="false">
      <c r="A1278" s="28" t="n">
        <v>1277</v>
      </c>
      <c r="B1278" s="37" t="s">
        <v>1898</v>
      </c>
      <c r="C1278" s="38" t="s">
        <v>2827</v>
      </c>
      <c r="D1278" s="38" t="n">
        <v>94</v>
      </c>
    </row>
    <row r="1279" customFormat="false" ht="15" hidden="false" customHeight="false" outlineLevel="0" collapsed="false">
      <c r="A1279" s="28" t="n">
        <v>1278</v>
      </c>
      <c r="B1279" s="37" t="s">
        <v>1899</v>
      </c>
      <c r="C1279" s="38" t="s">
        <v>3622</v>
      </c>
      <c r="D1279" s="38" t="n">
        <v>99</v>
      </c>
    </row>
    <row r="1280" customFormat="false" ht="15" hidden="false" customHeight="false" outlineLevel="0" collapsed="false">
      <c r="A1280" s="28" t="n">
        <v>1279</v>
      </c>
      <c r="B1280" s="37" t="s">
        <v>1900</v>
      </c>
      <c r="C1280" s="38" t="s">
        <v>2759</v>
      </c>
      <c r="D1280" s="38" t="n">
        <v>74</v>
      </c>
    </row>
    <row r="1281" customFormat="false" ht="15" hidden="false" customHeight="false" outlineLevel="0" collapsed="false">
      <c r="A1281" s="28" t="n">
        <v>1280</v>
      </c>
      <c r="B1281" s="37" t="s">
        <v>1901</v>
      </c>
      <c r="C1281" s="38" t="s">
        <v>3623</v>
      </c>
      <c r="D1281" s="38" t="n">
        <v>103</v>
      </c>
    </row>
    <row r="1282" customFormat="false" ht="15" hidden="false" customHeight="false" outlineLevel="0" collapsed="false">
      <c r="A1282" s="28" t="n">
        <v>1281</v>
      </c>
      <c r="B1282" s="37" t="s">
        <v>1902</v>
      </c>
      <c r="C1282" s="38" t="s">
        <v>3624</v>
      </c>
      <c r="D1282" s="38" t="n">
        <v>100</v>
      </c>
    </row>
    <row r="1283" customFormat="false" ht="15" hidden="false" customHeight="false" outlineLevel="0" collapsed="false">
      <c r="A1283" s="28" t="n">
        <v>1282</v>
      </c>
      <c r="B1283" s="37" t="s">
        <v>1903</v>
      </c>
      <c r="C1283" s="38" t="s">
        <v>3625</v>
      </c>
      <c r="D1283" s="38" t="n">
        <v>98</v>
      </c>
    </row>
    <row r="1284" customFormat="false" ht="15" hidden="false" customHeight="false" outlineLevel="0" collapsed="false">
      <c r="A1284" s="28" t="n">
        <v>1283</v>
      </c>
      <c r="B1284" s="37" t="s">
        <v>1904</v>
      </c>
      <c r="C1284" s="38" t="s">
        <v>3626</v>
      </c>
      <c r="D1284" s="38" t="n">
        <v>104</v>
      </c>
    </row>
    <row r="1285" customFormat="false" ht="15" hidden="false" customHeight="false" outlineLevel="0" collapsed="false">
      <c r="A1285" s="28" t="n">
        <v>1284</v>
      </c>
      <c r="B1285" s="37" t="s">
        <v>1905</v>
      </c>
      <c r="C1285" s="38" t="s">
        <v>3627</v>
      </c>
      <c r="D1285" s="38" t="n">
        <v>92</v>
      </c>
    </row>
    <row r="1286" customFormat="false" ht="15" hidden="false" customHeight="false" outlineLevel="0" collapsed="false">
      <c r="A1286" s="28" t="n">
        <v>1285</v>
      </c>
      <c r="B1286" s="37" t="s">
        <v>1907</v>
      </c>
      <c r="C1286" s="38" t="s">
        <v>3628</v>
      </c>
      <c r="D1286" s="38" t="n">
        <v>99</v>
      </c>
    </row>
    <row r="1287" customFormat="false" ht="15" hidden="false" customHeight="false" outlineLevel="0" collapsed="false">
      <c r="A1287" s="28" t="n">
        <v>1286</v>
      </c>
      <c r="B1287" s="37" t="s">
        <v>1908</v>
      </c>
      <c r="C1287" s="38" t="s">
        <v>3629</v>
      </c>
      <c r="D1287" s="38" t="n">
        <v>94</v>
      </c>
    </row>
    <row r="1288" customFormat="false" ht="15" hidden="false" customHeight="false" outlineLevel="0" collapsed="false">
      <c r="A1288" s="28" t="n">
        <v>1287</v>
      </c>
      <c r="B1288" s="37" t="s">
        <v>1909</v>
      </c>
      <c r="C1288" s="38" t="s">
        <v>3630</v>
      </c>
      <c r="D1288" s="38" t="n">
        <v>99</v>
      </c>
    </row>
    <row r="1289" customFormat="false" ht="15" hidden="false" customHeight="false" outlineLevel="0" collapsed="false">
      <c r="A1289" s="28" t="n">
        <v>1288</v>
      </c>
      <c r="B1289" s="37" t="s">
        <v>1910</v>
      </c>
      <c r="C1289" s="38" t="s">
        <v>3631</v>
      </c>
      <c r="D1289" s="38" t="n">
        <v>105</v>
      </c>
    </row>
    <row r="1290" customFormat="false" ht="15" hidden="false" customHeight="false" outlineLevel="0" collapsed="false">
      <c r="A1290" s="28" t="n">
        <v>1289</v>
      </c>
      <c r="B1290" s="37" t="s">
        <v>1911</v>
      </c>
      <c r="C1290" s="38" t="s">
        <v>3632</v>
      </c>
      <c r="D1290" s="38" t="n">
        <v>94</v>
      </c>
    </row>
    <row r="1291" customFormat="false" ht="15" hidden="false" customHeight="false" outlineLevel="0" collapsed="false">
      <c r="A1291" s="28" t="n">
        <v>1290</v>
      </c>
      <c r="B1291" s="37" t="s">
        <v>1912</v>
      </c>
      <c r="C1291" s="38" t="s">
        <v>3633</v>
      </c>
      <c r="D1291" s="38" t="n">
        <v>96</v>
      </c>
    </row>
    <row r="1292" customFormat="false" ht="15" hidden="false" customHeight="false" outlineLevel="0" collapsed="false">
      <c r="A1292" s="28" t="n">
        <v>1291</v>
      </c>
      <c r="B1292" s="37" t="s">
        <v>1913</v>
      </c>
      <c r="C1292" s="38" t="s">
        <v>3634</v>
      </c>
      <c r="D1292" s="38" t="n">
        <v>114</v>
      </c>
    </row>
    <row r="1293" customFormat="false" ht="15" hidden="false" customHeight="false" outlineLevel="0" collapsed="false">
      <c r="A1293" s="28" t="n">
        <v>1292</v>
      </c>
      <c r="B1293" s="37" t="s">
        <v>1914</v>
      </c>
      <c r="C1293" s="38" t="s">
        <v>3092</v>
      </c>
      <c r="D1293" s="38" t="n">
        <v>99</v>
      </c>
    </row>
    <row r="1294" customFormat="false" ht="15" hidden="false" customHeight="false" outlineLevel="0" collapsed="false">
      <c r="A1294" s="28" t="n">
        <v>1293</v>
      </c>
      <c r="B1294" s="37" t="s">
        <v>1915</v>
      </c>
      <c r="C1294" s="38" t="s">
        <v>3635</v>
      </c>
      <c r="D1294" s="38" t="n">
        <v>112</v>
      </c>
    </row>
    <row r="1295" customFormat="false" ht="15" hidden="false" customHeight="false" outlineLevel="0" collapsed="false">
      <c r="A1295" s="28" t="n">
        <v>1294</v>
      </c>
      <c r="B1295" s="37" t="s">
        <v>1917</v>
      </c>
      <c r="C1295" s="38" t="s">
        <v>3636</v>
      </c>
      <c r="D1295" s="38" t="n">
        <v>98</v>
      </c>
    </row>
    <row r="1296" customFormat="false" ht="15" hidden="false" customHeight="false" outlineLevel="0" collapsed="false">
      <c r="A1296" s="28" t="n">
        <v>1295</v>
      </c>
      <c r="B1296" s="37" t="s">
        <v>1918</v>
      </c>
      <c r="C1296" s="38" t="s">
        <v>3637</v>
      </c>
      <c r="D1296" s="38" t="n">
        <v>96</v>
      </c>
    </row>
    <row r="1297" customFormat="false" ht="15" hidden="false" customHeight="false" outlineLevel="0" collapsed="false">
      <c r="A1297" s="28" t="n">
        <v>1296</v>
      </c>
      <c r="B1297" s="37" t="s">
        <v>1919</v>
      </c>
      <c r="C1297" s="38" t="s">
        <v>3638</v>
      </c>
      <c r="D1297" s="38" t="n">
        <v>98</v>
      </c>
    </row>
    <row r="1298" customFormat="false" ht="15" hidden="false" customHeight="false" outlineLevel="0" collapsed="false">
      <c r="A1298" s="28" t="n">
        <v>1297</v>
      </c>
      <c r="B1298" s="37" t="s">
        <v>1920</v>
      </c>
      <c r="C1298" s="38" t="s">
        <v>3639</v>
      </c>
      <c r="D1298" s="38" t="n">
        <v>103</v>
      </c>
    </row>
    <row r="1299" customFormat="false" ht="15" hidden="false" customHeight="false" outlineLevel="0" collapsed="false">
      <c r="A1299" s="28" t="n">
        <v>1298</v>
      </c>
      <c r="B1299" s="37" t="s">
        <v>1923</v>
      </c>
      <c r="C1299" s="38" t="s">
        <v>3640</v>
      </c>
      <c r="D1299" s="38" t="n">
        <v>98</v>
      </c>
    </row>
    <row r="1300" customFormat="false" ht="15" hidden="false" customHeight="false" outlineLevel="0" collapsed="false">
      <c r="A1300" s="28" t="n">
        <v>1299</v>
      </c>
      <c r="B1300" s="37" t="s">
        <v>1924</v>
      </c>
      <c r="C1300" s="38" t="s">
        <v>3641</v>
      </c>
      <c r="D1300" s="38" t="n">
        <v>102</v>
      </c>
    </row>
    <row r="1301" customFormat="false" ht="15" hidden="false" customHeight="false" outlineLevel="0" collapsed="false">
      <c r="A1301" s="28" t="n">
        <v>1300</v>
      </c>
      <c r="B1301" s="37" t="s">
        <v>1925</v>
      </c>
      <c r="C1301" s="38" t="s">
        <v>3322</v>
      </c>
      <c r="D1301" s="38" t="n">
        <v>93</v>
      </c>
    </row>
    <row r="1302" customFormat="false" ht="15" hidden="false" customHeight="false" outlineLevel="0" collapsed="false">
      <c r="A1302" s="28" t="n">
        <v>1301</v>
      </c>
      <c r="B1302" s="37" t="s">
        <v>1927</v>
      </c>
      <c r="C1302" s="38" t="s">
        <v>3642</v>
      </c>
      <c r="D1302" s="38" t="n">
        <v>108</v>
      </c>
    </row>
    <row r="1303" customFormat="false" ht="15" hidden="false" customHeight="false" outlineLevel="0" collapsed="false">
      <c r="A1303" s="28" t="n">
        <v>1302</v>
      </c>
      <c r="B1303" s="37" t="s">
        <v>1928</v>
      </c>
      <c r="C1303" s="38" t="s">
        <v>2617</v>
      </c>
      <c r="D1303" s="38" t="n">
        <v>87</v>
      </c>
    </row>
    <row r="1304" customFormat="false" ht="15" hidden="false" customHeight="false" outlineLevel="0" collapsed="false">
      <c r="A1304" s="28" t="n">
        <v>1303</v>
      </c>
      <c r="B1304" s="37" t="s">
        <v>1929</v>
      </c>
      <c r="C1304" s="38" t="s">
        <v>3224</v>
      </c>
      <c r="D1304" s="38" t="n">
        <v>94</v>
      </c>
    </row>
    <row r="1305" customFormat="false" ht="15" hidden="false" customHeight="false" outlineLevel="0" collapsed="false">
      <c r="A1305" s="28" t="n">
        <v>1304</v>
      </c>
      <c r="B1305" s="37" t="s">
        <v>1930</v>
      </c>
      <c r="C1305" s="38" t="s">
        <v>3643</v>
      </c>
      <c r="D1305" s="38" t="n">
        <v>113</v>
      </c>
    </row>
    <row r="1306" customFormat="false" ht="15" hidden="false" customHeight="false" outlineLevel="0" collapsed="false">
      <c r="A1306" s="28" t="n">
        <v>1305</v>
      </c>
      <c r="B1306" s="37" t="s">
        <v>1931</v>
      </c>
      <c r="C1306" s="38" t="s">
        <v>3644</v>
      </c>
      <c r="D1306" s="38" t="n">
        <v>98</v>
      </c>
    </row>
    <row r="1307" customFormat="false" ht="15" hidden="false" customHeight="false" outlineLevel="0" collapsed="false">
      <c r="A1307" s="28" t="n">
        <v>1306</v>
      </c>
      <c r="B1307" s="37" t="s">
        <v>1933</v>
      </c>
      <c r="C1307" s="38" t="s">
        <v>3645</v>
      </c>
      <c r="D1307" s="38" t="n">
        <v>90</v>
      </c>
    </row>
    <row r="1308" customFormat="false" ht="15" hidden="false" customHeight="false" outlineLevel="0" collapsed="false">
      <c r="A1308" s="28" t="n">
        <v>1307</v>
      </c>
      <c r="B1308" s="37" t="s">
        <v>1934</v>
      </c>
      <c r="C1308" s="38" t="s">
        <v>3646</v>
      </c>
      <c r="D1308" s="38" t="n">
        <v>98</v>
      </c>
    </row>
    <row r="1309" customFormat="false" ht="15" hidden="false" customHeight="false" outlineLevel="0" collapsed="false">
      <c r="A1309" s="28" t="n">
        <v>1308</v>
      </c>
      <c r="B1309" s="37" t="s">
        <v>1936</v>
      </c>
      <c r="C1309" s="38" t="s">
        <v>3447</v>
      </c>
      <c r="D1309" s="38" t="n">
        <v>91</v>
      </c>
    </row>
    <row r="1310" customFormat="false" ht="15" hidden="false" customHeight="false" outlineLevel="0" collapsed="false">
      <c r="A1310" s="28" t="n">
        <v>1309</v>
      </c>
      <c r="B1310" s="37" t="s">
        <v>1937</v>
      </c>
      <c r="C1310" s="38" t="s">
        <v>3647</v>
      </c>
      <c r="D1310" s="38" t="n">
        <v>106</v>
      </c>
    </row>
    <row r="1311" customFormat="false" ht="15" hidden="false" customHeight="false" outlineLevel="0" collapsed="false">
      <c r="A1311" s="28" t="n">
        <v>1310</v>
      </c>
      <c r="B1311" s="37" t="s">
        <v>1938</v>
      </c>
      <c r="C1311" s="38" t="s">
        <v>3648</v>
      </c>
      <c r="D1311" s="38" t="n">
        <v>106</v>
      </c>
    </row>
    <row r="1312" customFormat="false" ht="15" hidden="false" customHeight="false" outlineLevel="0" collapsed="false">
      <c r="A1312" s="28" t="n">
        <v>1311</v>
      </c>
      <c r="B1312" s="37" t="s">
        <v>1939</v>
      </c>
      <c r="C1312" s="38" t="s">
        <v>3649</v>
      </c>
      <c r="D1312" s="38" t="n">
        <v>93</v>
      </c>
    </row>
    <row r="1313" customFormat="false" ht="15" hidden="false" customHeight="false" outlineLevel="0" collapsed="false">
      <c r="A1313" s="28" t="n">
        <v>1312</v>
      </c>
      <c r="B1313" s="37" t="s">
        <v>1940</v>
      </c>
      <c r="C1313" s="38" t="s">
        <v>3650</v>
      </c>
      <c r="D1313" s="38" t="n">
        <v>96</v>
      </c>
    </row>
    <row r="1314" customFormat="false" ht="15" hidden="false" customHeight="false" outlineLevel="0" collapsed="false">
      <c r="A1314" s="28" t="n">
        <v>1313</v>
      </c>
      <c r="B1314" s="37" t="s">
        <v>1942</v>
      </c>
      <c r="C1314" s="38" t="s">
        <v>3651</v>
      </c>
      <c r="D1314" s="38" t="n">
        <v>107</v>
      </c>
    </row>
    <row r="1315" customFormat="false" ht="15" hidden="false" customHeight="false" outlineLevel="0" collapsed="false">
      <c r="A1315" s="28" t="n">
        <v>1314</v>
      </c>
      <c r="B1315" s="37" t="s">
        <v>1943</v>
      </c>
      <c r="C1315" s="38" t="s">
        <v>3652</v>
      </c>
      <c r="D1315" s="38" t="n">
        <v>96</v>
      </c>
    </row>
    <row r="1316" customFormat="false" ht="15" hidden="false" customHeight="false" outlineLevel="0" collapsed="false">
      <c r="A1316" s="28" t="n">
        <v>1315</v>
      </c>
      <c r="B1316" s="37" t="s">
        <v>1944</v>
      </c>
      <c r="C1316" s="38" t="s">
        <v>3288</v>
      </c>
      <c r="D1316" s="38" t="n">
        <v>98</v>
      </c>
    </row>
    <row r="1317" customFormat="false" ht="15" hidden="false" customHeight="false" outlineLevel="0" collapsed="false">
      <c r="A1317" s="28" t="n">
        <v>1316</v>
      </c>
      <c r="B1317" s="37" t="s">
        <v>1945</v>
      </c>
      <c r="C1317" s="38" t="s">
        <v>3653</v>
      </c>
      <c r="D1317" s="38" t="n">
        <v>109</v>
      </c>
    </row>
    <row r="1318" customFormat="false" ht="15" hidden="false" customHeight="false" outlineLevel="0" collapsed="false">
      <c r="A1318" s="28" t="n">
        <v>1317</v>
      </c>
      <c r="B1318" s="37" t="s">
        <v>1946</v>
      </c>
      <c r="C1318" s="38" t="s">
        <v>3654</v>
      </c>
      <c r="D1318" s="38" t="n">
        <v>95</v>
      </c>
    </row>
    <row r="1319" customFormat="false" ht="15" hidden="false" customHeight="false" outlineLevel="0" collapsed="false">
      <c r="A1319" s="28" t="n">
        <v>1318</v>
      </c>
      <c r="B1319" s="37" t="s">
        <v>1947</v>
      </c>
      <c r="C1319" s="38" t="s">
        <v>3344</v>
      </c>
      <c r="D1319" s="38" t="n">
        <v>97</v>
      </c>
    </row>
    <row r="1320" customFormat="false" ht="15" hidden="false" customHeight="false" outlineLevel="0" collapsed="false">
      <c r="A1320" s="28" t="n">
        <v>1319</v>
      </c>
      <c r="B1320" s="37" t="s">
        <v>1948</v>
      </c>
      <c r="C1320" s="38" t="s">
        <v>3655</v>
      </c>
      <c r="D1320" s="38" t="n">
        <v>100</v>
      </c>
    </row>
    <row r="1321" customFormat="false" ht="15" hidden="false" customHeight="false" outlineLevel="0" collapsed="false">
      <c r="A1321" s="28" t="n">
        <v>1320</v>
      </c>
      <c r="B1321" s="37" t="s">
        <v>1949</v>
      </c>
      <c r="C1321" s="38" t="s">
        <v>2974</v>
      </c>
      <c r="D1321" s="38" t="n">
        <v>95</v>
      </c>
    </row>
    <row r="1322" customFormat="false" ht="15" hidden="false" customHeight="false" outlineLevel="0" collapsed="false">
      <c r="A1322" s="28" t="n">
        <v>1321</v>
      </c>
      <c r="B1322" s="37" t="s">
        <v>1950</v>
      </c>
      <c r="C1322" s="38" t="s">
        <v>3656</v>
      </c>
      <c r="D1322" s="38" t="n">
        <v>108</v>
      </c>
    </row>
    <row r="1323" customFormat="false" ht="15" hidden="false" customHeight="false" outlineLevel="0" collapsed="false">
      <c r="A1323" s="28" t="n">
        <v>1322</v>
      </c>
      <c r="B1323" s="37" t="s">
        <v>1951</v>
      </c>
      <c r="C1323" s="38" t="s">
        <v>3657</v>
      </c>
      <c r="D1323" s="38" t="n">
        <v>96</v>
      </c>
    </row>
    <row r="1324" customFormat="false" ht="15" hidden="false" customHeight="false" outlineLevel="0" collapsed="false">
      <c r="A1324" s="28" t="n">
        <v>1323</v>
      </c>
      <c r="B1324" s="37" t="s">
        <v>1952</v>
      </c>
      <c r="C1324" s="38" t="s">
        <v>3658</v>
      </c>
      <c r="D1324" s="38" t="n">
        <v>104</v>
      </c>
    </row>
    <row r="1325" customFormat="false" ht="15" hidden="false" customHeight="false" outlineLevel="0" collapsed="false">
      <c r="A1325" s="28" t="n">
        <v>1324</v>
      </c>
      <c r="B1325" s="37" t="s">
        <v>1954</v>
      </c>
      <c r="C1325" s="38" t="s">
        <v>3659</v>
      </c>
      <c r="D1325" s="38" t="n">
        <v>92</v>
      </c>
    </row>
    <row r="1326" customFormat="false" ht="15" hidden="false" customHeight="false" outlineLevel="0" collapsed="false">
      <c r="A1326" s="28" t="n">
        <v>1325</v>
      </c>
      <c r="B1326" s="37" t="s">
        <v>3660</v>
      </c>
      <c r="C1326" s="38" t="s">
        <v>2754</v>
      </c>
      <c r="D1326" s="38" t="n">
        <v>92</v>
      </c>
    </row>
    <row r="1327" customFormat="false" ht="15" hidden="false" customHeight="false" outlineLevel="0" collapsed="false">
      <c r="A1327" s="28" t="n">
        <v>1326</v>
      </c>
      <c r="B1327" s="37" t="s">
        <v>1955</v>
      </c>
      <c r="C1327" s="38" t="s">
        <v>3661</v>
      </c>
      <c r="D1327" s="38" t="n">
        <v>101</v>
      </c>
    </row>
    <row r="1328" customFormat="false" ht="15" hidden="false" customHeight="false" outlineLevel="0" collapsed="false">
      <c r="A1328" s="28" t="n">
        <v>1327</v>
      </c>
      <c r="B1328" s="37" t="s">
        <v>1956</v>
      </c>
      <c r="C1328" s="38" t="s">
        <v>3662</v>
      </c>
      <c r="D1328" s="38" t="n">
        <v>99</v>
      </c>
    </row>
    <row r="1329" customFormat="false" ht="15" hidden="false" customHeight="false" outlineLevel="0" collapsed="false">
      <c r="A1329" s="28" t="n">
        <v>1328</v>
      </c>
      <c r="B1329" s="37" t="s">
        <v>1957</v>
      </c>
      <c r="C1329" s="38" t="s">
        <v>3243</v>
      </c>
      <c r="D1329" s="38" t="n">
        <v>96</v>
      </c>
    </row>
    <row r="1330" customFormat="false" ht="15" hidden="false" customHeight="false" outlineLevel="0" collapsed="false">
      <c r="A1330" s="28" t="n">
        <v>1329</v>
      </c>
      <c r="B1330" s="37" t="s">
        <v>1958</v>
      </c>
      <c r="C1330" s="38" t="s">
        <v>3029</v>
      </c>
      <c r="D1330" s="38" t="n">
        <v>100</v>
      </c>
    </row>
    <row r="1331" customFormat="false" ht="15" hidden="false" customHeight="false" outlineLevel="0" collapsed="false">
      <c r="A1331" s="28" t="n">
        <v>1330</v>
      </c>
      <c r="B1331" s="37" t="s">
        <v>1959</v>
      </c>
      <c r="C1331" s="38" t="s">
        <v>3663</v>
      </c>
      <c r="D1331" s="38" t="n">
        <v>92</v>
      </c>
    </row>
    <row r="1332" customFormat="false" ht="15" hidden="false" customHeight="false" outlineLevel="0" collapsed="false">
      <c r="A1332" s="28" t="n">
        <v>1331</v>
      </c>
      <c r="B1332" s="37" t="s">
        <v>1960</v>
      </c>
      <c r="C1332" s="38" t="s">
        <v>3262</v>
      </c>
      <c r="D1332" s="38" t="n">
        <v>77</v>
      </c>
    </row>
    <row r="1333" customFormat="false" ht="15" hidden="false" customHeight="false" outlineLevel="0" collapsed="false">
      <c r="A1333" s="28" t="n">
        <v>1332</v>
      </c>
      <c r="B1333" s="37" t="s">
        <v>1961</v>
      </c>
      <c r="C1333" s="38" t="s">
        <v>3021</v>
      </c>
      <c r="D1333" s="38" t="n">
        <v>94</v>
      </c>
    </row>
    <row r="1334" customFormat="false" ht="15" hidden="false" customHeight="false" outlineLevel="0" collapsed="false">
      <c r="A1334" s="28" t="n">
        <v>1333</v>
      </c>
      <c r="B1334" s="37" t="s">
        <v>1962</v>
      </c>
      <c r="C1334" s="38" t="s">
        <v>3664</v>
      </c>
      <c r="D1334" s="38" t="n">
        <v>106</v>
      </c>
    </row>
    <row r="1335" customFormat="false" ht="15" hidden="false" customHeight="false" outlineLevel="0" collapsed="false">
      <c r="A1335" s="28" t="n">
        <v>1334</v>
      </c>
      <c r="B1335" s="37" t="s">
        <v>1964</v>
      </c>
      <c r="C1335" s="38" t="s">
        <v>3665</v>
      </c>
      <c r="D1335" s="38" t="n">
        <v>96</v>
      </c>
    </row>
    <row r="1336" customFormat="false" ht="15" hidden="false" customHeight="false" outlineLevel="0" collapsed="false">
      <c r="A1336" s="28" t="n">
        <v>1335</v>
      </c>
      <c r="B1336" s="37" t="s">
        <v>1965</v>
      </c>
      <c r="C1336" s="38" t="s">
        <v>3666</v>
      </c>
      <c r="D1336" s="38" t="n">
        <v>100</v>
      </c>
    </row>
    <row r="1337" customFormat="false" ht="15" hidden="false" customHeight="false" outlineLevel="0" collapsed="false">
      <c r="A1337" s="28" t="n">
        <v>1336</v>
      </c>
      <c r="B1337" s="37" t="s">
        <v>1966</v>
      </c>
      <c r="C1337" s="38" t="s">
        <v>3667</v>
      </c>
      <c r="D1337" s="38" t="n">
        <v>95</v>
      </c>
    </row>
    <row r="1338" customFormat="false" ht="15" hidden="false" customHeight="false" outlineLevel="0" collapsed="false">
      <c r="A1338" s="28" t="n">
        <v>1337</v>
      </c>
      <c r="B1338" s="37" t="s">
        <v>1967</v>
      </c>
      <c r="C1338" s="38" t="s">
        <v>3668</v>
      </c>
      <c r="D1338" s="38" t="n">
        <v>93</v>
      </c>
    </row>
    <row r="1339" customFormat="false" ht="15" hidden="false" customHeight="false" outlineLevel="0" collapsed="false">
      <c r="A1339" s="28" t="n">
        <v>1338</v>
      </c>
      <c r="B1339" s="37" t="s">
        <v>1969</v>
      </c>
      <c r="C1339" s="38" t="s">
        <v>3669</v>
      </c>
      <c r="D1339" s="38" t="n">
        <v>90</v>
      </c>
    </row>
    <row r="1340" customFormat="false" ht="15" hidden="false" customHeight="false" outlineLevel="0" collapsed="false">
      <c r="A1340" s="28" t="n">
        <v>1339</v>
      </c>
      <c r="B1340" s="37" t="s">
        <v>1971</v>
      </c>
      <c r="C1340" s="38" t="s">
        <v>3670</v>
      </c>
      <c r="D1340" s="38" t="n">
        <v>104</v>
      </c>
    </row>
    <row r="1341" customFormat="false" ht="15" hidden="false" customHeight="false" outlineLevel="0" collapsed="false">
      <c r="A1341" s="28" t="n">
        <v>1340</v>
      </c>
      <c r="B1341" s="37" t="s">
        <v>1972</v>
      </c>
      <c r="C1341" s="38" t="s">
        <v>3671</v>
      </c>
      <c r="D1341" s="38" t="n">
        <v>105</v>
      </c>
    </row>
    <row r="1342" customFormat="false" ht="15" hidden="false" customHeight="false" outlineLevel="0" collapsed="false">
      <c r="A1342" s="28" t="n">
        <v>1341</v>
      </c>
      <c r="B1342" s="37" t="s">
        <v>1973</v>
      </c>
      <c r="C1342" s="38" t="s">
        <v>3146</v>
      </c>
      <c r="D1342" s="38" t="n">
        <v>87</v>
      </c>
    </row>
    <row r="1343" customFormat="false" ht="15" hidden="false" customHeight="false" outlineLevel="0" collapsed="false">
      <c r="A1343" s="28" t="n">
        <v>1342</v>
      </c>
      <c r="B1343" s="37" t="s">
        <v>1974</v>
      </c>
      <c r="C1343" s="38" t="s">
        <v>3672</v>
      </c>
      <c r="D1343" s="38" t="n">
        <v>104</v>
      </c>
    </row>
    <row r="1344" customFormat="false" ht="15" hidden="false" customHeight="false" outlineLevel="0" collapsed="false">
      <c r="A1344" s="28" t="n">
        <v>1343</v>
      </c>
      <c r="B1344" s="37" t="s">
        <v>1976</v>
      </c>
      <c r="C1344" s="38" t="s">
        <v>2552</v>
      </c>
      <c r="D1344" s="38" t="n">
        <v>94</v>
      </c>
    </row>
    <row r="1345" customFormat="false" ht="15" hidden="false" customHeight="false" outlineLevel="0" collapsed="false">
      <c r="A1345" s="28" t="n">
        <v>1344</v>
      </c>
      <c r="B1345" s="37" t="s">
        <v>1977</v>
      </c>
      <c r="C1345" s="38" t="s">
        <v>3673</v>
      </c>
      <c r="D1345" s="38" t="n">
        <v>98</v>
      </c>
    </row>
    <row r="1346" customFormat="false" ht="15" hidden="false" customHeight="false" outlineLevel="0" collapsed="false">
      <c r="A1346" s="28" t="n">
        <v>1345</v>
      </c>
      <c r="B1346" s="37" t="s">
        <v>1978</v>
      </c>
      <c r="C1346" s="38" t="s">
        <v>3674</v>
      </c>
      <c r="D1346" s="38" t="n">
        <v>77</v>
      </c>
    </row>
    <row r="1347" customFormat="false" ht="15" hidden="false" customHeight="false" outlineLevel="0" collapsed="false">
      <c r="A1347" s="28" t="n">
        <v>1346</v>
      </c>
      <c r="B1347" s="37" t="s">
        <v>1979</v>
      </c>
      <c r="C1347" s="38" t="s">
        <v>3675</v>
      </c>
      <c r="D1347" s="38" t="n">
        <v>114</v>
      </c>
    </row>
    <row r="1348" customFormat="false" ht="15" hidden="false" customHeight="false" outlineLevel="0" collapsed="false">
      <c r="A1348" s="28" t="n">
        <v>1347</v>
      </c>
      <c r="B1348" s="37" t="s">
        <v>1980</v>
      </c>
      <c r="C1348" s="38" t="s">
        <v>3676</v>
      </c>
      <c r="D1348" s="38" t="n">
        <v>94</v>
      </c>
    </row>
    <row r="1349" customFormat="false" ht="15" hidden="false" customHeight="false" outlineLevel="0" collapsed="false">
      <c r="A1349" s="28" t="n">
        <v>1348</v>
      </c>
      <c r="B1349" s="37" t="s">
        <v>1981</v>
      </c>
      <c r="C1349" s="38" t="s">
        <v>3677</v>
      </c>
      <c r="D1349" s="38" t="n">
        <v>85</v>
      </c>
    </row>
    <row r="1350" customFormat="false" ht="15" hidden="false" customHeight="false" outlineLevel="0" collapsed="false">
      <c r="A1350" s="28" t="n">
        <v>1349</v>
      </c>
      <c r="B1350" s="37" t="s">
        <v>1982</v>
      </c>
      <c r="C1350" s="38" t="s">
        <v>3678</v>
      </c>
      <c r="D1350" s="38" t="n">
        <v>121</v>
      </c>
    </row>
    <row r="1351" customFormat="false" ht="15" hidden="false" customHeight="false" outlineLevel="0" collapsed="false">
      <c r="A1351" s="28" t="n">
        <v>1350</v>
      </c>
      <c r="B1351" s="37" t="s">
        <v>1983</v>
      </c>
      <c r="C1351" s="38" t="s">
        <v>3679</v>
      </c>
      <c r="D1351" s="38" t="n">
        <v>102</v>
      </c>
    </row>
    <row r="1352" customFormat="false" ht="15" hidden="false" customHeight="false" outlineLevel="0" collapsed="false">
      <c r="A1352" s="28" t="n">
        <v>1351</v>
      </c>
      <c r="B1352" s="37" t="s">
        <v>1984</v>
      </c>
      <c r="C1352" s="38" t="s">
        <v>3680</v>
      </c>
      <c r="D1352" s="38" t="n">
        <v>93</v>
      </c>
    </row>
    <row r="1353" customFormat="false" ht="15" hidden="false" customHeight="false" outlineLevel="0" collapsed="false">
      <c r="A1353" s="28" t="n">
        <v>1352</v>
      </c>
      <c r="B1353" s="37" t="s">
        <v>1985</v>
      </c>
      <c r="C1353" s="38" t="s">
        <v>3681</v>
      </c>
      <c r="D1353" s="38" t="n">
        <v>103</v>
      </c>
    </row>
    <row r="1354" customFormat="false" ht="15" hidden="false" customHeight="false" outlineLevel="0" collapsed="false">
      <c r="A1354" s="28" t="n">
        <v>1353</v>
      </c>
      <c r="B1354" s="37" t="s">
        <v>1986</v>
      </c>
      <c r="C1354" s="38" t="s">
        <v>3682</v>
      </c>
      <c r="D1354" s="38" t="n">
        <v>96</v>
      </c>
    </row>
    <row r="1355" customFormat="false" ht="15" hidden="false" customHeight="false" outlineLevel="0" collapsed="false">
      <c r="A1355" s="28" t="n">
        <v>1354</v>
      </c>
      <c r="B1355" s="37" t="s">
        <v>1988</v>
      </c>
      <c r="C1355" s="38" t="s">
        <v>3683</v>
      </c>
      <c r="D1355" s="38" t="n">
        <v>79</v>
      </c>
    </row>
    <row r="1356" customFormat="false" ht="15" hidden="false" customHeight="false" outlineLevel="0" collapsed="false">
      <c r="A1356" s="28" t="n">
        <v>1355</v>
      </c>
      <c r="B1356" s="37" t="s">
        <v>1989</v>
      </c>
      <c r="C1356" s="38" t="s">
        <v>3684</v>
      </c>
      <c r="D1356" s="38" t="n">
        <v>98</v>
      </c>
    </row>
    <row r="1357" customFormat="false" ht="15" hidden="false" customHeight="false" outlineLevel="0" collapsed="false">
      <c r="A1357" s="28" t="n">
        <v>1356</v>
      </c>
      <c r="B1357" s="37" t="s">
        <v>3685</v>
      </c>
      <c r="C1357" s="38" t="s">
        <v>3192</v>
      </c>
      <c r="D1357" s="38" t="n">
        <v>73</v>
      </c>
    </row>
    <row r="1358" customFormat="false" ht="15" hidden="false" customHeight="false" outlineLevel="0" collapsed="false">
      <c r="A1358" s="28" t="n">
        <v>1357</v>
      </c>
      <c r="B1358" s="37" t="s">
        <v>1990</v>
      </c>
      <c r="C1358" s="38" t="s">
        <v>3587</v>
      </c>
      <c r="D1358" s="38" t="n">
        <v>98</v>
      </c>
    </row>
    <row r="1359" customFormat="false" ht="15" hidden="false" customHeight="false" outlineLevel="0" collapsed="false">
      <c r="A1359" s="28" t="n">
        <v>1358</v>
      </c>
      <c r="B1359" s="37" t="s">
        <v>1991</v>
      </c>
      <c r="C1359" s="38" t="s">
        <v>3686</v>
      </c>
      <c r="D1359" s="38" t="n">
        <v>92</v>
      </c>
    </row>
    <row r="1360" customFormat="false" ht="15" hidden="false" customHeight="false" outlineLevel="0" collapsed="false">
      <c r="A1360" s="28" t="n">
        <v>1359</v>
      </c>
      <c r="B1360" s="37" t="s">
        <v>1993</v>
      </c>
      <c r="C1360" s="38" t="s">
        <v>3687</v>
      </c>
      <c r="D1360" s="38" t="n">
        <v>109</v>
      </c>
    </row>
    <row r="1361" customFormat="false" ht="15" hidden="false" customHeight="false" outlineLevel="0" collapsed="false">
      <c r="A1361" s="28" t="n">
        <v>1360</v>
      </c>
      <c r="B1361" s="37" t="s">
        <v>1994</v>
      </c>
      <c r="C1361" s="38" t="s">
        <v>3688</v>
      </c>
      <c r="D1361" s="38" t="n">
        <v>90</v>
      </c>
    </row>
    <row r="1362" customFormat="false" ht="15" hidden="false" customHeight="false" outlineLevel="0" collapsed="false">
      <c r="A1362" s="28" t="n">
        <v>1361</v>
      </c>
      <c r="B1362" s="37" t="s">
        <v>1995</v>
      </c>
      <c r="C1362" s="38" t="s">
        <v>3487</v>
      </c>
      <c r="D1362" s="38" t="n">
        <v>93</v>
      </c>
    </row>
    <row r="1363" customFormat="false" ht="15" hidden="false" customHeight="false" outlineLevel="0" collapsed="false">
      <c r="A1363" s="28" t="n">
        <v>1362</v>
      </c>
      <c r="B1363" s="37" t="s">
        <v>3689</v>
      </c>
      <c r="C1363" s="38" t="s">
        <v>3690</v>
      </c>
      <c r="D1363" s="38" t="n">
        <v>83</v>
      </c>
    </row>
    <row r="1364" customFormat="false" ht="15" hidden="false" customHeight="false" outlineLevel="0" collapsed="false">
      <c r="A1364" s="28" t="n">
        <v>1363</v>
      </c>
      <c r="B1364" s="37" t="s">
        <v>1996</v>
      </c>
      <c r="C1364" s="38" t="s">
        <v>3691</v>
      </c>
      <c r="D1364" s="38" t="n">
        <v>98</v>
      </c>
    </row>
    <row r="1365" customFormat="false" ht="15" hidden="false" customHeight="false" outlineLevel="0" collapsed="false">
      <c r="A1365" s="28" t="n">
        <v>1364</v>
      </c>
      <c r="B1365" s="37" t="s">
        <v>1997</v>
      </c>
      <c r="C1365" s="38" t="s">
        <v>2925</v>
      </c>
      <c r="D1365" s="38" t="n">
        <v>92</v>
      </c>
    </row>
    <row r="1366" customFormat="false" ht="15" hidden="false" customHeight="false" outlineLevel="0" collapsed="false">
      <c r="A1366" s="28" t="n">
        <v>1365</v>
      </c>
      <c r="B1366" s="37" t="s">
        <v>1998</v>
      </c>
      <c r="C1366" s="38" t="s">
        <v>3169</v>
      </c>
      <c r="D1366" s="38" t="n">
        <v>103</v>
      </c>
    </row>
    <row r="1367" customFormat="false" ht="15" hidden="false" customHeight="false" outlineLevel="0" collapsed="false">
      <c r="A1367" s="28" t="n">
        <v>1366</v>
      </c>
      <c r="B1367" s="37" t="s">
        <v>1999</v>
      </c>
      <c r="C1367" s="38" t="s">
        <v>3692</v>
      </c>
      <c r="D1367" s="38" t="n">
        <v>108</v>
      </c>
    </row>
    <row r="1368" customFormat="false" ht="15" hidden="false" customHeight="false" outlineLevel="0" collapsed="false">
      <c r="A1368" s="28" t="n">
        <v>1367</v>
      </c>
      <c r="B1368" s="37" t="s">
        <v>2000</v>
      </c>
      <c r="C1368" s="38" t="s">
        <v>2549</v>
      </c>
      <c r="D1368" s="38" t="n">
        <v>95</v>
      </c>
    </row>
    <row r="1369" customFormat="false" ht="15" hidden="false" customHeight="false" outlineLevel="0" collapsed="false">
      <c r="A1369" s="28" t="n">
        <v>1368</v>
      </c>
      <c r="B1369" s="37" t="s">
        <v>2001</v>
      </c>
      <c r="C1369" s="38" t="s">
        <v>3693</v>
      </c>
      <c r="D1369" s="38" t="n">
        <v>100</v>
      </c>
    </row>
    <row r="1370" customFormat="false" ht="15" hidden="false" customHeight="false" outlineLevel="0" collapsed="false">
      <c r="A1370" s="28" t="n">
        <v>1369</v>
      </c>
      <c r="B1370" s="37" t="s">
        <v>2002</v>
      </c>
      <c r="C1370" s="38" t="s">
        <v>3694</v>
      </c>
      <c r="D1370" s="38" t="n">
        <v>89</v>
      </c>
    </row>
    <row r="1371" customFormat="false" ht="15" hidden="false" customHeight="false" outlineLevel="0" collapsed="false">
      <c r="A1371" s="28" t="n">
        <v>1370</v>
      </c>
      <c r="B1371" s="37" t="s">
        <v>2004</v>
      </c>
      <c r="C1371" s="38" t="s">
        <v>3294</v>
      </c>
      <c r="D1371" s="38" t="n">
        <v>97</v>
      </c>
    </row>
    <row r="1372" customFormat="false" ht="15" hidden="false" customHeight="false" outlineLevel="0" collapsed="false">
      <c r="A1372" s="28" t="n">
        <v>1371</v>
      </c>
      <c r="B1372" s="37" t="s">
        <v>2005</v>
      </c>
      <c r="C1372" s="38" t="s">
        <v>3695</v>
      </c>
      <c r="D1372" s="38" t="n">
        <v>107</v>
      </c>
    </row>
    <row r="1373" customFormat="false" ht="15" hidden="false" customHeight="false" outlineLevel="0" collapsed="false">
      <c r="A1373" s="28" t="n">
        <v>1372</v>
      </c>
      <c r="B1373" s="37" t="s">
        <v>2006</v>
      </c>
      <c r="C1373" s="38" t="s">
        <v>3696</v>
      </c>
      <c r="D1373" s="38" t="n">
        <v>88</v>
      </c>
    </row>
    <row r="1374" customFormat="false" ht="15" hidden="false" customHeight="false" outlineLevel="0" collapsed="false">
      <c r="A1374" s="28" t="n">
        <v>1373</v>
      </c>
      <c r="B1374" s="37" t="s">
        <v>2007</v>
      </c>
      <c r="C1374" s="38" t="s">
        <v>3697</v>
      </c>
      <c r="D1374" s="38" t="n">
        <v>95</v>
      </c>
    </row>
    <row r="1375" customFormat="false" ht="15" hidden="false" customHeight="false" outlineLevel="0" collapsed="false">
      <c r="A1375" s="28" t="n">
        <v>1374</v>
      </c>
      <c r="B1375" s="37" t="s">
        <v>2009</v>
      </c>
      <c r="C1375" s="38" t="s">
        <v>3698</v>
      </c>
      <c r="D1375" s="38" t="n">
        <v>104</v>
      </c>
    </row>
    <row r="1376" customFormat="false" ht="15" hidden="false" customHeight="false" outlineLevel="0" collapsed="false">
      <c r="A1376" s="28" t="n">
        <v>1375</v>
      </c>
      <c r="B1376" s="37" t="s">
        <v>2010</v>
      </c>
      <c r="C1376" s="38" t="s">
        <v>3699</v>
      </c>
      <c r="D1376" s="38" t="n">
        <v>104</v>
      </c>
    </row>
    <row r="1377" customFormat="false" ht="15" hidden="false" customHeight="false" outlineLevel="0" collapsed="false">
      <c r="A1377" s="28" t="n">
        <v>1376</v>
      </c>
      <c r="B1377" s="37" t="s">
        <v>2011</v>
      </c>
      <c r="C1377" s="38" t="s">
        <v>3650</v>
      </c>
      <c r="D1377" s="38" t="n">
        <v>96</v>
      </c>
    </row>
    <row r="1378" customFormat="false" ht="15" hidden="false" customHeight="false" outlineLevel="0" collapsed="false">
      <c r="A1378" s="28" t="n">
        <v>1377</v>
      </c>
      <c r="B1378" s="37" t="s">
        <v>2012</v>
      </c>
      <c r="C1378" s="38" t="s">
        <v>3569</v>
      </c>
      <c r="D1378" s="38" t="n">
        <v>89</v>
      </c>
    </row>
    <row r="1379" customFormat="false" ht="15" hidden="false" customHeight="false" outlineLevel="0" collapsed="false">
      <c r="A1379" s="28" t="n">
        <v>1378</v>
      </c>
      <c r="B1379" s="37" t="s">
        <v>2013</v>
      </c>
      <c r="C1379" s="38" t="s">
        <v>3700</v>
      </c>
      <c r="D1379" s="38" t="n">
        <v>95</v>
      </c>
    </row>
    <row r="1380" customFormat="false" ht="15" hidden="false" customHeight="false" outlineLevel="0" collapsed="false">
      <c r="A1380" s="28" t="n">
        <v>1379</v>
      </c>
      <c r="B1380" s="37" t="s">
        <v>2015</v>
      </c>
      <c r="C1380" s="38" t="s">
        <v>3701</v>
      </c>
      <c r="D1380" s="38" t="n">
        <v>99</v>
      </c>
    </row>
    <row r="1381" customFormat="false" ht="15" hidden="false" customHeight="false" outlineLevel="0" collapsed="false">
      <c r="A1381" s="28" t="n">
        <v>1380</v>
      </c>
      <c r="B1381" s="37" t="s">
        <v>3702</v>
      </c>
      <c r="C1381" s="38" t="s">
        <v>2820</v>
      </c>
      <c r="D1381" s="38" t="n">
        <v>80</v>
      </c>
    </row>
    <row r="1382" customFormat="false" ht="15" hidden="false" customHeight="false" outlineLevel="0" collapsed="false">
      <c r="A1382" s="28" t="n">
        <v>1381</v>
      </c>
      <c r="B1382" s="37" t="s">
        <v>2016</v>
      </c>
      <c r="C1382" s="38" t="s">
        <v>3703</v>
      </c>
      <c r="D1382" s="38" t="n">
        <v>108</v>
      </c>
    </row>
    <row r="1383" customFormat="false" ht="15" hidden="false" customHeight="false" outlineLevel="0" collapsed="false">
      <c r="A1383" s="28" t="n">
        <v>1382</v>
      </c>
      <c r="B1383" s="37" t="s">
        <v>2017</v>
      </c>
      <c r="C1383" s="38" t="s">
        <v>3704</v>
      </c>
      <c r="D1383" s="38" t="n">
        <v>109</v>
      </c>
    </row>
    <row r="1384" customFormat="false" ht="15" hidden="false" customHeight="false" outlineLevel="0" collapsed="false">
      <c r="A1384" s="28" t="n">
        <v>1383</v>
      </c>
      <c r="B1384" s="37" t="s">
        <v>2019</v>
      </c>
      <c r="C1384" s="38" t="s">
        <v>3705</v>
      </c>
      <c r="D1384" s="38" t="n">
        <v>104</v>
      </c>
    </row>
    <row r="1385" customFormat="false" ht="15" hidden="false" customHeight="false" outlineLevel="0" collapsed="false">
      <c r="A1385" s="28" t="n">
        <v>1384</v>
      </c>
      <c r="B1385" s="37" t="s">
        <v>2020</v>
      </c>
      <c r="C1385" s="38" t="s">
        <v>3706</v>
      </c>
      <c r="D1385" s="38" t="n">
        <v>100</v>
      </c>
    </row>
    <row r="1386" customFormat="false" ht="15" hidden="false" customHeight="false" outlineLevel="0" collapsed="false">
      <c r="A1386" s="28" t="n">
        <v>1385</v>
      </c>
      <c r="B1386" s="37" t="s">
        <v>2021</v>
      </c>
      <c r="C1386" s="38" t="s">
        <v>3707</v>
      </c>
      <c r="D1386" s="38" t="n">
        <v>102</v>
      </c>
    </row>
    <row r="1387" customFormat="false" ht="15" hidden="false" customHeight="false" outlineLevel="0" collapsed="false">
      <c r="A1387" s="28" t="n">
        <v>1386</v>
      </c>
      <c r="B1387" s="37" t="s">
        <v>2024</v>
      </c>
      <c r="C1387" s="38" t="s">
        <v>3708</v>
      </c>
      <c r="D1387" s="38" t="n">
        <v>105</v>
      </c>
    </row>
    <row r="1388" customFormat="false" ht="15" hidden="false" customHeight="false" outlineLevel="0" collapsed="false">
      <c r="A1388" s="28" t="n">
        <v>1387</v>
      </c>
      <c r="B1388" s="37" t="s">
        <v>2025</v>
      </c>
      <c r="C1388" s="38" t="s">
        <v>3709</v>
      </c>
      <c r="D1388" s="38" t="n">
        <v>92</v>
      </c>
    </row>
    <row r="1389" customFormat="false" ht="15" hidden="false" customHeight="false" outlineLevel="0" collapsed="false">
      <c r="A1389" s="28" t="n">
        <v>1388</v>
      </c>
      <c r="B1389" s="37" t="s">
        <v>2026</v>
      </c>
      <c r="C1389" s="38" t="s">
        <v>2612</v>
      </c>
      <c r="D1389" s="38" t="n">
        <v>93</v>
      </c>
    </row>
    <row r="1390" customFormat="false" ht="15" hidden="false" customHeight="false" outlineLevel="0" collapsed="false">
      <c r="A1390" s="28" t="n">
        <v>1389</v>
      </c>
      <c r="B1390" s="37" t="s">
        <v>2027</v>
      </c>
      <c r="C1390" s="38" t="s">
        <v>3710</v>
      </c>
      <c r="D1390" s="38" t="n">
        <v>92</v>
      </c>
    </row>
    <row r="1391" customFormat="false" ht="15" hidden="false" customHeight="false" outlineLevel="0" collapsed="false">
      <c r="A1391" s="28" t="n">
        <v>1390</v>
      </c>
      <c r="B1391" s="37" t="s">
        <v>2028</v>
      </c>
      <c r="C1391" s="38" t="s">
        <v>3711</v>
      </c>
      <c r="D1391" s="38" t="n">
        <v>104</v>
      </c>
    </row>
    <row r="1392" customFormat="false" ht="15" hidden="false" customHeight="false" outlineLevel="0" collapsed="false">
      <c r="A1392" s="28" t="n">
        <v>1391</v>
      </c>
      <c r="B1392" s="37" t="s">
        <v>2029</v>
      </c>
      <c r="C1392" s="38" t="s">
        <v>3712</v>
      </c>
      <c r="D1392" s="38" t="n">
        <v>101</v>
      </c>
    </row>
    <row r="1393" customFormat="false" ht="15" hidden="false" customHeight="false" outlineLevel="0" collapsed="false">
      <c r="A1393" s="28" t="n">
        <v>1392</v>
      </c>
      <c r="B1393" s="37" t="s">
        <v>2030</v>
      </c>
      <c r="C1393" s="38" t="s">
        <v>3713</v>
      </c>
      <c r="D1393" s="38" t="n">
        <v>98</v>
      </c>
    </row>
    <row r="1394" customFormat="false" ht="15" hidden="false" customHeight="false" outlineLevel="0" collapsed="false">
      <c r="A1394" s="28" t="n">
        <v>1393</v>
      </c>
      <c r="B1394" s="37" t="s">
        <v>2031</v>
      </c>
      <c r="C1394" s="38" t="s">
        <v>3309</v>
      </c>
      <c r="D1394" s="38" t="n">
        <v>95</v>
      </c>
    </row>
    <row r="1395" customFormat="false" ht="15" hidden="false" customHeight="false" outlineLevel="0" collapsed="false">
      <c r="A1395" s="28" t="n">
        <v>1394</v>
      </c>
      <c r="B1395" s="37" t="s">
        <v>2032</v>
      </c>
      <c r="C1395" s="38" t="s">
        <v>3714</v>
      </c>
      <c r="D1395" s="38" t="n">
        <v>101</v>
      </c>
    </row>
    <row r="1396" customFormat="false" ht="15" hidden="false" customHeight="false" outlineLevel="0" collapsed="false">
      <c r="A1396" s="28" t="n">
        <v>1395</v>
      </c>
      <c r="B1396" s="37" t="s">
        <v>2033</v>
      </c>
      <c r="C1396" s="38" t="s">
        <v>3715</v>
      </c>
      <c r="D1396" s="38" t="n">
        <v>99</v>
      </c>
    </row>
    <row r="1397" customFormat="false" ht="15" hidden="false" customHeight="false" outlineLevel="0" collapsed="false">
      <c r="A1397" s="28" t="n">
        <v>1396</v>
      </c>
      <c r="B1397" s="37" t="s">
        <v>2034</v>
      </c>
      <c r="C1397" s="38" t="s">
        <v>3716</v>
      </c>
      <c r="D1397" s="38" t="n">
        <v>97</v>
      </c>
    </row>
    <row r="1398" customFormat="false" ht="15" hidden="false" customHeight="false" outlineLevel="0" collapsed="false">
      <c r="A1398" s="28" t="n">
        <v>1397</v>
      </c>
      <c r="B1398" s="37" t="s">
        <v>2035</v>
      </c>
      <c r="C1398" s="38" t="s">
        <v>3458</v>
      </c>
      <c r="D1398" s="38" t="n">
        <v>99</v>
      </c>
    </row>
    <row r="1399" customFormat="false" ht="15" hidden="false" customHeight="false" outlineLevel="0" collapsed="false">
      <c r="A1399" s="28" t="n">
        <v>1398</v>
      </c>
      <c r="B1399" s="37" t="s">
        <v>2037</v>
      </c>
      <c r="C1399" s="38" t="s">
        <v>3050</v>
      </c>
      <c r="D1399" s="38" t="n">
        <v>92</v>
      </c>
    </row>
    <row r="1400" customFormat="false" ht="15" hidden="false" customHeight="false" outlineLevel="0" collapsed="false">
      <c r="A1400" s="28" t="n">
        <v>1399</v>
      </c>
      <c r="B1400" s="37" t="s">
        <v>2038</v>
      </c>
      <c r="C1400" s="38" t="s">
        <v>3717</v>
      </c>
      <c r="D1400" s="38" t="n">
        <v>108</v>
      </c>
    </row>
    <row r="1401" customFormat="false" ht="15" hidden="false" customHeight="false" outlineLevel="0" collapsed="false">
      <c r="A1401" s="28" t="n">
        <v>1400</v>
      </c>
      <c r="B1401" s="37" t="s">
        <v>2039</v>
      </c>
      <c r="C1401" s="38" t="s">
        <v>3718</v>
      </c>
      <c r="D1401" s="38" t="n">
        <v>98</v>
      </c>
    </row>
    <row r="1402" customFormat="false" ht="15" hidden="false" customHeight="false" outlineLevel="0" collapsed="false">
      <c r="A1402" s="28" t="n">
        <v>1401</v>
      </c>
      <c r="B1402" s="37" t="s">
        <v>2040</v>
      </c>
      <c r="C1402" s="38" t="s">
        <v>2636</v>
      </c>
      <c r="D1402" s="38" t="n">
        <v>99</v>
      </c>
    </row>
    <row r="1403" customFormat="false" ht="15" hidden="false" customHeight="false" outlineLevel="0" collapsed="false">
      <c r="A1403" s="28" t="n">
        <v>1402</v>
      </c>
      <c r="B1403" s="37" t="s">
        <v>2041</v>
      </c>
      <c r="C1403" s="38" t="s">
        <v>3719</v>
      </c>
      <c r="D1403" s="38" t="n">
        <v>101</v>
      </c>
    </row>
    <row r="1404" customFormat="false" ht="15" hidden="false" customHeight="false" outlineLevel="0" collapsed="false">
      <c r="A1404" s="28" t="n">
        <v>1403</v>
      </c>
      <c r="B1404" s="37" t="s">
        <v>2044</v>
      </c>
      <c r="C1404" s="38" t="s">
        <v>3720</v>
      </c>
      <c r="D1404" s="38" t="n">
        <v>87</v>
      </c>
    </row>
    <row r="1405" customFormat="false" ht="15" hidden="false" customHeight="false" outlineLevel="0" collapsed="false">
      <c r="A1405" s="28" t="n">
        <v>1404</v>
      </c>
      <c r="B1405" s="37" t="s">
        <v>2045</v>
      </c>
      <c r="C1405" s="38" t="s">
        <v>3721</v>
      </c>
      <c r="D1405" s="38" t="n">
        <v>102</v>
      </c>
    </row>
    <row r="1406" customFormat="false" ht="15" hidden="false" customHeight="false" outlineLevel="0" collapsed="false">
      <c r="A1406" s="28" t="n">
        <v>1405</v>
      </c>
      <c r="B1406" s="37" t="s">
        <v>2046</v>
      </c>
      <c r="C1406" s="38" t="s">
        <v>3722</v>
      </c>
      <c r="D1406" s="38" t="n">
        <v>104</v>
      </c>
    </row>
    <row r="1407" customFormat="false" ht="15" hidden="false" customHeight="false" outlineLevel="0" collapsed="false">
      <c r="A1407" s="28" t="n">
        <v>1406</v>
      </c>
      <c r="B1407" s="37" t="s">
        <v>2047</v>
      </c>
      <c r="C1407" s="38" t="s">
        <v>3723</v>
      </c>
      <c r="D1407" s="38" t="n">
        <v>100</v>
      </c>
    </row>
    <row r="1408" customFormat="false" ht="15" hidden="false" customHeight="false" outlineLevel="0" collapsed="false">
      <c r="A1408" s="28" t="n">
        <v>1407</v>
      </c>
      <c r="B1408" s="37" t="s">
        <v>2049</v>
      </c>
      <c r="C1408" s="38" t="s">
        <v>3724</v>
      </c>
      <c r="D1408" s="38" t="n">
        <v>93</v>
      </c>
    </row>
    <row r="1409" customFormat="false" ht="15" hidden="false" customHeight="false" outlineLevel="0" collapsed="false">
      <c r="A1409" s="28" t="n">
        <v>1408</v>
      </c>
      <c r="B1409" s="37" t="s">
        <v>2050</v>
      </c>
      <c r="C1409" s="38" t="s">
        <v>3725</v>
      </c>
      <c r="D1409" s="38" t="n">
        <v>103</v>
      </c>
    </row>
    <row r="1410" customFormat="false" ht="15" hidden="false" customHeight="false" outlineLevel="0" collapsed="false">
      <c r="A1410" s="28" t="n">
        <v>1409</v>
      </c>
      <c r="B1410" s="37" t="s">
        <v>2052</v>
      </c>
      <c r="C1410" s="38" t="s">
        <v>3726</v>
      </c>
      <c r="D1410" s="38" t="n">
        <v>95</v>
      </c>
    </row>
    <row r="1411" customFormat="false" ht="15" hidden="false" customHeight="false" outlineLevel="0" collapsed="false">
      <c r="A1411" s="28" t="n">
        <v>1410</v>
      </c>
      <c r="B1411" s="37" t="s">
        <v>2053</v>
      </c>
      <c r="C1411" s="38" t="s">
        <v>3727</v>
      </c>
      <c r="D1411" s="38" t="n">
        <v>100</v>
      </c>
    </row>
    <row r="1412" customFormat="false" ht="15" hidden="false" customHeight="false" outlineLevel="0" collapsed="false">
      <c r="A1412" s="28" t="n">
        <v>1411</v>
      </c>
      <c r="B1412" s="37" t="s">
        <v>2054</v>
      </c>
      <c r="C1412" s="38" t="s">
        <v>2888</v>
      </c>
      <c r="D1412" s="38" t="n">
        <v>104</v>
      </c>
    </row>
    <row r="1413" customFormat="false" ht="15" hidden="false" customHeight="false" outlineLevel="0" collapsed="false">
      <c r="A1413" s="28" t="n">
        <v>1412</v>
      </c>
      <c r="B1413" s="37" t="s">
        <v>2055</v>
      </c>
      <c r="C1413" s="38" t="s">
        <v>3728</v>
      </c>
      <c r="D1413" s="38" t="n">
        <v>106</v>
      </c>
    </row>
    <row r="1414" customFormat="false" ht="15" hidden="false" customHeight="false" outlineLevel="0" collapsed="false">
      <c r="A1414" s="28" t="n">
        <v>1413</v>
      </c>
      <c r="B1414" s="37" t="s">
        <v>2056</v>
      </c>
      <c r="C1414" s="38" t="s">
        <v>2623</v>
      </c>
      <c r="D1414" s="38" t="n">
        <v>94</v>
      </c>
    </row>
    <row r="1415" customFormat="false" ht="15" hidden="false" customHeight="false" outlineLevel="0" collapsed="false">
      <c r="A1415" s="28" t="n">
        <v>1414</v>
      </c>
      <c r="B1415" s="37" t="s">
        <v>2057</v>
      </c>
      <c r="C1415" s="38" t="s">
        <v>3729</v>
      </c>
      <c r="D1415" s="38" t="n">
        <v>97</v>
      </c>
    </row>
    <row r="1416" customFormat="false" ht="15" hidden="false" customHeight="false" outlineLevel="0" collapsed="false">
      <c r="A1416" s="28" t="n">
        <v>1415</v>
      </c>
      <c r="B1416" s="37" t="s">
        <v>2058</v>
      </c>
      <c r="C1416" s="38" t="s">
        <v>3730</v>
      </c>
      <c r="D1416" s="38" t="n">
        <v>106</v>
      </c>
    </row>
    <row r="1417" customFormat="false" ht="15" hidden="false" customHeight="false" outlineLevel="0" collapsed="false">
      <c r="A1417" s="28" t="n">
        <v>1416</v>
      </c>
      <c r="B1417" s="37" t="s">
        <v>2059</v>
      </c>
      <c r="C1417" s="38" t="s">
        <v>3688</v>
      </c>
      <c r="D1417" s="38" t="n">
        <v>90</v>
      </c>
    </row>
    <row r="1418" customFormat="false" ht="15" hidden="false" customHeight="false" outlineLevel="0" collapsed="false">
      <c r="A1418" s="28" t="n">
        <v>1417</v>
      </c>
      <c r="B1418" s="37" t="s">
        <v>2060</v>
      </c>
      <c r="C1418" s="38" t="s">
        <v>3731</v>
      </c>
      <c r="D1418" s="38" t="n">
        <v>88</v>
      </c>
    </row>
    <row r="1419" customFormat="false" ht="15" hidden="false" customHeight="false" outlineLevel="0" collapsed="false">
      <c r="A1419" s="28" t="n">
        <v>1418</v>
      </c>
      <c r="B1419" s="37" t="s">
        <v>2061</v>
      </c>
      <c r="C1419" s="38" t="s">
        <v>3732</v>
      </c>
      <c r="D1419" s="38" t="n">
        <v>94</v>
      </c>
    </row>
    <row r="1420" customFormat="false" ht="15" hidden="false" customHeight="false" outlineLevel="0" collapsed="false">
      <c r="A1420" s="28" t="n">
        <v>1419</v>
      </c>
      <c r="B1420" s="37" t="s">
        <v>2062</v>
      </c>
      <c r="C1420" s="38" t="s">
        <v>3733</v>
      </c>
      <c r="D1420" s="38" t="n">
        <v>99</v>
      </c>
    </row>
    <row r="1421" customFormat="false" ht="15" hidden="false" customHeight="false" outlineLevel="0" collapsed="false">
      <c r="A1421" s="28" t="n">
        <v>1420</v>
      </c>
      <c r="B1421" s="37" t="s">
        <v>2063</v>
      </c>
      <c r="C1421" s="38" t="s">
        <v>3734</v>
      </c>
      <c r="D1421" s="38" t="n">
        <v>102</v>
      </c>
    </row>
    <row r="1422" customFormat="false" ht="15" hidden="false" customHeight="false" outlineLevel="0" collapsed="false">
      <c r="A1422" s="28" t="n">
        <v>1421</v>
      </c>
      <c r="B1422" s="37" t="s">
        <v>2064</v>
      </c>
      <c r="C1422" s="38" t="s">
        <v>3735</v>
      </c>
      <c r="D1422" s="38" t="n">
        <v>100</v>
      </c>
    </row>
    <row r="1423" customFormat="false" ht="15" hidden="false" customHeight="false" outlineLevel="0" collapsed="false">
      <c r="A1423" s="28" t="n">
        <v>1422</v>
      </c>
      <c r="B1423" s="37" t="s">
        <v>2065</v>
      </c>
      <c r="C1423" s="38" t="s">
        <v>3736</v>
      </c>
      <c r="D1423" s="38" t="n">
        <v>98</v>
      </c>
    </row>
    <row r="1424" customFormat="false" ht="15" hidden="false" customHeight="false" outlineLevel="0" collapsed="false">
      <c r="A1424" s="28" t="n">
        <v>1423</v>
      </c>
      <c r="B1424" s="37" t="s">
        <v>2066</v>
      </c>
      <c r="C1424" s="38" t="s">
        <v>3737</v>
      </c>
      <c r="D1424" s="38" t="n">
        <v>99</v>
      </c>
    </row>
    <row r="1425" customFormat="false" ht="15" hidden="false" customHeight="false" outlineLevel="0" collapsed="false">
      <c r="A1425" s="28" t="n">
        <v>1424</v>
      </c>
      <c r="B1425" s="37" t="s">
        <v>2067</v>
      </c>
      <c r="C1425" s="38" t="s">
        <v>2979</v>
      </c>
      <c r="D1425" s="38" t="n">
        <v>98</v>
      </c>
    </row>
    <row r="1426" customFormat="false" ht="15" hidden="false" customHeight="false" outlineLevel="0" collapsed="false">
      <c r="A1426" s="28" t="n">
        <v>1425</v>
      </c>
      <c r="B1426" s="37" t="s">
        <v>2068</v>
      </c>
      <c r="C1426" s="38" t="s">
        <v>3738</v>
      </c>
      <c r="D1426" s="38" t="n">
        <v>102</v>
      </c>
    </row>
    <row r="1427" customFormat="false" ht="15" hidden="false" customHeight="false" outlineLevel="0" collapsed="false">
      <c r="A1427" s="28" t="n">
        <v>1426</v>
      </c>
      <c r="B1427" s="37" t="s">
        <v>2069</v>
      </c>
      <c r="C1427" s="38" t="s">
        <v>3739</v>
      </c>
      <c r="D1427" s="38" t="n">
        <v>112</v>
      </c>
    </row>
    <row r="1428" customFormat="false" ht="15" hidden="false" customHeight="false" outlineLevel="0" collapsed="false">
      <c r="A1428" s="28" t="n">
        <v>1427</v>
      </c>
      <c r="B1428" s="37" t="s">
        <v>2070</v>
      </c>
      <c r="C1428" s="38" t="s">
        <v>2759</v>
      </c>
      <c r="D1428" s="38" t="n">
        <v>74</v>
      </c>
    </row>
    <row r="1429" customFormat="false" ht="15" hidden="false" customHeight="false" outlineLevel="0" collapsed="false">
      <c r="A1429" s="28" t="n">
        <v>1428</v>
      </c>
      <c r="B1429" s="37" t="s">
        <v>2071</v>
      </c>
      <c r="C1429" s="38" t="s">
        <v>3492</v>
      </c>
      <c r="D1429" s="38" t="n">
        <v>92</v>
      </c>
    </row>
    <row r="1430" customFormat="false" ht="15" hidden="false" customHeight="false" outlineLevel="0" collapsed="false">
      <c r="A1430" s="28" t="n">
        <v>1429</v>
      </c>
      <c r="B1430" s="37" t="s">
        <v>2072</v>
      </c>
      <c r="C1430" s="38" t="s">
        <v>3740</v>
      </c>
      <c r="D1430" s="38" t="n">
        <v>96</v>
      </c>
    </row>
    <row r="1431" customFormat="false" ht="15" hidden="false" customHeight="false" outlineLevel="0" collapsed="false">
      <c r="A1431" s="28" t="n">
        <v>1430</v>
      </c>
      <c r="B1431" s="37" t="s">
        <v>2074</v>
      </c>
      <c r="C1431" s="38" t="s">
        <v>3741</v>
      </c>
      <c r="D1431" s="38" t="n">
        <v>105</v>
      </c>
    </row>
    <row r="1432" customFormat="false" ht="15" hidden="false" customHeight="false" outlineLevel="0" collapsed="false">
      <c r="A1432" s="28" t="n">
        <v>1431</v>
      </c>
      <c r="B1432" s="37" t="s">
        <v>2076</v>
      </c>
      <c r="C1432" s="38" t="s">
        <v>3742</v>
      </c>
      <c r="D1432" s="38" t="n">
        <v>97</v>
      </c>
    </row>
    <row r="1433" customFormat="false" ht="15" hidden="false" customHeight="false" outlineLevel="0" collapsed="false">
      <c r="A1433" s="28" t="n">
        <v>1432</v>
      </c>
      <c r="B1433" s="37" t="s">
        <v>2078</v>
      </c>
      <c r="C1433" s="38" t="s">
        <v>3743</v>
      </c>
      <c r="D1433" s="38" t="n">
        <v>106</v>
      </c>
    </row>
    <row r="1434" customFormat="false" ht="15" hidden="false" customHeight="false" outlineLevel="0" collapsed="false">
      <c r="A1434" s="28" t="n">
        <v>1433</v>
      </c>
      <c r="B1434" s="37" t="s">
        <v>2079</v>
      </c>
      <c r="C1434" s="38" t="s">
        <v>3030</v>
      </c>
      <c r="D1434" s="38" t="n">
        <v>97</v>
      </c>
    </row>
    <row r="1435" customFormat="false" ht="15" hidden="false" customHeight="false" outlineLevel="0" collapsed="false">
      <c r="A1435" s="28" t="n">
        <v>1434</v>
      </c>
      <c r="B1435" s="37" t="s">
        <v>2080</v>
      </c>
      <c r="C1435" s="38" t="s">
        <v>3744</v>
      </c>
      <c r="D1435" s="38" t="n">
        <v>106</v>
      </c>
    </row>
    <row r="1436" customFormat="false" ht="15" hidden="false" customHeight="false" outlineLevel="0" collapsed="false">
      <c r="A1436" s="28" t="n">
        <v>1435</v>
      </c>
      <c r="B1436" s="37" t="s">
        <v>2081</v>
      </c>
      <c r="C1436" s="38" t="s">
        <v>3745</v>
      </c>
      <c r="D1436" s="38" t="n">
        <v>94</v>
      </c>
    </row>
    <row r="1437" customFormat="false" ht="15" hidden="false" customHeight="false" outlineLevel="0" collapsed="false">
      <c r="A1437" s="28" t="n">
        <v>1436</v>
      </c>
      <c r="B1437" s="37" t="s">
        <v>2082</v>
      </c>
      <c r="C1437" s="38" t="s">
        <v>3746</v>
      </c>
      <c r="D1437" s="38" t="n">
        <v>106</v>
      </c>
    </row>
    <row r="1438" customFormat="false" ht="15" hidden="false" customHeight="false" outlineLevel="0" collapsed="false">
      <c r="A1438" s="28" t="n">
        <v>1437</v>
      </c>
      <c r="B1438" s="37" t="s">
        <v>2083</v>
      </c>
      <c r="C1438" s="38" t="s">
        <v>3747</v>
      </c>
      <c r="D1438" s="38" t="n">
        <v>100</v>
      </c>
    </row>
    <row r="1439" customFormat="false" ht="15" hidden="false" customHeight="false" outlineLevel="0" collapsed="false">
      <c r="A1439" s="28" t="n">
        <v>1438</v>
      </c>
      <c r="B1439" s="37" t="s">
        <v>2084</v>
      </c>
      <c r="C1439" s="38" t="s">
        <v>3236</v>
      </c>
      <c r="D1439" s="38" t="n">
        <v>106</v>
      </c>
    </row>
    <row r="1440" customFormat="false" ht="15" hidden="false" customHeight="false" outlineLevel="0" collapsed="false">
      <c r="A1440" s="28" t="n">
        <v>1439</v>
      </c>
      <c r="B1440" s="37" t="s">
        <v>2085</v>
      </c>
      <c r="C1440" s="38" t="s">
        <v>3748</v>
      </c>
      <c r="D1440" s="38" t="n">
        <v>94</v>
      </c>
    </row>
    <row r="1441" customFormat="false" ht="15" hidden="false" customHeight="false" outlineLevel="0" collapsed="false">
      <c r="A1441" s="28" t="n">
        <v>1440</v>
      </c>
      <c r="B1441" s="37" t="s">
        <v>2088</v>
      </c>
      <c r="C1441" s="38" t="s">
        <v>3431</v>
      </c>
      <c r="D1441" s="38" t="n">
        <v>102</v>
      </c>
    </row>
    <row r="1442" customFormat="false" ht="15" hidden="false" customHeight="false" outlineLevel="0" collapsed="false">
      <c r="A1442" s="28" t="n">
        <v>1441</v>
      </c>
      <c r="B1442" s="37" t="s">
        <v>2089</v>
      </c>
      <c r="C1442" s="38" t="s">
        <v>3749</v>
      </c>
      <c r="D1442" s="38" t="n">
        <v>99</v>
      </c>
    </row>
    <row r="1443" customFormat="false" ht="15" hidden="false" customHeight="false" outlineLevel="0" collapsed="false">
      <c r="A1443" s="28" t="n">
        <v>1442</v>
      </c>
      <c r="B1443" s="37" t="s">
        <v>2090</v>
      </c>
      <c r="C1443" s="38" t="s">
        <v>3463</v>
      </c>
      <c r="D1443" s="38" t="n">
        <v>95</v>
      </c>
    </row>
    <row r="1444" customFormat="false" ht="15" hidden="false" customHeight="false" outlineLevel="0" collapsed="false">
      <c r="A1444" s="28" t="n">
        <v>1443</v>
      </c>
      <c r="B1444" s="37" t="s">
        <v>2091</v>
      </c>
      <c r="C1444" s="38" t="s">
        <v>3353</v>
      </c>
      <c r="D1444" s="38" t="n">
        <v>99</v>
      </c>
    </row>
    <row r="1445" customFormat="false" ht="15" hidden="false" customHeight="false" outlineLevel="0" collapsed="false">
      <c r="A1445" s="28" t="n">
        <v>1444</v>
      </c>
      <c r="B1445" s="37" t="s">
        <v>2092</v>
      </c>
      <c r="C1445" s="38" t="s">
        <v>3750</v>
      </c>
      <c r="D1445" s="38" t="n">
        <v>97</v>
      </c>
    </row>
    <row r="1446" customFormat="false" ht="15" hidden="false" customHeight="false" outlineLevel="0" collapsed="false">
      <c r="A1446" s="28" t="n">
        <v>1445</v>
      </c>
      <c r="B1446" s="37" t="s">
        <v>2093</v>
      </c>
      <c r="C1446" s="38" t="s">
        <v>3751</v>
      </c>
      <c r="D1446" s="38" t="n">
        <v>103</v>
      </c>
    </row>
    <row r="1447" customFormat="false" ht="15" hidden="false" customHeight="false" outlineLevel="0" collapsed="false">
      <c r="A1447" s="28" t="n">
        <v>1446</v>
      </c>
      <c r="B1447" s="37" t="s">
        <v>2094</v>
      </c>
      <c r="C1447" s="38" t="s">
        <v>3752</v>
      </c>
      <c r="D1447" s="38" t="n">
        <v>101</v>
      </c>
    </row>
    <row r="1448" customFormat="false" ht="15" hidden="false" customHeight="false" outlineLevel="0" collapsed="false">
      <c r="A1448" s="28" t="n">
        <v>1447</v>
      </c>
      <c r="B1448" s="37" t="s">
        <v>2095</v>
      </c>
      <c r="C1448" s="38" t="s">
        <v>3753</v>
      </c>
      <c r="D1448" s="38" t="n">
        <v>97</v>
      </c>
    </row>
    <row r="1449" customFormat="false" ht="15" hidden="false" customHeight="false" outlineLevel="0" collapsed="false">
      <c r="A1449" s="28" t="n">
        <v>1448</v>
      </c>
      <c r="B1449" s="37" t="s">
        <v>2096</v>
      </c>
      <c r="C1449" s="38" t="s">
        <v>3754</v>
      </c>
      <c r="D1449" s="38" t="n">
        <v>103</v>
      </c>
    </row>
    <row r="1450" customFormat="false" ht="15" hidden="false" customHeight="false" outlineLevel="0" collapsed="false">
      <c r="A1450" s="28" t="n">
        <v>1449</v>
      </c>
      <c r="B1450" s="37" t="s">
        <v>2097</v>
      </c>
      <c r="C1450" s="38" t="s">
        <v>3424</v>
      </c>
      <c r="D1450" s="38" t="n">
        <v>97</v>
      </c>
    </row>
    <row r="1451" customFormat="false" ht="15" hidden="false" customHeight="false" outlineLevel="0" collapsed="false">
      <c r="A1451" s="28" t="n">
        <v>1450</v>
      </c>
      <c r="B1451" s="37" t="s">
        <v>2098</v>
      </c>
      <c r="C1451" s="38" t="s">
        <v>3755</v>
      </c>
      <c r="D1451" s="38" t="n">
        <v>95</v>
      </c>
    </row>
    <row r="1452" customFormat="false" ht="15" hidden="false" customHeight="false" outlineLevel="0" collapsed="false">
      <c r="A1452" s="28" t="n">
        <v>1451</v>
      </c>
      <c r="B1452" s="37" t="s">
        <v>2099</v>
      </c>
      <c r="C1452" s="38" t="s">
        <v>3376</v>
      </c>
      <c r="D1452" s="38" t="n">
        <v>97</v>
      </c>
    </row>
    <row r="1453" customFormat="false" ht="15" hidden="false" customHeight="false" outlineLevel="0" collapsed="false">
      <c r="A1453" s="28" t="n">
        <v>1452</v>
      </c>
      <c r="B1453" s="37" t="s">
        <v>2100</v>
      </c>
      <c r="C1453" s="38" t="s">
        <v>3756</v>
      </c>
      <c r="D1453" s="38" t="n">
        <v>109</v>
      </c>
    </row>
    <row r="1454" customFormat="false" ht="15" hidden="false" customHeight="false" outlineLevel="0" collapsed="false">
      <c r="A1454" s="28" t="n">
        <v>1453</v>
      </c>
      <c r="B1454" s="37" t="s">
        <v>2101</v>
      </c>
      <c r="C1454" s="38" t="s">
        <v>3757</v>
      </c>
      <c r="D1454" s="38" t="n">
        <v>109</v>
      </c>
    </row>
    <row r="1455" customFormat="false" ht="15" hidden="false" customHeight="false" outlineLevel="0" collapsed="false">
      <c r="A1455" s="28" t="n">
        <v>1454</v>
      </c>
      <c r="B1455" s="37" t="s">
        <v>2102</v>
      </c>
      <c r="C1455" s="38" t="s">
        <v>3758</v>
      </c>
      <c r="D1455" s="38" t="n">
        <v>98</v>
      </c>
    </row>
    <row r="1456" customFormat="false" ht="15" hidden="false" customHeight="false" outlineLevel="0" collapsed="false">
      <c r="A1456" s="28" t="n">
        <v>1455</v>
      </c>
      <c r="B1456" s="37" t="s">
        <v>2104</v>
      </c>
      <c r="C1456" s="38" t="s">
        <v>3759</v>
      </c>
      <c r="D1456" s="38" t="n">
        <v>97</v>
      </c>
    </row>
    <row r="1457" customFormat="false" ht="15" hidden="false" customHeight="false" outlineLevel="0" collapsed="false">
      <c r="A1457" s="28" t="n">
        <v>1456</v>
      </c>
      <c r="B1457" s="37" t="s">
        <v>2106</v>
      </c>
      <c r="C1457" s="38" t="s">
        <v>3760</v>
      </c>
      <c r="D1457" s="38" t="n">
        <v>106</v>
      </c>
    </row>
    <row r="1458" customFormat="false" ht="15" hidden="false" customHeight="false" outlineLevel="0" collapsed="false">
      <c r="A1458" s="28" t="n">
        <v>1457</v>
      </c>
      <c r="B1458" s="37" t="s">
        <v>2107</v>
      </c>
      <c r="C1458" s="38" t="s">
        <v>3761</v>
      </c>
      <c r="D1458" s="38" t="n">
        <v>100</v>
      </c>
    </row>
    <row r="1459" customFormat="false" ht="15" hidden="false" customHeight="false" outlineLevel="0" collapsed="false">
      <c r="A1459" s="28" t="n">
        <v>1458</v>
      </c>
      <c r="B1459" s="37" t="s">
        <v>2108</v>
      </c>
      <c r="C1459" s="38" t="s">
        <v>2618</v>
      </c>
      <c r="D1459" s="38" t="n">
        <v>89</v>
      </c>
    </row>
    <row r="1460" customFormat="false" ht="15" hidden="false" customHeight="false" outlineLevel="0" collapsed="false">
      <c r="A1460" s="28" t="n">
        <v>1459</v>
      </c>
      <c r="B1460" s="37" t="s">
        <v>2109</v>
      </c>
      <c r="C1460" s="38" t="s">
        <v>3762</v>
      </c>
      <c r="D1460" s="38" t="n">
        <v>94</v>
      </c>
    </row>
    <row r="1461" customFormat="false" ht="15" hidden="false" customHeight="false" outlineLevel="0" collapsed="false">
      <c r="A1461" s="28" t="n">
        <v>1460</v>
      </c>
      <c r="B1461" s="37" t="s">
        <v>2110</v>
      </c>
      <c r="C1461" s="38" t="s">
        <v>3763</v>
      </c>
      <c r="D1461" s="38" t="n">
        <v>94</v>
      </c>
    </row>
    <row r="1462" customFormat="false" ht="15" hidden="false" customHeight="false" outlineLevel="0" collapsed="false">
      <c r="A1462" s="28" t="n">
        <v>1461</v>
      </c>
      <c r="B1462" s="37" t="s">
        <v>2111</v>
      </c>
      <c r="C1462" s="38" t="s">
        <v>3764</v>
      </c>
      <c r="D1462" s="38" t="n">
        <v>97</v>
      </c>
    </row>
    <row r="1463" customFormat="false" ht="15" hidden="false" customHeight="false" outlineLevel="0" collapsed="false">
      <c r="A1463" s="28" t="n">
        <v>1462</v>
      </c>
      <c r="B1463" s="37" t="s">
        <v>2112</v>
      </c>
      <c r="C1463" s="38" t="s">
        <v>3765</v>
      </c>
      <c r="D1463" s="38" t="n">
        <v>105</v>
      </c>
    </row>
    <row r="1464" customFormat="false" ht="15" hidden="false" customHeight="false" outlineLevel="0" collapsed="false">
      <c r="A1464" s="28" t="n">
        <v>1463</v>
      </c>
      <c r="B1464" s="37" t="s">
        <v>2113</v>
      </c>
      <c r="C1464" s="38" t="s">
        <v>3766</v>
      </c>
      <c r="D1464" s="38" t="n">
        <v>101</v>
      </c>
    </row>
    <row r="1465" customFormat="false" ht="15" hidden="false" customHeight="false" outlineLevel="0" collapsed="false">
      <c r="A1465" s="28" t="n">
        <v>1464</v>
      </c>
      <c r="B1465" s="37" t="s">
        <v>2114</v>
      </c>
      <c r="C1465" s="38" t="s">
        <v>3767</v>
      </c>
      <c r="D1465" s="38" t="n">
        <v>102</v>
      </c>
    </row>
    <row r="1466" customFormat="false" ht="15" hidden="false" customHeight="false" outlineLevel="0" collapsed="false">
      <c r="A1466" s="28" t="n">
        <v>1465</v>
      </c>
      <c r="B1466" s="37" t="s">
        <v>3768</v>
      </c>
      <c r="C1466" s="38" t="s">
        <v>3172</v>
      </c>
      <c r="D1466" s="38" t="n">
        <v>83</v>
      </c>
    </row>
    <row r="1467" customFormat="false" ht="15" hidden="false" customHeight="false" outlineLevel="0" collapsed="false">
      <c r="A1467" s="28" t="n">
        <v>1466</v>
      </c>
      <c r="B1467" s="37" t="s">
        <v>2116</v>
      </c>
      <c r="C1467" s="38" t="s">
        <v>3359</v>
      </c>
      <c r="D1467" s="38" t="n">
        <v>99</v>
      </c>
    </row>
    <row r="1468" customFormat="false" ht="15" hidden="false" customHeight="false" outlineLevel="0" collapsed="false">
      <c r="A1468" s="28" t="n">
        <v>1467</v>
      </c>
      <c r="B1468" s="37" t="s">
        <v>2117</v>
      </c>
      <c r="C1468" s="38" t="s">
        <v>3308</v>
      </c>
      <c r="D1468" s="38" t="n">
        <v>97</v>
      </c>
    </row>
    <row r="1469" customFormat="false" ht="15" hidden="false" customHeight="false" outlineLevel="0" collapsed="false">
      <c r="A1469" s="28" t="n">
        <v>1468</v>
      </c>
      <c r="B1469" s="37" t="s">
        <v>2118</v>
      </c>
      <c r="C1469" s="38" t="s">
        <v>3769</v>
      </c>
      <c r="D1469" s="38" t="n">
        <v>108</v>
      </c>
    </row>
    <row r="1470" customFormat="false" ht="15" hidden="false" customHeight="false" outlineLevel="0" collapsed="false">
      <c r="A1470" s="28" t="n">
        <v>1469</v>
      </c>
      <c r="B1470" s="37" t="s">
        <v>2120</v>
      </c>
      <c r="C1470" s="38" t="s">
        <v>3770</v>
      </c>
      <c r="D1470" s="38" t="n">
        <v>99</v>
      </c>
    </row>
    <row r="1471" customFormat="false" ht="15" hidden="false" customHeight="false" outlineLevel="0" collapsed="false">
      <c r="A1471" s="28" t="n">
        <v>1470</v>
      </c>
      <c r="B1471" s="37" t="s">
        <v>2121</v>
      </c>
      <c r="C1471" s="38" t="s">
        <v>3771</v>
      </c>
      <c r="D1471" s="38" t="n">
        <v>102</v>
      </c>
    </row>
    <row r="1472" customFormat="false" ht="15" hidden="false" customHeight="false" outlineLevel="0" collapsed="false">
      <c r="A1472" s="28" t="n">
        <v>1471</v>
      </c>
      <c r="B1472" s="37" t="s">
        <v>2122</v>
      </c>
      <c r="C1472" s="38" t="s">
        <v>3772</v>
      </c>
      <c r="D1472" s="38" t="n">
        <v>103</v>
      </c>
    </row>
    <row r="1473" customFormat="false" ht="15" hidden="false" customHeight="false" outlineLevel="0" collapsed="false">
      <c r="A1473" s="28" t="n">
        <v>1472</v>
      </c>
      <c r="B1473" s="37" t="s">
        <v>2123</v>
      </c>
      <c r="C1473" s="38" t="s">
        <v>3773</v>
      </c>
      <c r="D1473" s="38" t="n">
        <v>97</v>
      </c>
    </row>
    <row r="1474" customFormat="false" ht="15" hidden="false" customHeight="false" outlineLevel="0" collapsed="false">
      <c r="A1474" s="28" t="n">
        <v>1473</v>
      </c>
      <c r="B1474" s="37" t="s">
        <v>2125</v>
      </c>
      <c r="C1474" s="38" t="s">
        <v>3770</v>
      </c>
      <c r="D1474" s="38" t="n">
        <v>99</v>
      </c>
    </row>
    <row r="1475" customFormat="false" ht="15" hidden="false" customHeight="false" outlineLevel="0" collapsed="false">
      <c r="A1475" s="28" t="n">
        <v>1474</v>
      </c>
      <c r="B1475" s="37" t="s">
        <v>2128</v>
      </c>
      <c r="C1475" s="38" t="s">
        <v>3774</v>
      </c>
      <c r="D1475" s="38" t="n">
        <v>99</v>
      </c>
    </row>
    <row r="1476" customFormat="false" ht="15" hidden="false" customHeight="false" outlineLevel="0" collapsed="false">
      <c r="A1476" s="28" t="n">
        <v>1475</v>
      </c>
      <c r="B1476" s="37" t="s">
        <v>2129</v>
      </c>
      <c r="C1476" s="38" t="s">
        <v>3775</v>
      </c>
      <c r="D1476" s="38" t="n">
        <v>97</v>
      </c>
    </row>
    <row r="1477" customFormat="false" ht="15" hidden="false" customHeight="false" outlineLevel="0" collapsed="false">
      <c r="A1477" s="28" t="n">
        <v>1476</v>
      </c>
      <c r="B1477" s="37" t="s">
        <v>2130</v>
      </c>
      <c r="C1477" s="38" t="s">
        <v>3776</v>
      </c>
      <c r="D1477" s="38" t="n">
        <v>100</v>
      </c>
    </row>
    <row r="1478" customFormat="false" ht="15" hidden="false" customHeight="false" outlineLevel="0" collapsed="false">
      <c r="A1478" s="28" t="n">
        <v>1477</v>
      </c>
      <c r="B1478" s="37" t="s">
        <v>2131</v>
      </c>
      <c r="C1478" s="38" t="s">
        <v>3023</v>
      </c>
      <c r="D1478" s="38" t="n">
        <v>92</v>
      </c>
    </row>
    <row r="1479" customFormat="false" ht="15" hidden="false" customHeight="false" outlineLevel="0" collapsed="false">
      <c r="A1479" s="28" t="n">
        <v>1478</v>
      </c>
      <c r="B1479" s="37" t="s">
        <v>2133</v>
      </c>
      <c r="C1479" s="38" t="s">
        <v>3777</v>
      </c>
      <c r="D1479" s="38" t="n">
        <v>108</v>
      </c>
    </row>
    <row r="1480" customFormat="false" ht="15" hidden="false" customHeight="false" outlineLevel="0" collapsed="false">
      <c r="A1480" s="28" t="n">
        <v>1479</v>
      </c>
      <c r="B1480" s="37" t="s">
        <v>2134</v>
      </c>
      <c r="C1480" s="38" t="s">
        <v>3778</v>
      </c>
      <c r="D1480" s="38" t="n">
        <v>73</v>
      </c>
    </row>
    <row r="1481" customFormat="false" ht="15" hidden="false" customHeight="false" outlineLevel="0" collapsed="false">
      <c r="A1481" s="28" t="n">
        <v>1480</v>
      </c>
      <c r="B1481" s="37" t="s">
        <v>2135</v>
      </c>
      <c r="C1481" s="38" t="s">
        <v>3779</v>
      </c>
      <c r="D1481" s="38" t="n">
        <v>100</v>
      </c>
    </row>
    <row r="1482" customFormat="false" ht="15" hidden="false" customHeight="false" outlineLevel="0" collapsed="false">
      <c r="A1482" s="28" t="n">
        <v>1481</v>
      </c>
      <c r="B1482" s="37" t="s">
        <v>2136</v>
      </c>
      <c r="C1482" s="38" t="s">
        <v>3780</v>
      </c>
      <c r="D1482" s="38" t="n">
        <v>106</v>
      </c>
    </row>
    <row r="1483" customFormat="false" ht="15" hidden="false" customHeight="false" outlineLevel="0" collapsed="false">
      <c r="A1483" s="28" t="n">
        <v>1482</v>
      </c>
      <c r="B1483" s="37" t="s">
        <v>2137</v>
      </c>
      <c r="C1483" s="38" t="s">
        <v>3781</v>
      </c>
      <c r="D1483" s="38" t="n">
        <v>107</v>
      </c>
    </row>
    <row r="1484" customFormat="false" ht="15" hidden="false" customHeight="false" outlineLevel="0" collapsed="false">
      <c r="A1484" s="28" t="n">
        <v>1483</v>
      </c>
      <c r="B1484" s="37" t="s">
        <v>2138</v>
      </c>
      <c r="C1484" s="38" t="s">
        <v>3782</v>
      </c>
      <c r="D1484" s="38" t="n">
        <v>101</v>
      </c>
    </row>
    <row r="1485" customFormat="false" ht="15" hidden="false" customHeight="false" outlineLevel="0" collapsed="false">
      <c r="A1485" s="28" t="n">
        <v>1484</v>
      </c>
      <c r="B1485" s="37" t="s">
        <v>2139</v>
      </c>
      <c r="C1485" s="38" t="s">
        <v>3783</v>
      </c>
      <c r="D1485" s="38" t="n">
        <v>105</v>
      </c>
    </row>
    <row r="1486" customFormat="false" ht="15" hidden="false" customHeight="false" outlineLevel="0" collapsed="false">
      <c r="A1486" s="28" t="n">
        <v>1485</v>
      </c>
      <c r="B1486" s="37" t="s">
        <v>2140</v>
      </c>
      <c r="C1486" s="38" t="s">
        <v>3012</v>
      </c>
      <c r="D1486" s="38" t="n">
        <v>100</v>
      </c>
    </row>
    <row r="1487" customFormat="false" ht="15" hidden="false" customHeight="false" outlineLevel="0" collapsed="false">
      <c r="A1487" s="28" t="n">
        <v>1486</v>
      </c>
      <c r="B1487" s="37" t="s">
        <v>2141</v>
      </c>
      <c r="C1487" s="38" t="s">
        <v>3784</v>
      </c>
      <c r="D1487" s="38" t="n">
        <v>103</v>
      </c>
    </row>
    <row r="1488" customFormat="false" ht="15" hidden="false" customHeight="false" outlineLevel="0" collapsed="false">
      <c r="A1488" s="28" t="n">
        <v>1487</v>
      </c>
      <c r="B1488" s="37" t="s">
        <v>2142</v>
      </c>
      <c r="C1488" s="38" t="s">
        <v>3785</v>
      </c>
      <c r="D1488" s="38" t="n">
        <v>114</v>
      </c>
    </row>
    <row r="1489" customFormat="false" ht="15" hidden="false" customHeight="false" outlineLevel="0" collapsed="false">
      <c r="A1489" s="28" t="n">
        <v>1488</v>
      </c>
      <c r="B1489" s="37" t="s">
        <v>2143</v>
      </c>
      <c r="C1489" s="38" t="s">
        <v>3786</v>
      </c>
      <c r="D1489" s="38" t="n">
        <v>94</v>
      </c>
    </row>
    <row r="1490" customFormat="false" ht="15" hidden="false" customHeight="false" outlineLevel="0" collapsed="false">
      <c r="A1490" s="28" t="n">
        <v>1489</v>
      </c>
      <c r="B1490" s="37" t="s">
        <v>2144</v>
      </c>
      <c r="C1490" s="38" t="s">
        <v>2625</v>
      </c>
      <c r="D1490" s="38" t="n">
        <v>87</v>
      </c>
    </row>
    <row r="1491" customFormat="false" ht="15" hidden="false" customHeight="false" outlineLevel="0" collapsed="false">
      <c r="A1491" s="28" t="n">
        <v>1490</v>
      </c>
      <c r="B1491" s="37" t="s">
        <v>2145</v>
      </c>
      <c r="C1491" s="38" t="s">
        <v>3787</v>
      </c>
      <c r="D1491" s="38" t="n">
        <v>95</v>
      </c>
    </row>
    <row r="1492" customFormat="false" ht="15" hidden="false" customHeight="false" outlineLevel="0" collapsed="false">
      <c r="A1492" s="28" t="n">
        <v>1491</v>
      </c>
      <c r="B1492" s="37" t="s">
        <v>2146</v>
      </c>
      <c r="C1492" s="38" t="s">
        <v>3788</v>
      </c>
      <c r="D1492" s="38" t="n">
        <v>92</v>
      </c>
    </row>
    <row r="1493" customFormat="false" ht="15" hidden="false" customHeight="false" outlineLevel="0" collapsed="false">
      <c r="A1493" s="28" t="n">
        <v>1492</v>
      </c>
      <c r="B1493" s="37" t="s">
        <v>2147</v>
      </c>
      <c r="C1493" s="38" t="s">
        <v>3789</v>
      </c>
      <c r="D1493" s="38" t="n">
        <v>108</v>
      </c>
    </row>
    <row r="1494" customFormat="false" ht="15" hidden="false" customHeight="false" outlineLevel="0" collapsed="false">
      <c r="A1494" s="28" t="n">
        <v>1493</v>
      </c>
      <c r="B1494" s="37" t="s">
        <v>2149</v>
      </c>
      <c r="C1494" s="38" t="s">
        <v>3223</v>
      </c>
      <c r="D1494" s="38" t="n">
        <v>102</v>
      </c>
    </row>
    <row r="1495" customFormat="false" ht="15" hidden="false" customHeight="false" outlineLevel="0" collapsed="false">
      <c r="A1495" s="28" t="n">
        <v>1494</v>
      </c>
      <c r="B1495" s="37" t="s">
        <v>2150</v>
      </c>
      <c r="C1495" s="38" t="s">
        <v>3790</v>
      </c>
      <c r="D1495" s="38" t="n">
        <v>100</v>
      </c>
    </row>
    <row r="1496" customFormat="false" ht="15" hidden="false" customHeight="false" outlineLevel="0" collapsed="false">
      <c r="A1496" s="28" t="n">
        <v>1495</v>
      </c>
      <c r="B1496" s="37" t="s">
        <v>2151</v>
      </c>
      <c r="C1496" s="38" t="s">
        <v>3791</v>
      </c>
      <c r="D1496" s="38" t="n">
        <v>104</v>
      </c>
    </row>
    <row r="1497" customFormat="false" ht="15" hidden="false" customHeight="false" outlineLevel="0" collapsed="false">
      <c r="A1497" s="28" t="n">
        <v>1496</v>
      </c>
      <c r="B1497" s="37" t="s">
        <v>2152</v>
      </c>
      <c r="C1497" s="38" t="s">
        <v>3792</v>
      </c>
      <c r="D1497" s="38" t="n">
        <v>101</v>
      </c>
    </row>
    <row r="1498" customFormat="false" ht="15" hidden="false" customHeight="false" outlineLevel="0" collapsed="false">
      <c r="A1498" s="28" t="n">
        <v>1497</v>
      </c>
      <c r="B1498" s="37" t="s">
        <v>2153</v>
      </c>
      <c r="C1498" s="38" t="s">
        <v>2608</v>
      </c>
      <c r="D1498" s="38" t="n">
        <v>95</v>
      </c>
    </row>
    <row r="1499" customFormat="false" ht="15" hidden="false" customHeight="false" outlineLevel="0" collapsed="false">
      <c r="A1499" s="28" t="n">
        <v>1498</v>
      </c>
      <c r="B1499" s="37" t="s">
        <v>2154</v>
      </c>
      <c r="C1499" s="38" t="s">
        <v>3793</v>
      </c>
      <c r="D1499" s="38" t="n">
        <v>97</v>
      </c>
    </row>
    <row r="1500" customFormat="false" ht="15" hidden="false" customHeight="false" outlineLevel="0" collapsed="false">
      <c r="A1500" s="28" t="n">
        <v>1499</v>
      </c>
      <c r="B1500" s="37" t="s">
        <v>2155</v>
      </c>
      <c r="C1500" s="38" t="s">
        <v>3794</v>
      </c>
      <c r="D1500" s="38" t="n">
        <v>95</v>
      </c>
    </row>
    <row r="1501" customFormat="false" ht="15" hidden="false" customHeight="false" outlineLevel="0" collapsed="false">
      <c r="A1501" s="28" t="n">
        <v>1500</v>
      </c>
      <c r="B1501" s="37" t="s">
        <v>2157</v>
      </c>
      <c r="C1501" s="38" t="s">
        <v>3795</v>
      </c>
      <c r="D1501" s="38" t="n">
        <v>97</v>
      </c>
    </row>
    <row r="1502" customFormat="false" ht="15" hidden="false" customHeight="false" outlineLevel="0" collapsed="false">
      <c r="A1502" s="28" t="n">
        <v>1501</v>
      </c>
      <c r="B1502" s="37" t="s">
        <v>2158</v>
      </c>
      <c r="C1502" s="38" t="s">
        <v>3680</v>
      </c>
      <c r="D1502" s="38" t="n">
        <v>93</v>
      </c>
    </row>
    <row r="1503" customFormat="false" ht="15" hidden="false" customHeight="false" outlineLevel="0" collapsed="false">
      <c r="A1503" s="28" t="n">
        <v>1502</v>
      </c>
      <c r="B1503" s="37" t="s">
        <v>2159</v>
      </c>
      <c r="C1503" s="38" t="s">
        <v>3796</v>
      </c>
      <c r="D1503" s="38" t="n">
        <v>98</v>
      </c>
    </row>
    <row r="1504" customFormat="false" ht="15" hidden="false" customHeight="false" outlineLevel="0" collapsed="false">
      <c r="A1504" s="28" t="n">
        <v>1503</v>
      </c>
      <c r="B1504" s="37" t="s">
        <v>2160</v>
      </c>
      <c r="C1504" s="38" t="s">
        <v>3797</v>
      </c>
      <c r="D1504" s="38" t="n">
        <v>99</v>
      </c>
    </row>
    <row r="1505" customFormat="false" ht="15" hidden="false" customHeight="false" outlineLevel="0" collapsed="false">
      <c r="A1505" s="28" t="n">
        <v>1504</v>
      </c>
      <c r="B1505" s="37" t="s">
        <v>2161</v>
      </c>
      <c r="C1505" s="38" t="s">
        <v>2867</v>
      </c>
      <c r="D1505" s="38" t="n">
        <v>96</v>
      </c>
    </row>
    <row r="1506" customFormat="false" ht="15" hidden="false" customHeight="false" outlineLevel="0" collapsed="false">
      <c r="A1506" s="28" t="n">
        <v>1505</v>
      </c>
      <c r="B1506" s="37" t="s">
        <v>2162</v>
      </c>
      <c r="C1506" s="38" t="s">
        <v>3798</v>
      </c>
      <c r="D1506" s="38" t="n">
        <v>90</v>
      </c>
    </row>
    <row r="1507" customFormat="false" ht="15" hidden="false" customHeight="false" outlineLevel="0" collapsed="false">
      <c r="A1507" s="28" t="n">
        <v>1506</v>
      </c>
      <c r="B1507" s="37" t="s">
        <v>2163</v>
      </c>
      <c r="C1507" s="38" t="s">
        <v>3799</v>
      </c>
      <c r="D1507" s="38" t="n">
        <v>109</v>
      </c>
    </row>
    <row r="1508" customFormat="false" ht="15" hidden="false" customHeight="false" outlineLevel="0" collapsed="false">
      <c r="A1508" s="28" t="n">
        <v>1507</v>
      </c>
      <c r="B1508" s="37" t="s">
        <v>2164</v>
      </c>
      <c r="C1508" s="38" t="s">
        <v>3800</v>
      </c>
      <c r="D1508" s="38" t="n">
        <v>104</v>
      </c>
    </row>
    <row r="1509" customFormat="false" ht="15" hidden="false" customHeight="false" outlineLevel="0" collapsed="false">
      <c r="A1509" s="28" t="n">
        <v>1508</v>
      </c>
      <c r="B1509" s="37" t="s">
        <v>2165</v>
      </c>
      <c r="C1509" s="38" t="s">
        <v>3801</v>
      </c>
      <c r="D1509" s="38" t="n">
        <v>107</v>
      </c>
    </row>
    <row r="1510" customFormat="false" ht="15" hidden="false" customHeight="false" outlineLevel="0" collapsed="false">
      <c r="A1510" s="28" t="n">
        <v>1509</v>
      </c>
      <c r="B1510" s="37" t="s">
        <v>2167</v>
      </c>
      <c r="C1510" s="38" t="s">
        <v>3802</v>
      </c>
      <c r="D1510" s="38" t="n">
        <v>95</v>
      </c>
    </row>
    <row r="1511" customFormat="false" ht="15" hidden="false" customHeight="false" outlineLevel="0" collapsed="false">
      <c r="A1511" s="28" t="n">
        <v>1510</v>
      </c>
      <c r="B1511" s="37" t="s">
        <v>2168</v>
      </c>
      <c r="C1511" s="38" t="s">
        <v>3239</v>
      </c>
      <c r="D1511" s="38" t="n">
        <v>102</v>
      </c>
    </row>
    <row r="1512" customFormat="false" ht="15" hidden="false" customHeight="false" outlineLevel="0" collapsed="false">
      <c r="A1512" s="28" t="n">
        <v>1511</v>
      </c>
      <c r="B1512" s="37" t="s">
        <v>2170</v>
      </c>
      <c r="C1512" s="38" t="s">
        <v>3731</v>
      </c>
      <c r="D1512" s="38" t="n">
        <v>88</v>
      </c>
    </row>
    <row r="1513" customFormat="false" ht="15" hidden="false" customHeight="false" outlineLevel="0" collapsed="false">
      <c r="A1513" s="28" t="n">
        <v>1512</v>
      </c>
      <c r="B1513" s="37" t="s">
        <v>2171</v>
      </c>
      <c r="C1513" s="38" t="s">
        <v>3803</v>
      </c>
      <c r="D1513" s="38" t="n">
        <v>102</v>
      </c>
    </row>
    <row r="1514" customFormat="false" ht="15" hidden="false" customHeight="false" outlineLevel="0" collapsed="false">
      <c r="A1514" s="28" t="n">
        <v>1513</v>
      </c>
      <c r="B1514" s="37" t="s">
        <v>2172</v>
      </c>
      <c r="C1514" s="38" t="s">
        <v>3804</v>
      </c>
      <c r="D1514" s="38" t="n">
        <v>99</v>
      </c>
    </row>
    <row r="1515" customFormat="false" ht="15" hidden="false" customHeight="false" outlineLevel="0" collapsed="false">
      <c r="A1515" s="28" t="n">
        <v>1514</v>
      </c>
      <c r="B1515" s="37" t="s">
        <v>2173</v>
      </c>
      <c r="C1515" s="38" t="s">
        <v>3805</v>
      </c>
      <c r="D1515" s="38" t="n">
        <v>101</v>
      </c>
    </row>
    <row r="1516" customFormat="false" ht="15" hidden="false" customHeight="false" outlineLevel="0" collapsed="false">
      <c r="A1516" s="28" t="n">
        <v>1515</v>
      </c>
      <c r="B1516" s="37" t="s">
        <v>2174</v>
      </c>
      <c r="C1516" s="38" t="s">
        <v>3806</v>
      </c>
      <c r="D1516" s="38" t="n">
        <v>102</v>
      </c>
    </row>
    <row r="1517" customFormat="false" ht="15" hidden="false" customHeight="false" outlineLevel="0" collapsed="false">
      <c r="A1517" s="28" t="n">
        <v>1516</v>
      </c>
      <c r="B1517" s="37" t="s">
        <v>2175</v>
      </c>
      <c r="C1517" s="38" t="s">
        <v>3807</v>
      </c>
      <c r="D1517" s="38" t="n">
        <v>101</v>
      </c>
    </row>
    <row r="1518" customFormat="false" ht="15" hidden="false" customHeight="false" outlineLevel="0" collapsed="false">
      <c r="A1518" s="28" t="n">
        <v>1517</v>
      </c>
      <c r="B1518" s="37" t="s">
        <v>2176</v>
      </c>
      <c r="C1518" s="38" t="s">
        <v>2542</v>
      </c>
      <c r="D1518" s="38" t="n">
        <v>89</v>
      </c>
    </row>
    <row r="1519" customFormat="false" ht="15" hidden="false" customHeight="false" outlineLevel="0" collapsed="false">
      <c r="A1519" s="28" t="n">
        <v>1518</v>
      </c>
      <c r="B1519" s="37" t="s">
        <v>2177</v>
      </c>
      <c r="C1519" s="38" t="s">
        <v>3808</v>
      </c>
      <c r="D1519" s="38" t="n">
        <v>86</v>
      </c>
    </row>
    <row r="1520" customFormat="false" ht="15" hidden="false" customHeight="false" outlineLevel="0" collapsed="false">
      <c r="A1520" s="28" t="n">
        <v>1519</v>
      </c>
      <c r="B1520" s="37" t="s">
        <v>2178</v>
      </c>
      <c r="C1520" s="38" t="s">
        <v>3809</v>
      </c>
      <c r="D1520" s="38" t="n">
        <v>107</v>
      </c>
    </row>
    <row r="1521" customFormat="false" ht="15" hidden="false" customHeight="false" outlineLevel="0" collapsed="false">
      <c r="A1521" s="28" t="n">
        <v>1520</v>
      </c>
      <c r="B1521" s="37" t="s">
        <v>2181</v>
      </c>
      <c r="C1521" s="38" t="s">
        <v>3810</v>
      </c>
      <c r="D1521" s="38" t="n">
        <v>106</v>
      </c>
    </row>
    <row r="1522" customFormat="false" ht="15" hidden="false" customHeight="false" outlineLevel="0" collapsed="false">
      <c r="A1522" s="28" t="n">
        <v>1521</v>
      </c>
      <c r="B1522" s="37" t="s">
        <v>2182</v>
      </c>
      <c r="C1522" s="38" t="s">
        <v>3811</v>
      </c>
      <c r="D1522" s="38" t="n">
        <v>96</v>
      </c>
    </row>
    <row r="1523" customFormat="false" ht="15" hidden="false" customHeight="false" outlineLevel="0" collapsed="false">
      <c r="A1523" s="28" t="n">
        <v>1522</v>
      </c>
      <c r="B1523" s="37" t="s">
        <v>2183</v>
      </c>
      <c r="C1523" s="38" t="s">
        <v>3284</v>
      </c>
      <c r="D1523" s="38" t="n">
        <v>99</v>
      </c>
    </row>
    <row r="1524" customFormat="false" ht="15" hidden="false" customHeight="false" outlineLevel="0" collapsed="false">
      <c r="A1524" s="28" t="n">
        <v>1523</v>
      </c>
      <c r="B1524" s="37" t="s">
        <v>2184</v>
      </c>
      <c r="C1524" s="38" t="s">
        <v>3812</v>
      </c>
      <c r="D1524" s="38" t="n">
        <v>94</v>
      </c>
    </row>
    <row r="1525" customFormat="false" ht="15" hidden="false" customHeight="false" outlineLevel="0" collapsed="false">
      <c r="A1525" s="28" t="n">
        <v>1524</v>
      </c>
      <c r="B1525" s="37" t="s">
        <v>2185</v>
      </c>
      <c r="C1525" s="38" t="s">
        <v>3533</v>
      </c>
      <c r="D1525" s="38" t="n">
        <v>100</v>
      </c>
    </row>
    <row r="1526" customFormat="false" ht="15" hidden="false" customHeight="false" outlineLevel="0" collapsed="false">
      <c r="A1526" s="28" t="n">
        <v>1525</v>
      </c>
      <c r="B1526" s="37" t="s">
        <v>2186</v>
      </c>
      <c r="C1526" s="38" t="s">
        <v>3813</v>
      </c>
      <c r="D1526" s="38" t="n">
        <v>97</v>
      </c>
    </row>
    <row r="1527" customFormat="false" ht="15" hidden="false" customHeight="false" outlineLevel="0" collapsed="false">
      <c r="A1527" s="28" t="n">
        <v>1526</v>
      </c>
      <c r="B1527" s="37" t="s">
        <v>2187</v>
      </c>
      <c r="C1527" s="38" t="s">
        <v>3814</v>
      </c>
      <c r="D1527" s="38" t="n">
        <v>99</v>
      </c>
    </row>
    <row r="1528" customFormat="false" ht="15" hidden="false" customHeight="false" outlineLevel="0" collapsed="false">
      <c r="A1528" s="28" t="n">
        <v>1527</v>
      </c>
      <c r="B1528" s="37" t="s">
        <v>2188</v>
      </c>
      <c r="C1528" s="38" t="s">
        <v>3815</v>
      </c>
      <c r="D1528" s="38" t="n">
        <v>96</v>
      </c>
    </row>
    <row r="1529" customFormat="false" ht="15" hidden="false" customHeight="false" outlineLevel="0" collapsed="false">
      <c r="A1529" s="28" t="n">
        <v>1528</v>
      </c>
      <c r="B1529" s="37" t="s">
        <v>2191</v>
      </c>
      <c r="C1529" s="38" t="s">
        <v>3816</v>
      </c>
      <c r="D1529" s="38" t="n">
        <v>95</v>
      </c>
    </row>
    <row r="1530" customFormat="false" ht="15" hidden="false" customHeight="false" outlineLevel="0" collapsed="false">
      <c r="A1530" s="28" t="n">
        <v>1529</v>
      </c>
      <c r="B1530" s="37" t="s">
        <v>2192</v>
      </c>
      <c r="C1530" s="38" t="s">
        <v>3817</v>
      </c>
      <c r="D1530" s="38" t="n">
        <v>111</v>
      </c>
    </row>
    <row r="1531" customFormat="false" ht="15" hidden="false" customHeight="false" outlineLevel="0" collapsed="false">
      <c r="A1531" s="28" t="n">
        <v>1530</v>
      </c>
      <c r="B1531" s="37" t="s">
        <v>2193</v>
      </c>
      <c r="C1531" s="38" t="s">
        <v>3078</v>
      </c>
      <c r="D1531" s="38" t="n">
        <v>95</v>
      </c>
    </row>
    <row r="1532" customFormat="false" ht="15" hidden="false" customHeight="false" outlineLevel="0" collapsed="false">
      <c r="A1532" s="28" t="n">
        <v>1531</v>
      </c>
      <c r="B1532" s="37" t="s">
        <v>2194</v>
      </c>
      <c r="C1532" s="38" t="s">
        <v>3537</v>
      </c>
      <c r="D1532" s="38" t="n">
        <v>94</v>
      </c>
    </row>
    <row r="1533" customFormat="false" ht="15" hidden="false" customHeight="false" outlineLevel="0" collapsed="false">
      <c r="A1533" s="28" t="n">
        <v>1532</v>
      </c>
      <c r="B1533" s="37" t="s">
        <v>2195</v>
      </c>
      <c r="C1533" s="38" t="s">
        <v>3299</v>
      </c>
      <c r="D1533" s="38" t="n">
        <v>99</v>
      </c>
    </row>
    <row r="1534" customFormat="false" ht="15" hidden="false" customHeight="false" outlineLevel="0" collapsed="false">
      <c r="A1534" s="28" t="n">
        <v>1533</v>
      </c>
      <c r="B1534" s="37" t="s">
        <v>2196</v>
      </c>
      <c r="C1534" s="38" t="s">
        <v>3818</v>
      </c>
      <c r="D1534" s="38" t="n">
        <v>93</v>
      </c>
    </row>
    <row r="1535" customFormat="false" ht="15" hidden="false" customHeight="false" outlineLevel="0" collapsed="false">
      <c r="A1535" s="28" t="n">
        <v>1534</v>
      </c>
      <c r="B1535" s="37" t="s">
        <v>2197</v>
      </c>
      <c r="C1535" s="38" t="s">
        <v>3819</v>
      </c>
      <c r="D1535" s="38" t="n">
        <v>100</v>
      </c>
    </row>
    <row r="1536" customFormat="false" ht="15" hidden="false" customHeight="false" outlineLevel="0" collapsed="false">
      <c r="A1536" s="28" t="n">
        <v>1535</v>
      </c>
      <c r="B1536" s="37" t="s">
        <v>2198</v>
      </c>
      <c r="C1536" s="38" t="s">
        <v>3820</v>
      </c>
      <c r="D1536" s="38" t="n">
        <v>101</v>
      </c>
    </row>
    <row r="1537" customFormat="false" ht="15" hidden="false" customHeight="false" outlineLevel="0" collapsed="false">
      <c r="A1537" s="28" t="n">
        <v>1536</v>
      </c>
      <c r="B1537" s="37" t="s">
        <v>2199</v>
      </c>
      <c r="C1537" s="38" t="s">
        <v>3821</v>
      </c>
      <c r="D1537" s="38" t="n">
        <v>99</v>
      </c>
    </row>
    <row r="1538" customFormat="false" ht="15" hidden="false" customHeight="false" outlineLevel="0" collapsed="false">
      <c r="A1538" s="28" t="n">
        <v>1537</v>
      </c>
      <c r="B1538" s="37" t="s">
        <v>2200</v>
      </c>
      <c r="C1538" s="38" t="s">
        <v>3822</v>
      </c>
      <c r="D1538" s="38" t="n">
        <v>94</v>
      </c>
    </row>
    <row r="1539" customFormat="false" ht="15" hidden="false" customHeight="false" outlineLevel="0" collapsed="false">
      <c r="A1539" s="28" t="n">
        <v>1538</v>
      </c>
      <c r="B1539" s="37" t="s">
        <v>2201</v>
      </c>
      <c r="C1539" s="38" t="s">
        <v>3823</v>
      </c>
      <c r="D1539" s="38" t="n">
        <v>97</v>
      </c>
    </row>
    <row r="1540" customFormat="false" ht="15" hidden="false" customHeight="false" outlineLevel="0" collapsed="false">
      <c r="A1540" s="28" t="n">
        <v>1539</v>
      </c>
      <c r="B1540" s="37" t="s">
        <v>2202</v>
      </c>
      <c r="C1540" s="38" t="s">
        <v>3824</v>
      </c>
      <c r="D1540" s="38" t="n">
        <v>100</v>
      </c>
    </row>
    <row r="1541" customFormat="false" ht="15" hidden="false" customHeight="false" outlineLevel="0" collapsed="false">
      <c r="A1541" s="28" t="n">
        <v>1540</v>
      </c>
      <c r="B1541" s="37" t="s">
        <v>2203</v>
      </c>
      <c r="C1541" s="38" t="s">
        <v>3610</v>
      </c>
      <c r="D1541" s="38" t="n">
        <v>101</v>
      </c>
    </row>
    <row r="1542" customFormat="false" ht="15" hidden="false" customHeight="false" outlineLevel="0" collapsed="false">
      <c r="A1542" s="28" t="n">
        <v>1541</v>
      </c>
      <c r="B1542" s="37" t="s">
        <v>2204</v>
      </c>
      <c r="C1542" s="38" t="s">
        <v>3825</v>
      </c>
      <c r="D1542" s="38" t="n">
        <v>100</v>
      </c>
    </row>
    <row r="1543" customFormat="false" ht="15" hidden="false" customHeight="false" outlineLevel="0" collapsed="false">
      <c r="A1543" s="28" t="n">
        <v>1542</v>
      </c>
      <c r="B1543" s="37" t="s">
        <v>2205</v>
      </c>
      <c r="C1543" s="38" t="s">
        <v>3826</v>
      </c>
      <c r="D1543" s="38" t="n">
        <v>103</v>
      </c>
    </row>
    <row r="1544" customFormat="false" ht="15" hidden="false" customHeight="false" outlineLevel="0" collapsed="false">
      <c r="A1544" s="28" t="n">
        <v>1543</v>
      </c>
      <c r="B1544" s="37" t="s">
        <v>2206</v>
      </c>
      <c r="C1544" s="38" t="s">
        <v>3257</v>
      </c>
      <c r="D1544" s="38" t="n">
        <v>91</v>
      </c>
    </row>
    <row r="1545" customFormat="false" ht="15" hidden="false" customHeight="false" outlineLevel="0" collapsed="false">
      <c r="A1545" s="28" t="n">
        <v>1544</v>
      </c>
      <c r="B1545" s="37" t="s">
        <v>2207</v>
      </c>
      <c r="C1545" s="38" t="s">
        <v>3827</v>
      </c>
      <c r="D1545" s="38" t="n">
        <v>102</v>
      </c>
    </row>
    <row r="1546" customFormat="false" ht="15" hidden="false" customHeight="false" outlineLevel="0" collapsed="false">
      <c r="A1546" s="28" t="n">
        <v>1545</v>
      </c>
      <c r="B1546" s="37" t="s">
        <v>2208</v>
      </c>
      <c r="C1546" s="38" t="s">
        <v>3822</v>
      </c>
      <c r="D1546" s="38" t="n">
        <v>94</v>
      </c>
    </row>
    <row r="1547" customFormat="false" ht="15" hidden="false" customHeight="false" outlineLevel="0" collapsed="false">
      <c r="A1547" s="28" t="n">
        <v>1546</v>
      </c>
      <c r="B1547" s="37" t="s">
        <v>2209</v>
      </c>
      <c r="C1547" s="38" t="s">
        <v>3828</v>
      </c>
      <c r="D1547" s="38" t="n">
        <v>96</v>
      </c>
    </row>
    <row r="1548" customFormat="false" ht="15" hidden="false" customHeight="false" outlineLevel="0" collapsed="false">
      <c r="A1548" s="28" t="n">
        <v>1547</v>
      </c>
      <c r="B1548" s="37" t="s">
        <v>2210</v>
      </c>
      <c r="C1548" s="38" t="s">
        <v>3829</v>
      </c>
      <c r="D1548" s="38" t="n">
        <v>103</v>
      </c>
    </row>
    <row r="1549" customFormat="false" ht="15" hidden="false" customHeight="false" outlineLevel="0" collapsed="false">
      <c r="A1549" s="28" t="n">
        <v>1548</v>
      </c>
      <c r="B1549" s="37" t="s">
        <v>2211</v>
      </c>
      <c r="C1549" s="38" t="s">
        <v>3830</v>
      </c>
      <c r="D1549" s="38" t="n">
        <v>113</v>
      </c>
    </row>
    <row r="1550" customFormat="false" ht="15" hidden="false" customHeight="false" outlineLevel="0" collapsed="false">
      <c r="A1550" s="28" t="n">
        <v>1549</v>
      </c>
      <c r="B1550" s="37" t="s">
        <v>2212</v>
      </c>
      <c r="C1550" s="38" t="s">
        <v>3831</v>
      </c>
      <c r="D1550" s="38" t="n">
        <v>97</v>
      </c>
    </row>
    <row r="1551" customFormat="false" ht="15" hidden="false" customHeight="false" outlineLevel="0" collapsed="false">
      <c r="A1551" s="28" t="n">
        <v>1550</v>
      </c>
      <c r="B1551" s="37" t="s">
        <v>2213</v>
      </c>
      <c r="C1551" s="38" t="s">
        <v>2584</v>
      </c>
      <c r="D1551" s="38" t="n">
        <v>100</v>
      </c>
    </row>
    <row r="1552" customFormat="false" ht="15" hidden="false" customHeight="false" outlineLevel="0" collapsed="false">
      <c r="A1552" s="28" t="n">
        <v>1551</v>
      </c>
      <c r="B1552" s="37" t="s">
        <v>2215</v>
      </c>
      <c r="C1552" s="38" t="s">
        <v>2536</v>
      </c>
      <c r="D1552" s="38" t="n">
        <v>102</v>
      </c>
    </row>
    <row r="1553" customFormat="false" ht="15" hidden="false" customHeight="false" outlineLevel="0" collapsed="false">
      <c r="A1553" s="28" t="n">
        <v>1552</v>
      </c>
      <c r="B1553" s="37" t="s">
        <v>2216</v>
      </c>
      <c r="C1553" s="38" t="s">
        <v>3832</v>
      </c>
      <c r="D1553" s="38" t="n">
        <v>102</v>
      </c>
    </row>
    <row r="1554" customFormat="false" ht="15" hidden="false" customHeight="false" outlineLevel="0" collapsed="false">
      <c r="A1554" s="28" t="n">
        <v>1553</v>
      </c>
      <c r="B1554" s="37" t="s">
        <v>2217</v>
      </c>
      <c r="C1554" s="38" t="s">
        <v>3833</v>
      </c>
      <c r="D1554" s="38" t="n">
        <v>76</v>
      </c>
    </row>
    <row r="1555" customFormat="false" ht="15" hidden="false" customHeight="false" outlineLevel="0" collapsed="false">
      <c r="A1555" s="28" t="n">
        <v>1554</v>
      </c>
      <c r="B1555" s="37" t="s">
        <v>2218</v>
      </c>
      <c r="C1555" s="38" t="s">
        <v>3834</v>
      </c>
      <c r="D1555" s="38" t="n">
        <v>89</v>
      </c>
    </row>
    <row r="1556" customFormat="false" ht="15" hidden="false" customHeight="false" outlineLevel="0" collapsed="false">
      <c r="A1556" s="28" t="n">
        <v>1555</v>
      </c>
      <c r="B1556" s="37" t="s">
        <v>2219</v>
      </c>
      <c r="C1556" s="38" t="s">
        <v>3835</v>
      </c>
      <c r="D1556" s="38" t="n">
        <v>113</v>
      </c>
    </row>
    <row r="1557" customFormat="false" ht="15" hidden="false" customHeight="false" outlineLevel="0" collapsed="false">
      <c r="A1557" s="28" t="n">
        <v>1556</v>
      </c>
      <c r="B1557" s="37" t="s">
        <v>2220</v>
      </c>
      <c r="C1557" s="38" t="s">
        <v>2940</v>
      </c>
      <c r="D1557" s="38" t="n">
        <v>97</v>
      </c>
    </row>
    <row r="1558" customFormat="false" ht="15" hidden="false" customHeight="false" outlineLevel="0" collapsed="false">
      <c r="A1558" s="28" t="n">
        <v>1557</v>
      </c>
      <c r="B1558" s="37" t="s">
        <v>2221</v>
      </c>
      <c r="C1558" s="38" t="s">
        <v>3315</v>
      </c>
      <c r="D1558" s="38" t="n">
        <v>107</v>
      </c>
    </row>
    <row r="1559" customFormat="false" ht="15" hidden="false" customHeight="false" outlineLevel="0" collapsed="false">
      <c r="A1559" s="28" t="n">
        <v>1558</v>
      </c>
      <c r="B1559" s="37" t="s">
        <v>2222</v>
      </c>
      <c r="C1559" s="38" t="s">
        <v>3212</v>
      </c>
      <c r="D1559" s="38" t="n">
        <v>92</v>
      </c>
    </row>
    <row r="1560" customFormat="false" ht="15" hidden="false" customHeight="false" outlineLevel="0" collapsed="false">
      <c r="A1560" s="28" t="n">
        <v>1559</v>
      </c>
      <c r="B1560" s="37" t="s">
        <v>2223</v>
      </c>
      <c r="C1560" s="38" t="s">
        <v>3836</v>
      </c>
      <c r="D1560" s="38" t="n">
        <v>94</v>
      </c>
    </row>
    <row r="1561" customFormat="false" ht="15" hidden="false" customHeight="false" outlineLevel="0" collapsed="false">
      <c r="A1561" s="28" t="n">
        <v>1560</v>
      </c>
      <c r="B1561" s="37" t="s">
        <v>2224</v>
      </c>
      <c r="C1561" s="38" t="s">
        <v>3837</v>
      </c>
      <c r="D1561" s="38" t="n">
        <v>103</v>
      </c>
    </row>
    <row r="1562" customFormat="false" ht="15" hidden="false" customHeight="false" outlineLevel="0" collapsed="false">
      <c r="A1562" s="28" t="n">
        <v>1561</v>
      </c>
      <c r="B1562" s="37" t="s">
        <v>2225</v>
      </c>
      <c r="C1562" s="38" t="s">
        <v>3669</v>
      </c>
      <c r="D1562" s="38" t="n">
        <v>90</v>
      </c>
    </row>
    <row r="1563" customFormat="false" ht="15" hidden="false" customHeight="false" outlineLevel="0" collapsed="false">
      <c r="A1563" s="28" t="n">
        <v>1562</v>
      </c>
      <c r="B1563" s="37" t="s">
        <v>2226</v>
      </c>
      <c r="C1563" s="38" t="s">
        <v>3838</v>
      </c>
      <c r="D1563" s="38" t="n">
        <v>94</v>
      </c>
    </row>
    <row r="1564" customFormat="false" ht="15" hidden="false" customHeight="false" outlineLevel="0" collapsed="false">
      <c r="A1564" s="28" t="n">
        <v>1563</v>
      </c>
      <c r="B1564" s="37" t="s">
        <v>2227</v>
      </c>
      <c r="C1564" s="38" t="s">
        <v>2509</v>
      </c>
      <c r="D1564" s="38" t="n">
        <v>73</v>
      </c>
    </row>
    <row r="1565" customFormat="false" ht="15" hidden="false" customHeight="false" outlineLevel="0" collapsed="false">
      <c r="A1565" s="28" t="n">
        <v>1564</v>
      </c>
      <c r="B1565" s="37" t="s">
        <v>2229</v>
      </c>
      <c r="C1565" s="38" t="s">
        <v>3839</v>
      </c>
      <c r="D1565" s="38" t="n">
        <v>103</v>
      </c>
    </row>
    <row r="1566" customFormat="false" ht="15" hidden="false" customHeight="false" outlineLevel="0" collapsed="false">
      <c r="A1566" s="28" t="n">
        <v>1565</v>
      </c>
      <c r="B1566" s="37" t="s">
        <v>2230</v>
      </c>
      <c r="C1566" s="38" t="s">
        <v>2847</v>
      </c>
      <c r="D1566" s="38" t="n">
        <v>97</v>
      </c>
    </row>
    <row r="1567" customFormat="false" ht="15" hidden="false" customHeight="false" outlineLevel="0" collapsed="false">
      <c r="A1567" s="28" t="n">
        <v>1566</v>
      </c>
      <c r="B1567" s="37" t="s">
        <v>2231</v>
      </c>
      <c r="C1567" s="38" t="s">
        <v>3840</v>
      </c>
      <c r="D1567" s="38" t="n">
        <v>101</v>
      </c>
    </row>
    <row r="1568" customFormat="false" ht="15" hidden="false" customHeight="false" outlineLevel="0" collapsed="false">
      <c r="A1568" s="28" t="n">
        <v>1567</v>
      </c>
      <c r="B1568" s="37" t="s">
        <v>3841</v>
      </c>
      <c r="C1568" s="38" t="s">
        <v>2820</v>
      </c>
      <c r="D1568" s="38" t="n">
        <v>80</v>
      </c>
    </row>
    <row r="1569" customFormat="false" ht="15" hidden="false" customHeight="false" outlineLevel="0" collapsed="false">
      <c r="A1569" s="28" t="n">
        <v>1568</v>
      </c>
      <c r="B1569" s="37" t="s">
        <v>2234</v>
      </c>
      <c r="C1569" s="38" t="s">
        <v>3842</v>
      </c>
      <c r="D1569" s="38" t="n">
        <v>102</v>
      </c>
    </row>
    <row r="1570" customFormat="false" ht="15" hidden="false" customHeight="false" outlineLevel="0" collapsed="false">
      <c r="A1570" s="28" t="n">
        <v>1569</v>
      </c>
      <c r="B1570" s="37" t="s">
        <v>2235</v>
      </c>
      <c r="C1570" s="38" t="s">
        <v>3843</v>
      </c>
      <c r="D1570" s="38" t="n">
        <v>102</v>
      </c>
    </row>
    <row r="1571" customFormat="false" ht="15" hidden="false" customHeight="false" outlineLevel="0" collapsed="false">
      <c r="A1571" s="28" t="n">
        <v>1570</v>
      </c>
      <c r="B1571" s="37" t="s">
        <v>2236</v>
      </c>
      <c r="C1571" s="38" t="s">
        <v>3844</v>
      </c>
      <c r="D1571" s="38" t="n">
        <v>93</v>
      </c>
    </row>
    <row r="1572" customFormat="false" ht="15" hidden="false" customHeight="false" outlineLevel="0" collapsed="false">
      <c r="A1572" s="28" t="n">
        <v>1571</v>
      </c>
      <c r="B1572" s="37" t="s">
        <v>2237</v>
      </c>
      <c r="C1572" s="38" t="s">
        <v>3845</v>
      </c>
      <c r="D1572" s="38" t="n">
        <v>97</v>
      </c>
    </row>
    <row r="1573" customFormat="false" ht="15" hidden="false" customHeight="false" outlineLevel="0" collapsed="false">
      <c r="A1573" s="28" t="n">
        <v>1572</v>
      </c>
      <c r="B1573" s="37" t="s">
        <v>2238</v>
      </c>
      <c r="C1573" s="38" t="s">
        <v>3846</v>
      </c>
      <c r="D1573" s="38" t="n">
        <v>95</v>
      </c>
    </row>
    <row r="1574" customFormat="false" ht="15" hidden="false" customHeight="false" outlineLevel="0" collapsed="false">
      <c r="A1574" s="28" t="n">
        <v>1573</v>
      </c>
      <c r="B1574" s="37" t="s">
        <v>2239</v>
      </c>
      <c r="C1574" s="38" t="s">
        <v>3847</v>
      </c>
      <c r="D1574" s="38" t="n">
        <v>97</v>
      </c>
    </row>
    <row r="1575" customFormat="false" ht="15" hidden="false" customHeight="false" outlineLevel="0" collapsed="false">
      <c r="A1575" s="28" t="n">
        <v>1574</v>
      </c>
      <c r="B1575" s="37" t="s">
        <v>2240</v>
      </c>
      <c r="C1575" s="38" t="s">
        <v>2550</v>
      </c>
      <c r="D1575" s="38" t="n">
        <v>100</v>
      </c>
    </row>
    <row r="1576" customFormat="false" ht="15" hidden="false" customHeight="false" outlineLevel="0" collapsed="false">
      <c r="A1576" s="28" t="n">
        <v>1575</v>
      </c>
      <c r="B1576" s="37" t="s">
        <v>2241</v>
      </c>
      <c r="C1576" s="38" t="s">
        <v>3848</v>
      </c>
      <c r="D1576" s="38" t="n">
        <v>106</v>
      </c>
    </row>
    <row r="1577" customFormat="false" ht="15" hidden="false" customHeight="false" outlineLevel="0" collapsed="false">
      <c r="A1577" s="28" t="n">
        <v>1576</v>
      </c>
      <c r="B1577" s="37" t="s">
        <v>2242</v>
      </c>
      <c r="C1577" s="38" t="s">
        <v>3624</v>
      </c>
      <c r="D1577" s="38" t="n">
        <v>100</v>
      </c>
    </row>
    <row r="1578" customFormat="false" ht="15" hidden="false" customHeight="false" outlineLevel="0" collapsed="false">
      <c r="A1578" s="28" t="n">
        <v>1577</v>
      </c>
      <c r="B1578" s="37" t="s">
        <v>2243</v>
      </c>
      <c r="C1578" s="38" t="s">
        <v>3646</v>
      </c>
      <c r="D1578" s="38" t="n">
        <v>98</v>
      </c>
    </row>
    <row r="1579" customFormat="false" ht="15" hidden="false" customHeight="false" outlineLevel="0" collapsed="false">
      <c r="A1579" s="28" t="n">
        <v>1578</v>
      </c>
      <c r="B1579" s="37" t="s">
        <v>2244</v>
      </c>
      <c r="C1579" s="38" t="s">
        <v>3307</v>
      </c>
      <c r="D1579" s="38" t="n">
        <v>100</v>
      </c>
    </row>
    <row r="1580" customFormat="false" ht="15" hidden="false" customHeight="false" outlineLevel="0" collapsed="false">
      <c r="A1580" s="28" t="n">
        <v>1579</v>
      </c>
      <c r="B1580" s="37" t="s">
        <v>2245</v>
      </c>
      <c r="C1580" s="38" t="s">
        <v>3676</v>
      </c>
      <c r="D1580" s="38" t="n">
        <v>94</v>
      </c>
    </row>
    <row r="1581" customFormat="false" ht="15" hidden="false" customHeight="false" outlineLevel="0" collapsed="false">
      <c r="A1581" s="28" t="n">
        <v>1580</v>
      </c>
      <c r="B1581" s="37" t="s">
        <v>2246</v>
      </c>
      <c r="C1581" s="38" t="s">
        <v>3849</v>
      </c>
      <c r="D1581" s="38" t="n">
        <v>102</v>
      </c>
    </row>
    <row r="1582" customFormat="false" ht="15" hidden="false" customHeight="false" outlineLevel="0" collapsed="false">
      <c r="A1582" s="28" t="n">
        <v>1581</v>
      </c>
      <c r="B1582" s="37" t="s">
        <v>2247</v>
      </c>
      <c r="C1582" s="38" t="s">
        <v>3418</v>
      </c>
      <c r="D1582" s="38" t="n">
        <v>111</v>
      </c>
    </row>
    <row r="1583" customFormat="false" ht="15" hidden="false" customHeight="false" outlineLevel="0" collapsed="false">
      <c r="A1583" s="28" t="n">
        <v>1582</v>
      </c>
      <c r="B1583" s="37" t="s">
        <v>2248</v>
      </c>
      <c r="C1583" s="38" t="s">
        <v>3850</v>
      </c>
      <c r="D1583" s="38" t="n">
        <v>106</v>
      </c>
    </row>
    <row r="1584" customFormat="false" ht="15" hidden="false" customHeight="false" outlineLevel="0" collapsed="false">
      <c r="A1584" s="28" t="n">
        <v>1583</v>
      </c>
      <c r="B1584" s="37" t="s">
        <v>2249</v>
      </c>
      <c r="C1584" s="38" t="s">
        <v>3851</v>
      </c>
      <c r="D1584" s="38" t="n">
        <v>97</v>
      </c>
    </row>
    <row r="1585" customFormat="false" ht="15" hidden="false" customHeight="false" outlineLevel="0" collapsed="false">
      <c r="A1585" s="28" t="n">
        <v>1584</v>
      </c>
      <c r="B1585" s="37" t="s">
        <v>2250</v>
      </c>
      <c r="C1585" s="38" t="s">
        <v>3852</v>
      </c>
      <c r="D1585" s="38" t="n">
        <v>97</v>
      </c>
    </row>
    <row r="1586" customFormat="false" ht="15" hidden="false" customHeight="false" outlineLevel="0" collapsed="false">
      <c r="A1586" s="28" t="n">
        <v>1585</v>
      </c>
      <c r="B1586" s="37" t="s">
        <v>2251</v>
      </c>
      <c r="C1586" s="38" t="s">
        <v>3853</v>
      </c>
      <c r="D1586" s="38" t="n">
        <v>109</v>
      </c>
    </row>
    <row r="1587" customFormat="false" ht="15" hidden="false" customHeight="false" outlineLevel="0" collapsed="false">
      <c r="A1587" s="28" t="n">
        <v>1586</v>
      </c>
      <c r="B1587" s="37" t="s">
        <v>2253</v>
      </c>
      <c r="C1587" s="38" t="s">
        <v>3854</v>
      </c>
      <c r="D1587" s="38" t="n">
        <v>103</v>
      </c>
    </row>
    <row r="1588" customFormat="false" ht="15" hidden="false" customHeight="false" outlineLevel="0" collapsed="false">
      <c r="A1588" s="28" t="n">
        <v>1587</v>
      </c>
      <c r="B1588" s="37" t="s">
        <v>2254</v>
      </c>
      <c r="C1588" s="38" t="s">
        <v>3855</v>
      </c>
      <c r="D1588" s="38" t="n">
        <v>99</v>
      </c>
    </row>
    <row r="1589" customFormat="false" ht="15" hidden="false" customHeight="false" outlineLevel="0" collapsed="false">
      <c r="A1589" s="28" t="n">
        <v>1588</v>
      </c>
      <c r="B1589" s="37" t="s">
        <v>2255</v>
      </c>
      <c r="C1589" s="38" t="s">
        <v>3856</v>
      </c>
      <c r="D1589" s="38" t="n">
        <v>95</v>
      </c>
    </row>
    <row r="1590" customFormat="false" ht="15" hidden="false" customHeight="false" outlineLevel="0" collapsed="false">
      <c r="A1590" s="28" t="n">
        <v>1589</v>
      </c>
      <c r="B1590" s="37" t="s">
        <v>2257</v>
      </c>
      <c r="C1590" s="38" t="s">
        <v>3857</v>
      </c>
      <c r="D1590" s="38" t="n">
        <v>101</v>
      </c>
    </row>
    <row r="1591" customFormat="false" ht="15" hidden="false" customHeight="false" outlineLevel="0" collapsed="false">
      <c r="A1591" s="28" t="n">
        <v>1590</v>
      </c>
      <c r="B1591" s="37" t="s">
        <v>2258</v>
      </c>
      <c r="C1591" s="38" t="s">
        <v>3393</v>
      </c>
      <c r="D1591" s="38" t="n">
        <v>93</v>
      </c>
    </row>
    <row r="1592" customFormat="false" ht="15" hidden="false" customHeight="false" outlineLevel="0" collapsed="false">
      <c r="A1592" s="28" t="n">
        <v>1591</v>
      </c>
      <c r="B1592" s="37" t="s">
        <v>2260</v>
      </c>
      <c r="C1592" s="38" t="s">
        <v>3858</v>
      </c>
      <c r="D1592" s="38" t="n">
        <v>105</v>
      </c>
    </row>
    <row r="1593" customFormat="false" ht="15" hidden="false" customHeight="false" outlineLevel="0" collapsed="false">
      <c r="A1593" s="28" t="n">
        <v>1592</v>
      </c>
      <c r="B1593" s="37" t="s">
        <v>2261</v>
      </c>
      <c r="C1593" s="38" t="s">
        <v>3723</v>
      </c>
      <c r="D1593" s="38" t="n">
        <v>100</v>
      </c>
    </row>
    <row r="1594" customFormat="false" ht="15" hidden="false" customHeight="false" outlineLevel="0" collapsed="false">
      <c r="A1594" s="28" t="n">
        <v>1593</v>
      </c>
      <c r="B1594" s="37" t="s">
        <v>2262</v>
      </c>
      <c r="C1594" s="38" t="s">
        <v>2783</v>
      </c>
      <c r="D1594" s="38" t="n">
        <v>80</v>
      </c>
    </row>
    <row r="1595" customFormat="false" ht="15" hidden="false" customHeight="false" outlineLevel="0" collapsed="false">
      <c r="A1595" s="28" t="n">
        <v>1594</v>
      </c>
      <c r="B1595" s="37" t="s">
        <v>2264</v>
      </c>
      <c r="C1595" s="38" t="s">
        <v>3859</v>
      </c>
      <c r="D1595" s="38" t="n">
        <v>97</v>
      </c>
    </row>
    <row r="1596" customFormat="false" ht="15" hidden="false" customHeight="false" outlineLevel="0" collapsed="false">
      <c r="A1596" s="28" t="n">
        <v>1595</v>
      </c>
      <c r="B1596" s="37" t="s">
        <v>2266</v>
      </c>
      <c r="C1596" s="38" t="s">
        <v>3860</v>
      </c>
      <c r="D1596" s="38" t="n">
        <v>114</v>
      </c>
    </row>
    <row r="1597" customFormat="false" ht="15" hidden="false" customHeight="false" outlineLevel="0" collapsed="false">
      <c r="A1597" s="28" t="n">
        <v>1596</v>
      </c>
      <c r="B1597" s="37" t="s">
        <v>2267</v>
      </c>
      <c r="C1597" s="38" t="s">
        <v>3861</v>
      </c>
      <c r="D1597" s="38" t="n">
        <v>103</v>
      </c>
    </row>
    <row r="1598" customFormat="false" ht="15" hidden="false" customHeight="false" outlineLevel="0" collapsed="false">
      <c r="A1598" s="28" t="n">
        <v>1597</v>
      </c>
      <c r="B1598" s="37" t="s">
        <v>2268</v>
      </c>
      <c r="C1598" s="38" t="s">
        <v>3862</v>
      </c>
      <c r="D1598" s="38" t="n">
        <v>107</v>
      </c>
    </row>
    <row r="1599" customFormat="false" ht="15" hidden="false" customHeight="false" outlineLevel="0" collapsed="false">
      <c r="A1599" s="28" t="n">
        <v>1598</v>
      </c>
      <c r="B1599" s="37" t="s">
        <v>2270</v>
      </c>
      <c r="C1599" s="38" t="s">
        <v>3863</v>
      </c>
      <c r="D1599" s="38" t="n">
        <v>99</v>
      </c>
    </row>
    <row r="1600" customFormat="false" ht="15" hidden="false" customHeight="false" outlineLevel="0" collapsed="false">
      <c r="A1600" s="28" t="n">
        <v>1599</v>
      </c>
      <c r="B1600" s="37" t="s">
        <v>2271</v>
      </c>
      <c r="C1600" s="38" t="s">
        <v>3864</v>
      </c>
      <c r="D1600" s="38" t="n">
        <v>101</v>
      </c>
    </row>
    <row r="1601" customFormat="false" ht="15" hidden="false" customHeight="false" outlineLevel="0" collapsed="false">
      <c r="A1601" s="28" t="n">
        <v>1600</v>
      </c>
      <c r="B1601" s="37" t="s">
        <v>2272</v>
      </c>
      <c r="C1601" s="38" t="s">
        <v>3865</v>
      </c>
      <c r="D1601" s="38" t="n">
        <v>103</v>
      </c>
    </row>
    <row r="1602" customFormat="false" ht="15" hidden="false" customHeight="false" outlineLevel="0" collapsed="false">
      <c r="A1602" s="28" t="n">
        <v>1601</v>
      </c>
      <c r="B1602" s="37" t="s">
        <v>2273</v>
      </c>
      <c r="C1602" s="38" t="s">
        <v>3106</v>
      </c>
      <c r="D1602" s="38" t="n">
        <v>99</v>
      </c>
    </row>
    <row r="1603" customFormat="false" ht="15" hidden="false" customHeight="false" outlineLevel="0" collapsed="false">
      <c r="A1603" s="28" t="n">
        <v>1602</v>
      </c>
      <c r="B1603" s="37" t="s">
        <v>2274</v>
      </c>
      <c r="C1603" s="38" t="s">
        <v>3052</v>
      </c>
      <c r="D1603" s="38" t="n">
        <v>96</v>
      </c>
    </row>
    <row r="1604" customFormat="false" ht="15" hidden="false" customHeight="false" outlineLevel="0" collapsed="false">
      <c r="A1604" s="28" t="n">
        <v>1603</v>
      </c>
      <c r="B1604" s="37" t="s">
        <v>2275</v>
      </c>
      <c r="C1604" s="38" t="s">
        <v>2843</v>
      </c>
      <c r="D1604" s="38" t="n">
        <v>97</v>
      </c>
    </row>
    <row r="1605" customFormat="false" ht="15" hidden="false" customHeight="false" outlineLevel="0" collapsed="false">
      <c r="A1605" s="28" t="n">
        <v>1604</v>
      </c>
      <c r="B1605" s="37" t="s">
        <v>2276</v>
      </c>
      <c r="C1605" s="38" t="s">
        <v>3866</v>
      </c>
      <c r="D1605" s="38" t="n">
        <v>107</v>
      </c>
    </row>
    <row r="1606" customFormat="false" ht="15" hidden="false" customHeight="false" outlineLevel="0" collapsed="false">
      <c r="A1606" s="28" t="n">
        <v>1605</v>
      </c>
      <c r="B1606" s="37" t="s">
        <v>2277</v>
      </c>
      <c r="C1606" s="38" t="s">
        <v>3867</v>
      </c>
      <c r="D1606" s="38" t="n">
        <v>93</v>
      </c>
    </row>
    <row r="1607" customFormat="false" ht="15" hidden="false" customHeight="false" outlineLevel="0" collapsed="false">
      <c r="A1607" s="28" t="n">
        <v>1606</v>
      </c>
      <c r="B1607" s="37" t="s">
        <v>2278</v>
      </c>
      <c r="C1607" s="38" t="s">
        <v>3813</v>
      </c>
      <c r="D1607" s="38" t="n">
        <v>97</v>
      </c>
    </row>
    <row r="1608" customFormat="false" ht="15" hidden="false" customHeight="false" outlineLevel="0" collapsed="false">
      <c r="A1608" s="28" t="n">
        <v>1607</v>
      </c>
      <c r="B1608" s="37" t="s">
        <v>2279</v>
      </c>
      <c r="C1608" s="38" t="s">
        <v>3472</v>
      </c>
      <c r="D1608" s="38" t="n">
        <v>97</v>
      </c>
    </row>
    <row r="1609" customFormat="false" ht="15" hidden="false" customHeight="false" outlineLevel="0" collapsed="false">
      <c r="A1609" s="28" t="n">
        <v>1608</v>
      </c>
      <c r="B1609" s="37" t="s">
        <v>2280</v>
      </c>
      <c r="C1609" s="38" t="s">
        <v>3868</v>
      </c>
      <c r="D1609" s="38" t="n">
        <v>102</v>
      </c>
    </row>
    <row r="1610" customFormat="false" ht="15" hidden="false" customHeight="false" outlineLevel="0" collapsed="false">
      <c r="A1610" s="28" t="n">
        <v>1609</v>
      </c>
      <c r="B1610" s="37" t="s">
        <v>2281</v>
      </c>
      <c r="C1610" s="38" t="s">
        <v>2767</v>
      </c>
      <c r="D1610" s="38" t="n">
        <v>97</v>
      </c>
    </row>
    <row r="1611" customFormat="false" ht="15" hidden="false" customHeight="false" outlineLevel="0" collapsed="false">
      <c r="A1611" s="28" t="n">
        <v>1610</v>
      </c>
      <c r="B1611" s="37" t="s">
        <v>2282</v>
      </c>
      <c r="C1611" s="38" t="s">
        <v>3869</v>
      </c>
      <c r="D1611" s="38" t="n">
        <v>105</v>
      </c>
    </row>
    <row r="1612" customFormat="false" ht="15" hidden="false" customHeight="false" outlineLevel="0" collapsed="false">
      <c r="A1612" s="28" t="n">
        <v>1611</v>
      </c>
      <c r="B1612" s="37" t="s">
        <v>2283</v>
      </c>
      <c r="C1612" s="38" t="s">
        <v>2607</v>
      </c>
      <c r="D1612" s="38" t="n">
        <v>75</v>
      </c>
    </row>
    <row r="1613" customFormat="false" ht="15" hidden="false" customHeight="false" outlineLevel="0" collapsed="false">
      <c r="A1613" s="28" t="n">
        <v>1612</v>
      </c>
      <c r="B1613" s="37" t="s">
        <v>2284</v>
      </c>
      <c r="C1613" s="38" t="s">
        <v>3870</v>
      </c>
      <c r="D1613" s="38" t="n">
        <v>108</v>
      </c>
    </row>
    <row r="1614" customFormat="false" ht="15" hidden="false" customHeight="false" outlineLevel="0" collapsed="false">
      <c r="A1614" s="28" t="n">
        <v>1613</v>
      </c>
      <c r="B1614" s="37" t="s">
        <v>2285</v>
      </c>
      <c r="C1614" s="38" t="s">
        <v>3871</v>
      </c>
      <c r="D1614" s="38" t="n">
        <v>91</v>
      </c>
    </row>
    <row r="1615" customFormat="false" ht="15" hidden="false" customHeight="false" outlineLevel="0" collapsed="false">
      <c r="A1615" s="28" t="n">
        <v>1614</v>
      </c>
      <c r="B1615" s="37" t="s">
        <v>2286</v>
      </c>
      <c r="C1615" s="38" t="s">
        <v>3872</v>
      </c>
      <c r="D1615" s="38" t="n">
        <v>113</v>
      </c>
    </row>
    <row r="1616" customFormat="false" ht="15" hidden="false" customHeight="false" outlineLevel="0" collapsed="false">
      <c r="A1616" s="28" t="n">
        <v>1615</v>
      </c>
      <c r="B1616" s="37" t="s">
        <v>2287</v>
      </c>
      <c r="C1616" s="38" t="s">
        <v>3873</v>
      </c>
      <c r="D1616" s="38" t="n">
        <v>104</v>
      </c>
    </row>
    <row r="1617" customFormat="false" ht="15" hidden="false" customHeight="false" outlineLevel="0" collapsed="false">
      <c r="A1617" s="28" t="n">
        <v>1616</v>
      </c>
      <c r="B1617" s="37" t="s">
        <v>2289</v>
      </c>
      <c r="C1617" s="38" t="s">
        <v>3874</v>
      </c>
      <c r="D1617" s="38" t="n">
        <v>98</v>
      </c>
    </row>
    <row r="1618" customFormat="false" ht="15" hidden="false" customHeight="false" outlineLevel="0" collapsed="false">
      <c r="A1618" s="28" t="n">
        <v>1617</v>
      </c>
      <c r="B1618" s="37" t="s">
        <v>2291</v>
      </c>
      <c r="C1618" s="38" t="s">
        <v>3762</v>
      </c>
      <c r="D1618" s="38" t="n">
        <v>94</v>
      </c>
    </row>
    <row r="1619" customFormat="false" ht="15" hidden="false" customHeight="false" outlineLevel="0" collapsed="false">
      <c r="A1619" s="28" t="n">
        <v>1618</v>
      </c>
      <c r="B1619" s="37" t="s">
        <v>2292</v>
      </c>
      <c r="C1619" s="38" t="s">
        <v>3875</v>
      </c>
      <c r="D1619" s="38" t="n">
        <v>105</v>
      </c>
    </row>
    <row r="1620" customFormat="false" ht="15" hidden="false" customHeight="false" outlineLevel="0" collapsed="false">
      <c r="A1620" s="28" t="n">
        <v>1619</v>
      </c>
      <c r="B1620" s="37" t="s">
        <v>2293</v>
      </c>
      <c r="C1620" s="38" t="s">
        <v>3876</v>
      </c>
      <c r="D1620" s="38" t="n">
        <v>77</v>
      </c>
    </row>
    <row r="1621" customFormat="false" ht="15" hidden="false" customHeight="false" outlineLevel="0" collapsed="false">
      <c r="A1621" s="28" t="n">
        <v>1620</v>
      </c>
      <c r="B1621" s="37" t="s">
        <v>2294</v>
      </c>
      <c r="C1621" s="38" t="s">
        <v>3877</v>
      </c>
      <c r="D1621" s="38" t="n">
        <v>94</v>
      </c>
    </row>
    <row r="1622" customFormat="false" ht="15" hidden="false" customHeight="false" outlineLevel="0" collapsed="false">
      <c r="A1622" s="28" t="n">
        <v>1621</v>
      </c>
      <c r="B1622" s="37" t="s">
        <v>2295</v>
      </c>
      <c r="C1622" s="38" t="s">
        <v>3878</v>
      </c>
      <c r="D1622" s="38" t="n">
        <v>116</v>
      </c>
    </row>
    <row r="1623" customFormat="false" ht="15" hidden="false" customHeight="false" outlineLevel="0" collapsed="false">
      <c r="A1623" s="28" t="n">
        <v>1622</v>
      </c>
      <c r="B1623" s="37" t="s">
        <v>2296</v>
      </c>
      <c r="C1623" s="38" t="s">
        <v>3879</v>
      </c>
      <c r="D1623" s="38" t="n">
        <v>103</v>
      </c>
    </row>
    <row r="1624" customFormat="false" ht="15" hidden="false" customHeight="false" outlineLevel="0" collapsed="false">
      <c r="A1624" s="28" t="n">
        <v>1623</v>
      </c>
      <c r="B1624" s="37" t="s">
        <v>2297</v>
      </c>
      <c r="C1624" s="38" t="s">
        <v>3659</v>
      </c>
      <c r="D1624" s="38" t="n">
        <v>92</v>
      </c>
    </row>
    <row r="1625" customFormat="false" ht="15" hidden="false" customHeight="false" outlineLevel="0" collapsed="false">
      <c r="A1625" s="28" t="n">
        <v>1624</v>
      </c>
      <c r="B1625" s="37" t="s">
        <v>2299</v>
      </c>
      <c r="C1625" s="38" t="s">
        <v>3880</v>
      </c>
      <c r="D1625" s="38" t="n">
        <v>104</v>
      </c>
    </row>
    <row r="1626" customFormat="false" ht="15" hidden="false" customHeight="false" outlineLevel="0" collapsed="false">
      <c r="A1626" s="28" t="n">
        <v>1625</v>
      </c>
      <c r="B1626" s="37" t="s">
        <v>2300</v>
      </c>
      <c r="C1626" s="38" t="s">
        <v>2585</v>
      </c>
      <c r="D1626" s="38" t="n">
        <v>91</v>
      </c>
    </row>
    <row r="1627" customFormat="false" ht="15" hidden="false" customHeight="false" outlineLevel="0" collapsed="false">
      <c r="A1627" s="28" t="n">
        <v>1626</v>
      </c>
      <c r="B1627" s="37" t="s">
        <v>2301</v>
      </c>
      <c r="C1627" s="38" t="s">
        <v>3275</v>
      </c>
      <c r="D1627" s="38" t="n">
        <v>87</v>
      </c>
    </row>
    <row r="1628" customFormat="false" ht="15" hidden="false" customHeight="false" outlineLevel="0" collapsed="false">
      <c r="A1628" s="28" t="n">
        <v>1627</v>
      </c>
      <c r="B1628" s="37" t="s">
        <v>2302</v>
      </c>
      <c r="C1628" s="38" t="s">
        <v>3881</v>
      </c>
      <c r="D1628" s="38" t="n">
        <v>108</v>
      </c>
    </row>
    <row r="1629" customFormat="false" ht="15" hidden="false" customHeight="false" outlineLevel="0" collapsed="false">
      <c r="A1629" s="28" t="n">
        <v>1628</v>
      </c>
      <c r="B1629" s="37" t="s">
        <v>2303</v>
      </c>
      <c r="C1629" s="38" t="s">
        <v>3882</v>
      </c>
      <c r="D1629" s="38" t="n">
        <v>92</v>
      </c>
    </row>
    <row r="1630" customFormat="false" ht="15" hidden="false" customHeight="false" outlineLevel="0" collapsed="false">
      <c r="A1630" s="28" t="n">
        <v>1629</v>
      </c>
      <c r="B1630" s="37" t="s">
        <v>2304</v>
      </c>
      <c r="C1630" s="38" t="s">
        <v>2810</v>
      </c>
      <c r="D1630" s="38" t="n">
        <v>102</v>
      </c>
    </row>
    <row r="1631" customFormat="false" ht="15" hidden="false" customHeight="false" outlineLevel="0" collapsed="false">
      <c r="A1631" s="28" t="n">
        <v>1630</v>
      </c>
      <c r="B1631" s="37" t="s">
        <v>2305</v>
      </c>
      <c r="C1631" s="38" t="s">
        <v>3883</v>
      </c>
      <c r="D1631" s="38" t="n">
        <v>98</v>
      </c>
    </row>
    <row r="1632" customFormat="false" ht="15" hidden="false" customHeight="false" outlineLevel="0" collapsed="false">
      <c r="A1632" s="28" t="n">
        <v>1631</v>
      </c>
      <c r="B1632" s="37" t="s">
        <v>2306</v>
      </c>
      <c r="C1632" s="38" t="s">
        <v>3884</v>
      </c>
      <c r="D1632" s="38" t="n">
        <v>104</v>
      </c>
    </row>
    <row r="1633" customFormat="false" ht="15" hidden="false" customHeight="false" outlineLevel="0" collapsed="false">
      <c r="A1633" s="28" t="n">
        <v>1632</v>
      </c>
      <c r="B1633" s="37" t="s">
        <v>2307</v>
      </c>
      <c r="C1633" s="38" t="s">
        <v>3885</v>
      </c>
      <c r="D1633" s="38" t="n">
        <v>101</v>
      </c>
    </row>
    <row r="1634" customFormat="false" ht="15" hidden="false" customHeight="false" outlineLevel="0" collapsed="false">
      <c r="A1634" s="28" t="n">
        <v>1633</v>
      </c>
      <c r="B1634" s="37" t="s">
        <v>2308</v>
      </c>
      <c r="C1634" s="38" t="s">
        <v>3886</v>
      </c>
      <c r="D1634" s="38" t="n">
        <v>101</v>
      </c>
    </row>
    <row r="1635" customFormat="false" ht="15" hidden="false" customHeight="false" outlineLevel="0" collapsed="false">
      <c r="A1635" s="28" t="n">
        <v>1634</v>
      </c>
      <c r="B1635" s="37" t="s">
        <v>2309</v>
      </c>
      <c r="C1635" s="38" t="s">
        <v>3887</v>
      </c>
      <c r="D1635" s="38" t="n">
        <v>110</v>
      </c>
    </row>
    <row r="1636" customFormat="false" ht="15" hidden="false" customHeight="false" outlineLevel="0" collapsed="false">
      <c r="A1636" s="28" t="n">
        <v>1635</v>
      </c>
      <c r="B1636" s="37" t="s">
        <v>2310</v>
      </c>
      <c r="C1636" s="38" t="s">
        <v>3737</v>
      </c>
      <c r="D1636" s="38" t="n">
        <v>99</v>
      </c>
    </row>
    <row r="1637" customFormat="false" ht="15" hidden="false" customHeight="false" outlineLevel="0" collapsed="false">
      <c r="A1637" s="28" t="n">
        <v>1636</v>
      </c>
      <c r="B1637" s="37" t="s">
        <v>2311</v>
      </c>
      <c r="C1637" s="38" t="s">
        <v>3888</v>
      </c>
      <c r="D1637" s="38" t="n">
        <v>101</v>
      </c>
    </row>
    <row r="1638" customFormat="false" ht="15" hidden="false" customHeight="false" outlineLevel="0" collapsed="false">
      <c r="A1638" s="28" t="n">
        <v>1637</v>
      </c>
      <c r="B1638" s="37" t="s">
        <v>2312</v>
      </c>
      <c r="C1638" s="38" t="s">
        <v>3889</v>
      </c>
      <c r="D1638" s="38" t="n">
        <v>98</v>
      </c>
    </row>
    <row r="1639" customFormat="false" ht="15" hidden="false" customHeight="false" outlineLevel="0" collapsed="false">
      <c r="A1639" s="28" t="n">
        <v>1638</v>
      </c>
      <c r="B1639" s="37" t="s">
        <v>2313</v>
      </c>
      <c r="C1639" s="38" t="s">
        <v>3890</v>
      </c>
      <c r="D1639" s="38" t="n">
        <v>110</v>
      </c>
    </row>
    <row r="1640" customFormat="false" ht="15" hidden="false" customHeight="false" outlineLevel="0" collapsed="false">
      <c r="A1640" s="28" t="n">
        <v>1639</v>
      </c>
      <c r="B1640" s="37" t="s">
        <v>2314</v>
      </c>
      <c r="C1640" s="38" t="s">
        <v>3891</v>
      </c>
      <c r="D1640" s="38" t="n">
        <v>97</v>
      </c>
    </row>
    <row r="1641" customFormat="false" ht="15" hidden="false" customHeight="false" outlineLevel="0" collapsed="false">
      <c r="A1641" s="28" t="n">
        <v>1640</v>
      </c>
      <c r="B1641" s="37" t="s">
        <v>2315</v>
      </c>
      <c r="C1641" s="38" t="s">
        <v>3892</v>
      </c>
      <c r="D1641" s="38" t="n">
        <v>103</v>
      </c>
    </row>
    <row r="1642" customFormat="false" ht="15" hidden="false" customHeight="false" outlineLevel="0" collapsed="false">
      <c r="A1642" s="28" t="n">
        <v>1641</v>
      </c>
      <c r="B1642" s="37" t="s">
        <v>2317</v>
      </c>
      <c r="C1642" s="38" t="s">
        <v>3893</v>
      </c>
      <c r="D1642" s="38" t="n">
        <v>95</v>
      </c>
    </row>
    <row r="1643" customFormat="false" ht="15" hidden="false" customHeight="false" outlineLevel="0" collapsed="false">
      <c r="A1643" s="28" t="n">
        <v>1642</v>
      </c>
      <c r="B1643" s="37" t="s">
        <v>2318</v>
      </c>
      <c r="C1643" s="38" t="s">
        <v>3894</v>
      </c>
      <c r="D1643" s="38" t="n">
        <v>110</v>
      </c>
    </row>
    <row r="1644" customFormat="false" ht="15" hidden="false" customHeight="false" outlineLevel="0" collapsed="false">
      <c r="A1644" s="28" t="n">
        <v>1643</v>
      </c>
      <c r="B1644" s="37" t="s">
        <v>2319</v>
      </c>
      <c r="C1644" s="38" t="s">
        <v>3895</v>
      </c>
      <c r="D1644" s="38" t="n">
        <v>76</v>
      </c>
    </row>
    <row r="1645" customFormat="false" ht="15" hidden="false" customHeight="false" outlineLevel="0" collapsed="false">
      <c r="A1645" s="28" t="n">
        <v>1644</v>
      </c>
      <c r="B1645" s="37" t="s">
        <v>2320</v>
      </c>
      <c r="C1645" s="38" t="s">
        <v>3896</v>
      </c>
      <c r="D1645" s="38" t="n">
        <v>103</v>
      </c>
    </row>
    <row r="1646" customFormat="false" ht="15" hidden="false" customHeight="false" outlineLevel="0" collapsed="false">
      <c r="A1646" s="28" t="n">
        <v>1645</v>
      </c>
      <c r="B1646" s="37" t="s">
        <v>2322</v>
      </c>
      <c r="C1646" s="38" t="s">
        <v>3897</v>
      </c>
      <c r="D1646" s="38" t="n">
        <v>102</v>
      </c>
    </row>
    <row r="1647" customFormat="false" ht="15" hidden="false" customHeight="false" outlineLevel="0" collapsed="false">
      <c r="A1647" s="28" t="n">
        <v>1646</v>
      </c>
      <c r="B1647" s="37" t="s">
        <v>2323</v>
      </c>
      <c r="C1647" s="38" t="s">
        <v>3898</v>
      </c>
      <c r="D1647" s="38" t="n">
        <v>101</v>
      </c>
    </row>
    <row r="1648" customFormat="false" ht="15" hidden="false" customHeight="false" outlineLevel="0" collapsed="false">
      <c r="A1648" s="28" t="n">
        <v>1647</v>
      </c>
      <c r="B1648" s="37" t="s">
        <v>2324</v>
      </c>
      <c r="C1648" s="38" t="s">
        <v>3899</v>
      </c>
      <c r="D1648" s="38" t="n">
        <v>95</v>
      </c>
    </row>
    <row r="1649" customFormat="false" ht="15" hidden="false" customHeight="false" outlineLevel="0" collapsed="false">
      <c r="A1649" s="28" t="n">
        <v>1648</v>
      </c>
      <c r="B1649" s="37" t="s">
        <v>2325</v>
      </c>
      <c r="C1649" s="38" t="s">
        <v>3900</v>
      </c>
      <c r="D1649" s="38" t="n">
        <v>96</v>
      </c>
    </row>
    <row r="1650" customFormat="false" ht="15" hidden="false" customHeight="false" outlineLevel="0" collapsed="false">
      <c r="A1650" s="28" t="n">
        <v>1649</v>
      </c>
      <c r="B1650" s="37" t="s">
        <v>2326</v>
      </c>
      <c r="C1650" s="38" t="s">
        <v>3901</v>
      </c>
      <c r="D1650" s="38" t="n">
        <v>96</v>
      </c>
    </row>
    <row r="1651" customFormat="false" ht="15" hidden="false" customHeight="false" outlineLevel="0" collapsed="false">
      <c r="A1651" s="28" t="n">
        <v>1650</v>
      </c>
      <c r="B1651" s="37" t="s">
        <v>2327</v>
      </c>
      <c r="C1651" s="38" t="s">
        <v>3902</v>
      </c>
      <c r="D1651" s="38" t="n">
        <v>102</v>
      </c>
    </row>
    <row r="1652" customFormat="false" ht="15" hidden="false" customHeight="false" outlineLevel="0" collapsed="false">
      <c r="A1652" s="28" t="n">
        <v>1651</v>
      </c>
      <c r="B1652" s="37" t="s">
        <v>2328</v>
      </c>
      <c r="C1652" s="38" t="s">
        <v>3903</v>
      </c>
      <c r="D1652" s="38" t="n">
        <v>101</v>
      </c>
    </row>
    <row r="1653" customFormat="false" ht="15" hidden="false" customHeight="false" outlineLevel="0" collapsed="false">
      <c r="A1653" s="28" t="n">
        <v>1652</v>
      </c>
      <c r="B1653" s="37" t="s">
        <v>2330</v>
      </c>
      <c r="C1653" s="38" t="s">
        <v>3904</v>
      </c>
      <c r="D1653" s="38" t="n">
        <v>95</v>
      </c>
    </row>
    <row r="1654" customFormat="false" ht="15" hidden="false" customHeight="false" outlineLevel="0" collapsed="false">
      <c r="A1654" s="28" t="n">
        <v>1653</v>
      </c>
      <c r="B1654" s="37" t="s">
        <v>2331</v>
      </c>
      <c r="C1654" s="38" t="s">
        <v>3905</v>
      </c>
      <c r="D1654" s="38" t="n">
        <v>104</v>
      </c>
    </row>
    <row r="1655" customFormat="false" ht="15" hidden="false" customHeight="false" outlineLevel="0" collapsed="false">
      <c r="A1655" s="28" t="n">
        <v>1654</v>
      </c>
      <c r="B1655" s="37" t="s">
        <v>313</v>
      </c>
      <c r="C1655" s="38" t="s">
        <v>3906</v>
      </c>
      <c r="D1655" s="38" t="n">
        <v>75</v>
      </c>
    </row>
    <row r="1656" customFormat="false" ht="15" hidden="false" customHeight="false" outlineLevel="0" collapsed="false">
      <c r="A1656" s="28" t="n">
        <v>1655</v>
      </c>
      <c r="B1656" s="37" t="s">
        <v>2332</v>
      </c>
      <c r="C1656" s="38" t="s">
        <v>2794</v>
      </c>
      <c r="D1656" s="38" t="n">
        <v>93</v>
      </c>
    </row>
    <row r="1657" customFormat="false" ht="15" hidden="false" customHeight="false" outlineLevel="0" collapsed="false">
      <c r="A1657" s="28" t="n">
        <v>1656</v>
      </c>
      <c r="B1657" s="37" t="s">
        <v>2333</v>
      </c>
      <c r="C1657" s="38" t="s">
        <v>3907</v>
      </c>
      <c r="D1657" s="38" t="n">
        <v>97</v>
      </c>
    </row>
    <row r="1658" customFormat="false" ht="15" hidden="false" customHeight="false" outlineLevel="0" collapsed="false">
      <c r="A1658" s="28" t="n">
        <v>1657</v>
      </c>
      <c r="B1658" s="37" t="s">
        <v>2334</v>
      </c>
      <c r="C1658" s="38" t="s">
        <v>3908</v>
      </c>
      <c r="D1658" s="38" t="n">
        <v>97</v>
      </c>
    </row>
    <row r="1659" customFormat="false" ht="15" hidden="false" customHeight="false" outlineLevel="0" collapsed="false">
      <c r="A1659" s="28" t="n">
        <v>1658</v>
      </c>
      <c r="B1659" s="37" t="s">
        <v>2335</v>
      </c>
      <c r="C1659" s="38" t="s">
        <v>3909</v>
      </c>
      <c r="D1659" s="38" t="n">
        <v>98</v>
      </c>
    </row>
    <row r="1660" customFormat="false" ht="15" hidden="false" customHeight="false" outlineLevel="0" collapsed="false">
      <c r="A1660" s="28" t="n">
        <v>1659</v>
      </c>
      <c r="B1660" s="37" t="s">
        <v>2336</v>
      </c>
      <c r="C1660" s="38" t="s">
        <v>3910</v>
      </c>
      <c r="D1660" s="38" t="n">
        <v>91</v>
      </c>
    </row>
    <row r="1661" customFormat="false" ht="15" hidden="false" customHeight="false" outlineLevel="0" collapsed="false">
      <c r="A1661" s="28" t="n">
        <v>1660</v>
      </c>
      <c r="B1661" s="37" t="s">
        <v>2337</v>
      </c>
      <c r="C1661" s="38" t="s">
        <v>3911</v>
      </c>
      <c r="D1661" s="38" t="n">
        <v>98</v>
      </c>
    </row>
    <row r="1662" customFormat="false" ht="15" hidden="false" customHeight="false" outlineLevel="0" collapsed="false">
      <c r="A1662" s="28" t="n">
        <v>1661</v>
      </c>
      <c r="B1662" s="37" t="s">
        <v>2338</v>
      </c>
      <c r="C1662" s="38" t="s">
        <v>3912</v>
      </c>
      <c r="D1662" s="38" t="n">
        <v>93</v>
      </c>
    </row>
    <row r="1663" customFormat="false" ht="15" hidden="false" customHeight="false" outlineLevel="0" collapsed="false">
      <c r="A1663" s="28" t="n">
        <v>1662</v>
      </c>
      <c r="B1663" s="37" t="s">
        <v>2339</v>
      </c>
      <c r="C1663" s="38" t="s">
        <v>3720</v>
      </c>
      <c r="D1663" s="38" t="n">
        <v>87</v>
      </c>
    </row>
    <row r="1664" customFormat="false" ht="15" hidden="false" customHeight="false" outlineLevel="0" collapsed="false">
      <c r="A1664" s="28" t="n">
        <v>1663</v>
      </c>
      <c r="B1664" s="37" t="s">
        <v>2340</v>
      </c>
      <c r="C1664" s="38" t="s">
        <v>3913</v>
      </c>
      <c r="D1664" s="38" t="n">
        <v>117</v>
      </c>
    </row>
    <row r="1665" customFormat="false" ht="15" hidden="false" customHeight="false" outlineLevel="0" collapsed="false">
      <c r="A1665" s="28" t="n">
        <v>1664</v>
      </c>
      <c r="B1665" s="37" t="s">
        <v>2341</v>
      </c>
      <c r="C1665" s="38" t="s">
        <v>3914</v>
      </c>
      <c r="D1665" s="38" t="n">
        <v>94</v>
      </c>
    </row>
    <row r="1666" customFormat="false" ht="15" hidden="false" customHeight="false" outlineLevel="0" collapsed="false">
      <c r="A1666" s="28" t="n">
        <v>1665</v>
      </c>
      <c r="B1666" s="37" t="s">
        <v>2342</v>
      </c>
      <c r="C1666" s="38" t="s">
        <v>3915</v>
      </c>
      <c r="D1666" s="38" t="n">
        <v>102</v>
      </c>
    </row>
    <row r="1667" customFormat="false" ht="15" hidden="false" customHeight="false" outlineLevel="0" collapsed="false">
      <c r="A1667" s="28" t="n">
        <v>1666</v>
      </c>
      <c r="B1667" s="37" t="s">
        <v>2343</v>
      </c>
      <c r="C1667" s="38" t="s">
        <v>3916</v>
      </c>
      <c r="D1667" s="38" t="n">
        <v>104</v>
      </c>
    </row>
    <row r="1668" customFormat="false" ht="15" hidden="false" customHeight="false" outlineLevel="0" collapsed="false">
      <c r="A1668" s="28" t="n">
        <v>1667</v>
      </c>
      <c r="B1668" s="37" t="s">
        <v>2344</v>
      </c>
      <c r="C1668" s="38" t="s">
        <v>3917</v>
      </c>
      <c r="D1668" s="38" t="n">
        <v>98</v>
      </c>
    </row>
    <row r="1669" customFormat="false" ht="15" hidden="false" customHeight="false" outlineLevel="0" collapsed="false">
      <c r="A1669" s="28" t="n">
        <v>1668</v>
      </c>
      <c r="B1669" s="37" t="s">
        <v>2346</v>
      </c>
      <c r="C1669" s="38" t="s">
        <v>2786</v>
      </c>
      <c r="D1669" s="38" t="n">
        <v>100</v>
      </c>
    </row>
    <row r="1670" customFormat="false" ht="15" hidden="false" customHeight="false" outlineLevel="0" collapsed="false">
      <c r="A1670" s="28" t="n">
        <v>1669</v>
      </c>
      <c r="B1670" s="37" t="s">
        <v>2347</v>
      </c>
      <c r="C1670" s="38" t="s">
        <v>3918</v>
      </c>
      <c r="D1670" s="38" t="n">
        <v>98</v>
      </c>
    </row>
    <row r="1671" customFormat="false" ht="15" hidden="false" customHeight="false" outlineLevel="0" collapsed="false">
      <c r="A1671" s="28" t="n">
        <v>1670</v>
      </c>
      <c r="B1671" s="37" t="s">
        <v>2348</v>
      </c>
      <c r="C1671" s="38" t="s">
        <v>3276</v>
      </c>
      <c r="D1671" s="38" t="n">
        <v>93</v>
      </c>
    </row>
    <row r="1672" customFormat="false" ht="15" hidden="false" customHeight="false" outlineLevel="0" collapsed="false">
      <c r="A1672" s="28" t="n">
        <v>1671</v>
      </c>
      <c r="B1672" s="37" t="s">
        <v>2351</v>
      </c>
      <c r="C1672" s="38" t="s">
        <v>3575</v>
      </c>
      <c r="D1672" s="38" t="n">
        <v>93</v>
      </c>
    </row>
    <row r="1673" customFormat="false" ht="15" hidden="false" customHeight="false" outlineLevel="0" collapsed="false">
      <c r="A1673" s="28" t="n">
        <v>1672</v>
      </c>
      <c r="B1673" s="37" t="s">
        <v>2352</v>
      </c>
      <c r="C1673" s="38" t="s">
        <v>3919</v>
      </c>
      <c r="D1673" s="38" t="n">
        <v>72</v>
      </c>
    </row>
    <row r="1674" customFormat="false" ht="15" hidden="false" customHeight="false" outlineLevel="0" collapsed="false">
      <c r="A1674" s="28" t="n">
        <v>1673</v>
      </c>
      <c r="B1674" s="37" t="s">
        <v>2353</v>
      </c>
      <c r="C1674" s="38" t="s">
        <v>2962</v>
      </c>
      <c r="D1674" s="38" t="n">
        <v>101</v>
      </c>
    </row>
    <row r="1675" customFormat="false" ht="15" hidden="false" customHeight="false" outlineLevel="0" collapsed="false">
      <c r="A1675" s="28" t="n">
        <v>1674</v>
      </c>
      <c r="B1675" s="37" t="s">
        <v>2354</v>
      </c>
      <c r="C1675" s="38" t="s">
        <v>3920</v>
      </c>
      <c r="D1675" s="38" t="n">
        <v>96</v>
      </c>
    </row>
    <row r="1676" customFormat="false" ht="15" hidden="false" customHeight="false" outlineLevel="0" collapsed="false">
      <c r="A1676" s="28" t="n">
        <v>1675</v>
      </c>
      <c r="B1676" s="37" t="s">
        <v>2355</v>
      </c>
      <c r="C1676" s="38" t="s">
        <v>2566</v>
      </c>
      <c r="D1676" s="38" t="n">
        <v>96</v>
      </c>
    </row>
    <row r="1677" customFormat="false" ht="15" hidden="false" customHeight="false" outlineLevel="0" collapsed="false">
      <c r="A1677" s="28" t="n">
        <v>1676</v>
      </c>
      <c r="B1677" s="37" t="s">
        <v>2356</v>
      </c>
      <c r="C1677" s="38" t="s">
        <v>3921</v>
      </c>
      <c r="D1677" s="38" t="n">
        <v>97</v>
      </c>
    </row>
    <row r="1678" customFormat="false" ht="15" hidden="false" customHeight="false" outlineLevel="0" collapsed="false">
      <c r="A1678" s="28" t="n">
        <v>1677</v>
      </c>
      <c r="B1678" s="37" t="s">
        <v>2357</v>
      </c>
      <c r="C1678" s="38" t="s">
        <v>3922</v>
      </c>
      <c r="D1678" s="38" t="n">
        <v>109</v>
      </c>
    </row>
    <row r="1679" customFormat="false" ht="15" hidden="false" customHeight="false" outlineLevel="0" collapsed="false">
      <c r="A1679" s="28" t="n">
        <v>1678</v>
      </c>
      <c r="B1679" s="37" t="s">
        <v>3923</v>
      </c>
      <c r="C1679" s="38" t="s">
        <v>3924</v>
      </c>
      <c r="D1679" s="38" t="n">
        <v>75</v>
      </c>
    </row>
    <row r="1680" customFormat="false" ht="15" hidden="false" customHeight="false" outlineLevel="0" collapsed="false">
      <c r="A1680" s="28" t="n">
        <v>1679</v>
      </c>
      <c r="B1680" s="37" t="s">
        <v>2358</v>
      </c>
      <c r="C1680" s="38" t="s">
        <v>3925</v>
      </c>
      <c r="D1680" s="38" t="n">
        <v>97</v>
      </c>
    </row>
    <row r="1681" customFormat="false" ht="15" hidden="false" customHeight="false" outlineLevel="0" collapsed="false">
      <c r="A1681" s="28" t="n">
        <v>1680</v>
      </c>
      <c r="B1681" s="37" t="s">
        <v>2359</v>
      </c>
      <c r="C1681" s="38" t="s">
        <v>3926</v>
      </c>
      <c r="D1681" s="38" t="n">
        <v>102</v>
      </c>
    </row>
    <row r="1682" customFormat="false" ht="15" hidden="false" customHeight="false" outlineLevel="0" collapsed="false">
      <c r="A1682" s="28" t="n">
        <v>1681</v>
      </c>
      <c r="B1682" s="37" t="s">
        <v>2360</v>
      </c>
      <c r="C1682" s="38" t="s">
        <v>3927</v>
      </c>
      <c r="D1682" s="38" t="n">
        <v>90</v>
      </c>
    </row>
    <row r="1683" customFormat="false" ht="15" hidden="false" customHeight="false" outlineLevel="0" collapsed="false">
      <c r="A1683" s="28" t="n">
        <v>1682</v>
      </c>
      <c r="B1683" s="37" t="s">
        <v>2361</v>
      </c>
      <c r="C1683" s="38" t="s">
        <v>3928</v>
      </c>
      <c r="D1683" s="38" t="n">
        <v>104</v>
      </c>
    </row>
    <row r="1684" customFormat="false" ht="15" hidden="false" customHeight="false" outlineLevel="0" collapsed="false">
      <c r="A1684" s="28" t="n">
        <v>1683</v>
      </c>
      <c r="B1684" s="37" t="s">
        <v>2362</v>
      </c>
      <c r="C1684" s="38" t="s">
        <v>3929</v>
      </c>
      <c r="D1684" s="38" t="n">
        <v>110</v>
      </c>
    </row>
    <row r="1685" customFormat="false" ht="15" hidden="false" customHeight="false" outlineLevel="0" collapsed="false">
      <c r="A1685" s="28" t="n">
        <v>1684</v>
      </c>
      <c r="B1685" s="37" t="s">
        <v>2363</v>
      </c>
      <c r="C1685" s="38" t="s">
        <v>3272</v>
      </c>
      <c r="D1685" s="38" t="n">
        <v>111</v>
      </c>
    </row>
    <row r="1686" customFormat="false" ht="15" hidden="false" customHeight="false" outlineLevel="0" collapsed="false">
      <c r="A1686" s="28" t="n">
        <v>1685</v>
      </c>
      <c r="B1686" s="37" t="s">
        <v>2364</v>
      </c>
      <c r="C1686" s="38" t="s">
        <v>3930</v>
      </c>
      <c r="D1686" s="38" t="n">
        <v>104</v>
      </c>
    </row>
    <row r="1687" customFormat="false" ht="15" hidden="false" customHeight="false" outlineLevel="0" collapsed="false">
      <c r="A1687" s="28" t="n">
        <v>1686</v>
      </c>
      <c r="B1687" s="37" t="s">
        <v>2365</v>
      </c>
      <c r="C1687" s="38" t="s">
        <v>3931</v>
      </c>
      <c r="D1687" s="38" t="n">
        <v>110</v>
      </c>
    </row>
    <row r="1688" customFormat="false" ht="15" hidden="false" customHeight="false" outlineLevel="0" collapsed="false">
      <c r="A1688" s="28" t="n">
        <v>1687</v>
      </c>
      <c r="B1688" s="37" t="s">
        <v>2366</v>
      </c>
      <c r="C1688" s="38" t="s">
        <v>2594</v>
      </c>
      <c r="D1688" s="38" t="n">
        <v>98</v>
      </c>
    </row>
    <row r="1689" customFormat="false" ht="15" hidden="false" customHeight="false" outlineLevel="0" collapsed="false">
      <c r="A1689" s="28" t="n">
        <v>1688</v>
      </c>
      <c r="B1689" s="37" t="s">
        <v>2367</v>
      </c>
      <c r="C1689" s="38" t="s">
        <v>3932</v>
      </c>
      <c r="D1689" s="38" t="n">
        <v>100</v>
      </c>
    </row>
    <row r="1690" customFormat="false" ht="15" hidden="false" customHeight="false" outlineLevel="0" collapsed="false">
      <c r="A1690" s="28" t="n">
        <v>1689</v>
      </c>
      <c r="B1690" s="37" t="s">
        <v>2368</v>
      </c>
      <c r="C1690" s="38" t="s">
        <v>3933</v>
      </c>
      <c r="D1690" s="38" t="n">
        <v>95</v>
      </c>
    </row>
    <row r="1691" customFormat="false" ht="15" hidden="false" customHeight="false" outlineLevel="0" collapsed="false">
      <c r="A1691" s="28" t="n">
        <v>1690</v>
      </c>
      <c r="B1691" s="37" t="s">
        <v>2370</v>
      </c>
      <c r="C1691" s="38" t="s">
        <v>3139</v>
      </c>
      <c r="D1691" s="38" t="n">
        <v>98</v>
      </c>
    </row>
    <row r="1692" customFormat="false" ht="15" hidden="false" customHeight="false" outlineLevel="0" collapsed="false">
      <c r="A1692" s="28" t="n">
        <v>1691</v>
      </c>
      <c r="B1692" s="37" t="s">
        <v>2371</v>
      </c>
      <c r="C1692" s="38" t="s">
        <v>3375</v>
      </c>
      <c r="D1692" s="38" t="n">
        <v>91</v>
      </c>
    </row>
    <row r="1693" customFormat="false" ht="15" hidden="false" customHeight="false" outlineLevel="0" collapsed="false">
      <c r="A1693" s="28" t="n">
        <v>1692</v>
      </c>
      <c r="B1693" s="37" t="s">
        <v>2373</v>
      </c>
      <c r="C1693" s="38" t="s">
        <v>3934</v>
      </c>
      <c r="D1693" s="38" t="n">
        <v>95</v>
      </c>
    </row>
    <row r="1694" customFormat="false" ht="15" hidden="false" customHeight="false" outlineLevel="0" collapsed="false">
      <c r="A1694" s="28" t="n">
        <v>1693</v>
      </c>
      <c r="B1694" s="37" t="s">
        <v>2374</v>
      </c>
      <c r="C1694" s="38" t="s">
        <v>2855</v>
      </c>
      <c r="D1694" s="38" t="n">
        <v>73</v>
      </c>
    </row>
    <row r="1695" customFormat="false" ht="15" hidden="false" customHeight="false" outlineLevel="0" collapsed="false">
      <c r="A1695" s="28" t="n">
        <v>1694</v>
      </c>
      <c r="B1695" s="37" t="s">
        <v>2375</v>
      </c>
      <c r="C1695" s="38" t="s">
        <v>2798</v>
      </c>
      <c r="D1695" s="38" t="n">
        <v>100</v>
      </c>
    </row>
    <row r="1696" customFormat="false" ht="15" hidden="false" customHeight="false" outlineLevel="0" collapsed="false">
      <c r="A1696" s="28" t="n">
        <v>1695</v>
      </c>
      <c r="B1696" s="37" t="s">
        <v>2376</v>
      </c>
      <c r="C1696" s="38" t="s">
        <v>3935</v>
      </c>
      <c r="D1696" s="38" t="n">
        <v>90</v>
      </c>
    </row>
    <row r="1697" customFormat="false" ht="15" hidden="false" customHeight="false" outlineLevel="0" collapsed="false">
      <c r="A1697" s="28" t="n">
        <v>1696</v>
      </c>
      <c r="B1697" s="37" t="s">
        <v>2377</v>
      </c>
      <c r="C1697" s="38" t="s">
        <v>3936</v>
      </c>
      <c r="D1697" s="38" t="n">
        <v>100</v>
      </c>
    </row>
    <row r="1698" customFormat="false" ht="15" hidden="false" customHeight="false" outlineLevel="0" collapsed="false">
      <c r="A1698" s="28" t="n">
        <v>1697</v>
      </c>
      <c r="B1698" s="37" t="s">
        <v>2378</v>
      </c>
      <c r="C1698" s="38" t="s">
        <v>3076</v>
      </c>
      <c r="D1698" s="38" t="n">
        <v>89</v>
      </c>
    </row>
    <row r="1699" customFormat="false" ht="15" hidden="false" customHeight="false" outlineLevel="0" collapsed="false">
      <c r="A1699" s="28" t="n">
        <v>1698</v>
      </c>
      <c r="B1699" s="37" t="s">
        <v>2379</v>
      </c>
      <c r="C1699" s="38" t="s">
        <v>3937</v>
      </c>
      <c r="D1699" s="38" t="n">
        <v>107</v>
      </c>
    </row>
    <row r="1700" customFormat="false" ht="15" hidden="false" customHeight="false" outlineLevel="0" collapsed="false">
      <c r="A1700" s="28" t="n">
        <v>1699</v>
      </c>
      <c r="B1700" s="37" t="s">
        <v>2380</v>
      </c>
      <c r="C1700" s="38" t="s">
        <v>3938</v>
      </c>
      <c r="D1700" s="38" t="n">
        <v>109</v>
      </c>
    </row>
    <row r="1701" customFormat="false" ht="15" hidden="false" customHeight="false" outlineLevel="0" collapsed="false">
      <c r="A1701" s="28" t="n">
        <v>1700</v>
      </c>
      <c r="B1701" s="37" t="s">
        <v>2381</v>
      </c>
      <c r="C1701" s="38" t="s">
        <v>3939</v>
      </c>
      <c r="D1701" s="38" t="n">
        <v>110</v>
      </c>
    </row>
    <row r="1702" customFormat="false" ht="15" hidden="false" customHeight="false" outlineLevel="0" collapsed="false">
      <c r="A1702" s="28" t="n">
        <v>1701</v>
      </c>
      <c r="B1702" s="37" t="s">
        <v>2382</v>
      </c>
      <c r="C1702" s="38" t="s">
        <v>3828</v>
      </c>
      <c r="D1702" s="38" t="n">
        <v>96</v>
      </c>
    </row>
    <row r="1703" customFormat="false" ht="15" hidden="false" customHeight="false" outlineLevel="0" collapsed="false">
      <c r="A1703" s="28" t="n">
        <v>1702</v>
      </c>
      <c r="B1703" s="37" t="s">
        <v>2383</v>
      </c>
      <c r="C1703" s="38" t="s">
        <v>3940</v>
      </c>
      <c r="D1703" s="38" t="n">
        <v>93</v>
      </c>
    </row>
    <row r="1704" customFormat="false" ht="15" hidden="false" customHeight="false" outlineLevel="0" collapsed="false">
      <c r="A1704" s="28" t="n">
        <v>1703</v>
      </c>
      <c r="B1704" s="37" t="s">
        <v>2384</v>
      </c>
      <c r="C1704" s="38" t="s">
        <v>3941</v>
      </c>
      <c r="D1704" s="38" t="n">
        <v>99</v>
      </c>
    </row>
    <row r="1705" customFormat="false" ht="15" hidden="false" customHeight="false" outlineLevel="0" collapsed="false">
      <c r="A1705" s="28" t="n">
        <v>1704</v>
      </c>
      <c r="B1705" s="37" t="s">
        <v>2385</v>
      </c>
      <c r="C1705" s="38" t="s">
        <v>3942</v>
      </c>
      <c r="D1705" s="38" t="n">
        <v>100</v>
      </c>
    </row>
    <row r="1706" customFormat="false" ht="15" hidden="false" customHeight="false" outlineLevel="0" collapsed="false">
      <c r="A1706" s="28" t="n">
        <v>1705</v>
      </c>
      <c r="B1706" s="37" t="s">
        <v>2387</v>
      </c>
      <c r="C1706" s="38" t="s">
        <v>3943</v>
      </c>
      <c r="D1706" s="38" t="n">
        <v>106</v>
      </c>
    </row>
    <row r="1707" customFormat="false" ht="15" hidden="false" customHeight="false" outlineLevel="0" collapsed="false">
      <c r="A1707" s="28" t="n">
        <v>1706</v>
      </c>
      <c r="B1707" s="37" t="s">
        <v>2388</v>
      </c>
      <c r="C1707" s="38" t="s">
        <v>3944</v>
      </c>
      <c r="D1707" s="38" t="n">
        <v>97</v>
      </c>
    </row>
    <row r="1708" customFormat="false" ht="15" hidden="false" customHeight="false" outlineLevel="0" collapsed="false">
      <c r="A1708" s="28" t="n">
        <v>1707</v>
      </c>
      <c r="B1708" s="37" t="s">
        <v>2389</v>
      </c>
      <c r="C1708" s="38" t="s">
        <v>3945</v>
      </c>
      <c r="D1708" s="38" t="n">
        <v>98</v>
      </c>
    </row>
    <row r="1709" customFormat="false" ht="15" hidden="false" customHeight="false" outlineLevel="0" collapsed="false">
      <c r="A1709" s="28" t="n">
        <v>1708</v>
      </c>
      <c r="B1709" s="37" t="s">
        <v>2390</v>
      </c>
      <c r="C1709" s="38" t="s">
        <v>3684</v>
      </c>
      <c r="D1709" s="38" t="n">
        <v>98</v>
      </c>
    </row>
    <row r="1710" customFormat="false" ht="15" hidden="false" customHeight="false" outlineLevel="0" collapsed="false">
      <c r="A1710" s="28" t="n">
        <v>1709</v>
      </c>
      <c r="B1710" s="37" t="s">
        <v>2391</v>
      </c>
      <c r="C1710" s="38" t="s">
        <v>3946</v>
      </c>
      <c r="D1710" s="38" t="n">
        <v>95</v>
      </c>
    </row>
    <row r="1711" customFormat="false" ht="15" hidden="false" customHeight="false" outlineLevel="0" collapsed="false">
      <c r="A1711" s="28" t="n">
        <v>1710</v>
      </c>
      <c r="B1711" s="37" t="s">
        <v>2392</v>
      </c>
      <c r="C1711" s="38" t="s">
        <v>3947</v>
      </c>
      <c r="D1711" s="38" t="n">
        <v>96</v>
      </c>
    </row>
    <row r="1712" customFormat="false" ht="15" hidden="false" customHeight="false" outlineLevel="0" collapsed="false">
      <c r="A1712" s="28" t="n">
        <v>1711</v>
      </c>
      <c r="B1712" s="37" t="s">
        <v>2393</v>
      </c>
      <c r="C1712" s="38" t="s">
        <v>3222</v>
      </c>
      <c r="D1712" s="38" t="n">
        <v>101</v>
      </c>
    </row>
    <row r="1713" customFormat="false" ht="15" hidden="false" customHeight="false" outlineLevel="0" collapsed="false">
      <c r="A1713" s="28" t="n">
        <v>1712</v>
      </c>
      <c r="B1713" s="37" t="s">
        <v>2394</v>
      </c>
      <c r="C1713" s="38" t="s">
        <v>3948</v>
      </c>
      <c r="D1713" s="38" t="n">
        <v>92</v>
      </c>
    </row>
    <row r="1714" customFormat="false" ht="15" hidden="false" customHeight="false" outlineLevel="0" collapsed="false">
      <c r="A1714" s="28" t="n">
        <v>1713</v>
      </c>
      <c r="B1714" s="37" t="s">
        <v>2396</v>
      </c>
      <c r="C1714" s="38" t="s">
        <v>3921</v>
      </c>
      <c r="D1714" s="38" t="n">
        <v>97</v>
      </c>
    </row>
    <row r="1715" customFormat="false" ht="15" hidden="false" customHeight="false" outlineLevel="0" collapsed="false">
      <c r="A1715" s="28" t="n">
        <v>1714</v>
      </c>
      <c r="B1715" s="37" t="s">
        <v>2398</v>
      </c>
      <c r="C1715" s="38" t="s">
        <v>3949</v>
      </c>
      <c r="D1715" s="38" t="n">
        <v>101</v>
      </c>
    </row>
    <row r="1716" customFormat="false" ht="15" hidden="false" customHeight="false" outlineLevel="0" collapsed="false">
      <c r="A1716" s="28" t="n">
        <v>1715</v>
      </c>
      <c r="B1716" s="37" t="s">
        <v>2400</v>
      </c>
      <c r="C1716" s="38" t="s">
        <v>3950</v>
      </c>
      <c r="D1716" s="38" t="n">
        <v>100</v>
      </c>
    </row>
    <row r="1717" customFormat="false" ht="15" hidden="false" customHeight="false" outlineLevel="0" collapsed="false">
      <c r="A1717" s="28" t="n">
        <v>1716</v>
      </c>
      <c r="B1717" s="37" t="s">
        <v>2401</v>
      </c>
      <c r="C1717" s="38" t="s">
        <v>3951</v>
      </c>
      <c r="D1717" s="38" t="n">
        <v>90</v>
      </c>
    </row>
    <row r="1718" customFormat="false" ht="15" hidden="false" customHeight="false" outlineLevel="0" collapsed="false">
      <c r="A1718" s="28" t="n">
        <v>1717</v>
      </c>
      <c r="B1718" s="37" t="s">
        <v>2402</v>
      </c>
      <c r="C1718" s="38" t="s">
        <v>3952</v>
      </c>
      <c r="D1718" s="38" t="n">
        <v>119</v>
      </c>
    </row>
    <row r="1719" customFormat="false" ht="15" hidden="false" customHeight="false" outlineLevel="0" collapsed="false">
      <c r="A1719" s="28" t="n">
        <v>1718</v>
      </c>
      <c r="B1719" s="37" t="s">
        <v>2405</v>
      </c>
      <c r="C1719" s="38" t="s">
        <v>3953</v>
      </c>
      <c r="D1719" s="38" t="n">
        <v>91</v>
      </c>
    </row>
    <row r="1720" customFormat="false" ht="15" hidden="false" customHeight="false" outlineLevel="0" collapsed="false">
      <c r="A1720" s="28" t="n">
        <v>1719</v>
      </c>
      <c r="B1720" s="37" t="s">
        <v>2406</v>
      </c>
      <c r="C1720" s="38" t="s">
        <v>3954</v>
      </c>
      <c r="D1720" s="38" t="n">
        <v>94</v>
      </c>
    </row>
    <row r="1721" customFormat="false" ht="15" hidden="false" customHeight="false" outlineLevel="0" collapsed="false">
      <c r="A1721" s="28" t="n">
        <v>1720</v>
      </c>
      <c r="B1721" s="37" t="s">
        <v>2407</v>
      </c>
      <c r="C1721" s="38" t="s">
        <v>2619</v>
      </c>
      <c r="D1721" s="38" t="n">
        <v>86</v>
      </c>
    </row>
    <row r="1722" customFormat="false" ht="15" hidden="false" customHeight="false" outlineLevel="0" collapsed="false">
      <c r="A1722" s="28" t="n">
        <v>1721</v>
      </c>
      <c r="B1722" s="37" t="s">
        <v>2408</v>
      </c>
      <c r="C1722" s="38" t="s">
        <v>3622</v>
      </c>
      <c r="D1722" s="38" t="n">
        <v>99</v>
      </c>
    </row>
    <row r="1723" customFormat="false" ht="15" hidden="false" customHeight="false" outlineLevel="0" collapsed="false">
      <c r="A1723" s="28" t="n">
        <v>1722</v>
      </c>
      <c r="B1723" s="37" t="s">
        <v>2409</v>
      </c>
      <c r="C1723" s="38" t="s">
        <v>3955</v>
      </c>
      <c r="D1723" s="38" t="n">
        <v>93</v>
      </c>
    </row>
    <row r="1724" customFormat="false" ht="15" hidden="false" customHeight="false" outlineLevel="0" collapsed="false">
      <c r="A1724" s="28" t="n">
        <v>1723</v>
      </c>
      <c r="B1724" s="37" t="s">
        <v>2410</v>
      </c>
      <c r="C1724" s="38" t="s">
        <v>3956</v>
      </c>
      <c r="D1724" s="38" t="n">
        <v>91</v>
      </c>
    </row>
    <row r="1725" customFormat="false" ht="15" hidden="false" customHeight="false" outlineLevel="0" collapsed="false">
      <c r="A1725" s="28" t="n">
        <v>1724</v>
      </c>
      <c r="B1725" s="37" t="s">
        <v>2411</v>
      </c>
      <c r="C1725" s="38" t="s">
        <v>3957</v>
      </c>
      <c r="D1725" s="38" t="n">
        <v>96</v>
      </c>
    </row>
    <row r="1726" customFormat="false" ht="15" hidden="false" customHeight="false" outlineLevel="0" collapsed="false">
      <c r="A1726" s="28" t="n">
        <v>1725</v>
      </c>
      <c r="B1726" s="37" t="s">
        <v>2412</v>
      </c>
      <c r="C1726" s="38" t="s">
        <v>3958</v>
      </c>
      <c r="D1726" s="38" t="n">
        <v>107</v>
      </c>
    </row>
    <row r="1727" customFormat="false" ht="15" hidden="false" customHeight="false" outlineLevel="0" collapsed="false">
      <c r="A1727" s="28" t="n">
        <v>1726</v>
      </c>
      <c r="B1727" s="37" t="s">
        <v>2413</v>
      </c>
      <c r="C1727" s="38" t="s">
        <v>2932</v>
      </c>
      <c r="D1727" s="38" t="n">
        <v>91</v>
      </c>
    </row>
    <row r="1728" customFormat="false" ht="15" hidden="false" customHeight="false" outlineLevel="0" collapsed="false">
      <c r="A1728" s="28" t="n">
        <v>1727</v>
      </c>
      <c r="B1728" s="37" t="s">
        <v>2415</v>
      </c>
      <c r="C1728" s="38" t="s">
        <v>3959</v>
      </c>
      <c r="D1728" s="38" t="n">
        <v>100</v>
      </c>
    </row>
    <row r="1729" customFormat="false" ht="15" hidden="false" customHeight="false" outlineLevel="0" collapsed="false">
      <c r="A1729" s="28" t="n">
        <v>1728</v>
      </c>
      <c r="B1729" s="37" t="s">
        <v>2416</v>
      </c>
      <c r="C1729" s="38" t="s">
        <v>3701</v>
      </c>
      <c r="D1729" s="38" t="n">
        <v>99</v>
      </c>
    </row>
    <row r="1730" customFormat="false" ht="15" hidden="false" customHeight="false" outlineLevel="0" collapsed="false">
      <c r="A1730" s="28" t="n">
        <v>1729</v>
      </c>
      <c r="B1730" s="37" t="s">
        <v>2417</v>
      </c>
      <c r="C1730" s="38" t="s">
        <v>2894</v>
      </c>
      <c r="D1730" s="38" t="n">
        <v>100</v>
      </c>
    </row>
    <row r="1731" customFormat="false" ht="15" hidden="false" customHeight="false" outlineLevel="0" collapsed="false">
      <c r="A1731" s="28" t="n">
        <v>1730</v>
      </c>
      <c r="B1731" s="37" t="s">
        <v>2418</v>
      </c>
      <c r="C1731" s="38" t="s">
        <v>3358</v>
      </c>
      <c r="D1731" s="38" t="n">
        <v>89</v>
      </c>
    </row>
    <row r="1732" customFormat="false" ht="15" hidden="false" customHeight="false" outlineLevel="0" collapsed="false">
      <c r="A1732" s="28" t="n">
        <v>1731</v>
      </c>
      <c r="B1732" s="37" t="s">
        <v>2419</v>
      </c>
      <c r="C1732" s="38" t="s">
        <v>3502</v>
      </c>
      <c r="D1732" s="38" t="n">
        <v>95</v>
      </c>
    </row>
    <row r="1733" customFormat="false" ht="15" hidden="false" customHeight="false" outlineLevel="0" collapsed="false">
      <c r="A1733" s="28" t="n">
        <v>1732</v>
      </c>
      <c r="B1733" s="37" t="s">
        <v>2420</v>
      </c>
      <c r="C1733" s="38" t="s">
        <v>3960</v>
      </c>
      <c r="D1733" s="38" t="n">
        <v>87</v>
      </c>
    </row>
    <row r="1734" customFormat="false" ht="15" hidden="false" customHeight="false" outlineLevel="0" collapsed="false">
      <c r="A1734" s="28" t="n">
        <v>1733</v>
      </c>
      <c r="B1734" s="37" t="s">
        <v>2421</v>
      </c>
      <c r="C1734" s="38" t="s">
        <v>3835</v>
      </c>
      <c r="D1734" s="38" t="n">
        <v>113</v>
      </c>
    </row>
    <row r="1735" customFormat="false" ht="15" hidden="false" customHeight="false" outlineLevel="0" collapsed="false">
      <c r="A1735" s="28" t="n">
        <v>1734</v>
      </c>
      <c r="B1735" s="37" t="s">
        <v>2422</v>
      </c>
      <c r="C1735" s="38" t="s">
        <v>3961</v>
      </c>
      <c r="D1735" s="38" t="n">
        <v>92</v>
      </c>
    </row>
    <row r="1736" customFormat="false" ht="15" hidden="false" customHeight="false" outlineLevel="0" collapsed="false">
      <c r="A1736" s="28" t="n">
        <v>1735</v>
      </c>
      <c r="B1736" s="37" t="s">
        <v>2423</v>
      </c>
      <c r="C1736" s="38" t="s">
        <v>3962</v>
      </c>
      <c r="D1736" s="38" t="n">
        <v>99</v>
      </c>
    </row>
    <row r="1737" customFormat="false" ht="15" hidden="false" customHeight="false" outlineLevel="0" collapsed="false">
      <c r="A1737" s="28" t="n">
        <v>1736</v>
      </c>
      <c r="B1737" s="37" t="s">
        <v>2425</v>
      </c>
      <c r="C1737" s="38" t="s">
        <v>3963</v>
      </c>
      <c r="D1737" s="38" t="n">
        <v>105</v>
      </c>
    </row>
    <row r="1738" customFormat="false" ht="15" hidden="false" customHeight="false" outlineLevel="0" collapsed="false">
      <c r="A1738" s="28" t="n">
        <v>1737</v>
      </c>
      <c r="B1738" s="37" t="s">
        <v>2426</v>
      </c>
      <c r="C1738" s="38" t="s">
        <v>3964</v>
      </c>
      <c r="D1738" s="38" t="n">
        <v>98</v>
      </c>
    </row>
    <row r="1739" customFormat="false" ht="15" hidden="false" customHeight="false" outlineLevel="0" collapsed="false">
      <c r="A1739" s="28" t="n">
        <v>1738</v>
      </c>
      <c r="B1739" s="37" t="s">
        <v>2427</v>
      </c>
      <c r="C1739" s="38" t="s">
        <v>3965</v>
      </c>
      <c r="D1739" s="38" t="n">
        <v>102</v>
      </c>
    </row>
    <row r="1740" customFormat="false" ht="15" hidden="false" customHeight="false" outlineLevel="0" collapsed="false">
      <c r="A1740" s="28" t="n">
        <v>1739</v>
      </c>
      <c r="B1740" s="37" t="s">
        <v>2428</v>
      </c>
      <c r="C1740" s="38" t="s">
        <v>3197</v>
      </c>
      <c r="D1740" s="38" t="n">
        <v>101</v>
      </c>
    </row>
    <row r="1741" customFormat="false" ht="15" hidden="false" customHeight="false" outlineLevel="0" collapsed="false">
      <c r="A1741" s="28" t="n">
        <v>1740</v>
      </c>
      <c r="B1741" s="37" t="s">
        <v>2430</v>
      </c>
      <c r="C1741" s="38" t="s">
        <v>3966</v>
      </c>
      <c r="D1741" s="38" t="n">
        <v>99</v>
      </c>
    </row>
    <row r="1742" customFormat="false" ht="15" hidden="false" customHeight="false" outlineLevel="0" collapsed="false">
      <c r="A1742" s="28" t="n">
        <v>1741</v>
      </c>
      <c r="B1742" s="37" t="s">
        <v>2431</v>
      </c>
      <c r="C1742" s="38" t="s">
        <v>3967</v>
      </c>
      <c r="D1742" s="38" t="n">
        <v>90</v>
      </c>
    </row>
    <row r="1743" customFormat="false" ht="15" hidden="false" customHeight="false" outlineLevel="0" collapsed="false">
      <c r="A1743" s="28" t="n">
        <v>1742</v>
      </c>
      <c r="B1743" s="37" t="s">
        <v>2432</v>
      </c>
      <c r="C1743" s="38" t="s">
        <v>3968</v>
      </c>
      <c r="D1743" s="38" t="n">
        <v>103</v>
      </c>
    </row>
    <row r="1744" customFormat="false" ht="15" hidden="false" customHeight="false" outlineLevel="0" collapsed="false">
      <c r="A1744" s="28" t="n">
        <v>1743</v>
      </c>
      <c r="B1744" s="37" t="s">
        <v>2434</v>
      </c>
      <c r="C1744" s="38" t="s">
        <v>3969</v>
      </c>
      <c r="D1744" s="38" t="n">
        <v>93</v>
      </c>
    </row>
    <row r="1745" customFormat="false" ht="15" hidden="false" customHeight="false" outlineLevel="0" collapsed="false">
      <c r="A1745" s="28" t="n">
        <v>1744</v>
      </c>
      <c r="B1745" s="37" t="s">
        <v>2435</v>
      </c>
      <c r="C1745" s="38" t="s">
        <v>3633</v>
      </c>
      <c r="D1745" s="38" t="n">
        <v>96</v>
      </c>
    </row>
    <row r="1746" customFormat="false" ht="15" hidden="false" customHeight="false" outlineLevel="0" collapsed="false">
      <c r="A1746" s="28" t="n">
        <v>1745</v>
      </c>
      <c r="B1746" s="37" t="s">
        <v>2436</v>
      </c>
      <c r="C1746" s="38" t="s">
        <v>3271</v>
      </c>
      <c r="D1746" s="38" t="n">
        <v>97</v>
      </c>
    </row>
    <row r="1747" customFormat="false" ht="15" hidden="false" customHeight="false" outlineLevel="0" collapsed="false">
      <c r="A1747" s="28" t="n">
        <v>1746</v>
      </c>
      <c r="B1747" s="37" t="s">
        <v>2437</v>
      </c>
      <c r="C1747" s="38" t="s">
        <v>3970</v>
      </c>
      <c r="D1747" s="38" t="n">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G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6.5"/>
    <col collapsed="false" customWidth="true" hidden="false" outlineLevel="0" max="4" min="4" style="0" width="39"/>
    <col collapsed="false" customWidth="true" hidden="false" outlineLevel="0" max="5" min="5" style="0" width="22.25"/>
    <col collapsed="false" customWidth="true" hidden="false" outlineLevel="0" max="7" min="7" style="0" width="22"/>
  </cols>
  <sheetData>
    <row r="1" customFormat="false" ht="15" hidden="false" customHeight="false" outlineLevel="0" collapsed="false">
      <c r="A1" s="27" t="s">
        <v>269</v>
      </c>
      <c r="B1" s="27" t="s">
        <v>274</v>
      </c>
      <c r="C1" s="27" t="s">
        <v>2506</v>
      </c>
      <c r="D1" s="27" t="s">
        <v>3971</v>
      </c>
      <c r="E1" s="27" t="s">
        <v>3972</v>
      </c>
      <c r="G1" s="26" t="str">
        <f aca="false">HYPERLINK("#'Master Overview'!A1","&lt;&lt; Master Overview")</f>
        <v>&lt;&lt; Master Overview</v>
      </c>
    </row>
    <row r="2" customFormat="false" ht="15" hidden="false" customHeight="false" outlineLevel="0" collapsed="false">
      <c r="A2" s="28" t="n">
        <v>1</v>
      </c>
      <c r="B2" s="37" t="s">
        <v>3973</v>
      </c>
      <c r="C2" s="37" t="s">
        <v>3974</v>
      </c>
      <c r="D2" s="37" t="s">
        <v>3975</v>
      </c>
      <c r="E2" s="38" t="n">
        <v>168</v>
      </c>
      <c r="G2" s="2" t="s">
        <v>3976</v>
      </c>
    </row>
    <row r="3" customFormat="false" ht="15" hidden="false" customHeight="false" outlineLevel="0" collapsed="false">
      <c r="A3" s="28" t="n">
        <v>2</v>
      </c>
      <c r="B3" s="37" t="s">
        <v>3977</v>
      </c>
      <c r="C3" s="37" t="s">
        <v>3978</v>
      </c>
      <c r="D3" s="37" t="s">
        <v>3979</v>
      </c>
      <c r="E3" s="38" t="n">
        <v>161</v>
      </c>
    </row>
    <row r="4" customFormat="false" ht="15" hidden="false" customHeight="false" outlineLevel="0" collapsed="false">
      <c r="A4" s="28" t="n">
        <v>3</v>
      </c>
      <c r="B4" s="37" t="s">
        <v>2508</v>
      </c>
      <c r="C4" s="37" t="s">
        <v>2509</v>
      </c>
      <c r="D4" s="37" t="s">
        <v>3980</v>
      </c>
      <c r="E4" s="38" t="n">
        <v>173</v>
      </c>
    </row>
    <row r="5" customFormat="false" ht="15" hidden="false" customHeight="false" outlineLevel="0" collapsed="false">
      <c r="A5" s="28" t="n">
        <v>4</v>
      </c>
      <c r="B5" s="37" t="s">
        <v>3981</v>
      </c>
      <c r="C5" s="37" t="s">
        <v>3982</v>
      </c>
      <c r="D5" s="37" t="s">
        <v>3983</v>
      </c>
      <c r="E5" s="38" t="n">
        <v>162</v>
      </c>
    </row>
    <row r="6" customFormat="false" ht="15" hidden="false" customHeight="false" outlineLevel="0" collapsed="false">
      <c r="A6" s="28" t="n">
        <v>5</v>
      </c>
      <c r="B6" s="37" t="s">
        <v>3984</v>
      </c>
      <c r="C6" s="37" t="s">
        <v>3985</v>
      </c>
      <c r="D6" s="37" t="s">
        <v>3986</v>
      </c>
      <c r="E6" s="38" t="n">
        <v>164</v>
      </c>
    </row>
    <row r="7" customFormat="false" ht="15" hidden="false" customHeight="false" outlineLevel="0" collapsed="false">
      <c r="A7" s="28" t="n">
        <v>6</v>
      </c>
      <c r="B7" s="37" t="s">
        <v>3987</v>
      </c>
      <c r="C7" s="37" t="s">
        <v>3988</v>
      </c>
      <c r="D7" s="37" t="s">
        <v>3975</v>
      </c>
      <c r="E7" s="38" t="n">
        <v>168</v>
      </c>
    </row>
    <row r="8" customFormat="false" ht="15" hidden="false" customHeight="false" outlineLevel="0" collapsed="false">
      <c r="A8" s="28" t="n">
        <v>7</v>
      </c>
      <c r="B8" s="37" t="s">
        <v>333</v>
      </c>
      <c r="C8" s="37" t="s">
        <v>3974</v>
      </c>
      <c r="D8" s="37" t="s">
        <v>3975</v>
      </c>
      <c r="E8" s="38" t="n">
        <v>168</v>
      </c>
    </row>
    <row r="9" customFormat="false" ht="15" hidden="false" customHeight="false" outlineLevel="0" collapsed="false">
      <c r="A9" s="28" t="n">
        <v>8</v>
      </c>
      <c r="B9" s="37" t="s">
        <v>337</v>
      </c>
      <c r="C9" s="37" t="s">
        <v>3978</v>
      </c>
      <c r="D9" s="37" t="s">
        <v>3979</v>
      </c>
      <c r="E9" s="38" t="n">
        <v>161</v>
      </c>
    </row>
    <row r="10" customFormat="false" ht="15" hidden="false" customHeight="false" outlineLevel="0" collapsed="false">
      <c r="A10" s="28" t="n">
        <v>9</v>
      </c>
      <c r="B10" s="37" t="s">
        <v>338</v>
      </c>
      <c r="C10" s="37" t="s">
        <v>3989</v>
      </c>
      <c r="D10" s="37" t="s">
        <v>3975</v>
      </c>
      <c r="E10" s="38" t="n">
        <v>168</v>
      </c>
    </row>
    <row r="11" customFormat="false" ht="15" hidden="false" customHeight="false" outlineLevel="0" collapsed="false">
      <c r="A11" s="28" t="n">
        <v>10</v>
      </c>
      <c r="B11" s="37" t="s">
        <v>339</v>
      </c>
      <c r="C11" s="37" t="s">
        <v>3990</v>
      </c>
      <c r="D11" s="37" t="s">
        <v>3975</v>
      </c>
      <c r="E11" s="38" t="n">
        <v>168</v>
      </c>
    </row>
    <row r="12" customFormat="false" ht="15" hidden="false" customHeight="false" outlineLevel="0" collapsed="false">
      <c r="A12" s="28" t="n">
        <v>11</v>
      </c>
      <c r="B12" s="37" t="s">
        <v>3991</v>
      </c>
      <c r="C12" s="37" t="s">
        <v>3992</v>
      </c>
      <c r="D12" s="37" t="s">
        <v>3993</v>
      </c>
      <c r="E12" s="38" t="n">
        <v>180</v>
      </c>
    </row>
    <row r="13" customFormat="false" ht="15" hidden="false" customHeight="false" outlineLevel="0" collapsed="false">
      <c r="A13" s="28" t="n">
        <v>12</v>
      </c>
      <c r="B13" s="37" t="s">
        <v>3994</v>
      </c>
      <c r="C13" s="37" t="s">
        <v>3978</v>
      </c>
      <c r="D13" s="37" t="s">
        <v>3979</v>
      </c>
      <c r="E13" s="38" t="n">
        <v>161</v>
      </c>
    </row>
    <row r="14" customFormat="false" ht="15" hidden="false" customHeight="false" outlineLevel="0" collapsed="false">
      <c r="A14" s="28" t="n">
        <v>13</v>
      </c>
      <c r="B14" s="37" t="s">
        <v>345</v>
      </c>
      <c r="C14" s="37" t="s">
        <v>3978</v>
      </c>
      <c r="D14" s="37" t="s">
        <v>3979</v>
      </c>
      <c r="E14" s="38" t="n">
        <v>161</v>
      </c>
    </row>
    <row r="15" customFormat="false" ht="15" hidden="false" customHeight="false" outlineLevel="0" collapsed="false">
      <c r="A15" s="28" t="n">
        <v>14</v>
      </c>
      <c r="B15" s="37" t="s">
        <v>2520</v>
      </c>
      <c r="C15" s="37" t="s">
        <v>2521</v>
      </c>
      <c r="D15" s="37" t="s">
        <v>3995</v>
      </c>
      <c r="E15" s="38" t="n">
        <v>169</v>
      </c>
    </row>
    <row r="16" customFormat="false" ht="15" hidden="false" customHeight="false" outlineLevel="0" collapsed="false">
      <c r="A16" s="28" t="n">
        <v>15</v>
      </c>
      <c r="B16" s="37" t="s">
        <v>3996</v>
      </c>
      <c r="C16" s="37" t="s">
        <v>3997</v>
      </c>
      <c r="D16" s="37" t="s">
        <v>3998</v>
      </c>
      <c r="E16" s="38" t="n">
        <v>211</v>
      </c>
    </row>
    <row r="17" customFormat="false" ht="15" hidden="false" customHeight="false" outlineLevel="0" collapsed="false">
      <c r="A17" s="28" t="n">
        <v>16</v>
      </c>
      <c r="B17" s="37" t="s">
        <v>355</v>
      </c>
      <c r="C17" s="37" t="s">
        <v>3999</v>
      </c>
      <c r="D17" s="37" t="s">
        <v>3975</v>
      </c>
      <c r="E17" s="38" t="n">
        <v>168</v>
      </c>
    </row>
    <row r="18" customFormat="false" ht="15" hidden="false" customHeight="false" outlineLevel="0" collapsed="false">
      <c r="A18" s="28" t="n">
        <v>17</v>
      </c>
      <c r="B18" s="37" t="s">
        <v>4000</v>
      </c>
      <c r="C18" s="37" t="s">
        <v>4001</v>
      </c>
      <c r="D18" s="37" t="s">
        <v>4002</v>
      </c>
      <c r="E18" s="38" t="n">
        <v>173</v>
      </c>
    </row>
    <row r="19" customFormat="false" ht="15" hidden="false" customHeight="false" outlineLevel="0" collapsed="false">
      <c r="A19" s="28" t="n">
        <v>18</v>
      </c>
      <c r="B19" s="37" t="s">
        <v>356</v>
      </c>
      <c r="C19" s="37" t="s">
        <v>3978</v>
      </c>
      <c r="D19" s="37" t="s">
        <v>3979</v>
      </c>
      <c r="E19" s="38" t="n">
        <v>161</v>
      </c>
    </row>
    <row r="20" customFormat="false" ht="15" hidden="false" customHeight="false" outlineLevel="0" collapsed="false">
      <c r="A20" s="28" t="n">
        <v>19</v>
      </c>
      <c r="B20" s="37" t="s">
        <v>4003</v>
      </c>
      <c r="C20" s="37" t="s">
        <v>4004</v>
      </c>
      <c r="D20" s="37" t="s">
        <v>4005</v>
      </c>
      <c r="E20" s="38" t="n">
        <v>168</v>
      </c>
    </row>
    <row r="21" customFormat="false" ht="15" hidden="false" customHeight="false" outlineLevel="0" collapsed="false">
      <c r="A21" s="28" t="n">
        <v>20</v>
      </c>
      <c r="B21" s="37" t="s">
        <v>2522</v>
      </c>
      <c r="C21" s="37" t="s">
        <v>2523</v>
      </c>
      <c r="D21" s="37" t="s">
        <v>4006</v>
      </c>
      <c r="E21" s="38" t="n">
        <v>245</v>
      </c>
    </row>
    <row r="22" customFormat="false" ht="15" hidden="false" customHeight="false" outlineLevel="0" collapsed="false">
      <c r="A22" s="28" t="n">
        <v>21</v>
      </c>
      <c r="B22" s="37" t="s">
        <v>374</v>
      </c>
      <c r="C22" s="37" t="s">
        <v>4007</v>
      </c>
      <c r="D22" s="37" t="s">
        <v>3975</v>
      </c>
      <c r="E22" s="38" t="n">
        <v>168</v>
      </c>
    </row>
    <row r="23" customFormat="false" ht="15" hidden="false" customHeight="false" outlineLevel="0" collapsed="false">
      <c r="A23" s="28" t="n">
        <v>22</v>
      </c>
      <c r="B23" s="37" t="s">
        <v>2524</v>
      </c>
      <c r="C23" s="37" t="s">
        <v>2525</v>
      </c>
      <c r="D23" s="37" t="s">
        <v>4008</v>
      </c>
      <c r="E23" s="38" t="n">
        <v>177</v>
      </c>
    </row>
    <row r="24" customFormat="false" ht="15" hidden="false" customHeight="false" outlineLevel="0" collapsed="false">
      <c r="A24" s="28" t="n">
        <v>23</v>
      </c>
      <c r="B24" s="37" t="s">
        <v>384</v>
      </c>
      <c r="C24" s="37" t="s">
        <v>4009</v>
      </c>
      <c r="D24" s="37" t="s">
        <v>3975</v>
      </c>
      <c r="E24" s="38" t="n">
        <v>168</v>
      </c>
    </row>
    <row r="25" customFormat="false" ht="15" hidden="false" customHeight="false" outlineLevel="0" collapsed="false">
      <c r="A25" s="28" t="n">
        <v>24</v>
      </c>
      <c r="B25" s="37" t="s">
        <v>395</v>
      </c>
      <c r="C25" s="37" t="s">
        <v>4010</v>
      </c>
      <c r="D25" s="37" t="s">
        <v>3975</v>
      </c>
      <c r="E25" s="38" t="n">
        <v>168</v>
      </c>
    </row>
    <row r="26" customFormat="false" ht="15" hidden="false" customHeight="false" outlineLevel="0" collapsed="false">
      <c r="A26" s="28" t="n">
        <v>25</v>
      </c>
      <c r="B26" s="37" t="s">
        <v>4011</v>
      </c>
      <c r="C26" s="37" t="s">
        <v>4012</v>
      </c>
      <c r="D26" s="37" t="s">
        <v>4013</v>
      </c>
      <c r="E26" s="38" t="n">
        <v>213</v>
      </c>
    </row>
    <row r="27" customFormat="false" ht="15" hidden="false" customHeight="false" outlineLevel="0" collapsed="false">
      <c r="A27" s="28" t="n">
        <v>26</v>
      </c>
      <c r="B27" s="37" t="s">
        <v>4014</v>
      </c>
      <c r="C27" s="37" t="s">
        <v>4015</v>
      </c>
      <c r="D27" s="37" t="s">
        <v>4016</v>
      </c>
      <c r="E27" s="38" t="n">
        <v>163</v>
      </c>
    </row>
    <row r="28" customFormat="false" ht="15" hidden="false" customHeight="false" outlineLevel="0" collapsed="false">
      <c r="A28" s="28" t="n">
        <v>27</v>
      </c>
      <c r="B28" s="37" t="s">
        <v>4017</v>
      </c>
      <c r="C28" s="37" t="s">
        <v>4018</v>
      </c>
      <c r="D28" s="37" t="s">
        <v>4019</v>
      </c>
      <c r="E28" s="38" t="n">
        <v>172</v>
      </c>
    </row>
    <row r="29" customFormat="false" ht="15" hidden="false" customHeight="false" outlineLevel="0" collapsed="false">
      <c r="A29" s="28" t="n">
        <v>28</v>
      </c>
      <c r="B29" s="37" t="s">
        <v>400</v>
      </c>
      <c r="C29" s="37" t="s">
        <v>4015</v>
      </c>
      <c r="D29" s="37" t="s">
        <v>4016</v>
      </c>
      <c r="E29" s="38" t="n">
        <v>163</v>
      </c>
    </row>
    <row r="30" customFormat="false" ht="15" hidden="false" customHeight="false" outlineLevel="0" collapsed="false">
      <c r="A30" s="28" t="n">
        <v>29</v>
      </c>
      <c r="B30" s="37" t="s">
        <v>401</v>
      </c>
      <c r="C30" s="37" t="s">
        <v>3988</v>
      </c>
      <c r="D30" s="37" t="s">
        <v>3975</v>
      </c>
      <c r="E30" s="38" t="n">
        <v>168</v>
      </c>
    </row>
    <row r="31" customFormat="false" ht="15" hidden="false" customHeight="false" outlineLevel="0" collapsed="false">
      <c r="A31" s="28" t="n">
        <v>30</v>
      </c>
      <c r="B31" s="37" t="s">
        <v>4020</v>
      </c>
      <c r="C31" s="37" t="s">
        <v>3982</v>
      </c>
      <c r="D31" s="37" t="s">
        <v>3983</v>
      </c>
      <c r="E31" s="38" t="n">
        <v>162</v>
      </c>
    </row>
    <row r="32" customFormat="false" ht="15" hidden="false" customHeight="false" outlineLevel="0" collapsed="false">
      <c r="A32" s="28" t="n">
        <v>31</v>
      </c>
      <c r="B32" s="37" t="s">
        <v>410</v>
      </c>
      <c r="C32" s="37" t="s">
        <v>3982</v>
      </c>
      <c r="D32" s="37" t="s">
        <v>3983</v>
      </c>
      <c r="E32" s="38" t="n">
        <v>162</v>
      </c>
    </row>
    <row r="33" customFormat="false" ht="15" hidden="false" customHeight="false" outlineLevel="0" collapsed="false">
      <c r="A33" s="28" t="n">
        <v>32</v>
      </c>
      <c r="B33" s="37" t="s">
        <v>413</v>
      </c>
      <c r="C33" s="37" t="s">
        <v>3982</v>
      </c>
      <c r="D33" s="37" t="s">
        <v>3983</v>
      </c>
      <c r="E33" s="38" t="n">
        <v>162</v>
      </c>
    </row>
    <row r="34" customFormat="false" ht="15" hidden="false" customHeight="false" outlineLevel="0" collapsed="false">
      <c r="A34" s="28" t="n">
        <v>33</v>
      </c>
      <c r="B34" s="37" t="s">
        <v>4021</v>
      </c>
      <c r="C34" s="37" t="s">
        <v>4022</v>
      </c>
      <c r="D34" s="37" t="s">
        <v>4023</v>
      </c>
      <c r="E34" s="38" t="n">
        <v>177</v>
      </c>
    </row>
    <row r="35" customFormat="false" ht="15" hidden="false" customHeight="false" outlineLevel="0" collapsed="false">
      <c r="A35" s="28" t="n">
        <v>34</v>
      </c>
      <c r="B35" s="37" t="s">
        <v>2537</v>
      </c>
      <c r="C35" s="37" t="s">
        <v>2538</v>
      </c>
      <c r="D35" s="37" t="s">
        <v>4024</v>
      </c>
      <c r="E35" s="38" t="n">
        <v>191</v>
      </c>
    </row>
    <row r="36" customFormat="false" ht="15" hidden="false" customHeight="false" outlineLevel="0" collapsed="false">
      <c r="A36" s="28" t="n">
        <v>35</v>
      </c>
      <c r="B36" s="37" t="s">
        <v>2546</v>
      </c>
      <c r="C36" s="37" t="s">
        <v>2547</v>
      </c>
      <c r="D36" s="37" t="s">
        <v>4025</v>
      </c>
      <c r="E36" s="38" t="n">
        <v>195</v>
      </c>
    </row>
    <row r="37" customFormat="false" ht="15" hidden="false" customHeight="false" outlineLevel="0" collapsed="false">
      <c r="A37" s="28" t="n">
        <v>36</v>
      </c>
      <c r="B37" s="37" t="s">
        <v>431</v>
      </c>
      <c r="C37" s="37" t="s">
        <v>2509</v>
      </c>
      <c r="D37" s="37" t="s">
        <v>3980</v>
      </c>
      <c r="E37" s="38" t="n">
        <v>173</v>
      </c>
    </row>
    <row r="38" customFormat="false" ht="15" hidden="false" customHeight="false" outlineLevel="0" collapsed="false">
      <c r="A38" s="28" t="n">
        <v>37</v>
      </c>
      <c r="B38" s="37" t="s">
        <v>2555</v>
      </c>
      <c r="C38" s="37" t="s">
        <v>2509</v>
      </c>
      <c r="D38" s="37" t="s">
        <v>3980</v>
      </c>
      <c r="E38" s="38" t="n">
        <v>173</v>
      </c>
    </row>
    <row r="39" customFormat="false" ht="15" hidden="false" customHeight="false" outlineLevel="0" collapsed="false">
      <c r="A39" s="28" t="n">
        <v>38</v>
      </c>
      <c r="B39" s="37" t="s">
        <v>2557</v>
      </c>
      <c r="C39" s="37" t="s">
        <v>2558</v>
      </c>
      <c r="D39" s="37" t="s">
        <v>4026</v>
      </c>
      <c r="E39" s="38" t="n">
        <v>190</v>
      </c>
    </row>
    <row r="40" customFormat="false" ht="15" hidden="false" customHeight="false" outlineLevel="0" collapsed="false">
      <c r="A40" s="28" t="n">
        <v>39</v>
      </c>
      <c r="B40" s="37" t="s">
        <v>4027</v>
      </c>
      <c r="C40" s="37" t="s">
        <v>4028</v>
      </c>
      <c r="D40" s="37" t="s">
        <v>4029</v>
      </c>
      <c r="E40" s="38" t="n">
        <v>185</v>
      </c>
    </row>
    <row r="41" customFormat="false" ht="15" hidden="false" customHeight="false" outlineLevel="0" collapsed="false">
      <c r="A41" s="28" t="n">
        <v>40</v>
      </c>
      <c r="B41" s="37" t="s">
        <v>2563</v>
      </c>
      <c r="C41" s="37" t="s">
        <v>2564</v>
      </c>
      <c r="D41" s="37" t="s">
        <v>4030</v>
      </c>
      <c r="E41" s="38" t="n">
        <v>200</v>
      </c>
    </row>
    <row r="42" customFormat="false" ht="15" hidden="false" customHeight="false" outlineLevel="0" collapsed="false">
      <c r="A42" s="28" t="n">
        <v>41</v>
      </c>
      <c r="B42" s="37" t="s">
        <v>2568</v>
      </c>
      <c r="C42" s="37" t="s">
        <v>2569</v>
      </c>
      <c r="D42" s="37" t="s">
        <v>4031</v>
      </c>
      <c r="E42" s="38" t="n">
        <v>173</v>
      </c>
    </row>
    <row r="43" customFormat="false" ht="15" hidden="false" customHeight="false" outlineLevel="0" collapsed="false">
      <c r="A43" s="28" t="n">
        <v>42</v>
      </c>
      <c r="B43" s="37" t="s">
        <v>446</v>
      </c>
      <c r="C43" s="37" t="s">
        <v>3985</v>
      </c>
      <c r="D43" s="37" t="s">
        <v>3986</v>
      </c>
      <c r="E43" s="38" t="n">
        <v>164</v>
      </c>
    </row>
    <row r="44" customFormat="false" ht="15" hidden="false" customHeight="false" outlineLevel="0" collapsed="false">
      <c r="A44" s="28" t="n">
        <v>43</v>
      </c>
      <c r="B44" s="37" t="s">
        <v>2572</v>
      </c>
      <c r="C44" s="37" t="s">
        <v>2573</v>
      </c>
      <c r="D44" s="37" t="s">
        <v>4032</v>
      </c>
      <c r="E44" s="38" t="n">
        <v>162</v>
      </c>
    </row>
    <row r="45" customFormat="false" ht="15" hidden="false" customHeight="false" outlineLevel="0" collapsed="false">
      <c r="A45" s="28" t="n">
        <v>44</v>
      </c>
      <c r="B45" s="37" t="s">
        <v>4033</v>
      </c>
      <c r="C45" s="37" t="s">
        <v>4034</v>
      </c>
      <c r="D45" s="37" t="s">
        <v>4035</v>
      </c>
      <c r="E45" s="38" t="n">
        <v>166</v>
      </c>
    </row>
    <row r="46" customFormat="false" ht="15" hidden="false" customHeight="false" outlineLevel="0" collapsed="false">
      <c r="A46" s="28" t="n">
        <v>45</v>
      </c>
      <c r="B46" s="37" t="s">
        <v>2580</v>
      </c>
      <c r="C46" s="37" t="s">
        <v>2581</v>
      </c>
      <c r="D46" s="37" t="s">
        <v>4036</v>
      </c>
      <c r="E46" s="38" t="n">
        <v>195</v>
      </c>
    </row>
    <row r="47" customFormat="false" ht="15" hidden="false" customHeight="false" outlineLevel="0" collapsed="false">
      <c r="A47" s="28" t="n">
        <v>46</v>
      </c>
      <c r="B47" s="37" t="s">
        <v>4037</v>
      </c>
      <c r="C47" s="37" t="s">
        <v>4018</v>
      </c>
      <c r="D47" s="37" t="s">
        <v>4019</v>
      </c>
      <c r="E47" s="38" t="n">
        <v>172</v>
      </c>
    </row>
    <row r="48" customFormat="false" ht="15" hidden="false" customHeight="false" outlineLevel="0" collapsed="false">
      <c r="A48" s="28" t="n">
        <v>47</v>
      </c>
      <c r="B48" s="37" t="s">
        <v>486</v>
      </c>
      <c r="C48" s="37" t="s">
        <v>4038</v>
      </c>
      <c r="D48" s="37" t="s">
        <v>3975</v>
      </c>
      <c r="E48" s="38" t="n">
        <v>168</v>
      </c>
    </row>
    <row r="49" customFormat="false" ht="15" hidden="false" customHeight="false" outlineLevel="0" collapsed="false">
      <c r="A49" s="28" t="n">
        <v>48</v>
      </c>
      <c r="B49" s="37" t="s">
        <v>490</v>
      </c>
      <c r="C49" s="37" t="s">
        <v>4028</v>
      </c>
      <c r="D49" s="37" t="s">
        <v>4029</v>
      </c>
      <c r="E49" s="38" t="n">
        <v>185</v>
      </c>
    </row>
    <row r="50" customFormat="false" ht="15" hidden="false" customHeight="false" outlineLevel="0" collapsed="false">
      <c r="A50" s="28" t="n">
        <v>49</v>
      </c>
      <c r="B50" s="37" t="s">
        <v>4039</v>
      </c>
      <c r="C50" s="37" t="s">
        <v>4040</v>
      </c>
      <c r="D50" s="37" t="s">
        <v>4041</v>
      </c>
      <c r="E50" s="38" t="n">
        <v>191</v>
      </c>
    </row>
    <row r="51" customFormat="false" ht="15" hidden="false" customHeight="false" outlineLevel="0" collapsed="false">
      <c r="A51" s="28" t="n">
        <v>50</v>
      </c>
      <c r="B51" s="37" t="s">
        <v>2610</v>
      </c>
      <c r="C51" s="37" t="s">
        <v>2611</v>
      </c>
      <c r="D51" s="37" t="s">
        <v>4042</v>
      </c>
      <c r="E51" s="38" t="n">
        <v>194</v>
      </c>
    </row>
    <row r="52" customFormat="false" ht="15" hidden="false" customHeight="false" outlineLevel="0" collapsed="false">
      <c r="A52" s="28" t="n">
        <v>51</v>
      </c>
      <c r="B52" s="37" t="s">
        <v>496</v>
      </c>
      <c r="C52" s="37" t="s">
        <v>4018</v>
      </c>
      <c r="D52" s="37" t="s">
        <v>4019</v>
      </c>
      <c r="E52" s="38" t="n">
        <v>172</v>
      </c>
    </row>
    <row r="53" customFormat="false" ht="15" hidden="false" customHeight="false" outlineLevel="0" collapsed="false">
      <c r="A53" s="28" t="n">
        <v>52</v>
      </c>
      <c r="B53" s="37" t="s">
        <v>2627</v>
      </c>
      <c r="C53" s="37" t="s">
        <v>2628</v>
      </c>
      <c r="D53" s="37" t="s">
        <v>4043</v>
      </c>
      <c r="E53" s="38" t="n">
        <v>170</v>
      </c>
    </row>
    <row r="54" customFormat="false" ht="15" hidden="false" customHeight="false" outlineLevel="0" collapsed="false">
      <c r="A54" s="28" t="n">
        <v>53</v>
      </c>
      <c r="B54" s="37" t="s">
        <v>520</v>
      </c>
      <c r="C54" s="37" t="s">
        <v>4018</v>
      </c>
      <c r="D54" s="37" t="s">
        <v>4019</v>
      </c>
      <c r="E54" s="38" t="n">
        <v>172</v>
      </c>
    </row>
    <row r="55" customFormat="false" ht="15" hidden="false" customHeight="false" outlineLevel="0" collapsed="false">
      <c r="A55" s="28" t="n">
        <v>54</v>
      </c>
      <c r="B55" s="37" t="s">
        <v>531</v>
      </c>
      <c r="C55" s="37" t="s">
        <v>2509</v>
      </c>
      <c r="D55" s="37" t="s">
        <v>3980</v>
      </c>
      <c r="E55" s="38" t="n">
        <v>173</v>
      </c>
    </row>
    <row r="56" customFormat="false" ht="15" hidden="false" customHeight="false" outlineLevel="0" collapsed="false">
      <c r="A56" s="28" t="n">
        <v>55</v>
      </c>
      <c r="B56" s="37" t="s">
        <v>2638</v>
      </c>
      <c r="C56" s="37" t="s">
        <v>2639</v>
      </c>
      <c r="D56" s="37" t="s">
        <v>4044</v>
      </c>
      <c r="E56" s="38" t="n">
        <v>184</v>
      </c>
    </row>
    <row r="57" customFormat="false" ht="15" hidden="false" customHeight="false" outlineLevel="0" collapsed="false">
      <c r="A57" s="28" t="n">
        <v>56</v>
      </c>
      <c r="B57" s="37" t="s">
        <v>2640</v>
      </c>
      <c r="C57" s="37" t="s">
        <v>2641</v>
      </c>
      <c r="D57" s="37" t="s">
        <v>4045</v>
      </c>
      <c r="E57" s="38" t="n">
        <v>172</v>
      </c>
    </row>
    <row r="58" customFormat="false" ht="15" hidden="false" customHeight="false" outlineLevel="0" collapsed="false">
      <c r="A58" s="28" t="n">
        <v>57</v>
      </c>
      <c r="B58" s="37" t="s">
        <v>2642</v>
      </c>
      <c r="C58" s="37" t="s">
        <v>2643</v>
      </c>
      <c r="D58" s="37" t="s">
        <v>4046</v>
      </c>
      <c r="E58" s="38" t="n">
        <v>195</v>
      </c>
    </row>
    <row r="59" customFormat="false" ht="15" hidden="false" customHeight="false" outlineLevel="0" collapsed="false">
      <c r="A59" s="28" t="n">
        <v>58</v>
      </c>
      <c r="B59" s="37" t="s">
        <v>4047</v>
      </c>
      <c r="C59" s="37" t="s">
        <v>4048</v>
      </c>
      <c r="D59" s="37" t="s">
        <v>4049</v>
      </c>
      <c r="E59" s="38" t="n">
        <v>190</v>
      </c>
    </row>
    <row r="60" customFormat="false" ht="15" hidden="false" customHeight="false" outlineLevel="0" collapsed="false">
      <c r="A60" s="28" t="n">
        <v>59</v>
      </c>
      <c r="B60" s="37" t="s">
        <v>2645</v>
      </c>
      <c r="C60" s="37" t="s">
        <v>2646</v>
      </c>
      <c r="D60" s="37" t="s">
        <v>4050</v>
      </c>
      <c r="E60" s="38" t="n">
        <v>196</v>
      </c>
    </row>
    <row r="61" customFormat="false" ht="15" hidden="false" customHeight="false" outlineLevel="0" collapsed="false">
      <c r="A61" s="28" t="n">
        <v>60</v>
      </c>
      <c r="B61" s="37" t="s">
        <v>552</v>
      </c>
      <c r="C61" s="37" t="s">
        <v>4051</v>
      </c>
      <c r="D61" s="37" t="s">
        <v>3993</v>
      </c>
      <c r="E61" s="38" t="n">
        <v>180</v>
      </c>
    </row>
    <row r="62" customFormat="false" ht="15" hidden="false" customHeight="false" outlineLevel="0" collapsed="false">
      <c r="A62" s="28" t="n">
        <v>61</v>
      </c>
      <c r="B62" s="37" t="s">
        <v>4052</v>
      </c>
      <c r="C62" s="37" t="s">
        <v>3985</v>
      </c>
      <c r="D62" s="37" t="s">
        <v>3986</v>
      </c>
      <c r="E62" s="38" t="n">
        <v>164</v>
      </c>
    </row>
    <row r="63" customFormat="false" ht="15" hidden="false" customHeight="false" outlineLevel="0" collapsed="false">
      <c r="A63" s="28" t="n">
        <v>62</v>
      </c>
      <c r="B63" s="37" t="s">
        <v>583</v>
      </c>
      <c r="C63" s="37" t="s">
        <v>4053</v>
      </c>
      <c r="D63" s="37" t="s">
        <v>3993</v>
      </c>
      <c r="E63" s="38" t="n">
        <v>180</v>
      </c>
    </row>
    <row r="64" customFormat="false" ht="15" hidden="false" customHeight="false" outlineLevel="0" collapsed="false">
      <c r="A64" s="28" t="n">
        <v>63</v>
      </c>
      <c r="B64" s="37" t="s">
        <v>591</v>
      </c>
      <c r="C64" s="37" t="s">
        <v>2672</v>
      </c>
      <c r="D64" s="37" t="s">
        <v>3993</v>
      </c>
      <c r="E64" s="38" t="n">
        <v>180</v>
      </c>
    </row>
    <row r="65" customFormat="false" ht="15" hidden="false" customHeight="false" outlineLevel="0" collapsed="false">
      <c r="A65" s="28" t="n">
        <v>64</v>
      </c>
      <c r="B65" s="37" t="s">
        <v>596</v>
      </c>
      <c r="C65" s="37" t="s">
        <v>2677</v>
      </c>
      <c r="D65" s="37" t="s">
        <v>3993</v>
      </c>
      <c r="E65" s="38" t="n">
        <v>180</v>
      </c>
    </row>
    <row r="66" customFormat="false" ht="15" hidden="false" customHeight="false" outlineLevel="0" collapsed="false">
      <c r="A66" s="28" t="n">
        <v>65</v>
      </c>
      <c r="B66" s="37" t="s">
        <v>634</v>
      </c>
      <c r="C66" s="37" t="s">
        <v>2703</v>
      </c>
      <c r="D66" s="37" t="s">
        <v>3993</v>
      </c>
      <c r="E66" s="38" t="n">
        <v>180</v>
      </c>
    </row>
    <row r="67" customFormat="false" ht="15" hidden="false" customHeight="false" outlineLevel="0" collapsed="false">
      <c r="A67" s="28" t="n">
        <v>66</v>
      </c>
      <c r="B67" s="37" t="s">
        <v>664</v>
      </c>
      <c r="C67" s="37" t="s">
        <v>3985</v>
      </c>
      <c r="D67" s="37" t="s">
        <v>3986</v>
      </c>
      <c r="E67" s="38" t="n">
        <v>164</v>
      </c>
    </row>
    <row r="68" customFormat="false" ht="15" hidden="false" customHeight="false" outlineLevel="0" collapsed="false">
      <c r="A68" s="28" t="n">
        <v>67</v>
      </c>
      <c r="B68" s="37" t="s">
        <v>676</v>
      </c>
      <c r="C68" s="37" t="s">
        <v>4054</v>
      </c>
      <c r="D68" s="37" t="s">
        <v>3993</v>
      </c>
      <c r="E68" s="38" t="n">
        <v>180</v>
      </c>
    </row>
    <row r="69" customFormat="false" ht="15" hidden="false" customHeight="false" outlineLevel="0" collapsed="false">
      <c r="A69" s="28" t="n">
        <v>68</v>
      </c>
      <c r="B69" s="37" t="s">
        <v>692</v>
      </c>
      <c r="C69" s="37" t="s">
        <v>4055</v>
      </c>
      <c r="D69" s="37" t="s">
        <v>3993</v>
      </c>
      <c r="E69" s="38" t="n">
        <v>180</v>
      </c>
    </row>
    <row r="70" customFormat="false" ht="15" hidden="false" customHeight="false" outlineLevel="0" collapsed="false">
      <c r="A70" s="28" t="n">
        <v>69</v>
      </c>
      <c r="B70" s="37" t="s">
        <v>708</v>
      </c>
      <c r="C70" s="37" t="s">
        <v>4056</v>
      </c>
      <c r="D70" s="37" t="s">
        <v>3993</v>
      </c>
      <c r="E70" s="38" t="n">
        <v>180</v>
      </c>
    </row>
    <row r="71" customFormat="false" ht="15" hidden="false" customHeight="false" outlineLevel="0" collapsed="false">
      <c r="A71" s="28" t="n">
        <v>70</v>
      </c>
      <c r="B71" s="37" t="s">
        <v>714</v>
      </c>
      <c r="C71" s="37" t="s">
        <v>4057</v>
      </c>
      <c r="D71" s="37" t="s">
        <v>4058</v>
      </c>
      <c r="E71" s="38" t="n">
        <v>320</v>
      </c>
    </row>
    <row r="72" customFormat="false" ht="15" hidden="false" customHeight="false" outlineLevel="0" collapsed="false">
      <c r="A72" s="28" t="n">
        <v>71</v>
      </c>
      <c r="B72" s="37" t="s">
        <v>715</v>
      </c>
      <c r="C72" s="37" t="s">
        <v>4059</v>
      </c>
      <c r="D72" s="37" t="s">
        <v>4060</v>
      </c>
      <c r="E72" s="38" t="n">
        <v>320</v>
      </c>
    </row>
    <row r="73" customFormat="false" ht="15" hidden="false" customHeight="false" outlineLevel="0" collapsed="false">
      <c r="A73" s="28" t="n">
        <v>72</v>
      </c>
      <c r="B73" s="37" t="s">
        <v>716</v>
      </c>
      <c r="C73" s="37" t="s">
        <v>4061</v>
      </c>
      <c r="D73" s="37" t="s">
        <v>4062</v>
      </c>
      <c r="E73" s="38" t="n">
        <v>320</v>
      </c>
    </row>
    <row r="74" customFormat="false" ht="15" hidden="false" customHeight="false" outlineLevel="0" collapsed="false">
      <c r="A74" s="28" t="n">
        <v>73</v>
      </c>
      <c r="B74" s="37" t="s">
        <v>4063</v>
      </c>
      <c r="C74" s="37" t="s">
        <v>4061</v>
      </c>
      <c r="D74" s="37" t="s">
        <v>4062</v>
      </c>
      <c r="E74" s="38" t="n">
        <v>320</v>
      </c>
    </row>
    <row r="75" customFormat="false" ht="15" hidden="false" customHeight="false" outlineLevel="0" collapsed="false">
      <c r="A75" s="28" t="n">
        <v>74</v>
      </c>
      <c r="B75" s="37" t="s">
        <v>4064</v>
      </c>
      <c r="C75" s="37" t="s">
        <v>4065</v>
      </c>
      <c r="D75" s="37" t="s">
        <v>4066</v>
      </c>
      <c r="E75" s="38" t="n">
        <v>320</v>
      </c>
    </row>
    <row r="76" customFormat="false" ht="15" hidden="false" customHeight="false" outlineLevel="0" collapsed="false">
      <c r="A76" s="28" t="n">
        <v>75</v>
      </c>
      <c r="B76" s="37" t="s">
        <v>718</v>
      </c>
      <c r="C76" s="37" t="s">
        <v>2743</v>
      </c>
      <c r="D76" s="37" t="s">
        <v>4067</v>
      </c>
      <c r="E76" s="38" t="n">
        <v>165</v>
      </c>
    </row>
    <row r="77" customFormat="false" ht="15" hidden="false" customHeight="false" outlineLevel="0" collapsed="false">
      <c r="A77" s="28" t="n">
        <v>76</v>
      </c>
      <c r="B77" s="37" t="s">
        <v>719</v>
      </c>
      <c r="C77" s="37" t="s">
        <v>2743</v>
      </c>
      <c r="D77" s="37" t="s">
        <v>4067</v>
      </c>
      <c r="E77" s="38" t="n">
        <v>165</v>
      </c>
    </row>
    <row r="78" customFormat="false" ht="15" hidden="false" customHeight="false" outlineLevel="0" collapsed="false">
      <c r="A78" s="28" t="n">
        <v>77</v>
      </c>
      <c r="B78" s="37" t="s">
        <v>4068</v>
      </c>
      <c r="C78" s="37" t="s">
        <v>4069</v>
      </c>
      <c r="D78" s="37" t="s">
        <v>4070</v>
      </c>
      <c r="E78" s="38" t="n">
        <v>320</v>
      </c>
    </row>
    <row r="79" customFormat="false" ht="15" hidden="false" customHeight="false" outlineLevel="0" collapsed="false">
      <c r="A79" s="28" t="n">
        <v>78</v>
      </c>
      <c r="B79" s="37" t="s">
        <v>720</v>
      </c>
      <c r="C79" s="37" t="s">
        <v>2743</v>
      </c>
      <c r="D79" s="37" t="s">
        <v>4067</v>
      </c>
      <c r="E79" s="38" t="n">
        <v>165</v>
      </c>
    </row>
    <row r="80" customFormat="false" ht="15" hidden="false" customHeight="false" outlineLevel="0" collapsed="false">
      <c r="A80" s="28" t="n">
        <v>79</v>
      </c>
      <c r="B80" s="37" t="s">
        <v>722</v>
      </c>
      <c r="C80" s="37" t="s">
        <v>2743</v>
      </c>
      <c r="D80" s="37" t="s">
        <v>4067</v>
      </c>
      <c r="E80" s="38" t="n">
        <v>165</v>
      </c>
    </row>
    <row r="81" customFormat="false" ht="15" hidden="false" customHeight="false" outlineLevel="0" collapsed="false">
      <c r="A81" s="28" t="n">
        <v>80</v>
      </c>
      <c r="B81" s="37" t="s">
        <v>725</v>
      </c>
      <c r="C81" s="37" t="s">
        <v>2743</v>
      </c>
      <c r="D81" s="37" t="s">
        <v>4067</v>
      </c>
      <c r="E81" s="38" t="n">
        <v>165</v>
      </c>
    </row>
    <row r="82" customFormat="false" ht="15" hidden="false" customHeight="false" outlineLevel="0" collapsed="false">
      <c r="A82" s="28" t="n">
        <v>81</v>
      </c>
      <c r="B82" s="37" t="s">
        <v>727</v>
      </c>
      <c r="C82" s="37" t="s">
        <v>2743</v>
      </c>
      <c r="D82" s="37" t="s">
        <v>4067</v>
      </c>
      <c r="E82" s="38" t="n">
        <v>165</v>
      </c>
    </row>
    <row r="83" customFormat="false" ht="15" hidden="false" customHeight="false" outlineLevel="0" collapsed="false">
      <c r="A83" s="28" t="n">
        <v>82</v>
      </c>
      <c r="B83" s="37" t="s">
        <v>731</v>
      </c>
      <c r="C83" s="37" t="s">
        <v>4022</v>
      </c>
      <c r="D83" s="37" t="s">
        <v>4023</v>
      </c>
      <c r="E83" s="38" t="n">
        <v>177</v>
      </c>
    </row>
    <row r="84" customFormat="false" ht="15" hidden="false" customHeight="false" outlineLevel="0" collapsed="false">
      <c r="A84" s="28" t="n">
        <v>83</v>
      </c>
      <c r="B84" s="37" t="s">
        <v>4071</v>
      </c>
      <c r="C84" s="37" t="s">
        <v>4022</v>
      </c>
      <c r="D84" s="37" t="s">
        <v>4023</v>
      </c>
      <c r="E84" s="38" t="n">
        <v>177</v>
      </c>
    </row>
    <row r="85" customFormat="false" ht="15" hidden="false" customHeight="false" outlineLevel="0" collapsed="false">
      <c r="A85" s="28" t="n">
        <v>84</v>
      </c>
      <c r="B85" s="37" t="s">
        <v>4072</v>
      </c>
      <c r="C85" s="37" t="s">
        <v>4073</v>
      </c>
      <c r="D85" s="37" t="s">
        <v>4074</v>
      </c>
      <c r="E85" s="38" t="n">
        <v>165</v>
      </c>
    </row>
    <row r="86" customFormat="false" ht="15" hidden="false" customHeight="false" outlineLevel="0" collapsed="false">
      <c r="A86" s="28" t="n">
        <v>85</v>
      </c>
      <c r="B86" s="37" t="s">
        <v>2746</v>
      </c>
      <c r="C86" s="37" t="s">
        <v>2747</v>
      </c>
      <c r="D86" s="37" t="s">
        <v>4075</v>
      </c>
      <c r="E86" s="38" t="n">
        <v>185</v>
      </c>
    </row>
    <row r="87" customFormat="false" ht="15" hidden="false" customHeight="false" outlineLevel="0" collapsed="false">
      <c r="A87" s="28" t="n">
        <v>86</v>
      </c>
      <c r="B87" s="37" t="s">
        <v>4076</v>
      </c>
      <c r="C87" s="37" t="s">
        <v>4077</v>
      </c>
      <c r="D87" s="37" t="s">
        <v>4078</v>
      </c>
      <c r="E87" s="38" t="n">
        <v>201</v>
      </c>
    </row>
    <row r="88" customFormat="false" ht="15" hidden="false" customHeight="false" outlineLevel="0" collapsed="false">
      <c r="A88" s="28" t="n">
        <v>87</v>
      </c>
      <c r="B88" s="37" t="s">
        <v>2748</v>
      </c>
      <c r="C88" s="37" t="s">
        <v>2749</v>
      </c>
      <c r="D88" s="37" t="s">
        <v>4079</v>
      </c>
      <c r="E88" s="38" t="n">
        <v>177</v>
      </c>
    </row>
    <row r="89" customFormat="false" ht="15" hidden="false" customHeight="false" outlineLevel="0" collapsed="false">
      <c r="A89" s="28" t="n">
        <v>88</v>
      </c>
      <c r="B89" s="37" t="s">
        <v>325</v>
      </c>
      <c r="C89" s="37" t="s">
        <v>2750</v>
      </c>
      <c r="D89" s="37" t="s">
        <v>4080</v>
      </c>
      <c r="E89" s="38" t="n">
        <v>206</v>
      </c>
    </row>
    <row r="90" customFormat="false" ht="15" hidden="false" customHeight="false" outlineLevel="0" collapsed="false">
      <c r="A90" s="28" t="n">
        <v>89</v>
      </c>
      <c r="B90" s="37" t="s">
        <v>2751</v>
      </c>
      <c r="C90" s="37" t="s">
        <v>2752</v>
      </c>
      <c r="D90" s="37" t="s">
        <v>4081</v>
      </c>
      <c r="E90" s="38" t="n">
        <v>179</v>
      </c>
    </row>
    <row r="91" customFormat="false" ht="15" hidden="false" customHeight="false" outlineLevel="0" collapsed="false">
      <c r="A91" s="28" t="n">
        <v>90</v>
      </c>
      <c r="B91" s="37" t="s">
        <v>766</v>
      </c>
      <c r="C91" s="37" t="s">
        <v>4022</v>
      </c>
      <c r="D91" s="37" t="s">
        <v>4023</v>
      </c>
      <c r="E91" s="38" t="n">
        <v>177</v>
      </c>
    </row>
    <row r="92" customFormat="false" ht="15" hidden="false" customHeight="false" outlineLevel="0" collapsed="false">
      <c r="A92" s="28" t="n">
        <v>91</v>
      </c>
      <c r="B92" s="37" t="s">
        <v>4082</v>
      </c>
      <c r="C92" s="37" t="s">
        <v>4083</v>
      </c>
      <c r="D92" s="37" t="s">
        <v>4084</v>
      </c>
      <c r="E92" s="38" t="n">
        <v>205</v>
      </c>
    </row>
    <row r="93" customFormat="false" ht="15" hidden="false" customHeight="false" outlineLevel="0" collapsed="false">
      <c r="A93" s="28" t="n">
        <v>92</v>
      </c>
      <c r="B93" s="37" t="s">
        <v>4085</v>
      </c>
      <c r="C93" s="37" t="s">
        <v>4022</v>
      </c>
      <c r="D93" s="37" t="s">
        <v>4023</v>
      </c>
      <c r="E93" s="38" t="n">
        <v>177</v>
      </c>
    </row>
    <row r="94" customFormat="false" ht="15" hidden="false" customHeight="false" outlineLevel="0" collapsed="false">
      <c r="A94" s="28" t="n">
        <v>93</v>
      </c>
      <c r="B94" s="37" t="s">
        <v>767</v>
      </c>
      <c r="C94" s="37" t="s">
        <v>3982</v>
      </c>
      <c r="D94" s="37" t="s">
        <v>3983</v>
      </c>
      <c r="E94" s="38" t="n">
        <v>162</v>
      </c>
    </row>
    <row r="95" customFormat="false" ht="15" hidden="false" customHeight="false" outlineLevel="0" collapsed="false">
      <c r="A95" s="28" t="n">
        <v>94</v>
      </c>
      <c r="B95" s="37" t="s">
        <v>2753</v>
      </c>
      <c r="C95" s="37" t="s">
        <v>2754</v>
      </c>
      <c r="D95" s="37" t="s">
        <v>4086</v>
      </c>
      <c r="E95" s="38" t="n">
        <v>207</v>
      </c>
    </row>
    <row r="96" customFormat="false" ht="15" hidden="false" customHeight="false" outlineLevel="0" collapsed="false">
      <c r="A96" s="28" t="n">
        <v>95</v>
      </c>
      <c r="B96" s="37" t="s">
        <v>2757</v>
      </c>
      <c r="C96" s="37" t="s">
        <v>2758</v>
      </c>
      <c r="D96" s="37" t="s">
        <v>4087</v>
      </c>
      <c r="E96" s="38" t="n">
        <v>166</v>
      </c>
    </row>
    <row r="97" customFormat="false" ht="15" hidden="false" customHeight="false" outlineLevel="0" collapsed="false">
      <c r="A97" s="28" t="n">
        <v>96</v>
      </c>
      <c r="B97" s="37" t="s">
        <v>777</v>
      </c>
      <c r="C97" s="37" t="s">
        <v>4022</v>
      </c>
      <c r="D97" s="37" t="s">
        <v>4023</v>
      </c>
      <c r="E97" s="38" t="n">
        <v>177</v>
      </c>
    </row>
    <row r="98" customFormat="false" ht="15" hidden="false" customHeight="false" outlineLevel="0" collapsed="false">
      <c r="A98" s="28" t="n">
        <v>97</v>
      </c>
      <c r="B98" s="37" t="s">
        <v>4088</v>
      </c>
      <c r="C98" s="37" t="s">
        <v>4089</v>
      </c>
      <c r="D98" s="37" t="s">
        <v>4029</v>
      </c>
      <c r="E98" s="38" t="n">
        <v>185</v>
      </c>
    </row>
    <row r="99" customFormat="false" ht="15" hidden="false" customHeight="false" outlineLevel="0" collapsed="false">
      <c r="A99" s="28" t="n">
        <v>98</v>
      </c>
      <c r="B99" s="37" t="s">
        <v>835</v>
      </c>
      <c r="C99" s="37" t="s">
        <v>4015</v>
      </c>
      <c r="D99" s="37" t="s">
        <v>4016</v>
      </c>
      <c r="E99" s="38" t="n">
        <v>163</v>
      </c>
    </row>
    <row r="100" customFormat="false" ht="15" hidden="false" customHeight="false" outlineLevel="0" collapsed="false">
      <c r="A100" s="28" t="n">
        <v>99</v>
      </c>
      <c r="B100" s="37" t="s">
        <v>847</v>
      </c>
      <c r="C100" s="37" t="s">
        <v>4090</v>
      </c>
      <c r="D100" s="37" t="s">
        <v>4091</v>
      </c>
      <c r="E100" s="38" t="n">
        <v>164</v>
      </c>
    </row>
    <row r="101" customFormat="false" ht="15" hidden="false" customHeight="false" outlineLevel="0" collapsed="false">
      <c r="A101" s="28" t="n">
        <v>100</v>
      </c>
      <c r="B101" s="37" t="s">
        <v>2859</v>
      </c>
      <c r="C101" s="37" t="s">
        <v>2860</v>
      </c>
      <c r="D101" s="37" t="s">
        <v>4092</v>
      </c>
      <c r="E101" s="38" t="n">
        <v>202</v>
      </c>
    </row>
    <row r="102" customFormat="false" ht="15" hidden="false" customHeight="false" outlineLevel="0" collapsed="false">
      <c r="A102" s="28" t="n">
        <v>101</v>
      </c>
      <c r="B102" s="37" t="s">
        <v>2864</v>
      </c>
      <c r="C102" s="37" t="s">
        <v>2865</v>
      </c>
      <c r="D102" s="37" t="s">
        <v>4093</v>
      </c>
      <c r="E102" s="38" t="n">
        <v>196</v>
      </c>
    </row>
    <row r="103" customFormat="false" ht="15" hidden="false" customHeight="false" outlineLevel="0" collapsed="false">
      <c r="A103" s="28" t="n">
        <v>102</v>
      </c>
      <c r="B103" s="37" t="s">
        <v>903</v>
      </c>
      <c r="C103" s="37" t="s">
        <v>4094</v>
      </c>
      <c r="D103" s="37" t="s">
        <v>3993</v>
      </c>
      <c r="E103" s="38" t="n">
        <v>180</v>
      </c>
    </row>
    <row r="104" customFormat="false" ht="15" hidden="false" customHeight="false" outlineLevel="0" collapsed="false">
      <c r="A104" s="28" t="n">
        <v>103</v>
      </c>
      <c r="B104" s="37" t="s">
        <v>909</v>
      </c>
      <c r="C104" s="37" t="s">
        <v>4090</v>
      </c>
      <c r="D104" s="37" t="s">
        <v>4091</v>
      </c>
      <c r="E104" s="38" t="n">
        <v>164</v>
      </c>
    </row>
    <row r="105" customFormat="false" ht="15" hidden="false" customHeight="false" outlineLevel="0" collapsed="false">
      <c r="A105" s="28" t="n">
        <v>104</v>
      </c>
      <c r="B105" s="37" t="s">
        <v>915</v>
      </c>
      <c r="C105" s="37" t="s">
        <v>4095</v>
      </c>
      <c r="D105" s="37" t="s">
        <v>4096</v>
      </c>
      <c r="E105" s="38" t="n">
        <v>161</v>
      </c>
    </row>
    <row r="106" customFormat="false" ht="15" hidden="false" customHeight="false" outlineLevel="0" collapsed="false">
      <c r="A106" s="28" t="n">
        <v>105</v>
      </c>
      <c r="B106" s="37" t="s">
        <v>921</v>
      </c>
      <c r="C106" s="37" t="s">
        <v>4090</v>
      </c>
      <c r="D106" s="37" t="s">
        <v>4091</v>
      </c>
      <c r="E106" s="38" t="n">
        <v>164</v>
      </c>
    </row>
    <row r="107" customFormat="false" ht="15" hidden="false" customHeight="false" outlineLevel="0" collapsed="false">
      <c r="A107" s="28" t="n">
        <v>106</v>
      </c>
      <c r="B107" s="37" t="s">
        <v>311</v>
      </c>
      <c r="C107" s="37" t="s">
        <v>2905</v>
      </c>
      <c r="D107" s="37" t="s">
        <v>4097</v>
      </c>
      <c r="E107" s="38" t="n">
        <v>218</v>
      </c>
    </row>
    <row r="108" customFormat="false" ht="15" hidden="false" customHeight="false" outlineLevel="0" collapsed="false">
      <c r="A108" s="28" t="n">
        <v>107</v>
      </c>
      <c r="B108" s="37" t="s">
        <v>2980</v>
      </c>
      <c r="C108" s="37" t="s">
        <v>2981</v>
      </c>
      <c r="D108" s="37" t="s">
        <v>4098</v>
      </c>
      <c r="E108" s="38" t="n">
        <v>208</v>
      </c>
    </row>
    <row r="109" customFormat="false" ht="15" hidden="false" customHeight="false" outlineLevel="0" collapsed="false">
      <c r="A109" s="28" t="n">
        <v>108</v>
      </c>
      <c r="B109" s="37" t="s">
        <v>4099</v>
      </c>
      <c r="C109" s="37" t="s">
        <v>4100</v>
      </c>
      <c r="D109" s="37" t="s">
        <v>4101</v>
      </c>
      <c r="E109" s="38" t="n">
        <v>191</v>
      </c>
    </row>
    <row r="110" customFormat="false" ht="15" hidden="false" customHeight="false" outlineLevel="0" collapsed="false">
      <c r="A110" s="28" t="n">
        <v>109</v>
      </c>
      <c r="B110" s="37" t="s">
        <v>1132</v>
      </c>
      <c r="C110" s="37" t="s">
        <v>4102</v>
      </c>
      <c r="D110" s="37" t="s">
        <v>4029</v>
      </c>
      <c r="E110" s="38" t="n">
        <v>185</v>
      </c>
    </row>
    <row r="111" customFormat="false" ht="15" hidden="false" customHeight="false" outlineLevel="0" collapsed="false">
      <c r="A111" s="28" t="n">
        <v>110</v>
      </c>
      <c r="B111" s="37" t="s">
        <v>4103</v>
      </c>
      <c r="C111" s="37" t="s">
        <v>4104</v>
      </c>
      <c r="D111" s="37" t="s">
        <v>3975</v>
      </c>
      <c r="E111" s="38" t="n">
        <v>168</v>
      </c>
    </row>
    <row r="112" customFormat="false" ht="15" hidden="false" customHeight="false" outlineLevel="0" collapsed="false">
      <c r="A112" s="28" t="n">
        <v>111</v>
      </c>
      <c r="B112" s="37" t="s">
        <v>1147</v>
      </c>
      <c r="C112" s="37" t="s">
        <v>4090</v>
      </c>
      <c r="D112" s="37" t="s">
        <v>4091</v>
      </c>
      <c r="E112" s="38" t="n">
        <v>164</v>
      </c>
    </row>
    <row r="113" customFormat="false" ht="15" hidden="false" customHeight="false" outlineLevel="0" collapsed="false">
      <c r="A113" s="28" t="n">
        <v>112</v>
      </c>
      <c r="B113" s="37" t="s">
        <v>3094</v>
      </c>
      <c r="C113" s="37" t="s">
        <v>3095</v>
      </c>
      <c r="D113" s="37" t="s">
        <v>4105</v>
      </c>
      <c r="E113" s="38" t="n">
        <v>195</v>
      </c>
    </row>
    <row r="114" customFormat="false" ht="15" hidden="false" customHeight="false" outlineLevel="0" collapsed="false">
      <c r="A114" s="28" t="n">
        <v>113</v>
      </c>
      <c r="B114" s="37" t="s">
        <v>4106</v>
      </c>
      <c r="C114" s="37" t="s">
        <v>4107</v>
      </c>
      <c r="D114" s="37" t="s">
        <v>4108</v>
      </c>
      <c r="E114" s="38" t="n">
        <v>197</v>
      </c>
    </row>
    <row r="115" customFormat="false" ht="15" hidden="false" customHeight="false" outlineLevel="0" collapsed="false">
      <c r="A115" s="28" t="n">
        <v>114</v>
      </c>
      <c r="B115" s="37" t="s">
        <v>1210</v>
      </c>
      <c r="C115" s="37" t="s">
        <v>3985</v>
      </c>
      <c r="D115" s="37" t="s">
        <v>3986</v>
      </c>
      <c r="E115" s="38" t="n">
        <v>164</v>
      </c>
    </row>
    <row r="116" customFormat="false" ht="15" hidden="false" customHeight="false" outlineLevel="0" collapsed="false">
      <c r="A116" s="28" t="n">
        <v>115</v>
      </c>
      <c r="B116" s="37" t="s">
        <v>4109</v>
      </c>
      <c r="C116" s="37" t="s">
        <v>4110</v>
      </c>
      <c r="D116" s="37" t="s">
        <v>4111</v>
      </c>
      <c r="E116" s="38" t="n">
        <v>179</v>
      </c>
    </row>
    <row r="117" customFormat="false" ht="15" hidden="false" customHeight="false" outlineLevel="0" collapsed="false">
      <c r="A117" s="28" t="n">
        <v>116</v>
      </c>
      <c r="B117" s="37" t="s">
        <v>4112</v>
      </c>
      <c r="C117" s="37" t="s">
        <v>4113</v>
      </c>
      <c r="D117" s="37" t="s">
        <v>4114</v>
      </c>
      <c r="E117" s="38" t="n">
        <v>235</v>
      </c>
    </row>
    <row r="118" customFormat="false" ht="15" hidden="false" customHeight="false" outlineLevel="0" collapsed="false">
      <c r="A118" s="28" t="n">
        <v>117</v>
      </c>
      <c r="B118" s="37" t="s">
        <v>318</v>
      </c>
      <c r="C118" s="37" t="s">
        <v>4115</v>
      </c>
      <c r="D118" s="37" t="s">
        <v>4116</v>
      </c>
      <c r="E118" s="38" t="n">
        <v>174</v>
      </c>
    </row>
    <row r="119" customFormat="false" ht="15" hidden="false" customHeight="false" outlineLevel="0" collapsed="false">
      <c r="A119" s="28" t="n">
        <v>118</v>
      </c>
      <c r="B119" s="37" t="s">
        <v>1245</v>
      </c>
      <c r="C119" s="37" t="s">
        <v>4117</v>
      </c>
      <c r="D119" s="37" t="s">
        <v>4118</v>
      </c>
      <c r="E119" s="38" t="n">
        <v>316</v>
      </c>
    </row>
    <row r="120" customFormat="false" ht="15" hidden="false" customHeight="false" outlineLevel="0" collapsed="false">
      <c r="A120" s="28" t="n">
        <v>119</v>
      </c>
      <c r="B120" s="37" t="s">
        <v>307</v>
      </c>
      <c r="C120" s="37" t="s">
        <v>3151</v>
      </c>
      <c r="D120" s="37" t="s">
        <v>4119</v>
      </c>
      <c r="E120" s="38" t="n">
        <v>166</v>
      </c>
    </row>
    <row r="121" customFormat="false" ht="15" hidden="false" customHeight="false" outlineLevel="0" collapsed="false">
      <c r="A121" s="28" t="n">
        <v>120</v>
      </c>
      <c r="B121" s="37" t="s">
        <v>2450</v>
      </c>
      <c r="C121" s="37" t="s">
        <v>3157</v>
      </c>
      <c r="D121" s="37" t="s">
        <v>4120</v>
      </c>
      <c r="E121" s="38" t="n">
        <v>176</v>
      </c>
    </row>
    <row r="122" customFormat="false" ht="15" hidden="false" customHeight="false" outlineLevel="0" collapsed="false">
      <c r="A122" s="28" t="n">
        <v>121</v>
      </c>
      <c r="B122" s="37" t="s">
        <v>1279</v>
      </c>
      <c r="C122" s="37" t="s">
        <v>3172</v>
      </c>
      <c r="D122" s="37" t="s">
        <v>4121</v>
      </c>
      <c r="E122" s="38" t="n">
        <v>320</v>
      </c>
    </row>
    <row r="123" customFormat="false" ht="15" hidden="false" customHeight="false" outlineLevel="0" collapsed="false">
      <c r="A123" s="28" t="n">
        <v>122</v>
      </c>
      <c r="B123" s="37" t="s">
        <v>3174</v>
      </c>
      <c r="C123" s="37" t="s">
        <v>2573</v>
      </c>
      <c r="D123" s="37" t="s">
        <v>4032</v>
      </c>
      <c r="E123" s="38" t="n">
        <v>162</v>
      </c>
    </row>
    <row r="124" customFormat="false" ht="15" hidden="false" customHeight="false" outlineLevel="0" collapsed="false">
      <c r="A124" s="28" t="n">
        <v>123</v>
      </c>
      <c r="B124" s="37" t="s">
        <v>3184</v>
      </c>
      <c r="C124" s="37" t="s">
        <v>2573</v>
      </c>
      <c r="D124" s="37" t="s">
        <v>4032</v>
      </c>
      <c r="E124" s="38" t="n">
        <v>162</v>
      </c>
    </row>
    <row r="125" customFormat="false" ht="15" hidden="false" customHeight="false" outlineLevel="0" collapsed="false">
      <c r="A125" s="28" t="n">
        <v>124</v>
      </c>
      <c r="B125" s="37" t="s">
        <v>1301</v>
      </c>
      <c r="C125" s="37" t="s">
        <v>3172</v>
      </c>
      <c r="D125" s="37" t="s">
        <v>4121</v>
      </c>
      <c r="E125" s="38" t="n">
        <v>320</v>
      </c>
    </row>
    <row r="126" customFormat="false" ht="15" hidden="false" customHeight="false" outlineLevel="0" collapsed="false">
      <c r="A126" s="28" t="n">
        <v>125</v>
      </c>
      <c r="B126" s="37" t="s">
        <v>1306</v>
      </c>
      <c r="C126" s="37" t="s">
        <v>3195</v>
      </c>
      <c r="D126" s="37" t="s">
        <v>4122</v>
      </c>
      <c r="E126" s="38" t="n">
        <v>320</v>
      </c>
    </row>
    <row r="127" customFormat="false" ht="15" hidden="false" customHeight="false" outlineLevel="0" collapsed="false">
      <c r="A127" s="28" t="n">
        <v>126</v>
      </c>
      <c r="B127" s="37" t="s">
        <v>3198</v>
      </c>
      <c r="C127" s="37" t="s">
        <v>3199</v>
      </c>
      <c r="D127" s="37" t="s">
        <v>4123</v>
      </c>
      <c r="E127" s="38" t="n">
        <v>186</v>
      </c>
    </row>
    <row r="128" customFormat="false" ht="15" hidden="false" customHeight="false" outlineLevel="0" collapsed="false">
      <c r="A128" s="28" t="n">
        <v>127</v>
      </c>
      <c r="B128" s="37" t="s">
        <v>1328</v>
      </c>
      <c r="C128" s="37" t="s">
        <v>4124</v>
      </c>
      <c r="D128" s="37" t="s">
        <v>3993</v>
      </c>
      <c r="E128" s="38" t="n">
        <v>180</v>
      </c>
    </row>
    <row r="129" customFormat="false" ht="15" hidden="false" customHeight="false" outlineLevel="0" collapsed="false">
      <c r="A129" s="28" t="n">
        <v>128</v>
      </c>
      <c r="B129" s="37" t="s">
        <v>1338</v>
      </c>
      <c r="C129" s="37" t="s">
        <v>3195</v>
      </c>
      <c r="D129" s="37" t="s">
        <v>4122</v>
      </c>
      <c r="E129" s="38" t="n">
        <v>320</v>
      </c>
    </row>
    <row r="130" customFormat="false" ht="15" hidden="false" customHeight="false" outlineLevel="0" collapsed="false">
      <c r="A130" s="28" t="n">
        <v>129</v>
      </c>
      <c r="B130" s="37" t="s">
        <v>4125</v>
      </c>
      <c r="C130" s="37" t="s">
        <v>4126</v>
      </c>
      <c r="D130" s="37" t="s">
        <v>4127</v>
      </c>
      <c r="E130" s="38" t="n">
        <v>194</v>
      </c>
    </row>
    <row r="131" customFormat="false" ht="15" hidden="false" customHeight="false" outlineLevel="0" collapsed="false">
      <c r="A131" s="28" t="n">
        <v>130</v>
      </c>
      <c r="B131" s="37" t="s">
        <v>3240</v>
      </c>
      <c r="C131" s="37" t="s">
        <v>3195</v>
      </c>
      <c r="D131" s="37" t="s">
        <v>4122</v>
      </c>
      <c r="E131" s="38" t="n">
        <v>320</v>
      </c>
    </row>
    <row r="132" customFormat="false" ht="15" hidden="false" customHeight="false" outlineLevel="0" collapsed="false">
      <c r="A132" s="28" t="n">
        <v>131</v>
      </c>
      <c r="B132" s="37" t="s">
        <v>1374</v>
      </c>
      <c r="C132" s="37" t="s">
        <v>3244</v>
      </c>
      <c r="D132" s="37" t="s">
        <v>3975</v>
      </c>
      <c r="E132" s="38" t="n">
        <v>168</v>
      </c>
    </row>
    <row r="133" customFormat="false" ht="15" hidden="false" customHeight="false" outlineLevel="0" collapsed="false">
      <c r="A133" s="28" t="n">
        <v>132</v>
      </c>
      <c r="B133" s="37" t="s">
        <v>1387</v>
      </c>
      <c r="C133" s="37" t="s">
        <v>4018</v>
      </c>
      <c r="D133" s="37" t="s">
        <v>4019</v>
      </c>
      <c r="E133" s="38" t="n">
        <v>172</v>
      </c>
    </row>
    <row r="134" customFormat="false" ht="15" hidden="false" customHeight="false" outlineLevel="0" collapsed="false">
      <c r="A134" s="28" t="n">
        <v>133</v>
      </c>
      <c r="B134" s="37" t="s">
        <v>1390</v>
      </c>
      <c r="C134" s="37" t="s">
        <v>3257</v>
      </c>
      <c r="D134" s="37" t="s">
        <v>3975</v>
      </c>
      <c r="E134" s="38" t="n">
        <v>168</v>
      </c>
    </row>
    <row r="135" customFormat="false" ht="15" hidden="false" customHeight="false" outlineLevel="0" collapsed="false">
      <c r="A135" s="28" t="n">
        <v>134</v>
      </c>
      <c r="B135" s="37" t="s">
        <v>4128</v>
      </c>
      <c r="C135" s="37" t="s">
        <v>4129</v>
      </c>
      <c r="D135" s="37" t="s">
        <v>4130</v>
      </c>
      <c r="E135" s="38" t="n">
        <v>195</v>
      </c>
    </row>
    <row r="136" customFormat="false" ht="15" hidden="false" customHeight="false" outlineLevel="0" collapsed="false">
      <c r="A136" s="28" t="n">
        <v>135</v>
      </c>
      <c r="B136" s="37" t="s">
        <v>326</v>
      </c>
      <c r="C136" s="37" t="s">
        <v>3287</v>
      </c>
      <c r="D136" s="37" t="s">
        <v>4131</v>
      </c>
      <c r="E136" s="38" t="n">
        <v>188</v>
      </c>
    </row>
    <row r="137" customFormat="false" ht="15" hidden="false" customHeight="false" outlineLevel="0" collapsed="false">
      <c r="A137" s="28" t="n">
        <v>136</v>
      </c>
      <c r="B137" s="37" t="s">
        <v>4132</v>
      </c>
      <c r="C137" s="37" t="s">
        <v>4133</v>
      </c>
      <c r="D137" s="37" t="s">
        <v>4134</v>
      </c>
      <c r="E137" s="38" t="n">
        <v>185</v>
      </c>
    </row>
    <row r="138" customFormat="false" ht="15" hidden="false" customHeight="false" outlineLevel="0" collapsed="false">
      <c r="A138" s="28" t="n">
        <v>137</v>
      </c>
      <c r="B138" s="37" t="s">
        <v>1467</v>
      </c>
      <c r="C138" s="37" t="s">
        <v>3317</v>
      </c>
      <c r="D138" s="37" t="s">
        <v>3975</v>
      </c>
      <c r="E138" s="38" t="n">
        <v>168</v>
      </c>
    </row>
    <row r="139" customFormat="false" ht="15" hidden="false" customHeight="false" outlineLevel="0" collapsed="false">
      <c r="A139" s="28" t="n">
        <v>138</v>
      </c>
      <c r="B139" s="37" t="s">
        <v>3325</v>
      </c>
      <c r="C139" s="37" t="s">
        <v>2754</v>
      </c>
      <c r="D139" s="37" t="s">
        <v>4086</v>
      </c>
      <c r="E139" s="38" t="n">
        <v>207</v>
      </c>
    </row>
    <row r="140" customFormat="false" ht="15" hidden="false" customHeight="false" outlineLevel="0" collapsed="false">
      <c r="A140" s="28" t="n">
        <v>139</v>
      </c>
      <c r="B140" s="37" t="s">
        <v>310</v>
      </c>
      <c r="C140" s="37" t="s">
        <v>3340</v>
      </c>
      <c r="D140" s="37" t="s">
        <v>4135</v>
      </c>
      <c r="E140" s="38" t="n">
        <v>187</v>
      </c>
    </row>
    <row r="141" customFormat="false" ht="15" hidden="false" customHeight="false" outlineLevel="0" collapsed="false">
      <c r="A141" s="28" t="n">
        <v>140</v>
      </c>
      <c r="B141" s="37" t="s">
        <v>1510</v>
      </c>
      <c r="C141" s="37" t="s">
        <v>3172</v>
      </c>
      <c r="D141" s="37" t="s">
        <v>4121</v>
      </c>
      <c r="E141" s="38" t="n">
        <v>320</v>
      </c>
    </row>
    <row r="142" customFormat="false" ht="15" hidden="false" customHeight="false" outlineLevel="0" collapsed="false">
      <c r="A142" s="28" t="n">
        <v>141</v>
      </c>
      <c r="B142" s="37" t="s">
        <v>319</v>
      </c>
      <c r="C142" s="37" t="s">
        <v>3363</v>
      </c>
      <c r="D142" s="37" t="s">
        <v>4136</v>
      </c>
      <c r="E142" s="38" t="n">
        <v>165</v>
      </c>
    </row>
    <row r="143" customFormat="false" ht="15" hidden="false" customHeight="false" outlineLevel="0" collapsed="false">
      <c r="A143" s="28" t="n">
        <v>142</v>
      </c>
      <c r="B143" s="37" t="s">
        <v>3365</v>
      </c>
      <c r="C143" s="37" t="s">
        <v>3366</v>
      </c>
      <c r="D143" s="37" t="s">
        <v>4137</v>
      </c>
      <c r="E143" s="38" t="n">
        <v>195</v>
      </c>
    </row>
    <row r="144" customFormat="false" ht="15" hidden="false" customHeight="false" outlineLevel="0" collapsed="false">
      <c r="A144" s="28" t="n">
        <v>143</v>
      </c>
      <c r="B144" s="37" t="s">
        <v>1578</v>
      </c>
      <c r="C144" s="37" t="s">
        <v>4138</v>
      </c>
      <c r="D144" s="37" t="s">
        <v>3993</v>
      </c>
      <c r="E144" s="38" t="n">
        <v>180</v>
      </c>
    </row>
    <row r="145" customFormat="false" ht="15" hidden="false" customHeight="false" outlineLevel="0" collapsed="false">
      <c r="A145" s="28" t="n">
        <v>144</v>
      </c>
      <c r="B145" s="37" t="s">
        <v>3406</v>
      </c>
      <c r="C145" s="37" t="s">
        <v>3195</v>
      </c>
      <c r="D145" s="37" t="s">
        <v>4122</v>
      </c>
      <c r="E145" s="38" t="n">
        <v>320</v>
      </c>
    </row>
    <row r="146" customFormat="false" ht="15" hidden="false" customHeight="false" outlineLevel="0" collapsed="false">
      <c r="A146" s="28" t="n">
        <v>145</v>
      </c>
      <c r="B146" s="37" t="s">
        <v>3419</v>
      </c>
      <c r="C146" s="37" t="s">
        <v>3420</v>
      </c>
      <c r="D146" s="37" t="s">
        <v>4139</v>
      </c>
      <c r="E146" s="38" t="n">
        <v>205</v>
      </c>
    </row>
    <row r="147" customFormat="false" ht="15" hidden="false" customHeight="false" outlineLevel="0" collapsed="false">
      <c r="A147" s="28" t="n">
        <v>146</v>
      </c>
      <c r="B147" s="37" t="s">
        <v>1626</v>
      </c>
      <c r="C147" s="37" t="s">
        <v>3317</v>
      </c>
      <c r="D147" s="37" t="s">
        <v>3975</v>
      </c>
      <c r="E147" s="38" t="n">
        <v>168</v>
      </c>
    </row>
    <row r="148" customFormat="false" ht="15" hidden="false" customHeight="false" outlineLevel="0" collapsed="false">
      <c r="A148" s="28" t="n">
        <v>147</v>
      </c>
      <c r="B148" s="37" t="s">
        <v>1642</v>
      </c>
      <c r="C148" s="37" t="s">
        <v>2573</v>
      </c>
      <c r="D148" s="37" t="s">
        <v>4032</v>
      </c>
      <c r="E148" s="38" t="n">
        <v>162</v>
      </c>
    </row>
    <row r="149" customFormat="false" ht="15" hidden="false" customHeight="false" outlineLevel="0" collapsed="false">
      <c r="A149" s="28" t="n">
        <v>148</v>
      </c>
      <c r="B149" s="37" t="s">
        <v>3441</v>
      </c>
      <c r="C149" s="37" t="s">
        <v>3195</v>
      </c>
      <c r="D149" s="37" t="s">
        <v>4122</v>
      </c>
      <c r="E149" s="38" t="n">
        <v>320</v>
      </c>
    </row>
    <row r="150" customFormat="false" ht="15" hidden="false" customHeight="false" outlineLevel="0" collapsed="false">
      <c r="A150" s="28" t="n">
        <v>149</v>
      </c>
      <c r="B150" s="37" t="s">
        <v>1649</v>
      </c>
      <c r="C150" s="37" t="s">
        <v>4038</v>
      </c>
      <c r="D150" s="37" t="s">
        <v>3975</v>
      </c>
      <c r="E150" s="38" t="n">
        <v>168</v>
      </c>
    </row>
    <row r="151" customFormat="false" ht="15" hidden="false" customHeight="false" outlineLevel="0" collapsed="false">
      <c r="A151" s="28" t="n">
        <v>150</v>
      </c>
      <c r="B151" s="37" t="s">
        <v>3443</v>
      </c>
      <c r="C151" s="37" t="s">
        <v>3444</v>
      </c>
      <c r="D151" s="37" t="s">
        <v>4140</v>
      </c>
      <c r="E151" s="38" t="n">
        <v>180</v>
      </c>
    </row>
    <row r="152" customFormat="false" ht="15" hidden="false" customHeight="false" outlineLevel="0" collapsed="false">
      <c r="A152" s="28" t="n">
        <v>151</v>
      </c>
      <c r="B152" s="37" t="s">
        <v>1654</v>
      </c>
      <c r="C152" s="37" t="s">
        <v>4015</v>
      </c>
      <c r="D152" s="37" t="s">
        <v>4016</v>
      </c>
      <c r="E152" s="38" t="n">
        <v>163</v>
      </c>
    </row>
    <row r="153" customFormat="false" ht="15" hidden="false" customHeight="false" outlineLevel="0" collapsed="false">
      <c r="A153" s="28" t="n">
        <v>152</v>
      </c>
      <c r="B153" s="37" t="s">
        <v>3453</v>
      </c>
      <c r="C153" s="37" t="s">
        <v>3172</v>
      </c>
      <c r="D153" s="37" t="s">
        <v>4121</v>
      </c>
      <c r="E153" s="38" t="n">
        <v>320</v>
      </c>
    </row>
    <row r="154" customFormat="false" ht="15" hidden="false" customHeight="false" outlineLevel="0" collapsed="false">
      <c r="A154" s="28" t="n">
        <v>153</v>
      </c>
      <c r="B154" s="37" t="s">
        <v>1726</v>
      </c>
      <c r="C154" s="37" t="s">
        <v>3172</v>
      </c>
      <c r="D154" s="37" t="s">
        <v>4121</v>
      </c>
      <c r="E154" s="38" t="n">
        <v>320</v>
      </c>
    </row>
    <row r="155" customFormat="false" ht="15" hidden="false" customHeight="false" outlineLevel="0" collapsed="false">
      <c r="A155" s="28" t="n">
        <v>154</v>
      </c>
      <c r="B155" s="37" t="s">
        <v>1785</v>
      </c>
      <c r="C155" s="37" t="s">
        <v>4090</v>
      </c>
      <c r="D155" s="37" t="s">
        <v>4091</v>
      </c>
      <c r="E155" s="38" t="n">
        <v>164</v>
      </c>
    </row>
    <row r="156" customFormat="false" ht="15" hidden="false" customHeight="false" outlineLevel="0" collapsed="false">
      <c r="A156" s="28" t="n">
        <v>155</v>
      </c>
      <c r="B156" s="37" t="s">
        <v>4141</v>
      </c>
      <c r="C156" s="37" t="s">
        <v>4142</v>
      </c>
      <c r="D156" s="37" t="s">
        <v>4029</v>
      </c>
      <c r="E156" s="38" t="n">
        <v>185</v>
      </c>
    </row>
    <row r="157" customFormat="false" ht="15" hidden="false" customHeight="false" outlineLevel="0" collapsed="false">
      <c r="A157" s="28" t="n">
        <v>156</v>
      </c>
      <c r="B157" s="37" t="s">
        <v>316</v>
      </c>
      <c r="C157" s="37" t="s">
        <v>3544</v>
      </c>
      <c r="D157" s="37" t="s">
        <v>4143</v>
      </c>
      <c r="E157" s="38" t="n">
        <v>181</v>
      </c>
    </row>
    <row r="158" customFormat="false" ht="15" hidden="false" customHeight="false" outlineLevel="0" collapsed="false">
      <c r="A158" s="28" t="n">
        <v>157</v>
      </c>
      <c r="B158" s="37" t="s">
        <v>3545</v>
      </c>
      <c r="C158" s="37" t="s">
        <v>3546</v>
      </c>
      <c r="D158" s="37" t="s">
        <v>4144</v>
      </c>
      <c r="E158" s="38" t="n">
        <v>243</v>
      </c>
    </row>
    <row r="159" customFormat="false" ht="15" hidden="false" customHeight="false" outlineLevel="0" collapsed="false">
      <c r="A159" s="28" t="n">
        <v>158</v>
      </c>
      <c r="B159" s="37" t="s">
        <v>3565</v>
      </c>
      <c r="C159" s="37" t="s">
        <v>3566</v>
      </c>
      <c r="D159" s="37" t="s">
        <v>4145</v>
      </c>
      <c r="E159" s="38" t="n">
        <v>186</v>
      </c>
    </row>
    <row r="160" customFormat="false" ht="15" hidden="false" customHeight="false" outlineLevel="0" collapsed="false">
      <c r="A160" s="28" t="n">
        <v>159</v>
      </c>
      <c r="B160" s="37" t="s">
        <v>1827</v>
      </c>
      <c r="C160" s="37" t="s">
        <v>3195</v>
      </c>
      <c r="D160" s="37" t="s">
        <v>4122</v>
      </c>
      <c r="E160" s="38" t="n">
        <v>320</v>
      </c>
    </row>
    <row r="161" customFormat="false" ht="15" hidden="false" customHeight="false" outlineLevel="0" collapsed="false">
      <c r="A161" s="28" t="n">
        <v>160</v>
      </c>
      <c r="B161" s="37" t="s">
        <v>1830</v>
      </c>
      <c r="C161" s="37" t="s">
        <v>2573</v>
      </c>
      <c r="D161" s="37" t="s">
        <v>4032</v>
      </c>
      <c r="E161" s="38" t="n">
        <v>162</v>
      </c>
    </row>
    <row r="162" customFormat="false" ht="15" hidden="false" customHeight="false" outlineLevel="0" collapsed="false">
      <c r="A162" s="28" t="n">
        <v>161</v>
      </c>
      <c r="B162" s="37" t="s">
        <v>1837</v>
      </c>
      <c r="C162" s="37" t="s">
        <v>4095</v>
      </c>
      <c r="D162" s="37" t="s">
        <v>4096</v>
      </c>
      <c r="E162" s="38" t="n">
        <v>161</v>
      </c>
    </row>
    <row r="163" customFormat="false" ht="15" hidden="false" customHeight="false" outlineLevel="0" collapsed="false">
      <c r="A163" s="28" t="n">
        <v>162</v>
      </c>
      <c r="B163" s="37" t="s">
        <v>1840</v>
      </c>
      <c r="C163" s="37" t="s">
        <v>4117</v>
      </c>
      <c r="D163" s="37" t="s">
        <v>4118</v>
      </c>
      <c r="E163" s="38" t="n">
        <v>316</v>
      </c>
    </row>
    <row r="164" customFormat="false" ht="15" hidden="false" customHeight="false" outlineLevel="0" collapsed="false">
      <c r="A164" s="28" t="n">
        <v>163</v>
      </c>
      <c r="B164" s="37" t="s">
        <v>4146</v>
      </c>
      <c r="C164" s="37" t="s">
        <v>4117</v>
      </c>
      <c r="D164" s="37" t="s">
        <v>4118</v>
      </c>
      <c r="E164" s="38" t="n">
        <v>316</v>
      </c>
    </row>
    <row r="165" customFormat="false" ht="15" hidden="false" customHeight="false" outlineLevel="0" collapsed="false">
      <c r="A165" s="28" t="n">
        <v>164</v>
      </c>
      <c r="B165" s="37" t="s">
        <v>1856</v>
      </c>
      <c r="C165" s="37" t="s">
        <v>4095</v>
      </c>
      <c r="D165" s="37" t="s">
        <v>4096</v>
      </c>
      <c r="E165" s="38" t="n">
        <v>161</v>
      </c>
    </row>
    <row r="166" customFormat="false" ht="15" hidden="false" customHeight="false" outlineLevel="0" collapsed="false">
      <c r="A166" s="28" t="n">
        <v>165</v>
      </c>
      <c r="B166" s="37" t="s">
        <v>1873</v>
      </c>
      <c r="C166" s="37" t="s">
        <v>2573</v>
      </c>
      <c r="D166" s="37" t="s">
        <v>4032</v>
      </c>
      <c r="E166" s="38" t="n">
        <v>162</v>
      </c>
    </row>
    <row r="167" customFormat="false" ht="15" hidden="false" customHeight="false" outlineLevel="0" collapsed="false">
      <c r="A167" s="28" t="n">
        <v>166</v>
      </c>
      <c r="B167" s="37" t="s">
        <v>1896</v>
      </c>
      <c r="C167" s="37" t="s">
        <v>3244</v>
      </c>
      <c r="D167" s="37" t="s">
        <v>3975</v>
      </c>
      <c r="E167" s="38" t="n">
        <v>168</v>
      </c>
    </row>
    <row r="168" customFormat="false" ht="15" hidden="false" customHeight="false" outlineLevel="0" collapsed="false">
      <c r="A168" s="28" t="n">
        <v>167</v>
      </c>
      <c r="B168" s="37" t="s">
        <v>1912</v>
      </c>
      <c r="C168" s="37" t="s">
        <v>3633</v>
      </c>
      <c r="D168" s="37" t="s">
        <v>3975</v>
      </c>
      <c r="E168" s="38" t="n">
        <v>168</v>
      </c>
    </row>
    <row r="169" customFormat="false" ht="15" hidden="false" customHeight="false" outlineLevel="0" collapsed="false">
      <c r="A169" s="28" t="n">
        <v>168</v>
      </c>
      <c r="B169" s="37" t="s">
        <v>3660</v>
      </c>
      <c r="C169" s="37" t="s">
        <v>2754</v>
      </c>
      <c r="D169" s="37" t="s">
        <v>4086</v>
      </c>
      <c r="E169" s="38" t="n">
        <v>207</v>
      </c>
    </row>
    <row r="170" customFormat="false" ht="15" hidden="false" customHeight="false" outlineLevel="0" collapsed="false">
      <c r="A170" s="28" t="n">
        <v>169</v>
      </c>
      <c r="B170" s="37" t="s">
        <v>1975</v>
      </c>
      <c r="C170" s="37" t="s">
        <v>4147</v>
      </c>
      <c r="D170" s="37" t="s">
        <v>4148</v>
      </c>
      <c r="E170" s="38" t="n">
        <v>162</v>
      </c>
    </row>
    <row r="171" customFormat="false" ht="15" hidden="false" customHeight="false" outlineLevel="0" collapsed="false">
      <c r="A171" s="28" t="n">
        <v>170</v>
      </c>
      <c r="B171" s="37" t="s">
        <v>3689</v>
      </c>
      <c r="C171" s="37" t="s">
        <v>3690</v>
      </c>
      <c r="D171" s="37" t="s">
        <v>4149</v>
      </c>
      <c r="E171" s="38" t="n">
        <v>208</v>
      </c>
    </row>
    <row r="172" customFormat="false" ht="15" hidden="false" customHeight="false" outlineLevel="0" collapsed="false">
      <c r="A172" s="28" t="n">
        <v>171</v>
      </c>
      <c r="B172" s="37" t="s">
        <v>4150</v>
      </c>
      <c r="C172" s="37" t="s">
        <v>4151</v>
      </c>
      <c r="D172" s="37" t="s">
        <v>4152</v>
      </c>
      <c r="E172" s="38" t="n">
        <v>190</v>
      </c>
    </row>
    <row r="173" customFormat="false" ht="15" hidden="false" customHeight="false" outlineLevel="0" collapsed="false">
      <c r="A173" s="28" t="n">
        <v>172</v>
      </c>
      <c r="B173" s="37" t="s">
        <v>2014</v>
      </c>
      <c r="C173" s="37" t="s">
        <v>4095</v>
      </c>
      <c r="D173" s="37" t="s">
        <v>4096</v>
      </c>
      <c r="E173" s="38" t="n">
        <v>161</v>
      </c>
    </row>
    <row r="174" customFormat="false" ht="15" hidden="false" customHeight="false" outlineLevel="0" collapsed="false">
      <c r="A174" s="28" t="n">
        <v>173</v>
      </c>
      <c r="B174" s="37" t="s">
        <v>2022</v>
      </c>
      <c r="C174" s="37" t="s">
        <v>4095</v>
      </c>
      <c r="D174" s="37" t="s">
        <v>4096</v>
      </c>
      <c r="E174" s="38" t="n">
        <v>161</v>
      </c>
    </row>
    <row r="175" customFormat="false" ht="15" hidden="false" customHeight="false" outlineLevel="0" collapsed="false">
      <c r="A175" s="28" t="n">
        <v>174</v>
      </c>
      <c r="B175" s="37" t="s">
        <v>2043</v>
      </c>
      <c r="C175" s="37" t="s">
        <v>4090</v>
      </c>
      <c r="D175" s="37" t="s">
        <v>4091</v>
      </c>
      <c r="E175" s="38" t="n">
        <v>164</v>
      </c>
    </row>
    <row r="176" customFormat="false" ht="15" hidden="false" customHeight="false" outlineLevel="0" collapsed="false">
      <c r="A176" s="28" t="n">
        <v>175</v>
      </c>
      <c r="B176" s="37" t="s">
        <v>2077</v>
      </c>
      <c r="C176" s="37" t="s">
        <v>4117</v>
      </c>
      <c r="D176" s="37" t="s">
        <v>4118</v>
      </c>
      <c r="E176" s="38" t="n">
        <v>316</v>
      </c>
    </row>
    <row r="177" customFormat="false" ht="15" hidden="false" customHeight="false" outlineLevel="0" collapsed="false">
      <c r="A177" s="28" t="n">
        <v>176</v>
      </c>
      <c r="B177" s="37" t="s">
        <v>4153</v>
      </c>
      <c r="C177" s="37" t="s">
        <v>4117</v>
      </c>
      <c r="D177" s="37" t="s">
        <v>4118</v>
      </c>
      <c r="E177" s="38" t="n">
        <v>316</v>
      </c>
    </row>
    <row r="178" customFormat="false" ht="15" hidden="false" customHeight="false" outlineLevel="0" collapsed="false">
      <c r="A178" s="28" t="n">
        <v>177</v>
      </c>
      <c r="B178" s="37" t="s">
        <v>4154</v>
      </c>
      <c r="C178" s="37" t="s">
        <v>4155</v>
      </c>
      <c r="D178" s="37" t="s">
        <v>4156</v>
      </c>
      <c r="E178" s="38" t="n">
        <v>171</v>
      </c>
    </row>
    <row r="179" customFormat="false" ht="15" hidden="false" customHeight="false" outlineLevel="0" collapsed="false">
      <c r="A179" s="28" t="n">
        <v>178</v>
      </c>
      <c r="B179" s="37" t="s">
        <v>3768</v>
      </c>
      <c r="C179" s="37" t="s">
        <v>3172</v>
      </c>
      <c r="D179" s="37" t="s">
        <v>4121</v>
      </c>
      <c r="E179" s="38" t="n">
        <v>320</v>
      </c>
    </row>
    <row r="180" customFormat="false" ht="15" hidden="false" customHeight="false" outlineLevel="0" collapsed="false">
      <c r="A180" s="28" t="n">
        <v>179</v>
      </c>
      <c r="B180" s="37" t="s">
        <v>4157</v>
      </c>
      <c r="C180" s="37" t="s">
        <v>4158</v>
      </c>
      <c r="D180" s="37" t="s">
        <v>4159</v>
      </c>
      <c r="E180" s="38" t="n">
        <v>212</v>
      </c>
    </row>
    <row r="181" customFormat="false" ht="15" hidden="false" customHeight="false" outlineLevel="0" collapsed="false">
      <c r="A181" s="28" t="n">
        <v>180</v>
      </c>
      <c r="B181" s="37" t="s">
        <v>2190</v>
      </c>
      <c r="C181" s="37" t="s">
        <v>4160</v>
      </c>
      <c r="D181" s="37" t="s">
        <v>4029</v>
      </c>
      <c r="E181" s="38" t="n">
        <v>185</v>
      </c>
    </row>
    <row r="182" customFormat="false" ht="15" hidden="false" customHeight="false" outlineLevel="0" collapsed="false">
      <c r="A182" s="28" t="n">
        <v>181</v>
      </c>
      <c r="B182" s="37" t="s">
        <v>2206</v>
      </c>
      <c r="C182" s="37" t="s">
        <v>3257</v>
      </c>
      <c r="D182" s="37" t="s">
        <v>3975</v>
      </c>
      <c r="E182" s="38" t="n">
        <v>168</v>
      </c>
    </row>
    <row r="183" customFormat="false" ht="15" hidden="false" customHeight="false" outlineLevel="0" collapsed="false">
      <c r="A183" s="28" t="n">
        <v>182</v>
      </c>
      <c r="B183" s="37" t="s">
        <v>4161</v>
      </c>
      <c r="C183" s="37" t="s">
        <v>4015</v>
      </c>
      <c r="D183" s="37" t="s">
        <v>4016</v>
      </c>
      <c r="E183" s="38" t="n">
        <v>163</v>
      </c>
    </row>
    <row r="184" customFormat="false" ht="15" hidden="false" customHeight="false" outlineLevel="0" collapsed="false">
      <c r="A184" s="28" t="n">
        <v>183</v>
      </c>
      <c r="B184" s="37" t="s">
        <v>2227</v>
      </c>
      <c r="C184" s="37" t="s">
        <v>2509</v>
      </c>
      <c r="D184" s="37" t="s">
        <v>3980</v>
      </c>
      <c r="E184" s="38" t="n">
        <v>173</v>
      </c>
    </row>
    <row r="185" customFormat="false" ht="15" hidden="false" customHeight="false" outlineLevel="0" collapsed="false">
      <c r="A185" s="28" t="n">
        <v>184</v>
      </c>
      <c r="B185" s="37" t="s">
        <v>4162</v>
      </c>
      <c r="C185" s="37" t="s">
        <v>4163</v>
      </c>
      <c r="D185" s="37" t="s">
        <v>4164</v>
      </c>
      <c r="E185" s="38" t="n">
        <v>232</v>
      </c>
    </row>
    <row r="186" customFormat="false" ht="15" hidden="false" customHeight="false" outlineLevel="0" collapsed="false">
      <c r="A186" s="28" t="n">
        <v>185</v>
      </c>
      <c r="B186" s="37" t="s">
        <v>4165</v>
      </c>
      <c r="C186" s="37" t="s">
        <v>4117</v>
      </c>
      <c r="D186" s="37" t="s">
        <v>4118</v>
      </c>
      <c r="E186" s="38" t="n">
        <v>316</v>
      </c>
    </row>
    <row r="187" customFormat="false" ht="15" hidden="false" customHeight="false" outlineLevel="0" collapsed="false">
      <c r="A187" s="28" t="n">
        <v>186</v>
      </c>
      <c r="B187" s="37" t="s">
        <v>2319</v>
      </c>
      <c r="C187" s="37" t="s">
        <v>3895</v>
      </c>
      <c r="D187" s="37" t="s">
        <v>3993</v>
      </c>
      <c r="E187" s="38" t="n">
        <v>180</v>
      </c>
    </row>
    <row r="188" customFormat="false" ht="15" hidden="false" customHeight="false" outlineLevel="0" collapsed="false">
      <c r="A188" s="28" t="n">
        <v>187</v>
      </c>
      <c r="B188" s="37" t="s">
        <v>2329</v>
      </c>
      <c r="C188" s="37" t="s">
        <v>4104</v>
      </c>
      <c r="D188" s="37" t="s">
        <v>3975</v>
      </c>
      <c r="E188" s="38" t="n">
        <v>168</v>
      </c>
    </row>
    <row r="189" customFormat="false" ht="15" hidden="false" customHeight="false" outlineLevel="0" collapsed="false">
      <c r="A189" s="28" t="n">
        <v>188</v>
      </c>
      <c r="B189" s="37" t="s">
        <v>313</v>
      </c>
      <c r="C189" s="37" t="s">
        <v>3906</v>
      </c>
      <c r="D189" s="37" t="s">
        <v>4166</v>
      </c>
      <c r="E189" s="38" t="n">
        <v>161</v>
      </c>
    </row>
    <row r="190" customFormat="false" ht="15" hidden="false" customHeight="false" outlineLevel="0" collapsed="false">
      <c r="A190" s="28" t="n">
        <v>189</v>
      </c>
      <c r="B190" s="37" t="s">
        <v>2352</v>
      </c>
      <c r="C190" s="37" t="s">
        <v>3919</v>
      </c>
      <c r="D190" s="37" t="s">
        <v>3993</v>
      </c>
      <c r="E190" s="38" t="n">
        <v>180</v>
      </c>
    </row>
    <row r="191" customFormat="false" ht="15" hidden="false" customHeight="false" outlineLevel="0" collapsed="false">
      <c r="A191" s="28" t="n">
        <v>190</v>
      </c>
      <c r="B191" s="37" t="s">
        <v>3923</v>
      </c>
      <c r="C191" s="37" t="s">
        <v>3924</v>
      </c>
      <c r="D191" s="37" t="s">
        <v>4167</v>
      </c>
      <c r="E191" s="38" t="n">
        <v>226</v>
      </c>
    </row>
    <row r="192" customFormat="false" ht="15" hidden="false" customHeight="false" outlineLevel="0" collapsed="false">
      <c r="A192" s="28" t="n">
        <v>191</v>
      </c>
      <c r="B192" s="37" t="s">
        <v>2403</v>
      </c>
      <c r="C192" s="37" t="s">
        <v>4095</v>
      </c>
      <c r="D192" s="37" t="s">
        <v>4096</v>
      </c>
      <c r="E192" s="38" t="n">
        <v>161</v>
      </c>
    </row>
    <row r="193" customFormat="false" ht="15" hidden="false" customHeight="false" outlineLevel="0" collapsed="false">
      <c r="A193" s="28" t="n">
        <v>192</v>
      </c>
      <c r="B193" s="37" t="s">
        <v>2435</v>
      </c>
      <c r="C193" s="37" t="s">
        <v>3633</v>
      </c>
      <c r="D193" s="37" t="s">
        <v>3975</v>
      </c>
      <c r="E193" s="38" t="n">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D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74.25"/>
    <col collapsed="false" customWidth="true" hidden="false" outlineLevel="0" max="4" min="4" style="0" width="22"/>
  </cols>
  <sheetData>
    <row r="1" customFormat="false" ht="15" hidden="false" customHeight="false" outlineLevel="0" collapsed="false">
      <c r="A1" s="27" t="s">
        <v>269</v>
      </c>
      <c r="B1" s="27" t="s">
        <v>274</v>
      </c>
      <c r="D1" s="26" t="str">
        <f aca="false">HYPERLINK("#'Master Overview'!A1","&lt;&lt; Master Overview")</f>
        <v>&lt;&lt; Master Overview</v>
      </c>
    </row>
    <row r="2" customFormat="false" ht="15" hidden="false" customHeight="false" outlineLevel="0" collapsed="false">
      <c r="A2" s="28" t="n">
        <v>1</v>
      </c>
      <c r="B2" s="37" t="s">
        <v>3977</v>
      </c>
      <c r="D2" s="2" t="s">
        <v>4168</v>
      </c>
    </row>
    <row r="3" customFormat="false" ht="15" hidden="false" customHeight="false" outlineLevel="0" collapsed="false">
      <c r="A3" s="28" t="n">
        <v>2</v>
      </c>
      <c r="B3" s="37" t="s">
        <v>2508</v>
      </c>
    </row>
    <row r="4" customFormat="false" ht="15" hidden="false" customHeight="false" outlineLevel="0" collapsed="false">
      <c r="A4" s="28" t="n">
        <v>3</v>
      </c>
      <c r="B4" s="37" t="s">
        <v>2516</v>
      </c>
    </row>
    <row r="5" customFormat="false" ht="15" hidden="false" customHeight="false" outlineLevel="0" collapsed="false">
      <c r="A5" s="28" t="n">
        <v>4</v>
      </c>
      <c r="B5" s="37" t="s">
        <v>4169</v>
      </c>
    </row>
    <row r="6" customFormat="false" ht="15" hidden="false" customHeight="false" outlineLevel="0" collapsed="false">
      <c r="A6" s="28" t="n">
        <v>5</v>
      </c>
      <c r="B6" s="37" t="s">
        <v>337</v>
      </c>
    </row>
    <row r="7" customFormat="false" ht="15" hidden="false" customHeight="false" outlineLevel="0" collapsed="false">
      <c r="A7" s="28" t="n">
        <v>6</v>
      </c>
      <c r="B7" s="37" t="s">
        <v>339</v>
      </c>
    </row>
    <row r="8" customFormat="false" ht="15" hidden="false" customHeight="false" outlineLevel="0" collapsed="false">
      <c r="A8" s="28" t="n">
        <v>7</v>
      </c>
      <c r="B8" s="37" t="s">
        <v>3994</v>
      </c>
    </row>
    <row r="9" customFormat="false" ht="15" hidden="false" customHeight="false" outlineLevel="0" collapsed="false">
      <c r="A9" s="28" t="n">
        <v>8</v>
      </c>
      <c r="B9" s="37" t="s">
        <v>345</v>
      </c>
    </row>
    <row r="10" customFormat="false" ht="15" hidden="false" customHeight="false" outlineLevel="0" collapsed="false">
      <c r="A10" s="28" t="n">
        <v>9</v>
      </c>
      <c r="B10" s="37" t="s">
        <v>2520</v>
      </c>
    </row>
    <row r="11" customFormat="false" ht="15" hidden="false" customHeight="false" outlineLevel="0" collapsed="false">
      <c r="A11" s="28" t="n">
        <v>10</v>
      </c>
      <c r="B11" s="37" t="s">
        <v>4170</v>
      </c>
    </row>
    <row r="12" customFormat="false" ht="15" hidden="false" customHeight="false" outlineLevel="0" collapsed="false">
      <c r="A12" s="28" t="n">
        <v>11</v>
      </c>
      <c r="B12" s="37" t="s">
        <v>355</v>
      </c>
    </row>
    <row r="13" customFormat="false" ht="15" hidden="false" customHeight="false" outlineLevel="0" collapsed="false">
      <c r="A13" s="28" t="n">
        <v>12</v>
      </c>
      <c r="B13" s="37" t="s">
        <v>4000</v>
      </c>
    </row>
    <row r="14" customFormat="false" ht="15" hidden="false" customHeight="false" outlineLevel="0" collapsed="false">
      <c r="A14" s="28" t="n">
        <v>13</v>
      </c>
      <c r="B14" s="37" t="s">
        <v>356</v>
      </c>
    </row>
    <row r="15" customFormat="false" ht="15" hidden="false" customHeight="false" outlineLevel="0" collapsed="false">
      <c r="A15" s="28" t="n">
        <v>14</v>
      </c>
      <c r="B15" s="37" t="s">
        <v>359</v>
      </c>
    </row>
    <row r="16" customFormat="false" ht="15" hidden="false" customHeight="false" outlineLevel="0" collapsed="false">
      <c r="A16" s="28" t="n">
        <v>15</v>
      </c>
      <c r="B16" s="37" t="s">
        <v>363</v>
      </c>
    </row>
    <row r="17" customFormat="false" ht="15" hidden="false" customHeight="false" outlineLevel="0" collapsed="false">
      <c r="A17" s="28" t="n">
        <v>16</v>
      </c>
      <c r="B17" s="37" t="s">
        <v>2522</v>
      </c>
    </row>
    <row r="18" customFormat="false" ht="15" hidden="false" customHeight="false" outlineLevel="0" collapsed="false">
      <c r="A18" s="28" t="n">
        <v>17</v>
      </c>
      <c r="B18" s="37" t="s">
        <v>373</v>
      </c>
    </row>
    <row r="19" customFormat="false" ht="15" hidden="false" customHeight="false" outlineLevel="0" collapsed="false">
      <c r="A19" s="28" t="n">
        <v>18</v>
      </c>
      <c r="B19" s="37" t="s">
        <v>374</v>
      </c>
    </row>
    <row r="20" customFormat="false" ht="15" hidden="false" customHeight="false" outlineLevel="0" collapsed="false">
      <c r="A20" s="28" t="n">
        <v>19</v>
      </c>
      <c r="B20" s="37" t="s">
        <v>2526</v>
      </c>
    </row>
    <row r="21" customFormat="false" ht="15" hidden="false" customHeight="false" outlineLevel="0" collapsed="false">
      <c r="A21" s="28" t="n">
        <v>20</v>
      </c>
      <c r="B21" s="37" t="s">
        <v>382</v>
      </c>
    </row>
    <row r="22" customFormat="false" ht="15" hidden="false" customHeight="false" outlineLevel="0" collapsed="false">
      <c r="A22" s="28" t="n">
        <v>21</v>
      </c>
      <c r="B22" s="37" t="s">
        <v>384</v>
      </c>
    </row>
    <row r="23" customFormat="false" ht="15" hidden="false" customHeight="false" outlineLevel="0" collapsed="false">
      <c r="A23" s="28" t="n">
        <v>22</v>
      </c>
      <c r="B23" s="37" t="s">
        <v>386</v>
      </c>
    </row>
    <row r="24" customFormat="false" ht="15" hidden="false" customHeight="false" outlineLevel="0" collapsed="false">
      <c r="A24" s="28" t="n">
        <v>23</v>
      </c>
      <c r="B24" s="37" t="s">
        <v>390</v>
      </c>
    </row>
    <row r="25" customFormat="false" ht="15" hidden="false" customHeight="false" outlineLevel="0" collapsed="false">
      <c r="A25" s="28" t="n">
        <v>24</v>
      </c>
      <c r="B25" s="37" t="s">
        <v>395</v>
      </c>
    </row>
    <row r="26" customFormat="false" ht="15" hidden="false" customHeight="false" outlineLevel="0" collapsed="false">
      <c r="A26" s="28" t="n">
        <v>25</v>
      </c>
      <c r="B26" s="37" t="s">
        <v>4171</v>
      </c>
    </row>
    <row r="27" customFormat="false" ht="15" hidden="false" customHeight="false" outlineLevel="0" collapsed="false">
      <c r="A27" s="28" t="n">
        <v>26</v>
      </c>
      <c r="B27" s="37" t="s">
        <v>4172</v>
      </c>
    </row>
    <row r="28" customFormat="false" ht="15" hidden="false" customHeight="false" outlineLevel="0" collapsed="false">
      <c r="A28" s="28" t="n">
        <v>27</v>
      </c>
      <c r="B28" s="37" t="s">
        <v>4173</v>
      </c>
    </row>
    <row r="29" customFormat="false" ht="15" hidden="false" customHeight="false" outlineLevel="0" collapsed="false">
      <c r="A29" s="28" t="n">
        <v>28</v>
      </c>
      <c r="B29" s="37" t="s">
        <v>4014</v>
      </c>
    </row>
    <row r="30" customFormat="false" ht="15" hidden="false" customHeight="false" outlineLevel="0" collapsed="false">
      <c r="A30" s="28" t="n">
        <v>29</v>
      </c>
      <c r="B30" s="37" t="s">
        <v>4017</v>
      </c>
    </row>
    <row r="31" customFormat="false" ht="15" hidden="false" customHeight="false" outlineLevel="0" collapsed="false">
      <c r="A31" s="28" t="n">
        <v>30</v>
      </c>
      <c r="B31" s="37" t="s">
        <v>400</v>
      </c>
    </row>
    <row r="32" customFormat="false" ht="15" hidden="false" customHeight="false" outlineLevel="0" collapsed="false">
      <c r="A32" s="28" t="n">
        <v>31</v>
      </c>
      <c r="B32" s="37" t="s">
        <v>402</v>
      </c>
    </row>
    <row r="33" customFormat="false" ht="15" hidden="false" customHeight="false" outlineLevel="0" collapsed="false">
      <c r="A33" s="28" t="n">
        <v>32</v>
      </c>
      <c r="B33" s="37" t="s">
        <v>403</v>
      </c>
    </row>
    <row r="34" customFormat="false" ht="15" hidden="false" customHeight="false" outlineLevel="0" collapsed="false">
      <c r="A34" s="28" t="n">
        <v>33</v>
      </c>
      <c r="B34" s="37" t="s">
        <v>4174</v>
      </c>
    </row>
    <row r="35" customFormat="false" ht="15" hidden="false" customHeight="false" outlineLevel="0" collapsed="false">
      <c r="A35" s="28" t="n">
        <v>34</v>
      </c>
      <c r="B35" s="37" t="s">
        <v>4175</v>
      </c>
    </row>
    <row r="36" customFormat="false" ht="15" hidden="false" customHeight="false" outlineLevel="0" collapsed="false">
      <c r="A36" s="28" t="n">
        <v>35</v>
      </c>
      <c r="B36" s="37" t="s">
        <v>405</v>
      </c>
    </row>
    <row r="37" customFormat="false" ht="15" hidden="false" customHeight="false" outlineLevel="0" collapsed="false">
      <c r="A37" s="28" t="n">
        <v>36</v>
      </c>
      <c r="B37" s="37" t="s">
        <v>4176</v>
      </c>
    </row>
    <row r="38" customFormat="false" ht="15" hidden="false" customHeight="false" outlineLevel="0" collapsed="false">
      <c r="A38" s="28" t="n">
        <v>37</v>
      </c>
      <c r="B38" s="37" t="s">
        <v>4177</v>
      </c>
    </row>
    <row r="39" customFormat="false" ht="15" hidden="false" customHeight="false" outlineLevel="0" collapsed="false">
      <c r="A39" s="28" t="n">
        <v>38</v>
      </c>
      <c r="B39" s="37" t="s">
        <v>4178</v>
      </c>
    </row>
    <row r="40" customFormat="false" ht="15" hidden="false" customHeight="false" outlineLevel="0" collapsed="false">
      <c r="A40" s="28" t="n">
        <v>39</v>
      </c>
      <c r="B40" s="37" t="s">
        <v>406</v>
      </c>
    </row>
    <row r="41" customFormat="false" ht="15" hidden="false" customHeight="false" outlineLevel="0" collapsed="false">
      <c r="A41" s="28" t="n">
        <v>40</v>
      </c>
      <c r="B41" s="37" t="s">
        <v>407</v>
      </c>
    </row>
    <row r="42" customFormat="false" ht="15" hidden="false" customHeight="false" outlineLevel="0" collapsed="false">
      <c r="A42" s="28" t="n">
        <v>41</v>
      </c>
      <c r="B42" s="37" t="s">
        <v>4179</v>
      </c>
    </row>
    <row r="43" customFormat="false" ht="15" hidden="false" customHeight="false" outlineLevel="0" collapsed="false">
      <c r="A43" s="28" t="n">
        <v>42</v>
      </c>
      <c r="B43" s="37" t="s">
        <v>411</v>
      </c>
    </row>
    <row r="44" customFormat="false" ht="15" hidden="false" customHeight="false" outlineLevel="0" collapsed="false">
      <c r="A44" s="28" t="n">
        <v>43</v>
      </c>
      <c r="B44" s="37" t="s">
        <v>4180</v>
      </c>
    </row>
    <row r="45" customFormat="false" ht="15" hidden="false" customHeight="false" outlineLevel="0" collapsed="false">
      <c r="A45" s="28" t="n">
        <v>44</v>
      </c>
      <c r="B45" s="37" t="s">
        <v>415</v>
      </c>
    </row>
    <row r="46" customFormat="false" ht="15" hidden="false" customHeight="false" outlineLevel="0" collapsed="false">
      <c r="A46" s="28" t="n">
        <v>45</v>
      </c>
      <c r="B46" s="37" t="s">
        <v>4181</v>
      </c>
    </row>
    <row r="47" customFormat="false" ht="15" hidden="false" customHeight="false" outlineLevel="0" collapsed="false">
      <c r="A47" s="28" t="n">
        <v>46</v>
      </c>
      <c r="B47" s="37" t="s">
        <v>431</v>
      </c>
    </row>
    <row r="48" customFormat="false" ht="15" hidden="false" customHeight="false" outlineLevel="0" collapsed="false">
      <c r="A48" s="28" t="n">
        <v>47</v>
      </c>
      <c r="B48" s="37" t="s">
        <v>2555</v>
      </c>
    </row>
    <row r="49" customFormat="false" ht="15" hidden="false" customHeight="false" outlineLevel="0" collapsed="false">
      <c r="A49" s="28" t="n">
        <v>48</v>
      </c>
      <c r="B49" s="37" t="s">
        <v>4182</v>
      </c>
    </row>
    <row r="50" customFormat="false" ht="15" hidden="false" customHeight="false" outlineLevel="0" collapsed="false">
      <c r="A50" s="28" t="n">
        <v>49</v>
      </c>
      <c r="B50" s="37" t="s">
        <v>2557</v>
      </c>
    </row>
    <row r="51" customFormat="false" ht="15" hidden="false" customHeight="false" outlineLevel="0" collapsed="false">
      <c r="A51" s="28" t="n">
        <v>50</v>
      </c>
      <c r="B51" s="37" t="s">
        <v>442</v>
      </c>
    </row>
    <row r="52" customFormat="false" ht="15" hidden="false" customHeight="false" outlineLevel="0" collapsed="false">
      <c r="A52" s="28" t="n">
        <v>51</v>
      </c>
      <c r="B52" s="37" t="s">
        <v>2563</v>
      </c>
    </row>
    <row r="53" customFormat="false" ht="15" hidden="false" customHeight="false" outlineLevel="0" collapsed="false">
      <c r="A53" s="28" t="n">
        <v>52</v>
      </c>
      <c r="B53" s="37" t="s">
        <v>2568</v>
      </c>
    </row>
    <row r="54" customFormat="false" ht="15" hidden="false" customHeight="false" outlineLevel="0" collapsed="false">
      <c r="A54" s="28" t="n">
        <v>53</v>
      </c>
      <c r="B54" s="37" t="s">
        <v>4033</v>
      </c>
    </row>
    <row r="55" customFormat="false" ht="15" hidden="false" customHeight="false" outlineLevel="0" collapsed="false">
      <c r="A55" s="28" t="n">
        <v>54</v>
      </c>
      <c r="B55" s="37" t="s">
        <v>2580</v>
      </c>
    </row>
    <row r="56" customFormat="false" ht="15" hidden="false" customHeight="false" outlineLevel="0" collapsed="false">
      <c r="A56" s="28" t="n">
        <v>55</v>
      </c>
      <c r="B56" s="37" t="s">
        <v>465</v>
      </c>
    </row>
    <row r="57" customFormat="false" ht="15" hidden="false" customHeight="false" outlineLevel="0" collapsed="false">
      <c r="A57" s="28" t="n">
        <v>56</v>
      </c>
      <c r="B57" s="37" t="s">
        <v>2588</v>
      </c>
    </row>
    <row r="58" customFormat="false" ht="15" hidden="false" customHeight="false" outlineLevel="0" collapsed="false">
      <c r="A58" s="28" t="n">
        <v>57</v>
      </c>
      <c r="B58" s="37" t="s">
        <v>4183</v>
      </c>
    </row>
    <row r="59" customFormat="false" ht="15" hidden="false" customHeight="false" outlineLevel="0" collapsed="false">
      <c r="A59" s="28" t="n">
        <v>58</v>
      </c>
      <c r="B59" s="37" t="s">
        <v>474</v>
      </c>
    </row>
    <row r="60" customFormat="false" ht="15" hidden="false" customHeight="false" outlineLevel="0" collapsed="false">
      <c r="A60" s="28" t="n">
        <v>59</v>
      </c>
      <c r="B60" s="37" t="s">
        <v>4184</v>
      </c>
    </row>
    <row r="61" customFormat="false" ht="15" hidden="false" customHeight="false" outlineLevel="0" collapsed="false">
      <c r="A61" s="28" t="n">
        <v>60</v>
      </c>
      <c r="B61" s="37" t="s">
        <v>4037</v>
      </c>
    </row>
    <row r="62" customFormat="false" ht="15" hidden="false" customHeight="false" outlineLevel="0" collapsed="false">
      <c r="A62" s="28" t="n">
        <v>61</v>
      </c>
      <c r="B62" s="37" t="s">
        <v>486</v>
      </c>
    </row>
    <row r="63" customFormat="false" ht="15" hidden="false" customHeight="false" outlineLevel="0" collapsed="false">
      <c r="A63" s="28" t="n">
        <v>62</v>
      </c>
      <c r="B63" s="37" t="s">
        <v>4039</v>
      </c>
    </row>
    <row r="64" customFormat="false" ht="15" hidden="false" customHeight="false" outlineLevel="0" collapsed="false">
      <c r="A64" s="28" t="n">
        <v>63</v>
      </c>
      <c r="B64" s="37" t="s">
        <v>2610</v>
      </c>
    </row>
    <row r="65" customFormat="false" ht="15" hidden="false" customHeight="false" outlineLevel="0" collapsed="false">
      <c r="A65" s="28" t="n">
        <v>64</v>
      </c>
      <c r="B65" s="37" t="s">
        <v>496</v>
      </c>
    </row>
    <row r="66" customFormat="false" ht="15" hidden="false" customHeight="false" outlineLevel="0" collapsed="false">
      <c r="A66" s="28" t="n">
        <v>65</v>
      </c>
      <c r="B66" s="37" t="s">
        <v>520</v>
      </c>
    </row>
    <row r="67" customFormat="false" ht="15" hidden="false" customHeight="false" outlineLevel="0" collapsed="false">
      <c r="A67" s="28" t="n">
        <v>66</v>
      </c>
      <c r="B67" s="37" t="s">
        <v>528</v>
      </c>
    </row>
    <row r="68" customFormat="false" ht="15" hidden="false" customHeight="false" outlineLevel="0" collapsed="false">
      <c r="A68" s="28" t="n">
        <v>67</v>
      </c>
      <c r="B68" s="37" t="s">
        <v>531</v>
      </c>
    </row>
    <row r="69" customFormat="false" ht="15" hidden="false" customHeight="false" outlineLevel="0" collapsed="false">
      <c r="A69" s="28" t="n">
        <v>68</v>
      </c>
      <c r="B69" s="37" t="s">
        <v>732</v>
      </c>
    </row>
    <row r="70" customFormat="false" ht="15" hidden="false" customHeight="false" outlineLevel="0" collapsed="false">
      <c r="A70" s="28" t="n">
        <v>69</v>
      </c>
      <c r="B70" s="37" t="s">
        <v>759</v>
      </c>
    </row>
    <row r="71" customFormat="false" ht="15" hidden="false" customHeight="false" outlineLevel="0" collapsed="false">
      <c r="A71" s="28" t="n">
        <v>70</v>
      </c>
      <c r="B71" s="37" t="s">
        <v>764</v>
      </c>
    </row>
    <row r="72" customFormat="false" ht="15" hidden="false" customHeight="false" outlineLevel="0" collapsed="false">
      <c r="A72" s="28" t="n">
        <v>71</v>
      </c>
      <c r="B72" s="37" t="s">
        <v>772</v>
      </c>
    </row>
    <row r="73" customFormat="false" ht="15" hidden="false" customHeight="false" outlineLevel="0" collapsed="false">
      <c r="A73" s="28" t="n">
        <v>72</v>
      </c>
      <c r="B73" s="37" t="s">
        <v>775</v>
      </c>
    </row>
    <row r="74" customFormat="false" ht="15" hidden="false" customHeight="false" outlineLevel="0" collapsed="false">
      <c r="A74" s="28" t="n">
        <v>73</v>
      </c>
      <c r="B74" s="37" t="s">
        <v>835</v>
      </c>
    </row>
    <row r="75" customFormat="false" ht="15" hidden="false" customHeight="false" outlineLevel="0" collapsed="false">
      <c r="A75" s="28" t="n">
        <v>74</v>
      </c>
      <c r="B75" s="37" t="s">
        <v>853</v>
      </c>
    </row>
    <row r="76" customFormat="false" ht="15" hidden="false" customHeight="false" outlineLevel="0" collapsed="false">
      <c r="A76" s="28" t="n">
        <v>75</v>
      </c>
      <c r="B76" s="37" t="s">
        <v>926</v>
      </c>
    </row>
    <row r="77" customFormat="false" ht="15" hidden="false" customHeight="false" outlineLevel="0" collapsed="false">
      <c r="A77" s="28" t="n">
        <v>76</v>
      </c>
      <c r="B77" s="37" t="s">
        <v>4185</v>
      </c>
    </row>
    <row r="78" customFormat="false" ht="15" hidden="false" customHeight="false" outlineLevel="0" collapsed="false">
      <c r="A78" s="28" t="n">
        <v>77</v>
      </c>
      <c r="B78" s="37" t="s">
        <v>1082</v>
      </c>
    </row>
    <row r="79" customFormat="false" ht="15" hidden="false" customHeight="false" outlineLevel="0" collapsed="false">
      <c r="A79" s="28" t="n">
        <v>78</v>
      </c>
      <c r="B79" s="37" t="s">
        <v>1086</v>
      </c>
    </row>
    <row r="80" customFormat="false" ht="15" hidden="false" customHeight="false" outlineLevel="0" collapsed="false">
      <c r="A80" s="28" t="n">
        <v>79</v>
      </c>
      <c r="B80" s="37" t="s">
        <v>1237</v>
      </c>
    </row>
    <row r="81" customFormat="false" ht="15" hidden="false" customHeight="false" outlineLevel="0" collapsed="false">
      <c r="A81" s="28" t="n">
        <v>80</v>
      </c>
      <c r="B81" s="37" t="s">
        <v>4112</v>
      </c>
    </row>
    <row r="82" customFormat="false" ht="15" hidden="false" customHeight="false" outlineLevel="0" collapsed="false">
      <c r="A82" s="28" t="n">
        <v>81</v>
      </c>
      <c r="B82" s="37" t="s">
        <v>1346</v>
      </c>
    </row>
    <row r="83" customFormat="false" ht="15" hidden="false" customHeight="false" outlineLevel="0" collapsed="false">
      <c r="A83" s="28" t="n">
        <v>82</v>
      </c>
      <c r="B83" s="37" t="s">
        <v>1387</v>
      </c>
    </row>
    <row r="84" customFormat="false" ht="15" hidden="false" customHeight="false" outlineLevel="0" collapsed="false">
      <c r="A84" s="28" t="n">
        <v>83</v>
      </c>
      <c r="B84" s="37" t="s">
        <v>1409</v>
      </c>
    </row>
    <row r="85" customFormat="false" ht="15" hidden="false" customHeight="false" outlineLevel="0" collapsed="false">
      <c r="A85" s="28" t="n">
        <v>84</v>
      </c>
      <c r="B85" s="37" t="s">
        <v>1500</v>
      </c>
    </row>
    <row r="86" customFormat="false" ht="15" hidden="false" customHeight="false" outlineLevel="0" collapsed="false">
      <c r="A86" s="28" t="n">
        <v>85</v>
      </c>
      <c r="B86" s="37" t="s">
        <v>1501</v>
      </c>
    </row>
    <row r="87" customFormat="false" ht="15" hidden="false" customHeight="false" outlineLevel="0" collapsed="false">
      <c r="A87" s="28" t="n">
        <v>86</v>
      </c>
      <c r="B87" s="37" t="s">
        <v>1524</v>
      </c>
    </row>
    <row r="88" customFormat="false" ht="15" hidden="false" customHeight="false" outlineLevel="0" collapsed="false">
      <c r="A88" s="28" t="n">
        <v>87</v>
      </c>
      <c r="B88" s="37" t="s">
        <v>1534</v>
      </c>
    </row>
    <row r="89" customFormat="false" ht="15" hidden="false" customHeight="false" outlineLevel="0" collapsed="false">
      <c r="A89" s="28" t="n">
        <v>88</v>
      </c>
      <c r="B89" s="37" t="s">
        <v>1649</v>
      </c>
    </row>
    <row r="90" customFormat="false" ht="15" hidden="false" customHeight="false" outlineLevel="0" collapsed="false">
      <c r="A90" s="28" t="n">
        <v>89</v>
      </c>
      <c r="B90" s="37" t="s">
        <v>1654</v>
      </c>
    </row>
    <row r="91" customFormat="false" ht="15" hidden="false" customHeight="false" outlineLevel="0" collapsed="false">
      <c r="A91" s="28" t="n">
        <v>90</v>
      </c>
      <c r="B91" s="37" t="s">
        <v>3461</v>
      </c>
    </row>
    <row r="92" customFormat="false" ht="15" hidden="false" customHeight="false" outlineLevel="0" collapsed="false">
      <c r="A92" s="28" t="n">
        <v>91</v>
      </c>
      <c r="B92" s="37" t="s">
        <v>1799</v>
      </c>
    </row>
    <row r="93" customFormat="false" ht="15" hidden="false" customHeight="false" outlineLevel="0" collapsed="false">
      <c r="A93" s="28" t="n">
        <v>92</v>
      </c>
      <c r="B93" s="37" t="s">
        <v>4186</v>
      </c>
    </row>
    <row r="94" customFormat="false" ht="15" hidden="false" customHeight="false" outlineLevel="0" collapsed="false">
      <c r="A94" s="28" t="n">
        <v>93</v>
      </c>
      <c r="B94" s="37" t="s">
        <v>1926</v>
      </c>
    </row>
    <row r="95" customFormat="false" ht="15" hidden="false" customHeight="false" outlineLevel="0" collapsed="false">
      <c r="A95" s="28" t="n">
        <v>94</v>
      </c>
      <c r="B95" s="37" t="s">
        <v>4150</v>
      </c>
    </row>
    <row r="96" customFormat="false" ht="15" hidden="false" customHeight="false" outlineLevel="0" collapsed="false">
      <c r="A96" s="28" t="n">
        <v>95</v>
      </c>
      <c r="B96" s="37" t="s">
        <v>3702</v>
      </c>
    </row>
    <row r="97" customFormat="false" ht="15" hidden="false" customHeight="false" outlineLevel="0" collapsed="false">
      <c r="A97" s="28" t="n">
        <v>96</v>
      </c>
      <c r="B97" s="37" t="s">
        <v>2036</v>
      </c>
    </row>
    <row r="98" customFormat="false" ht="15" hidden="false" customHeight="false" outlineLevel="0" collapsed="false">
      <c r="A98" s="28" t="n">
        <v>97</v>
      </c>
      <c r="B98" s="37" t="s">
        <v>2105</v>
      </c>
    </row>
    <row r="99" customFormat="false" ht="15" hidden="false" customHeight="false" outlineLevel="0" collapsed="false">
      <c r="A99" s="28" t="n">
        <v>98</v>
      </c>
      <c r="B99" s="37" t="s">
        <v>4187</v>
      </c>
    </row>
    <row r="100" customFormat="false" ht="15" hidden="false" customHeight="false" outlineLevel="0" collapsed="false">
      <c r="A100" s="28" t="n">
        <v>99</v>
      </c>
      <c r="B100" s="37" t="s">
        <v>4188</v>
      </c>
    </row>
    <row r="101" customFormat="false" ht="15" hidden="false" customHeight="false" outlineLevel="0" collapsed="false">
      <c r="A101" s="28" t="n">
        <v>100</v>
      </c>
      <c r="B101" s="37" t="s">
        <v>4161</v>
      </c>
    </row>
    <row r="102" customFormat="false" ht="15" hidden="false" customHeight="false" outlineLevel="0" collapsed="false">
      <c r="A102" s="28" t="n">
        <v>101</v>
      </c>
      <c r="B102" s="37" t="s">
        <v>2227</v>
      </c>
    </row>
    <row r="103" customFormat="false" ht="15" hidden="false" customHeight="false" outlineLevel="0" collapsed="false">
      <c r="A103" s="28" t="n">
        <v>102</v>
      </c>
      <c r="B103" s="37" t="s">
        <v>3841</v>
      </c>
    </row>
    <row r="104" customFormat="false" ht="15" hidden="false" customHeight="false" outlineLevel="0" collapsed="false">
      <c r="A104" s="28" t="n">
        <v>103</v>
      </c>
      <c r="B104" s="37" t="s">
        <v>2256</v>
      </c>
    </row>
    <row r="105" customFormat="false" ht="15" hidden="false" customHeight="false" outlineLevel="0" collapsed="false">
      <c r="A105" s="28" t="n">
        <v>104</v>
      </c>
      <c r="B105" s="37" t="s">
        <v>4189</v>
      </c>
    </row>
    <row r="106" customFormat="false" ht="15" hidden="false" customHeight="false" outlineLevel="0" collapsed="false">
      <c r="A106" s="28" t="n">
        <v>105</v>
      </c>
      <c r="B106" s="37" t="s">
        <v>2265</v>
      </c>
    </row>
    <row r="107" customFormat="false" ht="15" hidden="false" customHeight="false" outlineLevel="0" collapsed="false">
      <c r="A107" s="28" t="n">
        <v>106</v>
      </c>
      <c r="B107" s="37" t="s">
        <v>4190</v>
      </c>
    </row>
    <row r="108" customFormat="false" ht="15" hidden="false" customHeight="false" outlineLevel="0" collapsed="false">
      <c r="A108" s="28" t="n">
        <v>107</v>
      </c>
      <c r="B108" s="37" t="s">
        <v>2397</v>
      </c>
    </row>
    <row r="109" customFormat="false" ht="15" hidden="false" customHeight="false" outlineLevel="0" collapsed="false">
      <c r="A109" s="28" t="n">
        <v>108</v>
      </c>
      <c r="B109" s="37" t="s">
        <v>4191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5"/>
    <col collapsed="false" customWidth="true" hidden="false" outlineLevel="0" max="4" min="4" style="0" width="22"/>
  </cols>
  <sheetData>
    <row r="1" customFormat="false" ht="15" hidden="false" customHeight="false" outlineLevel="0" collapsed="false">
      <c r="A1" s="27" t="s">
        <v>269</v>
      </c>
      <c r="B1" s="27" t="s">
        <v>274</v>
      </c>
      <c r="D1" s="26" t="str">
        <f aca="false">HYPERLINK("#'Master Overview'!A1","&lt;&lt; Master Overview")</f>
        <v>&lt;&lt; Master Overview</v>
      </c>
    </row>
    <row r="2" customFormat="false" ht="15" hidden="false" customHeight="false" outlineLevel="0" collapsed="false">
      <c r="A2" s="28" t="n">
        <v>1</v>
      </c>
      <c r="B2" s="37" t="s">
        <v>4178</v>
      </c>
      <c r="D2" s="2" t="s">
        <v>4192</v>
      </c>
    </row>
    <row r="3" customFormat="false" ht="15" hidden="false" customHeight="false" outlineLevel="0" collapsed="false">
      <c r="A3" s="28" t="n">
        <v>2</v>
      </c>
      <c r="B3" s="37" t="s">
        <v>442</v>
      </c>
    </row>
    <row r="4" customFormat="false" ht="15" hidden="false" customHeight="false" outlineLevel="0" collapsed="false">
      <c r="A4" s="28" t="n">
        <v>3</v>
      </c>
      <c r="B4" s="37" t="s">
        <v>2588</v>
      </c>
    </row>
    <row r="5" customFormat="false" ht="15" hidden="false" customHeight="false" outlineLevel="0" collapsed="false">
      <c r="A5" s="28" t="n">
        <v>4</v>
      </c>
      <c r="B5" s="37" t="s">
        <v>4183</v>
      </c>
    </row>
    <row r="6" customFormat="false" ht="15" hidden="false" customHeight="false" outlineLevel="0" collapsed="false">
      <c r="A6" s="28" t="n">
        <v>5</v>
      </c>
      <c r="B6" s="37" t="s">
        <v>528</v>
      </c>
    </row>
    <row r="7" customFormat="false" ht="15" hidden="false" customHeight="false" outlineLevel="0" collapsed="false">
      <c r="A7" s="28" t="n">
        <v>6</v>
      </c>
      <c r="B7" s="37" t="s">
        <v>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E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8.25"/>
    <col collapsed="false" customWidth="true" hidden="false" outlineLevel="0" max="5" min="5" style="0" width="22"/>
  </cols>
  <sheetData>
    <row r="1" customFormat="false" ht="15" hidden="false" customHeight="false" outlineLevel="0" collapsed="false">
      <c r="A1" s="27" t="s">
        <v>269</v>
      </c>
      <c r="B1" s="27" t="s">
        <v>274</v>
      </c>
      <c r="C1" s="27" t="s">
        <v>4193</v>
      </c>
      <c r="E1" s="26" t="str">
        <f aca="false">HYPERLINK("#'Master Overview'!A1","&lt;&lt; Master Overview")</f>
        <v>&lt;&lt; Master Overview</v>
      </c>
    </row>
    <row r="2" customFormat="false" ht="15" hidden="false" customHeight="false" outlineLevel="0" collapsed="false">
      <c r="A2" s="28" t="n">
        <v>1</v>
      </c>
      <c r="B2" s="37" t="s">
        <v>3973</v>
      </c>
      <c r="C2" s="38" t="n">
        <v>2</v>
      </c>
      <c r="E2" s="2" t="s">
        <v>4194</v>
      </c>
    </row>
    <row r="3" customFormat="false" ht="15" hidden="false" customHeight="false" outlineLevel="0" collapsed="false">
      <c r="A3" s="28" t="n">
        <v>2</v>
      </c>
      <c r="B3" s="37" t="s">
        <v>4195</v>
      </c>
      <c r="C3" s="38" t="n">
        <v>2</v>
      </c>
    </row>
    <row r="4" customFormat="false" ht="15" hidden="false" customHeight="false" outlineLevel="0" collapsed="false">
      <c r="A4" s="28" t="n">
        <v>3</v>
      </c>
      <c r="B4" s="37" t="s">
        <v>333</v>
      </c>
      <c r="C4" s="38" t="n">
        <v>2</v>
      </c>
    </row>
    <row r="5" customFormat="false" ht="15" hidden="false" customHeight="false" outlineLevel="0" collapsed="false">
      <c r="A5" s="28" t="n">
        <v>4</v>
      </c>
      <c r="B5" s="37" t="s">
        <v>338</v>
      </c>
      <c r="C5" s="38" t="n">
        <v>2</v>
      </c>
    </row>
    <row r="6" customFormat="false" ht="15" hidden="false" customHeight="false" outlineLevel="0" collapsed="false">
      <c r="A6" s="28" t="n">
        <v>5</v>
      </c>
      <c r="B6" s="37" t="s">
        <v>346</v>
      </c>
      <c r="C6" s="38" t="n">
        <v>2</v>
      </c>
    </row>
    <row r="7" customFormat="false" ht="15" hidden="false" customHeight="false" outlineLevel="0" collapsed="false">
      <c r="A7" s="28" t="n">
        <v>6</v>
      </c>
      <c r="B7" s="37" t="s">
        <v>351</v>
      </c>
      <c r="C7" s="38" t="n">
        <v>2</v>
      </c>
    </row>
    <row r="8" customFormat="false" ht="15" hidden="false" customHeight="false" outlineLevel="0" collapsed="false">
      <c r="A8" s="28" t="n">
        <v>7</v>
      </c>
      <c r="B8" s="37" t="s">
        <v>352</v>
      </c>
      <c r="C8" s="38" t="n">
        <v>2</v>
      </c>
    </row>
    <row r="9" customFormat="false" ht="15" hidden="false" customHeight="false" outlineLevel="0" collapsed="false">
      <c r="A9" s="28" t="n">
        <v>8</v>
      </c>
      <c r="B9" s="37" t="s">
        <v>4196</v>
      </c>
      <c r="C9" s="38" t="n">
        <v>2</v>
      </c>
    </row>
    <row r="10" customFormat="false" ht="15" hidden="false" customHeight="false" outlineLevel="0" collapsed="false">
      <c r="A10" s="28" t="n">
        <v>9</v>
      </c>
      <c r="B10" s="37" t="s">
        <v>357</v>
      </c>
      <c r="C10" s="38" t="n">
        <v>2</v>
      </c>
    </row>
    <row r="11" customFormat="false" ht="15" hidden="false" customHeight="false" outlineLevel="0" collapsed="false">
      <c r="A11" s="28" t="n">
        <v>10</v>
      </c>
      <c r="B11" s="37" t="s">
        <v>360</v>
      </c>
      <c r="C11" s="38" t="n">
        <v>2</v>
      </c>
    </row>
    <row r="12" customFormat="false" ht="15" hidden="false" customHeight="false" outlineLevel="0" collapsed="false">
      <c r="A12" s="28" t="n">
        <v>11</v>
      </c>
      <c r="B12" s="37" t="s">
        <v>4197</v>
      </c>
      <c r="C12" s="38" t="n">
        <v>3</v>
      </c>
    </row>
    <row r="13" customFormat="false" ht="15" hidden="false" customHeight="false" outlineLevel="0" collapsed="false">
      <c r="A13" s="28" t="n">
        <v>12</v>
      </c>
      <c r="B13" s="37" t="s">
        <v>4198</v>
      </c>
      <c r="C13" s="38" t="n">
        <v>2</v>
      </c>
    </row>
    <row r="14" customFormat="false" ht="15" hidden="false" customHeight="false" outlineLevel="0" collapsed="false">
      <c r="A14" s="28" t="n">
        <v>13</v>
      </c>
      <c r="B14" s="37" t="s">
        <v>4199</v>
      </c>
      <c r="C14" s="38" t="n">
        <v>2</v>
      </c>
    </row>
    <row r="15" customFormat="false" ht="15" hidden="false" customHeight="false" outlineLevel="0" collapsed="false">
      <c r="A15" s="28" t="n">
        <v>14</v>
      </c>
      <c r="B15" s="37" t="s">
        <v>370</v>
      </c>
      <c r="C15" s="38" t="n">
        <v>2</v>
      </c>
    </row>
    <row r="16" customFormat="false" ht="15" hidden="false" customHeight="false" outlineLevel="0" collapsed="false">
      <c r="A16" s="28" t="n">
        <v>15</v>
      </c>
      <c r="B16" s="37" t="s">
        <v>383</v>
      </c>
      <c r="C16" s="38" t="n">
        <v>2</v>
      </c>
    </row>
    <row r="17" customFormat="false" ht="15" hidden="false" customHeight="false" outlineLevel="0" collapsed="false">
      <c r="A17" s="28" t="n">
        <v>16</v>
      </c>
      <c r="B17" s="37" t="s">
        <v>391</v>
      </c>
      <c r="C17" s="38" t="n">
        <v>2</v>
      </c>
    </row>
    <row r="18" customFormat="false" ht="15" hidden="false" customHeight="false" outlineLevel="0" collapsed="false">
      <c r="A18" s="28" t="n">
        <v>17</v>
      </c>
      <c r="B18" s="37" t="s">
        <v>2527</v>
      </c>
      <c r="C18" s="38" t="n">
        <v>2</v>
      </c>
    </row>
    <row r="19" customFormat="false" ht="15" hidden="false" customHeight="false" outlineLevel="0" collapsed="false">
      <c r="A19" s="28" t="n">
        <v>18</v>
      </c>
      <c r="B19" s="37" t="s">
        <v>396</v>
      </c>
      <c r="C19" s="38" t="n">
        <v>2</v>
      </c>
    </row>
    <row r="20" customFormat="false" ht="15" hidden="false" customHeight="false" outlineLevel="0" collapsed="false">
      <c r="A20" s="28" t="n">
        <v>19</v>
      </c>
      <c r="B20" s="37" t="s">
        <v>4200</v>
      </c>
      <c r="C20" s="38" t="n">
        <v>2</v>
      </c>
    </row>
    <row r="21" customFormat="false" ht="15" hidden="false" customHeight="false" outlineLevel="0" collapsed="false">
      <c r="A21" s="28" t="n">
        <v>20</v>
      </c>
      <c r="B21" s="37" t="s">
        <v>4011</v>
      </c>
      <c r="C21" s="38" t="n">
        <v>2</v>
      </c>
    </row>
    <row r="22" customFormat="false" ht="15" hidden="false" customHeight="false" outlineLevel="0" collapsed="false">
      <c r="A22" s="28" t="n">
        <v>21</v>
      </c>
      <c r="B22" s="37" t="s">
        <v>4201</v>
      </c>
      <c r="C22" s="38" t="n">
        <v>2</v>
      </c>
    </row>
    <row r="23" customFormat="false" ht="15" hidden="false" customHeight="false" outlineLevel="0" collapsed="false">
      <c r="A23" s="28" t="n">
        <v>22</v>
      </c>
      <c r="B23" s="37" t="s">
        <v>4021</v>
      </c>
      <c r="C23" s="38" t="n">
        <v>2</v>
      </c>
    </row>
    <row r="24" customFormat="false" ht="15" hidden="false" customHeight="false" outlineLevel="0" collapsed="false">
      <c r="A24" s="28" t="n">
        <v>23</v>
      </c>
      <c r="B24" s="37" t="s">
        <v>4202</v>
      </c>
      <c r="C24" s="38" t="n">
        <v>3</v>
      </c>
    </row>
    <row r="25" customFormat="false" ht="15" hidden="false" customHeight="false" outlineLevel="0" collapsed="false">
      <c r="A25" s="28" t="n">
        <v>24</v>
      </c>
      <c r="B25" s="37" t="s">
        <v>4203</v>
      </c>
      <c r="C25" s="38" t="n">
        <v>3</v>
      </c>
    </row>
    <row r="26" customFormat="false" ht="15" hidden="false" customHeight="false" outlineLevel="0" collapsed="false">
      <c r="A26" s="28" t="n">
        <v>25</v>
      </c>
      <c r="B26" s="37" t="s">
        <v>4204</v>
      </c>
      <c r="C26" s="38" t="n">
        <v>2</v>
      </c>
    </row>
    <row r="27" customFormat="false" ht="15" hidden="false" customHeight="false" outlineLevel="0" collapsed="false">
      <c r="A27" s="28" t="n">
        <v>26</v>
      </c>
      <c r="B27" s="37" t="s">
        <v>553</v>
      </c>
      <c r="C27" s="38" t="n">
        <v>2</v>
      </c>
    </row>
    <row r="28" customFormat="false" ht="15" hidden="false" customHeight="false" outlineLevel="0" collapsed="false">
      <c r="A28" s="28" t="n">
        <v>27</v>
      </c>
      <c r="B28" s="37" t="s">
        <v>554</v>
      </c>
      <c r="C28" s="38" t="n">
        <v>2</v>
      </c>
    </row>
    <row r="29" customFormat="false" ht="15" hidden="false" customHeight="false" outlineLevel="0" collapsed="false">
      <c r="A29" s="28" t="n">
        <v>28</v>
      </c>
      <c r="B29" s="37" t="s">
        <v>566</v>
      </c>
      <c r="C29" s="38" t="n">
        <v>2</v>
      </c>
    </row>
    <row r="30" customFormat="false" ht="15" hidden="false" customHeight="false" outlineLevel="0" collapsed="false">
      <c r="A30" s="28" t="n">
        <v>29</v>
      </c>
      <c r="B30" s="37" t="s">
        <v>574</v>
      </c>
      <c r="C30" s="38" t="n">
        <v>2</v>
      </c>
    </row>
    <row r="31" customFormat="false" ht="15" hidden="false" customHeight="false" outlineLevel="0" collapsed="false">
      <c r="A31" s="28" t="n">
        <v>30</v>
      </c>
      <c r="B31" s="37" t="s">
        <v>578</v>
      </c>
      <c r="C31" s="38" t="n">
        <v>2</v>
      </c>
    </row>
    <row r="32" customFormat="false" ht="15" hidden="false" customHeight="false" outlineLevel="0" collapsed="false">
      <c r="A32" s="28" t="n">
        <v>31</v>
      </c>
      <c r="B32" s="37" t="s">
        <v>590</v>
      </c>
      <c r="C32" s="38" t="n">
        <v>2</v>
      </c>
    </row>
    <row r="33" customFormat="false" ht="15" hidden="false" customHeight="false" outlineLevel="0" collapsed="false">
      <c r="A33" s="28" t="n">
        <v>32</v>
      </c>
      <c r="B33" s="37" t="s">
        <v>594</v>
      </c>
      <c r="C33" s="38" t="n">
        <v>2</v>
      </c>
    </row>
    <row r="34" customFormat="false" ht="15" hidden="false" customHeight="false" outlineLevel="0" collapsed="false">
      <c r="A34" s="28" t="n">
        <v>33</v>
      </c>
      <c r="B34" s="37" t="s">
        <v>595</v>
      </c>
      <c r="C34" s="38" t="n">
        <v>2</v>
      </c>
    </row>
    <row r="35" customFormat="false" ht="15" hidden="false" customHeight="false" outlineLevel="0" collapsed="false">
      <c r="A35" s="28" t="n">
        <v>34</v>
      </c>
      <c r="B35" s="37" t="s">
        <v>601</v>
      </c>
      <c r="C35" s="38" t="n">
        <v>2</v>
      </c>
    </row>
    <row r="36" customFormat="false" ht="15" hidden="false" customHeight="false" outlineLevel="0" collapsed="false">
      <c r="A36" s="28" t="n">
        <v>35</v>
      </c>
      <c r="B36" s="37" t="s">
        <v>611</v>
      </c>
      <c r="C36" s="38" t="n">
        <v>2</v>
      </c>
    </row>
    <row r="37" customFormat="false" ht="15" hidden="false" customHeight="false" outlineLevel="0" collapsed="false">
      <c r="A37" s="28" t="n">
        <v>36</v>
      </c>
      <c r="B37" s="37" t="s">
        <v>621</v>
      </c>
      <c r="C37" s="38" t="n">
        <v>2</v>
      </c>
    </row>
    <row r="38" customFormat="false" ht="15" hidden="false" customHeight="false" outlineLevel="0" collapsed="false">
      <c r="A38" s="28" t="n">
        <v>37</v>
      </c>
      <c r="B38" s="37" t="s">
        <v>624</v>
      </c>
      <c r="C38" s="38" t="n">
        <v>2</v>
      </c>
    </row>
    <row r="39" customFormat="false" ht="15" hidden="false" customHeight="false" outlineLevel="0" collapsed="false">
      <c r="A39" s="28" t="n">
        <v>38</v>
      </c>
      <c r="B39" s="37" t="s">
        <v>632</v>
      </c>
      <c r="C39" s="38" t="n">
        <v>2</v>
      </c>
    </row>
    <row r="40" customFormat="false" ht="15" hidden="false" customHeight="false" outlineLevel="0" collapsed="false">
      <c r="A40" s="28" t="n">
        <v>39</v>
      </c>
      <c r="B40" s="37" t="s">
        <v>633</v>
      </c>
      <c r="C40" s="38" t="n">
        <v>2</v>
      </c>
    </row>
    <row r="41" customFormat="false" ht="15" hidden="false" customHeight="false" outlineLevel="0" collapsed="false">
      <c r="A41" s="28" t="n">
        <v>40</v>
      </c>
      <c r="B41" s="37" t="s">
        <v>640</v>
      </c>
      <c r="C41" s="38" t="n">
        <v>2</v>
      </c>
    </row>
    <row r="42" customFormat="false" ht="15" hidden="false" customHeight="false" outlineLevel="0" collapsed="false">
      <c r="A42" s="28" t="n">
        <v>41</v>
      </c>
      <c r="B42" s="37" t="s">
        <v>644</v>
      </c>
      <c r="C42" s="38" t="n">
        <v>2</v>
      </c>
    </row>
    <row r="43" customFormat="false" ht="15" hidden="false" customHeight="false" outlineLevel="0" collapsed="false">
      <c r="A43" s="28" t="n">
        <v>42</v>
      </c>
      <c r="B43" s="37" t="s">
        <v>650</v>
      </c>
      <c r="C43" s="38" t="n">
        <v>2</v>
      </c>
    </row>
    <row r="44" customFormat="false" ht="15" hidden="false" customHeight="false" outlineLevel="0" collapsed="false">
      <c r="A44" s="28" t="n">
        <v>43</v>
      </c>
      <c r="B44" s="37" t="s">
        <v>655</v>
      </c>
      <c r="C44" s="38" t="n">
        <v>2</v>
      </c>
    </row>
    <row r="45" customFormat="false" ht="15" hidden="false" customHeight="false" outlineLevel="0" collapsed="false">
      <c r="A45" s="28" t="n">
        <v>44</v>
      </c>
      <c r="B45" s="37" t="s">
        <v>658</v>
      </c>
      <c r="C45" s="38" t="n">
        <v>2</v>
      </c>
    </row>
    <row r="46" customFormat="false" ht="15" hidden="false" customHeight="false" outlineLevel="0" collapsed="false">
      <c r="A46" s="28" t="n">
        <v>45</v>
      </c>
      <c r="B46" s="37" t="s">
        <v>661</v>
      </c>
      <c r="C46" s="38" t="n">
        <v>2</v>
      </c>
    </row>
    <row r="47" customFormat="false" ht="15" hidden="false" customHeight="false" outlineLevel="0" collapsed="false">
      <c r="A47" s="28" t="n">
        <v>46</v>
      </c>
      <c r="B47" s="37" t="s">
        <v>666</v>
      </c>
      <c r="C47" s="38" t="n">
        <v>2</v>
      </c>
    </row>
    <row r="48" customFormat="false" ht="15" hidden="false" customHeight="false" outlineLevel="0" collapsed="false">
      <c r="A48" s="28" t="n">
        <v>47</v>
      </c>
      <c r="B48" s="37" t="s">
        <v>669</v>
      </c>
      <c r="C48" s="38" t="n">
        <v>2</v>
      </c>
    </row>
    <row r="49" customFormat="false" ht="15" hidden="false" customHeight="false" outlineLevel="0" collapsed="false">
      <c r="A49" s="28" t="n">
        <v>48</v>
      </c>
      <c r="B49" s="37" t="s">
        <v>682</v>
      </c>
      <c r="C49" s="38" t="n">
        <v>2</v>
      </c>
    </row>
    <row r="50" customFormat="false" ht="15" hidden="false" customHeight="false" outlineLevel="0" collapsed="false">
      <c r="A50" s="28" t="n">
        <v>49</v>
      </c>
      <c r="B50" s="37" t="s">
        <v>685</v>
      </c>
      <c r="C50" s="38" t="n">
        <v>2</v>
      </c>
    </row>
    <row r="51" customFormat="false" ht="15" hidden="false" customHeight="false" outlineLevel="0" collapsed="false">
      <c r="A51" s="28" t="n">
        <v>50</v>
      </c>
      <c r="B51" s="37" t="s">
        <v>691</v>
      </c>
      <c r="C51" s="38" t="n">
        <v>2</v>
      </c>
    </row>
    <row r="52" customFormat="false" ht="15" hidden="false" customHeight="false" outlineLevel="0" collapsed="false">
      <c r="A52" s="28" t="n">
        <v>51</v>
      </c>
      <c r="B52" s="37" t="s">
        <v>696</v>
      </c>
      <c r="C52" s="38" t="n">
        <v>2</v>
      </c>
    </row>
    <row r="53" customFormat="false" ht="15" hidden="false" customHeight="false" outlineLevel="0" collapsed="false">
      <c r="A53" s="28" t="n">
        <v>52</v>
      </c>
      <c r="B53" s="37" t="s">
        <v>704</v>
      </c>
      <c r="C53" s="38" t="n">
        <v>2</v>
      </c>
    </row>
    <row r="54" customFormat="false" ht="15" hidden="false" customHeight="false" outlineLevel="0" collapsed="false">
      <c r="A54" s="28" t="n">
        <v>53</v>
      </c>
      <c r="B54" s="37" t="s">
        <v>705</v>
      </c>
      <c r="C54" s="38" t="n">
        <v>2</v>
      </c>
    </row>
    <row r="55" customFormat="false" ht="15" hidden="false" customHeight="false" outlineLevel="0" collapsed="false">
      <c r="A55" s="28" t="n">
        <v>54</v>
      </c>
      <c r="B55" s="37" t="s">
        <v>726</v>
      </c>
      <c r="C55" s="38" t="n">
        <v>2</v>
      </c>
    </row>
    <row r="56" customFormat="false" ht="15" hidden="false" customHeight="false" outlineLevel="0" collapsed="false">
      <c r="A56" s="28" t="n">
        <v>55</v>
      </c>
      <c r="B56" s="37" t="s">
        <v>728</v>
      </c>
      <c r="C56" s="38" t="n">
        <v>2</v>
      </c>
    </row>
    <row r="57" customFormat="false" ht="15" hidden="false" customHeight="false" outlineLevel="0" collapsed="false">
      <c r="A57" s="28" t="n">
        <v>56</v>
      </c>
      <c r="B57" s="37" t="s">
        <v>729</v>
      </c>
      <c r="C57" s="38" t="n">
        <v>2</v>
      </c>
    </row>
    <row r="58" customFormat="false" ht="15" hidden="false" customHeight="false" outlineLevel="0" collapsed="false">
      <c r="A58" s="28" t="n">
        <v>57</v>
      </c>
      <c r="B58" s="37" t="s">
        <v>4205</v>
      </c>
      <c r="C58" s="38" t="n">
        <v>2</v>
      </c>
    </row>
    <row r="59" customFormat="false" ht="15" hidden="false" customHeight="false" outlineLevel="0" collapsed="false">
      <c r="A59" s="28" t="n">
        <v>58</v>
      </c>
      <c r="B59" s="37" t="s">
        <v>731</v>
      </c>
      <c r="C59" s="38" t="n">
        <v>2</v>
      </c>
    </row>
    <row r="60" customFormat="false" ht="15" hidden="false" customHeight="false" outlineLevel="0" collapsed="false">
      <c r="A60" s="28" t="n">
        <v>59</v>
      </c>
      <c r="B60" s="37" t="s">
        <v>4071</v>
      </c>
      <c r="C60" s="38" t="n">
        <v>2</v>
      </c>
    </row>
    <row r="61" customFormat="false" ht="15" hidden="false" customHeight="false" outlineLevel="0" collapsed="false">
      <c r="A61" s="28" t="n">
        <v>60</v>
      </c>
      <c r="B61" s="37" t="s">
        <v>4072</v>
      </c>
      <c r="C61" s="38" t="n">
        <v>2</v>
      </c>
    </row>
    <row r="62" customFormat="false" ht="15" hidden="false" customHeight="false" outlineLevel="0" collapsed="false">
      <c r="A62" s="28" t="n">
        <v>61</v>
      </c>
      <c r="B62" s="37" t="s">
        <v>745</v>
      </c>
      <c r="C62" s="38" t="n">
        <v>3</v>
      </c>
    </row>
    <row r="63" customFormat="false" ht="15" hidden="false" customHeight="false" outlineLevel="0" collapsed="false">
      <c r="A63" s="28" t="n">
        <v>62</v>
      </c>
      <c r="B63" s="37" t="s">
        <v>751</v>
      </c>
      <c r="C63" s="38" t="n">
        <v>3</v>
      </c>
    </row>
    <row r="64" customFormat="false" ht="15" hidden="false" customHeight="false" outlineLevel="0" collapsed="false">
      <c r="A64" s="28" t="n">
        <v>63</v>
      </c>
      <c r="B64" s="37" t="s">
        <v>4206</v>
      </c>
      <c r="C64" s="38" t="n">
        <v>3</v>
      </c>
    </row>
    <row r="65" customFormat="false" ht="15" hidden="false" customHeight="false" outlineLevel="0" collapsed="false">
      <c r="A65" s="28" t="n">
        <v>64</v>
      </c>
      <c r="B65" s="37" t="s">
        <v>4207</v>
      </c>
      <c r="C65" s="38" t="n">
        <v>2</v>
      </c>
    </row>
    <row r="66" customFormat="false" ht="15" hidden="false" customHeight="false" outlineLevel="0" collapsed="false">
      <c r="A66" s="28" t="n">
        <v>65</v>
      </c>
      <c r="B66" s="37" t="s">
        <v>4208</v>
      </c>
      <c r="C66" s="38" t="n">
        <v>3</v>
      </c>
    </row>
    <row r="67" customFormat="false" ht="15" hidden="false" customHeight="false" outlineLevel="0" collapsed="false">
      <c r="A67" s="28" t="n">
        <v>66</v>
      </c>
      <c r="B67" s="37" t="s">
        <v>325</v>
      </c>
      <c r="C67" s="38" t="n">
        <v>2</v>
      </c>
    </row>
    <row r="68" customFormat="false" ht="15" hidden="false" customHeight="false" outlineLevel="0" collapsed="false">
      <c r="A68" s="28" t="n">
        <v>67</v>
      </c>
      <c r="B68" s="37" t="s">
        <v>758</v>
      </c>
      <c r="C68" s="38" t="n">
        <v>3</v>
      </c>
    </row>
    <row r="69" customFormat="false" ht="15" hidden="false" customHeight="false" outlineLevel="0" collapsed="false">
      <c r="A69" s="28" t="n">
        <v>68</v>
      </c>
      <c r="B69" s="37" t="s">
        <v>766</v>
      </c>
      <c r="C69" s="38" t="n">
        <v>2</v>
      </c>
    </row>
    <row r="70" customFormat="false" ht="15" hidden="false" customHeight="false" outlineLevel="0" collapsed="false">
      <c r="A70" s="28" t="n">
        <v>69</v>
      </c>
      <c r="B70" s="37" t="s">
        <v>4085</v>
      </c>
      <c r="C70" s="38" t="n">
        <v>2</v>
      </c>
    </row>
    <row r="71" customFormat="false" ht="15" hidden="false" customHeight="false" outlineLevel="0" collapsed="false">
      <c r="A71" s="28" t="n">
        <v>70</v>
      </c>
      <c r="B71" s="37" t="s">
        <v>777</v>
      </c>
      <c r="C71" s="38" t="n">
        <v>2</v>
      </c>
    </row>
    <row r="72" customFormat="false" ht="15" hidden="false" customHeight="false" outlineLevel="0" collapsed="false">
      <c r="A72" s="28" t="n">
        <v>71</v>
      </c>
      <c r="B72" s="37" t="s">
        <v>779</v>
      </c>
      <c r="C72" s="38" t="n">
        <v>2</v>
      </c>
    </row>
    <row r="73" customFormat="false" ht="15" hidden="false" customHeight="false" outlineLevel="0" collapsed="false">
      <c r="A73" s="28" t="n">
        <v>72</v>
      </c>
      <c r="B73" s="37" t="s">
        <v>796</v>
      </c>
      <c r="C73" s="38" t="n">
        <v>2</v>
      </c>
    </row>
    <row r="74" customFormat="false" ht="15" hidden="false" customHeight="false" outlineLevel="0" collapsed="false">
      <c r="A74" s="28" t="n">
        <v>73</v>
      </c>
      <c r="B74" s="37" t="s">
        <v>797</v>
      </c>
      <c r="C74" s="38" t="n">
        <v>2</v>
      </c>
    </row>
    <row r="75" customFormat="false" ht="15" hidden="false" customHeight="false" outlineLevel="0" collapsed="false">
      <c r="A75" s="28" t="n">
        <v>74</v>
      </c>
      <c r="B75" s="37" t="s">
        <v>799</v>
      </c>
      <c r="C75" s="38" t="n">
        <v>2</v>
      </c>
    </row>
    <row r="76" customFormat="false" ht="15" hidden="false" customHeight="false" outlineLevel="0" collapsed="false">
      <c r="A76" s="28" t="n">
        <v>75</v>
      </c>
      <c r="B76" s="37" t="s">
        <v>806</v>
      </c>
      <c r="C76" s="38" t="n">
        <v>2</v>
      </c>
    </row>
    <row r="77" customFormat="false" ht="15" hidden="false" customHeight="false" outlineLevel="0" collapsed="false">
      <c r="A77" s="28" t="n">
        <v>76</v>
      </c>
      <c r="B77" s="37" t="s">
        <v>823</v>
      </c>
      <c r="C77" s="38" t="n">
        <v>2</v>
      </c>
    </row>
    <row r="78" customFormat="false" ht="15" hidden="false" customHeight="false" outlineLevel="0" collapsed="false">
      <c r="A78" s="28" t="n">
        <v>77</v>
      </c>
      <c r="B78" s="37" t="s">
        <v>836</v>
      </c>
      <c r="C78" s="38" t="n">
        <v>2</v>
      </c>
    </row>
    <row r="79" customFormat="false" ht="15" hidden="false" customHeight="false" outlineLevel="0" collapsed="false">
      <c r="A79" s="28" t="n">
        <v>78</v>
      </c>
      <c r="B79" s="37" t="s">
        <v>845</v>
      </c>
      <c r="C79" s="38" t="n">
        <v>2</v>
      </c>
    </row>
    <row r="80" customFormat="false" ht="15" hidden="false" customHeight="false" outlineLevel="0" collapsed="false">
      <c r="A80" s="28" t="n">
        <v>79</v>
      </c>
      <c r="B80" s="37" t="s">
        <v>849</v>
      </c>
      <c r="C80" s="38" t="n">
        <v>2</v>
      </c>
    </row>
    <row r="81" customFormat="false" ht="15" hidden="false" customHeight="false" outlineLevel="0" collapsed="false">
      <c r="A81" s="28" t="n">
        <v>80</v>
      </c>
      <c r="B81" s="37" t="s">
        <v>850</v>
      </c>
      <c r="C81" s="38" t="n">
        <v>2</v>
      </c>
    </row>
    <row r="82" customFormat="false" ht="15" hidden="false" customHeight="false" outlineLevel="0" collapsed="false">
      <c r="A82" s="28" t="n">
        <v>81</v>
      </c>
      <c r="B82" s="37" t="s">
        <v>854</v>
      </c>
      <c r="C82" s="38" t="n">
        <v>2</v>
      </c>
    </row>
    <row r="83" customFormat="false" ht="15" hidden="false" customHeight="false" outlineLevel="0" collapsed="false">
      <c r="A83" s="28" t="n">
        <v>82</v>
      </c>
      <c r="B83" s="37" t="s">
        <v>861</v>
      </c>
      <c r="C83" s="38" t="n">
        <v>2</v>
      </c>
    </row>
    <row r="84" customFormat="false" ht="15" hidden="false" customHeight="false" outlineLevel="0" collapsed="false">
      <c r="A84" s="28" t="n">
        <v>83</v>
      </c>
      <c r="B84" s="37" t="s">
        <v>881</v>
      </c>
      <c r="C84" s="38" t="n">
        <v>2</v>
      </c>
    </row>
    <row r="85" customFormat="false" ht="15" hidden="false" customHeight="false" outlineLevel="0" collapsed="false">
      <c r="A85" s="28" t="n">
        <v>84</v>
      </c>
      <c r="B85" s="37" t="s">
        <v>897</v>
      </c>
      <c r="C85" s="38" t="n">
        <v>2</v>
      </c>
    </row>
    <row r="86" customFormat="false" ht="15" hidden="false" customHeight="false" outlineLevel="0" collapsed="false">
      <c r="A86" s="28" t="n">
        <v>85</v>
      </c>
      <c r="B86" s="37" t="s">
        <v>2859</v>
      </c>
      <c r="C86" s="38" t="n">
        <v>2</v>
      </c>
    </row>
    <row r="87" customFormat="false" ht="15" hidden="false" customHeight="false" outlineLevel="0" collapsed="false">
      <c r="A87" s="28" t="n">
        <v>86</v>
      </c>
      <c r="B87" s="37" t="s">
        <v>898</v>
      </c>
      <c r="C87" s="38" t="n">
        <v>2</v>
      </c>
    </row>
    <row r="88" customFormat="false" ht="15" hidden="false" customHeight="false" outlineLevel="0" collapsed="false">
      <c r="A88" s="28" t="n">
        <v>87</v>
      </c>
      <c r="B88" s="37" t="s">
        <v>907</v>
      </c>
      <c r="C88" s="38" t="n">
        <v>2</v>
      </c>
    </row>
    <row r="89" customFormat="false" ht="15" hidden="false" customHeight="false" outlineLevel="0" collapsed="false">
      <c r="A89" s="28" t="n">
        <v>88</v>
      </c>
      <c r="B89" s="37" t="s">
        <v>910</v>
      </c>
      <c r="C89" s="38" t="n">
        <v>2</v>
      </c>
    </row>
    <row r="90" customFormat="false" ht="15" hidden="false" customHeight="false" outlineLevel="0" collapsed="false">
      <c r="A90" s="28" t="n">
        <v>89</v>
      </c>
      <c r="B90" s="37" t="s">
        <v>913</v>
      </c>
      <c r="C90" s="38" t="n">
        <v>2</v>
      </c>
    </row>
    <row r="91" customFormat="false" ht="15" hidden="false" customHeight="false" outlineLevel="0" collapsed="false">
      <c r="A91" s="28" t="n">
        <v>90</v>
      </c>
      <c r="B91" s="37" t="s">
        <v>918</v>
      </c>
      <c r="C91" s="38" t="n">
        <v>2</v>
      </c>
    </row>
    <row r="92" customFormat="false" ht="15" hidden="false" customHeight="false" outlineLevel="0" collapsed="false">
      <c r="A92" s="28" t="n">
        <v>91</v>
      </c>
      <c r="B92" s="37" t="s">
        <v>929</v>
      </c>
      <c r="C92" s="38" t="n">
        <v>2</v>
      </c>
    </row>
    <row r="93" customFormat="false" ht="15" hidden="false" customHeight="false" outlineLevel="0" collapsed="false">
      <c r="A93" s="28" t="n">
        <v>92</v>
      </c>
      <c r="B93" s="37" t="s">
        <v>943</v>
      </c>
      <c r="C93" s="38" t="n">
        <v>2</v>
      </c>
    </row>
    <row r="94" customFormat="false" ht="15" hidden="false" customHeight="false" outlineLevel="0" collapsed="false">
      <c r="A94" s="28" t="n">
        <v>93</v>
      </c>
      <c r="B94" s="37" t="s">
        <v>944</v>
      </c>
      <c r="C94" s="38" t="n">
        <v>2</v>
      </c>
    </row>
    <row r="95" customFormat="false" ht="15" hidden="false" customHeight="false" outlineLevel="0" collapsed="false">
      <c r="A95" s="28" t="n">
        <v>94</v>
      </c>
      <c r="B95" s="37" t="s">
        <v>948</v>
      </c>
      <c r="C95" s="38" t="n">
        <v>2</v>
      </c>
    </row>
    <row r="96" customFormat="false" ht="15" hidden="false" customHeight="false" outlineLevel="0" collapsed="false">
      <c r="A96" s="28" t="n">
        <v>95</v>
      </c>
      <c r="B96" s="37" t="s">
        <v>950</v>
      </c>
      <c r="C96" s="38" t="n">
        <v>2</v>
      </c>
    </row>
    <row r="97" customFormat="false" ht="15" hidden="false" customHeight="false" outlineLevel="0" collapsed="false">
      <c r="A97" s="28" t="n">
        <v>96</v>
      </c>
      <c r="B97" s="37" t="s">
        <v>951</v>
      </c>
      <c r="C97" s="38" t="n">
        <v>2</v>
      </c>
    </row>
    <row r="98" customFormat="false" ht="15" hidden="false" customHeight="false" outlineLevel="0" collapsed="false">
      <c r="A98" s="28" t="n">
        <v>97</v>
      </c>
      <c r="B98" s="37" t="s">
        <v>956</v>
      </c>
      <c r="C98" s="38" t="n">
        <v>2</v>
      </c>
    </row>
    <row r="99" customFormat="false" ht="15" hidden="false" customHeight="false" outlineLevel="0" collapsed="false">
      <c r="A99" s="28" t="n">
        <v>98</v>
      </c>
      <c r="B99" s="37" t="s">
        <v>960</v>
      </c>
      <c r="C99" s="38" t="n">
        <v>2</v>
      </c>
    </row>
    <row r="100" customFormat="false" ht="15" hidden="false" customHeight="false" outlineLevel="0" collapsed="false">
      <c r="A100" s="28" t="n">
        <v>99</v>
      </c>
      <c r="B100" s="37" t="s">
        <v>962</v>
      </c>
      <c r="C100" s="38" t="n">
        <v>2</v>
      </c>
    </row>
    <row r="101" customFormat="false" ht="15" hidden="false" customHeight="false" outlineLevel="0" collapsed="false">
      <c r="A101" s="28" t="n">
        <v>100</v>
      </c>
      <c r="B101" s="37" t="s">
        <v>966</v>
      </c>
      <c r="C101" s="38" t="n">
        <v>2</v>
      </c>
    </row>
    <row r="102" customFormat="false" ht="15" hidden="false" customHeight="false" outlineLevel="0" collapsed="false">
      <c r="A102" s="28" t="n">
        <v>101</v>
      </c>
      <c r="B102" s="37" t="s">
        <v>971</v>
      </c>
      <c r="C102" s="38" t="n">
        <v>2</v>
      </c>
    </row>
    <row r="103" customFormat="false" ht="15" hidden="false" customHeight="false" outlineLevel="0" collapsed="false">
      <c r="A103" s="28" t="n">
        <v>102</v>
      </c>
      <c r="B103" s="37" t="s">
        <v>972</v>
      </c>
      <c r="C103" s="38" t="n">
        <v>2</v>
      </c>
    </row>
    <row r="104" customFormat="false" ht="15" hidden="false" customHeight="false" outlineLevel="0" collapsed="false">
      <c r="A104" s="28" t="n">
        <v>103</v>
      </c>
      <c r="B104" s="37" t="s">
        <v>977</v>
      </c>
      <c r="C104" s="38" t="n">
        <v>2</v>
      </c>
    </row>
    <row r="105" customFormat="false" ht="15" hidden="false" customHeight="false" outlineLevel="0" collapsed="false">
      <c r="A105" s="28" t="n">
        <v>104</v>
      </c>
      <c r="B105" s="37" t="s">
        <v>987</v>
      </c>
      <c r="C105" s="38" t="n">
        <v>2</v>
      </c>
    </row>
    <row r="106" customFormat="false" ht="15" hidden="false" customHeight="false" outlineLevel="0" collapsed="false">
      <c r="A106" s="28" t="n">
        <v>105</v>
      </c>
      <c r="B106" s="37" t="s">
        <v>993</v>
      </c>
      <c r="C106" s="38" t="n">
        <v>2</v>
      </c>
    </row>
    <row r="107" customFormat="false" ht="15" hidden="false" customHeight="false" outlineLevel="0" collapsed="false">
      <c r="A107" s="28" t="n">
        <v>106</v>
      </c>
      <c r="B107" s="37" t="s">
        <v>995</v>
      </c>
      <c r="C107" s="38" t="n">
        <v>2</v>
      </c>
    </row>
    <row r="108" customFormat="false" ht="15" hidden="false" customHeight="false" outlineLevel="0" collapsed="false">
      <c r="A108" s="28" t="n">
        <v>107</v>
      </c>
      <c r="B108" s="37" t="s">
        <v>996</v>
      </c>
      <c r="C108" s="38" t="n">
        <v>2</v>
      </c>
    </row>
    <row r="109" customFormat="false" ht="15" hidden="false" customHeight="false" outlineLevel="0" collapsed="false">
      <c r="A109" s="28" t="n">
        <v>108</v>
      </c>
      <c r="B109" s="37" t="s">
        <v>997</v>
      </c>
      <c r="C109" s="38" t="n">
        <v>2</v>
      </c>
    </row>
    <row r="110" customFormat="false" ht="15" hidden="false" customHeight="false" outlineLevel="0" collapsed="false">
      <c r="A110" s="28" t="n">
        <v>109</v>
      </c>
      <c r="B110" s="37" t="s">
        <v>999</v>
      </c>
      <c r="C110" s="38" t="n">
        <v>2</v>
      </c>
    </row>
    <row r="111" customFormat="false" ht="15" hidden="false" customHeight="false" outlineLevel="0" collapsed="false">
      <c r="A111" s="28" t="n">
        <v>110</v>
      </c>
      <c r="B111" s="37" t="s">
        <v>1009</v>
      </c>
      <c r="C111" s="38" t="n">
        <v>2</v>
      </c>
    </row>
    <row r="112" customFormat="false" ht="15" hidden="false" customHeight="false" outlineLevel="0" collapsed="false">
      <c r="A112" s="28" t="n">
        <v>111</v>
      </c>
      <c r="B112" s="37" t="s">
        <v>1024</v>
      </c>
      <c r="C112" s="38" t="n">
        <v>2</v>
      </c>
    </row>
    <row r="113" customFormat="false" ht="15" hidden="false" customHeight="false" outlineLevel="0" collapsed="false">
      <c r="A113" s="28" t="n">
        <v>112</v>
      </c>
      <c r="B113" s="37" t="s">
        <v>1025</v>
      </c>
      <c r="C113" s="38" t="n">
        <v>2</v>
      </c>
    </row>
    <row r="114" customFormat="false" ht="15" hidden="false" customHeight="false" outlineLevel="0" collapsed="false">
      <c r="A114" s="28" t="n">
        <v>113</v>
      </c>
      <c r="B114" s="37" t="s">
        <v>1026</v>
      </c>
      <c r="C114" s="38" t="n">
        <v>2</v>
      </c>
    </row>
    <row r="115" customFormat="false" ht="15" hidden="false" customHeight="false" outlineLevel="0" collapsed="false">
      <c r="A115" s="28" t="n">
        <v>114</v>
      </c>
      <c r="B115" s="37" t="s">
        <v>1027</v>
      </c>
      <c r="C115" s="38" t="n">
        <v>2</v>
      </c>
    </row>
    <row r="116" customFormat="false" ht="15" hidden="false" customHeight="false" outlineLevel="0" collapsed="false">
      <c r="A116" s="28" t="n">
        <v>115</v>
      </c>
      <c r="B116" s="37" t="s">
        <v>1029</v>
      </c>
      <c r="C116" s="38" t="n">
        <v>2</v>
      </c>
    </row>
    <row r="117" customFormat="false" ht="15" hidden="false" customHeight="false" outlineLevel="0" collapsed="false">
      <c r="A117" s="28" t="n">
        <v>116</v>
      </c>
      <c r="B117" s="37" t="s">
        <v>1037</v>
      </c>
      <c r="C117" s="38" t="n">
        <v>2</v>
      </c>
    </row>
    <row r="118" customFormat="false" ht="15" hidden="false" customHeight="false" outlineLevel="0" collapsed="false">
      <c r="A118" s="28" t="n">
        <v>117</v>
      </c>
      <c r="B118" s="37" t="s">
        <v>1052</v>
      </c>
      <c r="C118" s="38" t="n">
        <v>2</v>
      </c>
    </row>
    <row r="119" customFormat="false" ht="15" hidden="false" customHeight="false" outlineLevel="0" collapsed="false">
      <c r="A119" s="28" t="n">
        <v>118</v>
      </c>
      <c r="B119" s="37" t="s">
        <v>1059</v>
      </c>
      <c r="C119" s="38" t="n">
        <v>2</v>
      </c>
    </row>
    <row r="120" customFormat="false" ht="15" hidden="false" customHeight="false" outlineLevel="0" collapsed="false">
      <c r="A120" s="28" t="n">
        <v>119</v>
      </c>
      <c r="B120" s="37" t="s">
        <v>1067</v>
      </c>
      <c r="C120" s="38" t="n">
        <v>2</v>
      </c>
    </row>
    <row r="121" customFormat="false" ht="15" hidden="false" customHeight="false" outlineLevel="0" collapsed="false">
      <c r="A121" s="28" t="n">
        <v>120</v>
      </c>
      <c r="B121" s="37" t="s">
        <v>1071</v>
      </c>
      <c r="C121" s="38" t="n">
        <v>2</v>
      </c>
    </row>
    <row r="122" customFormat="false" ht="15" hidden="false" customHeight="false" outlineLevel="0" collapsed="false">
      <c r="A122" s="28" t="n">
        <v>121</v>
      </c>
      <c r="B122" s="37" t="s">
        <v>1090</v>
      </c>
      <c r="C122" s="38" t="n">
        <v>2</v>
      </c>
    </row>
    <row r="123" customFormat="false" ht="15" hidden="false" customHeight="false" outlineLevel="0" collapsed="false">
      <c r="A123" s="28" t="n">
        <v>122</v>
      </c>
      <c r="B123" s="37" t="s">
        <v>1092</v>
      </c>
      <c r="C123" s="38" t="n">
        <v>2</v>
      </c>
    </row>
    <row r="124" customFormat="false" ht="15" hidden="false" customHeight="false" outlineLevel="0" collapsed="false">
      <c r="A124" s="28" t="n">
        <v>123</v>
      </c>
      <c r="B124" s="37" t="s">
        <v>1095</v>
      </c>
      <c r="C124" s="38" t="n">
        <v>3</v>
      </c>
    </row>
    <row r="125" customFormat="false" ht="15" hidden="false" customHeight="false" outlineLevel="0" collapsed="false">
      <c r="A125" s="28" t="n">
        <v>124</v>
      </c>
      <c r="B125" s="37" t="s">
        <v>1099</v>
      </c>
      <c r="C125" s="38" t="n">
        <v>2</v>
      </c>
    </row>
    <row r="126" customFormat="false" ht="15" hidden="false" customHeight="false" outlineLevel="0" collapsed="false">
      <c r="A126" s="28" t="n">
        <v>125</v>
      </c>
      <c r="B126" s="37" t="s">
        <v>1100</v>
      </c>
      <c r="C126" s="38" t="n">
        <v>2</v>
      </c>
    </row>
    <row r="127" customFormat="false" ht="15" hidden="false" customHeight="false" outlineLevel="0" collapsed="false">
      <c r="A127" s="28" t="n">
        <v>126</v>
      </c>
      <c r="B127" s="37" t="s">
        <v>1111</v>
      </c>
      <c r="C127" s="38" t="n">
        <v>2</v>
      </c>
    </row>
    <row r="128" customFormat="false" ht="15" hidden="false" customHeight="false" outlineLevel="0" collapsed="false">
      <c r="A128" s="28" t="n">
        <v>127</v>
      </c>
      <c r="B128" s="37" t="s">
        <v>1121</v>
      </c>
      <c r="C128" s="38" t="n">
        <v>2</v>
      </c>
    </row>
    <row r="129" customFormat="false" ht="15" hidden="false" customHeight="false" outlineLevel="0" collapsed="false">
      <c r="A129" s="28" t="n">
        <v>128</v>
      </c>
      <c r="B129" s="37" t="s">
        <v>1130</v>
      </c>
      <c r="C129" s="38" t="n">
        <v>2</v>
      </c>
    </row>
    <row r="130" customFormat="false" ht="15" hidden="false" customHeight="false" outlineLevel="0" collapsed="false">
      <c r="A130" s="28" t="n">
        <v>129</v>
      </c>
      <c r="B130" s="37" t="s">
        <v>1135</v>
      </c>
      <c r="C130" s="38" t="n">
        <v>2</v>
      </c>
    </row>
    <row r="131" customFormat="false" ht="15" hidden="false" customHeight="false" outlineLevel="0" collapsed="false">
      <c r="A131" s="28" t="n">
        <v>130</v>
      </c>
      <c r="B131" s="37" t="s">
        <v>1161</v>
      </c>
      <c r="C131" s="38" t="n">
        <v>2</v>
      </c>
    </row>
    <row r="132" customFormat="false" ht="15" hidden="false" customHeight="false" outlineLevel="0" collapsed="false">
      <c r="A132" s="28" t="n">
        <v>131</v>
      </c>
      <c r="B132" s="37" t="s">
        <v>1163</v>
      </c>
      <c r="C132" s="38" t="n">
        <v>2</v>
      </c>
    </row>
    <row r="133" customFormat="false" ht="15" hidden="false" customHeight="false" outlineLevel="0" collapsed="false">
      <c r="A133" s="28" t="n">
        <v>132</v>
      </c>
      <c r="B133" s="37" t="s">
        <v>1165</v>
      </c>
      <c r="C133" s="38" t="n">
        <v>2</v>
      </c>
    </row>
    <row r="134" customFormat="false" ht="15" hidden="false" customHeight="false" outlineLevel="0" collapsed="false">
      <c r="A134" s="28" t="n">
        <v>133</v>
      </c>
      <c r="B134" s="37" t="s">
        <v>1168</v>
      </c>
      <c r="C134" s="38" t="n">
        <v>2</v>
      </c>
    </row>
    <row r="135" customFormat="false" ht="15" hidden="false" customHeight="false" outlineLevel="0" collapsed="false">
      <c r="A135" s="28" t="n">
        <v>134</v>
      </c>
      <c r="B135" s="37" t="s">
        <v>1170</v>
      </c>
      <c r="C135" s="38" t="n">
        <v>2</v>
      </c>
    </row>
    <row r="136" customFormat="false" ht="15" hidden="false" customHeight="false" outlineLevel="0" collapsed="false">
      <c r="A136" s="28" t="n">
        <v>135</v>
      </c>
      <c r="B136" s="37" t="s">
        <v>4209</v>
      </c>
      <c r="C136" s="38" t="n">
        <v>2</v>
      </c>
    </row>
    <row r="137" customFormat="false" ht="15" hidden="false" customHeight="false" outlineLevel="0" collapsed="false">
      <c r="A137" s="28" t="n">
        <v>136</v>
      </c>
      <c r="B137" s="37" t="s">
        <v>1176</v>
      </c>
      <c r="C137" s="38" t="n">
        <v>2</v>
      </c>
    </row>
    <row r="138" customFormat="false" ht="15" hidden="false" customHeight="false" outlineLevel="0" collapsed="false">
      <c r="A138" s="28" t="n">
        <v>137</v>
      </c>
      <c r="B138" s="37" t="s">
        <v>1186</v>
      </c>
      <c r="C138" s="38" t="n">
        <v>2</v>
      </c>
    </row>
    <row r="139" customFormat="false" ht="15" hidden="false" customHeight="false" outlineLevel="0" collapsed="false">
      <c r="A139" s="28" t="n">
        <v>138</v>
      </c>
      <c r="B139" s="37" t="s">
        <v>1190</v>
      </c>
      <c r="C139" s="38" t="n">
        <v>2</v>
      </c>
    </row>
    <row r="140" customFormat="false" ht="15" hidden="false" customHeight="false" outlineLevel="0" collapsed="false">
      <c r="A140" s="28" t="n">
        <v>139</v>
      </c>
      <c r="B140" s="37" t="s">
        <v>1191</v>
      </c>
      <c r="C140" s="38" t="n">
        <v>2</v>
      </c>
    </row>
    <row r="141" customFormat="false" ht="15" hidden="false" customHeight="false" outlineLevel="0" collapsed="false">
      <c r="A141" s="28" t="n">
        <v>140</v>
      </c>
      <c r="B141" s="37" t="s">
        <v>1199</v>
      </c>
      <c r="C141" s="38" t="n">
        <v>2</v>
      </c>
    </row>
    <row r="142" customFormat="false" ht="15" hidden="false" customHeight="false" outlineLevel="0" collapsed="false">
      <c r="A142" s="28" t="n">
        <v>141</v>
      </c>
      <c r="B142" s="37" t="s">
        <v>1203</v>
      </c>
      <c r="C142" s="38" t="n">
        <v>2</v>
      </c>
    </row>
    <row r="143" customFormat="false" ht="15" hidden="false" customHeight="false" outlineLevel="0" collapsed="false">
      <c r="A143" s="28" t="n">
        <v>142</v>
      </c>
      <c r="B143" s="37" t="s">
        <v>1207</v>
      </c>
      <c r="C143" s="38" t="n">
        <v>2</v>
      </c>
    </row>
    <row r="144" customFormat="false" ht="15" hidden="false" customHeight="false" outlineLevel="0" collapsed="false">
      <c r="A144" s="28" t="n">
        <v>143</v>
      </c>
      <c r="B144" s="37" t="s">
        <v>1219</v>
      </c>
      <c r="C144" s="38" t="n">
        <v>2</v>
      </c>
    </row>
    <row r="145" customFormat="false" ht="15" hidden="false" customHeight="false" outlineLevel="0" collapsed="false">
      <c r="A145" s="28" t="n">
        <v>144</v>
      </c>
      <c r="B145" s="37" t="s">
        <v>1223</v>
      </c>
      <c r="C145" s="38" t="n">
        <v>2</v>
      </c>
    </row>
    <row r="146" customFormat="false" ht="15" hidden="false" customHeight="false" outlineLevel="0" collapsed="false">
      <c r="A146" s="28" t="n">
        <v>145</v>
      </c>
      <c r="B146" s="37" t="s">
        <v>1225</v>
      </c>
      <c r="C146" s="38" t="n">
        <v>2</v>
      </c>
    </row>
    <row r="147" customFormat="false" ht="15" hidden="false" customHeight="false" outlineLevel="0" collapsed="false">
      <c r="A147" s="28" t="n">
        <v>146</v>
      </c>
      <c r="B147" s="37" t="s">
        <v>1230</v>
      </c>
      <c r="C147" s="38" t="n">
        <v>2</v>
      </c>
    </row>
    <row r="148" customFormat="false" ht="15" hidden="false" customHeight="false" outlineLevel="0" collapsed="false">
      <c r="A148" s="28" t="n">
        <v>147</v>
      </c>
      <c r="B148" s="37" t="s">
        <v>1232</v>
      </c>
      <c r="C148" s="38" t="n">
        <v>2</v>
      </c>
    </row>
    <row r="149" customFormat="false" ht="15" hidden="false" customHeight="false" outlineLevel="0" collapsed="false">
      <c r="A149" s="28" t="n">
        <v>148</v>
      </c>
      <c r="B149" s="37" t="s">
        <v>4210</v>
      </c>
      <c r="C149" s="38" t="n">
        <v>2</v>
      </c>
    </row>
    <row r="150" customFormat="false" ht="15" hidden="false" customHeight="false" outlineLevel="0" collapsed="false">
      <c r="A150" s="28" t="n">
        <v>149</v>
      </c>
      <c r="B150" s="37" t="s">
        <v>1251</v>
      </c>
      <c r="C150" s="38" t="n">
        <v>2</v>
      </c>
    </row>
    <row r="151" customFormat="false" ht="15" hidden="false" customHeight="false" outlineLevel="0" collapsed="false">
      <c r="A151" s="28" t="n">
        <v>150</v>
      </c>
      <c r="B151" s="37" t="s">
        <v>1253</v>
      </c>
      <c r="C151" s="38" t="n">
        <v>2</v>
      </c>
    </row>
    <row r="152" customFormat="false" ht="15" hidden="false" customHeight="false" outlineLevel="0" collapsed="false">
      <c r="A152" s="28" t="n">
        <v>151</v>
      </c>
      <c r="B152" s="37" t="s">
        <v>1254</v>
      </c>
      <c r="C152" s="38" t="n">
        <v>2</v>
      </c>
    </row>
    <row r="153" customFormat="false" ht="15" hidden="false" customHeight="false" outlineLevel="0" collapsed="false">
      <c r="A153" s="28" t="n">
        <v>152</v>
      </c>
      <c r="B153" s="37" t="s">
        <v>1261</v>
      </c>
      <c r="C153" s="38" t="n">
        <v>2</v>
      </c>
    </row>
    <row r="154" customFormat="false" ht="15" hidden="false" customHeight="false" outlineLevel="0" collapsed="false">
      <c r="A154" s="28" t="n">
        <v>153</v>
      </c>
      <c r="B154" s="37" t="s">
        <v>1271</v>
      </c>
      <c r="C154" s="38" t="n">
        <v>2</v>
      </c>
    </row>
    <row r="155" customFormat="false" ht="15" hidden="false" customHeight="false" outlineLevel="0" collapsed="false">
      <c r="A155" s="28" t="n">
        <v>154</v>
      </c>
      <c r="B155" s="37" t="s">
        <v>1280</v>
      </c>
      <c r="C155" s="38" t="n">
        <v>2</v>
      </c>
    </row>
    <row r="156" customFormat="false" ht="15" hidden="false" customHeight="false" outlineLevel="0" collapsed="false">
      <c r="A156" s="28" t="n">
        <v>155</v>
      </c>
      <c r="B156" s="37" t="s">
        <v>1288</v>
      </c>
      <c r="C156" s="38" t="n">
        <v>2</v>
      </c>
    </row>
    <row r="157" customFormat="false" ht="15" hidden="false" customHeight="false" outlineLevel="0" collapsed="false">
      <c r="A157" s="28" t="n">
        <v>156</v>
      </c>
      <c r="B157" s="37" t="s">
        <v>1291</v>
      </c>
      <c r="C157" s="38" t="n">
        <v>2</v>
      </c>
    </row>
    <row r="158" customFormat="false" ht="15" hidden="false" customHeight="false" outlineLevel="0" collapsed="false">
      <c r="A158" s="28" t="n">
        <v>157</v>
      </c>
      <c r="B158" s="37" t="s">
        <v>1305</v>
      </c>
      <c r="C158" s="38" t="n">
        <v>2</v>
      </c>
    </row>
    <row r="159" customFormat="false" ht="15" hidden="false" customHeight="false" outlineLevel="0" collapsed="false">
      <c r="A159" s="28" t="n">
        <v>158</v>
      </c>
      <c r="B159" s="37" t="s">
        <v>1312</v>
      </c>
      <c r="C159" s="38" t="n">
        <v>2</v>
      </c>
    </row>
    <row r="160" customFormat="false" ht="15" hidden="false" customHeight="false" outlineLevel="0" collapsed="false">
      <c r="A160" s="28" t="n">
        <v>159</v>
      </c>
      <c r="B160" s="37" t="s">
        <v>1319</v>
      </c>
      <c r="C160" s="38" t="n">
        <v>2</v>
      </c>
    </row>
    <row r="161" customFormat="false" ht="15" hidden="false" customHeight="false" outlineLevel="0" collapsed="false">
      <c r="A161" s="28" t="n">
        <v>160</v>
      </c>
      <c r="B161" s="37" t="s">
        <v>1327</v>
      </c>
      <c r="C161" s="38" t="n">
        <v>2</v>
      </c>
    </row>
    <row r="162" customFormat="false" ht="15" hidden="false" customHeight="false" outlineLevel="0" collapsed="false">
      <c r="A162" s="28" t="n">
        <v>161</v>
      </c>
      <c r="B162" s="37" t="s">
        <v>1356</v>
      </c>
      <c r="C162" s="38" t="n">
        <v>2</v>
      </c>
    </row>
    <row r="163" customFormat="false" ht="15" hidden="false" customHeight="false" outlineLevel="0" collapsed="false">
      <c r="A163" s="28" t="n">
        <v>162</v>
      </c>
      <c r="B163" s="37" t="s">
        <v>1367</v>
      </c>
      <c r="C163" s="38" t="n">
        <v>2</v>
      </c>
    </row>
    <row r="164" customFormat="false" ht="15" hidden="false" customHeight="false" outlineLevel="0" collapsed="false">
      <c r="A164" s="28" t="n">
        <v>163</v>
      </c>
      <c r="B164" s="37" t="s">
        <v>1375</v>
      </c>
      <c r="C164" s="38" t="n">
        <v>2</v>
      </c>
    </row>
    <row r="165" customFormat="false" ht="15" hidden="false" customHeight="false" outlineLevel="0" collapsed="false">
      <c r="A165" s="28" t="n">
        <v>164</v>
      </c>
      <c r="B165" s="37" t="s">
        <v>1376</v>
      </c>
      <c r="C165" s="38" t="n">
        <v>2</v>
      </c>
    </row>
    <row r="166" customFormat="false" ht="15" hidden="false" customHeight="false" outlineLevel="0" collapsed="false">
      <c r="A166" s="28" t="n">
        <v>165</v>
      </c>
      <c r="B166" s="37" t="s">
        <v>1383</v>
      </c>
      <c r="C166" s="38" t="n">
        <v>2</v>
      </c>
    </row>
    <row r="167" customFormat="false" ht="15" hidden="false" customHeight="false" outlineLevel="0" collapsed="false">
      <c r="A167" s="28" t="n">
        <v>166</v>
      </c>
      <c r="B167" s="37" t="s">
        <v>1391</v>
      </c>
      <c r="C167" s="38" t="n">
        <v>2</v>
      </c>
    </row>
    <row r="168" customFormat="false" ht="15" hidden="false" customHeight="false" outlineLevel="0" collapsed="false">
      <c r="A168" s="28" t="n">
        <v>167</v>
      </c>
      <c r="B168" s="37" t="s">
        <v>1394</v>
      </c>
      <c r="C168" s="38" t="n">
        <v>2</v>
      </c>
    </row>
    <row r="169" customFormat="false" ht="15" hidden="false" customHeight="false" outlineLevel="0" collapsed="false">
      <c r="A169" s="28" t="n">
        <v>168</v>
      </c>
      <c r="B169" s="37" t="s">
        <v>1399</v>
      </c>
      <c r="C169" s="38" t="n">
        <v>2</v>
      </c>
    </row>
    <row r="170" customFormat="false" ht="15" hidden="false" customHeight="false" outlineLevel="0" collapsed="false">
      <c r="A170" s="28" t="n">
        <v>169</v>
      </c>
      <c r="B170" s="37" t="s">
        <v>1410</v>
      </c>
      <c r="C170" s="38" t="n">
        <v>2</v>
      </c>
    </row>
    <row r="171" customFormat="false" ht="15" hidden="false" customHeight="false" outlineLevel="0" collapsed="false">
      <c r="A171" s="28" t="n">
        <v>170</v>
      </c>
      <c r="B171" s="37" t="s">
        <v>1423</v>
      </c>
      <c r="C171" s="38" t="n">
        <v>2</v>
      </c>
    </row>
    <row r="172" customFormat="false" ht="15" hidden="false" customHeight="false" outlineLevel="0" collapsed="false">
      <c r="A172" s="28" t="n">
        <v>171</v>
      </c>
      <c r="B172" s="37" t="s">
        <v>1430</v>
      </c>
      <c r="C172" s="38" t="n">
        <v>2</v>
      </c>
    </row>
    <row r="173" customFormat="false" ht="15" hidden="false" customHeight="false" outlineLevel="0" collapsed="false">
      <c r="A173" s="28" t="n">
        <v>172</v>
      </c>
      <c r="B173" s="37" t="s">
        <v>1448</v>
      </c>
      <c r="C173" s="38" t="n">
        <v>2</v>
      </c>
    </row>
    <row r="174" customFormat="false" ht="15" hidden="false" customHeight="false" outlineLevel="0" collapsed="false">
      <c r="A174" s="28" t="n">
        <v>173</v>
      </c>
      <c r="B174" s="37" t="s">
        <v>1468</v>
      </c>
      <c r="C174" s="38" t="n">
        <v>2</v>
      </c>
    </row>
    <row r="175" customFormat="false" ht="15" hidden="false" customHeight="false" outlineLevel="0" collapsed="false">
      <c r="A175" s="28" t="n">
        <v>174</v>
      </c>
      <c r="B175" s="37" t="s">
        <v>1473</v>
      </c>
      <c r="C175" s="38" t="n">
        <v>2</v>
      </c>
    </row>
    <row r="176" customFormat="false" ht="15" hidden="false" customHeight="false" outlineLevel="0" collapsed="false">
      <c r="A176" s="28" t="n">
        <v>175</v>
      </c>
      <c r="B176" s="37" t="s">
        <v>1477</v>
      </c>
      <c r="C176" s="38" t="n">
        <v>2</v>
      </c>
    </row>
    <row r="177" customFormat="false" ht="15" hidden="false" customHeight="false" outlineLevel="0" collapsed="false">
      <c r="A177" s="28" t="n">
        <v>176</v>
      </c>
      <c r="B177" s="37" t="s">
        <v>1482</v>
      </c>
      <c r="C177" s="38" t="n">
        <v>2</v>
      </c>
    </row>
    <row r="178" customFormat="false" ht="15" hidden="false" customHeight="false" outlineLevel="0" collapsed="false">
      <c r="A178" s="28" t="n">
        <v>177</v>
      </c>
      <c r="B178" s="37" t="s">
        <v>1490</v>
      </c>
      <c r="C178" s="38" t="n">
        <v>2</v>
      </c>
    </row>
    <row r="179" customFormat="false" ht="15" hidden="false" customHeight="false" outlineLevel="0" collapsed="false">
      <c r="A179" s="28" t="n">
        <v>178</v>
      </c>
      <c r="B179" s="37" t="s">
        <v>1502</v>
      </c>
      <c r="C179" s="38" t="n">
        <v>3</v>
      </c>
    </row>
    <row r="180" customFormat="false" ht="15" hidden="false" customHeight="false" outlineLevel="0" collapsed="false">
      <c r="A180" s="28" t="n">
        <v>179</v>
      </c>
      <c r="B180" s="37" t="s">
        <v>1513</v>
      </c>
      <c r="C180" s="38" t="n">
        <v>2</v>
      </c>
    </row>
    <row r="181" customFormat="false" ht="15" hidden="false" customHeight="false" outlineLevel="0" collapsed="false">
      <c r="A181" s="28" t="n">
        <v>180</v>
      </c>
      <c r="B181" s="37" t="s">
        <v>319</v>
      </c>
      <c r="C181" s="38" t="n">
        <v>2</v>
      </c>
    </row>
    <row r="182" customFormat="false" ht="15" hidden="false" customHeight="false" outlineLevel="0" collapsed="false">
      <c r="A182" s="28" t="n">
        <v>181</v>
      </c>
      <c r="B182" s="37" t="s">
        <v>1539</v>
      </c>
      <c r="C182" s="38" t="n">
        <v>2</v>
      </c>
    </row>
    <row r="183" customFormat="false" ht="15" hidden="false" customHeight="false" outlineLevel="0" collapsed="false">
      <c r="A183" s="28" t="n">
        <v>182</v>
      </c>
      <c r="B183" s="37" t="s">
        <v>1540</v>
      </c>
      <c r="C183" s="38" t="n">
        <v>2</v>
      </c>
    </row>
    <row r="184" customFormat="false" ht="15" hidden="false" customHeight="false" outlineLevel="0" collapsed="false">
      <c r="A184" s="28" t="n">
        <v>183</v>
      </c>
      <c r="B184" s="37" t="s">
        <v>1541</v>
      </c>
      <c r="C184" s="38" t="n">
        <v>2</v>
      </c>
    </row>
    <row r="185" customFormat="false" ht="15" hidden="false" customHeight="false" outlineLevel="0" collapsed="false">
      <c r="A185" s="28" t="n">
        <v>184</v>
      </c>
      <c r="B185" s="37" t="s">
        <v>1543</v>
      </c>
      <c r="C185" s="38" t="n">
        <v>2</v>
      </c>
    </row>
    <row r="186" customFormat="false" ht="15" hidden="false" customHeight="false" outlineLevel="0" collapsed="false">
      <c r="A186" s="28" t="n">
        <v>185</v>
      </c>
      <c r="B186" s="37" t="s">
        <v>1546</v>
      </c>
      <c r="C186" s="38" t="n">
        <v>2</v>
      </c>
    </row>
    <row r="187" customFormat="false" ht="15" hidden="false" customHeight="false" outlineLevel="0" collapsed="false">
      <c r="A187" s="28" t="n">
        <v>186</v>
      </c>
      <c r="B187" s="37" t="s">
        <v>1562</v>
      </c>
      <c r="C187" s="38" t="n">
        <v>2</v>
      </c>
    </row>
    <row r="188" customFormat="false" ht="15" hidden="false" customHeight="false" outlineLevel="0" collapsed="false">
      <c r="A188" s="28" t="n">
        <v>187</v>
      </c>
      <c r="B188" s="37" t="s">
        <v>1569</v>
      </c>
      <c r="C188" s="38" t="n">
        <v>2</v>
      </c>
    </row>
    <row r="189" customFormat="false" ht="15" hidden="false" customHeight="false" outlineLevel="0" collapsed="false">
      <c r="A189" s="28" t="n">
        <v>188</v>
      </c>
      <c r="B189" s="37" t="s">
        <v>1572</v>
      </c>
      <c r="C189" s="38" t="n">
        <v>2</v>
      </c>
    </row>
    <row r="190" customFormat="false" ht="15" hidden="false" customHeight="false" outlineLevel="0" collapsed="false">
      <c r="A190" s="28" t="n">
        <v>189</v>
      </c>
      <c r="B190" s="37" t="s">
        <v>1573</v>
      </c>
      <c r="C190" s="38" t="n">
        <v>2</v>
      </c>
    </row>
    <row r="191" customFormat="false" ht="15" hidden="false" customHeight="false" outlineLevel="0" collapsed="false">
      <c r="A191" s="28" t="n">
        <v>190</v>
      </c>
      <c r="B191" s="37" t="s">
        <v>1584</v>
      </c>
      <c r="C191" s="38" t="n">
        <v>2</v>
      </c>
    </row>
    <row r="192" customFormat="false" ht="15" hidden="false" customHeight="false" outlineLevel="0" collapsed="false">
      <c r="A192" s="28" t="n">
        <v>191</v>
      </c>
      <c r="B192" s="37" t="s">
        <v>1592</v>
      </c>
      <c r="C192" s="38" t="n">
        <v>2</v>
      </c>
    </row>
    <row r="193" customFormat="false" ht="15" hidden="false" customHeight="false" outlineLevel="0" collapsed="false">
      <c r="A193" s="28" t="n">
        <v>192</v>
      </c>
      <c r="B193" s="37" t="s">
        <v>1599</v>
      </c>
      <c r="C193" s="38" t="n">
        <v>2</v>
      </c>
    </row>
    <row r="194" customFormat="false" ht="15" hidden="false" customHeight="false" outlineLevel="0" collapsed="false">
      <c r="A194" s="28" t="n">
        <v>193</v>
      </c>
      <c r="B194" s="37" t="s">
        <v>1601</v>
      </c>
      <c r="C194" s="38" t="n">
        <v>2</v>
      </c>
    </row>
    <row r="195" customFormat="false" ht="15" hidden="false" customHeight="false" outlineLevel="0" collapsed="false">
      <c r="A195" s="28" t="n">
        <v>194</v>
      </c>
      <c r="B195" s="37" t="s">
        <v>1604</v>
      </c>
      <c r="C195" s="38" t="n">
        <v>2</v>
      </c>
    </row>
    <row r="196" customFormat="false" ht="15" hidden="false" customHeight="false" outlineLevel="0" collapsed="false">
      <c r="A196" s="28" t="n">
        <v>195</v>
      </c>
      <c r="B196" s="37" t="s">
        <v>1610</v>
      </c>
      <c r="C196" s="38" t="n">
        <v>2</v>
      </c>
    </row>
    <row r="197" customFormat="false" ht="15" hidden="false" customHeight="false" outlineLevel="0" collapsed="false">
      <c r="A197" s="28" t="n">
        <v>196</v>
      </c>
      <c r="B197" s="37" t="s">
        <v>1620</v>
      </c>
      <c r="C197" s="38" t="n">
        <v>2</v>
      </c>
    </row>
    <row r="198" customFormat="false" ht="15" hidden="false" customHeight="false" outlineLevel="0" collapsed="false">
      <c r="A198" s="28" t="n">
        <v>197</v>
      </c>
      <c r="B198" s="37" t="s">
        <v>1634</v>
      </c>
      <c r="C198" s="38" t="n">
        <v>2</v>
      </c>
    </row>
    <row r="199" customFormat="false" ht="15" hidden="false" customHeight="false" outlineLevel="0" collapsed="false">
      <c r="A199" s="28" t="n">
        <v>198</v>
      </c>
      <c r="B199" s="37" t="s">
        <v>1661</v>
      </c>
      <c r="C199" s="38" t="n">
        <v>2</v>
      </c>
    </row>
    <row r="200" customFormat="false" ht="15" hidden="false" customHeight="false" outlineLevel="0" collapsed="false">
      <c r="A200" s="28" t="n">
        <v>199</v>
      </c>
      <c r="B200" s="37" t="s">
        <v>1671</v>
      </c>
      <c r="C200" s="38" t="n">
        <v>2</v>
      </c>
    </row>
    <row r="201" customFormat="false" ht="15" hidden="false" customHeight="false" outlineLevel="0" collapsed="false">
      <c r="A201" s="28" t="n">
        <v>200</v>
      </c>
      <c r="B201" s="37" t="s">
        <v>1674</v>
      </c>
      <c r="C201" s="38" t="n">
        <v>2</v>
      </c>
    </row>
    <row r="202" customFormat="false" ht="15" hidden="false" customHeight="false" outlineLevel="0" collapsed="false">
      <c r="A202" s="28" t="n">
        <v>201</v>
      </c>
      <c r="B202" s="37" t="s">
        <v>1675</v>
      </c>
      <c r="C202" s="38" t="n">
        <v>2</v>
      </c>
    </row>
    <row r="203" customFormat="false" ht="15" hidden="false" customHeight="false" outlineLevel="0" collapsed="false">
      <c r="A203" s="28" t="n">
        <v>202</v>
      </c>
      <c r="B203" s="37" t="s">
        <v>1679</v>
      </c>
      <c r="C203" s="38" t="n">
        <v>2</v>
      </c>
    </row>
    <row r="204" customFormat="false" ht="15" hidden="false" customHeight="false" outlineLevel="0" collapsed="false">
      <c r="A204" s="28" t="n">
        <v>203</v>
      </c>
      <c r="B204" s="37" t="s">
        <v>1688</v>
      </c>
      <c r="C204" s="38" t="n">
        <v>2</v>
      </c>
    </row>
    <row r="205" customFormat="false" ht="15" hidden="false" customHeight="false" outlineLevel="0" collapsed="false">
      <c r="A205" s="28" t="n">
        <v>204</v>
      </c>
      <c r="B205" s="37" t="s">
        <v>1700</v>
      </c>
      <c r="C205" s="38" t="n">
        <v>2</v>
      </c>
    </row>
    <row r="206" customFormat="false" ht="15" hidden="false" customHeight="false" outlineLevel="0" collapsed="false">
      <c r="A206" s="28" t="n">
        <v>205</v>
      </c>
      <c r="B206" s="37" t="s">
        <v>1702</v>
      </c>
      <c r="C206" s="38" t="n">
        <v>2</v>
      </c>
    </row>
    <row r="207" customFormat="false" ht="15" hidden="false" customHeight="false" outlineLevel="0" collapsed="false">
      <c r="A207" s="28" t="n">
        <v>206</v>
      </c>
      <c r="B207" s="37" t="s">
        <v>1718</v>
      </c>
      <c r="C207" s="38" t="n">
        <v>2</v>
      </c>
    </row>
    <row r="208" customFormat="false" ht="15" hidden="false" customHeight="false" outlineLevel="0" collapsed="false">
      <c r="A208" s="28" t="n">
        <v>207</v>
      </c>
      <c r="B208" s="37" t="s">
        <v>1721</v>
      </c>
      <c r="C208" s="38" t="n">
        <v>2</v>
      </c>
    </row>
    <row r="209" customFormat="false" ht="15" hidden="false" customHeight="false" outlineLevel="0" collapsed="false">
      <c r="A209" s="28" t="n">
        <v>208</v>
      </c>
      <c r="B209" s="37" t="s">
        <v>1729</v>
      </c>
      <c r="C209" s="38" t="n">
        <v>2</v>
      </c>
    </row>
    <row r="210" customFormat="false" ht="15" hidden="false" customHeight="false" outlineLevel="0" collapsed="false">
      <c r="A210" s="28" t="n">
        <v>209</v>
      </c>
      <c r="B210" s="37" t="s">
        <v>1737</v>
      </c>
      <c r="C210" s="38" t="n">
        <v>2</v>
      </c>
    </row>
    <row r="211" customFormat="false" ht="15" hidden="false" customHeight="false" outlineLevel="0" collapsed="false">
      <c r="A211" s="28" t="n">
        <v>210</v>
      </c>
      <c r="B211" s="37" t="s">
        <v>1740</v>
      </c>
      <c r="C211" s="38" t="n">
        <v>2</v>
      </c>
    </row>
    <row r="212" customFormat="false" ht="15" hidden="false" customHeight="false" outlineLevel="0" collapsed="false">
      <c r="A212" s="28" t="n">
        <v>211</v>
      </c>
      <c r="B212" s="37" t="s">
        <v>1749</v>
      </c>
      <c r="C212" s="38" t="n">
        <v>2</v>
      </c>
    </row>
    <row r="213" customFormat="false" ht="15" hidden="false" customHeight="false" outlineLevel="0" collapsed="false">
      <c r="A213" s="28" t="n">
        <v>212</v>
      </c>
      <c r="B213" s="37" t="s">
        <v>1766</v>
      </c>
      <c r="C213" s="38" t="n">
        <v>2</v>
      </c>
    </row>
    <row r="214" customFormat="false" ht="15" hidden="false" customHeight="false" outlineLevel="0" collapsed="false">
      <c r="A214" s="28" t="n">
        <v>213</v>
      </c>
      <c r="B214" s="37" t="s">
        <v>1770</v>
      </c>
      <c r="C214" s="38" t="n">
        <v>2</v>
      </c>
    </row>
    <row r="215" customFormat="false" ht="15" hidden="false" customHeight="false" outlineLevel="0" collapsed="false">
      <c r="A215" s="28" t="n">
        <v>214</v>
      </c>
      <c r="B215" s="37" t="s">
        <v>1773</v>
      </c>
      <c r="C215" s="38" t="n">
        <v>2</v>
      </c>
    </row>
    <row r="216" customFormat="false" ht="15" hidden="false" customHeight="false" outlineLevel="0" collapsed="false">
      <c r="A216" s="28" t="n">
        <v>215</v>
      </c>
      <c r="B216" s="37" t="s">
        <v>1784</v>
      </c>
      <c r="C216" s="38" t="n">
        <v>2</v>
      </c>
    </row>
    <row r="217" customFormat="false" ht="15" hidden="false" customHeight="false" outlineLevel="0" collapsed="false">
      <c r="A217" s="28" t="n">
        <v>216</v>
      </c>
      <c r="B217" s="37" t="s">
        <v>4211</v>
      </c>
      <c r="C217" s="38" t="n">
        <v>2</v>
      </c>
    </row>
    <row r="218" customFormat="false" ht="15" hidden="false" customHeight="false" outlineLevel="0" collapsed="false">
      <c r="A218" s="28" t="n">
        <v>217</v>
      </c>
      <c r="B218" s="37" t="s">
        <v>1816</v>
      </c>
      <c r="C218" s="38" t="n">
        <v>2</v>
      </c>
    </row>
    <row r="219" customFormat="false" ht="15" hidden="false" customHeight="false" outlineLevel="0" collapsed="false">
      <c r="A219" s="28" t="n">
        <v>218</v>
      </c>
      <c r="B219" s="37" t="s">
        <v>1817</v>
      </c>
      <c r="C219" s="38" t="n">
        <v>2</v>
      </c>
    </row>
    <row r="220" customFormat="false" ht="15" hidden="false" customHeight="false" outlineLevel="0" collapsed="false">
      <c r="A220" s="28" t="n">
        <v>219</v>
      </c>
      <c r="B220" s="37" t="s">
        <v>1826</v>
      </c>
      <c r="C220" s="38" t="n">
        <v>2</v>
      </c>
    </row>
    <row r="221" customFormat="false" ht="15" hidden="false" customHeight="false" outlineLevel="0" collapsed="false">
      <c r="A221" s="28" t="n">
        <v>220</v>
      </c>
      <c r="B221" s="37" t="s">
        <v>1828</v>
      </c>
      <c r="C221" s="38" t="n">
        <v>2</v>
      </c>
    </row>
    <row r="222" customFormat="false" ht="15" hidden="false" customHeight="false" outlineLevel="0" collapsed="false">
      <c r="A222" s="28" t="n">
        <v>221</v>
      </c>
      <c r="B222" s="37" t="s">
        <v>1853</v>
      </c>
      <c r="C222" s="38" t="n">
        <v>2</v>
      </c>
    </row>
    <row r="223" customFormat="false" ht="15" hidden="false" customHeight="false" outlineLevel="0" collapsed="false">
      <c r="A223" s="28" t="n">
        <v>222</v>
      </c>
      <c r="B223" s="37" t="s">
        <v>1874</v>
      </c>
      <c r="C223" s="38" t="n">
        <v>2</v>
      </c>
    </row>
    <row r="224" customFormat="false" ht="15" hidden="false" customHeight="false" outlineLevel="0" collapsed="false">
      <c r="A224" s="28" t="n">
        <v>223</v>
      </c>
      <c r="B224" s="37" t="s">
        <v>1892</v>
      </c>
      <c r="C224" s="38" t="n">
        <v>2</v>
      </c>
    </row>
    <row r="225" customFormat="false" ht="15" hidden="false" customHeight="false" outlineLevel="0" collapsed="false">
      <c r="A225" s="28" t="n">
        <v>224</v>
      </c>
      <c r="B225" s="37" t="s">
        <v>1893</v>
      </c>
      <c r="C225" s="38" t="n">
        <v>2</v>
      </c>
    </row>
    <row r="226" customFormat="false" ht="15" hidden="false" customHeight="false" outlineLevel="0" collapsed="false">
      <c r="A226" s="28" t="n">
        <v>225</v>
      </c>
      <c r="B226" s="37" t="s">
        <v>4212</v>
      </c>
      <c r="C226" s="38" t="n">
        <v>2</v>
      </c>
    </row>
    <row r="227" customFormat="false" ht="15" hidden="false" customHeight="false" outlineLevel="0" collapsed="false">
      <c r="A227" s="28" t="n">
        <v>226</v>
      </c>
      <c r="B227" s="37" t="s">
        <v>1894</v>
      </c>
      <c r="C227" s="38" t="n">
        <v>2</v>
      </c>
    </row>
    <row r="228" customFormat="false" ht="15" hidden="false" customHeight="false" outlineLevel="0" collapsed="false">
      <c r="A228" s="28" t="n">
        <v>227</v>
      </c>
      <c r="B228" s="37" t="s">
        <v>1897</v>
      </c>
      <c r="C228" s="38" t="n">
        <v>2</v>
      </c>
    </row>
    <row r="229" customFormat="false" ht="15" hidden="false" customHeight="false" outlineLevel="0" collapsed="false">
      <c r="A229" s="28" t="n">
        <v>228</v>
      </c>
      <c r="B229" s="37" t="s">
        <v>1908</v>
      </c>
      <c r="C229" s="38" t="n">
        <v>2</v>
      </c>
    </row>
    <row r="230" customFormat="false" ht="15" hidden="false" customHeight="false" outlineLevel="0" collapsed="false">
      <c r="A230" s="28" t="n">
        <v>229</v>
      </c>
      <c r="B230" s="37" t="s">
        <v>4213</v>
      </c>
      <c r="C230" s="38" t="n">
        <v>3</v>
      </c>
    </row>
    <row r="231" customFormat="false" ht="15" hidden="false" customHeight="false" outlineLevel="0" collapsed="false">
      <c r="A231" s="28" t="n">
        <v>230</v>
      </c>
      <c r="B231" s="37" t="s">
        <v>1924</v>
      </c>
      <c r="C231" s="38" t="n">
        <v>2</v>
      </c>
    </row>
    <row r="232" customFormat="false" ht="15" hidden="false" customHeight="false" outlineLevel="0" collapsed="false">
      <c r="A232" s="28" t="n">
        <v>231</v>
      </c>
      <c r="B232" s="37" t="s">
        <v>4214</v>
      </c>
      <c r="C232" s="38" t="n">
        <v>2</v>
      </c>
    </row>
    <row r="233" customFormat="false" ht="15" hidden="false" customHeight="false" outlineLevel="0" collapsed="false">
      <c r="A233" s="28" t="n">
        <v>232</v>
      </c>
      <c r="B233" s="37" t="s">
        <v>1981</v>
      </c>
      <c r="C233" s="38" t="n">
        <v>2</v>
      </c>
    </row>
    <row r="234" customFormat="false" ht="15" hidden="false" customHeight="false" outlineLevel="0" collapsed="false">
      <c r="A234" s="28" t="n">
        <v>233</v>
      </c>
      <c r="B234" s="37" t="s">
        <v>1991</v>
      </c>
      <c r="C234" s="38" t="n">
        <v>2</v>
      </c>
    </row>
    <row r="235" customFormat="false" ht="15" hidden="false" customHeight="false" outlineLevel="0" collapsed="false">
      <c r="A235" s="28" t="n">
        <v>234</v>
      </c>
      <c r="B235" s="37" t="s">
        <v>2001</v>
      </c>
      <c r="C235" s="38" t="n">
        <v>2</v>
      </c>
    </row>
    <row r="236" customFormat="false" ht="15" hidden="false" customHeight="false" outlineLevel="0" collapsed="false">
      <c r="A236" s="28" t="n">
        <v>235</v>
      </c>
      <c r="B236" s="37" t="s">
        <v>2002</v>
      </c>
      <c r="C236" s="38" t="n">
        <v>2</v>
      </c>
    </row>
    <row r="237" customFormat="false" ht="15" hidden="false" customHeight="false" outlineLevel="0" collapsed="false">
      <c r="A237" s="28" t="n">
        <v>236</v>
      </c>
      <c r="B237" s="37" t="s">
        <v>2006</v>
      </c>
      <c r="C237" s="38" t="n">
        <v>2</v>
      </c>
    </row>
    <row r="238" customFormat="false" ht="15" hidden="false" customHeight="false" outlineLevel="0" collapsed="false">
      <c r="A238" s="28" t="n">
        <v>237</v>
      </c>
      <c r="B238" s="37" t="s">
        <v>2013</v>
      </c>
      <c r="C238" s="38" t="n">
        <v>2</v>
      </c>
    </row>
    <row r="239" customFormat="false" ht="15" hidden="false" customHeight="false" outlineLevel="0" collapsed="false">
      <c r="A239" s="28" t="n">
        <v>238</v>
      </c>
      <c r="B239" s="37" t="s">
        <v>2016</v>
      </c>
      <c r="C239" s="38" t="n">
        <v>2</v>
      </c>
    </row>
    <row r="240" customFormat="false" ht="15" hidden="false" customHeight="false" outlineLevel="0" collapsed="false">
      <c r="A240" s="28" t="n">
        <v>239</v>
      </c>
      <c r="B240" s="37" t="s">
        <v>2020</v>
      </c>
      <c r="C240" s="38" t="n">
        <v>2</v>
      </c>
    </row>
    <row r="241" customFormat="false" ht="15" hidden="false" customHeight="false" outlineLevel="0" collapsed="false">
      <c r="A241" s="28" t="n">
        <v>240</v>
      </c>
      <c r="B241" s="37" t="s">
        <v>2029</v>
      </c>
      <c r="C241" s="38" t="n">
        <v>2</v>
      </c>
    </row>
    <row r="242" customFormat="false" ht="15" hidden="false" customHeight="false" outlineLevel="0" collapsed="false">
      <c r="A242" s="28" t="n">
        <v>241</v>
      </c>
      <c r="B242" s="37" t="s">
        <v>2049</v>
      </c>
      <c r="C242" s="38" t="n">
        <v>2</v>
      </c>
    </row>
    <row r="243" customFormat="false" ht="15" hidden="false" customHeight="false" outlineLevel="0" collapsed="false">
      <c r="A243" s="28" t="n">
        <v>242</v>
      </c>
      <c r="B243" s="37" t="s">
        <v>2063</v>
      </c>
      <c r="C243" s="38" t="n">
        <v>2</v>
      </c>
    </row>
    <row r="244" customFormat="false" ht="15" hidden="false" customHeight="false" outlineLevel="0" collapsed="false">
      <c r="A244" s="28" t="n">
        <v>243</v>
      </c>
      <c r="B244" s="37" t="s">
        <v>2073</v>
      </c>
      <c r="C244" s="38" t="n">
        <v>3</v>
      </c>
    </row>
    <row r="245" customFormat="false" ht="15" hidden="false" customHeight="false" outlineLevel="0" collapsed="false">
      <c r="A245" s="28" t="n">
        <v>244</v>
      </c>
      <c r="B245" s="37" t="s">
        <v>2080</v>
      </c>
      <c r="C245" s="38" t="n">
        <v>2</v>
      </c>
    </row>
    <row r="246" customFormat="false" ht="15" hidden="false" customHeight="false" outlineLevel="0" collapsed="false">
      <c r="A246" s="28" t="n">
        <v>245</v>
      </c>
      <c r="B246" s="37" t="s">
        <v>2089</v>
      </c>
      <c r="C246" s="38" t="n">
        <v>2</v>
      </c>
    </row>
    <row r="247" customFormat="false" ht="15" hidden="false" customHeight="false" outlineLevel="0" collapsed="false">
      <c r="A247" s="28" t="n">
        <v>246</v>
      </c>
      <c r="B247" s="37" t="s">
        <v>2101</v>
      </c>
      <c r="C247" s="38" t="n">
        <v>2</v>
      </c>
    </row>
    <row r="248" customFormat="false" ht="15" hidden="false" customHeight="false" outlineLevel="0" collapsed="false">
      <c r="A248" s="28" t="n">
        <v>247</v>
      </c>
      <c r="B248" s="37" t="s">
        <v>2119</v>
      </c>
      <c r="C248" s="38" t="n">
        <v>2</v>
      </c>
    </row>
    <row r="249" customFormat="false" ht="15" hidden="false" customHeight="false" outlineLevel="0" collapsed="false">
      <c r="A249" s="28" t="n">
        <v>248</v>
      </c>
      <c r="B249" s="37" t="s">
        <v>2143</v>
      </c>
      <c r="C249" s="38" t="n">
        <v>2</v>
      </c>
    </row>
    <row r="250" customFormat="false" ht="15" hidden="false" customHeight="false" outlineLevel="0" collapsed="false">
      <c r="A250" s="28" t="n">
        <v>249</v>
      </c>
      <c r="B250" s="37" t="s">
        <v>2154</v>
      </c>
      <c r="C250" s="38" t="n">
        <v>2</v>
      </c>
    </row>
    <row r="251" customFormat="false" ht="15" hidden="false" customHeight="false" outlineLevel="0" collapsed="false">
      <c r="A251" s="28" t="n">
        <v>250</v>
      </c>
      <c r="B251" s="37" t="s">
        <v>4215</v>
      </c>
      <c r="C251" s="38" t="n">
        <v>2</v>
      </c>
    </row>
    <row r="252" customFormat="false" ht="15" hidden="false" customHeight="false" outlineLevel="0" collapsed="false">
      <c r="A252" s="28" t="n">
        <v>251</v>
      </c>
      <c r="B252" s="37" t="s">
        <v>2172</v>
      </c>
      <c r="C252" s="38" t="n">
        <v>2</v>
      </c>
    </row>
    <row r="253" customFormat="false" ht="15" hidden="false" customHeight="false" outlineLevel="0" collapsed="false">
      <c r="A253" s="28" t="n">
        <v>252</v>
      </c>
      <c r="B253" s="37" t="s">
        <v>2174</v>
      </c>
      <c r="C253" s="38" t="n">
        <v>2</v>
      </c>
    </row>
    <row r="254" customFormat="false" ht="15" hidden="false" customHeight="false" outlineLevel="0" collapsed="false">
      <c r="A254" s="28" t="n">
        <v>253</v>
      </c>
      <c r="B254" s="37" t="s">
        <v>2184</v>
      </c>
      <c r="C254" s="38" t="n">
        <v>2</v>
      </c>
    </row>
    <row r="255" customFormat="false" ht="15" hidden="false" customHeight="false" outlineLevel="0" collapsed="false">
      <c r="A255" s="28" t="n">
        <v>254</v>
      </c>
      <c r="B255" s="37" t="s">
        <v>2188</v>
      </c>
      <c r="C255" s="38" t="n">
        <v>2</v>
      </c>
    </row>
    <row r="256" customFormat="false" ht="15" hidden="false" customHeight="false" outlineLevel="0" collapsed="false">
      <c r="A256" s="28" t="n">
        <v>255</v>
      </c>
      <c r="B256" s="37" t="s">
        <v>2191</v>
      </c>
      <c r="C256" s="38" t="n">
        <v>2</v>
      </c>
    </row>
    <row r="257" customFormat="false" ht="15" hidden="false" customHeight="false" outlineLevel="0" collapsed="false">
      <c r="A257" s="28" t="n">
        <v>256</v>
      </c>
      <c r="B257" s="37" t="s">
        <v>2199</v>
      </c>
      <c r="C257" s="38" t="n">
        <v>2</v>
      </c>
    </row>
    <row r="258" customFormat="false" ht="15" hidden="false" customHeight="false" outlineLevel="0" collapsed="false">
      <c r="A258" s="28" t="n">
        <v>257</v>
      </c>
      <c r="B258" s="37" t="s">
        <v>2201</v>
      </c>
      <c r="C258" s="38" t="n">
        <v>2</v>
      </c>
    </row>
    <row r="259" customFormat="false" ht="15" hidden="false" customHeight="false" outlineLevel="0" collapsed="false">
      <c r="A259" s="28" t="n">
        <v>258</v>
      </c>
      <c r="B259" s="37" t="s">
        <v>2212</v>
      </c>
      <c r="C259" s="38" t="n">
        <v>2</v>
      </c>
    </row>
    <row r="260" customFormat="false" ht="15" hidden="false" customHeight="false" outlineLevel="0" collapsed="false">
      <c r="A260" s="28" t="n">
        <v>259</v>
      </c>
      <c r="B260" s="37" t="s">
        <v>2216</v>
      </c>
      <c r="C260" s="38" t="n">
        <v>2</v>
      </c>
    </row>
    <row r="261" customFormat="false" ht="15" hidden="false" customHeight="false" outlineLevel="0" collapsed="false">
      <c r="A261" s="28" t="n">
        <v>260</v>
      </c>
      <c r="B261" s="37" t="s">
        <v>2217</v>
      </c>
      <c r="C261" s="38" t="n">
        <v>2</v>
      </c>
    </row>
    <row r="262" customFormat="false" ht="15" hidden="false" customHeight="false" outlineLevel="0" collapsed="false">
      <c r="A262" s="28" t="n">
        <v>261</v>
      </c>
      <c r="B262" s="37" t="s">
        <v>2226</v>
      </c>
      <c r="C262" s="38" t="n">
        <v>2</v>
      </c>
    </row>
    <row r="263" customFormat="false" ht="15" hidden="false" customHeight="false" outlineLevel="0" collapsed="false">
      <c r="A263" s="28" t="n">
        <v>262</v>
      </c>
      <c r="B263" s="37" t="s">
        <v>2234</v>
      </c>
      <c r="C263" s="38" t="n">
        <v>2</v>
      </c>
    </row>
    <row r="264" customFormat="false" ht="15" hidden="false" customHeight="false" outlineLevel="0" collapsed="false">
      <c r="A264" s="28" t="n">
        <v>263</v>
      </c>
      <c r="B264" s="37" t="s">
        <v>2238</v>
      </c>
      <c r="C264" s="38" t="n">
        <v>2</v>
      </c>
    </row>
    <row r="265" customFormat="false" ht="15" hidden="false" customHeight="false" outlineLevel="0" collapsed="false">
      <c r="A265" s="28" t="n">
        <v>264</v>
      </c>
      <c r="B265" s="37" t="s">
        <v>2246</v>
      </c>
      <c r="C265" s="38" t="n">
        <v>2</v>
      </c>
    </row>
    <row r="266" customFormat="false" ht="15" hidden="false" customHeight="false" outlineLevel="0" collapsed="false">
      <c r="A266" s="28" t="n">
        <v>265</v>
      </c>
      <c r="B266" s="37" t="s">
        <v>2254</v>
      </c>
      <c r="C266" s="38" t="n">
        <v>2</v>
      </c>
    </row>
    <row r="267" customFormat="false" ht="15" hidden="false" customHeight="false" outlineLevel="0" collapsed="false">
      <c r="A267" s="28" t="n">
        <v>266</v>
      </c>
      <c r="B267" s="37" t="s">
        <v>2270</v>
      </c>
      <c r="C267" s="38" t="n">
        <v>2</v>
      </c>
    </row>
    <row r="268" customFormat="false" ht="15" hidden="false" customHeight="false" outlineLevel="0" collapsed="false">
      <c r="A268" s="28" t="n">
        <v>267</v>
      </c>
      <c r="B268" s="37" t="s">
        <v>2276</v>
      </c>
      <c r="C268" s="38" t="n">
        <v>2</v>
      </c>
    </row>
    <row r="269" customFormat="false" ht="15" hidden="false" customHeight="false" outlineLevel="0" collapsed="false">
      <c r="A269" s="28" t="n">
        <v>268</v>
      </c>
      <c r="B269" s="37" t="s">
        <v>4216</v>
      </c>
      <c r="C269" s="38" t="n">
        <v>2</v>
      </c>
    </row>
    <row r="270" customFormat="false" ht="15" hidden="false" customHeight="false" outlineLevel="0" collapsed="false">
      <c r="A270" s="28" t="n">
        <v>269</v>
      </c>
      <c r="B270" s="37" t="s">
        <v>2280</v>
      </c>
      <c r="C270" s="38" t="n">
        <v>2</v>
      </c>
    </row>
    <row r="271" customFormat="false" ht="15" hidden="false" customHeight="false" outlineLevel="0" collapsed="false">
      <c r="A271" s="28" t="n">
        <v>270</v>
      </c>
      <c r="B271" s="37" t="s">
        <v>2286</v>
      </c>
      <c r="C271" s="38" t="n">
        <v>2</v>
      </c>
    </row>
    <row r="272" customFormat="false" ht="15" hidden="false" customHeight="false" outlineLevel="0" collapsed="false">
      <c r="A272" s="28" t="n">
        <v>271</v>
      </c>
      <c r="B272" s="37" t="s">
        <v>2296</v>
      </c>
      <c r="C272" s="38" t="n">
        <v>2</v>
      </c>
    </row>
    <row r="273" customFormat="false" ht="15" hidden="false" customHeight="false" outlineLevel="0" collapsed="false">
      <c r="A273" s="28" t="n">
        <v>272</v>
      </c>
      <c r="B273" s="37" t="s">
        <v>2299</v>
      </c>
      <c r="C273" s="38" t="n">
        <v>2</v>
      </c>
    </row>
    <row r="274" customFormat="false" ht="15" hidden="false" customHeight="false" outlineLevel="0" collapsed="false">
      <c r="A274" s="28" t="n">
        <v>273</v>
      </c>
      <c r="B274" s="37" t="s">
        <v>2308</v>
      </c>
      <c r="C274" s="38" t="n">
        <v>2</v>
      </c>
    </row>
    <row r="275" customFormat="false" ht="15" hidden="false" customHeight="false" outlineLevel="0" collapsed="false">
      <c r="A275" s="28" t="n">
        <v>274</v>
      </c>
      <c r="B275" s="37" t="s">
        <v>2311</v>
      </c>
      <c r="C275" s="38" t="n">
        <v>2</v>
      </c>
    </row>
    <row r="276" customFormat="false" ht="15" hidden="false" customHeight="false" outlineLevel="0" collapsed="false">
      <c r="A276" s="28" t="n">
        <v>275</v>
      </c>
      <c r="B276" s="37" t="s">
        <v>2314</v>
      </c>
      <c r="C276" s="38" t="n">
        <v>2</v>
      </c>
    </row>
    <row r="277" customFormat="false" ht="15" hidden="false" customHeight="false" outlineLevel="0" collapsed="false">
      <c r="A277" s="28" t="n">
        <v>276</v>
      </c>
      <c r="B277" s="37" t="s">
        <v>4217</v>
      </c>
      <c r="C277" s="38" t="n">
        <v>2</v>
      </c>
    </row>
    <row r="278" customFormat="false" ht="15" hidden="false" customHeight="false" outlineLevel="0" collapsed="false">
      <c r="A278" s="28" t="n">
        <v>277</v>
      </c>
      <c r="B278" s="37" t="s">
        <v>2320</v>
      </c>
      <c r="C278" s="38" t="n">
        <v>2</v>
      </c>
    </row>
    <row r="279" customFormat="false" ht="15" hidden="false" customHeight="false" outlineLevel="0" collapsed="false">
      <c r="A279" s="28" t="n">
        <v>278</v>
      </c>
      <c r="B279" s="37" t="s">
        <v>2326</v>
      </c>
      <c r="C279" s="38" t="n">
        <v>2</v>
      </c>
    </row>
    <row r="280" customFormat="false" ht="15" hidden="false" customHeight="false" outlineLevel="0" collapsed="false">
      <c r="A280" s="28" t="n">
        <v>279</v>
      </c>
      <c r="B280" s="37" t="s">
        <v>2328</v>
      </c>
      <c r="C280" s="38" t="n">
        <v>2</v>
      </c>
    </row>
    <row r="281" customFormat="false" ht="15" hidden="false" customHeight="false" outlineLevel="0" collapsed="false">
      <c r="A281" s="28" t="n">
        <v>280</v>
      </c>
      <c r="B281" s="37" t="s">
        <v>2333</v>
      </c>
      <c r="C281" s="38" t="n">
        <v>2</v>
      </c>
    </row>
    <row r="282" customFormat="false" ht="15" hidden="false" customHeight="false" outlineLevel="0" collapsed="false">
      <c r="A282" s="28" t="n">
        <v>281</v>
      </c>
      <c r="B282" s="37" t="s">
        <v>3923</v>
      </c>
      <c r="C282" s="38" t="n">
        <v>3</v>
      </c>
    </row>
    <row r="283" customFormat="false" ht="15" hidden="false" customHeight="false" outlineLevel="0" collapsed="false">
      <c r="A283" s="28" t="n">
        <v>282</v>
      </c>
      <c r="B283" s="37" t="s">
        <v>2359</v>
      </c>
      <c r="C283" s="38" t="n">
        <v>2</v>
      </c>
    </row>
    <row r="284" customFormat="false" ht="15" hidden="false" customHeight="false" outlineLevel="0" collapsed="false">
      <c r="A284" s="28" t="n">
        <v>283</v>
      </c>
      <c r="B284" s="37" t="s">
        <v>2364</v>
      </c>
      <c r="C284" s="38" t="n">
        <v>2</v>
      </c>
    </row>
    <row r="285" customFormat="false" ht="15" hidden="false" customHeight="false" outlineLevel="0" collapsed="false">
      <c r="A285" s="28" t="n">
        <v>284</v>
      </c>
      <c r="B285" s="37" t="s">
        <v>2369</v>
      </c>
      <c r="C285" s="38" t="n">
        <v>2</v>
      </c>
    </row>
    <row r="286" customFormat="false" ht="15" hidden="false" customHeight="false" outlineLevel="0" collapsed="false">
      <c r="A286" s="28" t="n">
        <v>285</v>
      </c>
      <c r="B286" s="37" t="s">
        <v>2373</v>
      </c>
      <c r="C286" s="38" t="n">
        <v>2</v>
      </c>
    </row>
    <row r="287" customFormat="false" ht="15" hidden="false" customHeight="false" outlineLevel="0" collapsed="false">
      <c r="A287" s="28" t="n">
        <v>286</v>
      </c>
      <c r="B287" s="37" t="s">
        <v>2406</v>
      </c>
      <c r="C287" s="38" t="n">
        <v>2</v>
      </c>
    </row>
    <row r="288" customFormat="false" ht="15" hidden="false" customHeight="false" outlineLevel="0" collapsed="false">
      <c r="A288" s="28" t="n">
        <v>287</v>
      </c>
      <c r="B288" s="37" t="s">
        <v>2410</v>
      </c>
      <c r="C288" s="38" t="n">
        <v>2</v>
      </c>
    </row>
    <row r="289" customFormat="false" ht="15" hidden="false" customHeight="false" outlineLevel="0" collapsed="false">
      <c r="A289" s="28" t="n">
        <v>288</v>
      </c>
      <c r="B289" s="37" t="s">
        <v>2411</v>
      </c>
      <c r="C289" s="38" t="n">
        <v>2</v>
      </c>
    </row>
    <row r="290" customFormat="false" ht="15" hidden="false" customHeight="false" outlineLevel="0" collapsed="false">
      <c r="A290" s="28" t="n">
        <v>289</v>
      </c>
      <c r="B290" s="37" t="s">
        <v>2426</v>
      </c>
      <c r="C290" s="38" t="n">
        <v>2</v>
      </c>
    </row>
    <row r="291" customFormat="false" ht="15" hidden="false" customHeight="false" outlineLevel="0" collapsed="false">
      <c r="A291" s="28" t="n">
        <v>290</v>
      </c>
      <c r="B291" s="37" t="s">
        <v>2430</v>
      </c>
      <c r="C291" s="38"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56"/>
    <col collapsed="false" customWidth="true" hidden="false" outlineLevel="0" max="3" min="3" style="0" width="27.75"/>
    <col collapsed="false" customWidth="true" hidden="false" outlineLevel="0" max="4" min="4" style="0" width="45.88"/>
    <col collapsed="false" customWidth="true" hidden="false" outlineLevel="0" max="6" min="6" style="0" width="22"/>
  </cols>
  <sheetData>
    <row r="1" customFormat="false" ht="15" hidden="false" customHeight="false" outlineLevel="0" collapsed="false">
      <c r="A1" s="27" t="s">
        <v>269</v>
      </c>
      <c r="B1" s="27" t="s">
        <v>274</v>
      </c>
      <c r="C1" s="27" t="s">
        <v>2506</v>
      </c>
      <c r="D1" s="27" t="s">
        <v>4218</v>
      </c>
      <c r="F1" s="26" t="str">
        <f aca="false">HYPERLINK("#'Master Overview'!A1","&lt;&lt; Master Overview")</f>
        <v>&lt;&lt; Master Overview</v>
      </c>
    </row>
    <row r="2" customFormat="false" ht="15" hidden="false" customHeight="false" outlineLevel="0" collapsed="false">
      <c r="A2" s="28" t="n">
        <v>1</v>
      </c>
      <c r="B2" s="37" t="s">
        <v>3973</v>
      </c>
      <c r="C2" s="37" t="s">
        <v>3974</v>
      </c>
      <c r="D2" s="37" t="s">
        <v>4219</v>
      </c>
      <c r="F2" s="2" t="s">
        <v>4220</v>
      </c>
    </row>
    <row r="3" customFormat="false" ht="15" hidden="false" customHeight="false" outlineLevel="0" collapsed="false">
      <c r="A3" s="28" t="n">
        <v>2</v>
      </c>
      <c r="B3" s="37" t="s">
        <v>4221</v>
      </c>
      <c r="C3" s="37" t="s">
        <v>4222</v>
      </c>
      <c r="D3" s="37" t="s">
        <v>4223</v>
      </c>
    </row>
    <row r="4" customFormat="false" ht="15" hidden="false" customHeight="false" outlineLevel="0" collapsed="false">
      <c r="A4" s="28" t="n">
        <v>3</v>
      </c>
      <c r="B4" s="37" t="s">
        <v>3977</v>
      </c>
      <c r="C4" s="37" t="s">
        <v>3978</v>
      </c>
      <c r="D4" s="37" t="s">
        <v>4224</v>
      </c>
    </row>
    <row r="5" customFormat="false" ht="15" hidden="false" customHeight="false" outlineLevel="0" collapsed="false">
      <c r="A5" s="28" t="n">
        <v>4</v>
      </c>
      <c r="B5" s="37" t="s">
        <v>4225</v>
      </c>
      <c r="C5" s="37" t="s">
        <v>4226</v>
      </c>
      <c r="D5" s="37" t="s">
        <v>4227</v>
      </c>
    </row>
    <row r="6" customFormat="false" ht="15" hidden="false" customHeight="false" outlineLevel="0" collapsed="false">
      <c r="A6" s="28" t="n">
        <v>5</v>
      </c>
      <c r="B6" s="37" t="s">
        <v>4228</v>
      </c>
      <c r="C6" s="37" t="s">
        <v>4229</v>
      </c>
      <c r="D6" s="37" t="s">
        <v>4230</v>
      </c>
    </row>
    <row r="7" customFormat="false" ht="15" hidden="false" customHeight="false" outlineLevel="0" collapsed="false">
      <c r="A7" s="28" t="n">
        <v>6</v>
      </c>
      <c r="B7" s="37" t="s">
        <v>312</v>
      </c>
      <c r="C7" s="37" t="s">
        <v>2513</v>
      </c>
      <c r="D7" s="37" t="s">
        <v>4231</v>
      </c>
    </row>
    <row r="8" customFormat="false" ht="15" hidden="false" customHeight="false" outlineLevel="0" collapsed="false">
      <c r="A8" s="28" t="n">
        <v>7</v>
      </c>
      <c r="B8" s="37" t="s">
        <v>4195</v>
      </c>
      <c r="C8" s="37" t="s">
        <v>4232</v>
      </c>
      <c r="D8" s="37" t="s">
        <v>4233</v>
      </c>
    </row>
    <row r="9" customFormat="false" ht="15" hidden="false" customHeight="false" outlineLevel="0" collapsed="false">
      <c r="A9" s="28" t="n">
        <v>8</v>
      </c>
      <c r="B9" s="37" t="s">
        <v>2514</v>
      </c>
      <c r="C9" s="37" t="s">
        <v>2515</v>
      </c>
      <c r="D9" s="37" t="s">
        <v>4234</v>
      </c>
    </row>
    <row r="10" customFormat="false" ht="15" hidden="false" customHeight="false" outlineLevel="0" collapsed="false">
      <c r="A10" s="28" t="n">
        <v>9</v>
      </c>
      <c r="B10" s="37" t="s">
        <v>3981</v>
      </c>
      <c r="C10" s="37" t="s">
        <v>3982</v>
      </c>
      <c r="D10" s="37" t="s">
        <v>4235</v>
      </c>
    </row>
    <row r="11" customFormat="false" ht="15" hidden="false" customHeight="false" outlineLevel="0" collapsed="false">
      <c r="A11" s="28" t="n">
        <v>10</v>
      </c>
      <c r="B11" s="37" t="s">
        <v>333</v>
      </c>
      <c r="C11" s="37" t="s">
        <v>3974</v>
      </c>
      <c r="D11" s="37" t="s">
        <v>4219</v>
      </c>
    </row>
    <row r="12" customFormat="false" ht="15" hidden="false" customHeight="false" outlineLevel="0" collapsed="false">
      <c r="A12" s="28" t="n">
        <v>11</v>
      </c>
      <c r="B12" s="37" t="s">
        <v>335</v>
      </c>
      <c r="C12" s="37" t="s">
        <v>2515</v>
      </c>
      <c r="D12" s="37" t="s">
        <v>4234</v>
      </c>
    </row>
    <row r="13" customFormat="false" ht="15" hidden="false" customHeight="false" outlineLevel="0" collapsed="false">
      <c r="A13" s="28" t="n">
        <v>12</v>
      </c>
      <c r="B13" s="37" t="s">
        <v>347</v>
      </c>
      <c r="C13" s="37" t="s">
        <v>4222</v>
      </c>
      <c r="D13" s="37" t="s">
        <v>4223</v>
      </c>
    </row>
    <row r="14" customFormat="false" ht="15" hidden="false" customHeight="false" outlineLevel="0" collapsed="false">
      <c r="A14" s="28" t="n">
        <v>13</v>
      </c>
      <c r="B14" s="37" t="s">
        <v>352</v>
      </c>
      <c r="C14" s="37" t="s">
        <v>4236</v>
      </c>
      <c r="D14" s="37" t="s">
        <v>4237</v>
      </c>
    </row>
    <row r="15" customFormat="false" ht="15" hidden="false" customHeight="false" outlineLevel="0" collapsed="false">
      <c r="A15" s="28" t="n">
        <v>14</v>
      </c>
      <c r="B15" s="37" t="s">
        <v>4196</v>
      </c>
      <c r="C15" s="37" t="s">
        <v>4238</v>
      </c>
      <c r="D15" s="37" t="s">
        <v>4239</v>
      </c>
    </row>
    <row r="16" customFormat="false" ht="15" hidden="false" customHeight="false" outlineLevel="0" collapsed="false">
      <c r="A16" s="28" t="n">
        <v>15</v>
      </c>
      <c r="B16" s="37" t="s">
        <v>2528</v>
      </c>
      <c r="C16" s="37" t="s">
        <v>2515</v>
      </c>
      <c r="D16" s="37" t="s">
        <v>4234</v>
      </c>
    </row>
    <row r="17" customFormat="false" ht="15" hidden="false" customHeight="false" outlineLevel="0" collapsed="false">
      <c r="A17" s="28" t="n">
        <v>16</v>
      </c>
      <c r="B17" s="37" t="s">
        <v>4172</v>
      </c>
      <c r="C17" s="37" t="s">
        <v>4240</v>
      </c>
      <c r="D17" s="37" t="s">
        <v>4241</v>
      </c>
    </row>
    <row r="18" customFormat="false" ht="15" hidden="false" customHeight="false" outlineLevel="0" collapsed="false">
      <c r="A18" s="28" t="n">
        <v>17</v>
      </c>
      <c r="B18" s="37" t="s">
        <v>4173</v>
      </c>
      <c r="C18" s="37" t="s">
        <v>4242</v>
      </c>
      <c r="D18" s="37" t="s">
        <v>4243</v>
      </c>
    </row>
    <row r="19" customFormat="false" ht="15" hidden="false" customHeight="false" outlineLevel="0" collapsed="false">
      <c r="A19" s="28" t="n">
        <v>18</v>
      </c>
      <c r="B19" s="37" t="s">
        <v>4244</v>
      </c>
      <c r="C19" s="37" t="s">
        <v>4245</v>
      </c>
      <c r="D19" s="37" t="s">
        <v>4246</v>
      </c>
    </row>
    <row r="20" customFormat="false" ht="15" hidden="false" customHeight="false" outlineLevel="0" collapsed="false">
      <c r="A20" s="28" t="n">
        <v>19</v>
      </c>
      <c r="B20" s="37" t="s">
        <v>4247</v>
      </c>
      <c r="C20" s="37" t="s">
        <v>4248</v>
      </c>
      <c r="D20" s="37" t="s">
        <v>4249</v>
      </c>
    </row>
    <row r="21" customFormat="false" ht="15" hidden="false" customHeight="false" outlineLevel="0" collapsed="false">
      <c r="A21" s="28" t="n">
        <v>20</v>
      </c>
      <c r="B21" s="37" t="s">
        <v>4250</v>
      </c>
      <c r="C21" s="37" t="s">
        <v>4251</v>
      </c>
      <c r="D21" s="37" t="s">
        <v>4252</v>
      </c>
    </row>
    <row r="22" customFormat="false" ht="15" hidden="false" customHeight="false" outlineLevel="0" collapsed="false">
      <c r="A22" s="28" t="n">
        <v>21</v>
      </c>
      <c r="B22" s="37" t="s">
        <v>4180</v>
      </c>
      <c r="C22" s="37" t="s">
        <v>4253</v>
      </c>
      <c r="D22" s="37" t="s">
        <v>4254</v>
      </c>
    </row>
    <row r="23" customFormat="false" ht="15" hidden="false" customHeight="false" outlineLevel="0" collapsed="false">
      <c r="A23" s="28" t="n">
        <v>22</v>
      </c>
      <c r="B23" s="37" t="s">
        <v>486</v>
      </c>
      <c r="C23" s="37" t="s">
        <v>4038</v>
      </c>
      <c r="D23" s="37" t="s">
        <v>4255</v>
      </c>
    </row>
    <row r="24" customFormat="false" ht="15" hidden="false" customHeight="false" outlineLevel="0" collapsed="false">
      <c r="A24" s="28" t="n">
        <v>23</v>
      </c>
      <c r="B24" s="37" t="s">
        <v>4256</v>
      </c>
      <c r="C24" s="37" t="s">
        <v>4257</v>
      </c>
      <c r="D24" s="37" t="s">
        <v>4258</v>
      </c>
    </row>
    <row r="25" customFormat="false" ht="15" hidden="false" customHeight="false" outlineLevel="0" collapsed="false">
      <c r="A25" s="28" t="n">
        <v>24</v>
      </c>
      <c r="B25" s="37" t="s">
        <v>741</v>
      </c>
      <c r="C25" s="37" t="s">
        <v>2745</v>
      </c>
      <c r="D25" s="37" t="s">
        <v>4259</v>
      </c>
    </row>
    <row r="26" customFormat="false" ht="15" hidden="false" customHeight="false" outlineLevel="0" collapsed="false">
      <c r="A26" s="28" t="n">
        <v>25</v>
      </c>
      <c r="B26" s="37" t="s">
        <v>4260</v>
      </c>
      <c r="C26" s="37" t="s">
        <v>4261</v>
      </c>
      <c r="D26" s="37" t="s">
        <v>4262</v>
      </c>
    </row>
    <row r="27" customFormat="false" ht="15" hidden="false" customHeight="false" outlineLevel="0" collapsed="false">
      <c r="A27" s="28" t="n">
        <v>26</v>
      </c>
      <c r="B27" s="37" t="s">
        <v>4263</v>
      </c>
      <c r="C27" s="37" t="s">
        <v>4264</v>
      </c>
      <c r="D27" s="37" t="s">
        <v>4265</v>
      </c>
    </row>
    <row r="28" customFormat="false" ht="15" hidden="false" customHeight="false" outlineLevel="0" collapsed="false">
      <c r="A28" s="28" t="n">
        <v>27</v>
      </c>
      <c r="B28" s="37" t="s">
        <v>4266</v>
      </c>
      <c r="C28" s="37" t="s">
        <v>4267</v>
      </c>
      <c r="D28" s="37" t="s">
        <v>4268</v>
      </c>
    </row>
    <row r="29" customFormat="false" ht="15" hidden="false" customHeight="false" outlineLevel="0" collapsed="false">
      <c r="A29" s="28" t="n">
        <v>28</v>
      </c>
      <c r="B29" s="37" t="s">
        <v>2119</v>
      </c>
      <c r="C29" s="37" t="s">
        <v>4269</v>
      </c>
      <c r="D29" s="37" t="s">
        <v>4270</v>
      </c>
    </row>
    <row r="30" customFormat="false" ht="15" hidden="false" customHeight="false" outlineLevel="0" collapsed="false">
      <c r="A30" s="28" t="n">
        <v>29</v>
      </c>
      <c r="B30" s="37" t="s">
        <v>4271</v>
      </c>
      <c r="C30" s="37" t="s">
        <v>4272</v>
      </c>
      <c r="D30" s="37" t="s">
        <v>4273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5"/>
    <col collapsed="false" customWidth="true" hidden="false" outlineLevel="0" max="4" min="4" style="0" width="22"/>
  </cols>
  <sheetData>
    <row r="1" customFormat="false" ht="15" hidden="false" customHeight="false" outlineLevel="0" collapsed="false">
      <c r="A1" s="27" t="s">
        <v>269</v>
      </c>
      <c r="B1" s="27" t="s">
        <v>274</v>
      </c>
      <c r="D1" s="26" t="str">
        <f aca="false">HYPERLINK("#'Master Overview'!A1","&lt;&lt; Master Overview")</f>
        <v>&lt;&lt; Master Overview</v>
      </c>
    </row>
    <row r="2" customFormat="false" ht="15" hidden="false" customHeight="false" outlineLevel="0" collapsed="false">
      <c r="A2" s="28" t="n">
        <v>1</v>
      </c>
      <c r="B2" s="37" t="s">
        <v>4178</v>
      </c>
      <c r="D2" s="2" t="s">
        <v>4274</v>
      </c>
    </row>
    <row r="3" customFormat="false" ht="15" hidden="false" customHeight="false" outlineLevel="0" collapsed="false">
      <c r="A3" s="28" t="n">
        <v>2</v>
      </c>
      <c r="B3" s="37" t="s">
        <v>442</v>
      </c>
    </row>
    <row r="4" customFormat="false" ht="15" hidden="false" customHeight="false" outlineLevel="0" collapsed="false">
      <c r="A4" s="28" t="n">
        <v>3</v>
      </c>
      <c r="B4" s="37" t="s">
        <v>2588</v>
      </c>
    </row>
    <row r="5" customFormat="false" ht="15" hidden="false" customHeight="false" outlineLevel="0" collapsed="false">
      <c r="A5" s="28" t="n">
        <v>4</v>
      </c>
      <c r="B5" s="37" t="s">
        <v>4183</v>
      </c>
    </row>
    <row r="6" customFormat="false" ht="15" hidden="false" customHeight="false" outlineLevel="0" collapsed="false">
      <c r="A6" s="28" t="n">
        <v>5</v>
      </c>
      <c r="B6" s="37" t="s">
        <v>528</v>
      </c>
    </row>
    <row r="7" customFormat="false" ht="15" hidden="false" customHeight="false" outlineLevel="0" collapsed="false">
      <c r="A7" s="28" t="n">
        <v>6</v>
      </c>
      <c r="B7" s="37" t="s">
        <v>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H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9.38"/>
    <col collapsed="false" customWidth="true" hidden="false" outlineLevel="0" max="6" min="6" style="0" width="17.63"/>
    <col collapsed="false" customWidth="true" hidden="false" outlineLevel="0" max="8" min="8" style="0" width="22"/>
  </cols>
  <sheetData>
    <row r="1" customFormat="false" ht="15" hidden="false" customHeight="false" outlineLevel="0" collapsed="false">
      <c r="A1" s="27" t="s">
        <v>269</v>
      </c>
      <c r="B1" s="27" t="s">
        <v>274</v>
      </c>
      <c r="C1" s="27" t="s">
        <v>4275</v>
      </c>
      <c r="D1" s="27" t="s">
        <v>4276</v>
      </c>
      <c r="E1" s="27" t="s">
        <v>4277</v>
      </c>
      <c r="F1" s="27" t="s">
        <v>4278</v>
      </c>
      <c r="H1" s="26" t="str">
        <f aca="false">HYPERLINK("#'Master Overview'!A1","&lt;&lt; Master Overview")</f>
        <v>&lt;&lt; Master Overview</v>
      </c>
    </row>
    <row r="2" customFormat="false" ht="15" hidden="false" customHeight="false" outlineLevel="0" collapsed="false">
      <c r="A2" s="38" t="n">
        <v>1</v>
      </c>
      <c r="B2" s="37" t="s">
        <v>4279</v>
      </c>
      <c r="C2" s="38" t="s">
        <v>4280</v>
      </c>
      <c r="D2" s="38" t="n">
        <v>14921755</v>
      </c>
      <c r="E2" s="38" t="n">
        <v>39</v>
      </c>
      <c r="F2" s="38" t="n">
        <v>12</v>
      </c>
      <c r="H2" s="2" t="s">
        <v>4281</v>
      </c>
    </row>
    <row r="3" customFormat="false" ht="15" hidden="false" customHeight="false" outlineLevel="0" collapsed="false">
      <c r="A3" s="38" t="n">
        <v>2</v>
      </c>
      <c r="B3" s="37" t="s">
        <v>4282</v>
      </c>
      <c r="C3" s="38" t="s">
        <v>4280</v>
      </c>
      <c r="D3" s="38" t="n">
        <v>14897107</v>
      </c>
      <c r="E3" s="38" t="n">
        <v>27</v>
      </c>
      <c r="F3" s="38" t="n">
        <v>18</v>
      </c>
    </row>
    <row r="4" customFormat="false" ht="15" hidden="false" customHeight="false" outlineLevel="0" collapsed="false">
      <c r="A4" s="38" t="n">
        <v>3</v>
      </c>
      <c r="B4" s="37" t="s">
        <v>4283</v>
      </c>
      <c r="C4" s="38" t="s">
        <v>4280</v>
      </c>
      <c r="D4" s="38" t="n">
        <v>13185991</v>
      </c>
      <c r="E4" s="38" t="n">
        <v>58</v>
      </c>
      <c r="F4" s="38" t="n">
        <v>6</v>
      </c>
    </row>
    <row r="5" customFormat="false" ht="15" hidden="false" customHeight="false" outlineLevel="0" collapsed="false">
      <c r="A5" s="38" t="n">
        <v>4</v>
      </c>
      <c r="B5" s="37" t="s">
        <v>4284</v>
      </c>
      <c r="C5" s="38" t="s">
        <v>4280</v>
      </c>
      <c r="D5" s="38" t="n">
        <v>7888706</v>
      </c>
      <c r="E5" s="38" t="n">
        <v>16</v>
      </c>
      <c r="F5" s="38" t="n">
        <v>12</v>
      </c>
    </row>
    <row r="6" customFormat="false" ht="15" hidden="false" customHeight="false" outlineLevel="0" collapsed="false">
      <c r="A6" s="38" t="n">
        <v>5</v>
      </c>
      <c r="B6" s="37" t="s">
        <v>4285</v>
      </c>
      <c r="C6" s="38" t="s">
        <v>4280</v>
      </c>
      <c r="D6" s="38" t="n">
        <v>7669534</v>
      </c>
      <c r="E6" s="38" t="n">
        <v>39</v>
      </c>
      <c r="F6" s="38" t="n">
        <v>6</v>
      </c>
    </row>
    <row r="7" customFormat="false" ht="15" hidden="false" customHeight="false" outlineLevel="0" collapsed="false">
      <c r="A7" s="38" t="n">
        <v>6</v>
      </c>
      <c r="B7" s="37" t="s">
        <v>4286</v>
      </c>
      <c r="C7" s="38" t="s">
        <v>4280</v>
      </c>
      <c r="D7" s="38" t="n">
        <v>7566117</v>
      </c>
      <c r="E7" s="38" t="n">
        <v>1402</v>
      </c>
      <c r="F7" s="38" t="n">
        <v>6</v>
      </c>
    </row>
    <row r="8" customFormat="false" ht="15" hidden="false" customHeight="false" outlineLevel="0" collapsed="false">
      <c r="A8" s="38" t="n">
        <v>7</v>
      </c>
      <c r="B8" s="37" t="s">
        <v>4287</v>
      </c>
      <c r="C8" s="38" t="s">
        <v>4280</v>
      </c>
      <c r="D8" s="38" t="n">
        <v>6904717</v>
      </c>
      <c r="E8" s="38" t="n">
        <v>37</v>
      </c>
      <c r="F8" s="38" t="n">
        <v>6</v>
      </c>
    </row>
    <row r="9" customFormat="false" ht="15" hidden="false" customHeight="false" outlineLevel="0" collapsed="false">
      <c r="A9" s="38" t="n">
        <v>8</v>
      </c>
      <c r="B9" s="37" t="s">
        <v>4288</v>
      </c>
      <c r="C9" s="38" t="s">
        <v>4280</v>
      </c>
      <c r="D9" s="38" t="n">
        <v>6603292</v>
      </c>
      <c r="E9" s="38" t="n">
        <v>64</v>
      </c>
      <c r="F9" s="38" t="n">
        <v>18</v>
      </c>
    </row>
    <row r="10" customFormat="false" ht="15" hidden="false" customHeight="false" outlineLevel="0" collapsed="false">
      <c r="A10" s="38" t="n">
        <v>9</v>
      </c>
      <c r="B10" s="37" t="s">
        <v>4289</v>
      </c>
      <c r="C10" s="38" t="s">
        <v>4280</v>
      </c>
      <c r="D10" s="38" t="n">
        <v>6158660</v>
      </c>
      <c r="E10" s="38" t="n">
        <v>67</v>
      </c>
      <c r="F10" s="38" t="n">
        <v>6</v>
      </c>
    </row>
    <row r="11" customFormat="false" ht="15" hidden="false" customHeight="false" outlineLevel="0" collapsed="false">
      <c r="A11" s="38" t="n">
        <v>10</v>
      </c>
      <c r="B11" s="37" t="s">
        <v>4290</v>
      </c>
      <c r="C11" s="38" t="s">
        <v>4291</v>
      </c>
      <c r="D11" s="38" t="n">
        <v>5806140</v>
      </c>
      <c r="E11" s="38" t="n">
        <v>2531</v>
      </c>
      <c r="F11" s="38" t="n">
        <v>6</v>
      </c>
    </row>
    <row r="12" customFormat="false" ht="15" hidden="false" customHeight="false" outlineLevel="0" collapsed="false">
      <c r="A12" s="38" t="n">
        <v>11</v>
      </c>
      <c r="B12" s="37" t="s">
        <v>4292</v>
      </c>
      <c r="C12" s="38" t="s">
        <v>4280</v>
      </c>
      <c r="D12" s="38" t="n">
        <v>5741874</v>
      </c>
      <c r="E12" s="38" t="n">
        <v>17</v>
      </c>
      <c r="F12" s="38" t="n">
        <v>43</v>
      </c>
    </row>
    <row r="13" customFormat="false" ht="15" hidden="false" customHeight="false" outlineLevel="0" collapsed="false">
      <c r="A13" s="38" t="n">
        <v>12</v>
      </c>
      <c r="B13" s="37" t="s">
        <v>4293</v>
      </c>
      <c r="C13" s="38" t="s">
        <v>4280</v>
      </c>
      <c r="D13" s="38" t="n">
        <v>5721013</v>
      </c>
      <c r="E13" s="38" t="n">
        <v>1412</v>
      </c>
      <c r="F13" s="38" t="n">
        <v>0</v>
      </c>
    </row>
    <row r="14" customFormat="false" ht="15" hidden="false" customHeight="false" outlineLevel="0" collapsed="false">
      <c r="A14" s="38" t="n">
        <v>13</v>
      </c>
      <c r="B14" s="37" t="s">
        <v>4294</v>
      </c>
      <c r="C14" s="38" t="s">
        <v>4280</v>
      </c>
      <c r="D14" s="38" t="n">
        <v>5721013</v>
      </c>
      <c r="E14" s="38" t="n">
        <v>1450</v>
      </c>
      <c r="F14" s="38" t="n">
        <v>0</v>
      </c>
    </row>
    <row r="15" customFormat="false" ht="15" hidden="false" customHeight="false" outlineLevel="0" collapsed="false">
      <c r="A15" s="38" t="n">
        <v>14</v>
      </c>
      <c r="B15" s="37" t="s">
        <v>4295</v>
      </c>
      <c r="C15" s="38" t="s">
        <v>4280</v>
      </c>
      <c r="D15" s="38" t="n">
        <v>5369545</v>
      </c>
      <c r="E15" s="38" t="n">
        <v>1505</v>
      </c>
      <c r="F15" s="38" t="n">
        <v>0</v>
      </c>
    </row>
    <row r="16" customFormat="false" ht="15" hidden="false" customHeight="false" outlineLevel="0" collapsed="false">
      <c r="A16" s="38" t="n">
        <v>15</v>
      </c>
      <c r="B16" s="37" t="s">
        <v>4296</v>
      </c>
      <c r="C16" s="38" t="s">
        <v>4280</v>
      </c>
      <c r="D16" s="38" t="n">
        <v>5369545</v>
      </c>
      <c r="E16" s="38" t="n">
        <v>1400</v>
      </c>
      <c r="F16" s="38" t="n">
        <v>0</v>
      </c>
    </row>
    <row r="17" customFormat="false" ht="15" hidden="false" customHeight="false" outlineLevel="0" collapsed="false">
      <c r="A17" s="38" t="n">
        <v>16</v>
      </c>
      <c r="B17" s="37" t="s">
        <v>4297</v>
      </c>
      <c r="C17" s="38" t="s">
        <v>4280</v>
      </c>
      <c r="D17" s="38" t="n">
        <v>5221093</v>
      </c>
      <c r="E17" s="38" t="n">
        <v>21</v>
      </c>
      <c r="F17" s="38" t="n">
        <v>9</v>
      </c>
    </row>
    <row r="18" customFormat="false" ht="15" hidden="false" customHeight="false" outlineLevel="0" collapsed="false">
      <c r="A18" s="38" t="n">
        <v>17</v>
      </c>
      <c r="B18" s="37" t="s">
        <v>4298</v>
      </c>
      <c r="C18" s="38" t="s">
        <v>4280</v>
      </c>
      <c r="D18" s="38" t="n">
        <v>4147014</v>
      </c>
      <c r="E18" s="38" t="n">
        <v>47</v>
      </c>
      <c r="F18" s="38" t="n">
        <v>6</v>
      </c>
    </row>
    <row r="19" customFormat="false" ht="15" hidden="false" customHeight="false" outlineLevel="0" collapsed="false">
      <c r="A19" s="38" t="n">
        <v>18</v>
      </c>
      <c r="B19" s="37" t="s">
        <v>4299</v>
      </c>
      <c r="C19" s="38" t="s">
        <v>4280</v>
      </c>
      <c r="D19" s="38" t="n">
        <v>3790331</v>
      </c>
      <c r="E19" s="38" t="n">
        <v>19</v>
      </c>
      <c r="F19" s="38" t="n">
        <v>43</v>
      </c>
    </row>
    <row r="20" customFormat="false" ht="15" hidden="false" customHeight="false" outlineLevel="0" collapsed="false">
      <c r="A20" s="38" t="n">
        <v>19</v>
      </c>
      <c r="B20" s="37" t="s">
        <v>4300</v>
      </c>
      <c r="C20" s="38" t="s">
        <v>4280</v>
      </c>
      <c r="D20" s="38" t="n">
        <v>3710474</v>
      </c>
      <c r="E20" s="38" t="n">
        <v>1747</v>
      </c>
      <c r="F20" s="38" t="n">
        <v>0</v>
      </c>
    </row>
    <row r="21" customFormat="false" ht="15" hidden="false" customHeight="false" outlineLevel="0" collapsed="false">
      <c r="A21" s="38" t="n">
        <v>20</v>
      </c>
      <c r="B21" s="37" t="s">
        <v>4301</v>
      </c>
      <c r="C21" s="38" t="s">
        <v>4280</v>
      </c>
      <c r="D21" s="38" t="n">
        <v>3710474</v>
      </c>
      <c r="E21" s="38" t="n">
        <v>4359</v>
      </c>
      <c r="F21" s="38" t="n">
        <v>0</v>
      </c>
    </row>
    <row r="22" customFormat="false" ht="15" hidden="false" customHeight="false" outlineLevel="0" collapsed="false">
      <c r="A22" s="38" t="n">
        <v>21</v>
      </c>
      <c r="B22" s="37" t="s">
        <v>4302</v>
      </c>
      <c r="C22" s="38" t="s">
        <v>4291</v>
      </c>
      <c r="D22" s="38" t="n">
        <v>3607898</v>
      </c>
      <c r="E22" s="38" t="n">
        <v>1877</v>
      </c>
      <c r="F22" s="38" t="n">
        <v>7</v>
      </c>
    </row>
    <row r="23" customFormat="false" ht="15" hidden="false" customHeight="false" outlineLevel="0" collapsed="false">
      <c r="A23" s="38" t="n">
        <v>22</v>
      </c>
      <c r="B23" s="37" t="s">
        <v>4303</v>
      </c>
      <c r="C23" s="38" t="s">
        <v>4291</v>
      </c>
      <c r="D23" s="38" t="n">
        <v>3510498</v>
      </c>
      <c r="E23" s="38" t="n">
        <v>2350</v>
      </c>
      <c r="F23" s="38" t="n">
        <v>48</v>
      </c>
    </row>
    <row r="24" customFormat="false" ht="15" hidden="false" customHeight="false" outlineLevel="0" collapsed="false">
      <c r="A24" s="38" t="n">
        <v>23</v>
      </c>
      <c r="B24" s="37" t="s">
        <v>4304</v>
      </c>
      <c r="C24" s="38" t="s">
        <v>4280</v>
      </c>
      <c r="D24" s="38" t="n">
        <v>3266745</v>
      </c>
      <c r="E24" s="38" t="n">
        <v>1386</v>
      </c>
      <c r="F24" s="38" t="n">
        <v>0</v>
      </c>
    </row>
    <row r="25" customFormat="false" ht="15" hidden="false" customHeight="false" outlineLevel="0" collapsed="false">
      <c r="A25" s="38" t="n">
        <v>24</v>
      </c>
      <c r="B25" s="37" t="s">
        <v>4305</v>
      </c>
      <c r="C25" s="38" t="s">
        <v>4280</v>
      </c>
      <c r="D25" s="38" t="n">
        <v>3266745</v>
      </c>
      <c r="E25" s="38" t="n">
        <v>1518</v>
      </c>
      <c r="F25" s="38" t="n">
        <v>0</v>
      </c>
    </row>
    <row r="26" customFormat="false" ht="15" hidden="false" customHeight="false" outlineLevel="0" collapsed="false">
      <c r="A26" s="38" t="n">
        <v>25</v>
      </c>
      <c r="B26" s="37" t="s">
        <v>4306</v>
      </c>
      <c r="C26" s="38" t="s">
        <v>4291</v>
      </c>
      <c r="D26" s="38" t="n">
        <v>3194928</v>
      </c>
      <c r="E26" s="38" t="n">
        <v>1838</v>
      </c>
      <c r="F26" s="38" t="n">
        <v>7</v>
      </c>
    </row>
    <row r="27" customFormat="false" ht="15" hidden="false" customHeight="false" outlineLevel="0" collapsed="false">
      <c r="A27" s="38" t="n">
        <v>26</v>
      </c>
      <c r="B27" s="37" t="s">
        <v>4307</v>
      </c>
      <c r="C27" s="38" t="s">
        <v>4291</v>
      </c>
      <c r="D27" s="38" t="n">
        <v>3194928</v>
      </c>
      <c r="E27" s="38" t="n">
        <v>1685</v>
      </c>
      <c r="F27" s="38" t="n">
        <v>6</v>
      </c>
    </row>
    <row r="28" customFormat="false" ht="15" hidden="false" customHeight="false" outlineLevel="0" collapsed="false">
      <c r="A28" s="38" t="n">
        <v>27</v>
      </c>
      <c r="B28" s="37" t="s">
        <v>4308</v>
      </c>
      <c r="C28" s="38" t="s">
        <v>4291</v>
      </c>
      <c r="D28" s="38" t="n">
        <v>3194928</v>
      </c>
      <c r="E28" s="38" t="n">
        <v>1898</v>
      </c>
      <c r="F28" s="38" t="n">
        <v>6</v>
      </c>
    </row>
    <row r="29" customFormat="false" ht="15" hidden="false" customHeight="false" outlineLevel="0" collapsed="false">
      <c r="A29" s="38" t="n">
        <v>28</v>
      </c>
      <c r="B29" s="37" t="s">
        <v>4309</v>
      </c>
      <c r="C29" s="38" t="s">
        <v>4291</v>
      </c>
      <c r="D29" s="38" t="n">
        <v>3194928</v>
      </c>
      <c r="E29" s="38" t="n">
        <v>1574</v>
      </c>
      <c r="F29" s="38" t="n">
        <v>42</v>
      </c>
    </row>
    <row r="30" customFormat="false" ht="15" hidden="false" customHeight="false" outlineLevel="0" collapsed="false">
      <c r="A30" s="38" t="n">
        <v>29</v>
      </c>
      <c r="B30" s="37" t="s">
        <v>4310</v>
      </c>
      <c r="C30" s="38" t="s">
        <v>4291</v>
      </c>
      <c r="D30" s="38" t="n">
        <v>3151922</v>
      </c>
      <c r="E30" s="38" t="n">
        <v>1983</v>
      </c>
      <c r="F30" s="38" t="n">
        <v>7</v>
      </c>
    </row>
    <row r="31" customFormat="false" ht="15" hidden="false" customHeight="false" outlineLevel="0" collapsed="false">
      <c r="A31" s="38" t="n">
        <v>30</v>
      </c>
      <c r="B31" s="37" t="s">
        <v>4311</v>
      </c>
      <c r="C31" s="38" t="s">
        <v>4291</v>
      </c>
      <c r="D31" s="38" t="n">
        <v>3138875</v>
      </c>
      <c r="E31" s="38" t="n">
        <v>1520</v>
      </c>
      <c r="F31" s="38" t="n">
        <v>6</v>
      </c>
    </row>
    <row r="32" customFormat="false" ht="15" hidden="false" customHeight="false" outlineLevel="0" collapsed="false">
      <c r="A32" s="38" t="n">
        <v>31</v>
      </c>
      <c r="B32" s="37" t="s">
        <v>4312</v>
      </c>
      <c r="C32" s="38" t="s">
        <v>4291</v>
      </c>
      <c r="D32" s="38" t="n">
        <v>3006595</v>
      </c>
      <c r="E32" s="38" t="n">
        <v>1172</v>
      </c>
      <c r="F32" s="38" t="n">
        <v>2</v>
      </c>
    </row>
    <row r="33" customFormat="false" ht="15" hidden="false" customHeight="false" outlineLevel="0" collapsed="false">
      <c r="A33" s="38" t="n">
        <v>32</v>
      </c>
      <c r="B33" s="37" t="s">
        <v>4313</v>
      </c>
      <c r="C33" s="38" t="s">
        <v>4291</v>
      </c>
      <c r="D33" s="38" t="n">
        <v>2698174</v>
      </c>
      <c r="E33" s="38" t="n">
        <v>1143</v>
      </c>
      <c r="F33" s="38" t="n">
        <v>6</v>
      </c>
    </row>
    <row r="34" customFormat="false" ht="15" hidden="false" customHeight="false" outlineLevel="0" collapsed="false">
      <c r="A34" s="38" t="n">
        <v>33</v>
      </c>
      <c r="B34" s="37" t="s">
        <v>4314</v>
      </c>
      <c r="C34" s="38" t="s">
        <v>4291</v>
      </c>
      <c r="D34" s="38" t="n">
        <v>2495808</v>
      </c>
      <c r="E34" s="38" t="n">
        <v>42</v>
      </c>
      <c r="F34" s="38" t="n">
        <v>6</v>
      </c>
    </row>
    <row r="35" customFormat="false" ht="15" hidden="false" customHeight="false" outlineLevel="0" collapsed="false">
      <c r="A35" s="38" t="n">
        <v>34</v>
      </c>
      <c r="B35" s="37" t="s">
        <v>4315</v>
      </c>
      <c r="C35" s="38" t="s">
        <v>4291</v>
      </c>
      <c r="D35" s="38" t="n">
        <v>2495808</v>
      </c>
      <c r="E35" s="38" t="n">
        <v>1663</v>
      </c>
      <c r="F35" s="38" t="n">
        <v>48</v>
      </c>
    </row>
    <row r="36" customFormat="false" ht="15" hidden="false" customHeight="false" outlineLevel="0" collapsed="false">
      <c r="A36" s="38" t="n">
        <v>35</v>
      </c>
      <c r="B36" s="37" t="s">
        <v>4316</v>
      </c>
      <c r="C36" s="38" t="s">
        <v>4291</v>
      </c>
      <c r="D36" s="38" t="n">
        <v>2495808</v>
      </c>
      <c r="E36" s="38" t="n">
        <v>1629</v>
      </c>
      <c r="F36" s="38" t="n">
        <v>6</v>
      </c>
    </row>
    <row r="37" customFormat="false" ht="15" hidden="false" customHeight="false" outlineLevel="0" collapsed="false">
      <c r="A37" s="38" t="n">
        <v>36</v>
      </c>
      <c r="B37" s="37" t="s">
        <v>4317</v>
      </c>
      <c r="C37" s="38" t="s">
        <v>4291</v>
      </c>
      <c r="D37" s="38" t="n">
        <v>2238194</v>
      </c>
      <c r="E37" s="38" t="n">
        <v>1788</v>
      </c>
      <c r="F37" s="38" t="n">
        <v>6</v>
      </c>
    </row>
    <row r="38" customFormat="false" ht="15" hidden="false" customHeight="false" outlineLevel="0" collapsed="false">
      <c r="A38" s="38" t="n">
        <v>37</v>
      </c>
      <c r="B38" s="37" t="s">
        <v>4318</v>
      </c>
      <c r="C38" s="38" t="s">
        <v>4291</v>
      </c>
      <c r="D38" s="38" t="n">
        <v>2238194</v>
      </c>
      <c r="E38" s="38" t="n">
        <v>1773</v>
      </c>
      <c r="F38" s="38" t="n">
        <v>6</v>
      </c>
    </row>
    <row r="39" customFormat="false" ht="15" hidden="false" customHeight="false" outlineLevel="0" collapsed="false">
      <c r="A39" s="38" t="n">
        <v>38</v>
      </c>
      <c r="B39" s="37" t="s">
        <v>4319</v>
      </c>
      <c r="C39" s="38" t="s">
        <v>4280</v>
      </c>
      <c r="D39" s="38" t="n">
        <v>2157981</v>
      </c>
      <c r="E39" s="38" t="n">
        <v>1160</v>
      </c>
      <c r="F39" s="38" t="n">
        <v>0</v>
      </c>
    </row>
    <row r="40" customFormat="false" ht="15" hidden="false" customHeight="false" outlineLevel="0" collapsed="false">
      <c r="A40" s="38" t="n">
        <v>39</v>
      </c>
      <c r="B40" s="37" t="s">
        <v>4320</v>
      </c>
      <c r="C40" s="38" t="s">
        <v>4280</v>
      </c>
      <c r="D40" s="38" t="n">
        <v>2157981</v>
      </c>
      <c r="E40" s="38" t="n">
        <v>1523</v>
      </c>
      <c r="F40" s="38" t="n">
        <v>0</v>
      </c>
    </row>
    <row r="41" customFormat="false" ht="15" hidden="false" customHeight="false" outlineLevel="0" collapsed="false">
      <c r="A41" s="38" t="n">
        <v>40</v>
      </c>
      <c r="B41" s="37" t="s">
        <v>4321</v>
      </c>
      <c r="C41" s="38" t="s">
        <v>4291</v>
      </c>
      <c r="D41" s="38" t="n">
        <v>2038616</v>
      </c>
      <c r="E41" s="38" t="n">
        <v>1426</v>
      </c>
      <c r="F41" s="38" t="n">
        <v>12</v>
      </c>
    </row>
    <row r="42" customFormat="false" ht="15" hidden="false" customHeight="false" outlineLevel="0" collapsed="false">
      <c r="A42" s="38" t="n">
        <v>41</v>
      </c>
      <c r="B42" s="37" t="s">
        <v>4322</v>
      </c>
      <c r="C42" s="38" t="s">
        <v>4280</v>
      </c>
      <c r="D42" s="38" t="n">
        <v>2008858</v>
      </c>
      <c r="E42" s="38" t="n">
        <v>1517</v>
      </c>
      <c r="F42" s="38" t="n">
        <v>12</v>
      </c>
    </row>
    <row r="43" customFormat="false" ht="15" hidden="false" customHeight="false" outlineLevel="0" collapsed="false">
      <c r="A43" s="38" t="n">
        <v>42</v>
      </c>
      <c r="B43" s="37" t="s">
        <v>4323</v>
      </c>
      <c r="C43" s="38" t="s">
        <v>4280</v>
      </c>
      <c r="D43" s="38" t="n">
        <v>1986257</v>
      </c>
      <c r="E43" s="38" t="n">
        <v>55</v>
      </c>
      <c r="F43" s="38" t="n">
        <v>6</v>
      </c>
    </row>
    <row r="44" customFormat="false" ht="15" hidden="false" customHeight="false" outlineLevel="0" collapsed="false">
      <c r="A44" s="38" t="n">
        <v>43</v>
      </c>
      <c r="B44" s="37" t="s">
        <v>4324</v>
      </c>
      <c r="C44" s="38" t="s">
        <v>4280</v>
      </c>
      <c r="D44" s="38" t="n">
        <v>1963717</v>
      </c>
      <c r="E44" s="38" t="n">
        <v>55</v>
      </c>
      <c r="F44" s="38" t="n">
        <v>12</v>
      </c>
    </row>
    <row r="45" customFormat="false" ht="15" hidden="false" customHeight="false" outlineLevel="0" collapsed="false">
      <c r="A45" s="38" t="n">
        <v>44</v>
      </c>
      <c r="B45" s="37" t="s">
        <v>4325</v>
      </c>
      <c r="C45" s="38" t="s">
        <v>4280</v>
      </c>
      <c r="D45" s="38" t="n">
        <v>1831020</v>
      </c>
      <c r="E45" s="38" t="n">
        <v>829</v>
      </c>
      <c r="F45" s="38" t="n">
        <v>6</v>
      </c>
    </row>
    <row r="46" customFormat="false" ht="15" hidden="false" customHeight="false" outlineLevel="0" collapsed="false">
      <c r="A46" s="38" t="n">
        <v>45</v>
      </c>
      <c r="B46" s="37" t="s">
        <v>4326</v>
      </c>
      <c r="C46" s="38" t="s">
        <v>4280</v>
      </c>
      <c r="D46" s="38" t="n">
        <v>1825584</v>
      </c>
      <c r="E46" s="38" t="n">
        <v>1722</v>
      </c>
      <c r="F46" s="38" t="n">
        <v>0</v>
      </c>
    </row>
    <row r="47" customFormat="false" ht="15" hidden="false" customHeight="false" outlineLevel="0" collapsed="false">
      <c r="A47" s="38" t="n">
        <v>46</v>
      </c>
      <c r="B47" s="37" t="s">
        <v>4327</v>
      </c>
      <c r="C47" s="38" t="s">
        <v>4280</v>
      </c>
      <c r="D47" s="38" t="n">
        <v>1825094</v>
      </c>
      <c r="E47" s="38" t="n">
        <v>1686</v>
      </c>
      <c r="F47" s="38" t="n">
        <v>0</v>
      </c>
    </row>
    <row r="48" customFormat="false" ht="15" hidden="false" customHeight="false" outlineLevel="0" collapsed="false">
      <c r="A48" s="38" t="n">
        <v>47</v>
      </c>
      <c r="B48" s="37" t="s">
        <v>4328</v>
      </c>
      <c r="C48" s="38" t="s">
        <v>4280</v>
      </c>
      <c r="D48" s="38" t="n">
        <v>1758381</v>
      </c>
      <c r="E48" s="38" t="n">
        <v>562</v>
      </c>
      <c r="F48" s="38" t="n">
        <v>6</v>
      </c>
    </row>
    <row r="49" customFormat="false" ht="15" hidden="false" customHeight="false" outlineLevel="0" collapsed="false">
      <c r="A49" s="38" t="n">
        <v>48</v>
      </c>
      <c r="B49" s="37" t="s">
        <v>4329</v>
      </c>
      <c r="C49" s="38" t="s">
        <v>4291</v>
      </c>
      <c r="D49" s="38" t="n">
        <v>1739528</v>
      </c>
      <c r="E49" s="38" t="n">
        <v>56</v>
      </c>
      <c r="F49" s="38" t="n">
        <v>6</v>
      </c>
    </row>
    <row r="50" customFormat="false" ht="15" hidden="false" customHeight="false" outlineLevel="0" collapsed="false">
      <c r="A50" s="38" t="n">
        <v>49</v>
      </c>
      <c r="B50" s="37" t="s">
        <v>4330</v>
      </c>
      <c r="C50" s="38" t="s">
        <v>4291</v>
      </c>
      <c r="D50" s="38" t="n">
        <v>1683152</v>
      </c>
      <c r="E50" s="38" t="n">
        <v>1440</v>
      </c>
      <c r="F50" s="38" t="n">
        <v>6</v>
      </c>
    </row>
    <row r="51" customFormat="false" ht="15" hidden="false" customHeight="false" outlineLevel="0" collapsed="false">
      <c r="A51" s="38" t="n">
        <v>50</v>
      </c>
      <c r="B51" s="37" t="s">
        <v>4331</v>
      </c>
      <c r="C51" s="38" t="s">
        <v>4280</v>
      </c>
      <c r="D51" s="38" t="n">
        <v>1672154</v>
      </c>
      <c r="E51" s="38" t="n">
        <v>18</v>
      </c>
      <c r="F51" s="38" t="n">
        <v>83</v>
      </c>
    </row>
    <row r="52" customFormat="false" ht="15" hidden="false" customHeight="false" outlineLevel="0" collapsed="false">
      <c r="A52" s="38" t="n">
        <v>51</v>
      </c>
      <c r="B52" s="37" t="s">
        <v>4332</v>
      </c>
      <c r="C52" s="38" t="s">
        <v>4291</v>
      </c>
      <c r="D52" s="38" t="n">
        <v>1600591</v>
      </c>
      <c r="E52" s="38" t="n">
        <v>1140</v>
      </c>
      <c r="F52" s="38" t="n">
        <v>6</v>
      </c>
    </row>
    <row r="53" customFormat="false" ht="15" hidden="false" customHeight="false" outlineLevel="0" collapsed="false">
      <c r="A53" s="38" t="n">
        <v>52</v>
      </c>
      <c r="B53" s="37" t="s">
        <v>4333</v>
      </c>
      <c r="C53" s="38" t="s">
        <v>4280</v>
      </c>
      <c r="D53" s="38" t="n">
        <v>1596043</v>
      </c>
      <c r="E53" s="38" t="n">
        <v>548</v>
      </c>
      <c r="F53" s="38" t="n">
        <v>6</v>
      </c>
    </row>
    <row r="54" customFormat="false" ht="15" hidden="false" customHeight="false" outlineLevel="0" collapsed="false">
      <c r="A54" s="38" t="n">
        <v>53</v>
      </c>
      <c r="B54" s="37" t="s">
        <v>4334</v>
      </c>
      <c r="C54" s="38" t="s">
        <v>4291</v>
      </c>
      <c r="D54" s="38" t="n">
        <v>1556622</v>
      </c>
      <c r="E54" s="38" t="n">
        <v>1490</v>
      </c>
      <c r="F54" s="38" t="n">
        <v>42</v>
      </c>
    </row>
    <row r="55" customFormat="false" ht="15" hidden="false" customHeight="false" outlineLevel="0" collapsed="false">
      <c r="A55" s="38" t="n">
        <v>54</v>
      </c>
      <c r="B55" s="37" t="s">
        <v>4335</v>
      </c>
      <c r="C55" s="38" t="s">
        <v>4280</v>
      </c>
      <c r="D55" s="38" t="n">
        <v>1546553</v>
      </c>
      <c r="E55" s="38" t="n">
        <v>1347</v>
      </c>
      <c r="F55" s="38" t="n">
        <v>0</v>
      </c>
    </row>
    <row r="56" customFormat="false" ht="15" hidden="false" customHeight="false" outlineLevel="0" collapsed="false">
      <c r="A56" s="38" t="n">
        <v>55</v>
      </c>
      <c r="B56" s="37" t="s">
        <v>4336</v>
      </c>
      <c r="C56" s="38" t="s">
        <v>4280</v>
      </c>
      <c r="D56" s="38" t="n">
        <v>1546553</v>
      </c>
      <c r="E56" s="38" t="n">
        <v>960</v>
      </c>
      <c r="F56" s="38" t="n">
        <v>0</v>
      </c>
    </row>
    <row r="57" customFormat="false" ht="15" hidden="false" customHeight="false" outlineLevel="0" collapsed="false">
      <c r="A57" s="38" t="n">
        <v>56</v>
      </c>
      <c r="B57" s="37" t="s">
        <v>4337</v>
      </c>
      <c r="C57" s="38" t="s">
        <v>4280</v>
      </c>
      <c r="D57" s="38" t="n">
        <v>1545351</v>
      </c>
      <c r="E57" s="38" t="n">
        <v>1641</v>
      </c>
      <c r="F57" s="38" t="n">
        <v>0</v>
      </c>
    </row>
    <row r="58" customFormat="false" ht="15" hidden="false" customHeight="false" outlineLevel="0" collapsed="false">
      <c r="A58" s="38" t="n">
        <v>57</v>
      </c>
      <c r="B58" s="37" t="s">
        <v>4338</v>
      </c>
      <c r="C58" s="38" t="s">
        <v>4280</v>
      </c>
      <c r="D58" s="38" t="n">
        <v>1545351</v>
      </c>
      <c r="E58" s="38" t="n">
        <v>49</v>
      </c>
      <c r="F58" s="38" t="n">
        <v>0</v>
      </c>
    </row>
    <row r="59" customFormat="false" ht="15" hidden="false" customHeight="false" outlineLevel="0" collapsed="false">
      <c r="A59" s="38" t="n">
        <v>58</v>
      </c>
      <c r="B59" s="37" t="s">
        <v>4339</v>
      </c>
      <c r="C59" s="38" t="s">
        <v>4280</v>
      </c>
      <c r="D59" s="38" t="n">
        <v>1521859</v>
      </c>
      <c r="E59" s="38" t="n">
        <v>725</v>
      </c>
      <c r="F59" s="38" t="n">
        <v>12</v>
      </c>
    </row>
    <row r="60" customFormat="false" ht="15" hidden="false" customHeight="false" outlineLevel="0" collapsed="false">
      <c r="A60" s="38" t="n">
        <v>59</v>
      </c>
      <c r="B60" s="37" t="s">
        <v>4340</v>
      </c>
      <c r="C60" s="38" t="s">
        <v>4291</v>
      </c>
      <c r="D60" s="38" t="n">
        <v>1509119</v>
      </c>
      <c r="E60" s="38" t="n">
        <v>883</v>
      </c>
      <c r="F60" s="38" t="n">
        <v>6</v>
      </c>
    </row>
    <row r="61" customFormat="false" ht="15" hidden="false" customHeight="false" outlineLevel="0" collapsed="false">
      <c r="A61" s="38" t="n">
        <v>60</v>
      </c>
      <c r="B61" s="37" t="s">
        <v>4341</v>
      </c>
      <c r="C61" s="38" t="s">
        <v>4280</v>
      </c>
      <c r="D61" s="38" t="n">
        <v>1503917</v>
      </c>
      <c r="E61" s="38" t="n">
        <v>807</v>
      </c>
      <c r="F61" s="38" t="n">
        <v>0</v>
      </c>
    </row>
    <row r="62" customFormat="false" ht="15" hidden="false" customHeight="false" outlineLevel="0" collapsed="false">
      <c r="A62" s="38" t="n">
        <v>61</v>
      </c>
      <c r="B62" s="37" t="s">
        <v>4342</v>
      </c>
      <c r="C62" s="38" t="s">
        <v>4280</v>
      </c>
      <c r="D62" s="38" t="n">
        <v>1503917</v>
      </c>
      <c r="E62" s="38" t="n">
        <v>743</v>
      </c>
      <c r="F62" s="38" t="n">
        <v>97</v>
      </c>
    </row>
    <row r="63" customFormat="false" ht="15" hidden="false" customHeight="false" outlineLevel="0" collapsed="false">
      <c r="A63" s="38" t="n">
        <v>62</v>
      </c>
      <c r="B63" s="37" t="s">
        <v>4343</v>
      </c>
      <c r="C63" s="38" t="s">
        <v>4280</v>
      </c>
      <c r="D63" s="38" t="n">
        <v>1503917</v>
      </c>
      <c r="E63" s="38" t="n">
        <v>50</v>
      </c>
      <c r="F63" s="38" t="n">
        <v>0</v>
      </c>
    </row>
    <row r="64" customFormat="false" ht="15" hidden="false" customHeight="false" outlineLevel="0" collapsed="false">
      <c r="A64" s="38" t="n">
        <v>63</v>
      </c>
      <c r="B64" s="37" t="s">
        <v>4344</v>
      </c>
      <c r="C64" s="38" t="s">
        <v>4291</v>
      </c>
      <c r="D64" s="38" t="n">
        <v>1464546</v>
      </c>
      <c r="E64" s="38" t="n">
        <v>51</v>
      </c>
      <c r="F64" s="38" t="n">
        <v>6</v>
      </c>
    </row>
    <row r="65" customFormat="false" ht="15" hidden="false" customHeight="false" outlineLevel="0" collapsed="false">
      <c r="A65" s="38" t="n">
        <v>64</v>
      </c>
      <c r="B65" s="37" t="s">
        <v>4345</v>
      </c>
      <c r="C65" s="38" t="s">
        <v>4291</v>
      </c>
      <c r="D65" s="38" t="n">
        <v>1461339</v>
      </c>
      <c r="E65" s="38" t="n">
        <v>58</v>
      </c>
      <c r="F65" s="38" t="n">
        <v>6</v>
      </c>
    </row>
    <row r="66" customFormat="false" ht="15" hidden="false" customHeight="false" outlineLevel="0" collapsed="false">
      <c r="A66" s="38" t="n">
        <v>65</v>
      </c>
      <c r="B66" s="37" t="s">
        <v>4346</v>
      </c>
      <c r="C66" s="38" t="s">
        <v>4280</v>
      </c>
      <c r="D66" s="38" t="n">
        <v>1398329</v>
      </c>
      <c r="E66" s="38" t="n">
        <v>1536</v>
      </c>
      <c r="F66" s="38" t="n">
        <v>6</v>
      </c>
    </row>
    <row r="67" customFormat="false" ht="15" hidden="false" customHeight="false" outlineLevel="0" collapsed="false">
      <c r="A67" s="38" t="n">
        <v>66</v>
      </c>
      <c r="B67" s="37" t="s">
        <v>4347</v>
      </c>
      <c r="C67" s="38" t="s">
        <v>4291</v>
      </c>
      <c r="D67" s="38" t="n">
        <v>1330765</v>
      </c>
      <c r="E67" s="38" t="n">
        <v>49</v>
      </c>
      <c r="F67" s="38" t="n">
        <v>6</v>
      </c>
    </row>
    <row r="68" customFormat="false" ht="15" hidden="false" customHeight="false" outlineLevel="0" collapsed="false">
      <c r="A68" s="38" t="n">
        <v>67</v>
      </c>
      <c r="B68" s="37" t="s">
        <v>4348</v>
      </c>
      <c r="C68" s="38" t="s">
        <v>4280</v>
      </c>
      <c r="D68" s="38" t="n">
        <v>1315905</v>
      </c>
      <c r="E68" s="38" t="n">
        <v>1890</v>
      </c>
      <c r="F68" s="38" t="n">
        <v>12</v>
      </c>
    </row>
    <row r="69" customFormat="false" ht="15" hidden="false" customHeight="false" outlineLevel="0" collapsed="false">
      <c r="A69" s="38" t="n">
        <v>68</v>
      </c>
      <c r="B69" s="37" t="s">
        <v>4349</v>
      </c>
      <c r="C69" s="38" t="s">
        <v>4280</v>
      </c>
      <c r="D69" s="38" t="n">
        <v>1287438</v>
      </c>
      <c r="E69" s="38" t="n">
        <v>1699</v>
      </c>
      <c r="F69" s="38" t="n">
        <v>0</v>
      </c>
    </row>
    <row r="70" customFormat="false" ht="15" hidden="false" customHeight="false" outlineLevel="0" collapsed="false">
      <c r="A70" s="38" t="n">
        <v>69</v>
      </c>
      <c r="B70" s="37" t="s">
        <v>4350</v>
      </c>
      <c r="C70" s="38" t="s">
        <v>4280</v>
      </c>
      <c r="D70" s="38" t="n">
        <v>1287086</v>
      </c>
      <c r="E70" s="38" t="n">
        <v>60</v>
      </c>
      <c r="F70" s="38" t="n">
        <v>0</v>
      </c>
    </row>
    <row r="71" customFormat="false" ht="15" hidden="false" customHeight="false" outlineLevel="0" collapsed="false">
      <c r="A71" s="38" t="n">
        <v>70</v>
      </c>
      <c r="B71" s="37" t="s">
        <v>4351</v>
      </c>
      <c r="C71" s="38" t="s">
        <v>4280</v>
      </c>
      <c r="D71" s="38" t="n">
        <v>1279608</v>
      </c>
      <c r="E71" s="38" t="n">
        <v>383</v>
      </c>
      <c r="F71" s="38" t="n">
        <v>6</v>
      </c>
    </row>
    <row r="72" customFormat="false" ht="15" hidden="false" customHeight="false" outlineLevel="0" collapsed="false">
      <c r="A72" s="38" t="n">
        <v>71</v>
      </c>
      <c r="B72" s="37" t="s">
        <v>4352</v>
      </c>
      <c r="C72" s="38" t="s">
        <v>4291</v>
      </c>
      <c r="D72" s="38" t="n">
        <v>1249504</v>
      </c>
      <c r="E72" s="38" t="n">
        <v>1076</v>
      </c>
      <c r="F72" s="38" t="n">
        <v>6</v>
      </c>
    </row>
    <row r="73" customFormat="false" ht="15" hidden="false" customHeight="false" outlineLevel="0" collapsed="false">
      <c r="A73" s="38" t="n">
        <v>72</v>
      </c>
      <c r="B73" s="37" t="s">
        <v>4353</v>
      </c>
      <c r="C73" s="38" t="s">
        <v>4280</v>
      </c>
      <c r="D73" s="38" t="n">
        <v>1243721</v>
      </c>
      <c r="E73" s="38" t="n">
        <v>1055</v>
      </c>
      <c r="F73" s="38" t="n">
        <v>0</v>
      </c>
    </row>
    <row r="74" customFormat="false" ht="15" hidden="false" customHeight="false" outlineLevel="0" collapsed="false">
      <c r="A74" s="38" t="n">
        <v>73</v>
      </c>
      <c r="B74" s="37" t="s">
        <v>4354</v>
      </c>
      <c r="C74" s="38" t="s">
        <v>4280</v>
      </c>
      <c r="D74" s="38" t="n">
        <v>1243721</v>
      </c>
      <c r="E74" s="38" t="n">
        <v>984</v>
      </c>
      <c r="F74" s="38" t="n">
        <v>0</v>
      </c>
    </row>
    <row r="75" customFormat="false" ht="15" hidden="false" customHeight="false" outlineLevel="0" collapsed="false">
      <c r="A75" s="38" t="n">
        <v>74</v>
      </c>
      <c r="B75" s="37" t="s">
        <v>4355</v>
      </c>
      <c r="C75" s="38" t="s">
        <v>4291</v>
      </c>
      <c r="D75" s="38" t="n">
        <v>1233873</v>
      </c>
      <c r="E75" s="38" t="n">
        <v>44</v>
      </c>
      <c r="F75" s="38" t="n">
        <v>6</v>
      </c>
    </row>
    <row r="76" customFormat="false" ht="15" hidden="false" customHeight="false" outlineLevel="0" collapsed="false">
      <c r="A76" s="38" t="n">
        <v>75</v>
      </c>
      <c r="B76" s="37" t="s">
        <v>4356</v>
      </c>
      <c r="C76" s="38" t="s">
        <v>4280</v>
      </c>
      <c r="D76" s="38" t="n">
        <v>1232544</v>
      </c>
      <c r="E76" s="38" t="n">
        <v>1513</v>
      </c>
      <c r="F76" s="38" t="n">
        <v>12</v>
      </c>
    </row>
    <row r="77" customFormat="false" ht="15" hidden="false" customHeight="false" outlineLevel="0" collapsed="false">
      <c r="A77" s="38" t="n">
        <v>76</v>
      </c>
      <c r="B77" s="37" t="s">
        <v>4357</v>
      </c>
      <c r="C77" s="38" t="s">
        <v>4291</v>
      </c>
      <c r="D77" s="38" t="n">
        <v>1212692</v>
      </c>
      <c r="E77" s="38" t="n">
        <v>799</v>
      </c>
      <c r="F77" s="38" t="n">
        <v>42</v>
      </c>
    </row>
    <row r="78" customFormat="false" ht="15" hidden="false" customHeight="false" outlineLevel="0" collapsed="false">
      <c r="A78" s="38" t="n">
        <v>77</v>
      </c>
      <c r="B78" s="37" t="s">
        <v>4358</v>
      </c>
      <c r="C78" s="38" t="s">
        <v>4291</v>
      </c>
      <c r="D78" s="38" t="n">
        <v>1205414</v>
      </c>
      <c r="E78" s="38" t="n">
        <v>797</v>
      </c>
      <c r="F78" s="38" t="n">
        <v>54</v>
      </c>
    </row>
    <row r="79" customFormat="false" ht="15" hidden="false" customHeight="false" outlineLevel="0" collapsed="false">
      <c r="A79" s="38" t="n">
        <v>78</v>
      </c>
      <c r="B79" s="37" t="s">
        <v>4359</v>
      </c>
      <c r="C79" s="38" t="s">
        <v>4291</v>
      </c>
      <c r="D79" s="38" t="n">
        <v>1205414</v>
      </c>
      <c r="E79" s="38" t="n">
        <v>744</v>
      </c>
      <c r="F79" s="38" t="n">
        <v>6</v>
      </c>
    </row>
    <row r="80" customFormat="false" ht="15" hidden="false" customHeight="false" outlineLevel="0" collapsed="false">
      <c r="A80" s="38" t="n">
        <v>79</v>
      </c>
      <c r="B80" s="37" t="s">
        <v>4360</v>
      </c>
      <c r="C80" s="38" t="s">
        <v>4291</v>
      </c>
      <c r="D80" s="38" t="n">
        <v>1200607</v>
      </c>
      <c r="E80" s="38" t="n">
        <v>66</v>
      </c>
      <c r="F80" s="38" t="n">
        <v>6</v>
      </c>
    </row>
    <row r="81" customFormat="false" ht="15" hidden="false" customHeight="false" outlineLevel="0" collapsed="false">
      <c r="A81" s="38" t="n">
        <v>80</v>
      </c>
      <c r="B81" s="37" t="s">
        <v>4361</v>
      </c>
      <c r="C81" s="38" t="s">
        <v>4280</v>
      </c>
      <c r="D81" s="38" t="n">
        <v>1172519</v>
      </c>
      <c r="E81" s="38" t="n">
        <v>50</v>
      </c>
      <c r="F81" s="38" t="n">
        <v>6</v>
      </c>
    </row>
    <row r="82" customFormat="false" ht="15" hidden="false" customHeight="false" outlineLevel="0" collapsed="false">
      <c r="A82" s="38" t="n">
        <v>81</v>
      </c>
      <c r="B82" s="37" t="s">
        <v>4362</v>
      </c>
      <c r="C82" s="38" t="s">
        <v>4291</v>
      </c>
      <c r="D82" s="38" t="n">
        <v>1158532</v>
      </c>
      <c r="E82" s="38" t="n">
        <v>53</v>
      </c>
      <c r="F82" s="38" t="n">
        <v>97</v>
      </c>
    </row>
    <row r="83" customFormat="false" ht="15" hidden="false" customHeight="false" outlineLevel="0" collapsed="false">
      <c r="A83" s="38" t="n">
        <v>82</v>
      </c>
      <c r="B83" s="37" t="s">
        <v>4363</v>
      </c>
      <c r="C83" s="38" t="s">
        <v>4280</v>
      </c>
      <c r="D83" s="38" t="n">
        <v>1153233</v>
      </c>
      <c r="E83" s="38" t="n">
        <v>364</v>
      </c>
      <c r="F83" s="38" t="n">
        <v>6</v>
      </c>
    </row>
    <row r="84" customFormat="false" ht="15" hidden="false" customHeight="false" outlineLevel="0" collapsed="false">
      <c r="A84" s="38" t="n">
        <v>83</v>
      </c>
      <c r="B84" s="37" t="s">
        <v>4364</v>
      </c>
      <c r="C84" s="38" t="s">
        <v>4291</v>
      </c>
      <c r="D84" s="38" t="n">
        <v>1127063</v>
      </c>
      <c r="E84" s="38" t="n">
        <v>43</v>
      </c>
      <c r="F84" s="38" t="n">
        <v>12</v>
      </c>
    </row>
    <row r="85" customFormat="false" ht="15" hidden="false" customHeight="false" outlineLevel="0" collapsed="false">
      <c r="A85" s="38" t="n">
        <v>84</v>
      </c>
      <c r="B85" s="37" t="s">
        <v>4365</v>
      </c>
      <c r="C85" s="38" t="s">
        <v>4291</v>
      </c>
      <c r="D85" s="38" t="n">
        <v>1116781</v>
      </c>
      <c r="E85" s="38" t="n">
        <v>1404</v>
      </c>
      <c r="F85" s="38" t="n">
        <v>6</v>
      </c>
    </row>
    <row r="86" customFormat="false" ht="15" hidden="false" customHeight="false" outlineLevel="0" collapsed="false">
      <c r="A86" s="38" t="n">
        <v>85</v>
      </c>
      <c r="B86" s="37" t="s">
        <v>4366</v>
      </c>
      <c r="C86" s="38" t="s">
        <v>4291</v>
      </c>
      <c r="D86" s="38" t="n">
        <v>1111765</v>
      </c>
      <c r="E86" s="38" t="n">
        <v>848</v>
      </c>
      <c r="F86" s="38" t="n">
        <v>6</v>
      </c>
    </row>
    <row r="87" customFormat="false" ht="15" hidden="false" customHeight="false" outlineLevel="0" collapsed="false">
      <c r="A87" s="38" t="n">
        <v>86</v>
      </c>
      <c r="B87" s="37" t="s">
        <v>4367</v>
      </c>
      <c r="C87" s="38" t="s">
        <v>4291</v>
      </c>
      <c r="D87" s="38" t="n">
        <v>1111765</v>
      </c>
      <c r="E87" s="38" t="n">
        <v>699</v>
      </c>
      <c r="F87" s="38" t="n">
        <v>24</v>
      </c>
    </row>
    <row r="88" customFormat="false" ht="15" hidden="false" customHeight="false" outlineLevel="0" collapsed="false">
      <c r="A88" s="38" t="n">
        <v>87</v>
      </c>
      <c r="B88" s="37" t="s">
        <v>4368</v>
      </c>
      <c r="C88" s="38" t="s">
        <v>4291</v>
      </c>
      <c r="D88" s="38" t="n">
        <v>1100472</v>
      </c>
      <c r="E88" s="38" t="n">
        <v>1158</v>
      </c>
      <c r="F88" s="38" t="n">
        <v>54</v>
      </c>
    </row>
    <row r="89" customFormat="false" ht="15" hidden="false" customHeight="false" outlineLevel="0" collapsed="false">
      <c r="A89" s="38" t="n">
        <v>88</v>
      </c>
      <c r="B89" s="37" t="s">
        <v>4369</v>
      </c>
      <c r="C89" s="38" t="s">
        <v>4291</v>
      </c>
      <c r="D89" s="38" t="n">
        <v>1100472</v>
      </c>
      <c r="E89" s="38" t="n">
        <v>1226</v>
      </c>
      <c r="F89" s="38" t="n">
        <v>6</v>
      </c>
    </row>
    <row r="90" customFormat="false" ht="15" hidden="false" customHeight="false" outlineLevel="0" collapsed="false">
      <c r="A90" s="38" t="n">
        <v>89</v>
      </c>
      <c r="B90" s="37" t="s">
        <v>4370</v>
      </c>
      <c r="C90" s="38" t="s">
        <v>4280</v>
      </c>
      <c r="D90" s="38" t="n">
        <v>1081504</v>
      </c>
      <c r="E90" s="38" t="n">
        <v>1457</v>
      </c>
      <c r="F90" s="38" t="n">
        <v>0</v>
      </c>
    </row>
    <row r="91" customFormat="false" ht="15" hidden="false" customHeight="false" outlineLevel="0" collapsed="false">
      <c r="A91" s="38" t="n">
        <v>90</v>
      </c>
      <c r="B91" s="37" t="s">
        <v>4371</v>
      </c>
      <c r="C91" s="38" t="s">
        <v>4280</v>
      </c>
      <c r="D91" s="38" t="n">
        <v>1081504</v>
      </c>
      <c r="E91" s="38" t="n">
        <v>1440</v>
      </c>
      <c r="F91" s="38" t="n">
        <v>0</v>
      </c>
    </row>
    <row r="92" customFormat="false" ht="15" hidden="false" customHeight="false" outlineLevel="0" collapsed="false">
      <c r="A92" s="38" t="n">
        <v>91</v>
      </c>
      <c r="B92" s="37" t="s">
        <v>4372</v>
      </c>
      <c r="C92" s="38" t="s">
        <v>4280</v>
      </c>
      <c r="D92" s="38" t="n">
        <v>1032165</v>
      </c>
      <c r="E92" s="38" t="n">
        <v>1278</v>
      </c>
      <c r="F92" s="38" t="n">
        <v>0</v>
      </c>
    </row>
    <row r="93" customFormat="false" ht="15" hidden="false" customHeight="false" outlineLevel="0" collapsed="false">
      <c r="A93" s="38" t="n">
        <v>92</v>
      </c>
      <c r="B93" s="37" t="s">
        <v>4373</v>
      </c>
      <c r="C93" s="38" t="s">
        <v>4280</v>
      </c>
      <c r="D93" s="38" t="n">
        <v>1032165</v>
      </c>
      <c r="E93" s="38" t="n">
        <v>1135</v>
      </c>
      <c r="F93" s="38" t="n">
        <v>0</v>
      </c>
    </row>
    <row r="94" customFormat="false" ht="15" hidden="false" customHeight="false" outlineLevel="0" collapsed="false">
      <c r="A94" s="38" t="n">
        <v>93</v>
      </c>
      <c r="B94" s="37" t="s">
        <v>4374</v>
      </c>
      <c r="C94" s="38" t="s">
        <v>4280</v>
      </c>
      <c r="D94" s="38" t="n">
        <v>1013600</v>
      </c>
      <c r="E94" s="38" t="n">
        <v>1125</v>
      </c>
      <c r="F94" s="38" t="n">
        <v>0</v>
      </c>
    </row>
    <row r="95" customFormat="false" ht="15" hidden="false" customHeight="false" outlineLevel="0" collapsed="false">
      <c r="A95" s="38" t="n">
        <v>94</v>
      </c>
      <c r="B95" s="37" t="s">
        <v>4375</v>
      </c>
      <c r="C95" s="38" t="s">
        <v>4280</v>
      </c>
      <c r="D95" s="38" t="n">
        <v>1013600</v>
      </c>
      <c r="E95" s="38" t="n">
        <v>1346</v>
      </c>
      <c r="F95" s="38" t="n">
        <v>0</v>
      </c>
    </row>
    <row r="96" customFormat="false" ht="15" hidden="false" customHeight="false" outlineLevel="0" collapsed="false">
      <c r="A96" s="38" t="n">
        <v>95</v>
      </c>
      <c r="B96" s="37" t="s">
        <v>4376</v>
      </c>
      <c r="C96" s="38" t="s">
        <v>4291</v>
      </c>
      <c r="D96" s="38" t="n">
        <v>1006079</v>
      </c>
      <c r="E96" s="38" t="n">
        <v>1122</v>
      </c>
      <c r="F96" s="38" t="n">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1.88"/>
    <col collapsed="false" customWidth="true" hidden="false" outlineLevel="0" max="3" min="3" style="0" width="15.13"/>
    <col collapsed="false" customWidth="true" hidden="false" outlineLevel="0" max="4" min="4" style="0" width="12.38"/>
    <col collapsed="false" customWidth="true" hidden="false" outlineLevel="0" max="5" min="5" style="0" width="34.88"/>
    <col collapsed="false" customWidth="true" hidden="false" outlineLevel="0" max="6" min="6" style="0" width="33.13"/>
    <col collapsed="false" customWidth="true" hidden="false" outlineLevel="0" max="8" min="8" style="0" width="22"/>
  </cols>
  <sheetData>
    <row r="1" customFormat="false" ht="15" hidden="false" customHeight="false" outlineLevel="0" collapsed="false">
      <c r="A1" s="27" t="s">
        <v>269</v>
      </c>
      <c r="B1" s="27" t="s">
        <v>274</v>
      </c>
      <c r="C1" s="27" t="s">
        <v>4377</v>
      </c>
      <c r="D1" s="27" t="s">
        <v>4378</v>
      </c>
      <c r="E1" s="27" t="s">
        <v>4379</v>
      </c>
      <c r="F1" s="27" t="s">
        <v>4380</v>
      </c>
      <c r="H1" s="26" t="str">
        <f aca="false">HYPERLINK("#'Master Overview'!A1","&lt;&lt; Master Overview")</f>
        <v>&lt;&lt; Master Overview</v>
      </c>
    </row>
    <row r="2" customFormat="false" ht="15" hidden="false" customHeight="false" outlineLevel="0" collapsed="false">
      <c r="A2" s="33" t="n">
        <v>1</v>
      </c>
      <c r="B2" s="37" t="s">
        <v>4381</v>
      </c>
      <c r="C2" s="38" t="n">
        <v>200</v>
      </c>
      <c r="D2" s="38" t="n">
        <v>0</v>
      </c>
      <c r="E2" s="39" t="s">
        <v>4382</v>
      </c>
      <c r="F2" s="40" t="n">
        <v>2</v>
      </c>
      <c r="H2" s="2" t="s">
        <v>4383</v>
      </c>
    </row>
    <row r="3" customFormat="false" ht="15" hidden="false" customHeight="false" outlineLevel="0" collapsed="false">
      <c r="A3" s="33" t="n">
        <v>2</v>
      </c>
      <c r="B3" s="37" t="s">
        <v>923</v>
      </c>
      <c r="C3" s="38" t="n">
        <v>200</v>
      </c>
      <c r="D3" s="38" t="n">
        <v>0</v>
      </c>
      <c r="E3" s="39" t="s">
        <v>4382</v>
      </c>
      <c r="F3" s="40" t="n">
        <v>2</v>
      </c>
    </row>
    <row r="4" customFormat="false" ht="15" hidden="false" customHeight="false" outlineLevel="0" collapsed="false">
      <c r="A4" s="33" t="n">
        <v>3</v>
      </c>
      <c r="B4" s="37" t="s">
        <v>3198</v>
      </c>
      <c r="C4" s="38" t="n">
        <v>200</v>
      </c>
      <c r="D4" s="38" t="n">
        <v>0</v>
      </c>
      <c r="E4" s="39" t="s">
        <v>4382</v>
      </c>
      <c r="F4" s="40" t="n">
        <v>2</v>
      </c>
    </row>
    <row r="5" customFormat="false" ht="15" hidden="false" customHeight="false" outlineLevel="0" collapsed="false">
      <c r="A5" s="33" t="n">
        <v>4</v>
      </c>
      <c r="B5" s="37" t="s">
        <v>1720</v>
      </c>
      <c r="C5" s="38" t="n">
        <v>200</v>
      </c>
      <c r="D5" s="38" t="n">
        <v>0</v>
      </c>
      <c r="E5" s="39" t="s">
        <v>4382</v>
      </c>
      <c r="F5" s="40" t="n">
        <v>2</v>
      </c>
    </row>
    <row r="6" customFormat="false" ht="15" hidden="false" customHeight="false" outlineLevel="0" collapsed="false">
      <c r="A6" s="33" t="n">
        <v>5</v>
      </c>
      <c r="B6" s="37" t="s">
        <v>2290</v>
      </c>
      <c r="C6" s="38" t="n">
        <v>200</v>
      </c>
      <c r="D6" s="38" t="n">
        <v>0</v>
      </c>
      <c r="E6" s="39" t="s">
        <v>4382</v>
      </c>
      <c r="F6" s="40" t="n">
        <v>2</v>
      </c>
    </row>
    <row r="7" customFormat="false" ht="15" hidden="false" customHeight="false" outlineLevel="0" collapsed="false">
      <c r="A7" s="33" t="n">
        <v>6</v>
      </c>
      <c r="B7" s="37" t="s">
        <v>4384</v>
      </c>
      <c r="C7" s="38" t="n">
        <v>200</v>
      </c>
      <c r="D7" s="38" t="n">
        <v>0</v>
      </c>
      <c r="E7" s="39" t="s">
        <v>4382</v>
      </c>
      <c r="F7" s="4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D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12"/>
    <col collapsed="false" customWidth="true" hidden="false" outlineLevel="0" max="4" min="4" style="0" width="22"/>
  </cols>
  <sheetData>
    <row r="1" customFormat="false" ht="15" hidden="false" customHeight="false" outlineLevel="0" collapsed="false">
      <c r="A1" s="41" t="s">
        <v>274</v>
      </c>
      <c r="B1" s="41" t="s">
        <v>4193</v>
      </c>
      <c r="D1" s="26" t="str">
        <f aca="false">HYPERLINK("#'Master Overview'!A1","&lt;&lt; Master Overview")</f>
        <v>&lt;&lt; Master Overview</v>
      </c>
    </row>
    <row r="2" customFormat="false" ht="15" hidden="false" customHeight="false" outlineLevel="0" collapsed="false">
      <c r="A2" s="31" t="s">
        <v>4385</v>
      </c>
      <c r="B2" s="35" t="n">
        <v>0</v>
      </c>
      <c r="D2" s="2" t="s">
        <v>4386</v>
      </c>
    </row>
    <row r="3" customFormat="false" ht="15" hidden="false" customHeight="false" outlineLevel="0" collapsed="false">
      <c r="A3" s="31" t="s">
        <v>4387</v>
      </c>
      <c r="B3" s="35" t="n">
        <v>0</v>
      </c>
    </row>
    <row r="4" customFormat="false" ht="15" hidden="false" customHeight="false" outlineLevel="0" collapsed="false">
      <c r="A4" s="31" t="s">
        <v>4388</v>
      </c>
      <c r="B4" s="35" t="n">
        <v>0</v>
      </c>
    </row>
    <row r="5" customFormat="false" ht="15" hidden="false" customHeight="false" outlineLevel="0" collapsed="false">
      <c r="A5" s="31" t="s">
        <v>4389</v>
      </c>
      <c r="B5" s="35" t="n">
        <v>0</v>
      </c>
    </row>
    <row r="6" customFormat="false" ht="15" hidden="false" customHeight="false" outlineLevel="0" collapsed="false">
      <c r="A6" s="31" t="s">
        <v>4390</v>
      </c>
      <c r="B6" s="35" t="n">
        <v>0</v>
      </c>
    </row>
    <row r="7" customFormat="false" ht="15" hidden="false" customHeight="false" outlineLevel="0" collapsed="false">
      <c r="A7" s="31" t="s">
        <v>4391</v>
      </c>
      <c r="B7" s="35" t="n">
        <v>0</v>
      </c>
    </row>
    <row r="8" customFormat="false" ht="15" hidden="false" customHeight="false" outlineLevel="0" collapsed="false">
      <c r="A8" s="31" t="s">
        <v>4392</v>
      </c>
      <c r="B8" s="35" t="n">
        <v>0</v>
      </c>
    </row>
    <row r="9" customFormat="false" ht="15" hidden="false" customHeight="false" outlineLevel="0" collapsed="false">
      <c r="A9" s="31" t="s">
        <v>4393</v>
      </c>
      <c r="B9" s="35" t="n">
        <v>0</v>
      </c>
    </row>
    <row r="10" customFormat="false" ht="15" hidden="false" customHeight="false" outlineLevel="0" collapsed="false">
      <c r="A10" s="31" t="s">
        <v>4394</v>
      </c>
      <c r="B10" s="35" t="n">
        <v>0</v>
      </c>
    </row>
    <row r="11" customFormat="false" ht="15" hidden="false" customHeight="false" outlineLevel="0" collapsed="false">
      <c r="A11" s="31" t="s">
        <v>4395</v>
      </c>
      <c r="B11" s="35" t="n">
        <v>0</v>
      </c>
    </row>
    <row r="12" customFormat="false" ht="15" hidden="false" customHeight="false" outlineLevel="0" collapsed="false">
      <c r="A12" s="31" t="s">
        <v>4396</v>
      </c>
      <c r="B12" s="35" t="n">
        <v>0</v>
      </c>
    </row>
    <row r="13" customFormat="false" ht="15" hidden="false" customHeight="false" outlineLevel="0" collapsed="false">
      <c r="A13" s="31" t="s">
        <v>4397</v>
      </c>
      <c r="B13" s="35" t="n">
        <v>0</v>
      </c>
    </row>
    <row r="14" customFormat="false" ht="15" hidden="false" customHeight="false" outlineLevel="0" collapsed="false">
      <c r="A14" s="31" t="s">
        <v>4398</v>
      </c>
      <c r="B14" s="35" t="n">
        <v>0</v>
      </c>
    </row>
    <row r="15" customFormat="false" ht="15" hidden="false" customHeight="false" outlineLevel="0" collapsed="false">
      <c r="A15" s="31" t="s">
        <v>4399</v>
      </c>
      <c r="B15" s="35" t="n">
        <v>0</v>
      </c>
    </row>
    <row r="16" customFormat="false" ht="15" hidden="false" customHeight="false" outlineLevel="0" collapsed="false">
      <c r="A16" s="31" t="s">
        <v>4400</v>
      </c>
      <c r="B16" s="35" t="n">
        <v>0</v>
      </c>
    </row>
    <row r="17" customFormat="false" ht="15" hidden="false" customHeight="false" outlineLevel="0" collapsed="false">
      <c r="A17" s="31" t="s">
        <v>4401</v>
      </c>
      <c r="B17" s="35" t="n">
        <v>0</v>
      </c>
    </row>
    <row r="18" customFormat="false" ht="15" hidden="false" customHeight="false" outlineLevel="0" collapsed="false">
      <c r="A18" s="31" t="s">
        <v>4402</v>
      </c>
      <c r="B18" s="35" t="n">
        <v>0</v>
      </c>
    </row>
    <row r="19" customFormat="false" ht="15" hidden="false" customHeight="false" outlineLevel="0" collapsed="false">
      <c r="A19" s="31" t="s">
        <v>4403</v>
      </c>
      <c r="B19" s="35" t="n">
        <v>0</v>
      </c>
    </row>
    <row r="20" customFormat="false" ht="15" hidden="false" customHeight="false" outlineLevel="0" collapsed="false">
      <c r="A20" s="31" t="s">
        <v>4404</v>
      </c>
      <c r="B20" s="35" t="n">
        <v>0</v>
      </c>
    </row>
    <row r="21" customFormat="false" ht="15" hidden="false" customHeight="false" outlineLevel="0" collapsed="false">
      <c r="A21" s="31" t="s">
        <v>4405</v>
      </c>
      <c r="B21" s="35" t="n">
        <v>0</v>
      </c>
    </row>
    <row r="22" customFormat="false" ht="15" hidden="false" customHeight="false" outlineLevel="0" collapsed="false">
      <c r="A22" s="31" t="s">
        <v>4406</v>
      </c>
      <c r="B22" s="35" t="n">
        <v>0</v>
      </c>
    </row>
    <row r="23" customFormat="false" ht="15" hidden="false" customHeight="false" outlineLevel="0" collapsed="false">
      <c r="A23" s="31" t="s">
        <v>4407</v>
      </c>
      <c r="B23" s="35" t="n">
        <v>0</v>
      </c>
    </row>
    <row r="24" customFormat="false" ht="15" hidden="false" customHeight="false" outlineLevel="0" collapsed="false">
      <c r="A24" s="31" t="s">
        <v>4408</v>
      </c>
      <c r="B24" s="35" t="n">
        <v>0</v>
      </c>
    </row>
    <row r="25" customFormat="false" ht="15" hidden="false" customHeight="false" outlineLevel="0" collapsed="false">
      <c r="A25" s="31" t="s">
        <v>4409</v>
      </c>
      <c r="B25" s="35" t="n">
        <v>0</v>
      </c>
    </row>
    <row r="26" customFormat="false" ht="15" hidden="false" customHeight="false" outlineLevel="0" collapsed="false">
      <c r="A26" s="31" t="s">
        <v>4410</v>
      </c>
      <c r="B26" s="35" t="n">
        <v>0</v>
      </c>
    </row>
    <row r="27" customFormat="false" ht="15" hidden="false" customHeight="false" outlineLevel="0" collapsed="false">
      <c r="A27" s="31" t="s">
        <v>4411</v>
      </c>
      <c r="B27" s="35" t="n">
        <v>0</v>
      </c>
    </row>
    <row r="28" customFormat="false" ht="15" hidden="false" customHeight="false" outlineLevel="0" collapsed="false">
      <c r="A28" s="31" t="s">
        <v>4412</v>
      </c>
      <c r="B28" s="35" t="n">
        <v>0</v>
      </c>
    </row>
    <row r="29" customFormat="false" ht="15" hidden="false" customHeight="false" outlineLevel="0" collapsed="false">
      <c r="A29" s="31" t="s">
        <v>4413</v>
      </c>
      <c r="B29" s="35" t="n">
        <v>0</v>
      </c>
    </row>
    <row r="30" customFormat="false" ht="15" hidden="false" customHeight="false" outlineLevel="0" collapsed="false">
      <c r="A30" s="31" t="s">
        <v>4414</v>
      </c>
      <c r="B30" s="35" t="n">
        <v>0</v>
      </c>
    </row>
    <row r="31" customFormat="false" ht="15" hidden="false" customHeight="false" outlineLevel="0" collapsed="false">
      <c r="A31" s="31" t="s">
        <v>4415</v>
      </c>
      <c r="B31" s="35" t="n">
        <v>0</v>
      </c>
    </row>
    <row r="32" customFormat="false" ht="15" hidden="false" customHeight="false" outlineLevel="0" collapsed="false">
      <c r="A32" s="31" t="s">
        <v>4416</v>
      </c>
      <c r="B32" s="35" t="n">
        <v>0</v>
      </c>
    </row>
    <row r="33" customFormat="false" ht="15" hidden="false" customHeight="false" outlineLevel="0" collapsed="false">
      <c r="A33" s="31" t="s">
        <v>4417</v>
      </c>
      <c r="B33" s="35" t="n">
        <v>0</v>
      </c>
    </row>
    <row r="34" customFormat="false" ht="15" hidden="false" customHeight="false" outlineLevel="0" collapsed="false">
      <c r="A34" s="31" t="s">
        <v>4418</v>
      </c>
      <c r="B34" s="35" t="n">
        <v>0</v>
      </c>
    </row>
    <row r="35" customFormat="false" ht="15" hidden="false" customHeight="false" outlineLevel="0" collapsed="false">
      <c r="A35" s="31" t="s">
        <v>4419</v>
      </c>
      <c r="B35" s="35" t="n">
        <v>0</v>
      </c>
    </row>
    <row r="36" customFormat="false" ht="15" hidden="false" customHeight="false" outlineLevel="0" collapsed="false">
      <c r="A36" s="31" t="s">
        <v>4420</v>
      </c>
      <c r="B36" s="35" t="n">
        <v>0</v>
      </c>
    </row>
    <row r="37" customFormat="false" ht="15" hidden="false" customHeight="false" outlineLevel="0" collapsed="false">
      <c r="A37" s="31" t="s">
        <v>4421</v>
      </c>
      <c r="B37" s="35" t="n">
        <v>0</v>
      </c>
    </row>
    <row r="38" customFormat="false" ht="15" hidden="false" customHeight="false" outlineLevel="0" collapsed="false">
      <c r="A38" s="31" t="s">
        <v>4422</v>
      </c>
      <c r="B38" s="35" t="n">
        <v>0</v>
      </c>
    </row>
    <row r="39" customFormat="false" ht="15" hidden="false" customHeight="false" outlineLevel="0" collapsed="false">
      <c r="A39" s="31" t="s">
        <v>4423</v>
      </c>
      <c r="B39" s="35" t="n">
        <v>0</v>
      </c>
    </row>
    <row r="40" customFormat="false" ht="15" hidden="false" customHeight="false" outlineLevel="0" collapsed="false">
      <c r="A40" s="31" t="s">
        <v>4424</v>
      </c>
      <c r="B40" s="35" t="n">
        <v>0</v>
      </c>
    </row>
    <row r="41" customFormat="false" ht="15" hidden="false" customHeight="false" outlineLevel="0" collapsed="false">
      <c r="A41" s="31" t="s">
        <v>4425</v>
      </c>
      <c r="B41" s="35" t="n">
        <v>0</v>
      </c>
    </row>
    <row r="42" customFormat="false" ht="15" hidden="false" customHeight="false" outlineLevel="0" collapsed="false">
      <c r="A42" s="31" t="s">
        <v>4426</v>
      </c>
      <c r="B42" s="35" t="n">
        <v>0</v>
      </c>
    </row>
    <row r="43" customFormat="false" ht="15" hidden="false" customHeight="false" outlineLevel="0" collapsed="false">
      <c r="A43" s="31" t="s">
        <v>4427</v>
      </c>
      <c r="B43" s="35" t="n">
        <v>0</v>
      </c>
    </row>
    <row r="44" customFormat="false" ht="15" hidden="false" customHeight="false" outlineLevel="0" collapsed="false">
      <c r="A44" s="31" t="s">
        <v>4428</v>
      </c>
      <c r="B44" s="35" t="n">
        <v>0</v>
      </c>
    </row>
    <row r="45" customFormat="false" ht="15" hidden="false" customHeight="false" outlineLevel="0" collapsed="false">
      <c r="A45" s="31" t="s">
        <v>4429</v>
      </c>
      <c r="B45" s="35" t="n">
        <v>0</v>
      </c>
    </row>
    <row r="46" customFormat="false" ht="15" hidden="false" customHeight="false" outlineLevel="0" collapsed="false">
      <c r="A46" s="31" t="s">
        <v>4430</v>
      </c>
      <c r="B46" s="35" t="n">
        <v>0</v>
      </c>
    </row>
    <row r="47" customFormat="false" ht="15" hidden="false" customHeight="false" outlineLevel="0" collapsed="false">
      <c r="A47" s="31" t="s">
        <v>4431</v>
      </c>
      <c r="B47" s="35" t="n">
        <v>0</v>
      </c>
    </row>
    <row r="48" customFormat="false" ht="15" hidden="false" customHeight="false" outlineLevel="0" collapsed="false">
      <c r="A48" s="31" t="s">
        <v>4432</v>
      </c>
      <c r="B48" s="35" t="n">
        <v>0</v>
      </c>
    </row>
    <row r="49" customFormat="false" ht="15" hidden="false" customHeight="false" outlineLevel="0" collapsed="false">
      <c r="A49" s="31" t="s">
        <v>4433</v>
      </c>
      <c r="B49" s="35" t="n">
        <v>0</v>
      </c>
    </row>
    <row r="50" customFormat="false" ht="15" hidden="false" customHeight="false" outlineLevel="0" collapsed="false">
      <c r="A50" s="31" t="s">
        <v>4434</v>
      </c>
      <c r="B50" s="35" t="n">
        <v>0</v>
      </c>
    </row>
    <row r="51" customFormat="false" ht="15" hidden="false" customHeight="false" outlineLevel="0" collapsed="false">
      <c r="A51" s="31" t="s">
        <v>4435</v>
      </c>
      <c r="B51" s="35" t="n">
        <v>0</v>
      </c>
    </row>
    <row r="52" customFormat="false" ht="15" hidden="false" customHeight="false" outlineLevel="0" collapsed="false">
      <c r="A52" s="31" t="s">
        <v>4436</v>
      </c>
      <c r="B52" s="35" t="n">
        <v>0</v>
      </c>
    </row>
    <row r="53" customFormat="false" ht="15" hidden="false" customHeight="false" outlineLevel="0" collapsed="false">
      <c r="A53" s="31" t="s">
        <v>4437</v>
      </c>
      <c r="B53" s="35" t="n">
        <v>0</v>
      </c>
    </row>
    <row r="54" customFormat="false" ht="15" hidden="false" customHeight="false" outlineLevel="0" collapsed="false">
      <c r="A54" s="31" t="s">
        <v>4438</v>
      </c>
      <c r="B54" s="35" t="n">
        <v>0</v>
      </c>
    </row>
    <row r="55" customFormat="false" ht="15" hidden="false" customHeight="false" outlineLevel="0" collapsed="false">
      <c r="A55" s="31" t="s">
        <v>4439</v>
      </c>
      <c r="B55" s="35" t="n">
        <v>0</v>
      </c>
    </row>
    <row r="56" customFormat="false" ht="15" hidden="false" customHeight="false" outlineLevel="0" collapsed="false">
      <c r="A56" s="31" t="s">
        <v>4440</v>
      </c>
      <c r="B56" s="35" t="n">
        <v>0</v>
      </c>
    </row>
    <row r="57" customFormat="false" ht="15" hidden="false" customHeight="false" outlineLevel="0" collapsed="false">
      <c r="A57" s="31" t="s">
        <v>4441</v>
      </c>
      <c r="B57" s="35" t="n">
        <v>0</v>
      </c>
    </row>
    <row r="58" customFormat="false" ht="15" hidden="false" customHeight="false" outlineLevel="0" collapsed="false">
      <c r="A58" s="31" t="s">
        <v>4442</v>
      </c>
      <c r="B58" s="35" t="n">
        <v>0</v>
      </c>
    </row>
    <row r="59" customFormat="false" ht="15" hidden="false" customHeight="false" outlineLevel="0" collapsed="false">
      <c r="A59" s="31" t="s">
        <v>4443</v>
      </c>
      <c r="B59" s="35" t="n">
        <v>0</v>
      </c>
    </row>
    <row r="60" customFormat="false" ht="15" hidden="false" customHeight="false" outlineLevel="0" collapsed="false">
      <c r="A60" s="31" t="s">
        <v>4444</v>
      </c>
      <c r="B60" s="35" t="n">
        <v>0</v>
      </c>
    </row>
    <row r="61" customFormat="false" ht="15" hidden="false" customHeight="false" outlineLevel="0" collapsed="false">
      <c r="A61" s="31" t="s">
        <v>4445</v>
      </c>
      <c r="B61" s="35" t="n">
        <v>0</v>
      </c>
    </row>
    <row r="62" customFormat="false" ht="15" hidden="false" customHeight="false" outlineLevel="0" collapsed="false">
      <c r="A62" s="31" t="s">
        <v>4446</v>
      </c>
      <c r="B62" s="35" t="n">
        <v>0</v>
      </c>
    </row>
    <row r="63" customFormat="false" ht="15" hidden="false" customHeight="false" outlineLevel="0" collapsed="false">
      <c r="A63" s="31" t="s">
        <v>4447</v>
      </c>
      <c r="B63" s="35" t="n">
        <v>0</v>
      </c>
    </row>
    <row r="64" customFormat="false" ht="15" hidden="false" customHeight="false" outlineLevel="0" collapsed="false">
      <c r="A64" s="31" t="s">
        <v>4448</v>
      </c>
      <c r="B64" s="35" t="n">
        <v>0</v>
      </c>
    </row>
    <row r="65" customFormat="false" ht="15" hidden="false" customHeight="false" outlineLevel="0" collapsed="false">
      <c r="A65" s="31" t="s">
        <v>4449</v>
      </c>
      <c r="B65" s="35" t="n">
        <v>0</v>
      </c>
    </row>
    <row r="66" customFormat="false" ht="15" hidden="false" customHeight="false" outlineLevel="0" collapsed="false">
      <c r="A66" s="31" t="s">
        <v>4450</v>
      </c>
      <c r="B66" s="35" t="n">
        <v>0</v>
      </c>
    </row>
    <row r="67" customFormat="false" ht="15" hidden="false" customHeight="false" outlineLevel="0" collapsed="false">
      <c r="A67" s="31" t="s">
        <v>4451</v>
      </c>
      <c r="B67" s="35" t="n">
        <v>0</v>
      </c>
    </row>
    <row r="68" customFormat="false" ht="15" hidden="false" customHeight="false" outlineLevel="0" collapsed="false">
      <c r="A68" s="31" t="s">
        <v>4452</v>
      </c>
      <c r="B68" s="35" t="n">
        <v>0</v>
      </c>
    </row>
    <row r="69" customFormat="false" ht="15" hidden="false" customHeight="false" outlineLevel="0" collapsed="false">
      <c r="A69" s="31" t="s">
        <v>4453</v>
      </c>
      <c r="B69" s="35" t="n">
        <v>0</v>
      </c>
    </row>
    <row r="70" customFormat="false" ht="15" hidden="false" customHeight="false" outlineLevel="0" collapsed="false">
      <c r="A70" s="31" t="s">
        <v>4454</v>
      </c>
      <c r="B70" s="35" t="n">
        <v>0</v>
      </c>
    </row>
    <row r="71" customFormat="false" ht="15" hidden="false" customHeight="false" outlineLevel="0" collapsed="false">
      <c r="A71" s="31" t="s">
        <v>4455</v>
      </c>
      <c r="B71" s="35" t="n">
        <v>0</v>
      </c>
    </row>
    <row r="72" customFormat="false" ht="15" hidden="false" customHeight="false" outlineLevel="0" collapsed="false">
      <c r="A72" s="31" t="s">
        <v>4456</v>
      </c>
      <c r="B72" s="35" t="n">
        <v>0</v>
      </c>
    </row>
    <row r="73" customFormat="false" ht="15" hidden="false" customHeight="false" outlineLevel="0" collapsed="false">
      <c r="A73" s="31" t="s">
        <v>4457</v>
      </c>
      <c r="B73" s="35" t="n">
        <v>0</v>
      </c>
    </row>
    <row r="74" customFormat="false" ht="15" hidden="false" customHeight="false" outlineLevel="0" collapsed="false">
      <c r="A74" s="31" t="s">
        <v>4458</v>
      </c>
      <c r="B74" s="35" t="n">
        <v>0</v>
      </c>
    </row>
    <row r="75" customFormat="false" ht="15" hidden="false" customHeight="false" outlineLevel="0" collapsed="false">
      <c r="A75" s="31" t="s">
        <v>4459</v>
      </c>
      <c r="B75" s="35" t="n">
        <v>0</v>
      </c>
    </row>
    <row r="76" customFormat="false" ht="15" hidden="false" customHeight="false" outlineLevel="0" collapsed="false">
      <c r="A76" s="31" t="s">
        <v>4460</v>
      </c>
      <c r="B76" s="35" t="n">
        <v>0</v>
      </c>
    </row>
    <row r="77" customFormat="false" ht="15" hidden="false" customHeight="false" outlineLevel="0" collapsed="false">
      <c r="A77" s="31" t="s">
        <v>4461</v>
      </c>
      <c r="B77" s="35" t="n">
        <v>0</v>
      </c>
    </row>
    <row r="78" customFormat="false" ht="15" hidden="false" customHeight="false" outlineLevel="0" collapsed="false">
      <c r="A78" s="31" t="s">
        <v>4462</v>
      </c>
      <c r="B78" s="35" t="n">
        <v>0</v>
      </c>
    </row>
    <row r="79" customFormat="false" ht="15" hidden="false" customHeight="false" outlineLevel="0" collapsed="false">
      <c r="A79" s="31" t="s">
        <v>4463</v>
      </c>
      <c r="B79" s="35" t="n">
        <v>0</v>
      </c>
    </row>
    <row r="80" customFormat="false" ht="15" hidden="false" customHeight="false" outlineLevel="0" collapsed="false">
      <c r="A80" s="31" t="s">
        <v>4464</v>
      </c>
      <c r="B80" s="35" t="n">
        <v>0</v>
      </c>
    </row>
    <row r="81" customFormat="false" ht="15" hidden="false" customHeight="false" outlineLevel="0" collapsed="false">
      <c r="A81" s="31" t="s">
        <v>4465</v>
      </c>
      <c r="B81" s="35" t="n">
        <v>0</v>
      </c>
    </row>
    <row r="82" customFormat="false" ht="15" hidden="false" customHeight="false" outlineLevel="0" collapsed="false">
      <c r="A82" s="31" t="s">
        <v>4466</v>
      </c>
      <c r="B82" s="35" t="n">
        <v>0</v>
      </c>
    </row>
    <row r="83" customFormat="false" ht="15" hidden="false" customHeight="false" outlineLevel="0" collapsed="false">
      <c r="A83" s="31" t="s">
        <v>4467</v>
      </c>
      <c r="B83" s="35" t="n">
        <v>0</v>
      </c>
    </row>
    <row r="84" customFormat="false" ht="15" hidden="false" customHeight="false" outlineLevel="0" collapsed="false">
      <c r="A84" s="31" t="s">
        <v>4468</v>
      </c>
      <c r="B84" s="35" t="n">
        <v>0</v>
      </c>
    </row>
    <row r="85" customFormat="false" ht="15" hidden="false" customHeight="false" outlineLevel="0" collapsed="false">
      <c r="A85" s="31" t="s">
        <v>4469</v>
      </c>
      <c r="B85" s="35" t="n">
        <v>0</v>
      </c>
    </row>
    <row r="86" customFormat="false" ht="15" hidden="false" customHeight="false" outlineLevel="0" collapsed="false">
      <c r="A86" s="31" t="s">
        <v>4470</v>
      </c>
      <c r="B86" s="35" t="n">
        <v>0</v>
      </c>
    </row>
    <row r="87" customFormat="false" ht="15" hidden="false" customHeight="false" outlineLevel="0" collapsed="false">
      <c r="A87" s="31" t="s">
        <v>4471</v>
      </c>
      <c r="B87" s="35" t="n">
        <v>0</v>
      </c>
    </row>
    <row r="88" customFormat="false" ht="15" hidden="false" customHeight="false" outlineLevel="0" collapsed="false">
      <c r="A88" s="31" t="s">
        <v>4472</v>
      </c>
      <c r="B88" s="35" t="n">
        <v>0</v>
      </c>
    </row>
    <row r="89" customFormat="false" ht="15" hidden="false" customHeight="false" outlineLevel="0" collapsed="false">
      <c r="A89" s="31" t="s">
        <v>4473</v>
      </c>
      <c r="B89" s="35" t="n">
        <v>0</v>
      </c>
    </row>
    <row r="90" customFormat="false" ht="15" hidden="false" customHeight="false" outlineLevel="0" collapsed="false">
      <c r="A90" s="31" t="s">
        <v>4474</v>
      </c>
      <c r="B90" s="35" t="n">
        <v>0</v>
      </c>
    </row>
    <row r="91" customFormat="false" ht="15" hidden="false" customHeight="false" outlineLevel="0" collapsed="false">
      <c r="A91" s="31" t="s">
        <v>4475</v>
      </c>
      <c r="B91" s="35" t="n">
        <v>0</v>
      </c>
    </row>
    <row r="92" customFormat="false" ht="15" hidden="false" customHeight="false" outlineLevel="0" collapsed="false">
      <c r="A92" s="31" t="s">
        <v>4476</v>
      </c>
      <c r="B92" s="35" t="n">
        <v>0</v>
      </c>
    </row>
    <row r="93" customFormat="false" ht="15" hidden="false" customHeight="false" outlineLevel="0" collapsed="false">
      <c r="A93" s="31" t="s">
        <v>4477</v>
      </c>
      <c r="B93" s="35" t="n">
        <v>0</v>
      </c>
    </row>
    <row r="94" customFormat="false" ht="15" hidden="false" customHeight="false" outlineLevel="0" collapsed="false">
      <c r="A94" s="31" t="s">
        <v>4478</v>
      </c>
      <c r="B94" s="35" t="n">
        <v>0</v>
      </c>
    </row>
    <row r="95" customFormat="false" ht="15" hidden="false" customHeight="false" outlineLevel="0" collapsed="false">
      <c r="A95" s="31" t="s">
        <v>4479</v>
      </c>
      <c r="B95" s="35" t="n">
        <v>0</v>
      </c>
    </row>
    <row r="96" customFormat="false" ht="15" hidden="false" customHeight="false" outlineLevel="0" collapsed="false">
      <c r="A96" s="31" t="s">
        <v>4480</v>
      </c>
      <c r="B96" s="35" t="n">
        <v>0</v>
      </c>
    </row>
    <row r="97" customFormat="false" ht="15" hidden="false" customHeight="false" outlineLevel="0" collapsed="false">
      <c r="A97" s="31" t="s">
        <v>4481</v>
      </c>
      <c r="B97" s="35" t="n">
        <v>0</v>
      </c>
    </row>
    <row r="98" customFormat="false" ht="15" hidden="false" customHeight="false" outlineLevel="0" collapsed="false">
      <c r="A98" s="31" t="s">
        <v>4482</v>
      </c>
      <c r="B98" s="35" t="n">
        <v>0</v>
      </c>
    </row>
    <row r="99" customFormat="false" ht="15" hidden="false" customHeight="false" outlineLevel="0" collapsed="false">
      <c r="A99" s="31" t="s">
        <v>4483</v>
      </c>
      <c r="B99" s="35" t="n">
        <v>0</v>
      </c>
    </row>
    <row r="100" customFormat="false" ht="15" hidden="false" customHeight="false" outlineLevel="0" collapsed="false">
      <c r="A100" s="31" t="s">
        <v>4484</v>
      </c>
      <c r="B100" s="35" t="n">
        <v>0</v>
      </c>
    </row>
    <row r="101" customFormat="false" ht="15" hidden="false" customHeight="false" outlineLevel="0" collapsed="false">
      <c r="A101" s="31" t="s">
        <v>4485</v>
      </c>
      <c r="B101" s="35" t="n">
        <v>0</v>
      </c>
    </row>
    <row r="102" customFormat="false" ht="15" hidden="false" customHeight="false" outlineLevel="0" collapsed="false">
      <c r="A102" s="31" t="s">
        <v>4486</v>
      </c>
      <c r="B102" s="35" t="n">
        <v>0</v>
      </c>
    </row>
    <row r="103" customFormat="false" ht="15" hidden="false" customHeight="false" outlineLevel="0" collapsed="false">
      <c r="A103" s="31" t="s">
        <v>4487</v>
      </c>
      <c r="B103" s="35" t="n">
        <v>0</v>
      </c>
    </row>
    <row r="104" customFormat="false" ht="15" hidden="false" customHeight="false" outlineLevel="0" collapsed="false">
      <c r="A104" s="31" t="s">
        <v>4488</v>
      </c>
      <c r="B104" s="35" t="n">
        <v>0</v>
      </c>
    </row>
    <row r="105" customFormat="false" ht="15" hidden="false" customHeight="false" outlineLevel="0" collapsed="false">
      <c r="A105" s="31" t="s">
        <v>4489</v>
      </c>
      <c r="B105" s="35" t="n">
        <v>0</v>
      </c>
    </row>
    <row r="106" customFormat="false" ht="15" hidden="false" customHeight="false" outlineLevel="0" collapsed="false">
      <c r="A106" s="31" t="s">
        <v>4490</v>
      </c>
      <c r="B106" s="35" t="n">
        <v>0</v>
      </c>
    </row>
    <row r="107" customFormat="false" ht="15" hidden="false" customHeight="false" outlineLevel="0" collapsed="false">
      <c r="A107" s="31" t="s">
        <v>4491</v>
      </c>
      <c r="B107" s="35" t="n">
        <v>0</v>
      </c>
    </row>
    <row r="108" customFormat="false" ht="15" hidden="false" customHeight="false" outlineLevel="0" collapsed="false">
      <c r="A108" s="31" t="s">
        <v>4492</v>
      </c>
      <c r="B108" s="35" t="n">
        <v>0</v>
      </c>
    </row>
    <row r="109" customFormat="false" ht="15" hidden="false" customHeight="false" outlineLevel="0" collapsed="false">
      <c r="A109" s="31" t="s">
        <v>4493</v>
      </c>
      <c r="B109" s="35" t="n">
        <v>0</v>
      </c>
    </row>
    <row r="110" customFormat="false" ht="15" hidden="false" customHeight="false" outlineLevel="0" collapsed="false">
      <c r="A110" s="31" t="s">
        <v>4494</v>
      </c>
      <c r="B110" s="35" t="n">
        <v>0</v>
      </c>
    </row>
    <row r="111" customFormat="false" ht="15" hidden="false" customHeight="false" outlineLevel="0" collapsed="false">
      <c r="A111" s="31" t="s">
        <v>4495</v>
      </c>
      <c r="B111" s="35" t="n">
        <v>0</v>
      </c>
    </row>
    <row r="112" customFormat="false" ht="15" hidden="false" customHeight="false" outlineLevel="0" collapsed="false">
      <c r="A112" s="31" t="s">
        <v>4496</v>
      </c>
      <c r="B112" s="35" t="n">
        <v>0</v>
      </c>
    </row>
    <row r="113" customFormat="false" ht="15" hidden="false" customHeight="false" outlineLevel="0" collapsed="false">
      <c r="A113" s="31" t="s">
        <v>4497</v>
      </c>
      <c r="B113" s="35" t="n">
        <v>0</v>
      </c>
    </row>
    <row r="114" customFormat="false" ht="15" hidden="false" customHeight="false" outlineLevel="0" collapsed="false">
      <c r="A114" s="31" t="s">
        <v>4498</v>
      </c>
      <c r="B114" s="35" t="n">
        <v>0</v>
      </c>
    </row>
    <row r="115" customFormat="false" ht="15" hidden="false" customHeight="false" outlineLevel="0" collapsed="false">
      <c r="A115" s="31" t="s">
        <v>4499</v>
      </c>
      <c r="B115" s="35" t="n">
        <v>0</v>
      </c>
    </row>
    <row r="116" customFormat="false" ht="15" hidden="false" customHeight="false" outlineLevel="0" collapsed="false">
      <c r="A116" s="31" t="s">
        <v>4500</v>
      </c>
      <c r="B116" s="35" t="n">
        <v>0</v>
      </c>
    </row>
    <row r="117" customFormat="false" ht="15" hidden="false" customHeight="false" outlineLevel="0" collapsed="false">
      <c r="A117" s="31" t="s">
        <v>4501</v>
      </c>
      <c r="B117" s="35" t="n">
        <v>0</v>
      </c>
    </row>
    <row r="118" customFormat="false" ht="15" hidden="false" customHeight="false" outlineLevel="0" collapsed="false">
      <c r="A118" s="31" t="s">
        <v>4502</v>
      </c>
      <c r="B118" s="35" t="n">
        <v>0</v>
      </c>
    </row>
    <row r="119" customFormat="false" ht="15" hidden="false" customHeight="false" outlineLevel="0" collapsed="false">
      <c r="A119" s="31" t="s">
        <v>4503</v>
      </c>
      <c r="B119" s="35" t="n">
        <v>0</v>
      </c>
    </row>
    <row r="120" customFormat="false" ht="15" hidden="false" customHeight="false" outlineLevel="0" collapsed="false">
      <c r="A120" s="31" t="s">
        <v>4504</v>
      </c>
      <c r="B120" s="35" t="n">
        <v>0</v>
      </c>
    </row>
    <row r="121" customFormat="false" ht="15" hidden="false" customHeight="false" outlineLevel="0" collapsed="false">
      <c r="A121" s="31" t="s">
        <v>4505</v>
      </c>
      <c r="B121" s="35" t="n">
        <v>0</v>
      </c>
    </row>
    <row r="122" customFormat="false" ht="15" hidden="false" customHeight="false" outlineLevel="0" collapsed="false">
      <c r="A122" s="31" t="s">
        <v>4506</v>
      </c>
      <c r="B122" s="35" t="n">
        <v>0</v>
      </c>
    </row>
    <row r="123" customFormat="false" ht="15" hidden="false" customHeight="false" outlineLevel="0" collapsed="false">
      <c r="A123" s="31" t="s">
        <v>4507</v>
      </c>
      <c r="B123" s="35" t="n">
        <v>0</v>
      </c>
    </row>
    <row r="124" customFormat="false" ht="15" hidden="false" customHeight="false" outlineLevel="0" collapsed="false">
      <c r="A124" s="31" t="s">
        <v>4508</v>
      </c>
      <c r="B124" s="35" t="n">
        <v>0</v>
      </c>
    </row>
    <row r="125" customFormat="false" ht="15" hidden="false" customHeight="false" outlineLevel="0" collapsed="false">
      <c r="A125" s="31" t="s">
        <v>4509</v>
      </c>
      <c r="B125" s="35" t="n">
        <v>0</v>
      </c>
    </row>
    <row r="126" customFormat="false" ht="15" hidden="false" customHeight="false" outlineLevel="0" collapsed="false">
      <c r="A126" s="31" t="s">
        <v>4510</v>
      </c>
      <c r="B126" s="35" t="n">
        <v>0</v>
      </c>
    </row>
    <row r="127" customFormat="false" ht="15" hidden="false" customHeight="false" outlineLevel="0" collapsed="false">
      <c r="A127" s="31" t="s">
        <v>4511</v>
      </c>
      <c r="B127" s="35" t="n">
        <v>0</v>
      </c>
    </row>
    <row r="128" customFormat="false" ht="15" hidden="false" customHeight="false" outlineLevel="0" collapsed="false">
      <c r="A128" s="31" t="s">
        <v>4512</v>
      </c>
      <c r="B128" s="35" t="n">
        <v>0</v>
      </c>
    </row>
    <row r="129" customFormat="false" ht="15" hidden="false" customHeight="false" outlineLevel="0" collapsed="false">
      <c r="A129" s="31" t="s">
        <v>4513</v>
      </c>
      <c r="B129" s="35" t="n">
        <v>0</v>
      </c>
    </row>
    <row r="130" customFormat="false" ht="15" hidden="false" customHeight="false" outlineLevel="0" collapsed="false">
      <c r="A130" s="31" t="s">
        <v>4514</v>
      </c>
      <c r="B130" s="35" t="n">
        <v>0</v>
      </c>
    </row>
    <row r="131" customFormat="false" ht="15" hidden="false" customHeight="false" outlineLevel="0" collapsed="false">
      <c r="A131" s="31" t="s">
        <v>4515</v>
      </c>
      <c r="B131" s="35" t="n">
        <v>0</v>
      </c>
    </row>
    <row r="132" customFormat="false" ht="15" hidden="false" customHeight="false" outlineLevel="0" collapsed="false">
      <c r="A132" s="31" t="s">
        <v>4516</v>
      </c>
      <c r="B132" s="35" t="n">
        <v>0</v>
      </c>
    </row>
    <row r="133" customFormat="false" ht="15" hidden="false" customHeight="false" outlineLevel="0" collapsed="false">
      <c r="A133" s="31" t="s">
        <v>4517</v>
      </c>
      <c r="B133" s="35" t="n">
        <v>0</v>
      </c>
    </row>
    <row r="134" customFormat="false" ht="15" hidden="false" customHeight="false" outlineLevel="0" collapsed="false">
      <c r="A134" s="31" t="s">
        <v>4518</v>
      </c>
      <c r="B134" s="35" t="n">
        <v>0</v>
      </c>
    </row>
    <row r="135" customFormat="false" ht="15" hidden="false" customHeight="false" outlineLevel="0" collapsed="false">
      <c r="A135" s="31" t="s">
        <v>4519</v>
      </c>
      <c r="B135" s="35" t="n">
        <v>0</v>
      </c>
    </row>
    <row r="136" customFormat="false" ht="15" hidden="false" customHeight="false" outlineLevel="0" collapsed="false">
      <c r="A136" s="31" t="s">
        <v>4520</v>
      </c>
      <c r="B136" s="35" t="n">
        <v>0</v>
      </c>
    </row>
    <row r="137" customFormat="false" ht="15" hidden="false" customHeight="false" outlineLevel="0" collapsed="false">
      <c r="A137" s="31" t="s">
        <v>4521</v>
      </c>
      <c r="B137" s="35" t="n">
        <v>0</v>
      </c>
    </row>
    <row r="138" customFormat="false" ht="15" hidden="false" customHeight="false" outlineLevel="0" collapsed="false">
      <c r="A138" s="31" t="s">
        <v>4522</v>
      </c>
      <c r="B138" s="35" t="n">
        <v>0</v>
      </c>
    </row>
    <row r="139" customFormat="false" ht="15" hidden="false" customHeight="false" outlineLevel="0" collapsed="false">
      <c r="A139" s="31" t="s">
        <v>4523</v>
      </c>
      <c r="B139" s="35" t="n">
        <v>0</v>
      </c>
    </row>
    <row r="140" customFormat="false" ht="15" hidden="false" customHeight="false" outlineLevel="0" collapsed="false">
      <c r="A140" s="31" t="s">
        <v>4524</v>
      </c>
      <c r="B140" s="35" t="n">
        <v>0</v>
      </c>
    </row>
    <row r="141" customFormat="false" ht="15" hidden="false" customHeight="false" outlineLevel="0" collapsed="false">
      <c r="A141" s="31" t="s">
        <v>4525</v>
      </c>
      <c r="B141" s="35" t="n">
        <v>0</v>
      </c>
    </row>
    <row r="142" customFormat="false" ht="15" hidden="false" customHeight="false" outlineLevel="0" collapsed="false">
      <c r="A142" s="31" t="s">
        <v>4526</v>
      </c>
      <c r="B142" s="35" t="n">
        <v>0</v>
      </c>
    </row>
    <row r="143" customFormat="false" ht="15" hidden="false" customHeight="false" outlineLevel="0" collapsed="false">
      <c r="A143" s="31" t="s">
        <v>4527</v>
      </c>
      <c r="B143" s="35" t="n">
        <v>0</v>
      </c>
    </row>
    <row r="144" customFormat="false" ht="15" hidden="false" customHeight="false" outlineLevel="0" collapsed="false">
      <c r="A144" s="31" t="s">
        <v>4528</v>
      </c>
      <c r="B144" s="35" t="n">
        <v>0</v>
      </c>
    </row>
    <row r="145" customFormat="false" ht="15" hidden="false" customHeight="false" outlineLevel="0" collapsed="false">
      <c r="A145" s="31" t="s">
        <v>4529</v>
      </c>
      <c r="B145" s="35" t="n">
        <v>0</v>
      </c>
    </row>
    <row r="146" customFormat="false" ht="15" hidden="false" customHeight="false" outlineLevel="0" collapsed="false">
      <c r="A146" s="31" t="s">
        <v>4530</v>
      </c>
      <c r="B146" s="35" t="n">
        <v>0</v>
      </c>
    </row>
    <row r="147" customFormat="false" ht="15" hidden="false" customHeight="false" outlineLevel="0" collapsed="false">
      <c r="A147" s="31" t="s">
        <v>4531</v>
      </c>
      <c r="B147" s="35" t="n">
        <v>0</v>
      </c>
    </row>
    <row r="148" customFormat="false" ht="15" hidden="false" customHeight="false" outlineLevel="0" collapsed="false">
      <c r="A148" s="31" t="s">
        <v>4532</v>
      </c>
      <c r="B148" s="35" t="n">
        <v>0</v>
      </c>
    </row>
    <row r="149" customFormat="false" ht="15" hidden="false" customHeight="false" outlineLevel="0" collapsed="false">
      <c r="A149" s="31" t="s">
        <v>4533</v>
      </c>
      <c r="B149" s="35" t="n">
        <v>0</v>
      </c>
    </row>
    <row r="150" customFormat="false" ht="15" hidden="false" customHeight="false" outlineLevel="0" collapsed="false">
      <c r="A150" s="31" t="s">
        <v>4534</v>
      </c>
      <c r="B150" s="35" t="n">
        <v>0</v>
      </c>
    </row>
    <row r="151" customFormat="false" ht="15" hidden="false" customHeight="false" outlineLevel="0" collapsed="false">
      <c r="A151" s="31" t="s">
        <v>4535</v>
      </c>
      <c r="B151" s="35" t="n">
        <v>0</v>
      </c>
    </row>
    <row r="152" customFormat="false" ht="15" hidden="false" customHeight="false" outlineLevel="0" collapsed="false">
      <c r="A152" s="31" t="s">
        <v>4536</v>
      </c>
      <c r="B152" s="35" t="n">
        <v>0</v>
      </c>
    </row>
    <row r="153" customFormat="false" ht="15" hidden="false" customHeight="false" outlineLevel="0" collapsed="false">
      <c r="A153" s="31" t="s">
        <v>4537</v>
      </c>
      <c r="B153" s="35" t="n">
        <v>0</v>
      </c>
    </row>
    <row r="154" customFormat="false" ht="15" hidden="false" customHeight="false" outlineLevel="0" collapsed="false">
      <c r="A154" s="31" t="s">
        <v>4538</v>
      </c>
      <c r="B154" s="35" t="n">
        <v>0</v>
      </c>
    </row>
    <row r="155" customFormat="false" ht="15" hidden="false" customHeight="false" outlineLevel="0" collapsed="false">
      <c r="A155" s="31" t="s">
        <v>4539</v>
      </c>
      <c r="B155" s="35" t="n">
        <v>0</v>
      </c>
    </row>
    <row r="156" customFormat="false" ht="15" hidden="false" customHeight="false" outlineLevel="0" collapsed="false">
      <c r="A156" s="31" t="s">
        <v>4540</v>
      </c>
      <c r="B156" s="35" t="n">
        <v>0</v>
      </c>
    </row>
    <row r="157" customFormat="false" ht="15" hidden="false" customHeight="false" outlineLevel="0" collapsed="false">
      <c r="A157" s="31" t="s">
        <v>4541</v>
      </c>
      <c r="B157" s="35" t="n">
        <v>0</v>
      </c>
    </row>
    <row r="158" customFormat="false" ht="15" hidden="false" customHeight="false" outlineLevel="0" collapsed="false">
      <c r="A158" s="31" t="s">
        <v>4542</v>
      </c>
      <c r="B158" s="35" t="n">
        <v>0</v>
      </c>
    </row>
    <row r="159" customFormat="false" ht="15" hidden="false" customHeight="false" outlineLevel="0" collapsed="false">
      <c r="A159" s="31" t="s">
        <v>4543</v>
      </c>
      <c r="B159" s="35" t="n">
        <v>0</v>
      </c>
    </row>
    <row r="160" customFormat="false" ht="15" hidden="false" customHeight="false" outlineLevel="0" collapsed="false">
      <c r="A160" s="31" t="s">
        <v>4544</v>
      </c>
      <c r="B160" s="35" t="n">
        <v>0</v>
      </c>
    </row>
    <row r="161" customFormat="false" ht="15" hidden="false" customHeight="false" outlineLevel="0" collapsed="false">
      <c r="A161" s="31" t="s">
        <v>4545</v>
      </c>
      <c r="B161" s="35" t="n">
        <v>0</v>
      </c>
    </row>
    <row r="162" customFormat="false" ht="15" hidden="false" customHeight="false" outlineLevel="0" collapsed="false">
      <c r="A162" s="31" t="s">
        <v>4546</v>
      </c>
      <c r="B162" s="35" t="n">
        <v>0</v>
      </c>
    </row>
    <row r="163" customFormat="false" ht="15" hidden="false" customHeight="false" outlineLevel="0" collapsed="false">
      <c r="A163" s="31" t="s">
        <v>4547</v>
      </c>
      <c r="B163" s="35" t="n">
        <v>0</v>
      </c>
    </row>
    <row r="164" customFormat="false" ht="15" hidden="false" customHeight="false" outlineLevel="0" collapsed="false">
      <c r="A164" s="31" t="s">
        <v>4548</v>
      </c>
      <c r="B164" s="35" t="n">
        <v>0</v>
      </c>
    </row>
    <row r="165" customFormat="false" ht="15" hidden="false" customHeight="false" outlineLevel="0" collapsed="false">
      <c r="A165" s="31" t="s">
        <v>4549</v>
      </c>
      <c r="B165" s="35" t="n">
        <v>0</v>
      </c>
    </row>
    <row r="166" customFormat="false" ht="15" hidden="false" customHeight="false" outlineLevel="0" collapsed="false">
      <c r="A166" s="31" t="s">
        <v>4550</v>
      </c>
      <c r="B166" s="35" t="n">
        <v>0</v>
      </c>
    </row>
    <row r="167" customFormat="false" ht="15" hidden="false" customHeight="false" outlineLevel="0" collapsed="false">
      <c r="A167" s="31" t="s">
        <v>4551</v>
      </c>
      <c r="B167" s="35" t="n">
        <v>0</v>
      </c>
    </row>
    <row r="168" customFormat="false" ht="15" hidden="false" customHeight="false" outlineLevel="0" collapsed="false">
      <c r="A168" s="31" t="s">
        <v>4552</v>
      </c>
      <c r="B168" s="35" t="n">
        <v>0</v>
      </c>
    </row>
    <row r="169" customFormat="false" ht="15" hidden="false" customHeight="false" outlineLevel="0" collapsed="false">
      <c r="A169" s="31" t="s">
        <v>4553</v>
      </c>
      <c r="B169" s="35" t="n">
        <v>0</v>
      </c>
    </row>
    <row r="170" customFormat="false" ht="15" hidden="false" customHeight="false" outlineLevel="0" collapsed="false">
      <c r="A170" s="31" t="s">
        <v>4554</v>
      </c>
      <c r="B170" s="35" t="n">
        <v>0</v>
      </c>
    </row>
    <row r="171" customFormat="false" ht="15" hidden="false" customHeight="false" outlineLevel="0" collapsed="false">
      <c r="A171" s="31" t="s">
        <v>4555</v>
      </c>
      <c r="B171" s="35" t="n">
        <v>0</v>
      </c>
    </row>
    <row r="172" customFormat="false" ht="15" hidden="false" customHeight="false" outlineLevel="0" collapsed="false">
      <c r="A172" s="31" t="s">
        <v>4556</v>
      </c>
      <c r="B172" s="35" t="n">
        <v>0</v>
      </c>
    </row>
    <row r="173" customFormat="false" ht="15" hidden="false" customHeight="false" outlineLevel="0" collapsed="false">
      <c r="A173" s="31" t="s">
        <v>4557</v>
      </c>
      <c r="B173" s="35" t="n">
        <v>0</v>
      </c>
    </row>
    <row r="174" customFormat="false" ht="15" hidden="false" customHeight="false" outlineLevel="0" collapsed="false">
      <c r="A174" s="31" t="s">
        <v>4558</v>
      </c>
      <c r="B174" s="35" t="n">
        <v>0</v>
      </c>
    </row>
    <row r="175" customFormat="false" ht="15" hidden="false" customHeight="false" outlineLevel="0" collapsed="false">
      <c r="A175" s="31" t="s">
        <v>4559</v>
      </c>
      <c r="B175" s="3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D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5.75"/>
    <col collapsed="false" customWidth="true" hidden="false" outlineLevel="0" max="4" min="4" style="0" width="22"/>
  </cols>
  <sheetData>
    <row r="1" customFormat="false" ht="15" hidden="false" customHeight="false" outlineLevel="0" collapsed="false">
      <c r="A1" s="42" t="s">
        <v>274</v>
      </c>
      <c r="B1" s="41" t="s">
        <v>4193</v>
      </c>
      <c r="D1" s="26" t="str">
        <f aca="false">HYPERLINK("#'Master Overview'!A1","&lt;&lt; Master Overview")</f>
        <v>&lt;&lt; Master Overview</v>
      </c>
    </row>
    <row r="2" customFormat="false" ht="15" hidden="false" customHeight="false" outlineLevel="0" collapsed="false">
      <c r="A2" s="43" t="s">
        <v>4560</v>
      </c>
      <c r="B2" s="35" t="n">
        <v>2</v>
      </c>
      <c r="D2" s="2" t="s">
        <v>4561</v>
      </c>
    </row>
    <row r="3" customFormat="false" ht="15" hidden="false" customHeight="false" outlineLevel="0" collapsed="false">
      <c r="A3" s="43" t="s">
        <v>4562</v>
      </c>
      <c r="B3" s="35" t="n">
        <v>2</v>
      </c>
    </row>
    <row r="4" customFormat="false" ht="15" hidden="false" customHeight="false" outlineLevel="0" collapsed="false">
      <c r="A4" s="43" t="s">
        <v>4563</v>
      </c>
      <c r="B4" s="35" t="n">
        <v>2</v>
      </c>
    </row>
    <row r="5" customFormat="false" ht="15" hidden="false" customHeight="false" outlineLevel="0" collapsed="false">
      <c r="A5" s="43" t="s">
        <v>4564</v>
      </c>
      <c r="B5" s="35" t="n">
        <v>2</v>
      </c>
    </row>
    <row r="6" customFormat="false" ht="15" hidden="false" customHeight="false" outlineLevel="0" collapsed="false">
      <c r="A6" s="43" t="s">
        <v>4565</v>
      </c>
      <c r="B6" s="35" t="n">
        <v>2</v>
      </c>
    </row>
    <row r="7" customFormat="false" ht="15" hidden="false" customHeight="false" outlineLevel="0" collapsed="false">
      <c r="A7" s="43" t="s">
        <v>4566</v>
      </c>
      <c r="B7" s="35" t="n">
        <v>2</v>
      </c>
    </row>
    <row r="8" customFormat="false" ht="15" hidden="false" customHeight="false" outlineLevel="0" collapsed="false">
      <c r="A8" s="43" t="s">
        <v>4567</v>
      </c>
      <c r="B8" s="35" t="n">
        <v>2</v>
      </c>
    </row>
    <row r="9" customFormat="false" ht="15" hidden="false" customHeight="false" outlineLevel="0" collapsed="false">
      <c r="A9" s="43" t="s">
        <v>4568</v>
      </c>
      <c r="B9" s="35" t="n">
        <v>6</v>
      </c>
    </row>
    <row r="10" customFormat="false" ht="15" hidden="false" customHeight="false" outlineLevel="0" collapsed="false">
      <c r="A10" s="43" t="s">
        <v>4569</v>
      </c>
      <c r="B10" s="35" t="n">
        <v>2</v>
      </c>
    </row>
    <row r="11" customFormat="false" ht="15" hidden="false" customHeight="false" outlineLevel="0" collapsed="false">
      <c r="A11" s="43" t="s">
        <v>4570</v>
      </c>
      <c r="B11" s="35" t="n">
        <v>2</v>
      </c>
    </row>
    <row r="12" customFormat="false" ht="15" hidden="false" customHeight="false" outlineLevel="0" collapsed="false">
      <c r="A12" s="43" t="s">
        <v>4571</v>
      </c>
      <c r="B12" s="35" t="n">
        <v>2</v>
      </c>
    </row>
    <row r="13" customFormat="false" ht="15" hidden="false" customHeight="false" outlineLevel="0" collapsed="false">
      <c r="A13" s="43" t="s">
        <v>4572</v>
      </c>
      <c r="B13" s="35" t="n">
        <v>2</v>
      </c>
    </row>
    <row r="14" customFormat="false" ht="15" hidden="false" customHeight="false" outlineLevel="0" collapsed="false">
      <c r="A14" s="43" t="s">
        <v>4573</v>
      </c>
      <c r="B14" s="35" t="n">
        <v>6</v>
      </c>
    </row>
    <row r="15" customFormat="false" ht="15" hidden="false" customHeight="false" outlineLevel="0" collapsed="false">
      <c r="A15" s="43" t="s">
        <v>4574</v>
      </c>
      <c r="B15" s="35" t="n">
        <v>8</v>
      </c>
    </row>
    <row r="16" customFormat="false" ht="15" hidden="false" customHeight="false" outlineLevel="0" collapsed="false">
      <c r="A16" s="43" t="s">
        <v>4575</v>
      </c>
      <c r="B16" s="35" t="n">
        <v>3</v>
      </c>
    </row>
    <row r="17" customFormat="false" ht="15" hidden="false" customHeight="false" outlineLevel="0" collapsed="false">
      <c r="A17" s="43" t="s">
        <v>4576</v>
      </c>
      <c r="B17" s="35" t="n">
        <v>7</v>
      </c>
    </row>
    <row r="18" customFormat="false" ht="15" hidden="false" customHeight="false" outlineLevel="0" collapsed="false">
      <c r="A18" s="43" t="s">
        <v>4577</v>
      </c>
      <c r="B18" s="35" t="n">
        <v>6</v>
      </c>
    </row>
    <row r="19" customFormat="false" ht="15" hidden="false" customHeight="false" outlineLevel="0" collapsed="false">
      <c r="A19" s="43" t="s">
        <v>4578</v>
      </c>
      <c r="B19" s="35" t="n">
        <v>7</v>
      </c>
    </row>
    <row r="20" customFormat="false" ht="15" hidden="false" customHeight="false" outlineLevel="0" collapsed="false">
      <c r="A20" s="43" t="s">
        <v>4579</v>
      </c>
      <c r="B20" s="35" t="n">
        <v>9</v>
      </c>
    </row>
    <row r="21" customFormat="false" ht="15" hidden="false" customHeight="false" outlineLevel="0" collapsed="false">
      <c r="A21" s="43" t="s">
        <v>4580</v>
      </c>
      <c r="B21" s="35" t="n">
        <v>2</v>
      </c>
    </row>
    <row r="22" customFormat="false" ht="15" hidden="false" customHeight="false" outlineLevel="0" collapsed="false">
      <c r="A22" s="43" t="s">
        <v>4581</v>
      </c>
      <c r="B22" s="35" t="n">
        <v>2</v>
      </c>
    </row>
    <row r="23" customFormat="false" ht="15" hidden="false" customHeight="false" outlineLevel="0" collapsed="false">
      <c r="A23" s="43" t="s">
        <v>4582</v>
      </c>
      <c r="B23" s="35" t="n">
        <v>8</v>
      </c>
    </row>
    <row r="24" customFormat="false" ht="15" hidden="false" customHeight="false" outlineLevel="0" collapsed="false">
      <c r="A24" s="43" t="s">
        <v>4583</v>
      </c>
      <c r="B24" s="35" t="n">
        <v>2</v>
      </c>
    </row>
    <row r="25" customFormat="false" ht="15" hidden="false" customHeight="false" outlineLevel="0" collapsed="false">
      <c r="A25" s="43" t="s">
        <v>4584</v>
      </c>
      <c r="B25" s="35" t="n">
        <v>7</v>
      </c>
    </row>
    <row r="26" customFormat="false" ht="15" hidden="false" customHeight="false" outlineLevel="0" collapsed="false">
      <c r="A26" s="43" t="s">
        <v>4585</v>
      </c>
      <c r="B26" s="35" t="n">
        <v>7</v>
      </c>
    </row>
    <row r="27" customFormat="false" ht="15" hidden="false" customHeight="false" outlineLevel="0" collapsed="false">
      <c r="A27" s="43" t="s">
        <v>4586</v>
      </c>
      <c r="B27" s="35" t="n">
        <v>2</v>
      </c>
    </row>
    <row r="28" customFormat="false" ht="15" hidden="false" customHeight="false" outlineLevel="0" collapsed="false">
      <c r="A28" s="43" t="s">
        <v>4587</v>
      </c>
      <c r="B28" s="35" t="n">
        <v>2</v>
      </c>
    </row>
    <row r="29" customFormat="false" ht="15" hidden="false" customHeight="false" outlineLevel="0" collapsed="false">
      <c r="A29" s="43" t="s">
        <v>4588</v>
      </c>
      <c r="B29" s="35" t="n">
        <v>6</v>
      </c>
    </row>
    <row r="30" customFormat="false" ht="15" hidden="false" customHeight="false" outlineLevel="0" collapsed="false">
      <c r="A30" s="43" t="s">
        <v>4589</v>
      </c>
      <c r="B30" s="35" t="n">
        <v>3</v>
      </c>
    </row>
    <row r="31" customFormat="false" ht="15" hidden="false" customHeight="false" outlineLevel="0" collapsed="false">
      <c r="A31" s="43" t="s">
        <v>4590</v>
      </c>
      <c r="B31" s="35" t="n">
        <v>6</v>
      </c>
    </row>
    <row r="32" customFormat="false" ht="15" hidden="false" customHeight="false" outlineLevel="0" collapsed="false">
      <c r="A32" s="43" t="s">
        <v>4591</v>
      </c>
      <c r="B32" s="35" t="n">
        <v>7</v>
      </c>
    </row>
    <row r="33" customFormat="false" ht="15" hidden="false" customHeight="false" outlineLevel="0" collapsed="false">
      <c r="A33" s="43" t="s">
        <v>4592</v>
      </c>
      <c r="B33" s="35" t="n">
        <v>8</v>
      </c>
    </row>
    <row r="34" customFormat="false" ht="15" hidden="false" customHeight="false" outlineLevel="0" collapsed="false">
      <c r="A34" s="43" t="s">
        <v>4593</v>
      </c>
      <c r="B34" s="35" t="n">
        <v>6</v>
      </c>
    </row>
    <row r="35" customFormat="false" ht="15" hidden="false" customHeight="false" outlineLevel="0" collapsed="false">
      <c r="A35" s="43" t="s">
        <v>4594</v>
      </c>
      <c r="B35" s="35" t="n">
        <v>9</v>
      </c>
    </row>
    <row r="36" customFormat="false" ht="15" hidden="false" customHeight="false" outlineLevel="0" collapsed="false">
      <c r="A36" s="43" t="s">
        <v>4595</v>
      </c>
      <c r="B36" s="35" t="n">
        <v>3</v>
      </c>
    </row>
    <row r="37" customFormat="false" ht="15" hidden="false" customHeight="false" outlineLevel="0" collapsed="false">
      <c r="A37" s="43" t="s">
        <v>4596</v>
      </c>
      <c r="B37" s="35" t="n">
        <v>3</v>
      </c>
    </row>
    <row r="38" customFormat="false" ht="15" hidden="false" customHeight="false" outlineLevel="0" collapsed="false">
      <c r="A38" s="43" t="s">
        <v>4597</v>
      </c>
      <c r="B38" s="35" t="n">
        <v>7</v>
      </c>
    </row>
    <row r="39" customFormat="false" ht="15" hidden="false" customHeight="false" outlineLevel="0" collapsed="false">
      <c r="A39" s="43" t="s">
        <v>4598</v>
      </c>
      <c r="B39" s="35" t="n">
        <v>2</v>
      </c>
    </row>
    <row r="40" customFormat="false" ht="15" hidden="false" customHeight="false" outlineLevel="0" collapsed="false">
      <c r="A40" s="43" t="s">
        <v>4599</v>
      </c>
      <c r="B40" s="35" t="n">
        <v>6</v>
      </c>
    </row>
    <row r="41" customFormat="false" ht="15" hidden="false" customHeight="false" outlineLevel="0" collapsed="false">
      <c r="A41" s="43" t="s">
        <v>4600</v>
      </c>
      <c r="B41" s="35" t="n">
        <v>9</v>
      </c>
    </row>
    <row r="42" customFormat="false" ht="15" hidden="false" customHeight="false" outlineLevel="0" collapsed="false">
      <c r="A42" s="43" t="s">
        <v>4601</v>
      </c>
      <c r="B42" s="35" t="n">
        <v>3</v>
      </c>
    </row>
    <row r="43" customFormat="false" ht="15" hidden="false" customHeight="false" outlineLevel="0" collapsed="false">
      <c r="A43" s="43" t="s">
        <v>4602</v>
      </c>
      <c r="B43" s="35" t="n">
        <v>9</v>
      </c>
    </row>
    <row r="44" customFormat="false" ht="15" hidden="false" customHeight="false" outlineLevel="0" collapsed="false">
      <c r="A44" s="43" t="s">
        <v>4603</v>
      </c>
      <c r="B44" s="35" t="n">
        <v>9</v>
      </c>
    </row>
    <row r="45" customFormat="false" ht="15" hidden="false" customHeight="false" outlineLevel="0" collapsed="false">
      <c r="A45" s="43" t="s">
        <v>4604</v>
      </c>
      <c r="B45" s="35" t="n">
        <v>3</v>
      </c>
    </row>
    <row r="46" customFormat="false" ht="15" hidden="false" customHeight="false" outlineLevel="0" collapsed="false">
      <c r="A46" s="43" t="s">
        <v>4605</v>
      </c>
      <c r="B46" s="35" t="n">
        <v>2</v>
      </c>
    </row>
    <row r="47" customFormat="false" ht="15" hidden="false" customHeight="false" outlineLevel="0" collapsed="false">
      <c r="A47" s="43" t="s">
        <v>4606</v>
      </c>
      <c r="B47" s="35" t="n">
        <v>9</v>
      </c>
    </row>
    <row r="48" customFormat="false" ht="15" hidden="false" customHeight="false" outlineLevel="0" collapsed="false">
      <c r="A48" s="43" t="s">
        <v>4607</v>
      </c>
      <c r="B48" s="35" t="n">
        <v>3</v>
      </c>
    </row>
    <row r="49" customFormat="false" ht="15" hidden="false" customHeight="false" outlineLevel="0" collapsed="false">
      <c r="A49" s="43" t="s">
        <v>4608</v>
      </c>
      <c r="B49" s="35" t="n">
        <v>7</v>
      </c>
    </row>
    <row r="50" customFormat="false" ht="15" hidden="false" customHeight="false" outlineLevel="0" collapsed="false">
      <c r="A50" s="43" t="s">
        <v>4609</v>
      </c>
      <c r="B50" s="35" t="n">
        <v>6</v>
      </c>
    </row>
    <row r="51" customFormat="false" ht="15" hidden="false" customHeight="false" outlineLevel="0" collapsed="false">
      <c r="A51" s="43" t="s">
        <v>4610</v>
      </c>
      <c r="B51" s="35" t="n">
        <v>2</v>
      </c>
    </row>
    <row r="52" customFormat="false" ht="15" hidden="false" customHeight="false" outlineLevel="0" collapsed="false">
      <c r="A52" s="43" t="s">
        <v>4611</v>
      </c>
      <c r="B52" s="35" t="n">
        <v>7</v>
      </c>
    </row>
    <row r="53" customFormat="false" ht="15" hidden="false" customHeight="false" outlineLevel="0" collapsed="false">
      <c r="A53" s="43" t="s">
        <v>4612</v>
      </c>
      <c r="B53" s="35" t="n">
        <v>2</v>
      </c>
    </row>
    <row r="54" customFormat="false" ht="15" hidden="false" customHeight="false" outlineLevel="0" collapsed="false">
      <c r="A54" s="43" t="s">
        <v>4613</v>
      </c>
      <c r="B54" s="35" t="n">
        <v>3</v>
      </c>
    </row>
    <row r="55" customFormat="false" ht="15" hidden="false" customHeight="false" outlineLevel="0" collapsed="false">
      <c r="A55" s="43" t="s">
        <v>4614</v>
      </c>
      <c r="B55" s="35" t="n">
        <v>6</v>
      </c>
    </row>
    <row r="56" customFormat="false" ht="15" hidden="false" customHeight="false" outlineLevel="0" collapsed="false">
      <c r="A56" s="43" t="s">
        <v>4615</v>
      </c>
      <c r="B56" s="35" t="n">
        <v>6</v>
      </c>
    </row>
    <row r="57" customFormat="false" ht="15" hidden="false" customHeight="false" outlineLevel="0" collapsed="false">
      <c r="A57" s="43" t="s">
        <v>4616</v>
      </c>
      <c r="B57" s="35" t="n">
        <v>6</v>
      </c>
    </row>
    <row r="58" customFormat="false" ht="15" hidden="false" customHeight="false" outlineLevel="0" collapsed="false">
      <c r="A58" s="43" t="s">
        <v>4617</v>
      </c>
      <c r="B58" s="35" t="n">
        <v>7</v>
      </c>
    </row>
    <row r="59" customFormat="false" ht="15" hidden="false" customHeight="false" outlineLevel="0" collapsed="false">
      <c r="A59" s="43" t="s">
        <v>4618</v>
      </c>
      <c r="B59" s="35" t="n">
        <v>7</v>
      </c>
    </row>
    <row r="60" customFormat="false" ht="15" hidden="false" customHeight="false" outlineLevel="0" collapsed="false">
      <c r="A60" s="43" t="s">
        <v>4619</v>
      </c>
      <c r="B60" s="35" t="n">
        <v>2</v>
      </c>
    </row>
    <row r="61" customFormat="false" ht="15" hidden="false" customHeight="false" outlineLevel="0" collapsed="false">
      <c r="A61" s="43" t="s">
        <v>4620</v>
      </c>
      <c r="B61" s="35" t="n">
        <v>2</v>
      </c>
    </row>
    <row r="62" customFormat="false" ht="15" hidden="false" customHeight="false" outlineLevel="0" collapsed="false">
      <c r="A62" s="43" t="s">
        <v>4621</v>
      </c>
      <c r="B62" s="35" t="n">
        <v>9</v>
      </c>
    </row>
    <row r="63" customFormat="false" ht="15" hidden="false" customHeight="false" outlineLevel="0" collapsed="false">
      <c r="A63" s="43" t="s">
        <v>4622</v>
      </c>
      <c r="B63" s="35" t="n">
        <v>2</v>
      </c>
    </row>
    <row r="64" customFormat="false" ht="15" hidden="false" customHeight="false" outlineLevel="0" collapsed="false">
      <c r="A64" s="43" t="s">
        <v>4623</v>
      </c>
      <c r="B64" s="35" t="n">
        <v>7</v>
      </c>
    </row>
    <row r="65" customFormat="false" ht="15" hidden="false" customHeight="false" outlineLevel="0" collapsed="false">
      <c r="A65" s="43" t="s">
        <v>4624</v>
      </c>
      <c r="B65" s="35" t="n">
        <v>7</v>
      </c>
    </row>
    <row r="66" customFormat="false" ht="15" hidden="false" customHeight="false" outlineLevel="0" collapsed="false">
      <c r="A66" s="43" t="s">
        <v>4625</v>
      </c>
      <c r="B66" s="35" t="n">
        <v>3</v>
      </c>
    </row>
    <row r="67" customFormat="false" ht="15" hidden="false" customHeight="false" outlineLevel="0" collapsed="false">
      <c r="A67" s="43" t="s">
        <v>4626</v>
      </c>
      <c r="B67" s="35" t="n">
        <v>3</v>
      </c>
    </row>
    <row r="68" customFormat="false" ht="15" hidden="false" customHeight="false" outlineLevel="0" collapsed="false">
      <c r="A68" s="43" t="s">
        <v>4627</v>
      </c>
      <c r="B68" s="35" t="n">
        <v>3</v>
      </c>
    </row>
    <row r="69" customFormat="false" ht="15" hidden="false" customHeight="false" outlineLevel="0" collapsed="false">
      <c r="A69" s="43" t="s">
        <v>4628</v>
      </c>
      <c r="B69" s="35" t="n">
        <v>7</v>
      </c>
    </row>
    <row r="70" customFormat="false" ht="15" hidden="false" customHeight="false" outlineLevel="0" collapsed="false">
      <c r="A70" s="43" t="s">
        <v>4629</v>
      </c>
      <c r="B70" s="35" t="n">
        <v>6</v>
      </c>
    </row>
    <row r="71" customFormat="false" ht="15" hidden="false" customHeight="false" outlineLevel="0" collapsed="false">
      <c r="A71" s="43" t="s">
        <v>4630</v>
      </c>
      <c r="B71" s="35" t="n">
        <v>8</v>
      </c>
    </row>
    <row r="72" customFormat="false" ht="15" hidden="false" customHeight="false" outlineLevel="0" collapsed="false">
      <c r="A72" s="43" t="s">
        <v>4631</v>
      </c>
      <c r="B72" s="35" t="n">
        <v>7</v>
      </c>
    </row>
    <row r="73" customFormat="false" ht="15" hidden="false" customHeight="false" outlineLevel="0" collapsed="false">
      <c r="A73" s="43" t="s">
        <v>4632</v>
      </c>
      <c r="B73" s="35" t="n">
        <v>6</v>
      </c>
    </row>
    <row r="74" customFormat="false" ht="15" hidden="false" customHeight="false" outlineLevel="0" collapsed="false">
      <c r="A74" s="43" t="s">
        <v>4633</v>
      </c>
      <c r="B74" s="35" t="n">
        <v>3</v>
      </c>
    </row>
    <row r="75" customFormat="false" ht="15" hidden="false" customHeight="false" outlineLevel="0" collapsed="false">
      <c r="A75" s="43" t="s">
        <v>4634</v>
      </c>
      <c r="B75" s="35" t="n">
        <v>3</v>
      </c>
    </row>
    <row r="76" customFormat="false" ht="15" hidden="false" customHeight="false" outlineLevel="0" collapsed="false">
      <c r="A76" s="43" t="s">
        <v>4635</v>
      </c>
      <c r="B76" s="35" t="n">
        <v>6</v>
      </c>
    </row>
    <row r="77" customFormat="false" ht="15" hidden="false" customHeight="false" outlineLevel="0" collapsed="false">
      <c r="A77" s="43" t="s">
        <v>4636</v>
      </c>
      <c r="B77" s="35" t="n">
        <v>2</v>
      </c>
    </row>
    <row r="78" customFormat="false" ht="15" hidden="false" customHeight="false" outlineLevel="0" collapsed="false">
      <c r="A78" s="43" t="s">
        <v>4637</v>
      </c>
      <c r="B78" s="35" t="n">
        <v>6</v>
      </c>
    </row>
    <row r="79" customFormat="false" ht="15" hidden="false" customHeight="false" outlineLevel="0" collapsed="false">
      <c r="A79" s="43" t="s">
        <v>4638</v>
      </c>
      <c r="B79" s="35" t="n">
        <v>9</v>
      </c>
    </row>
    <row r="80" customFormat="false" ht="15" hidden="false" customHeight="false" outlineLevel="0" collapsed="false">
      <c r="A80" s="43" t="s">
        <v>4639</v>
      </c>
      <c r="B80" s="35" t="n">
        <v>8</v>
      </c>
    </row>
    <row r="81" customFormat="false" ht="15" hidden="false" customHeight="false" outlineLevel="0" collapsed="false">
      <c r="A81" s="43" t="s">
        <v>4640</v>
      </c>
      <c r="B81" s="35" t="n">
        <v>2</v>
      </c>
    </row>
    <row r="82" customFormat="false" ht="15" hidden="false" customHeight="false" outlineLevel="0" collapsed="false">
      <c r="A82" s="43" t="s">
        <v>4641</v>
      </c>
      <c r="B82" s="35" t="n">
        <v>3</v>
      </c>
    </row>
    <row r="83" customFormat="false" ht="15" hidden="false" customHeight="false" outlineLevel="0" collapsed="false">
      <c r="A83" s="43" t="s">
        <v>4642</v>
      </c>
      <c r="B83" s="35" t="n">
        <v>6</v>
      </c>
    </row>
    <row r="84" customFormat="false" ht="15" hidden="false" customHeight="false" outlineLevel="0" collapsed="false">
      <c r="A84" s="43" t="s">
        <v>4643</v>
      </c>
      <c r="B84" s="35" t="n">
        <v>7</v>
      </c>
    </row>
    <row r="85" customFormat="false" ht="15" hidden="false" customHeight="false" outlineLevel="0" collapsed="false">
      <c r="A85" s="43" t="s">
        <v>4644</v>
      </c>
      <c r="B85" s="35" t="n">
        <v>7</v>
      </c>
    </row>
    <row r="86" customFormat="false" ht="15" hidden="false" customHeight="false" outlineLevel="0" collapsed="false">
      <c r="A86" s="43" t="s">
        <v>4645</v>
      </c>
      <c r="B86" s="35" t="n">
        <v>2</v>
      </c>
    </row>
    <row r="87" customFormat="false" ht="15" hidden="false" customHeight="false" outlineLevel="0" collapsed="false">
      <c r="A87" s="43" t="s">
        <v>4646</v>
      </c>
      <c r="B87" s="35" t="n">
        <v>6</v>
      </c>
    </row>
    <row r="88" customFormat="false" ht="15" hidden="false" customHeight="false" outlineLevel="0" collapsed="false">
      <c r="A88" s="43" t="s">
        <v>4647</v>
      </c>
      <c r="B88" s="35" t="n">
        <v>8</v>
      </c>
    </row>
    <row r="89" customFormat="false" ht="15" hidden="false" customHeight="false" outlineLevel="0" collapsed="false">
      <c r="A89" s="43" t="s">
        <v>4648</v>
      </c>
      <c r="B89" s="35" t="n">
        <v>2</v>
      </c>
    </row>
    <row r="90" customFormat="false" ht="15" hidden="false" customHeight="false" outlineLevel="0" collapsed="false">
      <c r="A90" s="43" t="s">
        <v>4649</v>
      </c>
      <c r="B90" s="35" t="n">
        <v>3</v>
      </c>
    </row>
    <row r="91" customFormat="false" ht="15" hidden="false" customHeight="false" outlineLevel="0" collapsed="false">
      <c r="A91" s="43" t="s">
        <v>4650</v>
      </c>
      <c r="B91" s="35" t="n">
        <v>3</v>
      </c>
    </row>
    <row r="92" customFormat="false" ht="15" hidden="false" customHeight="false" outlineLevel="0" collapsed="false">
      <c r="A92" s="43" t="s">
        <v>4651</v>
      </c>
      <c r="B92" s="35" t="n">
        <v>8</v>
      </c>
    </row>
    <row r="93" customFormat="false" ht="15" hidden="false" customHeight="false" outlineLevel="0" collapsed="false">
      <c r="A93" s="43" t="s">
        <v>4652</v>
      </c>
      <c r="B93" s="35" t="n">
        <v>8</v>
      </c>
    </row>
    <row r="94" customFormat="false" ht="15" hidden="false" customHeight="false" outlineLevel="0" collapsed="false">
      <c r="A94" s="43" t="s">
        <v>4653</v>
      </c>
      <c r="B94" s="35" t="n">
        <v>3</v>
      </c>
    </row>
    <row r="95" customFormat="false" ht="15" hidden="false" customHeight="false" outlineLevel="0" collapsed="false">
      <c r="A95" s="43" t="s">
        <v>4654</v>
      </c>
      <c r="B95" s="35" t="n">
        <v>3</v>
      </c>
    </row>
    <row r="96" customFormat="false" ht="15" hidden="false" customHeight="false" outlineLevel="0" collapsed="false">
      <c r="A96" s="43" t="s">
        <v>4655</v>
      </c>
      <c r="B96" s="35" t="n">
        <v>7</v>
      </c>
    </row>
    <row r="97" customFormat="false" ht="15" hidden="false" customHeight="false" outlineLevel="0" collapsed="false">
      <c r="A97" s="43" t="s">
        <v>4656</v>
      </c>
      <c r="B97" s="35" t="n">
        <v>9</v>
      </c>
    </row>
    <row r="98" customFormat="false" ht="15" hidden="false" customHeight="false" outlineLevel="0" collapsed="false">
      <c r="A98" s="43" t="s">
        <v>4657</v>
      </c>
      <c r="B98" s="35" t="n">
        <v>7</v>
      </c>
    </row>
    <row r="99" customFormat="false" ht="15" hidden="false" customHeight="false" outlineLevel="0" collapsed="false">
      <c r="A99" s="43" t="s">
        <v>4658</v>
      </c>
      <c r="B99" s="35" t="n">
        <v>8</v>
      </c>
    </row>
    <row r="100" customFormat="false" ht="15" hidden="false" customHeight="false" outlineLevel="0" collapsed="false">
      <c r="A100" s="43" t="s">
        <v>4659</v>
      </c>
      <c r="B100" s="35" t="n">
        <v>2</v>
      </c>
    </row>
    <row r="101" customFormat="false" ht="15" hidden="false" customHeight="false" outlineLevel="0" collapsed="false">
      <c r="A101" s="43" t="s">
        <v>4660</v>
      </c>
      <c r="B101" s="35" t="n">
        <v>2</v>
      </c>
    </row>
    <row r="102" customFormat="false" ht="15" hidden="false" customHeight="false" outlineLevel="0" collapsed="false">
      <c r="A102" s="43" t="s">
        <v>4661</v>
      </c>
      <c r="B102" s="35" t="n">
        <v>6</v>
      </c>
    </row>
    <row r="103" customFormat="false" ht="15" hidden="false" customHeight="false" outlineLevel="0" collapsed="false">
      <c r="A103" s="43" t="s">
        <v>4662</v>
      </c>
      <c r="B103" s="35"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E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9"/>
    <col collapsed="false" customWidth="true" hidden="false" outlineLevel="0" max="2" min="2" style="0" width="57"/>
    <col collapsed="false" customWidth="true" hidden="false" outlineLevel="0" max="5" min="5" style="0" width="22"/>
  </cols>
  <sheetData>
    <row r="1" customFormat="false" ht="15" hidden="false" customHeight="false" outlineLevel="0" collapsed="false">
      <c r="A1" s="41" t="s">
        <v>274</v>
      </c>
      <c r="B1" s="41" t="s">
        <v>4663</v>
      </c>
      <c r="C1" s="41" t="s">
        <v>2507</v>
      </c>
      <c r="E1" s="26" t="str">
        <f aca="false">HYPERLINK("#'Master Overview'!A1","&lt;&lt; Master Overview")</f>
        <v>&lt;&lt; Master Overview</v>
      </c>
    </row>
    <row r="2" customFormat="false" ht="15" hidden="false" customHeight="false" outlineLevel="0" collapsed="false">
      <c r="A2" s="31" t="s">
        <v>4388</v>
      </c>
      <c r="B2" s="31" t="s">
        <v>4664</v>
      </c>
      <c r="C2" s="35" t="n">
        <v>72</v>
      </c>
      <c r="E2" s="2" t="s">
        <v>4665</v>
      </c>
    </row>
    <row r="3" customFormat="false" ht="15" hidden="false" customHeight="false" outlineLevel="0" collapsed="false">
      <c r="A3" s="31" t="s">
        <v>4390</v>
      </c>
      <c r="B3" s="31" t="s">
        <v>4666</v>
      </c>
      <c r="C3" s="35" t="n">
        <v>73</v>
      </c>
    </row>
    <row r="4" customFormat="false" ht="15" hidden="false" customHeight="false" outlineLevel="0" collapsed="false">
      <c r="A4" s="31" t="s">
        <v>4393</v>
      </c>
      <c r="B4" s="31" t="s">
        <v>4667</v>
      </c>
      <c r="C4" s="35" t="n">
        <v>71</v>
      </c>
    </row>
    <row r="5" customFormat="false" ht="15" hidden="false" customHeight="false" outlineLevel="0" collapsed="false">
      <c r="A5" s="31" t="s">
        <v>4409</v>
      </c>
      <c r="B5" s="31" t="s">
        <v>4668</v>
      </c>
      <c r="C5" s="35" t="n">
        <v>73</v>
      </c>
    </row>
    <row r="6" customFormat="false" ht="15" hidden="false" customHeight="false" outlineLevel="0" collapsed="false">
      <c r="A6" s="31" t="s">
        <v>4669</v>
      </c>
      <c r="B6" s="31" t="s">
        <v>4670</v>
      </c>
      <c r="C6" s="35" t="n">
        <v>74</v>
      </c>
    </row>
    <row r="7" customFormat="false" ht="15" hidden="false" customHeight="false" outlineLevel="0" collapsed="false">
      <c r="A7" s="31" t="s">
        <v>4412</v>
      </c>
      <c r="B7" s="31" t="s">
        <v>4671</v>
      </c>
      <c r="C7" s="35" t="n">
        <v>78</v>
      </c>
    </row>
    <row r="8" customFormat="false" ht="15" hidden="false" customHeight="false" outlineLevel="0" collapsed="false">
      <c r="A8" s="31" t="s">
        <v>4672</v>
      </c>
      <c r="B8" s="31" t="s">
        <v>4673</v>
      </c>
      <c r="C8" s="35" t="n">
        <v>71</v>
      </c>
    </row>
    <row r="9" customFormat="false" ht="15" hidden="false" customHeight="false" outlineLevel="0" collapsed="false">
      <c r="A9" s="31" t="s">
        <v>4413</v>
      </c>
      <c r="B9" s="31" t="s">
        <v>4674</v>
      </c>
      <c r="C9" s="35" t="n">
        <v>81</v>
      </c>
    </row>
    <row r="10" customFormat="false" ht="15" hidden="false" customHeight="false" outlineLevel="0" collapsed="false">
      <c r="A10" s="31" t="s">
        <v>4425</v>
      </c>
      <c r="B10" s="31" t="s">
        <v>4675</v>
      </c>
      <c r="C10" s="35" t="n">
        <v>75</v>
      </c>
    </row>
    <row r="11" customFormat="false" ht="15" hidden="false" customHeight="false" outlineLevel="0" collapsed="false">
      <c r="A11" s="31" t="s">
        <v>4430</v>
      </c>
      <c r="B11" s="31" t="s">
        <v>4676</v>
      </c>
      <c r="C11" s="35" t="n">
        <v>72</v>
      </c>
    </row>
    <row r="12" customFormat="false" ht="15" hidden="false" customHeight="false" outlineLevel="0" collapsed="false">
      <c r="A12" s="31" t="s">
        <v>4432</v>
      </c>
      <c r="B12" s="31" t="s">
        <v>4677</v>
      </c>
      <c r="C12" s="35" t="n">
        <v>81</v>
      </c>
    </row>
    <row r="13" customFormat="false" ht="15" hidden="false" customHeight="false" outlineLevel="0" collapsed="false">
      <c r="A13" s="31" t="s">
        <v>4678</v>
      </c>
      <c r="B13" s="31" t="s">
        <v>4679</v>
      </c>
      <c r="C13" s="35" t="n">
        <v>71</v>
      </c>
    </row>
    <row r="14" customFormat="false" ht="15" hidden="false" customHeight="false" outlineLevel="0" collapsed="false">
      <c r="A14" s="31" t="s">
        <v>4680</v>
      </c>
      <c r="B14" s="31" t="s">
        <v>4681</v>
      </c>
      <c r="C14" s="35" t="n">
        <v>71</v>
      </c>
    </row>
    <row r="15" customFormat="false" ht="15" hidden="false" customHeight="false" outlineLevel="0" collapsed="false">
      <c r="A15" s="31" t="s">
        <v>4682</v>
      </c>
      <c r="B15" s="31" t="s">
        <v>4683</v>
      </c>
      <c r="C15" s="35" t="n">
        <v>74</v>
      </c>
    </row>
    <row r="16" customFormat="false" ht="15" hidden="false" customHeight="false" outlineLevel="0" collapsed="false">
      <c r="A16" s="31" t="s">
        <v>4684</v>
      </c>
      <c r="B16" s="31" t="s">
        <v>4685</v>
      </c>
      <c r="C16" s="35" t="n">
        <v>74</v>
      </c>
    </row>
    <row r="17" customFormat="false" ht="15" hidden="false" customHeight="false" outlineLevel="0" collapsed="false">
      <c r="A17" s="31" t="s">
        <v>4454</v>
      </c>
      <c r="B17" s="31" t="s">
        <v>4664</v>
      </c>
      <c r="C17" s="35" t="n">
        <v>72</v>
      </c>
    </row>
    <row r="18" customFormat="false" ht="15" hidden="false" customHeight="false" outlineLevel="0" collapsed="false">
      <c r="A18" s="31" t="s">
        <v>4686</v>
      </c>
      <c r="B18" s="31" t="s">
        <v>4687</v>
      </c>
      <c r="C18" s="35" t="n">
        <v>74</v>
      </c>
    </row>
    <row r="19" customFormat="false" ht="15" hidden="false" customHeight="false" outlineLevel="0" collapsed="false">
      <c r="A19" s="31" t="s">
        <v>4688</v>
      </c>
      <c r="B19" s="31" t="s">
        <v>4689</v>
      </c>
      <c r="C19" s="35" t="n">
        <v>76</v>
      </c>
    </row>
    <row r="20" customFormat="false" ht="15" hidden="false" customHeight="false" outlineLevel="0" collapsed="false">
      <c r="A20" s="31" t="s">
        <v>4457</v>
      </c>
      <c r="B20" s="31" t="s">
        <v>4690</v>
      </c>
      <c r="C20" s="35" t="n">
        <v>81</v>
      </c>
    </row>
    <row r="21" customFormat="false" ht="15" hidden="false" customHeight="false" outlineLevel="0" collapsed="false">
      <c r="A21" s="31" t="s">
        <v>4459</v>
      </c>
      <c r="B21" s="31" t="s">
        <v>4691</v>
      </c>
      <c r="C21" s="35" t="n">
        <v>78</v>
      </c>
    </row>
    <row r="22" customFormat="false" ht="15" hidden="false" customHeight="false" outlineLevel="0" collapsed="false">
      <c r="A22" s="31" t="s">
        <v>4461</v>
      </c>
      <c r="B22" s="31" t="s">
        <v>4664</v>
      </c>
      <c r="C22" s="35" t="n">
        <v>72</v>
      </c>
    </row>
    <row r="23" customFormat="false" ht="15" hidden="false" customHeight="false" outlineLevel="0" collapsed="false">
      <c r="A23" s="31" t="s">
        <v>4466</v>
      </c>
      <c r="B23" s="31" t="s">
        <v>4666</v>
      </c>
      <c r="C23" s="35" t="n">
        <v>73</v>
      </c>
    </row>
    <row r="24" customFormat="false" ht="15" hidden="false" customHeight="false" outlineLevel="0" collapsed="false">
      <c r="A24" s="31" t="s">
        <v>4470</v>
      </c>
      <c r="B24" s="31" t="s">
        <v>4692</v>
      </c>
      <c r="C24" s="35" t="n">
        <v>74</v>
      </c>
    </row>
    <row r="25" customFormat="false" ht="15" hidden="false" customHeight="false" outlineLevel="0" collapsed="false">
      <c r="A25" s="31" t="s">
        <v>4472</v>
      </c>
      <c r="B25" s="31" t="s">
        <v>4693</v>
      </c>
      <c r="C25" s="35" t="n">
        <v>78</v>
      </c>
    </row>
    <row r="26" customFormat="false" ht="15" hidden="false" customHeight="false" outlineLevel="0" collapsed="false">
      <c r="A26" s="31" t="s">
        <v>4475</v>
      </c>
      <c r="B26" s="31" t="s">
        <v>4666</v>
      </c>
      <c r="C26" s="35" t="n">
        <v>73</v>
      </c>
    </row>
    <row r="27" customFormat="false" ht="15" hidden="false" customHeight="false" outlineLevel="0" collapsed="false">
      <c r="A27" s="31" t="s">
        <v>4694</v>
      </c>
      <c r="B27" s="31" t="s">
        <v>4695</v>
      </c>
      <c r="C27" s="35" t="n">
        <v>87</v>
      </c>
    </row>
    <row r="28" customFormat="false" ht="15" hidden="false" customHeight="false" outlineLevel="0" collapsed="false">
      <c r="A28" s="31" t="s">
        <v>4696</v>
      </c>
      <c r="B28" s="31" t="s">
        <v>4697</v>
      </c>
      <c r="C28" s="35" t="n">
        <v>73</v>
      </c>
    </row>
    <row r="29" customFormat="false" ht="15" hidden="false" customHeight="false" outlineLevel="0" collapsed="false">
      <c r="A29" s="31" t="s">
        <v>4482</v>
      </c>
      <c r="B29" s="31" t="s">
        <v>4698</v>
      </c>
      <c r="C29" s="35" t="n">
        <v>74</v>
      </c>
    </row>
    <row r="30" customFormat="false" ht="15" hidden="false" customHeight="false" outlineLevel="0" collapsed="false">
      <c r="A30" s="31" t="s">
        <v>4483</v>
      </c>
      <c r="B30" s="31" t="s">
        <v>4667</v>
      </c>
      <c r="C30" s="35" t="n">
        <v>71</v>
      </c>
    </row>
    <row r="31" customFormat="false" ht="15" hidden="false" customHeight="false" outlineLevel="0" collapsed="false">
      <c r="A31" s="31" t="s">
        <v>4489</v>
      </c>
      <c r="B31" s="31" t="s">
        <v>4667</v>
      </c>
      <c r="C31" s="35" t="n">
        <v>71</v>
      </c>
    </row>
    <row r="32" customFormat="false" ht="15" hidden="false" customHeight="false" outlineLevel="0" collapsed="false">
      <c r="A32" s="31" t="s">
        <v>4699</v>
      </c>
      <c r="B32" s="31" t="s">
        <v>4700</v>
      </c>
      <c r="C32" s="35" t="n">
        <v>78</v>
      </c>
    </row>
    <row r="33" customFormat="false" ht="15" hidden="false" customHeight="false" outlineLevel="0" collapsed="false">
      <c r="A33" s="31" t="s">
        <v>4701</v>
      </c>
      <c r="B33" s="31" t="s">
        <v>4702</v>
      </c>
      <c r="C33" s="35" t="n">
        <v>76</v>
      </c>
    </row>
    <row r="34" customFormat="false" ht="15" hidden="false" customHeight="false" outlineLevel="0" collapsed="false">
      <c r="A34" s="31" t="s">
        <v>4703</v>
      </c>
      <c r="B34" s="31" t="s">
        <v>4704</v>
      </c>
      <c r="C34" s="35" t="n">
        <v>71</v>
      </c>
    </row>
    <row r="35" customFormat="false" ht="15" hidden="false" customHeight="false" outlineLevel="0" collapsed="false">
      <c r="A35" s="31" t="s">
        <v>4705</v>
      </c>
      <c r="B35" s="31" t="s">
        <v>4706</v>
      </c>
      <c r="C35" s="35" t="n">
        <v>73</v>
      </c>
    </row>
    <row r="36" customFormat="false" ht="15" hidden="false" customHeight="false" outlineLevel="0" collapsed="false">
      <c r="A36" s="31" t="s">
        <v>4573</v>
      </c>
      <c r="B36" s="31" t="s">
        <v>4707</v>
      </c>
      <c r="C36" s="35" t="n">
        <v>75</v>
      </c>
    </row>
    <row r="37" customFormat="false" ht="15" hidden="false" customHeight="false" outlineLevel="0" collapsed="false">
      <c r="A37" s="31" t="s">
        <v>4708</v>
      </c>
      <c r="B37" s="31" t="s">
        <v>4687</v>
      </c>
      <c r="C37" s="35" t="n">
        <v>74</v>
      </c>
    </row>
    <row r="38" customFormat="false" ht="15" hidden="false" customHeight="false" outlineLevel="0" collapsed="false">
      <c r="A38" s="31" t="s">
        <v>4709</v>
      </c>
      <c r="B38" s="31" t="s">
        <v>4710</v>
      </c>
      <c r="C38" s="35" t="n">
        <v>89</v>
      </c>
    </row>
    <row r="39" customFormat="false" ht="15" hidden="false" customHeight="false" outlineLevel="0" collapsed="false">
      <c r="A39" s="31" t="s">
        <v>4711</v>
      </c>
      <c r="B39" s="31" t="s">
        <v>4712</v>
      </c>
      <c r="C39" s="35" t="n">
        <v>74</v>
      </c>
    </row>
    <row r="40" customFormat="false" ht="15" hidden="false" customHeight="false" outlineLevel="0" collapsed="false">
      <c r="A40" s="31" t="s">
        <v>4713</v>
      </c>
      <c r="B40" s="31" t="s">
        <v>4714</v>
      </c>
      <c r="C40" s="35" t="n">
        <v>80</v>
      </c>
    </row>
    <row r="41" customFormat="false" ht="15" hidden="false" customHeight="false" outlineLevel="0" collapsed="false">
      <c r="A41" s="31" t="s">
        <v>4715</v>
      </c>
      <c r="B41" s="31" t="s">
        <v>4716</v>
      </c>
      <c r="C41" s="35" t="n">
        <v>71</v>
      </c>
    </row>
    <row r="42" customFormat="false" ht="15" hidden="false" customHeight="false" outlineLevel="0" collapsed="false">
      <c r="A42" s="31" t="s">
        <v>4717</v>
      </c>
      <c r="B42" s="31" t="s">
        <v>4718</v>
      </c>
      <c r="C42" s="35" t="n">
        <v>86</v>
      </c>
    </row>
    <row r="43" customFormat="false" ht="15" hidden="false" customHeight="false" outlineLevel="0" collapsed="false">
      <c r="A43" s="31" t="s">
        <v>4719</v>
      </c>
      <c r="B43" s="31" t="s">
        <v>4720</v>
      </c>
      <c r="C43" s="35" t="n">
        <v>71</v>
      </c>
    </row>
    <row r="44" customFormat="false" ht="15" hidden="false" customHeight="false" outlineLevel="0" collapsed="false">
      <c r="A44" s="31" t="s">
        <v>4721</v>
      </c>
      <c r="B44" s="31" t="s">
        <v>4722</v>
      </c>
      <c r="C44" s="35" t="n">
        <v>75</v>
      </c>
    </row>
    <row r="45" customFormat="false" ht="15" hidden="false" customHeight="false" outlineLevel="0" collapsed="false">
      <c r="A45" s="31" t="s">
        <v>4723</v>
      </c>
      <c r="B45" s="31" t="s">
        <v>4724</v>
      </c>
      <c r="C45" s="35" t="n">
        <v>72</v>
      </c>
    </row>
    <row r="46" customFormat="false" ht="15" hidden="false" customHeight="false" outlineLevel="0" collapsed="false">
      <c r="A46" s="31" t="s">
        <v>4725</v>
      </c>
      <c r="B46" s="31" t="s">
        <v>4726</v>
      </c>
      <c r="C46" s="35" t="n">
        <v>75</v>
      </c>
    </row>
    <row r="47" customFormat="false" ht="15" hidden="false" customHeight="false" outlineLevel="0" collapsed="false">
      <c r="A47" s="31" t="s">
        <v>4727</v>
      </c>
      <c r="B47" s="31" t="s">
        <v>4728</v>
      </c>
      <c r="C47" s="35" t="n">
        <v>78</v>
      </c>
    </row>
    <row r="48" customFormat="false" ht="15" hidden="false" customHeight="false" outlineLevel="0" collapsed="false">
      <c r="A48" s="31" t="s">
        <v>4729</v>
      </c>
      <c r="B48" s="31" t="s">
        <v>4720</v>
      </c>
      <c r="C48" s="35" t="n">
        <v>71</v>
      </c>
    </row>
    <row r="49" customFormat="false" ht="15" hidden="false" customHeight="false" outlineLevel="0" collapsed="false">
      <c r="A49" s="31" t="s">
        <v>4730</v>
      </c>
      <c r="B49" s="31" t="s">
        <v>4731</v>
      </c>
      <c r="C49" s="35" t="n">
        <v>76</v>
      </c>
    </row>
    <row r="50" customFormat="false" ht="15" hidden="false" customHeight="false" outlineLevel="0" collapsed="false">
      <c r="A50" s="31" t="s">
        <v>4732</v>
      </c>
      <c r="B50" s="31" t="s">
        <v>4733</v>
      </c>
      <c r="C50" s="35" t="n">
        <v>79</v>
      </c>
    </row>
    <row r="51" customFormat="false" ht="15" hidden="false" customHeight="false" outlineLevel="0" collapsed="false">
      <c r="A51" s="31" t="s">
        <v>4734</v>
      </c>
      <c r="B51" s="31" t="s">
        <v>4735</v>
      </c>
      <c r="C51" s="35" t="n">
        <v>71</v>
      </c>
    </row>
    <row r="52" customFormat="false" ht="15" hidden="false" customHeight="false" outlineLevel="0" collapsed="false">
      <c r="A52" s="31" t="s">
        <v>4576</v>
      </c>
      <c r="B52" s="31" t="s">
        <v>4736</v>
      </c>
      <c r="C52" s="35" t="n">
        <v>74</v>
      </c>
    </row>
    <row r="53" customFormat="false" ht="15" hidden="false" customHeight="false" outlineLevel="0" collapsed="false">
      <c r="A53" s="31" t="s">
        <v>4737</v>
      </c>
      <c r="B53" s="31" t="s">
        <v>4738</v>
      </c>
      <c r="C53" s="35" t="n">
        <v>79</v>
      </c>
    </row>
    <row r="54" customFormat="false" ht="15" hidden="false" customHeight="false" outlineLevel="0" collapsed="false">
      <c r="A54" s="31" t="s">
        <v>4739</v>
      </c>
      <c r="B54" s="31" t="s">
        <v>4740</v>
      </c>
      <c r="C54" s="35" t="n">
        <v>71</v>
      </c>
    </row>
    <row r="55" customFormat="false" ht="15" hidden="false" customHeight="false" outlineLevel="0" collapsed="false">
      <c r="A55" s="31" t="s">
        <v>4741</v>
      </c>
      <c r="B55" s="31" t="s">
        <v>4742</v>
      </c>
      <c r="C55" s="35" t="n">
        <v>102</v>
      </c>
    </row>
    <row r="56" customFormat="false" ht="15" hidden="false" customHeight="false" outlineLevel="0" collapsed="false">
      <c r="A56" s="31" t="s">
        <v>4743</v>
      </c>
      <c r="B56" s="31" t="s">
        <v>4744</v>
      </c>
      <c r="C56" s="35" t="n">
        <v>80</v>
      </c>
    </row>
    <row r="57" customFormat="false" ht="15" hidden="false" customHeight="false" outlineLevel="0" collapsed="false">
      <c r="A57" s="31" t="s">
        <v>4578</v>
      </c>
      <c r="B57" s="31" t="s">
        <v>4745</v>
      </c>
      <c r="C57" s="35" t="n">
        <v>81</v>
      </c>
    </row>
    <row r="58" customFormat="false" ht="15" hidden="false" customHeight="false" outlineLevel="0" collapsed="false">
      <c r="A58" s="31" t="s">
        <v>4579</v>
      </c>
      <c r="B58" s="31" t="s">
        <v>4746</v>
      </c>
      <c r="C58" s="35" t="n">
        <v>80</v>
      </c>
    </row>
    <row r="59" customFormat="false" ht="15" hidden="false" customHeight="false" outlineLevel="0" collapsed="false">
      <c r="A59" s="31" t="s">
        <v>4747</v>
      </c>
      <c r="B59" s="31" t="s">
        <v>4748</v>
      </c>
      <c r="C59" s="35" t="n">
        <v>71</v>
      </c>
    </row>
    <row r="60" customFormat="false" ht="15" hidden="false" customHeight="false" outlineLevel="0" collapsed="false">
      <c r="A60" s="31" t="s">
        <v>4749</v>
      </c>
      <c r="B60" s="31" t="s">
        <v>4750</v>
      </c>
      <c r="C60" s="35" t="n">
        <v>74</v>
      </c>
    </row>
    <row r="61" customFormat="false" ht="15" hidden="false" customHeight="false" outlineLevel="0" collapsed="false">
      <c r="A61" s="31" t="s">
        <v>4751</v>
      </c>
      <c r="B61" s="31" t="s">
        <v>4752</v>
      </c>
      <c r="C61" s="35" t="n">
        <v>74</v>
      </c>
    </row>
    <row r="62" customFormat="false" ht="15" hidden="false" customHeight="false" outlineLevel="0" collapsed="false">
      <c r="A62" s="31" t="s">
        <v>4753</v>
      </c>
      <c r="B62" s="31" t="s">
        <v>4754</v>
      </c>
      <c r="C62" s="35" t="n">
        <v>86</v>
      </c>
    </row>
    <row r="63" customFormat="false" ht="15" hidden="false" customHeight="false" outlineLevel="0" collapsed="false">
      <c r="A63" s="31" t="s">
        <v>4755</v>
      </c>
      <c r="B63" s="31" t="s">
        <v>4756</v>
      </c>
      <c r="C63" s="35" t="n">
        <v>79</v>
      </c>
    </row>
    <row r="64" customFormat="false" ht="15" hidden="false" customHeight="false" outlineLevel="0" collapsed="false">
      <c r="A64" s="31" t="s">
        <v>4757</v>
      </c>
      <c r="B64" s="31" t="s">
        <v>4758</v>
      </c>
      <c r="C64" s="35" t="n">
        <v>73</v>
      </c>
    </row>
    <row r="65" customFormat="false" ht="15" hidden="false" customHeight="false" outlineLevel="0" collapsed="false">
      <c r="A65" s="31" t="s">
        <v>4759</v>
      </c>
      <c r="B65" s="31" t="s">
        <v>4760</v>
      </c>
      <c r="C65" s="35" t="n">
        <v>73</v>
      </c>
    </row>
    <row r="66" customFormat="false" ht="15" hidden="false" customHeight="false" outlineLevel="0" collapsed="false">
      <c r="A66" s="31" t="s">
        <v>4761</v>
      </c>
      <c r="B66" s="31" t="s">
        <v>4762</v>
      </c>
      <c r="C66" s="35" t="n">
        <v>74</v>
      </c>
    </row>
    <row r="67" customFormat="false" ht="15" hidden="false" customHeight="false" outlineLevel="0" collapsed="false">
      <c r="A67" s="31" t="s">
        <v>4763</v>
      </c>
      <c r="B67" s="31" t="s">
        <v>4720</v>
      </c>
      <c r="C67" s="35" t="n">
        <v>71</v>
      </c>
    </row>
    <row r="68" customFormat="false" ht="15" hidden="false" customHeight="false" outlineLevel="0" collapsed="false">
      <c r="A68" s="31" t="s">
        <v>4764</v>
      </c>
      <c r="B68" s="31" t="s">
        <v>4765</v>
      </c>
      <c r="C68" s="35" t="n">
        <v>73</v>
      </c>
    </row>
    <row r="69" customFormat="false" ht="15" hidden="false" customHeight="false" outlineLevel="0" collapsed="false">
      <c r="A69" s="31" t="s">
        <v>4766</v>
      </c>
      <c r="B69" s="31" t="s">
        <v>4767</v>
      </c>
      <c r="C69" s="35" t="n">
        <v>75</v>
      </c>
    </row>
    <row r="70" customFormat="false" ht="15" hidden="false" customHeight="false" outlineLevel="0" collapsed="false">
      <c r="A70" s="31" t="s">
        <v>4768</v>
      </c>
      <c r="B70" s="31" t="s">
        <v>4687</v>
      </c>
      <c r="C70" s="35" t="n">
        <v>74</v>
      </c>
    </row>
    <row r="71" customFormat="false" ht="15" hidden="false" customHeight="false" outlineLevel="0" collapsed="false">
      <c r="A71" s="31" t="s">
        <v>4769</v>
      </c>
      <c r="B71" s="31" t="s">
        <v>4770</v>
      </c>
      <c r="C71" s="35" t="n">
        <v>74</v>
      </c>
    </row>
    <row r="72" customFormat="false" ht="15" hidden="false" customHeight="false" outlineLevel="0" collapsed="false">
      <c r="A72" s="31" t="s">
        <v>4771</v>
      </c>
      <c r="B72" s="31" t="s">
        <v>4772</v>
      </c>
      <c r="C72" s="35" t="n">
        <v>71</v>
      </c>
    </row>
    <row r="73" customFormat="false" ht="15" hidden="false" customHeight="false" outlineLevel="0" collapsed="false">
      <c r="A73" s="31" t="s">
        <v>4520</v>
      </c>
      <c r="B73" s="31" t="s">
        <v>4664</v>
      </c>
      <c r="C73" s="35" t="n">
        <v>72</v>
      </c>
    </row>
    <row r="74" customFormat="false" ht="15" hidden="false" customHeight="false" outlineLevel="0" collapsed="false">
      <c r="A74" s="31" t="s">
        <v>4525</v>
      </c>
      <c r="B74" s="31" t="s">
        <v>4667</v>
      </c>
      <c r="C74" s="35" t="n">
        <v>71</v>
      </c>
    </row>
    <row r="75" customFormat="false" ht="15" hidden="false" customHeight="false" outlineLevel="0" collapsed="false">
      <c r="A75" s="31" t="s">
        <v>4526</v>
      </c>
      <c r="B75" s="31" t="s">
        <v>4666</v>
      </c>
      <c r="C75" s="35" t="n">
        <v>73</v>
      </c>
    </row>
    <row r="76" customFormat="false" ht="15" hidden="false" customHeight="false" outlineLevel="0" collapsed="false">
      <c r="A76" s="31" t="s">
        <v>4773</v>
      </c>
      <c r="B76" s="31" t="s">
        <v>4774</v>
      </c>
      <c r="C76" s="35" t="n">
        <v>71</v>
      </c>
    </row>
    <row r="77" customFormat="false" ht="15" hidden="false" customHeight="false" outlineLevel="0" collapsed="false">
      <c r="A77" s="31" t="s">
        <v>4775</v>
      </c>
      <c r="B77" s="31" t="s">
        <v>4776</v>
      </c>
      <c r="C77" s="35" t="n">
        <v>87</v>
      </c>
    </row>
    <row r="78" customFormat="false" ht="15" hidden="false" customHeight="false" outlineLevel="0" collapsed="false">
      <c r="A78" s="31" t="s">
        <v>4777</v>
      </c>
      <c r="B78" s="31" t="s">
        <v>4778</v>
      </c>
      <c r="C78" s="35" t="n">
        <v>72</v>
      </c>
    </row>
    <row r="79" customFormat="false" ht="15" hidden="false" customHeight="false" outlineLevel="0" collapsed="false">
      <c r="A79" s="31" t="s">
        <v>4779</v>
      </c>
      <c r="B79" s="31" t="s">
        <v>4758</v>
      </c>
      <c r="C79" s="35" t="n">
        <v>73</v>
      </c>
    </row>
    <row r="80" customFormat="false" ht="15" hidden="false" customHeight="false" outlineLevel="0" collapsed="false">
      <c r="A80" s="31" t="s">
        <v>4780</v>
      </c>
      <c r="B80" s="31" t="s">
        <v>4781</v>
      </c>
      <c r="C80" s="35" t="n">
        <v>83</v>
      </c>
    </row>
    <row r="81" customFormat="false" ht="15" hidden="false" customHeight="false" outlineLevel="0" collapsed="false">
      <c r="A81" s="31" t="s">
        <v>4782</v>
      </c>
      <c r="B81" s="31" t="s">
        <v>4783</v>
      </c>
      <c r="C81" s="35" t="n">
        <v>74</v>
      </c>
    </row>
    <row r="82" customFormat="false" ht="15" hidden="false" customHeight="false" outlineLevel="0" collapsed="false">
      <c r="A82" s="31" t="s">
        <v>4784</v>
      </c>
      <c r="B82" s="31" t="s">
        <v>4785</v>
      </c>
      <c r="C82" s="35" t="n">
        <v>71</v>
      </c>
    </row>
    <row r="83" customFormat="false" ht="15" hidden="false" customHeight="false" outlineLevel="0" collapsed="false">
      <c r="A83" s="31" t="s">
        <v>4786</v>
      </c>
      <c r="B83" s="31" t="s">
        <v>4787</v>
      </c>
      <c r="C83" s="35" t="n">
        <v>77</v>
      </c>
    </row>
    <row r="84" customFormat="false" ht="15" hidden="false" customHeight="false" outlineLevel="0" collapsed="false">
      <c r="A84" s="31" t="s">
        <v>4788</v>
      </c>
      <c r="B84" s="31" t="s">
        <v>4789</v>
      </c>
      <c r="C84" s="35" t="n">
        <v>77</v>
      </c>
    </row>
    <row r="85" customFormat="false" ht="15" hidden="false" customHeight="false" outlineLevel="0" collapsed="false">
      <c r="A85" s="31" t="s">
        <v>4790</v>
      </c>
      <c r="B85" s="31" t="s">
        <v>4791</v>
      </c>
      <c r="C85" s="35" t="n">
        <v>74</v>
      </c>
    </row>
    <row r="86" customFormat="false" ht="15" hidden="false" customHeight="false" outlineLevel="0" collapsed="false">
      <c r="A86" s="31" t="s">
        <v>4792</v>
      </c>
      <c r="B86" s="31" t="s">
        <v>4793</v>
      </c>
      <c r="C86" s="35" t="n">
        <v>71</v>
      </c>
    </row>
    <row r="87" customFormat="false" ht="15" hidden="false" customHeight="false" outlineLevel="0" collapsed="false">
      <c r="A87" s="31" t="s">
        <v>4794</v>
      </c>
      <c r="B87" s="31" t="s">
        <v>4795</v>
      </c>
      <c r="C87" s="35" t="n">
        <v>75</v>
      </c>
    </row>
    <row r="88" customFormat="false" ht="15" hidden="false" customHeight="false" outlineLevel="0" collapsed="false">
      <c r="A88" s="31" t="s">
        <v>4796</v>
      </c>
      <c r="B88" s="31" t="s">
        <v>4797</v>
      </c>
      <c r="C88" s="35" t="n">
        <v>82</v>
      </c>
    </row>
    <row r="89" customFormat="false" ht="15" hidden="false" customHeight="false" outlineLevel="0" collapsed="false">
      <c r="A89" s="31" t="s">
        <v>4798</v>
      </c>
      <c r="B89" s="31" t="s">
        <v>4799</v>
      </c>
      <c r="C89" s="35" t="n">
        <v>78</v>
      </c>
    </row>
    <row r="90" customFormat="false" ht="15" hidden="false" customHeight="false" outlineLevel="0" collapsed="false">
      <c r="A90" s="31" t="s">
        <v>4800</v>
      </c>
      <c r="B90" s="31" t="s">
        <v>4801</v>
      </c>
      <c r="C90" s="35" t="n">
        <v>74</v>
      </c>
    </row>
    <row r="91" customFormat="false" ht="15" hidden="false" customHeight="false" outlineLevel="0" collapsed="false">
      <c r="A91" s="31" t="s">
        <v>4802</v>
      </c>
      <c r="B91" s="31" t="s">
        <v>4803</v>
      </c>
      <c r="C91" s="35" t="n">
        <v>76</v>
      </c>
    </row>
    <row r="92" customFormat="false" ht="15" hidden="false" customHeight="false" outlineLevel="0" collapsed="false">
      <c r="A92" s="31" t="s">
        <v>4804</v>
      </c>
      <c r="B92" s="31" t="s">
        <v>4805</v>
      </c>
      <c r="C92" s="35" t="n">
        <v>72</v>
      </c>
    </row>
    <row r="93" customFormat="false" ht="15" hidden="false" customHeight="false" outlineLevel="0" collapsed="false">
      <c r="A93" s="31" t="s">
        <v>4806</v>
      </c>
      <c r="B93" s="31" t="s">
        <v>4807</v>
      </c>
      <c r="C93" s="35" t="n">
        <v>72</v>
      </c>
    </row>
    <row r="94" customFormat="false" ht="15" hidden="false" customHeight="false" outlineLevel="0" collapsed="false">
      <c r="A94" s="31" t="s">
        <v>4808</v>
      </c>
      <c r="B94" s="31" t="s">
        <v>4809</v>
      </c>
      <c r="C94" s="35" t="n">
        <v>72</v>
      </c>
    </row>
    <row r="95" customFormat="false" ht="15" hidden="false" customHeight="false" outlineLevel="0" collapsed="false">
      <c r="A95" s="31" t="s">
        <v>4810</v>
      </c>
      <c r="B95" s="31" t="s">
        <v>4811</v>
      </c>
      <c r="C95" s="35" t="n">
        <v>72</v>
      </c>
    </row>
    <row r="96" customFormat="false" ht="15" hidden="false" customHeight="false" outlineLevel="0" collapsed="false">
      <c r="A96" s="31" t="s">
        <v>4812</v>
      </c>
      <c r="B96" s="31" t="s">
        <v>4813</v>
      </c>
      <c r="C96" s="35" t="n">
        <v>72</v>
      </c>
    </row>
    <row r="97" customFormat="false" ht="15" hidden="false" customHeight="false" outlineLevel="0" collapsed="false">
      <c r="A97" s="31" t="s">
        <v>4814</v>
      </c>
      <c r="B97" s="31" t="s">
        <v>4815</v>
      </c>
      <c r="C97" s="35" t="n">
        <v>71</v>
      </c>
    </row>
    <row r="98" customFormat="false" ht="15" hidden="false" customHeight="false" outlineLevel="0" collapsed="false">
      <c r="A98" s="31" t="s">
        <v>4816</v>
      </c>
      <c r="B98" s="31" t="s">
        <v>4817</v>
      </c>
      <c r="C98" s="35" t="n">
        <v>71</v>
      </c>
    </row>
    <row r="99" customFormat="false" ht="15" hidden="false" customHeight="false" outlineLevel="0" collapsed="false">
      <c r="A99" s="31" t="s">
        <v>4818</v>
      </c>
      <c r="B99" s="31" t="s">
        <v>4819</v>
      </c>
      <c r="C99" s="35" t="n">
        <v>74</v>
      </c>
    </row>
    <row r="100" customFormat="false" ht="15" hidden="false" customHeight="false" outlineLevel="0" collapsed="false">
      <c r="A100" s="31" t="s">
        <v>4591</v>
      </c>
      <c r="B100" s="31" t="s">
        <v>4820</v>
      </c>
      <c r="C100" s="35" t="n">
        <v>84</v>
      </c>
    </row>
    <row r="101" customFormat="false" ht="15" hidden="false" customHeight="false" outlineLevel="0" collapsed="false">
      <c r="A101" s="31" t="s">
        <v>4821</v>
      </c>
      <c r="B101" s="31" t="s">
        <v>4822</v>
      </c>
      <c r="C101" s="35" t="n">
        <v>75</v>
      </c>
    </row>
    <row r="102" customFormat="false" ht="15" hidden="false" customHeight="false" outlineLevel="0" collapsed="false">
      <c r="A102" s="31" t="s">
        <v>4823</v>
      </c>
      <c r="B102" s="31" t="s">
        <v>4824</v>
      </c>
      <c r="C102" s="35" t="n">
        <v>87</v>
      </c>
    </row>
    <row r="103" customFormat="false" ht="15" hidden="false" customHeight="false" outlineLevel="0" collapsed="false">
      <c r="A103" s="31" t="s">
        <v>4825</v>
      </c>
      <c r="B103" s="31" t="s">
        <v>4826</v>
      </c>
      <c r="C103" s="35" t="n">
        <v>75</v>
      </c>
    </row>
    <row r="104" customFormat="false" ht="15" hidden="false" customHeight="false" outlineLevel="0" collapsed="false">
      <c r="A104" s="31" t="s">
        <v>4827</v>
      </c>
      <c r="B104" s="31" t="s">
        <v>4828</v>
      </c>
      <c r="C104" s="35" t="n">
        <v>77</v>
      </c>
    </row>
    <row r="105" customFormat="false" ht="15" hidden="false" customHeight="false" outlineLevel="0" collapsed="false">
      <c r="A105" s="31" t="s">
        <v>4829</v>
      </c>
      <c r="B105" s="31" t="s">
        <v>4830</v>
      </c>
      <c r="C105" s="35" t="n">
        <v>89</v>
      </c>
    </row>
    <row r="106" customFormat="false" ht="15" hidden="false" customHeight="false" outlineLevel="0" collapsed="false">
      <c r="A106" s="31" t="s">
        <v>4831</v>
      </c>
      <c r="B106" s="31" t="s">
        <v>4832</v>
      </c>
      <c r="C106" s="35" t="n">
        <v>71</v>
      </c>
    </row>
    <row r="107" customFormat="false" ht="15" hidden="false" customHeight="false" outlineLevel="0" collapsed="false">
      <c r="A107" s="31" t="s">
        <v>4833</v>
      </c>
      <c r="B107" s="31" t="s">
        <v>4834</v>
      </c>
      <c r="C107" s="35" t="n">
        <v>81</v>
      </c>
    </row>
    <row r="108" customFormat="false" ht="15" hidden="false" customHeight="false" outlineLevel="0" collapsed="false">
      <c r="A108" s="31" t="s">
        <v>4835</v>
      </c>
      <c r="B108" s="31" t="s">
        <v>4836</v>
      </c>
      <c r="C108" s="35" t="n">
        <v>72</v>
      </c>
    </row>
    <row r="109" customFormat="false" ht="15" hidden="false" customHeight="false" outlineLevel="0" collapsed="false">
      <c r="A109" s="31" t="s">
        <v>4837</v>
      </c>
      <c r="B109" s="31" t="s">
        <v>4838</v>
      </c>
      <c r="C109" s="35" t="n">
        <v>71</v>
      </c>
    </row>
    <row r="110" customFormat="false" ht="15" hidden="false" customHeight="false" outlineLevel="0" collapsed="false">
      <c r="A110" s="31" t="s">
        <v>4839</v>
      </c>
      <c r="B110" s="31" t="s">
        <v>4840</v>
      </c>
      <c r="C110" s="35" t="n">
        <v>79</v>
      </c>
    </row>
    <row r="111" customFormat="false" ht="15" hidden="false" customHeight="false" outlineLevel="0" collapsed="false">
      <c r="A111" s="31" t="s">
        <v>4841</v>
      </c>
      <c r="B111" s="31" t="s">
        <v>4842</v>
      </c>
      <c r="C111" s="35" t="n">
        <v>72</v>
      </c>
    </row>
    <row r="112" customFormat="false" ht="15" hidden="false" customHeight="false" outlineLevel="0" collapsed="false">
      <c r="A112" s="31" t="s">
        <v>4843</v>
      </c>
      <c r="B112" s="31" t="s">
        <v>4844</v>
      </c>
      <c r="C112" s="35" t="n">
        <v>71</v>
      </c>
    </row>
    <row r="113" customFormat="false" ht="15" hidden="false" customHeight="false" outlineLevel="0" collapsed="false">
      <c r="A113" s="31" t="s">
        <v>4845</v>
      </c>
      <c r="B113" s="31" t="s">
        <v>4846</v>
      </c>
      <c r="C113" s="35" t="n">
        <v>77</v>
      </c>
    </row>
    <row r="114" customFormat="false" ht="15" hidden="false" customHeight="false" outlineLevel="0" collapsed="false">
      <c r="A114" s="31" t="s">
        <v>4847</v>
      </c>
      <c r="B114" s="31" t="s">
        <v>4848</v>
      </c>
      <c r="C114" s="35" t="n">
        <v>79</v>
      </c>
    </row>
    <row r="115" customFormat="false" ht="15" hidden="false" customHeight="false" outlineLevel="0" collapsed="false">
      <c r="A115" s="31" t="s">
        <v>4849</v>
      </c>
      <c r="B115" s="31" t="s">
        <v>4850</v>
      </c>
      <c r="C115" s="35" t="n">
        <v>81</v>
      </c>
    </row>
    <row r="116" customFormat="false" ht="15" hidden="false" customHeight="false" outlineLevel="0" collapsed="false">
      <c r="A116" s="31" t="s">
        <v>4851</v>
      </c>
      <c r="B116" s="31" t="s">
        <v>4852</v>
      </c>
      <c r="C116" s="35" t="n">
        <v>73</v>
      </c>
    </row>
    <row r="117" customFormat="false" ht="15" hidden="false" customHeight="false" outlineLevel="0" collapsed="false">
      <c r="A117" s="31" t="s">
        <v>4853</v>
      </c>
      <c r="B117" s="31" t="s">
        <v>4854</v>
      </c>
      <c r="C117" s="35" t="n">
        <v>77</v>
      </c>
    </row>
    <row r="118" customFormat="false" ht="15" hidden="false" customHeight="false" outlineLevel="0" collapsed="false">
      <c r="A118" s="31" t="s">
        <v>4855</v>
      </c>
      <c r="B118" s="31" t="s">
        <v>4856</v>
      </c>
      <c r="C118" s="35" t="n">
        <v>77</v>
      </c>
    </row>
    <row r="119" customFormat="false" ht="15" hidden="false" customHeight="false" outlineLevel="0" collapsed="false">
      <c r="A119" s="31" t="s">
        <v>4594</v>
      </c>
      <c r="B119" s="31" t="s">
        <v>4857</v>
      </c>
      <c r="C119" s="35" t="n">
        <v>71</v>
      </c>
    </row>
    <row r="120" customFormat="false" ht="15" hidden="false" customHeight="false" outlineLevel="0" collapsed="false">
      <c r="A120" s="31" t="s">
        <v>4595</v>
      </c>
      <c r="B120" s="31" t="s">
        <v>4858</v>
      </c>
      <c r="C120" s="35" t="n">
        <v>77</v>
      </c>
    </row>
    <row r="121" customFormat="false" ht="15" hidden="false" customHeight="false" outlineLevel="0" collapsed="false">
      <c r="A121" s="31" t="s">
        <v>4859</v>
      </c>
      <c r="B121" s="31" t="s">
        <v>4860</v>
      </c>
      <c r="C121" s="35" t="n">
        <v>72</v>
      </c>
    </row>
    <row r="122" customFormat="false" ht="15" hidden="false" customHeight="false" outlineLevel="0" collapsed="false">
      <c r="A122" s="31" t="s">
        <v>4861</v>
      </c>
      <c r="B122" s="31" t="s">
        <v>4862</v>
      </c>
      <c r="C122" s="35" t="n">
        <v>88</v>
      </c>
    </row>
    <row r="123" customFormat="false" ht="15" hidden="false" customHeight="false" outlineLevel="0" collapsed="false">
      <c r="A123" s="31" t="s">
        <v>4863</v>
      </c>
      <c r="B123" s="31" t="s">
        <v>4864</v>
      </c>
      <c r="C123" s="35" t="n">
        <v>72</v>
      </c>
    </row>
    <row r="124" customFormat="false" ht="15" hidden="false" customHeight="false" outlineLevel="0" collapsed="false">
      <c r="A124" s="31" t="s">
        <v>4865</v>
      </c>
      <c r="B124" s="31" t="s">
        <v>4866</v>
      </c>
      <c r="C124" s="35" t="n">
        <v>71</v>
      </c>
    </row>
    <row r="125" customFormat="false" ht="15" hidden="false" customHeight="false" outlineLevel="0" collapsed="false">
      <c r="A125" s="31" t="s">
        <v>4600</v>
      </c>
      <c r="B125" s="31" t="s">
        <v>4857</v>
      </c>
      <c r="C125" s="35" t="n">
        <v>71</v>
      </c>
    </row>
    <row r="126" customFormat="false" ht="15" hidden="false" customHeight="false" outlineLevel="0" collapsed="false">
      <c r="A126" s="31" t="s">
        <v>4867</v>
      </c>
      <c r="B126" s="31" t="s">
        <v>4868</v>
      </c>
      <c r="C126" s="35" t="n">
        <v>73</v>
      </c>
    </row>
    <row r="127" customFormat="false" ht="15" hidden="false" customHeight="false" outlineLevel="0" collapsed="false">
      <c r="A127" s="31" t="s">
        <v>4602</v>
      </c>
      <c r="B127" s="31" t="s">
        <v>4857</v>
      </c>
      <c r="C127" s="35" t="n">
        <v>71</v>
      </c>
    </row>
    <row r="128" customFormat="false" ht="15" hidden="false" customHeight="false" outlineLevel="0" collapsed="false">
      <c r="A128" s="31" t="s">
        <v>4869</v>
      </c>
      <c r="B128" s="31" t="s">
        <v>4870</v>
      </c>
      <c r="C128" s="35" t="n">
        <v>84</v>
      </c>
    </row>
    <row r="129" customFormat="false" ht="15" hidden="false" customHeight="false" outlineLevel="0" collapsed="false">
      <c r="A129" s="31" t="s">
        <v>4871</v>
      </c>
      <c r="B129" s="31" t="s">
        <v>4872</v>
      </c>
      <c r="C129" s="35" t="n">
        <v>74</v>
      </c>
    </row>
    <row r="130" customFormat="false" ht="15" hidden="false" customHeight="false" outlineLevel="0" collapsed="false">
      <c r="A130" s="31" t="s">
        <v>4873</v>
      </c>
      <c r="B130" s="31" t="s">
        <v>4874</v>
      </c>
      <c r="C130" s="35" t="n">
        <v>76</v>
      </c>
    </row>
    <row r="131" customFormat="false" ht="15" hidden="false" customHeight="false" outlineLevel="0" collapsed="false">
      <c r="A131" s="31" t="s">
        <v>4875</v>
      </c>
      <c r="B131" s="31" t="s">
        <v>4876</v>
      </c>
      <c r="C131" s="35" t="n">
        <v>71</v>
      </c>
    </row>
    <row r="132" customFormat="false" ht="15" hidden="false" customHeight="false" outlineLevel="0" collapsed="false">
      <c r="A132" s="31" t="s">
        <v>4603</v>
      </c>
      <c r="B132" s="31" t="s">
        <v>4877</v>
      </c>
      <c r="C132" s="35" t="n">
        <v>76</v>
      </c>
    </row>
    <row r="133" customFormat="false" ht="15" hidden="false" customHeight="false" outlineLevel="0" collapsed="false">
      <c r="A133" s="31" t="s">
        <v>4878</v>
      </c>
      <c r="B133" s="31" t="s">
        <v>4879</v>
      </c>
      <c r="C133" s="35" t="n">
        <v>77</v>
      </c>
    </row>
    <row r="134" customFormat="false" ht="15" hidden="false" customHeight="false" outlineLevel="0" collapsed="false">
      <c r="A134" s="31" t="s">
        <v>4604</v>
      </c>
      <c r="B134" s="31" t="s">
        <v>4880</v>
      </c>
      <c r="C134" s="35" t="n">
        <v>71</v>
      </c>
    </row>
    <row r="135" customFormat="false" ht="15" hidden="false" customHeight="false" outlineLevel="0" collapsed="false">
      <c r="A135" s="31" t="s">
        <v>4881</v>
      </c>
      <c r="B135" s="31" t="s">
        <v>4882</v>
      </c>
      <c r="C135" s="35" t="n">
        <v>94</v>
      </c>
    </row>
    <row r="136" customFormat="false" ht="15" hidden="false" customHeight="false" outlineLevel="0" collapsed="false">
      <c r="A136" s="31" t="s">
        <v>4883</v>
      </c>
      <c r="B136" s="31" t="s">
        <v>4884</v>
      </c>
      <c r="C136" s="35" t="n">
        <v>90</v>
      </c>
    </row>
    <row r="137" customFormat="false" ht="15" hidden="false" customHeight="false" outlineLevel="0" collapsed="false">
      <c r="A137" s="31" t="s">
        <v>4885</v>
      </c>
      <c r="B137" s="31" t="s">
        <v>4886</v>
      </c>
      <c r="C137" s="35" t="n">
        <v>78</v>
      </c>
    </row>
    <row r="138" customFormat="false" ht="15" hidden="false" customHeight="false" outlineLevel="0" collapsed="false">
      <c r="A138" s="31" t="s">
        <v>4887</v>
      </c>
      <c r="B138" s="31" t="s">
        <v>4888</v>
      </c>
      <c r="C138" s="35" t="n">
        <v>75</v>
      </c>
    </row>
    <row r="139" customFormat="false" ht="15" hidden="false" customHeight="false" outlineLevel="0" collapsed="false">
      <c r="A139" s="31" t="s">
        <v>4889</v>
      </c>
      <c r="B139" s="31" t="s">
        <v>4890</v>
      </c>
      <c r="C139" s="35" t="n">
        <v>74</v>
      </c>
    </row>
    <row r="140" customFormat="false" ht="15" hidden="false" customHeight="false" outlineLevel="0" collapsed="false">
      <c r="A140" s="31" t="s">
        <v>4891</v>
      </c>
      <c r="B140" s="31" t="s">
        <v>4892</v>
      </c>
      <c r="C140" s="35" t="n">
        <v>76</v>
      </c>
    </row>
    <row r="141" customFormat="false" ht="15" hidden="false" customHeight="false" outlineLevel="0" collapsed="false">
      <c r="A141" s="31" t="s">
        <v>4893</v>
      </c>
      <c r="B141" s="31" t="s">
        <v>4894</v>
      </c>
      <c r="C141" s="35" t="n">
        <v>73</v>
      </c>
    </row>
    <row r="142" customFormat="false" ht="15" hidden="false" customHeight="false" outlineLevel="0" collapsed="false">
      <c r="A142" s="31" t="s">
        <v>4895</v>
      </c>
      <c r="B142" s="31" t="s">
        <v>4896</v>
      </c>
      <c r="C142" s="35" t="n">
        <v>72</v>
      </c>
    </row>
    <row r="143" customFormat="false" ht="15" hidden="false" customHeight="false" outlineLevel="0" collapsed="false">
      <c r="A143" s="31" t="s">
        <v>4897</v>
      </c>
      <c r="B143" s="31" t="s">
        <v>4898</v>
      </c>
      <c r="C143" s="35" t="n">
        <v>72</v>
      </c>
    </row>
    <row r="144" customFormat="false" ht="15" hidden="false" customHeight="false" outlineLevel="0" collapsed="false">
      <c r="A144" s="31" t="s">
        <v>4899</v>
      </c>
      <c r="B144" s="31" t="s">
        <v>4900</v>
      </c>
      <c r="C144" s="35" t="n">
        <v>79</v>
      </c>
    </row>
    <row r="145" customFormat="false" ht="15" hidden="false" customHeight="false" outlineLevel="0" collapsed="false">
      <c r="A145" s="31" t="s">
        <v>4901</v>
      </c>
      <c r="B145" s="31" t="s">
        <v>4902</v>
      </c>
      <c r="C145" s="35" t="n">
        <v>72</v>
      </c>
    </row>
    <row r="146" customFormat="false" ht="15" hidden="false" customHeight="false" outlineLevel="0" collapsed="false">
      <c r="A146" s="31" t="s">
        <v>4903</v>
      </c>
      <c r="B146" s="31" t="s">
        <v>4904</v>
      </c>
      <c r="C146" s="35" t="n">
        <v>76</v>
      </c>
    </row>
    <row r="147" customFormat="false" ht="15" hidden="false" customHeight="false" outlineLevel="0" collapsed="false">
      <c r="A147" s="31" t="s">
        <v>4905</v>
      </c>
      <c r="B147" s="31" t="s">
        <v>4906</v>
      </c>
      <c r="C147" s="35" t="n">
        <v>72</v>
      </c>
    </row>
    <row r="148" customFormat="false" ht="15" hidden="false" customHeight="false" outlineLevel="0" collapsed="false">
      <c r="A148" s="31" t="s">
        <v>4907</v>
      </c>
      <c r="B148" s="31" t="s">
        <v>4908</v>
      </c>
      <c r="C148" s="35" t="n">
        <v>73</v>
      </c>
    </row>
    <row r="149" customFormat="false" ht="15" hidden="false" customHeight="false" outlineLevel="0" collapsed="false">
      <c r="A149" s="31" t="s">
        <v>4606</v>
      </c>
      <c r="B149" s="31" t="s">
        <v>4909</v>
      </c>
      <c r="C149" s="35" t="n">
        <v>77</v>
      </c>
    </row>
    <row r="150" customFormat="false" ht="15" hidden="false" customHeight="false" outlineLevel="0" collapsed="false">
      <c r="A150" s="31" t="s">
        <v>4607</v>
      </c>
      <c r="B150" s="31" t="s">
        <v>4910</v>
      </c>
      <c r="C150" s="35" t="n">
        <v>84</v>
      </c>
    </row>
    <row r="151" customFormat="false" ht="15" hidden="false" customHeight="false" outlineLevel="0" collapsed="false">
      <c r="A151" s="31" t="s">
        <v>4911</v>
      </c>
      <c r="B151" s="31" t="s">
        <v>4912</v>
      </c>
      <c r="C151" s="35" t="n">
        <v>73</v>
      </c>
    </row>
    <row r="152" customFormat="false" ht="15" hidden="false" customHeight="false" outlineLevel="0" collapsed="false">
      <c r="A152" s="31" t="s">
        <v>4913</v>
      </c>
      <c r="B152" s="31" t="s">
        <v>4914</v>
      </c>
      <c r="C152" s="35" t="n">
        <v>81</v>
      </c>
    </row>
    <row r="153" customFormat="false" ht="15" hidden="false" customHeight="false" outlineLevel="0" collapsed="false">
      <c r="A153" s="31" t="s">
        <v>4915</v>
      </c>
      <c r="B153" s="31" t="s">
        <v>4916</v>
      </c>
      <c r="C153" s="35" t="n">
        <v>73</v>
      </c>
    </row>
    <row r="154" customFormat="false" ht="15" hidden="false" customHeight="false" outlineLevel="0" collapsed="false">
      <c r="A154" s="31" t="s">
        <v>4917</v>
      </c>
      <c r="B154" s="31" t="s">
        <v>4918</v>
      </c>
      <c r="C154" s="35" t="n">
        <v>77</v>
      </c>
    </row>
    <row r="155" customFormat="false" ht="15" hidden="false" customHeight="false" outlineLevel="0" collapsed="false">
      <c r="A155" s="31" t="s">
        <v>4919</v>
      </c>
      <c r="B155" s="31" t="s">
        <v>4920</v>
      </c>
      <c r="C155" s="35" t="n">
        <v>76</v>
      </c>
    </row>
    <row r="156" customFormat="false" ht="15" hidden="false" customHeight="false" outlineLevel="0" collapsed="false">
      <c r="A156" s="31" t="s">
        <v>4921</v>
      </c>
      <c r="B156" s="31" t="s">
        <v>4922</v>
      </c>
      <c r="C156" s="35" t="n">
        <v>73</v>
      </c>
    </row>
    <row r="157" customFormat="false" ht="15" hidden="false" customHeight="false" outlineLevel="0" collapsed="false">
      <c r="A157" s="31" t="s">
        <v>4923</v>
      </c>
      <c r="B157" s="31" t="s">
        <v>4924</v>
      </c>
      <c r="C157" s="35" t="n">
        <v>78</v>
      </c>
    </row>
    <row r="158" customFormat="false" ht="15" hidden="false" customHeight="false" outlineLevel="0" collapsed="false">
      <c r="A158" s="31" t="s">
        <v>4925</v>
      </c>
      <c r="B158" s="31" t="s">
        <v>4926</v>
      </c>
      <c r="C158" s="35" t="n">
        <v>78</v>
      </c>
    </row>
    <row r="159" customFormat="false" ht="15" hidden="false" customHeight="false" outlineLevel="0" collapsed="false">
      <c r="A159" s="31" t="s">
        <v>4927</v>
      </c>
      <c r="B159" s="31" t="s">
        <v>4928</v>
      </c>
      <c r="C159" s="35" t="n">
        <v>71</v>
      </c>
    </row>
    <row r="160" customFormat="false" ht="15" hidden="false" customHeight="false" outlineLevel="0" collapsed="false">
      <c r="A160" s="31" t="s">
        <v>4929</v>
      </c>
      <c r="B160" s="31" t="s">
        <v>4930</v>
      </c>
      <c r="C160" s="35" t="n">
        <v>83</v>
      </c>
    </row>
    <row r="161" customFormat="false" ht="15" hidden="false" customHeight="false" outlineLevel="0" collapsed="false">
      <c r="A161" s="31" t="s">
        <v>4931</v>
      </c>
      <c r="B161" s="31" t="s">
        <v>4932</v>
      </c>
      <c r="C161" s="35" t="n">
        <v>81</v>
      </c>
    </row>
    <row r="162" customFormat="false" ht="15" hidden="false" customHeight="false" outlineLevel="0" collapsed="false">
      <c r="A162" s="31" t="s">
        <v>4933</v>
      </c>
      <c r="B162" s="31" t="s">
        <v>4934</v>
      </c>
      <c r="C162" s="35" t="n">
        <v>75</v>
      </c>
    </row>
    <row r="163" customFormat="false" ht="15" hidden="false" customHeight="false" outlineLevel="0" collapsed="false">
      <c r="A163" s="31" t="s">
        <v>4935</v>
      </c>
      <c r="B163" s="31" t="s">
        <v>4936</v>
      </c>
      <c r="C163" s="35" t="n">
        <v>73</v>
      </c>
    </row>
    <row r="164" customFormat="false" ht="15" hidden="false" customHeight="false" outlineLevel="0" collapsed="false">
      <c r="A164" s="31" t="s">
        <v>4937</v>
      </c>
      <c r="B164" s="31" t="s">
        <v>4938</v>
      </c>
      <c r="C164" s="35" t="n">
        <v>74</v>
      </c>
    </row>
    <row r="165" customFormat="false" ht="15" hidden="false" customHeight="false" outlineLevel="0" collapsed="false">
      <c r="A165" s="31" t="s">
        <v>4939</v>
      </c>
      <c r="B165" s="31" t="s">
        <v>4758</v>
      </c>
      <c r="C165" s="35" t="n">
        <v>73</v>
      </c>
    </row>
    <row r="166" customFormat="false" ht="15" hidden="false" customHeight="false" outlineLevel="0" collapsed="false">
      <c r="A166" s="31" t="s">
        <v>4940</v>
      </c>
      <c r="B166" s="31" t="s">
        <v>4941</v>
      </c>
      <c r="C166" s="35" t="n">
        <v>72</v>
      </c>
    </row>
    <row r="167" customFormat="false" ht="15" hidden="false" customHeight="false" outlineLevel="0" collapsed="false">
      <c r="A167" s="31" t="s">
        <v>4612</v>
      </c>
      <c r="B167" s="31" t="s">
        <v>4942</v>
      </c>
      <c r="C167" s="35" t="n">
        <v>72</v>
      </c>
    </row>
    <row r="168" customFormat="false" ht="15" hidden="false" customHeight="false" outlineLevel="0" collapsed="false">
      <c r="A168" s="31" t="s">
        <v>4943</v>
      </c>
      <c r="B168" s="31" t="s">
        <v>4944</v>
      </c>
      <c r="C168" s="35" t="n">
        <v>73</v>
      </c>
    </row>
    <row r="169" customFormat="false" ht="15" hidden="false" customHeight="false" outlineLevel="0" collapsed="false">
      <c r="A169" s="31" t="s">
        <v>4945</v>
      </c>
      <c r="B169" s="31" t="s">
        <v>4946</v>
      </c>
      <c r="C169" s="35" t="n">
        <v>71</v>
      </c>
    </row>
    <row r="170" customFormat="false" ht="15" hidden="false" customHeight="false" outlineLevel="0" collapsed="false">
      <c r="A170" s="31" t="s">
        <v>4947</v>
      </c>
      <c r="B170" s="31" t="s">
        <v>4948</v>
      </c>
      <c r="C170" s="35" t="n">
        <v>73</v>
      </c>
    </row>
    <row r="171" customFormat="false" ht="15" hidden="false" customHeight="false" outlineLevel="0" collapsed="false">
      <c r="A171" s="31" t="s">
        <v>4949</v>
      </c>
      <c r="B171" s="31" t="s">
        <v>4950</v>
      </c>
      <c r="C171" s="35" t="n">
        <v>78</v>
      </c>
    </row>
    <row r="172" customFormat="false" ht="15" hidden="false" customHeight="false" outlineLevel="0" collapsed="false">
      <c r="A172" s="31" t="s">
        <v>4951</v>
      </c>
      <c r="B172" s="31" t="s">
        <v>4952</v>
      </c>
      <c r="C172" s="35" t="n">
        <v>73</v>
      </c>
    </row>
    <row r="173" customFormat="false" ht="15" hidden="false" customHeight="false" outlineLevel="0" collapsed="false">
      <c r="A173" s="31" t="s">
        <v>4953</v>
      </c>
      <c r="B173" s="31" t="s">
        <v>4954</v>
      </c>
      <c r="C173" s="35" t="n">
        <v>77</v>
      </c>
    </row>
    <row r="174" customFormat="false" ht="15" hidden="false" customHeight="false" outlineLevel="0" collapsed="false">
      <c r="A174" s="31" t="s">
        <v>4955</v>
      </c>
      <c r="B174" s="31" t="s">
        <v>4956</v>
      </c>
      <c r="C174" s="35" t="n">
        <v>73</v>
      </c>
    </row>
    <row r="175" customFormat="false" ht="15" hidden="false" customHeight="false" outlineLevel="0" collapsed="false">
      <c r="A175" s="31" t="s">
        <v>4957</v>
      </c>
      <c r="B175" s="31" t="s">
        <v>4958</v>
      </c>
      <c r="C175" s="35" t="n">
        <v>82</v>
      </c>
    </row>
    <row r="176" customFormat="false" ht="15" hidden="false" customHeight="false" outlineLevel="0" collapsed="false">
      <c r="A176" s="31" t="s">
        <v>4613</v>
      </c>
      <c r="B176" s="31" t="s">
        <v>4959</v>
      </c>
      <c r="C176" s="35" t="n">
        <v>81</v>
      </c>
    </row>
    <row r="177" customFormat="false" ht="15" hidden="false" customHeight="false" outlineLevel="0" collapsed="false">
      <c r="A177" s="31" t="s">
        <v>4960</v>
      </c>
      <c r="B177" s="31" t="s">
        <v>4961</v>
      </c>
      <c r="C177" s="35" t="n">
        <v>97</v>
      </c>
    </row>
    <row r="178" customFormat="false" ht="15" hidden="false" customHeight="false" outlineLevel="0" collapsed="false">
      <c r="A178" s="31" t="s">
        <v>4962</v>
      </c>
      <c r="B178" s="31" t="s">
        <v>4963</v>
      </c>
      <c r="C178" s="35" t="n">
        <v>78</v>
      </c>
    </row>
    <row r="179" customFormat="false" ht="15" hidden="false" customHeight="false" outlineLevel="0" collapsed="false">
      <c r="A179" s="31" t="s">
        <v>4964</v>
      </c>
      <c r="B179" s="31" t="s">
        <v>4965</v>
      </c>
      <c r="C179" s="35" t="n">
        <v>83</v>
      </c>
    </row>
    <row r="180" customFormat="false" ht="15" hidden="false" customHeight="false" outlineLevel="0" collapsed="false">
      <c r="A180" s="31" t="s">
        <v>4966</v>
      </c>
      <c r="B180" s="31" t="s">
        <v>4967</v>
      </c>
      <c r="C180" s="35" t="n">
        <v>86</v>
      </c>
    </row>
    <row r="181" customFormat="false" ht="15" hidden="false" customHeight="false" outlineLevel="0" collapsed="false">
      <c r="A181" s="31" t="s">
        <v>4968</v>
      </c>
      <c r="B181" s="31" t="s">
        <v>4687</v>
      </c>
      <c r="C181" s="35" t="n">
        <v>74</v>
      </c>
    </row>
    <row r="182" customFormat="false" ht="15" hidden="false" customHeight="false" outlineLevel="0" collapsed="false">
      <c r="A182" s="31" t="s">
        <v>4969</v>
      </c>
      <c r="B182" s="31" t="s">
        <v>4970</v>
      </c>
      <c r="C182" s="35" t="n">
        <v>71</v>
      </c>
    </row>
    <row r="183" customFormat="false" ht="15" hidden="false" customHeight="false" outlineLevel="0" collapsed="false">
      <c r="A183" s="31" t="s">
        <v>4971</v>
      </c>
      <c r="B183" s="31" t="s">
        <v>4972</v>
      </c>
      <c r="C183" s="35" t="n">
        <v>74</v>
      </c>
    </row>
    <row r="184" customFormat="false" ht="15" hidden="false" customHeight="false" outlineLevel="0" collapsed="false">
      <c r="A184" s="31" t="s">
        <v>4973</v>
      </c>
      <c r="B184" s="31" t="s">
        <v>4974</v>
      </c>
      <c r="C184" s="35" t="n">
        <v>74</v>
      </c>
    </row>
    <row r="185" customFormat="false" ht="15" hidden="false" customHeight="false" outlineLevel="0" collapsed="false">
      <c r="A185" s="31" t="s">
        <v>4975</v>
      </c>
      <c r="B185" s="31" t="s">
        <v>4976</v>
      </c>
      <c r="C185" s="35" t="n">
        <v>92</v>
      </c>
    </row>
    <row r="186" customFormat="false" ht="15" hidden="false" customHeight="false" outlineLevel="0" collapsed="false">
      <c r="A186" s="31" t="s">
        <v>4977</v>
      </c>
      <c r="B186" s="31" t="s">
        <v>4978</v>
      </c>
      <c r="C186" s="35" t="n">
        <v>72</v>
      </c>
    </row>
    <row r="187" customFormat="false" ht="15" hidden="false" customHeight="false" outlineLevel="0" collapsed="false">
      <c r="A187" s="31" t="s">
        <v>4979</v>
      </c>
      <c r="B187" s="31" t="s">
        <v>4980</v>
      </c>
      <c r="C187" s="35" t="n">
        <v>74</v>
      </c>
    </row>
    <row r="188" customFormat="false" ht="15" hidden="false" customHeight="false" outlineLevel="0" collapsed="false">
      <c r="A188" s="31" t="s">
        <v>4981</v>
      </c>
      <c r="B188" s="31" t="s">
        <v>4982</v>
      </c>
      <c r="C188" s="35" t="n">
        <v>76</v>
      </c>
    </row>
    <row r="189" customFormat="false" ht="15" hidden="false" customHeight="false" outlineLevel="0" collapsed="false">
      <c r="A189" s="31" t="s">
        <v>4983</v>
      </c>
      <c r="B189" s="31" t="s">
        <v>4984</v>
      </c>
      <c r="C189" s="35" t="n">
        <v>71</v>
      </c>
    </row>
    <row r="190" customFormat="false" ht="15" hidden="false" customHeight="false" outlineLevel="0" collapsed="false">
      <c r="A190" s="31" t="s">
        <v>4985</v>
      </c>
      <c r="B190" s="31" t="s">
        <v>4986</v>
      </c>
      <c r="C190" s="35" t="n">
        <v>76</v>
      </c>
    </row>
    <row r="191" customFormat="false" ht="15" hidden="false" customHeight="false" outlineLevel="0" collapsed="false">
      <c r="A191" s="31" t="s">
        <v>4615</v>
      </c>
      <c r="B191" s="31" t="s">
        <v>4987</v>
      </c>
      <c r="C191" s="35" t="n">
        <v>94</v>
      </c>
    </row>
    <row r="192" customFormat="false" ht="15" hidden="false" customHeight="false" outlineLevel="0" collapsed="false">
      <c r="A192" s="31" t="s">
        <v>4988</v>
      </c>
      <c r="B192" s="31" t="s">
        <v>4989</v>
      </c>
      <c r="C192" s="35" t="n">
        <v>71</v>
      </c>
    </row>
    <row r="193" customFormat="false" ht="15" hidden="false" customHeight="false" outlineLevel="0" collapsed="false">
      <c r="A193" s="31" t="s">
        <v>4990</v>
      </c>
      <c r="B193" s="31" t="s">
        <v>4991</v>
      </c>
      <c r="C193" s="35" t="n">
        <v>79</v>
      </c>
    </row>
    <row r="194" customFormat="false" ht="15" hidden="false" customHeight="false" outlineLevel="0" collapsed="false">
      <c r="A194" s="31" t="s">
        <v>4992</v>
      </c>
      <c r="B194" s="31" t="s">
        <v>4993</v>
      </c>
      <c r="C194" s="35" t="n">
        <v>74</v>
      </c>
    </row>
    <row r="195" customFormat="false" ht="15" hidden="false" customHeight="false" outlineLevel="0" collapsed="false">
      <c r="A195" s="31" t="s">
        <v>4994</v>
      </c>
      <c r="B195" s="31" t="s">
        <v>4995</v>
      </c>
      <c r="C195" s="35" t="n">
        <v>89</v>
      </c>
    </row>
    <row r="196" customFormat="false" ht="15" hidden="false" customHeight="false" outlineLevel="0" collapsed="false">
      <c r="A196" s="31" t="s">
        <v>4996</v>
      </c>
      <c r="B196" s="31" t="s">
        <v>4997</v>
      </c>
      <c r="C196" s="35" t="n">
        <v>78</v>
      </c>
    </row>
    <row r="197" customFormat="false" ht="15" hidden="false" customHeight="false" outlineLevel="0" collapsed="false">
      <c r="A197" s="31" t="s">
        <v>4998</v>
      </c>
      <c r="B197" s="31" t="s">
        <v>4999</v>
      </c>
      <c r="C197" s="35" t="n">
        <v>72</v>
      </c>
    </row>
    <row r="198" customFormat="false" ht="15" hidden="false" customHeight="false" outlineLevel="0" collapsed="false">
      <c r="A198" s="31" t="s">
        <v>5000</v>
      </c>
      <c r="B198" s="31" t="s">
        <v>5001</v>
      </c>
      <c r="C198" s="35" t="n">
        <v>74</v>
      </c>
    </row>
    <row r="199" customFormat="false" ht="15" hidden="false" customHeight="false" outlineLevel="0" collapsed="false">
      <c r="A199" s="31" t="s">
        <v>5002</v>
      </c>
      <c r="B199" s="31" t="s">
        <v>5003</v>
      </c>
      <c r="C199" s="35" t="n">
        <v>72</v>
      </c>
    </row>
    <row r="200" customFormat="false" ht="15" hidden="false" customHeight="false" outlineLevel="0" collapsed="false">
      <c r="A200" s="31" t="s">
        <v>5004</v>
      </c>
      <c r="B200" s="31" t="s">
        <v>5005</v>
      </c>
      <c r="C200" s="35" t="n">
        <v>72</v>
      </c>
    </row>
    <row r="201" customFormat="false" ht="15" hidden="false" customHeight="false" outlineLevel="0" collapsed="false">
      <c r="A201" s="31" t="s">
        <v>5006</v>
      </c>
      <c r="B201" s="31" t="s">
        <v>5007</v>
      </c>
      <c r="C201" s="35" t="n">
        <v>78</v>
      </c>
    </row>
    <row r="202" customFormat="false" ht="15" hidden="false" customHeight="false" outlineLevel="0" collapsed="false">
      <c r="A202" s="31" t="s">
        <v>5008</v>
      </c>
      <c r="B202" s="31" t="s">
        <v>5009</v>
      </c>
      <c r="C202" s="35" t="n">
        <v>73</v>
      </c>
    </row>
    <row r="203" customFormat="false" ht="15" hidden="false" customHeight="false" outlineLevel="0" collapsed="false">
      <c r="A203" s="31" t="s">
        <v>5010</v>
      </c>
      <c r="B203" s="31" t="s">
        <v>5011</v>
      </c>
      <c r="C203" s="35" t="n">
        <v>71</v>
      </c>
    </row>
    <row r="204" customFormat="false" ht="15" hidden="false" customHeight="false" outlineLevel="0" collapsed="false">
      <c r="A204" s="31" t="s">
        <v>5012</v>
      </c>
      <c r="B204" s="31" t="s">
        <v>5013</v>
      </c>
      <c r="C204" s="35" t="n">
        <v>78</v>
      </c>
    </row>
    <row r="205" customFormat="false" ht="15" hidden="false" customHeight="false" outlineLevel="0" collapsed="false">
      <c r="A205" s="31" t="s">
        <v>4623</v>
      </c>
      <c r="B205" s="31" t="s">
        <v>5014</v>
      </c>
      <c r="C205" s="35" t="n">
        <v>75</v>
      </c>
    </row>
    <row r="206" customFormat="false" ht="15" hidden="false" customHeight="false" outlineLevel="0" collapsed="false">
      <c r="A206" s="31" t="s">
        <v>4624</v>
      </c>
      <c r="B206" s="31" t="s">
        <v>5015</v>
      </c>
      <c r="C206" s="35" t="n">
        <v>82</v>
      </c>
    </row>
    <row r="207" customFormat="false" ht="15" hidden="false" customHeight="false" outlineLevel="0" collapsed="false">
      <c r="A207" s="31" t="s">
        <v>5016</v>
      </c>
      <c r="B207" s="31" t="s">
        <v>5017</v>
      </c>
      <c r="C207" s="35" t="n">
        <v>76</v>
      </c>
    </row>
    <row r="208" customFormat="false" ht="15" hidden="false" customHeight="false" outlineLevel="0" collapsed="false">
      <c r="A208" s="31" t="s">
        <v>5018</v>
      </c>
      <c r="B208" s="31" t="s">
        <v>5019</v>
      </c>
      <c r="C208" s="35" t="n">
        <v>72</v>
      </c>
    </row>
    <row r="209" customFormat="false" ht="15" hidden="false" customHeight="false" outlineLevel="0" collapsed="false">
      <c r="A209" s="31" t="s">
        <v>5020</v>
      </c>
      <c r="B209" s="31" t="s">
        <v>5021</v>
      </c>
      <c r="C209" s="35" t="n">
        <v>78</v>
      </c>
    </row>
    <row r="210" customFormat="false" ht="15" hidden="false" customHeight="false" outlineLevel="0" collapsed="false">
      <c r="A210" s="31" t="s">
        <v>5022</v>
      </c>
      <c r="B210" s="31" t="s">
        <v>5023</v>
      </c>
      <c r="C210" s="35" t="n">
        <v>92</v>
      </c>
    </row>
    <row r="211" customFormat="false" ht="15" hidden="false" customHeight="false" outlineLevel="0" collapsed="false">
      <c r="A211" s="31" t="s">
        <v>5024</v>
      </c>
      <c r="B211" s="31" t="s">
        <v>5025</v>
      </c>
      <c r="C211" s="35" t="n">
        <v>81</v>
      </c>
    </row>
    <row r="212" customFormat="false" ht="15" hidden="false" customHeight="false" outlineLevel="0" collapsed="false">
      <c r="A212" s="31" t="s">
        <v>4625</v>
      </c>
      <c r="B212" s="31" t="s">
        <v>5026</v>
      </c>
      <c r="C212" s="35" t="n">
        <v>74</v>
      </c>
    </row>
    <row r="213" customFormat="false" ht="15" hidden="false" customHeight="false" outlineLevel="0" collapsed="false">
      <c r="A213" s="31" t="s">
        <v>5027</v>
      </c>
      <c r="B213" s="31" t="s">
        <v>5028</v>
      </c>
      <c r="C213" s="35" t="n">
        <v>83</v>
      </c>
    </row>
    <row r="214" customFormat="false" ht="15" hidden="false" customHeight="false" outlineLevel="0" collapsed="false">
      <c r="A214" s="31" t="s">
        <v>5029</v>
      </c>
      <c r="B214" s="31" t="s">
        <v>5030</v>
      </c>
      <c r="C214" s="35" t="n">
        <v>71</v>
      </c>
    </row>
    <row r="215" customFormat="false" ht="15" hidden="false" customHeight="false" outlineLevel="0" collapsed="false">
      <c r="A215" s="31" t="s">
        <v>5031</v>
      </c>
      <c r="B215" s="31" t="s">
        <v>5032</v>
      </c>
      <c r="C215" s="35" t="n">
        <v>72</v>
      </c>
    </row>
    <row r="216" customFormat="false" ht="15" hidden="false" customHeight="false" outlineLevel="0" collapsed="false">
      <c r="A216" s="31" t="s">
        <v>5033</v>
      </c>
      <c r="B216" s="31" t="s">
        <v>5034</v>
      </c>
      <c r="C216" s="35" t="n">
        <v>82</v>
      </c>
    </row>
    <row r="217" customFormat="false" ht="15" hidden="false" customHeight="false" outlineLevel="0" collapsed="false">
      <c r="A217" s="31" t="s">
        <v>5035</v>
      </c>
      <c r="B217" s="31" t="s">
        <v>5036</v>
      </c>
      <c r="C217" s="35" t="n">
        <v>75</v>
      </c>
    </row>
    <row r="218" customFormat="false" ht="15" hidden="false" customHeight="false" outlineLevel="0" collapsed="false">
      <c r="A218" s="31" t="s">
        <v>5037</v>
      </c>
      <c r="B218" s="31" t="s">
        <v>5038</v>
      </c>
      <c r="C218" s="35" t="n">
        <v>76</v>
      </c>
    </row>
    <row r="219" customFormat="false" ht="15" hidden="false" customHeight="false" outlineLevel="0" collapsed="false">
      <c r="A219" s="31" t="s">
        <v>4627</v>
      </c>
      <c r="B219" s="31" t="s">
        <v>5039</v>
      </c>
      <c r="C219" s="35" t="n">
        <v>87</v>
      </c>
    </row>
    <row r="220" customFormat="false" ht="15" hidden="false" customHeight="false" outlineLevel="0" collapsed="false">
      <c r="A220" s="31" t="s">
        <v>5040</v>
      </c>
      <c r="B220" s="31" t="s">
        <v>5041</v>
      </c>
      <c r="C220" s="35" t="n">
        <v>73</v>
      </c>
    </row>
    <row r="221" customFormat="false" ht="15" hidden="false" customHeight="false" outlineLevel="0" collapsed="false">
      <c r="A221" s="31" t="s">
        <v>5042</v>
      </c>
      <c r="B221" s="31" t="s">
        <v>5043</v>
      </c>
      <c r="C221" s="35" t="n">
        <v>77</v>
      </c>
    </row>
    <row r="222" customFormat="false" ht="15" hidden="false" customHeight="false" outlineLevel="0" collapsed="false">
      <c r="A222" s="31" t="s">
        <v>5044</v>
      </c>
      <c r="B222" s="31" t="s">
        <v>5045</v>
      </c>
      <c r="C222" s="35" t="n">
        <v>83</v>
      </c>
    </row>
    <row r="223" customFormat="false" ht="15" hidden="false" customHeight="false" outlineLevel="0" collapsed="false">
      <c r="A223" s="31" t="s">
        <v>5046</v>
      </c>
      <c r="B223" s="31" t="s">
        <v>5047</v>
      </c>
      <c r="C223" s="35" t="n">
        <v>71</v>
      </c>
    </row>
    <row r="224" customFormat="false" ht="15" hidden="false" customHeight="false" outlineLevel="0" collapsed="false">
      <c r="A224" s="31" t="s">
        <v>5048</v>
      </c>
      <c r="B224" s="31" t="s">
        <v>5049</v>
      </c>
      <c r="C224" s="35" t="n">
        <v>71</v>
      </c>
    </row>
    <row r="225" customFormat="false" ht="15" hidden="false" customHeight="false" outlineLevel="0" collapsed="false">
      <c r="A225" s="31" t="s">
        <v>5050</v>
      </c>
      <c r="B225" s="31" t="s">
        <v>5051</v>
      </c>
      <c r="C225" s="35" t="n">
        <v>91</v>
      </c>
    </row>
    <row r="226" customFormat="false" ht="15" hidden="false" customHeight="false" outlineLevel="0" collapsed="false">
      <c r="A226" s="31" t="s">
        <v>5052</v>
      </c>
      <c r="B226" s="31" t="s">
        <v>5053</v>
      </c>
      <c r="C226" s="35" t="n">
        <v>74</v>
      </c>
    </row>
    <row r="227" customFormat="false" ht="15" hidden="false" customHeight="false" outlineLevel="0" collapsed="false">
      <c r="A227" s="31" t="s">
        <v>4631</v>
      </c>
      <c r="B227" s="31" t="s">
        <v>5054</v>
      </c>
      <c r="C227" s="35" t="n">
        <v>80</v>
      </c>
    </row>
    <row r="228" customFormat="false" ht="15" hidden="false" customHeight="false" outlineLevel="0" collapsed="false">
      <c r="A228" s="31" t="s">
        <v>5055</v>
      </c>
      <c r="B228" s="31" t="s">
        <v>5056</v>
      </c>
      <c r="C228" s="35" t="n">
        <v>79</v>
      </c>
    </row>
    <row r="229" customFormat="false" ht="15" hidden="false" customHeight="false" outlineLevel="0" collapsed="false">
      <c r="A229" s="31" t="s">
        <v>5057</v>
      </c>
      <c r="B229" s="31" t="s">
        <v>5058</v>
      </c>
      <c r="C229" s="35" t="n">
        <v>90</v>
      </c>
    </row>
    <row r="230" customFormat="false" ht="15" hidden="false" customHeight="false" outlineLevel="0" collapsed="false">
      <c r="A230" s="31" t="s">
        <v>5059</v>
      </c>
      <c r="B230" s="31" t="s">
        <v>5060</v>
      </c>
      <c r="C230" s="35" t="n">
        <v>74</v>
      </c>
    </row>
    <row r="231" customFormat="false" ht="15" hidden="false" customHeight="false" outlineLevel="0" collapsed="false">
      <c r="A231" s="31" t="s">
        <v>5061</v>
      </c>
      <c r="B231" s="31" t="s">
        <v>5062</v>
      </c>
      <c r="C231" s="35" t="n">
        <v>77</v>
      </c>
    </row>
    <row r="232" customFormat="false" ht="15" hidden="false" customHeight="false" outlineLevel="0" collapsed="false">
      <c r="A232" s="31" t="s">
        <v>5063</v>
      </c>
      <c r="B232" s="31" t="s">
        <v>5064</v>
      </c>
      <c r="C232" s="35" t="n">
        <v>80</v>
      </c>
    </row>
    <row r="233" customFormat="false" ht="15" hidden="false" customHeight="false" outlineLevel="0" collapsed="false">
      <c r="A233" s="31" t="s">
        <v>5065</v>
      </c>
      <c r="B233" s="31" t="s">
        <v>5066</v>
      </c>
      <c r="C233" s="35" t="n">
        <v>75</v>
      </c>
    </row>
    <row r="234" customFormat="false" ht="15" hidden="false" customHeight="false" outlineLevel="0" collapsed="false">
      <c r="A234" s="31" t="s">
        <v>5067</v>
      </c>
      <c r="B234" s="31" t="s">
        <v>5068</v>
      </c>
      <c r="C234" s="35" t="n">
        <v>71</v>
      </c>
    </row>
    <row r="235" customFormat="false" ht="15" hidden="false" customHeight="false" outlineLevel="0" collapsed="false">
      <c r="A235" s="31" t="s">
        <v>5069</v>
      </c>
      <c r="B235" s="31" t="s">
        <v>5070</v>
      </c>
      <c r="C235" s="35" t="n">
        <v>74</v>
      </c>
    </row>
    <row r="236" customFormat="false" ht="15" hidden="false" customHeight="false" outlineLevel="0" collapsed="false">
      <c r="A236" s="31" t="s">
        <v>5071</v>
      </c>
      <c r="B236" s="31" t="s">
        <v>5072</v>
      </c>
      <c r="C236" s="35" t="n">
        <v>77</v>
      </c>
    </row>
    <row r="237" customFormat="false" ht="15" hidden="false" customHeight="false" outlineLevel="0" collapsed="false">
      <c r="A237" s="31" t="s">
        <v>5073</v>
      </c>
      <c r="B237" s="31" t="s">
        <v>5074</v>
      </c>
      <c r="C237" s="35" t="n">
        <v>89</v>
      </c>
    </row>
    <row r="238" customFormat="false" ht="15" hidden="false" customHeight="false" outlineLevel="0" collapsed="false">
      <c r="A238" s="31" t="s">
        <v>5075</v>
      </c>
      <c r="B238" s="31" t="s">
        <v>5076</v>
      </c>
      <c r="C238" s="35" t="n">
        <v>75</v>
      </c>
    </row>
    <row r="239" customFormat="false" ht="15" hidden="false" customHeight="false" outlineLevel="0" collapsed="false">
      <c r="A239" s="31" t="s">
        <v>5077</v>
      </c>
      <c r="B239" s="31" t="s">
        <v>5078</v>
      </c>
      <c r="C239" s="35" t="n">
        <v>98</v>
      </c>
    </row>
    <row r="240" customFormat="false" ht="15" hidden="false" customHeight="false" outlineLevel="0" collapsed="false">
      <c r="A240" s="31" t="s">
        <v>5079</v>
      </c>
      <c r="B240" s="31" t="s">
        <v>5080</v>
      </c>
      <c r="C240" s="35" t="n">
        <v>76</v>
      </c>
    </row>
    <row r="241" customFormat="false" ht="15" hidden="false" customHeight="false" outlineLevel="0" collapsed="false">
      <c r="A241" s="31" t="s">
        <v>5081</v>
      </c>
      <c r="B241" s="31" t="s">
        <v>5082</v>
      </c>
      <c r="C241" s="35" t="n">
        <v>72</v>
      </c>
    </row>
    <row r="242" customFormat="false" ht="15" hidden="false" customHeight="false" outlineLevel="0" collapsed="false">
      <c r="A242" s="31" t="s">
        <v>5083</v>
      </c>
      <c r="B242" s="31" t="s">
        <v>5084</v>
      </c>
      <c r="C242" s="35" t="n">
        <v>74</v>
      </c>
    </row>
    <row r="243" customFormat="false" ht="15" hidden="false" customHeight="false" outlineLevel="0" collapsed="false">
      <c r="A243" s="31" t="s">
        <v>5085</v>
      </c>
      <c r="B243" s="31" t="s">
        <v>5086</v>
      </c>
      <c r="C243" s="35" t="n">
        <v>74</v>
      </c>
    </row>
    <row r="244" customFormat="false" ht="15" hidden="false" customHeight="false" outlineLevel="0" collapsed="false">
      <c r="A244" s="31" t="s">
        <v>5087</v>
      </c>
      <c r="B244" s="31" t="s">
        <v>5088</v>
      </c>
      <c r="C244" s="35" t="n">
        <v>80</v>
      </c>
    </row>
    <row r="245" customFormat="false" ht="15" hidden="false" customHeight="false" outlineLevel="0" collapsed="false">
      <c r="A245" s="31" t="s">
        <v>5089</v>
      </c>
      <c r="B245" s="31" t="s">
        <v>5090</v>
      </c>
      <c r="C245" s="35" t="n">
        <v>94</v>
      </c>
    </row>
    <row r="246" customFormat="false" ht="15" hidden="false" customHeight="false" outlineLevel="0" collapsed="false">
      <c r="A246" s="31" t="s">
        <v>5091</v>
      </c>
      <c r="B246" s="31" t="s">
        <v>5092</v>
      </c>
      <c r="C246" s="35" t="n">
        <v>97</v>
      </c>
    </row>
    <row r="247" customFormat="false" ht="15" hidden="false" customHeight="false" outlineLevel="0" collapsed="false">
      <c r="A247" s="31" t="s">
        <v>5093</v>
      </c>
      <c r="B247" s="31" t="s">
        <v>5094</v>
      </c>
      <c r="C247" s="35" t="n">
        <v>76</v>
      </c>
    </row>
    <row r="248" customFormat="false" ht="15" hidden="false" customHeight="false" outlineLevel="0" collapsed="false">
      <c r="A248" s="31" t="s">
        <v>5095</v>
      </c>
      <c r="B248" s="31" t="s">
        <v>5096</v>
      </c>
      <c r="C248" s="35" t="n">
        <v>73</v>
      </c>
    </row>
    <row r="249" customFormat="false" ht="15" hidden="false" customHeight="false" outlineLevel="0" collapsed="false">
      <c r="A249" s="31" t="s">
        <v>5097</v>
      </c>
      <c r="B249" s="31" t="s">
        <v>5098</v>
      </c>
      <c r="C249" s="35" t="n">
        <v>76</v>
      </c>
    </row>
    <row r="250" customFormat="false" ht="15" hidden="false" customHeight="false" outlineLevel="0" collapsed="false">
      <c r="A250" s="31" t="s">
        <v>5099</v>
      </c>
      <c r="B250" s="31" t="s">
        <v>5100</v>
      </c>
      <c r="C250" s="35" t="n">
        <v>75</v>
      </c>
    </row>
    <row r="251" customFormat="false" ht="15" hidden="false" customHeight="false" outlineLevel="0" collapsed="false">
      <c r="A251" s="31" t="s">
        <v>5101</v>
      </c>
      <c r="B251" s="31" t="s">
        <v>5102</v>
      </c>
      <c r="C251" s="35" t="n">
        <v>73</v>
      </c>
    </row>
    <row r="252" customFormat="false" ht="15" hidden="false" customHeight="false" outlineLevel="0" collapsed="false">
      <c r="A252" s="31" t="s">
        <v>5103</v>
      </c>
      <c r="B252" s="31" t="s">
        <v>5104</v>
      </c>
      <c r="C252" s="35" t="n">
        <v>74</v>
      </c>
    </row>
    <row r="253" customFormat="false" ht="15" hidden="false" customHeight="false" outlineLevel="0" collapsed="false">
      <c r="A253" s="31" t="s">
        <v>5105</v>
      </c>
      <c r="B253" s="31" t="s">
        <v>5106</v>
      </c>
      <c r="C253" s="35" t="n">
        <v>76</v>
      </c>
    </row>
    <row r="254" customFormat="false" ht="15" hidden="false" customHeight="false" outlineLevel="0" collapsed="false">
      <c r="A254" s="31" t="s">
        <v>5107</v>
      </c>
      <c r="B254" s="31" t="s">
        <v>5108</v>
      </c>
      <c r="C254" s="35" t="n">
        <v>74</v>
      </c>
    </row>
    <row r="255" customFormat="false" ht="15" hidden="false" customHeight="false" outlineLevel="0" collapsed="false">
      <c r="A255" s="31" t="s">
        <v>5109</v>
      </c>
      <c r="B255" s="31" t="s">
        <v>5110</v>
      </c>
      <c r="C255" s="35" t="n">
        <v>75</v>
      </c>
    </row>
    <row r="256" customFormat="false" ht="15" hidden="false" customHeight="false" outlineLevel="0" collapsed="false">
      <c r="A256" s="31" t="s">
        <v>5111</v>
      </c>
      <c r="B256" s="31" t="s">
        <v>5112</v>
      </c>
      <c r="C256" s="35" t="n">
        <v>97</v>
      </c>
    </row>
    <row r="257" customFormat="false" ht="15" hidden="false" customHeight="false" outlineLevel="0" collapsed="false">
      <c r="A257" s="31" t="s">
        <v>5113</v>
      </c>
      <c r="B257" s="31" t="s">
        <v>5114</v>
      </c>
      <c r="C257" s="35" t="n">
        <v>75</v>
      </c>
    </row>
    <row r="258" customFormat="false" ht="15" hidden="false" customHeight="false" outlineLevel="0" collapsed="false">
      <c r="A258" s="31" t="s">
        <v>5115</v>
      </c>
      <c r="B258" s="31" t="s">
        <v>5116</v>
      </c>
      <c r="C258" s="35" t="n">
        <v>80</v>
      </c>
    </row>
    <row r="259" customFormat="false" ht="15" hidden="false" customHeight="false" outlineLevel="0" collapsed="false">
      <c r="A259" s="31" t="s">
        <v>5117</v>
      </c>
      <c r="B259" s="31" t="s">
        <v>5118</v>
      </c>
      <c r="C259" s="35" t="n">
        <v>87</v>
      </c>
    </row>
    <row r="260" customFormat="false" ht="15" hidden="false" customHeight="false" outlineLevel="0" collapsed="false">
      <c r="A260" s="31" t="s">
        <v>5119</v>
      </c>
      <c r="B260" s="31" t="s">
        <v>5120</v>
      </c>
      <c r="C260" s="35" t="n">
        <v>72</v>
      </c>
    </row>
    <row r="261" customFormat="false" ht="15" hidden="false" customHeight="false" outlineLevel="0" collapsed="false">
      <c r="A261" s="31" t="s">
        <v>4641</v>
      </c>
      <c r="B261" s="31" t="s">
        <v>5121</v>
      </c>
      <c r="C261" s="35" t="n">
        <v>72</v>
      </c>
    </row>
    <row r="262" customFormat="false" ht="15" hidden="false" customHeight="false" outlineLevel="0" collapsed="false">
      <c r="A262" s="31" t="s">
        <v>5122</v>
      </c>
      <c r="B262" s="31" t="s">
        <v>5123</v>
      </c>
      <c r="C262" s="35" t="n">
        <v>71</v>
      </c>
    </row>
    <row r="263" customFormat="false" ht="15" hidden="false" customHeight="false" outlineLevel="0" collapsed="false">
      <c r="A263" s="31" t="s">
        <v>5124</v>
      </c>
      <c r="B263" s="31" t="s">
        <v>5125</v>
      </c>
      <c r="C263" s="35" t="n">
        <v>72</v>
      </c>
    </row>
    <row r="264" customFormat="false" ht="15" hidden="false" customHeight="false" outlineLevel="0" collapsed="false">
      <c r="A264" s="31" t="s">
        <v>5126</v>
      </c>
      <c r="B264" s="31" t="s">
        <v>4758</v>
      </c>
      <c r="C264" s="35" t="n">
        <v>73</v>
      </c>
    </row>
    <row r="265" customFormat="false" ht="15" hidden="false" customHeight="false" outlineLevel="0" collapsed="false">
      <c r="A265" s="31" t="s">
        <v>5127</v>
      </c>
      <c r="B265" s="31" t="s">
        <v>5128</v>
      </c>
      <c r="C265" s="35" t="n">
        <v>75</v>
      </c>
    </row>
    <row r="266" customFormat="false" ht="15" hidden="false" customHeight="false" outlineLevel="0" collapsed="false">
      <c r="A266" s="31" t="s">
        <v>5129</v>
      </c>
      <c r="B266" s="31" t="s">
        <v>5130</v>
      </c>
      <c r="C266" s="35" t="n">
        <v>82</v>
      </c>
    </row>
    <row r="267" customFormat="false" ht="15" hidden="false" customHeight="false" outlineLevel="0" collapsed="false">
      <c r="A267" s="31" t="s">
        <v>5131</v>
      </c>
      <c r="B267" s="31" t="s">
        <v>5132</v>
      </c>
      <c r="C267" s="35" t="n">
        <v>71</v>
      </c>
    </row>
    <row r="268" customFormat="false" ht="15" hidden="false" customHeight="false" outlineLevel="0" collapsed="false">
      <c r="A268" s="31" t="s">
        <v>5133</v>
      </c>
      <c r="B268" s="31" t="s">
        <v>5134</v>
      </c>
      <c r="C268" s="35" t="n">
        <v>73</v>
      </c>
    </row>
    <row r="269" customFormat="false" ht="15" hidden="false" customHeight="false" outlineLevel="0" collapsed="false">
      <c r="A269" s="31" t="s">
        <v>5135</v>
      </c>
      <c r="B269" s="31" t="s">
        <v>5136</v>
      </c>
      <c r="C269" s="35" t="n">
        <v>73</v>
      </c>
    </row>
    <row r="270" customFormat="false" ht="15" hidden="false" customHeight="false" outlineLevel="0" collapsed="false">
      <c r="A270" s="31" t="s">
        <v>4644</v>
      </c>
      <c r="B270" s="31" t="s">
        <v>5137</v>
      </c>
      <c r="C270" s="35" t="n">
        <v>74</v>
      </c>
    </row>
    <row r="271" customFormat="false" ht="15" hidden="false" customHeight="false" outlineLevel="0" collapsed="false">
      <c r="A271" s="31" t="s">
        <v>5138</v>
      </c>
      <c r="B271" s="31" t="s">
        <v>5139</v>
      </c>
      <c r="C271" s="35" t="n">
        <v>73</v>
      </c>
    </row>
    <row r="272" customFormat="false" ht="15" hidden="false" customHeight="false" outlineLevel="0" collapsed="false">
      <c r="A272" s="31" t="s">
        <v>5140</v>
      </c>
      <c r="B272" s="31" t="s">
        <v>5141</v>
      </c>
      <c r="C272" s="35" t="n">
        <v>72</v>
      </c>
    </row>
    <row r="273" customFormat="false" ht="15" hidden="false" customHeight="false" outlineLevel="0" collapsed="false">
      <c r="A273" s="31" t="s">
        <v>5142</v>
      </c>
      <c r="B273" s="31" t="s">
        <v>5143</v>
      </c>
      <c r="C273" s="35" t="n">
        <v>75</v>
      </c>
    </row>
    <row r="274" customFormat="false" ht="15" hidden="false" customHeight="false" outlineLevel="0" collapsed="false">
      <c r="A274" s="31" t="s">
        <v>5144</v>
      </c>
      <c r="B274" s="31" t="s">
        <v>5141</v>
      </c>
      <c r="C274" s="35" t="n">
        <v>72</v>
      </c>
    </row>
    <row r="275" customFormat="false" ht="15" hidden="false" customHeight="false" outlineLevel="0" collapsed="false">
      <c r="A275" s="31" t="s">
        <v>5145</v>
      </c>
      <c r="B275" s="31" t="s">
        <v>5146</v>
      </c>
      <c r="C275" s="35" t="n">
        <v>79</v>
      </c>
    </row>
    <row r="276" customFormat="false" ht="15" hidden="false" customHeight="false" outlineLevel="0" collapsed="false">
      <c r="A276" s="31" t="s">
        <v>5147</v>
      </c>
      <c r="B276" s="31" t="s">
        <v>5141</v>
      </c>
      <c r="C276" s="35" t="n">
        <v>72</v>
      </c>
    </row>
    <row r="277" customFormat="false" ht="15" hidden="false" customHeight="false" outlineLevel="0" collapsed="false">
      <c r="A277" s="31" t="s">
        <v>5148</v>
      </c>
      <c r="B277" s="31" t="s">
        <v>5149</v>
      </c>
      <c r="C277" s="35" t="n">
        <v>79</v>
      </c>
    </row>
    <row r="278" customFormat="false" ht="15" hidden="false" customHeight="false" outlineLevel="0" collapsed="false">
      <c r="A278" s="31" t="s">
        <v>5150</v>
      </c>
      <c r="B278" s="31" t="s">
        <v>5151</v>
      </c>
      <c r="C278" s="35" t="n">
        <v>78</v>
      </c>
    </row>
    <row r="279" customFormat="false" ht="15" hidden="false" customHeight="false" outlineLevel="0" collapsed="false">
      <c r="A279" s="31" t="s">
        <v>5152</v>
      </c>
      <c r="B279" s="31" t="s">
        <v>5153</v>
      </c>
      <c r="C279" s="35" t="n">
        <v>92</v>
      </c>
    </row>
    <row r="280" customFormat="false" ht="15" hidden="false" customHeight="false" outlineLevel="0" collapsed="false">
      <c r="A280" s="31" t="s">
        <v>5154</v>
      </c>
      <c r="B280" s="31" t="s">
        <v>5155</v>
      </c>
      <c r="C280" s="35" t="n">
        <v>83</v>
      </c>
    </row>
    <row r="281" customFormat="false" ht="15" hidden="false" customHeight="false" outlineLevel="0" collapsed="false">
      <c r="A281" s="31" t="s">
        <v>5156</v>
      </c>
      <c r="B281" s="31" t="s">
        <v>5157</v>
      </c>
      <c r="C281" s="35" t="n">
        <v>79</v>
      </c>
    </row>
    <row r="282" customFormat="false" ht="15" hidden="false" customHeight="false" outlineLevel="0" collapsed="false">
      <c r="A282" s="31" t="s">
        <v>5158</v>
      </c>
      <c r="B282" s="31" t="s">
        <v>5159</v>
      </c>
      <c r="C282" s="35" t="n">
        <v>82</v>
      </c>
    </row>
    <row r="283" customFormat="false" ht="15" hidden="false" customHeight="false" outlineLevel="0" collapsed="false">
      <c r="A283" s="31" t="s">
        <v>5160</v>
      </c>
      <c r="B283" s="31" t="s">
        <v>5161</v>
      </c>
      <c r="C283" s="35" t="n">
        <v>76</v>
      </c>
    </row>
    <row r="284" customFormat="false" ht="15" hidden="false" customHeight="false" outlineLevel="0" collapsed="false">
      <c r="A284" s="31" t="s">
        <v>5162</v>
      </c>
      <c r="B284" s="31" t="s">
        <v>5163</v>
      </c>
      <c r="C284" s="35" t="n">
        <v>72</v>
      </c>
    </row>
    <row r="285" customFormat="false" ht="15" hidden="false" customHeight="false" outlineLevel="0" collapsed="false">
      <c r="A285" s="31" t="s">
        <v>5164</v>
      </c>
      <c r="B285" s="31" t="s">
        <v>5165</v>
      </c>
      <c r="C285" s="35" t="n">
        <v>71</v>
      </c>
    </row>
    <row r="286" customFormat="false" ht="15" hidden="false" customHeight="false" outlineLevel="0" collapsed="false">
      <c r="A286" s="31" t="s">
        <v>5166</v>
      </c>
      <c r="B286" s="31" t="s">
        <v>5167</v>
      </c>
      <c r="C286" s="35" t="n">
        <v>74</v>
      </c>
    </row>
    <row r="287" customFormat="false" ht="15" hidden="false" customHeight="false" outlineLevel="0" collapsed="false">
      <c r="A287" s="31" t="s">
        <v>5168</v>
      </c>
      <c r="B287" s="31" t="s">
        <v>5169</v>
      </c>
      <c r="C287" s="35" t="n">
        <v>74</v>
      </c>
    </row>
    <row r="288" customFormat="false" ht="15" hidden="false" customHeight="false" outlineLevel="0" collapsed="false">
      <c r="A288" s="31" t="s">
        <v>5170</v>
      </c>
      <c r="B288" s="31" t="s">
        <v>5171</v>
      </c>
      <c r="C288" s="35" t="n">
        <v>78</v>
      </c>
    </row>
    <row r="289" customFormat="false" ht="15" hidden="false" customHeight="false" outlineLevel="0" collapsed="false">
      <c r="A289" s="31" t="s">
        <v>5172</v>
      </c>
      <c r="B289" s="31" t="s">
        <v>5173</v>
      </c>
      <c r="C289" s="35" t="n">
        <v>75</v>
      </c>
    </row>
    <row r="290" customFormat="false" ht="15" hidden="false" customHeight="false" outlineLevel="0" collapsed="false">
      <c r="A290" s="31" t="s">
        <v>5174</v>
      </c>
      <c r="B290" s="31" t="s">
        <v>5175</v>
      </c>
      <c r="C290" s="35" t="n">
        <v>75</v>
      </c>
    </row>
    <row r="291" customFormat="false" ht="15" hidden="false" customHeight="false" outlineLevel="0" collapsed="false">
      <c r="A291" s="31" t="s">
        <v>5176</v>
      </c>
      <c r="B291" s="31" t="s">
        <v>5177</v>
      </c>
      <c r="C291" s="35" t="n">
        <v>88</v>
      </c>
    </row>
    <row r="292" customFormat="false" ht="15" hidden="false" customHeight="false" outlineLevel="0" collapsed="false">
      <c r="A292" s="31" t="s">
        <v>5178</v>
      </c>
      <c r="B292" s="31" t="s">
        <v>5141</v>
      </c>
      <c r="C292" s="35" t="n">
        <v>72</v>
      </c>
    </row>
    <row r="293" customFormat="false" ht="15" hidden="false" customHeight="false" outlineLevel="0" collapsed="false">
      <c r="A293" s="31" t="s">
        <v>5179</v>
      </c>
      <c r="B293" s="31" t="s">
        <v>5180</v>
      </c>
      <c r="C293" s="35" t="n">
        <v>73</v>
      </c>
    </row>
    <row r="294" customFormat="false" ht="15" hidden="false" customHeight="false" outlineLevel="0" collapsed="false">
      <c r="A294" s="31" t="s">
        <v>5181</v>
      </c>
      <c r="B294" s="31" t="s">
        <v>5182</v>
      </c>
      <c r="C294" s="35" t="n">
        <v>71</v>
      </c>
    </row>
    <row r="295" customFormat="false" ht="15" hidden="false" customHeight="false" outlineLevel="0" collapsed="false">
      <c r="A295" s="31" t="s">
        <v>5183</v>
      </c>
      <c r="B295" s="31" t="s">
        <v>5184</v>
      </c>
      <c r="C295" s="35" t="n">
        <v>72</v>
      </c>
    </row>
    <row r="296" customFormat="false" ht="15" hidden="false" customHeight="false" outlineLevel="0" collapsed="false">
      <c r="A296" s="31" t="s">
        <v>5185</v>
      </c>
      <c r="B296" s="31" t="s">
        <v>5186</v>
      </c>
      <c r="C296" s="35" t="n">
        <v>76</v>
      </c>
    </row>
    <row r="297" customFormat="false" ht="15" hidden="false" customHeight="false" outlineLevel="0" collapsed="false">
      <c r="A297" s="31" t="s">
        <v>5187</v>
      </c>
      <c r="B297" s="31" t="s">
        <v>5188</v>
      </c>
      <c r="C297" s="35" t="n">
        <v>81</v>
      </c>
    </row>
    <row r="298" customFormat="false" ht="15" hidden="false" customHeight="false" outlineLevel="0" collapsed="false">
      <c r="A298" s="31" t="s">
        <v>5189</v>
      </c>
      <c r="B298" s="31" t="s">
        <v>5190</v>
      </c>
      <c r="C298" s="35" t="n">
        <v>86</v>
      </c>
    </row>
    <row r="299" customFormat="false" ht="15" hidden="false" customHeight="false" outlineLevel="0" collapsed="false">
      <c r="A299" s="31" t="s">
        <v>5191</v>
      </c>
      <c r="B299" s="31" t="s">
        <v>4720</v>
      </c>
      <c r="C299" s="35" t="n">
        <v>71</v>
      </c>
    </row>
    <row r="300" customFormat="false" ht="15" hidden="false" customHeight="false" outlineLevel="0" collapsed="false">
      <c r="A300" s="31" t="s">
        <v>5192</v>
      </c>
      <c r="B300" s="31" t="s">
        <v>5193</v>
      </c>
      <c r="C300" s="35" t="n">
        <v>83</v>
      </c>
    </row>
    <row r="301" customFormat="false" ht="15" hidden="false" customHeight="false" outlineLevel="0" collapsed="false">
      <c r="A301" s="31" t="s">
        <v>5194</v>
      </c>
      <c r="B301" s="31" t="s">
        <v>5195</v>
      </c>
      <c r="C301" s="35" t="n">
        <v>77</v>
      </c>
    </row>
    <row r="302" customFormat="false" ht="15" hidden="false" customHeight="false" outlineLevel="0" collapsed="false">
      <c r="A302" s="31" t="s">
        <v>5196</v>
      </c>
      <c r="B302" s="31" t="s">
        <v>5197</v>
      </c>
      <c r="C302" s="35" t="n">
        <v>78</v>
      </c>
    </row>
    <row r="303" customFormat="false" ht="15" hidden="false" customHeight="false" outlineLevel="0" collapsed="false">
      <c r="A303" s="31" t="s">
        <v>5198</v>
      </c>
      <c r="B303" s="31" t="s">
        <v>5199</v>
      </c>
      <c r="C303" s="35" t="n">
        <v>73</v>
      </c>
    </row>
    <row r="304" customFormat="false" ht="15" hidden="false" customHeight="false" outlineLevel="0" collapsed="false">
      <c r="A304" s="31" t="s">
        <v>5200</v>
      </c>
      <c r="B304" s="31" t="s">
        <v>5201</v>
      </c>
      <c r="C304" s="35" t="n">
        <v>73</v>
      </c>
    </row>
    <row r="305" customFormat="false" ht="15" hidden="false" customHeight="false" outlineLevel="0" collapsed="false">
      <c r="A305" s="31" t="s">
        <v>5202</v>
      </c>
      <c r="B305" s="31" t="s">
        <v>5203</v>
      </c>
      <c r="C305" s="35" t="n">
        <v>73</v>
      </c>
    </row>
    <row r="306" customFormat="false" ht="15" hidden="false" customHeight="false" outlineLevel="0" collapsed="false">
      <c r="A306" s="31" t="s">
        <v>5204</v>
      </c>
      <c r="B306" s="31" t="s">
        <v>5205</v>
      </c>
      <c r="C306" s="35" t="n">
        <v>72</v>
      </c>
    </row>
    <row r="307" customFormat="false" ht="15" hidden="false" customHeight="false" outlineLevel="0" collapsed="false">
      <c r="A307" s="31" t="s">
        <v>5206</v>
      </c>
      <c r="B307" s="31" t="s">
        <v>5207</v>
      </c>
      <c r="C307" s="35" t="n">
        <v>81</v>
      </c>
    </row>
    <row r="308" customFormat="false" ht="15" hidden="false" customHeight="false" outlineLevel="0" collapsed="false">
      <c r="A308" s="31" t="s">
        <v>5208</v>
      </c>
      <c r="B308" s="31" t="s">
        <v>5209</v>
      </c>
      <c r="C308" s="35" t="n">
        <v>81</v>
      </c>
    </row>
    <row r="309" customFormat="false" ht="15" hidden="false" customHeight="false" outlineLevel="0" collapsed="false">
      <c r="A309" s="31" t="s">
        <v>4649</v>
      </c>
      <c r="B309" s="31" t="s">
        <v>5210</v>
      </c>
      <c r="C309" s="35" t="n">
        <v>73</v>
      </c>
    </row>
    <row r="310" customFormat="false" ht="15" hidden="false" customHeight="false" outlineLevel="0" collapsed="false">
      <c r="A310" s="31" t="s">
        <v>5211</v>
      </c>
      <c r="B310" s="31" t="s">
        <v>5212</v>
      </c>
      <c r="C310" s="35" t="n">
        <v>73</v>
      </c>
    </row>
    <row r="311" customFormat="false" ht="15" hidden="false" customHeight="false" outlineLevel="0" collapsed="false">
      <c r="A311" s="31" t="s">
        <v>4653</v>
      </c>
      <c r="B311" s="31" t="s">
        <v>5213</v>
      </c>
      <c r="C311" s="35" t="n">
        <v>83</v>
      </c>
    </row>
    <row r="312" customFormat="false" ht="15" hidden="false" customHeight="false" outlineLevel="0" collapsed="false">
      <c r="A312" s="31" t="s">
        <v>5214</v>
      </c>
      <c r="B312" s="31" t="s">
        <v>5215</v>
      </c>
      <c r="C312" s="35" t="n">
        <v>77</v>
      </c>
    </row>
    <row r="313" customFormat="false" ht="15" hidden="false" customHeight="false" outlineLevel="0" collapsed="false">
      <c r="A313" s="31" t="s">
        <v>5216</v>
      </c>
      <c r="B313" s="31" t="s">
        <v>5217</v>
      </c>
      <c r="C313" s="35" t="n">
        <v>80</v>
      </c>
    </row>
    <row r="314" customFormat="false" ht="15" hidden="false" customHeight="false" outlineLevel="0" collapsed="false">
      <c r="A314" s="31" t="s">
        <v>5218</v>
      </c>
      <c r="B314" s="31" t="s">
        <v>5219</v>
      </c>
      <c r="C314" s="35" t="n">
        <v>74</v>
      </c>
    </row>
    <row r="315" customFormat="false" ht="15" hidden="false" customHeight="false" outlineLevel="0" collapsed="false">
      <c r="A315" s="31" t="s">
        <v>4654</v>
      </c>
      <c r="B315" s="31" t="s">
        <v>5220</v>
      </c>
      <c r="C315" s="35" t="n">
        <v>73</v>
      </c>
    </row>
    <row r="316" customFormat="false" ht="15" hidden="false" customHeight="false" outlineLevel="0" collapsed="false">
      <c r="A316" s="31" t="s">
        <v>5221</v>
      </c>
      <c r="B316" s="31" t="s">
        <v>5222</v>
      </c>
      <c r="C316" s="35" t="n">
        <v>75</v>
      </c>
    </row>
    <row r="317" customFormat="false" ht="15" hidden="false" customHeight="false" outlineLevel="0" collapsed="false">
      <c r="A317" s="31" t="s">
        <v>5223</v>
      </c>
      <c r="B317" s="31" t="s">
        <v>5224</v>
      </c>
      <c r="C317" s="35" t="n">
        <v>84</v>
      </c>
    </row>
    <row r="318" customFormat="false" ht="15" hidden="false" customHeight="false" outlineLevel="0" collapsed="false">
      <c r="A318" s="31" t="s">
        <v>5225</v>
      </c>
      <c r="B318" s="31" t="s">
        <v>5226</v>
      </c>
      <c r="C318" s="35" t="n">
        <v>84</v>
      </c>
    </row>
    <row r="319" customFormat="false" ht="15" hidden="false" customHeight="false" outlineLevel="0" collapsed="false">
      <c r="A319" s="31" t="s">
        <v>5227</v>
      </c>
      <c r="B319" s="31" t="s">
        <v>5228</v>
      </c>
      <c r="C319" s="35" t="n">
        <v>77</v>
      </c>
    </row>
    <row r="320" customFormat="false" ht="15" hidden="false" customHeight="false" outlineLevel="0" collapsed="false">
      <c r="A320" s="31" t="s">
        <v>5229</v>
      </c>
      <c r="B320" s="31" t="s">
        <v>5230</v>
      </c>
      <c r="C320" s="35" t="n">
        <v>76</v>
      </c>
    </row>
    <row r="321" customFormat="false" ht="15" hidden="false" customHeight="false" outlineLevel="0" collapsed="false">
      <c r="A321" s="31" t="s">
        <v>4655</v>
      </c>
      <c r="B321" s="31" t="s">
        <v>5231</v>
      </c>
      <c r="C321" s="35" t="n">
        <v>80</v>
      </c>
    </row>
    <row r="322" customFormat="false" ht="15" hidden="false" customHeight="false" outlineLevel="0" collapsed="false">
      <c r="A322" s="31" t="s">
        <v>4656</v>
      </c>
      <c r="B322" s="31" t="s">
        <v>4857</v>
      </c>
      <c r="C322" s="35" t="n">
        <v>71</v>
      </c>
    </row>
    <row r="323" customFormat="false" ht="15" hidden="false" customHeight="false" outlineLevel="0" collapsed="false">
      <c r="A323" s="31" t="s">
        <v>5232</v>
      </c>
      <c r="B323" s="31" t="s">
        <v>5233</v>
      </c>
      <c r="C323" s="35" t="n">
        <v>75</v>
      </c>
    </row>
    <row r="324" customFormat="false" ht="15" hidden="false" customHeight="false" outlineLevel="0" collapsed="false">
      <c r="A324" s="31" t="s">
        <v>5234</v>
      </c>
      <c r="B324" s="31" t="s">
        <v>5235</v>
      </c>
      <c r="C324" s="35" t="n">
        <v>79</v>
      </c>
    </row>
    <row r="325" customFormat="false" ht="15" hidden="false" customHeight="false" outlineLevel="0" collapsed="false">
      <c r="A325" s="31" t="s">
        <v>5236</v>
      </c>
      <c r="B325" s="31" t="s">
        <v>5237</v>
      </c>
      <c r="C325" s="35" t="n">
        <v>78</v>
      </c>
    </row>
    <row r="326" customFormat="false" ht="15" hidden="false" customHeight="false" outlineLevel="0" collapsed="false">
      <c r="A326" s="31" t="s">
        <v>5238</v>
      </c>
      <c r="B326" s="31" t="s">
        <v>5239</v>
      </c>
      <c r="C326" s="35" t="n">
        <v>71</v>
      </c>
    </row>
    <row r="327" customFormat="false" ht="15" hidden="false" customHeight="false" outlineLevel="0" collapsed="false">
      <c r="A327" s="31" t="s">
        <v>5240</v>
      </c>
      <c r="B327" s="31" t="s">
        <v>5241</v>
      </c>
      <c r="C327" s="35" t="n">
        <v>72</v>
      </c>
    </row>
    <row r="328" customFormat="false" ht="15" hidden="false" customHeight="false" outlineLevel="0" collapsed="false">
      <c r="A328" s="31" t="s">
        <v>5242</v>
      </c>
      <c r="B328" s="31" t="s">
        <v>5243</v>
      </c>
      <c r="C328" s="35" t="n">
        <v>78</v>
      </c>
    </row>
    <row r="329" customFormat="false" ht="15" hidden="false" customHeight="false" outlineLevel="0" collapsed="false">
      <c r="A329" s="31" t="s">
        <v>5244</v>
      </c>
      <c r="B329" s="31" t="s">
        <v>5245</v>
      </c>
      <c r="C329" s="35" t="n">
        <v>73</v>
      </c>
    </row>
    <row r="330" customFormat="false" ht="15" hidden="false" customHeight="false" outlineLevel="0" collapsed="false">
      <c r="A330" s="31" t="s">
        <v>5246</v>
      </c>
      <c r="B330" s="31" t="s">
        <v>5247</v>
      </c>
      <c r="C330" s="35" t="n">
        <v>99</v>
      </c>
    </row>
    <row r="331" customFormat="false" ht="15" hidden="false" customHeight="false" outlineLevel="0" collapsed="false">
      <c r="A331" s="31" t="s">
        <v>5248</v>
      </c>
      <c r="B331" s="31" t="s">
        <v>5249</v>
      </c>
      <c r="C331" s="35" t="n">
        <v>77</v>
      </c>
    </row>
    <row r="332" customFormat="false" ht="15" hidden="false" customHeight="false" outlineLevel="0" collapsed="false">
      <c r="A332" s="31" t="s">
        <v>5250</v>
      </c>
      <c r="B332" s="31" t="s">
        <v>5251</v>
      </c>
      <c r="C332" s="35" t="n">
        <v>95</v>
      </c>
    </row>
    <row r="333" customFormat="false" ht="15" hidden="false" customHeight="false" outlineLevel="0" collapsed="false">
      <c r="A333" s="31" t="s">
        <v>5252</v>
      </c>
      <c r="B333" s="31" t="s">
        <v>5253</v>
      </c>
      <c r="C333" s="35" t="n">
        <v>84</v>
      </c>
    </row>
    <row r="334" customFormat="false" ht="15" hidden="false" customHeight="false" outlineLevel="0" collapsed="false">
      <c r="A334" s="31" t="s">
        <v>5254</v>
      </c>
      <c r="B334" s="31" t="s">
        <v>5255</v>
      </c>
      <c r="C334" s="35" t="n">
        <v>75</v>
      </c>
    </row>
    <row r="335" customFormat="false" ht="15" hidden="false" customHeight="false" outlineLevel="0" collapsed="false">
      <c r="A335" s="31" t="s">
        <v>5256</v>
      </c>
      <c r="B335" s="31" t="s">
        <v>5257</v>
      </c>
      <c r="C335" s="35" t="n">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E9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9.25"/>
    <col collapsed="false" customWidth="true" hidden="false" outlineLevel="0" max="2" min="2" style="0" width="45.5"/>
    <col collapsed="false" customWidth="true" hidden="false" outlineLevel="0" max="3" min="3" style="0" width="23.5"/>
    <col collapsed="false" customWidth="true" hidden="false" outlineLevel="0" max="5" min="5" style="0" width="22"/>
  </cols>
  <sheetData>
    <row r="1" customFormat="false" ht="15" hidden="false" customHeight="false" outlineLevel="0" collapsed="false">
      <c r="A1" s="41" t="s">
        <v>274</v>
      </c>
      <c r="B1" s="41" t="s">
        <v>3971</v>
      </c>
      <c r="C1" s="41" t="s">
        <v>3972</v>
      </c>
      <c r="E1" s="26" t="str">
        <f aca="false">HYPERLINK("#'Master Overview'!A1","&lt;&lt; Master Overview")</f>
        <v>&lt;&lt; Master Overview</v>
      </c>
    </row>
    <row r="2" customFormat="false" ht="15" hidden="false" customHeight="false" outlineLevel="0" collapsed="false">
      <c r="A2" s="31" t="s">
        <v>5258</v>
      </c>
      <c r="B2" s="31" t="s">
        <v>5259</v>
      </c>
      <c r="C2" s="35" t="n">
        <v>161</v>
      </c>
      <c r="E2" s="2" t="s">
        <v>5260</v>
      </c>
    </row>
    <row r="3" customFormat="false" ht="15" hidden="false" customHeight="false" outlineLevel="0" collapsed="false">
      <c r="A3" s="31" t="s">
        <v>4402</v>
      </c>
      <c r="B3" s="31" t="s">
        <v>5261</v>
      </c>
      <c r="C3" s="35" t="n">
        <v>163</v>
      </c>
    </row>
    <row r="4" customFormat="false" ht="15" hidden="false" customHeight="false" outlineLevel="0" collapsed="false">
      <c r="A4" s="31" t="s">
        <v>5262</v>
      </c>
      <c r="B4" s="31" t="s">
        <v>5263</v>
      </c>
      <c r="C4" s="35" t="n">
        <v>167</v>
      </c>
    </row>
    <row r="5" customFormat="false" ht="15" hidden="false" customHeight="false" outlineLevel="0" collapsed="false">
      <c r="A5" s="31" t="s">
        <v>5264</v>
      </c>
      <c r="B5" s="31" t="s">
        <v>5265</v>
      </c>
      <c r="C5" s="35" t="n">
        <v>166</v>
      </c>
    </row>
    <row r="6" customFormat="false" ht="15" hidden="false" customHeight="false" outlineLevel="0" collapsed="false">
      <c r="A6" s="31" t="s">
        <v>5266</v>
      </c>
      <c r="B6" s="31" t="s">
        <v>5267</v>
      </c>
      <c r="C6" s="35" t="n">
        <v>163</v>
      </c>
    </row>
    <row r="7" customFormat="false" ht="15" hidden="false" customHeight="false" outlineLevel="0" collapsed="false">
      <c r="A7" s="31" t="s">
        <v>5268</v>
      </c>
      <c r="B7" s="31" t="s">
        <v>5269</v>
      </c>
      <c r="C7" s="35" t="n">
        <v>182</v>
      </c>
    </row>
    <row r="8" customFormat="false" ht="15" hidden="false" customHeight="false" outlineLevel="0" collapsed="false">
      <c r="A8" s="31" t="s">
        <v>4669</v>
      </c>
      <c r="B8" s="31" t="s">
        <v>5270</v>
      </c>
      <c r="C8" s="35" t="n">
        <v>191</v>
      </c>
    </row>
    <row r="9" customFormat="false" ht="15" hidden="false" customHeight="false" outlineLevel="0" collapsed="false">
      <c r="A9" s="31" t="s">
        <v>4410</v>
      </c>
      <c r="B9" s="31" t="s">
        <v>5271</v>
      </c>
      <c r="C9" s="35" t="n">
        <v>165</v>
      </c>
    </row>
    <row r="10" customFormat="false" ht="15" hidden="false" customHeight="false" outlineLevel="0" collapsed="false">
      <c r="A10" s="31" t="s">
        <v>4411</v>
      </c>
      <c r="B10" s="31" t="s">
        <v>5272</v>
      </c>
      <c r="C10" s="35" t="n">
        <v>190</v>
      </c>
    </row>
    <row r="11" customFormat="false" ht="15" hidden="false" customHeight="false" outlineLevel="0" collapsed="false">
      <c r="A11" s="31" t="s">
        <v>4412</v>
      </c>
      <c r="B11" s="31" t="s">
        <v>5273</v>
      </c>
      <c r="C11" s="35" t="n">
        <v>174</v>
      </c>
    </row>
    <row r="12" customFormat="false" ht="15" hidden="false" customHeight="false" outlineLevel="0" collapsed="false">
      <c r="A12" s="31" t="s">
        <v>5274</v>
      </c>
      <c r="B12" s="31" t="s">
        <v>5275</v>
      </c>
      <c r="C12" s="35" t="n">
        <v>169</v>
      </c>
    </row>
    <row r="13" customFormat="false" ht="15" hidden="false" customHeight="false" outlineLevel="0" collapsed="false">
      <c r="A13" s="31" t="s">
        <v>4672</v>
      </c>
      <c r="B13" s="31" t="s">
        <v>5276</v>
      </c>
      <c r="C13" s="35" t="n">
        <v>176</v>
      </c>
    </row>
    <row r="14" customFormat="false" ht="15" hidden="false" customHeight="false" outlineLevel="0" collapsed="false">
      <c r="A14" s="31" t="s">
        <v>4413</v>
      </c>
      <c r="B14" s="31" t="s">
        <v>5277</v>
      </c>
      <c r="C14" s="35" t="n">
        <v>163</v>
      </c>
    </row>
    <row r="15" customFormat="false" ht="15" hidden="false" customHeight="false" outlineLevel="0" collapsed="false">
      <c r="A15" s="31" t="s">
        <v>4415</v>
      </c>
      <c r="B15" s="31" t="s">
        <v>5278</v>
      </c>
      <c r="C15" s="35" t="n">
        <v>320</v>
      </c>
    </row>
    <row r="16" customFormat="false" ht="15" hidden="false" customHeight="false" outlineLevel="0" collapsed="false">
      <c r="A16" s="31" t="s">
        <v>4416</v>
      </c>
      <c r="B16" s="31" t="s">
        <v>5279</v>
      </c>
      <c r="C16" s="35" t="n">
        <v>193</v>
      </c>
    </row>
    <row r="17" customFormat="false" ht="15" hidden="false" customHeight="false" outlineLevel="0" collapsed="false">
      <c r="A17" s="31" t="s">
        <v>4420</v>
      </c>
      <c r="B17" s="31" t="s">
        <v>5280</v>
      </c>
      <c r="C17" s="35" t="n">
        <v>173</v>
      </c>
    </row>
    <row r="18" customFormat="false" ht="15" hidden="false" customHeight="false" outlineLevel="0" collapsed="false">
      <c r="A18" s="31" t="s">
        <v>4422</v>
      </c>
      <c r="B18" s="31" t="s">
        <v>5281</v>
      </c>
      <c r="C18" s="35" t="n">
        <v>178</v>
      </c>
    </row>
    <row r="19" customFormat="false" ht="15" hidden="false" customHeight="false" outlineLevel="0" collapsed="false">
      <c r="A19" s="31" t="s">
        <v>5282</v>
      </c>
      <c r="B19" s="31" t="s">
        <v>5283</v>
      </c>
      <c r="C19" s="35" t="n">
        <v>162</v>
      </c>
    </row>
    <row r="20" customFormat="false" ht="15" hidden="false" customHeight="false" outlineLevel="0" collapsed="false">
      <c r="A20" s="31" t="s">
        <v>4423</v>
      </c>
      <c r="B20" s="31" t="s">
        <v>5284</v>
      </c>
      <c r="C20" s="35" t="n">
        <v>203</v>
      </c>
    </row>
    <row r="21" customFormat="false" ht="15" hidden="false" customHeight="false" outlineLevel="0" collapsed="false">
      <c r="A21" s="31" t="s">
        <v>4425</v>
      </c>
      <c r="B21" s="31" t="s">
        <v>5285</v>
      </c>
      <c r="C21" s="35" t="n">
        <v>177</v>
      </c>
    </row>
    <row r="22" customFormat="false" ht="15" hidden="false" customHeight="false" outlineLevel="0" collapsed="false">
      <c r="A22" s="31" t="s">
        <v>4429</v>
      </c>
      <c r="B22" s="31" t="s">
        <v>4062</v>
      </c>
      <c r="C22" s="35" t="n">
        <v>320</v>
      </c>
    </row>
    <row r="23" customFormat="false" ht="15" hidden="false" customHeight="false" outlineLevel="0" collapsed="false">
      <c r="A23" s="31" t="s">
        <v>5286</v>
      </c>
      <c r="B23" s="31" t="s">
        <v>5287</v>
      </c>
      <c r="C23" s="35" t="n">
        <v>202</v>
      </c>
    </row>
    <row r="24" customFormat="false" ht="15" hidden="false" customHeight="false" outlineLevel="0" collapsed="false">
      <c r="A24" s="31" t="s">
        <v>5288</v>
      </c>
      <c r="B24" s="31" t="s">
        <v>5289</v>
      </c>
      <c r="C24" s="35" t="n">
        <v>176</v>
      </c>
    </row>
    <row r="25" customFormat="false" ht="15" hidden="false" customHeight="false" outlineLevel="0" collapsed="false">
      <c r="A25" s="31" t="s">
        <v>4431</v>
      </c>
      <c r="B25" s="31" t="s">
        <v>5290</v>
      </c>
      <c r="C25" s="35" t="n">
        <v>164</v>
      </c>
    </row>
    <row r="26" customFormat="false" ht="15" hidden="false" customHeight="false" outlineLevel="0" collapsed="false">
      <c r="A26" s="31" t="s">
        <v>5291</v>
      </c>
      <c r="B26" s="31" t="s">
        <v>5292</v>
      </c>
      <c r="C26" s="35" t="n">
        <v>178</v>
      </c>
    </row>
    <row r="27" customFormat="false" ht="15" hidden="false" customHeight="false" outlineLevel="0" collapsed="false">
      <c r="A27" s="31" t="s">
        <v>4432</v>
      </c>
      <c r="B27" s="31" t="s">
        <v>5293</v>
      </c>
      <c r="C27" s="35" t="n">
        <v>183</v>
      </c>
    </row>
    <row r="28" customFormat="false" ht="15" hidden="false" customHeight="false" outlineLevel="0" collapsed="false">
      <c r="A28" s="31" t="s">
        <v>4433</v>
      </c>
      <c r="B28" s="31" t="s">
        <v>5294</v>
      </c>
      <c r="C28" s="35" t="n">
        <v>212</v>
      </c>
    </row>
    <row r="29" customFormat="false" ht="15" hidden="false" customHeight="false" outlineLevel="0" collapsed="false">
      <c r="A29" s="31" t="s">
        <v>4566</v>
      </c>
      <c r="B29" s="31" t="s">
        <v>5295</v>
      </c>
      <c r="C29" s="35" t="n">
        <v>182</v>
      </c>
    </row>
    <row r="30" customFormat="false" ht="15" hidden="false" customHeight="false" outlineLevel="0" collapsed="false">
      <c r="A30" s="31" t="s">
        <v>4678</v>
      </c>
      <c r="B30" s="31" t="s">
        <v>5296</v>
      </c>
      <c r="C30" s="35" t="n">
        <v>203</v>
      </c>
    </row>
    <row r="31" customFormat="false" ht="15" hidden="false" customHeight="false" outlineLevel="0" collapsed="false">
      <c r="A31" s="31" t="s">
        <v>5297</v>
      </c>
      <c r="B31" s="31" t="s">
        <v>5295</v>
      </c>
      <c r="C31" s="35" t="n">
        <v>182</v>
      </c>
    </row>
    <row r="32" customFormat="false" ht="15" hidden="false" customHeight="false" outlineLevel="0" collapsed="false">
      <c r="A32" s="31" t="s">
        <v>4680</v>
      </c>
      <c r="B32" s="31" t="s">
        <v>5298</v>
      </c>
      <c r="C32" s="35" t="n">
        <v>212</v>
      </c>
    </row>
    <row r="33" customFormat="false" ht="15" hidden="false" customHeight="false" outlineLevel="0" collapsed="false">
      <c r="A33" s="31" t="s">
        <v>4682</v>
      </c>
      <c r="B33" s="31" t="s">
        <v>5299</v>
      </c>
      <c r="C33" s="35" t="n">
        <v>175</v>
      </c>
    </row>
    <row r="34" customFormat="false" ht="15" hidden="false" customHeight="false" outlineLevel="0" collapsed="false">
      <c r="A34" s="31" t="s">
        <v>4435</v>
      </c>
      <c r="B34" s="31" t="s">
        <v>5300</v>
      </c>
      <c r="C34" s="35" t="n">
        <v>320</v>
      </c>
    </row>
    <row r="35" customFormat="false" ht="15" hidden="false" customHeight="false" outlineLevel="0" collapsed="false">
      <c r="A35" s="31" t="s">
        <v>5301</v>
      </c>
      <c r="B35" s="31" t="s">
        <v>5302</v>
      </c>
      <c r="C35" s="35" t="n">
        <v>228</v>
      </c>
    </row>
    <row r="36" customFormat="false" ht="15" hidden="false" customHeight="false" outlineLevel="0" collapsed="false">
      <c r="A36" s="31" t="s">
        <v>4438</v>
      </c>
      <c r="B36" s="31" t="s">
        <v>5303</v>
      </c>
      <c r="C36" s="35" t="n">
        <v>182</v>
      </c>
    </row>
    <row r="37" customFormat="false" ht="15" hidden="false" customHeight="false" outlineLevel="0" collapsed="false">
      <c r="A37" s="31" t="s">
        <v>4440</v>
      </c>
      <c r="B37" s="31" t="s">
        <v>5304</v>
      </c>
      <c r="C37" s="35" t="n">
        <v>319</v>
      </c>
    </row>
    <row r="38" customFormat="false" ht="15" hidden="false" customHeight="false" outlineLevel="0" collapsed="false">
      <c r="A38" s="31" t="s">
        <v>4684</v>
      </c>
      <c r="B38" s="31" t="s">
        <v>5305</v>
      </c>
      <c r="C38" s="35" t="n">
        <v>178</v>
      </c>
    </row>
    <row r="39" customFormat="false" ht="15" hidden="false" customHeight="false" outlineLevel="0" collapsed="false">
      <c r="A39" s="31" t="s">
        <v>4442</v>
      </c>
      <c r="B39" s="31" t="s">
        <v>5306</v>
      </c>
      <c r="C39" s="35" t="n">
        <v>201</v>
      </c>
    </row>
    <row r="40" customFormat="false" ht="15" hidden="false" customHeight="false" outlineLevel="0" collapsed="false">
      <c r="A40" s="31" t="s">
        <v>5307</v>
      </c>
      <c r="B40" s="31" t="s">
        <v>5308</v>
      </c>
      <c r="C40" s="35" t="n">
        <v>184</v>
      </c>
    </row>
    <row r="41" customFormat="false" ht="15" hidden="false" customHeight="false" outlineLevel="0" collapsed="false">
      <c r="A41" s="31" t="s">
        <v>5309</v>
      </c>
      <c r="B41" s="31" t="s">
        <v>5310</v>
      </c>
      <c r="C41" s="35" t="n">
        <v>186</v>
      </c>
    </row>
    <row r="42" customFormat="false" ht="15" hidden="false" customHeight="false" outlineLevel="0" collapsed="false">
      <c r="A42" s="31" t="s">
        <v>4449</v>
      </c>
      <c r="B42" s="31" t="s">
        <v>5295</v>
      </c>
      <c r="C42" s="35" t="n">
        <v>182</v>
      </c>
    </row>
    <row r="43" customFormat="false" ht="15" hidden="false" customHeight="false" outlineLevel="0" collapsed="false">
      <c r="A43" s="31" t="s">
        <v>4451</v>
      </c>
      <c r="B43" s="31" t="s">
        <v>5311</v>
      </c>
      <c r="C43" s="35" t="n">
        <v>184</v>
      </c>
    </row>
    <row r="44" customFormat="false" ht="15" hidden="false" customHeight="false" outlineLevel="0" collapsed="false">
      <c r="A44" s="31" t="s">
        <v>4688</v>
      </c>
      <c r="B44" s="31" t="s">
        <v>5312</v>
      </c>
      <c r="C44" s="35" t="n">
        <v>177</v>
      </c>
    </row>
    <row r="45" customFormat="false" ht="15" hidden="false" customHeight="false" outlineLevel="0" collapsed="false">
      <c r="A45" s="31" t="s">
        <v>4456</v>
      </c>
      <c r="B45" s="31" t="s">
        <v>5313</v>
      </c>
      <c r="C45" s="35" t="n">
        <v>320</v>
      </c>
    </row>
    <row r="46" customFormat="false" ht="15" hidden="false" customHeight="false" outlineLevel="0" collapsed="false">
      <c r="A46" s="31" t="s">
        <v>4457</v>
      </c>
      <c r="B46" s="31" t="s">
        <v>5314</v>
      </c>
      <c r="C46" s="35" t="n">
        <v>166</v>
      </c>
    </row>
    <row r="47" customFormat="false" ht="15" hidden="false" customHeight="false" outlineLevel="0" collapsed="false">
      <c r="A47" s="31" t="s">
        <v>5315</v>
      </c>
      <c r="B47" s="31" t="s">
        <v>5316</v>
      </c>
      <c r="C47" s="35" t="n">
        <v>167</v>
      </c>
    </row>
    <row r="48" customFormat="false" ht="15" hidden="false" customHeight="false" outlineLevel="0" collapsed="false">
      <c r="A48" s="31" t="s">
        <v>4458</v>
      </c>
      <c r="B48" s="31" t="s">
        <v>4062</v>
      </c>
      <c r="C48" s="35" t="n">
        <v>320</v>
      </c>
    </row>
    <row r="49" customFormat="false" ht="15" hidden="false" customHeight="false" outlineLevel="0" collapsed="false">
      <c r="A49" s="31" t="s">
        <v>4459</v>
      </c>
      <c r="B49" s="31" t="s">
        <v>5317</v>
      </c>
      <c r="C49" s="35" t="n">
        <v>181</v>
      </c>
    </row>
    <row r="50" customFormat="false" ht="15" hidden="false" customHeight="false" outlineLevel="0" collapsed="false">
      <c r="A50" s="31" t="s">
        <v>4463</v>
      </c>
      <c r="B50" s="31" t="s">
        <v>5318</v>
      </c>
      <c r="C50" s="35" t="n">
        <v>189</v>
      </c>
    </row>
    <row r="51" customFormat="false" ht="15" hidden="false" customHeight="false" outlineLevel="0" collapsed="false">
      <c r="A51" s="31" t="s">
        <v>4467</v>
      </c>
      <c r="B51" s="31" t="s">
        <v>5319</v>
      </c>
      <c r="C51" s="35" t="n">
        <v>192</v>
      </c>
    </row>
    <row r="52" customFormat="false" ht="15" hidden="false" customHeight="false" outlineLevel="0" collapsed="false">
      <c r="A52" s="31" t="s">
        <v>4469</v>
      </c>
      <c r="B52" s="31" t="s">
        <v>5320</v>
      </c>
      <c r="C52" s="35" t="n">
        <v>196</v>
      </c>
    </row>
    <row r="53" customFormat="false" ht="15" hidden="false" customHeight="false" outlineLevel="0" collapsed="false">
      <c r="A53" s="31" t="s">
        <v>5321</v>
      </c>
      <c r="B53" s="31" t="s">
        <v>5259</v>
      </c>
      <c r="C53" s="35" t="n">
        <v>161</v>
      </c>
    </row>
    <row r="54" customFormat="false" ht="15" hidden="false" customHeight="false" outlineLevel="0" collapsed="false">
      <c r="A54" s="31" t="s">
        <v>5322</v>
      </c>
      <c r="B54" s="31" t="s">
        <v>5319</v>
      </c>
      <c r="C54" s="35" t="n">
        <v>192</v>
      </c>
    </row>
    <row r="55" customFormat="false" ht="15" hidden="false" customHeight="false" outlineLevel="0" collapsed="false">
      <c r="A55" s="31" t="s">
        <v>4470</v>
      </c>
      <c r="B55" s="31" t="s">
        <v>5323</v>
      </c>
      <c r="C55" s="35" t="n">
        <v>169</v>
      </c>
    </row>
    <row r="56" customFormat="false" ht="15" hidden="false" customHeight="false" outlineLevel="0" collapsed="false">
      <c r="A56" s="31" t="s">
        <v>4472</v>
      </c>
      <c r="B56" s="31" t="s">
        <v>5324</v>
      </c>
      <c r="C56" s="35" t="n">
        <v>168</v>
      </c>
    </row>
    <row r="57" customFormat="false" ht="15" hidden="false" customHeight="false" outlineLevel="0" collapsed="false">
      <c r="A57" s="31" t="s">
        <v>5325</v>
      </c>
      <c r="B57" s="31" t="s">
        <v>5259</v>
      </c>
      <c r="C57" s="35" t="n">
        <v>161</v>
      </c>
    </row>
    <row r="58" customFormat="false" ht="15" hidden="false" customHeight="false" outlineLevel="0" collapsed="false">
      <c r="A58" s="31" t="s">
        <v>4476</v>
      </c>
      <c r="B58" s="31" t="s">
        <v>4070</v>
      </c>
      <c r="C58" s="35" t="n">
        <v>320</v>
      </c>
    </row>
    <row r="59" customFormat="false" ht="15" hidden="false" customHeight="false" outlineLevel="0" collapsed="false">
      <c r="A59" s="31" t="s">
        <v>4477</v>
      </c>
      <c r="B59" s="31" t="s">
        <v>4062</v>
      </c>
      <c r="C59" s="35" t="n">
        <v>320</v>
      </c>
    </row>
    <row r="60" customFormat="false" ht="15" hidden="false" customHeight="false" outlineLevel="0" collapsed="false">
      <c r="A60" s="31" t="s">
        <v>4694</v>
      </c>
      <c r="B60" s="31" t="s">
        <v>5326</v>
      </c>
      <c r="C60" s="35" t="n">
        <v>197</v>
      </c>
    </row>
    <row r="61" customFormat="false" ht="15" hidden="false" customHeight="false" outlineLevel="0" collapsed="false">
      <c r="A61" s="31" t="s">
        <v>5327</v>
      </c>
      <c r="B61" s="31" t="s">
        <v>5328</v>
      </c>
      <c r="C61" s="35" t="n">
        <v>188</v>
      </c>
    </row>
    <row r="62" customFormat="false" ht="15" hidden="false" customHeight="false" outlineLevel="0" collapsed="false">
      <c r="A62" s="31" t="s">
        <v>4696</v>
      </c>
      <c r="B62" s="31" t="s">
        <v>5329</v>
      </c>
      <c r="C62" s="35" t="n">
        <v>176</v>
      </c>
    </row>
    <row r="63" customFormat="false" ht="15" hidden="false" customHeight="false" outlineLevel="0" collapsed="false">
      <c r="A63" s="31" t="s">
        <v>4572</v>
      </c>
      <c r="B63" s="31" t="s">
        <v>5319</v>
      </c>
      <c r="C63" s="35" t="n">
        <v>192</v>
      </c>
    </row>
    <row r="64" customFormat="false" ht="15" hidden="false" customHeight="false" outlineLevel="0" collapsed="false">
      <c r="A64" s="31" t="s">
        <v>5330</v>
      </c>
      <c r="B64" s="31" t="s">
        <v>5331</v>
      </c>
      <c r="C64" s="35" t="n">
        <v>164</v>
      </c>
    </row>
    <row r="65" customFormat="false" ht="15" hidden="false" customHeight="false" outlineLevel="0" collapsed="false">
      <c r="A65" s="31" t="s">
        <v>5332</v>
      </c>
      <c r="B65" s="31" t="s">
        <v>5310</v>
      </c>
      <c r="C65" s="35" t="n">
        <v>186</v>
      </c>
    </row>
    <row r="66" customFormat="false" ht="15" hidden="false" customHeight="false" outlineLevel="0" collapsed="false">
      <c r="A66" s="31" t="s">
        <v>5333</v>
      </c>
      <c r="B66" s="31" t="s">
        <v>5275</v>
      </c>
      <c r="C66" s="35" t="n">
        <v>169</v>
      </c>
    </row>
    <row r="67" customFormat="false" ht="15" hidden="false" customHeight="false" outlineLevel="0" collapsed="false">
      <c r="A67" s="31" t="s">
        <v>5334</v>
      </c>
      <c r="B67" s="31" t="s">
        <v>5275</v>
      </c>
      <c r="C67" s="35" t="n">
        <v>169</v>
      </c>
    </row>
    <row r="68" customFormat="false" ht="15" hidden="false" customHeight="false" outlineLevel="0" collapsed="false">
      <c r="A68" s="31" t="s">
        <v>5335</v>
      </c>
      <c r="B68" s="31" t="s">
        <v>5336</v>
      </c>
      <c r="C68" s="35" t="n">
        <v>169</v>
      </c>
    </row>
    <row r="69" customFormat="false" ht="15" hidden="false" customHeight="false" outlineLevel="0" collapsed="false">
      <c r="A69" s="31" t="s">
        <v>4573</v>
      </c>
      <c r="B69" s="31" t="s">
        <v>5337</v>
      </c>
      <c r="C69" s="35" t="n">
        <v>178</v>
      </c>
    </row>
    <row r="70" customFormat="false" ht="15" hidden="false" customHeight="false" outlineLevel="0" collapsed="false">
      <c r="A70" s="31" t="s">
        <v>5338</v>
      </c>
      <c r="B70" s="31" t="s">
        <v>5310</v>
      </c>
      <c r="C70" s="35" t="n">
        <v>186</v>
      </c>
    </row>
    <row r="71" customFormat="false" ht="15" hidden="false" customHeight="false" outlineLevel="0" collapsed="false">
      <c r="A71" s="31" t="s">
        <v>4709</v>
      </c>
      <c r="B71" s="31" t="s">
        <v>5339</v>
      </c>
      <c r="C71" s="35" t="n">
        <v>161</v>
      </c>
    </row>
    <row r="72" customFormat="false" ht="15" hidden="false" customHeight="false" outlineLevel="0" collapsed="false">
      <c r="A72" s="31" t="s">
        <v>4711</v>
      </c>
      <c r="B72" s="31" t="s">
        <v>5310</v>
      </c>
      <c r="C72" s="35" t="n">
        <v>186</v>
      </c>
    </row>
    <row r="73" customFormat="false" ht="15" hidden="false" customHeight="false" outlineLevel="0" collapsed="false">
      <c r="A73" s="31" t="s">
        <v>5340</v>
      </c>
      <c r="B73" s="31" t="s">
        <v>5302</v>
      </c>
      <c r="C73" s="35" t="n">
        <v>228</v>
      </c>
    </row>
    <row r="74" customFormat="false" ht="15" hidden="false" customHeight="false" outlineLevel="0" collapsed="false">
      <c r="A74" s="31" t="s">
        <v>4492</v>
      </c>
      <c r="B74" s="31" t="s">
        <v>5341</v>
      </c>
      <c r="C74" s="35" t="n">
        <v>178</v>
      </c>
    </row>
    <row r="75" customFormat="false" ht="15" hidden="false" customHeight="false" outlineLevel="0" collapsed="false">
      <c r="A75" s="31" t="s">
        <v>5342</v>
      </c>
      <c r="B75" s="31" t="s">
        <v>5343</v>
      </c>
      <c r="C75" s="35" t="n">
        <v>320</v>
      </c>
    </row>
    <row r="76" customFormat="false" ht="15" hidden="false" customHeight="false" outlineLevel="0" collapsed="false">
      <c r="A76" s="31" t="s">
        <v>4713</v>
      </c>
      <c r="B76" s="31" t="s">
        <v>5310</v>
      </c>
      <c r="C76" s="35" t="n">
        <v>186</v>
      </c>
    </row>
    <row r="77" customFormat="false" ht="15" hidden="false" customHeight="false" outlineLevel="0" collapsed="false">
      <c r="A77" s="31" t="s">
        <v>5344</v>
      </c>
      <c r="B77" s="31" t="s">
        <v>5275</v>
      </c>
      <c r="C77" s="35" t="n">
        <v>169</v>
      </c>
    </row>
    <row r="78" customFormat="false" ht="15" hidden="false" customHeight="false" outlineLevel="0" collapsed="false">
      <c r="A78" s="31" t="s">
        <v>5345</v>
      </c>
      <c r="B78" s="31" t="s">
        <v>5275</v>
      </c>
      <c r="C78" s="35" t="n">
        <v>169</v>
      </c>
    </row>
    <row r="79" customFormat="false" ht="15" hidden="false" customHeight="false" outlineLevel="0" collapsed="false">
      <c r="A79" s="31" t="s">
        <v>5346</v>
      </c>
      <c r="B79" s="31" t="s">
        <v>5347</v>
      </c>
      <c r="C79" s="35" t="n">
        <v>199</v>
      </c>
    </row>
    <row r="80" customFormat="false" ht="15" hidden="false" customHeight="false" outlineLevel="0" collapsed="false">
      <c r="A80" s="31" t="s">
        <v>4493</v>
      </c>
      <c r="B80" s="31" t="s">
        <v>5348</v>
      </c>
      <c r="C80" s="35" t="n">
        <v>183</v>
      </c>
    </row>
    <row r="81" customFormat="false" ht="15" hidden="false" customHeight="false" outlineLevel="0" collapsed="false">
      <c r="A81" s="31" t="s">
        <v>5349</v>
      </c>
      <c r="B81" s="31" t="s">
        <v>5350</v>
      </c>
      <c r="C81" s="35" t="n">
        <v>172</v>
      </c>
    </row>
    <row r="82" customFormat="false" ht="15" hidden="false" customHeight="false" outlineLevel="0" collapsed="false">
      <c r="A82" s="31" t="s">
        <v>4717</v>
      </c>
      <c r="B82" s="31" t="s">
        <v>5351</v>
      </c>
      <c r="C82" s="35" t="n">
        <v>181</v>
      </c>
    </row>
    <row r="83" customFormat="false" ht="15" hidden="false" customHeight="false" outlineLevel="0" collapsed="false">
      <c r="A83" s="31" t="s">
        <v>5352</v>
      </c>
      <c r="B83" s="31" t="s">
        <v>5353</v>
      </c>
      <c r="C83" s="35" t="n">
        <v>163</v>
      </c>
    </row>
    <row r="84" customFormat="false" ht="15" hidden="false" customHeight="false" outlineLevel="0" collapsed="false">
      <c r="A84" s="31" t="s">
        <v>4721</v>
      </c>
      <c r="B84" s="31" t="s">
        <v>5354</v>
      </c>
      <c r="C84" s="35" t="n">
        <v>176</v>
      </c>
    </row>
    <row r="85" customFormat="false" ht="15" hidden="false" customHeight="false" outlineLevel="0" collapsed="false">
      <c r="A85" s="31" t="s">
        <v>5355</v>
      </c>
      <c r="B85" s="31" t="s">
        <v>5356</v>
      </c>
      <c r="C85" s="35" t="n">
        <v>320</v>
      </c>
    </row>
    <row r="86" customFormat="false" ht="15" hidden="false" customHeight="false" outlineLevel="0" collapsed="false">
      <c r="A86" s="31" t="s">
        <v>5357</v>
      </c>
      <c r="B86" s="31" t="s">
        <v>5302</v>
      </c>
      <c r="C86" s="35" t="n">
        <v>228</v>
      </c>
    </row>
    <row r="87" customFormat="false" ht="15" hidden="false" customHeight="false" outlineLevel="0" collapsed="false">
      <c r="A87" s="31" t="s">
        <v>4725</v>
      </c>
      <c r="B87" s="31" t="s">
        <v>5310</v>
      </c>
      <c r="C87" s="35" t="n">
        <v>186</v>
      </c>
    </row>
    <row r="88" customFormat="false" ht="15" hidden="false" customHeight="false" outlineLevel="0" collapsed="false">
      <c r="A88" s="31" t="s">
        <v>5358</v>
      </c>
      <c r="B88" s="31" t="s">
        <v>5359</v>
      </c>
      <c r="C88" s="35" t="n">
        <v>164</v>
      </c>
    </row>
    <row r="89" customFormat="false" ht="15" hidden="false" customHeight="false" outlineLevel="0" collapsed="false">
      <c r="A89" s="31" t="s">
        <v>4727</v>
      </c>
      <c r="B89" s="31" t="s">
        <v>5360</v>
      </c>
      <c r="C89" s="35" t="n">
        <v>171</v>
      </c>
    </row>
    <row r="90" customFormat="false" ht="15" hidden="false" customHeight="false" outlineLevel="0" collapsed="false">
      <c r="A90" s="31" t="s">
        <v>5361</v>
      </c>
      <c r="B90" s="31" t="s">
        <v>5302</v>
      </c>
      <c r="C90" s="35" t="n">
        <v>228</v>
      </c>
    </row>
    <row r="91" customFormat="false" ht="15" hidden="false" customHeight="false" outlineLevel="0" collapsed="false">
      <c r="A91" s="31" t="s">
        <v>5362</v>
      </c>
      <c r="B91" s="31" t="s">
        <v>5363</v>
      </c>
      <c r="C91" s="35" t="n">
        <v>163</v>
      </c>
    </row>
    <row r="92" customFormat="false" ht="15" hidden="false" customHeight="false" outlineLevel="0" collapsed="false">
      <c r="A92" s="31" t="s">
        <v>5364</v>
      </c>
      <c r="B92" s="31" t="s">
        <v>5302</v>
      </c>
      <c r="C92" s="35" t="n">
        <v>228</v>
      </c>
    </row>
    <row r="93" customFormat="false" ht="15" hidden="false" customHeight="false" outlineLevel="0" collapsed="false">
      <c r="A93" s="31" t="s">
        <v>5365</v>
      </c>
      <c r="B93" s="31" t="s">
        <v>5275</v>
      </c>
      <c r="C93" s="35" t="n">
        <v>169</v>
      </c>
    </row>
    <row r="94" customFormat="false" ht="15" hidden="false" customHeight="false" outlineLevel="0" collapsed="false">
      <c r="A94" s="31" t="s">
        <v>5366</v>
      </c>
      <c r="B94" s="31" t="s">
        <v>5367</v>
      </c>
      <c r="C94" s="35" t="n">
        <v>186</v>
      </c>
    </row>
    <row r="95" customFormat="false" ht="15" hidden="false" customHeight="false" outlineLevel="0" collapsed="false">
      <c r="A95" s="31" t="s">
        <v>5368</v>
      </c>
      <c r="B95" s="31" t="s">
        <v>5302</v>
      </c>
      <c r="C95" s="35" t="n">
        <v>228</v>
      </c>
    </row>
    <row r="96" customFormat="false" ht="15" hidden="false" customHeight="false" outlineLevel="0" collapsed="false">
      <c r="A96" s="31" t="s">
        <v>5369</v>
      </c>
      <c r="B96" s="31" t="s">
        <v>5310</v>
      </c>
      <c r="C96" s="35" t="n">
        <v>186</v>
      </c>
    </row>
    <row r="97" customFormat="false" ht="15" hidden="false" customHeight="false" outlineLevel="0" collapsed="false">
      <c r="A97" s="31" t="s">
        <v>4730</v>
      </c>
      <c r="B97" s="31" t="s">
        <v>5370</v>
      </c>
      <c r="C97" s="35" t="n">
        <v>194</v>
      </c>
    </row>
    <row r="98" customFormat="false" ht="15" hidden="false" customHeight="false" outlineLevel="0" collapsed="false">
      <c r="A98" s="31" t="s">
        <v>5371</v>
      </c>
      <c r="B98" s="31" t="s">
        <v>5275</v>
      </c>
      <c r="C98" s="35" t="n">
        <v>169</v>
      </c>
    </row>
    <row r="99" customFormat="false" ht="15" hidden="false" customHeight="false" outlineLevel="0" collapsed="false">
      <c r="A99" s="31" t="s">
        <v>4498</v>
      </c>
      <c r="B99" s="31" t="s">
        <v>5372</v>
      </c>
      <c r="C99" s="35" t="n">
        <v>180</v>
      </c>
    </row>
    <row r="100" customFormat="false" ht="15" hidden="false" customHeight="false" outlineLevel="0" collapsed="false">
      <c r="A100" s="31" t="s">
        <v>5373</v>
      </c>
      <c r="B100" s="31" t="s">
        <v>5310</v>
      </c>
      <c r="C100" s="35" t="n">
        <v>186</v>
      </c>
    </row>
    <row r="101" customFormat="false" ht="15" hidden="false" customHeight="false" outlineLevel="0" collapsed="false">
      <c r="A101" s="31" t="s">
        <v>5374</v>
      </c>
      <c r="B101" s="31" t="s">
        <v>5375</v>
      </c>
      <c r="C101" s="35" t="n">
        <v>319</v>
      </c>
    </row>
    <row r="102" customFormat="false" ht="15" hidden="false" customHeight="false" outlineLevel="0" collapsed="false">
      <c r="A102" s="31" t="s">
        <v>5376</v>
      </c>
      <c r="B102" s="31" t="s">
        <v>5275</v>
      </c>
      <c r="C102" s="35" t="n">
        <v>169</v>
      </c>
    </row>
    <row r="103" customFormat="false" ht="15" hidden="false" customHeight="false" outlineLevel="0" collapsed="false">
      <c r="A103" s="31" t="s">
        <v>4734</v>
      </c>
      <c r="B103" s="31" t="s">
        <v>5310</v>
      </c>
      <c r="C103" s="35" t="n">
        <v>186</v>
      </c>
    </row>
    <row r="104" customFormat="false" ht="15" hidden="false" customHeight="false" outlineLevel="0" collapsed="false">
      <c r="A104" s="31" t="s">
        <v>4576</v>
      </c>
      <c r="B104" s="31" t="s">
        <v>5377</v>
      </c>
      <c r="C104" s="35" t="n">
        <v>186</v>
      </c>
    </row>
    <row r="105" customFormat="false" ht="15" hidden="false" customHeight="false" outlineLevel="0" collapsed="false">
      <c r="A105" s="31" t="s">
        <v>5378</v>
      </c>
      <c r="B105" s="31" t="s">
        <v>5379</v>
      </c>
      <c r="C105" s="35" t="n">
        <v>183</v>
      </c>
    </row>
    <row r="106" customFormat="false" ht="15" hidden="false" customHeight="false" outlineLevel="0" collapsed="false">
      <c r="A106" s="31" t="s">
        <v>4737</v>
      </c>
      <c r="B106" s="31" t="s">
        <v>5380</v>
      </c>
      <c r="C106" s="35" t="n">
        <v>173</v>
      </c>
    </row>
    <row r="107" customFormat="false" ht="15" hidden="false" customHeight="false" outlineLevel="0" collapsed="false">
      <c r="A107" s="31" t="s">
        <v>5381</v>
      </c>
      <c r="B107" s="31" t="s">
        <v>5343</v>
      </c>
      <c r="C107" s="35" t="n">
        <v>320</v>
      </c>
    </row>
    <row r="108" customFormat="false" ht="15" hidden="false" customHeight="false" outlineLevel="0" collapsed="false">
      <c r="A108" s="31" t="s">
        <v>4739</v>
      </c>
      <c r="B108" s="31" t="s">
        <v>5382</v>
      </c>
      <c r="C108" s="35" t="n">
        <v>189</v>
      </c>
    </row>
    <row r="109" customFormat="false" ht="15" hidden="false" customHeight="false" outlineLevel="0" collapsed="false">
      <c r="A109" s="31" t="s">
        <v>4741</v>
      </c>
      <c r="B109" s="31" t="s">
        <v>5383</v>
      </c>
      <c r="C109" s="35" t="n">
        <v>190</v>
      </c>
    </row>
    <row r="110" customFormat="false" ht="15" hidden="false" customHeight="false" outlineLevel="0" collapsed="false">
      <c r="A110" s="31" t="s">
        <v>5384</v>
      </c>
      <c r="B110" s="31" t="s">
        <v>5310</v>
      </c>
      <c r="C110" s="35" t="n">
        <v>186</v>
      </c>
    </row>
    <row r="111" customFormat="false" ht="15" hidden="false" customHeight="false" outlineLevel="0" collapsed="false">
      <c r="A111" s="31" t="s">
        <v>5385</v>
      </c>
      <c r="B111" s="31" t="s">
        <v>5310</v>
      </c>
      <c r="C111" s="35" t="n">
        <v>186</v>
      </c>
    </row>
    <row r="112" customFormat="false" ht="15" hidden="false" customHeight="false" outlineLevel="0" collapsed="false">
      <c r="A112" s="31" t="s">
        <v>5386</v>
      </c>
      <c r="B112" s="31" t="s">
        <v>5356</v>
      </c>
      <c r="C112" s="35" t="n">
        <v>320</v>
      </c>
    </row>
    <row r="113" customFormat="false" ht="15" hidden="false" customHeight="false" outlineLevel="0" collapsed="false">
      <c r="A113" s="31" t="s">
        <v>5387</v>
      </c>
      <c r="B113" s="31" t="s">
        <v>5388</v>
      </c>
      <c r="C113" s="35" t="n">
        <v>165</v>
      </c>
    </row>
    <row r="114" customFormat="false" ht="15" hidden="false" customHeight="false" outlineLevel="0" collapsed="false">
      <c r="A114" s="31" t="s">
        <v>4501</v>
      </c>
      <c r="B114" s="31" t="s">
        <v>5389</v>
      </c>
      <c r="C114" s="35" t="n">
        <v>162</v>
      </c>
    </row>
    <row r="115" customFormat="false" ht="15" hidden="false" customHeight="false" outlineLevel="0" collapsed="false">
      <c r="A115" s="31" t="s">
        <v>4743</v>
      </c>
      <c r="B115" s="31" t="s">
        <v>5390</v>
      </c>
      <c r="C115" s="35" t="n">
        <v>194</v>
      </c>
    </row>
    <row r="116" customFormat="false" ht="15" hidden="false" customHeight="false" outlineLevel="0" collapsed="false">
      <c r="A116" s="31" t="s">
        <v>4578</v>
      </c>
      <c r="B116" s="31" t="s">
        <v>5391</v>
      </c>
      <c r="C116" s="35" t="n">
        <v>161</v>
      </c>
    </row>
    <row r="117" customFormat="false" ht="15" hidden="false" customHeight="false" outlineLevel="0" collapsed="false">
      <c r="A117" s="31" t="s">
        <v>4579</v>
      </c>
      <c r="B117" s="31" t="s">
        <v>5392</v>
      </c>
      <c r="C117" s="35" t="n">
        <v>177</v>
      </c>
    </row>
    <row r="118" customFormat="false" ht="15" hidden="false" customHeight="false" outlineLevel="0" collapsed="false">
      <c r="A118" s="31" t="s">
        <v>5393</v>
      </c>
      <c r="B118" s="31" t="s">
        <v>5394</v>
      </c>
      <c r="C118" s="35" t="n">
        <v>193</v>
      </c>
    </row>
    <row r="119" customFormat="false" ht="15" hidden="false" customHeight="false" outlineLevel="0" collapsed="false">
      <c r="A119" s="31" t="s">
        <v>4503</v>
      </c>
      <c r="B119" s="31" t="s">
        <v>5395</v>
      </c>
      <c r="C119" s="35" t="n">
        <v>192</v>
      </c>
    </row>
    <row r="120" customFormat="false" ht="15" hidden="false" customHeight="false" outlineLevel="0" collapsed="false">
      <c r="A120" s="31" t="s">
        <v>4749</v>
      </c>
      <c r="B120" s="31" t="s">
        <v>5396</v>
      </c>
      <c r="C120" s="35" t="n">
        <v>163</v>
      </c>
    </row>
    <row r="121" customFormat="false" ht="15" hidden="false" customHeight="false" outlineLevel="0" collapsed="false">
      <c r="A121" s="31" t="s">
        <v>5397</v>
      </c>
      <c r="B121" s="31" t="s">
        <v>5398</v>
      </c>
      <c r="C121" s="35" t="n">
        <v>194</v>
      </c>
    </row>
    <row r="122" customFormat="false" ht="15" hidden="false" customHeight="false" outlineLevel="0" collapsed="false">
      <c r="A122" s="31" t="s">
        <v>5399</v>
      </c>
      <c r="B122" s="31" t="s">
        <v>5310</v>
      </c>
      <c r="C122" s="35" t="n">
        <v>186</v>
      </c>
    </row>
    <row r="123" customFormat="false" ht="15" hidden="false" customHeight="false" outlineLevel="0" collapsed="false">
      <c r="A123" s="31" t="s">
        <v>4753</v>
      </c>
      <c r="B123" s="31" t="s">
        <v>5400</v>
      </c>
      <c r="C123" s="35" t="n">
        <v>180</v>
      </c>
    </row>
    <row r="124" customFormat="false" ht="15" hidden="false" customHeight="false" outlineLevel="0" collapsed="false">
      <c r="A124" s="31" t="s">
        <v>5401</v>
      </c>
      <c r="B124" s="31" t="s">
        <v>5402</v>
      </c>
      <c r="C124" s="35" t="n">
        <v>186</v>
      </c>
    </row>
    <row r="125" customFormat="false" ht="15" hidden="false" customHeight="false" outlineLevel="0" collapsed="false">
      <c r="A125" s="31" t="s">
        <v>5403</v>
      </c>
      <c r="B125" s="31" t="s">
        <v>5404</v>
      </c>
      <c r="C125" s="35" t="n">
        <v>169</v>
      </c>
    </row>
    <row r="126" customFormat="false" ht="15" hidden="false" customHeight="false" outlineLevel="0" collapsed="false">
      <c r="A126" s="31" t="s">
        <v>5405</v>
      </c>
      <c r="B126" s="31" t="s">
        <v>5310</v>
      </c>
      <c r="C126" s="35" t="n">
        <v>186</v>
      </c>
    </row>
    <row r="127" customFormat="false" ht="15" hidden="false" customHeight="false" outlineLevel="0" collapsed="false">
      <c r="A127" s="31" t="s">
        <v>5406</v>
      </c>
      <c r="B127" s="31" t="s">
        <v>5407</v>
      </c>
      <c r="C127" s="35" t="n">
        <v>161</v>
      </c>
    </row>
    <row r="128" customFormat="false" ht="15" hidden="false" customHeight="false" outlineLevel="0" collapsed="false">
      <c r="A128" s="31" t="s">
        <v>4580</v>
      </c>
      <c r="B128" s="34" t="s">
        <v>5408</v>
      </c>
      <c r="C128" s="36" t="s">
        <v>5409</v>
      </c>
    </row>
    <row r="129" customFormat="false" ht="15" hidden="false" customHeight="false" outlineLevel="0" collapsed="false">
      <c r="A129" s="31" t="s">
        <v>5410</v>
      </c>
      <c r="B129" s="31" t="s">
        <v>5411</v>
      </c>
      <c r="C129" s="35" t="n">
        <v>194</v>
      </c>
    </row>
    <row r="130" customFormat="false" ht="15" hidden="false" customHeight="false" outlineLevel="0" collapsed="false">
      <c r="A130" s="31" t="s">
        <v>5412</v>
      </c>
      <c r="B130" s="31" t="s">
        <v>5275</v>
      </c>
      <c r="C130" s="35" t="n">
        <v>169</v>
      </c>
    </row>
    <row r="131" customFormat="false" ht="15" hidden="false" customHeight="false" outlineLevel="0" collapsed="false">
      <c r="A131" s="31" t="s">
        <v>5413</v>
      </c>
      <c r="B131" s="31" t="s">
        <v>5414</v>
      </c>
      <c r="C131" s="35" t="n">
        <v>318</v>
      </c>
    </row>
    <row r="132" customFormat="false" ht="15" hidden="false" customHeight="false" outlineLevel="0" collapsed="false">
      <c r="A132" s="31" t="s">
        <v>4581</v>
      </c>
      <c r="B132" s="34" t="s">
        <v>5408</v>
      </c>
      <c r="C132" s="36" t="s">
        <v>5409</v>
      </c>
    </row>
    <row r="133" customFormat="false" ht="15" hidden="false" customHeight="false" outlineLevel="0" collapsed="false">
      <c r="A133" s="31" t="s">
        <v>4755</v>
      </c>
      <c r="B133" s="31" t="s">
        <v>5415</v>
      </c>
      <c r="C133" s="35" t="n">
        <v>164</v>
      </c>
    </row>
    <row r="134" customFormat="false" ht="15" hidden="false" customHeight="false" outlineLevel="0" collapsed="false">
      <c r="A134" s="31" t="s">
        <v>4507</v>
      </c>
      <c r="B134" s="31" t="s">
        <v>5416</v>
      </c>
      <c r="C134" s="35" t="n">
        <v>163</v>
      </c>
    </row>
    <row r="135" customFormat="false" ht="15" hidden="false" customHeight="false" outlineLevel="0" collapsed="false">
      <c r="A135" s="31" t="s">
        <v>4582</v>
      </c>
      <c r="B135" s="31" t="s">
        <v>5417</v>
      </c>
      <c r="C135" s="35" t="n">
        <v>178</v>
      </c>
    </row>
    <row r="136" customFormat="false" ht="15" hidden="false" customHeight="false" outlineLevel="0" collapsed="false">
      <c r="A136" s="31" t="s">
        <v>4508</v>
      </c>
      <c r="B136" s="31" t="s">
        <v>5418</v>
      </c>
      <c r="C136" s="35" t="n">
        <v>170</v>
      </c>
    </row>
    <row r="137" customFormat="false" ht="15" hidden="false" customHeight="false" outlineLevel="0" collapsed="false">
      <c r="A137" s="31" t="s">
        <v>5419</v>
      </c>
      <c r="B137" s="31" t="s">
        <v>5375</v>
      </c>
      <c r="C137" s="35" t="n">
        <v>319</v>
      </c>
    </row>
    <row r="138" customFormat="false" ht="15" hidden="false" customHeight="false" outlineLevel="0" collapsed="false">
      <c r="A138" s="31" t="s">
        <v>4509</v>
      </c>
      <c r="B138" s="31" t="s">
        <v>5420</v>
      </c>
      <c r="C138" s="35" t="n">
        <v>177</v>
      </c>
    </row>
    <row r="139" customFormat="false" ht="15" hidden="false" customHeight="false" outlineLevel="0" collapsed="false">
      <c r="A139" s="31" t="s">
        <v>4759</v>
      </c>
      <c r="B139" s="31" t="s">
        <v>5421</v>
      </c>
      <c r="C139" s="35" t="n">
        <v>171</v>
      </c>
    </row>
    <row r="140" customFormat="false" ht="15" hidden="false" customHeight="false" outlineLevel="0" collapsed="false">
      <c r="A140" s="31" t="s">
        <v>5422</v>
      </c>
      <c r="B140" s="31" t="s">
        <v>5302</v>
      </c>
      <c r="C140" s="35" t="n">
        <v>228</v>
      </c>
    </row>
    <row r="141" customFormat="false" ht="15" hidden="false" customHeight="false" outlineLevel="0" collapsed="false">
      <c r="A141" s="31" t="s">
        <v>5423</v>
      </c>
      <c r="B141" s="31" t="s">
        <v>5424</v>
      </c>
      <c r="C141" s="35" t="n">
        <v>182</v>
      </c>
    </row>
    <row r="142" customFormat="false" ht="15" hidden="false" customHeight="false" outlineLevel="0" collapsed="false">
      <c r="A142" s="31" t="s">
        <v>5425</v>
      </c>
      <c r="B142" s="31" t="s">
        <v>5426</v>
      </c>
      <c r="C142" s="35" t="n">
        <v>189</v>
      </c>
    </row>
    <row r="143" customFormat="false" ht="15" hidden="false" customHeight="false" outlineLevel="0" collapsed="false">
      <c r="A143" s="31" t="s">
        <v>5427</v>
      </c>
      <c r="B143" s="31" t="s">
        <v>5428</v>
      </c>
      <c r="C143" s="35" t="n">
        <v>182</v>
      </c>
    </row>
    <row r="144" customFormat="false" ht="15" hidden="false" customHeight="false" outlineLevel="0" collapsed="false">
      <c r="A144" s="31" t="s">
        <v>5429</v>
      </c>
      <c r="B144" s="31" t="s">
        <v>5302</v>
      </c>
      <c r="C144" s="35" t="n">
        <v>228</v>
      </c>
    </row>
    <row r="145" customFormat="false" ht="15" hidden="false" customHeight="false" outlineLevel="0" collapsed="false">
      <c r="A145" s="31" t="s">
        <v>5430</v>
      </c>
      <c r="B145" s="31" t="s">
        <v>5431</v>
      </c>
      <c r="C145" s="35" t="n">
        <v>188</v>
      </c>
    </row>
    <row r="146" customFormat="false" ht="15" hidden="false" customHeight="false" outlineLevel="0" collapsed="false">
      <c r="A146" s="31" t="s">
        <v>5432</v>
      </c>
      <c r="B146" s="31" t="s">
        <v>5302</v>
      </c>
      <c r="C146" s="35" t="n">
        <v>228</v>
      </c>
    </row>
    <row r="147" customFormat="false" ht="15" hidden="false" customHeight="false" outlineLevel="0" collapsed="false">
      <c r="A147" s="31" t="s">
        <v>5433</v>
      </c>
      <c r="B147" s="31" t="s">
        <v>5302</v>
      </c>
      <c r="C147" s="35" t="n">
        <v>228</v>
      </c>
    </row>
    <row r="148" customFormat="false" ht="15" hidden="false" customHeight="false" outlineLevel="0" collapsed="false">
      <c r="A148" s="31" t="s">
        <v>5434</v>
      </c>
      <c r="B148" s="31" t="s">
        <v>5310</v>
      </c>
      <c r="C148" s="35" t="n">
        <v>186</v>
      </c>
    </row>
    <row r="149" customFormat="false" ht="15" hidden="false" customHeight="false" outlineLevel="0" collapsed="false">
      <c r="A149" s="31" t="s">
        <v>5435</v>
      </c>
      <c r="B149" s="31" t="s">
        <v>5275</v>
      </c>
      <c r="C149" s="35" t="n">
        <v>169</v>
      </c>
    </row>
    <row r="150" customFormat="false" ht="15" hidden="false" customHeight="false" outlineLevel="0" collapsed="false">
      <c r="A150" s="31" t="s">
        <v>4583</v>
      </c>
      <c r="B150" s="34" t="s">
        <v>5408</v>
      </c>
      <c r="C150" s="36" t="s">
        <v>5409</v>
      </c>
    </row>
    <row r="151" customFormat="false" ht="15" hidden="false" customHeight="false" outlineLevel="0" collapsed="false">
      <c r="A151" s="31" t="s">
        <v>5436</v>
      </c>
      <c r="B151" s="31" t="s">
        <v>5302</v>
      </c>
      <c r="C151" s="35" t="n">
        <v>228</v>
      </c>
    </row>
    <row r="152" customFormat="false" ht="15" hidden="false" customHeight="false" outlineLevel="0" collapsed="false">
      <c r="A152" s="31" t="s">
        <v>5437</v>
      </c>
      <c r="B152" s="31" t="s">
        <v>5302</v>
      </c>
      <c r="C152" s="35" t="n">
        <v>228</v>
      </c>
    </row>
    <row r="153" customFormat="false" ht="15" hidden="false" customHeight="false" outlineLevel="0" collapsed="false">
      <c r="A153" s="31" t="s">
        <v>5438</v>
      </c>
      <c r="B153" s="31" t="s">
        <v>5302</v>
      </c>
      <c r="C153" s="35" t="n">
        <v>228</v>
      </c>
    </row>
    <row r="154" customFormat="false" ht="15" hidden="false" customHeight="false" outlineLevel="0" collapsed="false">
      <c r="A154" s="31" t="s">
        <v>4764</v>
      </c>
      <c r="B154" s="31" t="s">
        <v>5439</v>
      </c>
      <c r="C154" s="35" t="n">
        <v>174</v>
      </c>
    </row>
    <row r="155" customFormat="false" ht="15" hidden="false" customHeight="false" outlineLevel="0" collapsed="false">
      <c r="A155" s="31" t="s">
        <v>5440</v>
      </c>
      <c r="B155" s="31" t="s">
        <v>5302</v>
      </c>
      <c r="C155" s="35" t="n">
        <v>228</v>
      </c>
    </row>
    <row r="156" customFormat="false" ht="15" hidden="false" customHeight="false" outlineLevel="0" collapsed="false">
      <c r="A156" s="31" t="s">
        <v>4766</v>
      </c>
      <c r="B156" s="31" t="s">
        <v>5310</v>
      </c>
      <c r="C156" s="35" t="n">
        <v>186</v>
      </c>
    </row>
    <row r="157" customFormat="false" ht="15" hidden="false" customHeight="false" outlineLevel="0" collapsed="false">
      <c r="A157" s="31" t="s">
        <v>5441</v>
      </c>
      <c r="B157" s="31" t="s">
        <v>5275</v>
      </c>
      <c r="C157" s="35" t="n">
        <v>169</v>
      </c>
    </row>
    <row r="158" customFormat="false" ht="15" hidden="false" customHeight="false" outlineLevel="0" collapsed="false">
      <c r="A158" s="31" t="s">
        <v>5442</v>
      </c>
      <c r="B158" s="31" t="s">
        <v>5443</v>
      </c>
      <c r="C158" s="35" t="n">
        <v>204</v>
      </c>
    </row>
    <row r="159" customFormat="false" ht="15" hidden="false" customHeight="false" outlineLevel="0" collapsed="false">
      <c r="A159" s="31" t="s">
        <v>4514</v>
      </c>
      <c r="B159" s="31" t="s">
        <v>5444</v>
      </c>
      <c r="C159" s="35" t="n">
        <v>175</v>
      </c>
    </row>
    <row r="160" customFormat="false" ht="15" hidden="false" customHeight="false" outlineLevel="0" collapsed="false">
      <c r="A160" s="31" t="s">
        <v>5445</v>
      </c>
      <c r="B160" s="31" t="s">
        <v>5446</v>
      </c>
      <c r="C160" s="35" t="n">
        <v>174</v>
      </c>
    </row>
    <row r="161" customFormat="false" ht="15" hidden="false" customHeight="false" outlineLevel="0" collapsed="false">
      <c r="A161" s="31" t="s">
        <v>4515</v>
      </c>
      <c r="B161" s="31" t="s">
        <v>5447</v>
      </c>
      <c r="C161" s="35" t="n">
        <v>176</v>
      </c>
    </row>
    <row r="162" customFormat="false" ht="15" hidden="false" customHeight="false" outlineLevel="0" collapsed="false">
      <c r="A162" s="31" t="s">
        <v>5448</v>
      </c>
      <c r="B162" s="31" t="s">
        <v>5343</v>
      </c>
      <c r="C162" s="35" t="n">
        <v>320</v>
      </c>
    </row>
    <row r="163" customFormat="false" ht="15" hidden="false" customHeight="false" outlineLevel="0" collapsed="false">
      <c r="A163" s="31" t="s">
        <v>5449</v>
      </c>
      <c r="B163" s="31" t="s">
        <v>5302</v>
      </c>
      <c r="C163" s="35" t="n">
        <v>228</v>
      </c>
    </row>
    <row r="164" customFormat="false" ht="15" hidden="false" customHeight="false" outlineLevel="0" collapsed="false">
      <c r="A164" s="31" t="s">
        <v>4771</v>
      </c>
      <c r="B164" s="31" t="s">
        <v>5450</v>
      </c>
      <c r="C164" s="35" t="n">
        <v>182</v>
      </c>
    </row>
    <row r="165" customFormat="false" ht="15" hidden="false" customHeight="false" outlineLevel="0" collapsed="false">
      <c r="A165" s="31" t="s">
        <v>5451</v>
      </c>
      <c r="B165" s="31" t="s">
        <v>5452</v>
      </c>
      <c r="C165" s="35" t="n">
        <v>165</v>
      </c>
    </row>
    <row r="166" customFormat="false" ht="15" hidden="false" customHeight="false" outlineLevel="0" collapsed="false">
      <c r="A166" s="31" t="s">
        <v>5453</v>
      </c>
      <c r="B166" s="31" t="s">
        <v>5454</v>
      </c>
      <c r="C166" s="35" t="n">
        <v>185</v>
      </c>
    </row>
    <row r="167" customFormat="false" ht="15" hidden="false" customHeight="false" outlineLevel="0" collapsed="false">
      <c r="A167" s="31" t="s">
        <v>5455</v>
      </c>
      <c r="B167" s="31" t="s">
        <v>5456</v>
      </c>
      <c r="C167" s="35" t="n">
        <v>172</v>
      </c>
    </row>
    <row r="168" customFormat="false" ht="15" hidden="false" customHeight="false" outlineLevel="0" collapsed="false">
      <c r="A168" s="31" t="s">
        <v>4521</v>
      </c>
      <c r="B168" s="31" t="s">
        <v>4062</v>
      </c>
      <c r="C168" s="35" t="n">
        <v>320</v>
      </c>
    </row>
    <row r="169" customFormat="false" ht="15" hidden="false" customHeight="false" outlineLevel="0" collapsed="false">
      <c r="A169" s="31" t="s">
        <v>5457</v>
      </c>
      <c r="B169" s="31" t="s">
        <v>5259</v>
      </c>
      <c r="C169" s="35" t="n">
        <v>161</v>
      </c>
    </row>
    <row r="170" customFormat="false" ht="15" hidden="false" customHeight="false" outlineLevel="0" collapsed="false">
      <c r="A170" s="31" t="s">
        <v>4530</v>
      </c>
      <c r="B170" s="31" t="s">
        <v>5458</v>
      </c>
      <c r="C170" s="35" t="n">
        <v>179</v>
      </c>
    </row>
    <row r="171" customFormat="false" ht="15" hidden="false" customHeight="false" outlineLevel="0" collapsed="false">
      <c r="A171" s="31" t="s">
        <v>4773</v>
      </c>
      <c r="B171" s="31" t="s">
        <v>5310</v>
      </c>
      <c r="C171" s="35" t="n">
        <v>186</v>
      </c>
    </row>
    <row r="172" customFormat="false" ht="15" hidden="false" customHeight="false" outlineLevel="0" collapsed="false">
      <c r="A172" s="31" t="s">
        <v>4587</v>
      </c>
      <c r="B172" s="34" t="s">
        <v>5408</v>
      </c>
      <c r="C172" s="36" t="s">
        <v>5409</v>
      </c>
    </row>
    <row r="173" customFormat="false" ht="15" hidden="false" customHeight="false" outlineLevel="0" collapsed="false">
      <c r="A173" s="31" t="s">
        <v>5459</v>
      </c>
      <c r="B173" s="31" t="s">
        <v>5302</v>
      </c>
      <c r="C173" s="35" t="n">
        <v>228</v>
      </c>
    </row>
    <row r="174" customFormat="false" ht="15" hidden="false" customHeight="false" outlineLevel="0" collapsed="false">
      <c r="A174" s="31" t="s">
        <v>5460</v>
      </c>
      <c r="B174" s="31" t="s">
        <v>5310</v>
      </c>
      <c r="C174" s="35" t="n">
        <v>186</v>
      </c>
    </row>
    <row r="175" customFormat="false" ht="15" hidden="false" customHeight="false" outlineLevel="0" collapsed="false">
      <c r="A175" s="31" t="s">
        <v>5461</v>
      </c>
      <c r="B175" s="31" t="s">
        <v>5302</v>
      </c>
      <c r="C175" s="35" t="n">
        <v>228</v>
      </c>
    </row>
    <row r="176" customFormat="false" ht="15" hidden="false" customHeight="false" outlineLevel="0" collapsed="false">
      <c r="A176" s="31" t="s">
        <v>5462</v>
      </c>
      <c r="B176" s="31" t="s">
        <v>5302</v>
      </c>
      <c r="C176" s="35" t="n">
        <v>228</v>
      </c>
    </row>
    <row r="177" customFormat="false" ht="15" hidden="false" customHeight="false" outlineLevel="0" collapsed="false">
      <c r="A177" s="31" t="s">
        <v>4775</v>
      </c>
      <c r="B177" s="31" t="s">
        <v>5463</v>
      </c>
      <c r="C177" s="35" t="n">
        <v>165</v>
      </c>
    </row>
    <row r="178" customFormat="false" ht="15" hidden="false" customHeight="false" outlineLevel="0" collapsed="false">
      <c r="A178" s="31" t="s">
        <v>4777</v>
      </c>
      <c r="B178" s="31" t="s">
        <v>5310</v>
      </c>
      <c r="C178" s="35" t="n">
        <v>186</v>
      </c>
    </row>
    <row r="179" customFormat="false" ht="15" hidden="false" customHeight="false" outlineLevel="0" collapsed="false">
      <c r="A179" s="31" t="s">
        <v>5464</v>
      </c>
      <c r="B179" s="31" t="s">
        <v>5275</v>
      </c>
      <c r="C179" s="35" t="n">
        <v>169</v>
      </c>
    </row>
    <row r="180" customFormat="false" ht="15" hidden="false" customHeight="false" outlineLevel="0" collapsed="false">
      <c r="A180" s="31" t="s">
        <v>5465</v>
      </c>
      <c r="B180" s="31" t="s">
        <v>5302</v>
      </c>
      <c r="C180" s="35" t="n">
        <v>228</v>
      </c>
    </row>
    <row r="181" customFormat="false" ht="15" hidden="false" customHeight="false" outlineLevel="0" collapsed="false">
      <c r="A181" s="31" t="s">
        <v>5466</v>
      </c>
      <c r="B181" s="31" t="s">
        <v>5467</v>
      </c>
      <c r="C181" s="35" t="n">
        <v>175</v>
      </c>
    </row>
    <row r="182" customFormat="false" ht="15" hidden="false" customHeight="false" outlineLevel="0" collapsed="false">
      <c r="A182" s="31" t="s">
        <v>4531</v>
      </c>
      <c r="B182" s="31" t="s">
        <v>5468</v>
      </c>
      <c r="C182" s="35" t="n">
        <v>164</v>
      </c>
    </row>
    <row r="183" customFormat="false" ht="15" hidden="false" customHeight="false" outlineLevel="0" collapsed="false">
      <c r="A183" s="31" t="s">
        <v>5469</v>
      </c>
      <c r="B183" s="31" t="s">
        <v>5275</v>
      </c>
      <c r="C183" s="35" t="n">
        <v>169</v>
      </c>
    </row>
    <row r="184" customFormat="false" ht="15" hidden="false" customHeight="false" outlineLevel="0" collapsed="false">
      <c r="A184" s="31" t="s">
        <v>5470</v>
      </c>
      <c r="B184" s="31" t="s">
        <v>5310</v>
      </c>
      <c r="C184" s="35" t="n">
        <v>186</v>
      </c>
    </row>
    <row r="185" customFormat="false" ht="15" hidden="false" customHeight="false" outlineLevel="0" collapsed="false">
      <c r="A185" s="31" t="s">
        <v>5471</v>
      </c>
      <c r="B185" s="31" t="s">
        <v>5302</v>
      </c>
      <c r="C185" s="35" t="n">
        <v>228</v>
      </c>
    </row>
    <row r="186" customFormat="false" ht="15" hidden="false" customHeight="false" outlineLevel="0" collapsed="false">
      <c r="A186" s="31" t="s">
        <v>5472</v>
      </c>
      <c r="B186" s="31" t="s">
        <v>5310</v>
      </c>
      <c r="C186" s="35" t="n">
        <v>186</v>
      </c>
    </row>
    <row r="187" customFormat="false" ht="15" hidden="false" customHeight="false" outlineLevel="0" collapsed="false">
      <c r="A187" s="31" t="s">
        <v>4784</v>
      </c>
      <c r="B187" s="31" t="s">
        <v>5310</v>
      </c>
      <c r="C187" s="35" t="n">
        <v>186</v>
      </c>
    </row>
    <row r="188" customFormat="false" ht="15" hidden="false" customHeight="false" outlineLevel="0" collapsed="false">
      <c r="A188" s="31" t="s">
        <v>4786</v>
      </c>
      <c r="B188" s="31" t="s">
        <v>5473</v>
      </c>
      <c r="C188" s="35" t="n">
        <v>192</v>
      </c>
    </row>
    <row r="189" customFormat="false" ht="15" hidden="false" customHeight="false" outlineLevel="0" collapsed="false">
      <c r="A189" s="31" t="s">
        <v>5474</v>
      </c>
      <c r="B189" s="31" t="s">
        <v>5275</v>
      </c>
      <c r="C189" s="35" t="n">
        <v>169</v>
      </c>
    </row>
    <row r="190" customFormat="false" ht="15" hidden="false" customHeight="false" outlineLevel="0" collapsed="false">
      <c r="A190" s="31" t="s">
        <v>5475</v>
      </c>
      <c r="B190" s="31" t="s">
        <v>5302</v>
      </c>
      <c r="C190" s="35" t="n">
        <v>228</v>
      </c>
    </row>
    <row r="191" customFormat="false" ht="15" hidden="false" customHeight="false" outlineLevel="0" collapsed="false">
      <c r="A191" s="31" t="s">
        <v>5476</v>
      </c>
      <c r="B191" s="31" t="s">
        <v>5302</v>
      </c>
      <c r="C191" s="35" t="n">
        <v>228</v>
      </c>
    </row>
    <row r="192" customFormat="false" ht="15" hidden="false" customHeight="false" outlineLevel="0" collapsed="false">
      <c r="A192" s="31" t="s">
        <v>5477</v>
      </c>
      <c r="B192" s="31" t="s">
        <v>5302</v>
      </c>
      <c r="C192" s="35" t="n">
        <v>228</v>
      </c>
    </row>
    <row r="193" customFormat="false" ht="15" hidden="false" customHeight="false" outlineLevel="0" collapsed="false">
      <c r="A193" s="31" t="s">
        <v>5478</v>
      </c>
      <c r="B193" s="31" t="s">
        <v>5414</v>
      </c>
      <c r="C193" s="35" t="n">
        <v>318</v>
      </c>
    </row>
    <row r="194" customFormat="false" ht="15" hidden="false" customHeight="false" outlineLevel="0" collapsed="false">
      <c r="A194" s="31" t="s">
        <v>5479</v>
      </c>
      <c r="B194" s="31" t="s">
        <v>5302</v>
      </c>
      <c r="C194" s="35" t="n">
        <v>228</v>
      </c>
    </row>
    <row r="195" customFormat="false" ht="15" hidden="false" customHeight="false" outlineLevel="0" collapsed="false">
      <c r="A195" s="31" t="s">
        <v>5480</v>
      </c>
      <c r="B195" s="31" t="s">
        <v>5275</v>
      </c>
      <c r="C195" s="35" t="n">
        <v>169</v>
      </c>
    </row>
    <row r="196" customFormat="false" ht="15" hidden="false" customHeight="false" outlineLevel="0" collapsed="false">
      <c r="A196" s="31" t="s">
        <v>4792</v>
      </c>
      <c r="B196" s="31" t="s">
        <v>5481</v>
      </c>
      <c r="C196" s="35" t="n">
        <v>188</v>
      </c>
    </row>
    <row r="197" customFormat="false" ht="15" hidden="false" customHeight="false" outlineLevel="0" collapsed="false">
      <c r="A197" s="31" t="s">
        <v>4794</v>
      </c>
      <c r="B197" s="31" t="s">
        <v>5310</v>
      </c>
      <c r="C197" s="35" t="n">
        <v>186</v>
      </c>
    </row>
    <row r="198" customFormat="false" ht="15" hidden="false" customHeight="false" outlineLevel="0" collapsed="false">
      <c r="A198" s="31" t="s">
        <v>4796</v>
      </c>
      <c r="B198" s="31" t="s">
        <v>5482</v>
      </c>
      <c r="C198" s="35" t="n">
        <v>185</v>
      </c>
    </row>
    <row r="199" customFormat="false" ht="15" hidden="false" customHeight="false" outlineLevel="0" collapsed="false">
      <c r="A199" s="31" t="s">
        <v>5483</v>
      </c>
      <c r="B199" s="31" t="s">
        <v>5484</v>
      </c>
      <c r="C199" s="35" t="n">
        <v>190</v>
      </c>
    </row>
    <row r="200" customFormat="false" ht="15" hidden="false" customHeight="false" outlineLevel="0" collapsed="false">
      <c r="A200" s="31" t="s">
        <v>4798</v>
      </c>
      <c r="B200" s="31" t="s">
        <v>5485</v>
      </c>
      <c r="C200" s="35" t="n">
        <v>162</v>
      </c>
    </row>
    <row r="201" customFormat="false" ht="15" hidden="false" customHeight="false" outlineLevel="0" collapsed="false">
      <c r="A201" s="31" t="s">
        <v>5486</v>
      </c>
      <c r="B201" s="31" t="s">
        <v>5275</v>
      </c>
      <c r="C201" s="35" t="n">
        <v>169</v>
      </c>
    </row>
    <row r="202" customFormat="false" ht="15" hidden="false" customHeight="false" outlineLevel="0" collapsed="false">
      <c r="A202" s="31" t="s">
        <v>5487</v>
      </c>
      <c r="B202" s="31" t="s">
        <v>5275</v>
      </c>
      <c r="C202" s="35" t="n">
        <v>169</v>
      </c>
    </row>
    <row r="203" customFormat="false" ht="15" hidden="false" customHeight="false" outlineLevel="0" collapsed="false">
      <c r="A203" s="31" t="s">
        <v>4802</v>
      </c>
      <c r="B203" s="31" t="s">
        <v>5310</v>
      </c>
      <c r="C203" s="35" t="n">
        <v>186</v>
      </c>
    </row>
    <row r="204" customFormat="false" ht="15" hidden="false" customHeight="false" outlineLevel="0" collapsed="false">
      <c r="A204" s="31" t="s">
        <v>5488</v>
      </c>
      <c r="B204" s="31" t="s">
        <v>5302</v>
      </c>
      <c r="C204" s="35" t="n">
        <v>228</v>
      </c>
    </row>
    <row r="205" customFormat="false" ht="15" hidden="false" customHeight="false" outlineLevel="0" collapsed="false">
      <c r="A205" s="31" t="s">
        <v>4804</v>
      </c>
      <c r="B205" s="31" t="s">
        <v>5310</v>
      </c>
      <c r="C205" s="35" t="n">
        <v>186</v>
      </c>
    </row>
    <row r="206" customFormat="false" ht="15" hidden="false" customHeight="false" outlineLevel="0" collapsed="false">
      <c r="A206" s="31" t="s">
        <v>5489</v>
      </c>
      <c r="B206" s="31" t="s">
        <v>5275</v>
      </c>
      <c r="C206" s="35" t="n">
        <v>169</v>
      </c>
    </row>
    <row r="207" customFormat="false" ht="15" hidden="false" customHeight="false" outlineLevel="0" collapsed="false">
      <c r="A207" s="31" t="s">
        <v>5490</v>
      </c>
      <c r="B207" s="31" t="s">
        <v>5302</v>
      </c>
      <c r="C207" s="35" t="n">
        <v>228</v>
      </c>
    </row>
    <row r="208" customFormat="false" ht="15" hidden="false" customHeight="false" outlineLevel="0" collapsed="false">
      <c r="A208" s="31" t="s">
        <v>5491</v>
      </c>
      <c r="B208" s="31" t="s">
        <v>5275</v>
      </c>
      <c r="C208" s="35" t="n">
        <v>169</v>
      </c>
    </row>
    <row r="209" customFormat="false" ht="15" hidden="false" customHeight="false" outlineLevel="0" collapsed="false">
      <c r="A209" s="31" t="s">
        <v>5492</v>
      </c>
      <c r="B209" s="31" t="s">
        <v>5302</v>
      </c>
      <c r="C209" s="35" t="n">
        <v>228</v>
      </c>
    </row>
    <row r="210" customFormat="false" ht="15" hidden="false" customHeight="false" outlineLevel="0" collapsed="false">
      <c r="A210" s="31" t="s">
        <v>5493</v>
      </c>
      <c r="B210" s="31" t="s">
        <v>5275</v>
      </c>
      <c r="C210" s="35" t="n">
        <v>169</v>
      </c>
    </row>
    <row r="211" customFormat="false" ht="15" hidden="false" customHeight="false" outlineLevel="0" collapsed="false">
      <c r="A211" s="31" t="s">
        <v>4806</v>
      </c>
      <c r="B211" s="31" t="s">
        <v>5494</v>
      </c>
      <c r="C211" s="35" t="n">
        <v>199</v>
      </c>
    </row>
    <row r="212" customFormat="false" ht="15" hidden="false" customHeight="false" outlineLevel="0" collapsed="false">
      <c r="A212" s="31" t="s">
        <v>4808</v>
      </c>
      <c r="B212" s="31" t="s">
        <v>5275</v>
      </c>
      <c r="C212" s="35" t="n">
        <v>169</v>
      </c>
    </row>
    <row r="213" customFormat="false" ht="15" hidden="false" customHeight="false" outlineLevel="0" collapsed="false">
      <c r="A213" s="31" t="s">
        <v>5495</v>
      </c>
      <c r="B213" s="31" t="s">
        <v>5302</v>
      </c>
      <c r="C213" s="35" t="n">
        <v>228</v>
      </c>
    </row>
    <row r="214" customFormat="false" ht="15" hidden="false" customHeight="false" outlineLevel="0" collapsed="false">
      <c r="A214" s="31" t="s">
        <v>5496</v>
      </c>
      <c r="B214" s="31" t="s">
        <v>5275</v>
      </c>
      <c r="C214" s="35" t="n">
        <v>169</v>
      </c>
    </row>
    <row r="215" customFormat="false" ht="15" hidden="false" customHeight="false" outlineLevel="0" collapsed="false">
      <c r="A215" s="31" t="s">
        <v>5497</v>
      </c>
      <c r="B215" s="31" t="s">
        <v>5302</v>
      </c>
      <c r="C215" s="35" t="n">
        <v>228</v>
      </c>
    </row>
    <row r="216" customFormat="false" ht="15" hidden="false" customHeight="false" outlineLevel="0" collapsed="false">
      <c r="A216" s="31" t="s">
        <v>5498</v>
      </c>
      <c r="B216" s="31" t="s">
        <v>5275</v>
      </c>
      <c r="C216" s="35" t="n">
        <v>169</v>
      </c>
    </row>
    <row r="217" customFormat="false" ht="15" hidden="false" customHeight="false" outlineLevel="0" collapsed="false">
      <c r="A217" s="31" t="s">
        <v>5499</v>
      </c>
      <c r="B217" s="31" t="s">
        <v>5275</v>
      </c>
      <c r="C217" s="35" t="n">
        <v>169</v>
      </c>
    </row>
    <row r="218" customFormat="false" ht="15" hidden="false" customHeight="false" outlineLevel="0" collapsed="false">
      <c r="A218" s="31" t="s">
        <v>5500</v>
      </c>
      <c r="B218" s="31" t="s">
        <v>5275</v>
      </c>
      <c r="C218" s="35" t="n">
        <v>169</v>
      </c>
    </row>
    <row r="219" customFormat="false" ht="15" hidden="false" customHeight="false" outlineLevel="0" collapsed="false">
      <c r="A219" s="31" t="s">
        <v>5501</v>
      </c>
      <c r="B219" s="31" t="s">
        <v>5302</v>
      </c>
      <c r="C219" s="35" t="n">
        <v>228</v>
      </c>
    </row>
    <row r="220" customFormat="false" ht="15" hidden="false" customHeight="false" outlineLevel="0" collapsed="false">
      <c r="A220" s="31" t="s">
        <v>4810</v>
      </c>
      <c r="B220" s="31" t="s">
        <v>5310</v>
      </c>
      <c r="C220" s="35" t="n">
        <v>186</v>
      </c>
    </row>
    <row r="221" customFormat="false" ht="15" hidden="false" customHeight="false" outlineLevel="0" collapsed="false">
      <c r="A221" s="31" t="s">
        <v>5502</v>
      </c>
      <c r="B221" s="31" t="s">
        <v>5275</v>
      </c>
      <c r="C221" s="35" t="n">
        <v>169</v>
      </c>
    </row>
    <row r="222" customFormat="false" ht="15" hidden="false" customHeight="false" outlineLevel="0" collapsed="false">
      <c r="A222" s="31" t="s">
        <v>4812</v>
      </c>
      <c r="B222" s="31" t="s">
        <v>5310</v>
      </c>
      <c r="C222" s="35" t="n">
        <v>186</v>
      </c>
    </row>
    <row r="223" customFormat="false" ht="15" hidden="false" customHeight="false" outlineLevel="0" collapsed="false">
      <c r="A223" s="31" t="s">
        <v>5503</v>
      </c>
      <c r="B223" s="31" t="s">
        <v>5275</v>
      </c>
      <c r="C223" s="35" t="n">
        <v>169</v>
      </c>
    </row>
    <row r="224" customFormat="false" ht="15" hidden="false" customHeight="false" outlineLevel="0" collapsed="false">
      <c r="A224" s="31" t="s">
        <v>4814</v>
      </c>
      <c r="B224" s="31" t="s">
        <v>5310</v>
      </c>
      <c r="C224" s="35" t="n">
        <v>186</v>
      </c>
    </row>
    <row r="225" customFormat="false" ht="15" hidden="false" customHeight="false" outlineLevel="0" collapsed="false">
      <c r="A225" s="31" t="s">
        <v>5504</v>
      </c>
      <c r="B225" s="31" t="s">
        <v>5310</v>
      </c>
      <c r="C225" s="35" t="n">
        <v>186</v>
      </c>
    </row>
    <row r="226" customFormat="false" ht="15" hidden="false" customHeight="false" outlineLevel="0" collapsed="false">
      <c r="A226" s="31" t="s">
        <v>5505</v>
      </c>
      <c r="B226" s="31" t="s">
        <v>5302</v>
      </c>
      <c r="C226" s="35" t="n">
        <v>228</v>
      </c>
    </row>
    <row r="227" customFormat="false" ht="15" hidden="false" customHeight="false" outlineLevel="0" collapsed="false">
      <c r="A227" s="31" t="s">
        <v>5506</v>
      </c>
      <c r="B227" s="31" t="s">
        <v>5302</v>
      </c>
      <c r="C227" s="35" t="n">
        <v>228</v>
      </c>
    </row>
    <row r="228" customFormat="false" ht="15" hidden="false" customHeight="false" outlineLevel="0" collapsed="false">
      <c r="A228" s="31" t="s">
        <v>4816</v>
      </c>
      <c r="B228" s="31" t="s">
        <v>5310</v>
      </c>
      <c r="C228" s="35" t="n">
        <v>186</v>
      </c>
    </row>
    <row r="229" customFormat="false" ht="15" hidden="false" customHeight="false" outlineLevel="0" collapsed="false">
      <c r="A229" s="31" t="s">
        <v>4818</v>
      </c>
      <c r="B229" s="31" t="s">
        <v>5310</v>
      </c>
      <c r="C229" s="35" t="n">
        <v>186</v>
      </c>
    </row>
    <row r="230" customFormat="false" ht="15" hidden="false" customHeight="false" outlineLevel="0" collapsed="false">
      <c r="A230" s="31" t="s">
        <v>4591</v>
      </c>
      <c r="B230" s="31" t="s">
        <v>5507</v>
      </c>
      <c r="C230" s="35" t="n">
        <v>169</v>
      </c>
    </row>
    <row r="231" customFormat="false" ht="15" hidden="false" customHeight="false" outlineLevel="0" collapsed="false">
      <c r="A231" s="31" t="s">
        <v>5508</v>
      </c>
      <c r="B231" s="31" t="s">
        <v>5302</v>
      </c>
      <c r="C231" s="35" t="n">
        <v>228</v>
      </c>
    </row>
    <row r="232" customFormat="false" ht="15" hidden="false" customHeight="false" outlineLevel="0" collapsed="false">
      <c r="A232" s="31" t="s">
        <v>4821</v>
      </c>
      <c r="B232" s="31" t="s">
        <v>5509</v>
      </c>
      <c r="C232" s="35" t="n">
        <v>168</v>
      </c>
    </row>
    <row r="233" customFormat="false" ht="15" hidden="false" customHeight="false" outlineLevel="0" collapsed="false">
      <c r="A233" s="31" t="s">
        <v>5510</v>
      </c>
      <c r="B233" s="31" t="s">
        <v>5302</v>
      </c>
      <c r="C233" s="35" t="n">
        <v>228</v>
      </c>
    </row>
    <row r="234" customFormat="false" ht="15" hidden="false" customHeight="false" outlineLevel="0" collapsed="false">
      <c r="A234" s="31" t="s">
        <v>5511</v>
      </c>
      <c r="B234" s="31" t="s">
        <v>5302</v>
      </c>
      <c r="C234" s="35" t="n">
        <v>228</v>
      </c>
    </row>
    <row r="235" customFormat="false" ht="15" hidden="false" customHeight="false" outlineLevel="0" collapsed="false">
      <c r="A235" s="31" t="s">
        <v>5512</v>
      </c>
      <c r="B235" s="31" t="s">
        <v>5302</v>
      </c>
      <c r="C235" s="35" t="n">
        <v>228</v>
      </c>
    </row>
    <row r="236" customFormat="false" ht="15" hidden="false" customHeight="false" outlineLevel="0" collapsed="false">
      <c r="A236" s="31" t="s">
        <v>5513</v>
      </c>
      <c r="B236" s="31" t="s">
        <v>5275</v>
      </c>
      <c r="C236" s="35" t="n">
        <v>169</v>
      </c>
    </row>
    <row r="237" customFormat="false" ht="15" hidden="false" customHeight="false" outlineLevel="0" collapsed="false">
      <c r="A237" s="31" t="s">
        <v>5514</v>
      </c>
      <c r="B237" s="31" t="s">
        <v>5275</v>
      </c>
      <c r="C237" s="35" t="n">
        <v>169</v>
      </c>
    </row>
    <row r="238" customFormat="false" ht="15" hidden="false" customHeight="false" outlineLevel="0" collapsed="false">
      <c r="A238" s="31" t="s">
        <v>4823</v>
      </c>
      <c r="B238" s="31" t="s">
        <v>5515</v>
      </c>
      <c r="C238" s="35" t="n">
        <v>181</v>
      </c>
    </row>
    <row r="239" customFormat="false" ht="15" hidden="false" customHeight="false" outlineLevel="0" collapsed="false">
      <c r="A239" s="31" t="s">
        <v>5516</v>
      </c>
      <c r="B239" s="31" t="s">
        <v>5310</v>
      </c>
      <c r="C239" s="35" t="n">
        <v>186</v>
      </c>
    </row>
    <row r="240" customFormat="false" ht="15" hidden="false" customHeight="false" outlineLevel="0" collapsed="false">
      <c r="A240" s="31" t="s">
        <v>4825</v>
      </c>
      <c r="B240" s="31" t="s">
        <v>5310</v>
      </c>
      <c r="C240" s="35" t="n">
        <v>186</v>
      </c>
    </row>
    <row r="241" customFormat="false" ht="15" hidden="false" customHeight="false" outlineLevel="0" collapsed="false">
      <c r="A241" s="31" t="s">
        <v>5517</v>
      </c>
      <c r="B241" s="31" t="s">
        <v>5302</v>
      </c>
      <c r="C241" s="35" t="n">
        <v>228</v>
      </c>
    </row>
    <row r="242" customFormat="false" ht="15" hidden="false" customHeight="false" outlineLevel="0" collapsed="false">
      <c r="A242" s="31" t="s">
        <v>5518</v>
      </c>
      <c r="B242" s="31" t="s">
        <v>5310</v>
      </c>
      <c r="C242" s="35" t="n">
        <v>186</v>
      </c>
    </row>
    <row r="243" customFormat="false" ht="15" hidden="false" customHeight="false" outlineLevel="0" collapsed="false">
      <c r="A243" s="31" t="s">
        <v>5519</v>
      </c>
      <c r="B243" s="31" t="s">
        <v>5275</v>
      </c>
      <c r="C243" s="35" t="n">
        <v>169</v>
      </c>
    </row>
    <row r="244" customFormat="false" ht="15" hidden="false" customHeight="false" outlineLevel="0" collapsed="false">
      <c r="A244" s="31" t="s">
        <v>4827</v>
      </c>
      <c r="B244" s="31" t="s">
        <v>5310</v>
      </c>
      <c r="C244" s="35" t="n">
        <v>186</v>
      </c>
    </row>
    <row r="245" customFormat="false" ht="15" hidden="false" customHeight="false" outlineLevel="0" collapsed="false">
      <c r="A245" s="31" t="s">
        <v>5520</v>
      </c>
      <c r="B245" s="31" t="s">
        <v>5521</v>
      </c>
      <c r="C245" s="35" t="n">
        <v>162</v>
      </c>
    </row>
    <row r="246" customFormat="false" ht="15" hidden="false" customHeight="false" outlineLevel="0" collapsed="false">
      <c r="A246" s="31" t="s">
        <v>5522</v>
      </c>
      <c r="B246" s="31" t="s">
        <v>5310</v>
      </c>
      <c r="C246" s="35" t="n">
        <v>186</v>
      </c>
    </row>
    <row r="247" customFormat="false" ht="15" hidden="false" customHeight="false" outlineLevel="0" collapsed="false">
      <c r="A247" s="31" t="s">
        <v>5523</v>
      </c>
      <c r="B247" s="31" t="s">
        <v>5302</v>
      </c>
      <c r="C247" s="35" t="n">
        <v>228</v>
      </c>
    </row>
    <row r="248" customFormat="false" ht="15" hidden="false" customHeight="false" outlineLevel="0" collapsed="false">
      <c r="A248" s="31" t="s">
        <v>5524</v>
      </c>
      <c r="B248" s="31" t="s">
        <v>5302</v>
      </c>
      <c r="C248" s="35" t="n">
        <v>228</v>
      </c>
    </row>
    <row r="249" customFormat="false" ht="15" hidden="false" customHeight="false" outlineLevel="0" collapsed="false">
      <c r="A249" s="31" t="s">
        <v>4829</v>
      </c>
      <c r="B249" s="31" t="s">
        <v>5525</v>
      </c>
      <c r="C249" s="35" t="n">
        <v>206</v>
      </c>
    </row>
    <row r="250" customFormat="false" ht="15" hidden="false" customHeight="false" outlineLevel="0" collapsed="false">
      <c r="A250" s="31" t="s">
        <v>5526</v>
      </c>
      <c r="B250" s="31" t="s">
        <v>5310</v>
      </c>
      <c r="C250" s="35" t="n">
        <v>186</v>
      </c>
    </row>
    <row r="251" customFormat="false" ht="15" hidden="false" customHeight="false" outlineLevel="0" collapsed="false">
      <c r="A251" s="31" t="s">
        <v>5527</v>
      </c>
      <c r="B251" s="31" t="s">
        <v>5275</v>
      </c>
      <c r="C251" s="35" t="n">
        <v>169</v>
      </c>
    </row>
    <row r="252" customFormat="false" ht="15" hidden="false" customHeight="false" outlineLevel="0" collapsed="false">
      <c r="A252" s="31" t="s">
        <v>5528</v>
      </c>
      <c r="B252" s="31" t="s">
        <v>5275</v>
      </c>
      <c r="C252" s="35" t="n">
        <v>169</v>
      </c>
    </row>
    <row r="253" customFormat="false" ht="15" hidden="false" customHeight="false" outlineLevel="0" collapsed="false">
      <c r="A253" s="31" t="s">
        <v>5529</v>
      </c>
      <c r="B253" s="31" t="s">
        <v>5302</v>
      </c>
      <c r="C253" s="35" t="n">
        <v>228</v>
      </c>
    </row>
    <row r="254" customFormat="false" ht="15" hidden="false" customHeight="false" outlineLevel="0" collapsed="false">
      <c r="A254" s="31" t="s">
        <v>4831</v>
      </c>
      <c r="B254" s="31" t="s">
        <v>5310</v>
      </c>
      <c r="C254" s="35" t="n">
        <v>186</v>
      </c>
    </row>
    <row r="255" customFormat="false" ht="15" hidden="false" customHeight="false" outlineLevel="0" collapsed="false">
      <c r="A255" s="31" t="s">
        <v>5530</v>
      </c>
      <c r="B255" s="31" t="s">
        <v>5275</v>
      </c>
      <c r="C255" s="35" t="n">
        <v>169</v>
      </c>
    </row>
    <row r="256" customFormat="false" ht="15" hidden="false" customHeight="false" outlineLevel="0" collapsed="false">
      <c r="A256" s="31" t="s">
        <v>4833</v>
      </c>
      <c r="B256" s="31" t="s">
        <v>5531</v>
      </c>
      <c r="C256" s="35" t="n">
        <v>186</v>
      </c>
    </row>
    <row r="257" customFormat="false" ht="15" hidden="false" customHeight="false" outlineLevel="0" collapsed="false">
      <c r="A257" s="31" t="s">
        <v>5532</v>
      </c>
      <c r="B257" s="31" t="s">
        <v>5302</v>
      </c>
      <c r="C257" s="35" t="n">
        <v>228</v>
      </c>
    </row>
    <row r="258" customFormat="false" ht="15" hidden="false" customHeight="false" outlineLevel="0" collapsed="false">
      <c r="A258" s="31" t="s">
        <v>4835</v>
      </c>
      <c r="B258" s="31" t="s">
        <v>5310</v>
      </c>
      <c r="C258" s="35" t="n">
        <v>186</v>
      </c>
    </row>
    <row r="259" customFormat="false" ht="15" hidden="false" customHeight="false" outlineLevel="0" collapsed="false">
      <c r="A259" s="31" t="s">
        <v>4837</v>
      </c>
      <c r="B259" s="31" t="s">
        <v>5310</v>
      </c>
      <c r="C259" s="35" t="n">
        <v>186</v>
      </c>
    </row>
    <row r="260" customFormat="false" ht="15" hidden="false" customHeight="false" outlineLevel="0" collapsed="false">
      <c r="A260" s="31" t="s">
        <v>4592</v>
      </c>
      <c r="B260" s="31" t="s">
        <v>5533</v>
      </c>
      <c r="C260" s="35" t="n">
        <v>186</v>
      </c>
    </row>
    <row r="261" customFormat="false" ht="15" hidden="false" customHeight="false" outlineLevel="0" collapsed="false">
      <c r="A261" s="31" t="s">
        <v>5534</v>
      </c>
      <c r="B261" s="31" t="s">
        <v>5310</v>
      </c>
      <c r="C261" s="35" t="n">
        <v>186</v>
      </c>
    </row>
    <row r="262" customFormat="false" ht="15" hidden="false" customHeight="false" outlineLevel="0" collapsed="false">
      <c r="A262" s="31" t="s">
        <v>4839</v>
      </c>
      <c r="B262" s="31" t="s">
        <v>5535</v>
      </c>
      <c r="C262" s="35" t="n">
        <v>169</v>
      </c>
    </row>
    <row r="263" customFormat="false" ht="15" hidden="false" customHeight="false" outlineLevel="0" collapsed="false">
      <c r="A263" s="31" t="s">
        <v>4841</v>
      </c>
      <c r="B263" s="31" t="s">
        <v>5310</v>
      </c>
      <c r="C263" s="35" t="n">
        <v>186</v>
      </c>
    </row>
    <row r="264" customFormat="false" ht="15" hidden="false" customHeight="false" outlineLevel="0" collapsed="false">
      <c r="A264" s="31" t="s">
        <v>5536</v>
      </c>
      <c r="B264" s="31" t="s">
        <v>5343</v>
      </c>
      <c r="C264" s="35" t="n">
        <v>320</v>
      </c>
    </row>
    <row r="265" customFormat="false" ht="15" hidden="false" customHeight="false" outlineLevel="0" collapsed="false">
      <c r="A265" s="31" t="s">
        <v>5537</v>
      </c>
      <c r="B265" s="31" t="s">
        <v>5538</v>
      </c>
      <c r="C265" s="35" t="n">
        <v>164</v>
      </c>
    </row>
    <row r="266" customFormat="false" ht="15" hidden="false" customHeight="false" outlineLevel="0" collapsed="false">
      <c r="A266" s="31" t="s">
        <v>4843</v>
      </c>
      <c r="B266" s="31" t="s">
        <v>5310</v>
      </c>
      <c r="C266" s="35" t="n">
        <v>186</v>
      </c>
    </row>
    <row r="267" customFormat="false" ht="15" hidden="false" customHeight="false" outlineLevel="0" collapsed="false">
      <c r="A267" s="31" t="s">
        <v>5539</v>
      </c>
      <c r="B267" s="31" t="s">
        <v>5275</v>
      </c>
      <c r="C267" s="35" t="n">
        <v>169</v>
      </c>
    </row>
    <row r="268" customFormat="false" ht="15" hidden="false" customHeight="false" outlineLevel="0" collapsed="false">
      <c r="A268" s="31" t="s">
        <v>5540</v>
      </c>
      <c r="B268" s="31" t="s">
        <v>5541</v>
      </c>
      <c r="C268" s="35" t="n">
        <v>178</v>
      </c>
    </row>
    <row r="269" customFormat="false" ht="15" hidden="false" customHeight="false" outlineLevel="0" collapsed="false">
      <c r="A269" s="31" t="s">
        <v>4845</v>
      </c>
      <c r="B269" s="31" t="s">
        <v>5542</v>
      </c>
      <c r="C269" s="35" t="n">
        <v>169</v>
      </c>
    </row>
    <row r="270" customFormat="false" ht="15" hidden="false" customHeight="false" outlineLevel="0" collapsed="false">
      <c r="A270" s="31" t="s">
        <v>5543</v>
      </c>
      <c r="B270" s="31" t="s">
        <v>5275</v>
      </c>
      <c r="C270" s="35" t="n">
        <v>169</v>
      </c>
    </row>
    <row r="271" customFormat="false" ht="15" hidden="false" customHeight="false" outlineLevel="0" collapsed="false">
      <c r="A271" s="31" t="s">
        <v>5544</v>
      </c>
      <c r="B271" s="31" t="s">
        <v>5302</v>
      </c>
      <c r="C271" s="35" t="n">
        <v>228</v>
      </c>
    </row>
    <row r="272" customFormat="false" ht="15" hidden="false" customHeight="false" outlineLevel="0" collapsed="false">
      <c r="A272" s="31" t="s">
        <v>4847</v>
      </c>
      <c r="B272" s="31" t="s">
        <v>5545</v>
      </c>
      <c r="C272" s="35" t="n">
        <v>162</v>
      </c>
    </row>
    <row r="273" customFormat="false" ht="15" hidden="false" customHeight="false" outlineLevel="0" collapsed="false">
      <c r="A273" s="31" t="s">
        <v>5546</v>
      </c>
      <c r="B273" s="31" t="s">
        <v>5302</v>
      </c>
      <c r="C273" s="35" t="n">
        <v>228</v>
      </c>
    </row>
    <row r="274" customFormat="false" ht="15" hidden="false" customHeight="false" outlineLevel="0" collapsed="false">
      <c r="A274" s="31" t="s">
        <v>4849</v>
      </c>
      <c r="B274" s="31" t="s">
        <v>5310</v>
      </c>
      <c r="C274" s="35" t="n">
        <v>186</v>
      </c>
    </row>
    <row r="275" customFormat="false" ht="15" hidden="false" customHeight="false" outlineLevel="0" collapsed="false">
      <c r="A275" s="31" t="s">
        <v>4851</v>
      </c>
      <c r="B275" s="31" t="s">
        <v>5310</v>
      </c>
      <c r="C275" s="35" t="n">
        <v>186</v>
      </c>
    </row>
    <row r="276" customFormat="false" ht="15" hidden="false" customHeight="false" outlineLevel="0" collapsed="false">
      <c r="A276" s="31" t="s">
        <v>5547</v>
      </c>
      <c r="B276" s="31" t="s">
        <v>5275</v>
      </c>
      <c r="C276" s="35" t="n">
        <v>169</v>
      </c>
    </row>
    <row r="277" customFormat="false" ht="15" hidden="false" customHeight="false" outlineLevel="0" collapsed="false">
      <c r="A277" s="31" t="s">
        <v>5548</v>
      </c>
      <c r="B277" s="31" t="s">
        <v>5275</v>
      </c>
      <c r="C277" s="35" t="n">
        <v>169</v>
      </c>
    </row>
    <row r="278" customFormat="false" ht="15" hidden="false" customHeight="false" outlineLevel="0" collapsed="false">
      <c r="A278" s="31" t="s">
        <v>5549</v>
      </c>
      <c r="B278" s="31" t="s">
        <v>5275</v>
      </c>
      <c r="C278" s="35" t="n">
        <v>169</v>
      </c>
    </row>
    <row r="279" customFormat="false" ht="15" hidden="false" customHeight="false" outlineLevel="0" collapsed="false">
      <c r="A279" s="31" t="s">
        <v>4853</v>
      </c>
      <c r="B279" s="31" t="s">
        <v>5310</v>
      </c>
      <c r="C279" s="35" t="n">
        <v>186</v>
      </c>
    </row>
    <row r="280" customFormat="false" ht="15" hidden="false" customHeight="false" outlineLevel="0" collapsed="false">
      <c r="A280" s="31" t="s">
        <v>5550</v>
      </c>
      <c r="B280" s="31" t="s">
        <v>5310</v>
      </c>
      <c r="C280" s="35" t="n">
        <v>186</v>
      </c>
    </row>
    <row r="281" customFormat="false" ht="15" hidden="false" customHeight="false" outlineLevel="0" collapsed="false">
      <c r="A281" s="31" t="s">
        <v>5551</v>
      </c>
      <c r="B281" s="31" t="s">
        <v>5302</v>
      </c>
      <c r="C281" s="35" t="n">
        <v>228</v>
      </c>
    </row>
    <row r="282" customFormat="false" ht="15" hidden="false" customHeight="false" outlineLevel="0" collapsed="false">
      <c r="A282" s="31" t="s">
        <v>5552</v>
      </c>
      <c r="B282" s="31" t="s">
        <v>5310</v>
      </c>
      <c r="C282" s="35" t="n">
        <v>186</v>
      </c>
    </row>
    <row r="283" customFormat="false" ht="15" hidden="false" customHeight="false" outlineLevel="0" collapsed="false">
      <c r="A283" s="31" t="s">
        <v>5553</v>
      </c>
      <c r="B283" s="31" t="s">
        <v>5328</v>
      </c>
      <c r="C283" s="35" t="n">
        <v>188</v>
      </c>
    </row>
    <row r="284" customFormat="false" ht="15" hidden="false" customHeight="false" outlineLevel="0" collapsed="false">
      <c r="A284" s="31" t="s">
        <v>4855</v>
      </c>
      <c r="B284" s="31" t="s">
        <v>5310</v>
      </c>
      <c r="C284" s="35" t="n">
        <v>186</v>
      </c>
    </row>
    <row r="285" customFormat="false" ht="15" hidden="false" customHeight="false" outlineLevel="0" collapsed="false">
      <c r="A285" s="31" t="s">
        <v>5554</v>
      </c>
      <c r="B285" s="31" t="s">
        <v>5275</v>
      </c>
      <c r="C285" s="35" t="n">
        <v>169</v>
      </c>
    </row>
    <row r="286" customFormat="false" ht="15" hidden="false" customHeight="false" outlineLevel="0" collapsed="false">
      <c r="A286" s="31" t="s">
        <v>4595</v>
      </c>
      <c r="B286" s="31" t="s">
        <v>5555</v>
      </c>
      <c r="C286" s="35" t="n">
        <v>184</v>
      </c>
    </row>
    <row r="287" customFormat="false" ht="15" hidden="false" customHeight="false" outlineLevel="0" collapsed="false">
      <c r="A287" s="31" t="s">
        <v>4859</v>
      </c>
      <c r="B287" s="31" t="s">
        <v>5310</v>
      </c>
      <c r="C287" s="35" t="n">
        <v>186</v>
      </c>
    </row>
    <row r="288" customFormat="false" ht="15" hidden="false" customHeight="false" outlineLevel="0" collapsed="false">
      <c r="A288" s="31" t="s">
        <v>4861</v>
      </c>
      <c r="B288" s="31" t="s">
        <v>5310</v>
      </c>
      <c r="C288" s="35" t="n">
        <v>186</v>
      </c>
    </row>
    <row r="289" customFormat="false" ht="15" hidden="false" customHeight="false" outlineLevel="0" collapsed="false">
      <c r="A289" s="31" t="s">
        <v>5556</v>
      </c>
      <c r="B289" s="31" t="s">
        <v>5557</v>
      </c>
      <c r="C289" s="35" t="n">
        <v>169</v>
      </c>
    </row>
    <row r="290" customFormat="false" ht="15" hidden="false" customHeight="false" outlineLevel="0" collapsed="false">
      <c r="A290" s="31" t="s">
        <v>5558</v>
      </c>
      <c r="B290" s="31" t="s">
        <v>5275</v>
      </c>
      <c r="C290" s="35" t="n">
        <v>169</v>
      </c>
    </row>
    <row r="291" customFormat="false" ht="15" hidden="false" customHeight="false" outlineLevel="0" collapsed="false">
      <c r="A291" s="31" t="s">
        <v>5559</v>
      </c>
      <c r="B291" s="31" t="s">
        <v>5302</v>
      </c>
      <c r="C291" s="35" t="n">
        <v>228</v>
      </c>
    </row>
    <row r="292" customFormat="false" ht="15" hidden="false" customHeight="false" outlineLevel="0" collapsed="false">
      <c r="A292" s="31" t="s">
        <v>4535</v>
      </c>
      <c r="B292" s="31" t="s">
        <v>5560</v>
      </c>
      <c r="C292" s="35" t="n">
        <v>170</v>
      </c>
    </row>
    <row r="293" customFormat="false" ht="15" hidden="false" customHeight="false" outlineLevel="0" collapsed="false">
      <c r="A293" s="31" t="s">
        <v>5561</v>
      </c>
      <c r="B293" s="31" t="s">
        <v>5275</v>
      </c>
      <c r="C293" s="35" t="n">
        <v>169</v>
      </c>
    </row>
    <row r="294" customFormat="false" ht="15" hidden="false" customHeight="false" outlineLevel="0" collapsed="false">
      <c r="A294" s="31" t="s">
        <v>4863</v>
      </c>
      <c r="B294" s="31" t="s">
        <v>5310</v>
      </c>
      <c r="C294" s="35" t="n">
        <v>186</v>
      </c>
    </row>
    <row r="295" customFormat="false" ht="15" hidden="false" customHeight="false" outlineLevel="0" collapsed="false">
      <c r="A295" s="31" t="s">
        <v>5562</v>
      </c>
      <c r="B295" s="31" t="s">
        <v>5310</v>
      </c>
      <c r="C295" s="35" t="n">
        <v>186</v>
      </c>
    </row>
    <row r="296" customFormat="false" ht="15" hidden="false" customHeight="false" outlineLevel="0" collapsed="false">
      <c r="A296" s="31" t="s">
        <v>4865</v>
      </c>
      <c r="B296" s="31" t="s">
        <v>5310</v>
      </c>
      <c r="C296" s="35" t="n">
        <v>186</v>
      </c>
    </row>
    <row r="297" customFormat="false" ht="15" hidden="false" customHeight="false" outlineLevel="0" collapsed="false">
      <c r="A297" s="31" t="s">
        <v>5563</v>
      </c>
      <c r="B297" s="31" t="s">
        <v>5310</v>
      </c>
      <c r="C297" s="35" t="n">
        <v>186</v>
      </c>
    </row>
    <row r="298" customFormat="false" ht="15" hidden="false" customHeight="false" outlineLevel="0" collapsed="false">
      <c r="A298" s="31" t="s">
        <v>4598</v>
      </c>
      <c r="B298" s="31" t="s">
        <v>5564</v>
      </c>
      <c r="C298" s="35" t="n">
        <v>175</v>
      </c>
    </row>
    <row r="299" customFormat="false" ht="15" hidden="false" customHeight="false" outlineLevel="0" collapsed="false">
      <c r="A299" s="31" t="s">
        <v>5565</v>
      </c>
      <c r="B299" s="31" t="s">
        <v>5566</v>
      </c>
      <c r="C299" s="35" t="n">
        <v>192</v>
      </c>
    </row>
    <row r="300" customFormat="false" ht="15" hidden="false" customHeight="false" outlineLevel="0" collapsed="false">
      <c r="A300" s="31" t="s">
        <v>5567</v>
      </c>
      <c r="B300" s="31" t="s">
        <v>5275</v>
      </c>
      <c r="C300" s="35" t="n">
        <v>169</v>
      </c>
    </row>
    <row r="301" customFormat="false" ht="15" hidden="false" customHeight="false" outlineLevel="0" collapsed="false">
      <c r="A301" s="31" t="s">
        <v>5568</v>
      </c>
      <c r="B301" s="31" t="s">
        <v>5302</v>
      </c>
      <c r="C301" s="35" t="n">
        <v>228</v>
      </c>
    </row>
    <row r="302" customFormat="false" ht="15" hidden="false" customHeight="false" outlineLevel="0" collapsed="false">
      <c r="A302" s="31" t="s">
        <v>5569</v>
      </c>
      <c r="B302" s="31" t="s">
        <v>5275</v>
      </c>
      <c r="C302" s="35" t="n">
        <v>169</v>
      </c>
    </row>
    <row r="303" customFormat="false" ht="15" hidden="false" customHeight="false" outlineLevel="0" collapsed="false">
      <c r="A303" s="31" t="s">
        <v>5570</v>
      </c>
      <c r="B303" s="31" t="s">
        <v>5302</v>
      </c>
      <c r="C303" s="35" t="n">
        <v>228</v>
      </c>
    </row>
    <row r="304" customFormat="false" ht="15" hidden="false" customHeight="false" outlineLevel="0" collapsed="false">
      <c r="A304" s="31" t="s">
        <v>5571</v>
      </c>
      <c r="B304" s="31" t="s">
        <v>5302</v>
      </c>
      <c r="C304" s="35" t="n">
        <v>228</v>
      </c>
    </row>
    <row r="305" customFormat="false" ht="15" hidden="false" customHeight="false" outlineLevel="0" collapsed="false">
      <c r="A305" s="31" t="s">
        <v>4599</v>
      </c>
      <c r="B305" s="31" t="s">
        <v>5572</v>
      </c>
      <c r="C305" s="35" t="n">
        <v>184</v>
      </c>
    </row>
    <row r="306" customFormat="false" ht="15" hidden="false" customHeight="false" outlineLevel="0" collapsed="false">
      <c r="A306" s="31" t="s">
        <v>5573</v>
      </c>
      <c r="B306" s="31" t="s">
        <v>5275</v>
      </c>
      <c r="C306" s="35" t="n">
        <v>169</v>
      </c>
    </row>
    <row r="307" customFormat="false" ht="15" hidden="false" customHeight="false" outlineLevel="0" collapsed="false">
      <c r="A307" s="31" t="s">
        <v>5574</v>
      </c>
      <c r="B307" s="31" t="s">
        <v>5302</v>
      </c>
      <c r="C307" s="35" t="n">
        <v>228</v>
      </c>
    </row>
    <row r="308" customFormat="false" ht="15" hidden="false" customHeight="false" outlineLevel="0" collapsed="false">
      <c r="A308" s="31" t="s">
        <v>5575</v>
      </c>
      <c r="B308" s="31" t="s">
        <v>5275</v>
      </c>
      <c r="C308" s="35" t="n">
        <v>169</v>
      </c>
    </row>
    <row r="309" customFormat="false" ht="15" hidden="false" customHeight="false" outlineLevel="0" collapsed="false">
      <c r="A309" s="31" t="s">
        <v>5576</v>
      </c>
      <c r="B309" s="31" t="s">
        <v>5302</v>
      </c>
      <c r="C309" s="35" t="n">
        <v>228</v>
      </c>
    </row>
    <row r="310" customFormat="false" ht="15" hidden="false" customHeight="false" outlineLevel="0" collapsed="false">
      <c r="A310" s="31" t="s">
        <v>5577</v>
      </c>
      <c r="B310" s="31" t="s">
        <v>5302</v>
      </c>
      <c r="C310" s="35" t="n">
        <v>228</v>
      </c>
    </row>
    <row r="311" customFormat="false" ht="15" hidden="false" customHeight="false" outlineLevel="0" collapsed="false">
      <c r="A311" s="31" t="s">
        <v>5578</v>
      </c>
      <c r="B311" s="31" t="s">
        <v>5275</v>
      </c>
      <c r="C311" s="35" t="n">
        <v>169</v>
      </c>
    </row>
    <row r="312" customFormat="false" ht="15" hidden="false" customHeight="false" outlineLevel="0" collapsed="false">
      <c r="A312" s="31" t="s">
        <v>5579</v>
      </c>
      <c r="B312" s="31" t="s">
        <v>5302</v>
      </c>
      <c r="C312" s="35" t="n">
        <v>228</v>
      </c>
    </row>
    <row r="313" customFormat="false" ht="15" hidden="false" customHeight="false" outlineLevel="0" collapsed="false">
      <c r="A313" s="31" t="s">
        <v>5580</v>
      </c>
      <c r="B313" s="31" t="s">
        <v>5302</v>
      </c>
      <c r="C313" s="35" t="n">
        <v>228</v>
      </c>
    </row>
    <row r="314" customFormat="false" ht="15" hidden="false" customHeight="false" outlineLevel="0" collapsed="false">
      <c r="A314" s="31" t="s">
        <v>4867</v>
      </c>
      <c r="B314" s="31" t="s">
        <v>5310</v>
      </c>
      <c r="C314" s="35" t="n">
        <v>186</v>
      </c>
    </row>
    <row r="315" customFormat="false" ht="15" hidden="false" customHeight="false" outlineLevel="0" collapsed="false">
      <c r="A315" s="31" t="s">
        <v>5581</v>
      </c>
      <c r="B315" s="31" t="s">
        <v>5302</v>
      </c>
      <c r="C315" s="35" t="n">
        <v>228</v>
      </c>
    </row>
    <row r="316" customFormat="false" ht="15" hidden="false" customHeight="false" outlineLevel="0" collapsed="false">
      <c r="A316" s="31" t="s">
        <v>5582</v>
      </c>
      <c r="B316" s="31" t="s">
        <v>5275</v>
      </c>
      <c r="C316" s="35" t="n">
        <v>169</v>
      </c>
    </row>
    <row r="317" customFormat="false" ht="15" hidden="false" customHeight="false" outlineLevel="0" collapsed="false">
      <c r="A317" s="31" t="s">
        <v>5583</v>
      </c>
      <c r="B317" s="31" t="s">
        <v>5310</v>
      </c>
      <c r="C317" s="35" t="n">
        <v>186</v>
      </c>
    </row>
    <row r="318" customFormat="false" ht="15" hidden="false" customHeight="false" outlineLevel="0" collapsed="false">
      <c r="A318" s="31" t="s">
        <v>5584</v>
      </c>
      <c r="B318" s="31" t="s">
        <v>5585</v>
      </c>
      <c r="C318" s="35" t="n">
        <v>172</v>
      </c>
    </row>
    <row r="319" customFormat="false" ht="15" hidden="false" customHeight="false" outlineLevel="0" collapsed="false">
      <c r="A319" s="31" t="s">
        <v>5586</v>
      </c>
      <c r="B319" s="31" t="s">
        <v>5587</v>
      </c>
      <c r="C319" s="35" t="n">
        <v>177</v>
      </c>
    </row>
    <row r="320" customFormat="false" ht="15" hidden="false" customHeight="false" outlineLevel="0" collapsed="false">
      <c r="A320" s="31" t="s">
        <v>5588</v>
      </c>
      <c r="B320" s="31" t="s">
        <v>5589</v>
      </c>
      <c r="C320" s="35" t="n">
        <v>167</v>
      </c>
    </row>
    <row r="321" customFormat="false" ht="15" hidden="false" customHeight="false" outlineLevel="0" collapsed="false">
      <c r="A321" s="31" t="s">
        <v>5590</v>
      </c>
      <c r="B321" s="31" t="s">
        <v>5310</v>
      </c>
      <c r="C321" s="35" t="n">
        <v>186</v>
      </c>
    </row>
    <row r="322" customFormat="false" ht="15" hidden="false" customHeight="false" outlineLevel="0" collapsed="false">
      <c r="A322" s="31" t="s">
        <v>5591</v>
      </c>
      <c r="B322" s="31" t="s">
        <v>5302</v>
      </c>
      <c r="C322" s="35" t="n">
        <v>228</v>
      </c>
    </row>
    <row r="323" customFormat="false" ht="15" hidden="false" customHeight="false" outlineLevel="0" collapsed="false">
      <c r="A323" s="31" t="s">
        <v>4869</v>
      </c>
      <c r="B323" s="31" t="s">
        <v>5592</v>
      </c>
      <c r="C323" s="35" t="n">
        <v>209</v>
      </c>
    </row>
    <row r="324" customFormat="false" ht="15" hidden="false" customHeight="false" outlineLevel="0" collapsed="false">
      <c r="A324" s="31" t="s">
        <v>4871</v>
      </c>
      <c r="B324" s="31" t="s">
        <v>5275</v>
      </c>
      <c r="C324" s="35" t="n">
        <v>169</v>
      </c>
    </row>
    <row r="325" customFormat="false" ht="15" hidden="false" customHeight="false" outlineLevel="0" collapsed="false">
      <c r="A325" s="31" t="s">
        <v>5593</v>
      </c>
      <c r="B325" s="31" t="s">
        <v>5275</v>
      </c>
      <c r="C325" s="35" t="n">
        <v>169</v>
      </c>
    </row>
    <row r="326" customFormat="false" ht="15" hidden="false" customHeight="false" outlineLevel="0" collapsed="false">
      <c r="A326" s="31" t="s">
        <v>5594</v>
      </c>
      <c r="B326" s="31" t="s">
        <v>5302</v>
      </c>
      <c r="C326" s="35" t="n">
        <v>228</v>
      </c>
    </row>
    <row r="327" customFormat="false" ht="15" hidden="false" customHeight="false" outlineLevel="0" collapsed="false">
      <c r="A327" s="31" t="s">
        <v>5595</v>
      </c>
      <c r="B327" s="31" t="s">
        <v>5275</v>
      </c>
      <c r="C327" s="35" t="n">
        <v>169</v>
      </c>
    </row>
    <row r="328" customFormat="false" ht="15" hidden="false" customHeight="false" outlineLevel="0" collapsed="false">
      <c r="A328" s="31" t="s">
        <v>5596</v>
      </c>
      <c r="B328" s="31" t="s">
        <v>5275</v>
      </c>
      <c r="C328" s="35" t="n">
        <v>169</v>
      </c>
    </row>
    <row r="329" customFormat="false" ht="15" hidden="false" customHeight="false" outlineLevel="0" collapsed="false">
      <c r="A329" s="31" t="s">
        <v>5597</v>
      </c>
      <c r="B329" s="31" t="s">
        <v>5275</v>
      </c>
      <c r="C329" s="35" t="n">
        <v>169</v>
      </c>
    </row>
    <row r="330" customFormat="false" ht="15" hidden="false" customHeight="false" outlineLevel="0" collapsed="false">
      <c r="A330" s="31" t="s">
        <v>4873</v>
      </c>
      <c r="B330" s="31" t="s">
        <v>5310</v>
      </c>
      <c r="C330" s="35" t="n">
        <v>186</v>
      </c>
    </row>
    <row r="331" customFormat="false" ht="15" hidden="false" customHeight="false" outlineLevel="0" collapsed="false">
      <c r="A331" s="31" t="s">
        <v>5598</v>
      </c>
      <c r="B331" s="31" t="s">
        <v>5310</v>
      </c>
      <c r="C331" s="35" t="n">
        <v>186</v>
      </c>
    </row>
    <row r="332" customFormat="false" ht="15" hidden="false" customHeight="false" outlineLevel="0" collapsed="false">
      <c r="A332" s="31" t="s">
        <v>5599</v>
      </c>
      <c r="B332" s="31" t="s">
        <v>5310</v>
      </c>
      <c r="C332" s="35" t="n">
        <v>186</v>
      </c>
    </row>
    <row r="333" customFormat="false" ht="15" hidden="false" customHeight="false" outlineLevel="0" collapsed="false">
      <c r="A333" s="31" t="s">
        <v>4875</v>
      </c>
      <c r="B333" s="31" t="s">
        <v>5310</v>
      </c>
      <c r="C333" s="35" t="n">
        <v>186</v>
      </c>
    </row>
    <row r="334" customFormat="false" ht="15" hidden="false" customHeight="false" outlineLevel="0" collapsed="false">
      <c r="A334" s="31" t="s">
        <v>5600</v>
      </c>
      <c r="B334" s="31" t="s">
        <v>5275</v>
      </c>
      <c r="C334" s="35" t="n">
        <v>169</v>
      </c>
    </row>
    <row r="335" customFormat="false" ht="15" hidden="false" customHeight="false" outlineLevel="0" collapsed="false">
      <c r="A335" s="31" t="s">
        <v>4603</v>
      </c>
      <c r="B335" s="31" t="s">
        <v>5601</v>
      </c>
      <c r="C335" s="35" t="n">
        <v>176</v>
      </c>
    </row>
    <row r="336" customFormat="false" ht="15" hidden="false" customHeight="false" outlineLevel="0" collapsed="false">
      <c r="A336" s="31" t="s">
        <v>4878</v>
      </c>
      <c r="B336" s="31" t="s">
        <v>5602</v>
      </c>
      <c r="C336" s="35" t="n">
        <v>163</v>
      </c>
    </row>
    <row r="337" customFormat="false" ht="15" hidden="false" customHeight="false" outlineLevel="0" collapsed="false">
      <c r="A337" s="31" t="s">
        <v>4604</v>
      </c>
      <c r="B337" s="31" t="s">
        <v>5603</v>
      </c>
      <c r="C337" s="35" t="n">
        <v>169</v>
      </c>
    </row>
    <row r="338" customFormat="false" ht="15" hidden="false" customHeight="false" outlineLevel="0" collapsed="false">
      <c r="A338" s="31" t="s">
        <v>5604</v>
      </c>
      <c r="B338" s="31" t="s">
        <v>5605</v>
      </c>
      <c r="C338" s="35" t="n">
        <v>198</v>
      </c>
    </row>
    <row r="339" customFormat="false" ht="15" hidden="false" customHeight="false" outlineLevel="0" collapsed="false">
      <c r="A339" s="31" t="s">
        <v>5606</v>
      </c>
      <c r="B339" s="31" t="s">
        <v>5275</v>
      </c>
      <c r="C339" s="35" t="n">
        <v>169</v>
      </c>
    </row>
    <row r="340" customFormat="false" ht="15" hidden="false" customHeight="false" outlineLevel="0" collapsed="false">
      <c r="A340" s="31" t="s">
        <v>5607</v>
      </c>
      <c r="B340" s="31" t="s">
        <v>5275</v>
      </c>
      <c r="C340" s="35" t="n">
        <v>169</v>
      </c>
    </row>
    <row r="341" customFormat="false" ht="15" hidden="false" customHeight="false" outlineLevel="0" collapsed="false">
      <c r="A341" s="31" t="s">
        <v>5608</v>
      </c>
      <c r="B341" s="31" t="s">
        <v>5275</v>
      </c>
      <c r="C341" s="35" t="n">
        <v>169</v>
      </c>
    </row>
    <row r="342" customFormat="false" ht="15" hidden="false" customHeight="false" outlineLevel="0" collapsed="false">
      <c r="A342" s="31" t="s">
        <v>4881</v>
      </c>
      <c r="B342" s="31" t="s">
        <v>5609</v>
      </c>
      <c r="C342" s="35" t="n">
        <v>164</v>
      </c>
    </row>
    <row r="343" customFormat="false" ht="15" hidden="false" customHeight="false" outlineLevel="0" collapsed="false">
      <c r="A343" s="31" t="s">
        <v>4883</v>
      </c>
      <c r="B343" s="31" t="s">
        <v>5610</v>
      </c>
      <c r="C343" s="35" t="n">
        <v>188</v>
      </c>
    </row>
    <row r="344" customFormat="false" ht="15" hidden="false" customHeight="false" outlineLevel="0" collapsed="false">
      <c r="A344" s="31" t="s">
        <v>5611</v>
      </c>
      <c r="B344" s="31" t="s">
        <v>5310</v>
      </c>
      <c r="C344" s="35" t="n">
        <v>186</v>
      </c>
    </row>
    <row r="345" customFormat="false" ht="15" hidden="false" customHeight="false" outlineLevel="0" collapsed="false">
      <c r="A345" s="31" t="s">
        <v>4885</v>
      </c>
      <c r="B345" s="31" t="s">
        <v>5310</v>
      </c>
      <c r="C345" s="35" t="n">
        <v>186</v>
      </c>
    </row>
    <row r="346" customFormat="false" ht="15" hidden="false" customHeight="false" outlineLevel="0" collapsed="false">
      <c r="A346" s="31" t="s">
        <v>4887</v>
      </c>
      <c r="B346" s="31" t="s">
        <v>5310</v>
      </c>
      <c r="C346" s="35" t="n">
        <v>186</v>
      </c>
    </row>
    <row r="347" customFormat="false" ht="15" hidden="false" customHeight="false" outlineLevel="0" collapsed="false">
      <c r="A347" s="31" t="s">
        <v>5612</v>
      </c>
      <c r="B347" s="31" t="s">
        <v>5613</v>
      </c>
      <c r="C347" s="35" t="n">
        <v>173</v>
      </c>
    </row>
    <row r="348" customFormat="false" ht="15" hidden="false" customHeight="false" outlineLevel="0" collapsed="false">
      <c r="A348" s="31" t="s">
        <v>5614</v>
      </c>
      <c r="B348" s="31" t="s">
        <v>5302</v>
      </c>
      <c r="C348" s="35" t="n">
        <v>228</v>
      </c>
    </row>
    <row r="349" customFormat="false" ht="15" hidden="false" customHeight="false" outlineLevel="0" collapsed="false">
      <c r="A349" s="31" t="s">
        <v>5615</v>
      </c>
      <c r="B349" s="31" t="s">
        <v>5616</v>
      </c>
      <c r="C349" s="35" t="n">
        <v>166</v>
      </c>
    </row>
    <row r="350" customFormat="false" ht="15" hidden="false" customHeight="false" outlineLevel="0" collapsed="false">
      <c r="A350" s="31" t="s">
        <v>5617</v>
      </c>
      <c r="B350" s="31" t="s">
        <v>5618</v>
      </c>
      <c r="C350" s="35" t="n">
        <v>168</v>
      </c>
    </row>
    <row r="351" customFormat="false" ht="15" hidden="false" customHeight="false" outlineLevel="0" collapsed="false">
      <c r="A351" s="31" t="s">
        <v>5619</v>
      </c>
      <c r="B351" s="31" t="s">
        <v>5302</v>
      </c>
      <c r="C351" s="35" t="n">
        <v>228</v>
      </c>
    </row>
    <row r="352" customFormat="false" ht="15" hidden="false" customHeight="false" outlineLevel="0" collapsed="false">
      <c r="A352" s="31" t="s">
        <v>5620</v>
      </c>
      <c r="B352" s="31" t="s">
        <v>5275</v>
      </c>
      <c r="C352" s="35" t="n">
        <v>169</v>
      </c>
    </row>
    <row r="353" customFormat="false" ht="15" hidden="false" customHeight="false" outlineLevel="0" collapsed="false">
      <c r="A353" s="31" t="s">
        <v>5621</v>
      </c>
      <c r="B353" s="31" t="s">
        <v>5275</v>
      </c>
      <c r="C353" s="35" t="n">
        <v>169</v>
      </c>
    </row>
    <row r="354" customFormat="false" ht="15" hidden="false" customHeight="false" outlineLevel="0" collapsed="false">
      <c r="A354" s="31" t="s">
        <v>4891</v>
      </c>
      <c r="B354" s="31" t="s">
        <v>5275</v>
      </c>
      <c r="C354" s="35" t="n">
        <v>169</v>
      </c>
    </row>
    <row r="355" customFormat="false" ht="15" hidden="false" customHeight="false" outlineLevel="0" collapsed="false">
      <c r="A355" s="31" t="s">
        <v>5622</v>
      </c>
      <c r="B355" s="31" t="s">
        <v>5302</v>
      </c>
      <c r="C355" s="35" t="n">
        <v>228</v>
      </c>
    </row>
    <row r="356" customFormat="false" ht="15" hidden="false" customHeight="false" outlineLevel="0" collapsed="false">
      <c r="A356" s="31" t="s">
        <v>5623</v>
      </c>
      <c r="B356" s="31" t="s">
        <v>5302</v>
      </c>
      <c r="C356" s="35" t="n">
        <v>228</v>
      </c>
    </row>
    <row r="357" customFormat="false" ht="15" hidden="false" customHeight="false" outlineLevel="0" collapsed="false">
      <c r="A357" s="31" t="s">
        <v>4605</v>
      </c>
      <c r="B357" s="34" t="s">
        <v>5624</v>
      </c>
      <c r="C357" s="36" t="s">
        <v>5625</v>
      </c>
    </row>
    <row r="358" customFormat="false" ht="15" hidden="false" customHeight="false" outlineLevel="0" collapsed="false">
      <c r="A358" s="31" t="s">
        <v>4893</v>
      </c>
      <c r="B358" s="31" t="s">
        <v>5310</v>
      </c>
      <c r="C358" s="35" t="n">
        <v>186</v>
      </c>
    </row>
    <row r="359" customFormat="false" ht="15" hidden="false" customHeight="false" outlineLevel="0" collapsed="false">
      <c r="A359" s="31" t="s">
        <v>5626</v>
      </c>
      <c r="B359" s="31" t="s">
        <v>5302</v>
      </c>
      <c r="C359" s="35" t="n">
        <v>228</v>
      </c>
    </row>
    <row r="360" customFormat="false" ht="15" hidden="false" customHeight="false" outlineLevel="0" collapsed="false">
      <c r="A360" s="31" t="s">
        <v>4895</v>
      </c>
      <c r="B360" s="31" t="s">
        <v>5310</v>
      </c>
      <c r="C360" s="35" t="n">
        <v>186</v>
      </c>
    </row>
    <row r="361" customFormat="false" ht="15" hidden="false" customHeight="false" outlineLevel="0" collapsed="false">
      <c r="A361" s="31" t="s">
        <v>5627</v>
      </c>
      <c r="B361" s="31" t="s">
        <v>5275</v>
      </c>
      <c r="C361" s="35" t="n">
        <v>169</v>
      </c>
    </row>
    <row r="362" customFormat="false" ht="15" hidden="false" customHeight="false" outlineLevel="0" collapsed="false">
      <c r="A362" s="31" t="s">
        <v>5628</v>
      </c>
      <c r="B362" s="31" t="s">
        <v>5629</v>
      </c>
      <c r="C362" s="35" t="n">
        <v>178</v>
      </c>
    </row>
    <row r="363" customFormat="false" ht="15" hidden="false" customHeight="false" outlineLevel="0" collapsed="false">
      <c r="A363" s="31" t="s">
        <v>5630</v>
      </c>
      <c r="B363" s="31" t="s">
        <v>5302</v>
      </c>
      <c r="C363" s="35" t="n">
        <v>228</v>
      </c>
    </row>
    <row r="364" customFormat="false" ht="15" hidden="false" customHeight="false" outlineLevel="0" collapsed="false">
      <c r="A364" s="31" t="s">
        <v>4897</v>
      </c>
      <c r="B364" s="31" t="s">
        <v>5310</v>
      </c>
      <c r="C364" s="35" t="n">
        <v>186</v>
      </c>
    </row>
    <row r="365" customFormat="false" ht="15" hidden="false" customHeight="false" outlineLevel="0" collapsed="false">
      <c r="A365" s="31" t="s">
        <v>5631</v>
      </c>
      <c r="B365" s="31" t="s">
        <v>5302</v>
      </c>
      <c r="C365" s="35" t="n">
        <v>228</v>
      </c>
    </row>
    <row r="366" customFormat="false" ht="15" hidden="false" customHeight="false" outlineLevel="0" collapsed="false">
      <c r="A366" s="31" t="s">
        <v>5632</v>
      </c>
      <c r="B366" s="31" t="s">
        <v>5275</v>
      </c>
      <c r="C366" s="35" t="n">
        <v>169</v>
      </c>
    </row>
    <row r="367" customFormat="false" ht="15" hidden="false" customHeight="false" outlineLevel="0" collapsed="false">
      <c r="A367" s="31" t="s">
        <v>5633</v>
      </c>
      <c r="B367" s="31" t="s">
        <v>5302</v>
      </c>
      <c r="C367" s="35" t="n">
        <v>228</v>
      </c>
    </row>
    <row r="368" customFormat="false" ht="15" hidden="false" customHeight="false" outlineLevel="0" collapsed="false">
      <c r="A368" s="31" t="s">
        <v>5634</v>
      </c>
      <c r="B368" s="31" t="s">
        <v>5275</v>
      </c>
      <c r="C368" s="35" t="n">
        <v>169</v>
      </c>
    </row>
    <row r="369" customFormat="false" ht="15" hidden="false" customHeight="false" outlineLevel="0" collapsed="false">
      <c r="A369" s="31" t="s">
        <v>4901</v>
      </c>
      <c r="B369" s="31" t="s">
        <v>5310</v>
      </c>
      <c r="C369" s="35" t="n">
        <v>186</v>
      </c>
    </row>
    <row r="370" customFormat="false" ht="15" hidden="false" customHeight="false" outlineLevel="0" collapsed="false">
      <c r="A370" s="31" t="s">
        <v>4905</v>
      </c>
      <c r="B370" s="31" t="s">
        <v>5310</v>
      </c>
      <c r="C370" s="35" t="n">
        <v>186</v>
      </c>
    </row>
    <row r="371" customFormat="false" ht="15" hidden="false" customHeight="false" outlineLevel="0" collapsed="false">
      <c r="A371" s="31" t="s">
        <v>5635</v>
      </c>
      <c r="B371" s="31" t="s">
        <v>5302</v>
      </c>
      <c r="C371" s="35" t="n">
        <v>228</v>
      </c>
    </row>
    <row r="372" customFormat="false" ht="15" hidden="false" customHeight="false" outlineLevel="0" collapsed="false">
      <c r="A372" s="31" t="s">
        <v>5636</v>
      </c>
      <c r="B372" s="31" t="s">
        <v>5302</v>
      </c>
      <c r="C372" s="35" t="n">
        <v>228</v>
      </c>
    </row>
    <row r="373" customFormat="false" ht="15" hidden="false" customHeight="false" outlineLevel="0" collapsed="false">
      <c r="A373" s="31" t="s">
        <v>5637</v>
      </c>
      <c r="B373" s="31" t="s">
        <v>5267</v>
      </c>
      <c r="C373" s="35" t="n">
        <v>163</v>
      </c>
    </row>
    <row r="374" customFormat="false" ht="15" hidden="false" customHeight="false" outlineLevel="0" collapsed="false">
      <c r="A374" s="31" t="s">
        <v>5638</v>
      </c>
      <c r="B374" s="31" t="s">
        <v>5639</v>
      </c>
      <c r="C374" s="35" t="n">
        <v>184</v>
      </c>
    </row>
    <row r="375" customFormat="false" ht="15" hidden="false" customHeight="false" outlineLevel="0" collapsed="false">
      <c r="A375" s="31" t="s">
        <v>5640</v>
      </c>
      <c r="B375" s="31" t="s">
        <v>5275</v>
      </c>
      <c r="C375" s="35" t="n">
        <v>169</v>
      </c>
    </row>
    <row r="376" customFormat="false" ht="15" hidden="false" customHeight="false" outlineLevel="0" collapsed="false">
      <c r="A376" s="31" t="s">
        <v>5641</v>
      </c>
      <c r="B376" s="31" t="s">
        <v>5642</v>
      </c>
      <c r="C376" s="35" t="n">
        <v>182</v>
      </c>
    </row>
    <row r="377" customFormat="false" ht="15" hidden="false" customHeight="false" outlineLevel="0" collapsed="false">
      <c r="A377" s="31" t="s">
        <v>5643</v>
      </c>
      <c r="B377" s="31" t="s">
        <v>5275</v>
      </c>
      <c r="C377" s="35" t="n">
        <v>169</v>
      </c>
    </row>
    <row r="378" customFormat="false" ht="15" hidden="false" customHeight="false" outlineLevel="0" collapsed="false">
      <c r="A378" s="31" t="s">
        <v>5644</v>
      </c>
      <c r="B378" s="31" t="s">
        <v>5310</v>
      </c>
      <c r="C378" s="35" t="n">
        <v>186</v>
      </c>
    </row>
    <row r="379" customFormat="false" ht="15" hidden="false" customHeight="false" outlineLevel="0" collapsed="false">
      <c r="A379" s="31" t="s">
        <v>4606</v>
      </c>
      <c r="B379" s="31" t="s">
        <v>5645</v>
      </c>
      <c r="C379" s="35" t="n">
        <v>187</v>
      </c>
    </row>
    <row r="380" customFormat="false" ht="15" hidden="false" customHeight="false" outlineLevel="0" collapsed="false">
      <c r="A380" s="31" t="s">
        <v>5646</v>
      </c>
      <c r="B380" s="31" t="s">
        <v>5275</v>
      </c>
      <c r="C380" s="35" t="n">
        <v>169</v>
      </c>
    </row>
    <row r="381" customFormat="false" ht="15" hidden="false" customHeight="false" outlineLevel="0" collapsed="false">
      <c r="A381" s="31" t="s">
        <v>5647</v>
      </c>
      <c r="B381" s="31" t="s">
        <v>5302</v>
      </c>
      <c r="C381" s="35" t="n">
        <v>228</v>
      </c>
    </row>
    <row r="382" customFormat="false" ht="15" hidden="false" customHeight="false" outlineLevel="0" collapsed="false">
      <c r="A382" s="31" t="s">
        <v>4607</v>
      </c>
      <c r="B382" s="31" t="s">
        <v>5648</v>
      </c>
      <c r="C382" s="35" t="n">
        <v>180</v>
      </c>
    </row>
    <row r="383" customFormat="false" ht="15" hidden="false" customHeight="false" outlineLevel="0" collapsed="false">
      <c r="A383" s="31" t="s">
        <v>5649</v>
      </c>
      <c r="B383" s="31" t="s">
        <v>5310</v>
      </c>
      <c r="C383" s="35" t="n">
        <v>186</v>
      </c>
    </row>
    <row r="384" customFormat="false" ht="15" hidden="false" customHeight="false" outlineLevel="0" collapsed="false">
      <c r="A384" s="31" t="s">
        <v>5650</v>
      </c>
      <c r="B384" s="31" t="s">
        <v>5302</v>
      </c>
      <c r="C384" s="35" t="n">
        <v>228</v>
      </c>
    </row>
    <row r="385" customFormat="false" ht="15" hidden="false" customHeight="false" outlineLevel="0" collapsed="false">
      <c r="A385" s="31" t="s">
        <v>4911</v>
      </c>
      <c r="B385" s="31" t="s">
        <v>5275</v>
      </c>
      <c r="C385" s="35" t="n">
        <v>169</v>
      </c>
    </row>
    <row r="386" customFormat="false" ht="15" hidden="false" customHeight="false" outlineLevel="0" collapsed="false">
      <c r="A386" s="31" t="s">
        <v>5651</v>
      </c>
      <c r="B386" s="31" t="s">
        <v>5275</v>
      </c>
      <c r="C386" s="35" t="n">
        <v>169</v>
      </c>
    </row>
    <row r="387" customFormat="false" ht="15" hidden="false" customHeight="false" outlineLevel="0" collapsed="false">
      <c r="A387" s="31" t="s">
        <v>5652</v>
      </c>
      <c r="B387" s="31" t="s">
        <v>5310</v>
      </c>
      <c r="C387" s="35" t="n">
        <v>186</v>
      </c>
    </row>
    <row r="388" customFormat="false" ht="15" hidden="false" customHeight="false" outlineLevel="0" collapsed="false">
      <c r="A388" s="31" t="s">
        <v>4915</v>
      </c>
      <c r="B388" s="31" t="s">
        <v>5310</v>
      </c>
      <c r="C388" s="35" t="n">
        <v>186</v>
      </c>
    </row>
    <row r="389" customFormat="false" ht="15" hidden="false" customHeight="false" outlineLevel="0" collapsed="false">
      <c r="A389" s="31" t="s">
        <v>5653</v>
      </c>
      <c r="B389" s="31" t="s">
        <v>5275</v>
      </c>
      <c r="C389" s="35" t="n">
        <v>169</v>
      </c>
    </row>
    <row r="390" customFormat="false" ht="15" hidden="false" customHeight="false" outlineLevel="0" collapsed="false">
      <c r="A390" s="31" t="s">
        <v>5654</v>
      </c>
      <c r="B390" s="31" t="s">
        <v>5310</v>
      </c>
      <c r="C390" s="35" t="n">
        <v>186</v>
      </c>
    </row>
    <row r="391" customFormat="false" ht="15" hidden="false" customHeight="false" outlineLevel="0" collapsed="false">
      <c r="A391" s="31" t="s">
        <v>5655</v>
      </c>
      <c r="B391" s="31" t="s">
        <v>5302</v>
      </c>
      <c r="C391" s="35" t="n">
        <v>228</v>
      </c>
    </row>
    <row r="392" customFormat="false" ht="15" hidden="false" customHeight="false" outlineLevel="0" collapsed="false">
      <c r="A392" s="31" t="s">
        <v>4917</v>
      </c>
      <c r="B392" s="31" t="s">
        <v>5656</v>
      </c>
      <c r="C392" s="35" t="n">
        <v>180</v>
      </c>
    </row>
    <row r="393" customFormat="false" ht="15" hidden="false" customHeight="false" outlineLevel="0" collapsed="false">
      <c r="A393" s="31" t="s">
        <v>4919</v>
      </c>
      <c r="B393" s="31" t="s">
        <v>5310</v>
      </c>
      <c r="C393" s="35" t="n">
        <v>186</v>
      </c>
    </row>
    <row r="394" customFormat="false" ht="15" hidden="false" customHeight="false" outlineLevel="0" collapsed="false">
      <c r="A394" s="31" t="s">
        <v>5657</v>
      </c>
      <c r="B394" s="31" t="s">
        <v>5310</v>
      </c>
      <c r="C394" s="35" t="n">
        <v>186</v>
      </c>
    </row>
    <row r="395" customFormat="false" ht="15" hidden="false" customHeight="false" outlineLevel="0" collapsed="false">
      <c r="A395" s="31" t="s">
        <v>5658</v>
      </c>
      <c r="B395" s="31" t="s">
        <v>5302</v>
      </c>
      <c r="C395" s="35" t="n">
        <v>228</v>
      </c>
    </row>
    <row r="396" customFormat="false" ht="15" hidden="false" customHeight="false" outlineLevel="0" collapsed="false">
      <c r="A396" s="31" t="s">
        <v>5659</v>
      </c>
      <c r="B396" s="31" t="s">
        <v>5275</v>
      </c>
      <c r="C396" s="35" t="n">
        <v>169</v>
      </c>
    </row>
    <row r="397" customFormat="false" ht="15" hidden="false" customHeight="false" outlineLevel="0" collapsed="false">
      <c r="A397" s="31" t="s">
        <v>5660</v>
      </c>
      <c r="B397" s="31" t="s">
        <v>5275</v>
      </c>
      <c r="C397" s="35" t="n">
        <v>169</v>
      </c>
    </row>
    <row r="398" customFormat="false" ht="15" hidden="false" customHeight="false" outlineLevel="0" collapsed="false">
      <c r="A398" s="31" t="s">
        <v>4921</v>
      </c>
      <c r="B398" s="31" t="s">
        <v>5310</v>
      </c>
      <c r="C398" s="35" t="n">
        <v>186</v>
      </c>
    </row>
    <row r="399" customFormat="false" ht="15" hidden="false" customHeight="false" outlineLevel="0" collapsed="false">
      <c r="A399" s="31" t="s">
        <v>5661</v>
      </c>
      <c r="B399" s="31" t="s">
        <v>5275</v>
      </c>
      <c r="C399" s="35" t="n">
        <v>169</v>
      </c>
    </row>
    <row r="400" customFormat="false" ht="15" hidden="false" customHeight="false" outlineLevel="0" collapsed="false">
      <c r="A400" s="31" t="s">
        <v>5662</v>
      </c>
      <c r="B400" s="31" t="s">
        <v>5310</v>
      </c>
      <c r="C400" s="35" t="n">
        <v>186</v>
      </c>
    </row>
    <row r="401" customFormat="false" ht="15" hidden="false" customHeight="false" outlineLevel="0" collapsed="false">
      <c r="A401" s="31" t="s">
        <v>4923</v>
      </c>
      <c r="B401" s="31" t="s">
        <v>5310</v>
      </c>
      <c r="C401" s="35" t="n">
        <v>186</v>
      </c>
    </row>
    <row r="402" customFormat="false" ht="15" hidden="false" customHeight="false" outlineLevel="0" collapsed="false">
      <c r="A402" s="31" t="s">
        <v>4927</v>
      </c>
      <c r="B402" s="31" t="s">
        <v>5663</v>
      </c>
      <c r="C402" s="35" t="n">
        <v>161</v>
      </c>
    </row>
    <row r="403" customFormat="false" ht="15" hidden="false" customHeight="false" outlineLevel="0" collapsed="false">
      <c r="A403" s="31" t="s">
        <v>4929</v>
      </c>
      <c r="B403" s="31" t="s">
        <v>5664</v>
      </c>
      <c r="C403" s="35" t="n">
        <v>190</v>
      </c>
    </row>
    <row r="404" customFormat="false" ht="15" hidden="false" customHeight="false" outlineLevel="0" collapsed="false">
      <c r="A404" s="31" t="s">
        <v>5665</v>
      </c>
      <c r="B404" s="31" t="s">
        <v>5302</v>
      </c>
      <c r="C404" s="35" t="n">
        <v>228</v>
      </c>
    </row>
    <row r="405" customFormat="false" ht="15" hidden="false" customHeight="false" outlineLevel="0" collapsed="false">
      <c r="A405" s="31" t="s">
        <v>5666</v>
      </c>
      <c r="B405" s="31" t="s">
        <v>5667</v>
      </c>
      <c r="C405" s="35" t="n">
        <v>168</v>
      </c>
    </row>
    <row r="406" customFormat="false" ht="15" hidden="false" customHeight="false" outlineLevel="0" collapsed="false">
      <c r="A406" s="31" t="s">
        <v>5668</v>
      </c>
      <c r="B406" s="31" t="s">
        <v>5302</v>
      </c>
      <c r="C406" s="35" t="n">
        <v>228</v>
      </c>
    </row>
    <row r="407" customFormat="false" ht="15" hidden="false" customHeight="false" outlineLevel="0" collapsed="false">
      <c r="A407" s="31" t="s">
        <v>5669</v>
      </c>
      <c r="B407" s="31" t="s">
        <v>5275</v>
      </c>
      <c r="C407" s="35" t="n">
        <v>169</v>
      </c>
    </row>
    <row r="408" customFormat="false" ht="15" hidden="false" customHeight="false" outlineLevel="0" collapsed="false">
      <c r="A408" s="31" t="s">
        <v>5670</v>
      </c>
      <c r="B408" s="31" t="s">
        <v>5302</v>
      </c>
      <c r="C408" s="35" t="n">
        <v>228</v>
      </c>
    </row>
    <row r="409" customFormat="false" ht="15" hidden="false" customHeight="false" outlineLevel="0" collapsed="false">
      <c r="A409" s="31" t="s">
        <v>5671</v>
      </c>
      <c r="B409" s="31" t="s">
        <v>5672</v>
      </c>
      <c r="C409" s="35" t="n">
        <v>184</v>
      </c>
    </row>
    <row r="410" customFormat="false" ht="15" hidden="false" customHeight="false" outlineLevel="0" collapsed="false">
      <c r="A410" s="31" t="s">
        <v>5673</v>
      </c>
      <c r="B410" s="31" t="s">
        <v>5310</v>
      </c>
      <c r="C410" s="35" t="n">
        <v>186</v>
      </c>
    </row>
    <row r="411" customFormat="false" ht="15" hidden="false" customHeight="false" outlineLevel="0" collapsed="false">
      <c r="A411" s="31" t="s">
        <v>4931</v>
      </c>
      <c r="B411" s="31" t="s">
        <v>5674</v>
      </c>
      <c r="C411" s="35" t="n">
        <v>174</v>
      </c>
    </row>
    <row r="412" customFormat="false" ht="15" hidden="false" customHeight="false" outlineLevel="0" collapsed="false">
      <c r="A412" s="31" t="s">
        <v>4933</v>
      </c>
      <c r="B412" s="31" t="s">
        <v>5310</v>
      </c>
      <c r="C412" s="35" t="n">
        <v>186</v>
      </c>
    </row>
    <row r="413" customFormat="false" ht="15" hidden="false" customHeight="false" outlineLevel="0" collapsed="false">
      <c r="A413" s="31" t="s">
        <v>5675</v>
      </c>
      <c r="B413" s="31" t="s">
        <v>5275</v>
      </c>
      <c r="C413" s="35" t="n">
        <v>169</v>
      </c>
    </row>
    <row r="414" customFormat="false" ht="15" hidden="false" customHeight="false" outlineLevel="0" collapsed="false">
      <c r="A414" s="31" t="s">
        <v>5676</v>
      </c>
      <c r="B414" s="31" t="s">
        <v>5302</v>
      </c>
      <c r="C414" s="35" t="n">
        <v>228</v>
      </c>
    </row>
    <row r="415" customFormat="false" ht="15" hidden="false" customHeight="false" outlineLevel="0" collapsed="false">
      <c r="A415" s="31" t="s">
        <v>5677</v>
      </c>
      <c r="B415" s="31" t="s">
        <v>5310</v>
      </c>
      <c r="C415" s="35" t="n">
        <v>186</v>
      </c>
    </row>
    <row r="416" customFormat="false" ht="15" hidden="false" customHeight="false" outlineLevel="0" collapsed="false">
      <c r="A416" s="31" t="s">
        <v>4937</v>
      </c>
      <c r="B416" s="31" t="s">
        <v>5310</v>
      </c>
      <c r="C416" s="35" t="n">
        <v>186</v>
      </c>
    </row>
    <row r="417" customFormat="false" ht="15" hidden="false" customHeight="false" outlineLevel="0" collapsed="false">
      <c r="A417" s="31" t="s">
        <v>5678</v>
      </c>
      <c r="B417" s="31" t="s">
        <v>5302</v>
      </c>
      <c r="C417" s="35" t="n">
        <v>228</v>
      </c>
    </row>
    <row r="418" customFormat="false" ht="15" hidden="false" customHeight="false" outlineLevel="0" collapsed="false">
      <c r="A418" s="31" t="s">
        <v>5679</v>
      </c>
      <c r="B418" s="31" t="s">
        <v>5302</v>
      </c>
      <c r="C418" s="35" t="n">
        <v>228</v>
      </c>
    </row>
    <row r="419" customFormat="false" ht="15" hidden="false" customHeight="false" outlineLevel="0" collapsed="false">
      <c r="A419" s="31" t="s">
        <v>4940</v>
      </c>
      <c r="B419" s="31" t="s">
        <v>5310</v>
      </c>
      <c r="C419" s="35" t="n">
        <v>186</v>
      </c>
    </row>
    <row r="420" customFormat="false" ht="15" hidden="false" customHeight="false" outlineLevel="0" collapsed="false">
      <c r="A420" s="31" t="s">
        <v>4612</v>
      </c>
      <c r="B420" s="34" t="s">
        <v>5680</v>
      </c>
      <c r="C420" s="36" t="s">
        <v>5681</v>
      </c>
    </row>
    <row r="421" customFormat="false" ht="15" hidden="false" customHeight="false" outlineLevel="0" collapsed="false">
      <c r="A421" s="31" t="s">
        <v>5682</v>
      </c>
      <c r="B421" s="31" t="s">
        <v>5302</v>
      </c>
      <c r="C421" s="35" t="n">
        <v>228</v>
      </c>
    </row>
    <row r="422" customFormat="false" ht="15" hidden="false" customHeight="false" outlineLevel="0" collapsed="false">
      <c r="A422" s="31" t="s">
        <v>5683</v>
      </c>
      <c r="B422" s="31" t="s">
        <v>5310</v>
      </c>
      <c r="C422" s="35" t="n">
        <v>186</v>
      </c>
    </row>
    <row r="423" customFormat="false" ht="15" hidden="false" customHeight="false" outlineLevel="0" collapsed="false">
      <c r="A423" s="31" t="s">
        <v>4943</v>
      </c>
      <c r="B423" s="31" t="s">
        <v>5310</v>
      </c>
      <c r="C423" s="35" t="n">
        <v>186</v>
      </c>
    </row>
    <row r="424" customFormat="false" ht="15" hidden="false" customHeight="false" outlineLevel="0" collapsed="false">
      <c r="A424" s="31" t="s">
        <v>5684</v>
      </c>
      <c r="B424" s="31" t="s">
        <v>5275</v>
      </c>
      <c r="C424" s="35" t="n">
        <v>169</v>
      </c>
    </row>
    <row r="425" customFormat="false" ht="15" hidden="false" customHeight="false" outlineLevel="0" collapsed="false">
      <c r="A425" s="31" t="s">
        <v>5685</v>
      </c>
      <c r="B425" s="31" t="s">
        <v>5525</v>
      </c>
      <c r="C425" s="35" t="n">
        <v>206</v>
      </c>
    </row>
    <row r="426" customFormat="false" ht="15" hidden="false" customHeight="false" outlineLevel="0" collapsed="false">
      <c r="A426" s="31" t="s">
        <v>5686</v>
      </c>
      <c r="B426" s="31" t="s">
        <v>5275</v>
      </c>
      <c r="C426" s="35" t="n">
        <v>169</v>
      </c>
    </row>
    <row r="427" customFormat="false" ht="15" hidden="false" customHeight="false" outlineLevel="0" collapsed="false">
      <c r="A427" s="31" t="s">
        <v>4947</v>
      </c>
      <c r="B427" s="31" t="s">
        <v>5310</v>
      </c>
      <c r="C427" s="35" t="n">
        <v>186</v>
      </c>
    </row>
    <row r="428" customFormat="false" ht="15" hidden="false" customHeight="false" outlineLevel="0" collapsed="false">
      <c r="A428" s="31" t="s">
        <v>4949</v>
      </c>
      <c r="B428" s="31" t="s">
        <v>5687</v>
      </c>
      <c r="C428" s="35" t="n">
        <v>162</v>
      </c>
    </row>
    <row r="429" customFormat="false" ht="15" hidden="false" customHeight="false" outlineLevel="0" collapsed="false">
      <c r="A429" s="31" t="s">
        <v>4951</v>
      </c>
      <c r="B429" s="31" t="s">
        <v>5310</v>
      </c>
      <c r="C429" s="35" t="n">
        <v>186</v>
      </c>
    </row>
    <row r="430" customFormat="false" ht="15" hidden="false" customHeight="false" outlineLevel="0" collapsed="false">
      <c r="A430" s="31" t="s">
        <v>5688</v>
      </c>
      <c r="B430" s="31" t="s">
        <v>5275</v>
      </c>
      <c r="C430" s="35" t="n">
        <v>169</v>
      </c>
    </row>
    <row r="431" customFormat="false" ht="15" hidden="false" customHeight="false" outlineLevel="0" collapsed="false">
      <c r="A431" s="31" t="s">
        <v>5689</v>
      </c>
      <c r="B431" s="31" t="s">
        <v>5302</v>
      </c>
      <c r="C431" s="35" t="n">
        <v>228</v>
      </c>
    </row>
    <row r="432" customFormat="false" ht="15" hidden="false" customHeight="false" outlineLevel="0" collapsed="false">
      <c r="A432" s="31" t="s">
        <v>4953</v>
      </c>
      <c r="B432" s="31" t="s">
        <v>5310</v>
      </c>
      <c r="C432" s="35" t="n">
        <v>186</v>
      </c>
    </row>
    <row r="433" customFormat="false" ht="15" hidden="false" customHeight="false" outlineLevel="0" collapsed="false">
      <c r="A433" s="31" t="s">
        <v>5690</v>
      </c>
      <c r="B433" s="31" t="s">
        <v>5310</v>
      </c>
      <c r="C433" s="35" t="n">
        <v>186</v>
      </c>
    </row>
    <row r="434" customFormat="false" ht="15" hidden="false" customHeight="false" outlineLevel="0" collapsed="false">
      <c r="A434" s="31" t="s">
        <v>5691</v>
      </c>
      <c r="B434" s="31" t="s">
        <v>5692</v>
      </c>
      <c r="C434" s="35" t="n">
        <v>176</v>
      </c>
    </row>
    <row r="435" customFormat="false" ht="15" hidden="false" customHeight="false" outlineLevel="0" collapsed="false">
      <c r="A435" s="31" t="s">
        <v>5693</v>
      </c>
      <c r="B435" s="31" t="s">
        <v>5275</v>
      </c>
      <c r="C435" s="35" t="n">
        <v>169</v>
      </c>
    </row>
    <row r="436" customFormat="false" ht="15" hidden="false" customHeight="false" outlineLevel="0" collapsed="false">
      <c r="A436" s="31" t="s">
        <v>4955</v>
      </c>
      <c r="B436" s="31" t="s">
        <v>5310</v>
      </c>
      <c r="C436" s="35" t="n">
        <v>186</v>
      </c>
    </row>
    <row r="437" customFormat="false" ht="15" hidden="false" customHeight="false" outlineLevel="0" collapsed="false">
      <c r="A437" s="31" t="s">
        <v>4957</v>
      </c>
      <c r="B437" s="31" t="s">
        <v>5310</v>
      </c>
      <c r="C437" s="35" t="n">
        <v>186</v>
      </c>
    </row>
    <row r="438" customFormat="false" ht="15" hidden="false" customHeight="false" outlineLevel="0" collapsed="false">
      <c r="A438" s="31" t="s">
        <v>5694</v>
      </c>
      <c r="B438" s="31" t="s">
        <v>5302</v>
      </c>
      <c r="C438" s="35" t="n">
        <v>228</v>
      </c>
    </row>
    <row r="439" customFormat="false" ht="15" hidden="false" customHeight="false" outlineLevel="0" collapsed="false">
      <c r="A439" s="31" t="s">
        <v>5695</v>
      </c>
      <c r="B439" s="31" t="s">
        <v>5696</v>
      </c>
      <c r="C439" s="35" t="n">
        <v>161</v>
      </c>
    </row>
    <row r="440" customFormat="false" ht="15" hidden="false" customHeight="false" outlineLevel="0" collapsed="false">
      <c r="A440" s="31" t="s">
        <v>5697</v>
      </c>
      <c r="B440" s="31" t="s">
        <v>5310</v>
      </c>
      <c r="C440" s="35" t="n">
        <v>186</v>
      </c>
    </row>
    <row r="441" customFormat="false" ht="15" hidden="false" customHeight="false" outlineLevel="0" collapsed="false">
      <c r="A441" s="31" t="s">
        <v>5698</v>
      </c>
      <c r="B441" s="31" t="s">
        <v>5302</v>
      </c>
      <c r="C441" s="35" t="n">
        <v>228</v>
      </c>
    </row>
    <row r="442" customFormat="false" ht="15" hidden="false" customHeight="false" outlineLevel="0" collapsed="false">
      <c r="A442" s="31" t="s">
        <v>4613</v>
      </c>
      <c r="B442" s="31" t="s">
        <v>5699</v>
      </c>
      <c r="C442" s="35" t="n">
        <v>185</v>
      </c>
    </row>
    <row r="443" customFormat="false" ht="15" hidden="false" customHeight="false" outlineLevel="0" collapsed="false">
      <c r="A443" s="31" t="s">
        <v>5700</v>
      </c>
      <c r="B443" s="31" t="s">
        <v>5275</v>
      </c>
      <c r="C443" s="35" t="n">
        <v>169</v>
      </c>
    </row>
    <row r="444" customFormat="false" ht="15" hidden="false" customHeight="false" outlineLevel="0" collapsed="false">
      <c r="A444" s="31" t="s">
        <v>4960</v>
      </c>
      <c r="B444" s="31" t="s">
        <v>5701</v>
      </c>
      <c r="C444" s="35" t="n">
        <v>171</v>
      </c>
    </row>
    <row r="445" customFormat="false" ht="15" hidden="false" customHeight="false" outlineLevel="0" collapsed="false">
      <c r="A445" s="31" t="s">
        <v>5702</v>
      </c>
      <c r="B445" s="31" t="s">
        <v>5310</v>
      </c>
      <c r="C445" s="35" t="n">
        <v>186</v>
      </c>
    </row>
    <row r="446" customFormat="false" ht="15" hidden="false" customHeight="false" outlineLevel="0" collapsed="false">
      <c r="A446" s="31" t="s">
        <v>5703</v>
      </c>
      <c r="B446" s="31" t="s">
        <v>5275</v>
      </c>
      <c r="C446" s="35" t="n">
        <v>169</v>
      </c>
    </row>
    <row r="447" customFormat="false" ht="15" hidden="false" customHeight="false" outlineLevel="0" collapsed="false">
      <c r="A447" s="31" t="s">
        <v>5704</v>
      </c>
      <c r="B447" s="31" t="s">
        <v>5275</v>
      </c>
      <c r="C447" s="35" t="n">
        <v>169</v>
      </c>
    </row>
    <row r="448" customFormat="false" ht="15" hidden="false" customHeight="false" outlineLevel="0" collapsed="false">
      <c r="A448" s="31" t="s">
        <v>5705</v>
      </c>
      <c r="B448" s="31" t="s">
        <v>5275</v>
      </c>
      <c r="C448" s="35" t="n">
        <v>169</v>
      </c>
    </row>
    <row r="449" customFormat="false" ht="15" hidden="false" customHeight="false" outlineLevel="0" collapsed="false">
      <c r="A449" s="31" t="s">
        <v>5706</v>
      </c>
      <c r="B449" s="31" t="s">
        <v>5302</v>
      </c>
      <c r="C449" s="35" t="n">
        <v>228</v>
      </c>
    </row>
    <row r="450" customFormat="false" ht="15" hidden="false" customHeight="false" outlineLevel="0" collapsed="false">
      <c r="A450" s="31" t="s">
        <v>5707</v>
      </c>
      <c r="B450" s="31" t="s">
        <v>5302</v>
      </c>
      <c r="C450" s="35" t="n">
        <v>228</v>
      </c>
    </row>
    <row r="451" customFormat="false" ht="15" hidden="false" customHeight="false" outlineLevel="0" collapsed="false">
      <c r="A451" s="31" t="s">
        <v>5708</v>
      </c>
      <c r="B451" s="31" t="s">
        <v>5302</v>
      </c>
      <c r="C451" s="35" t="n">
        <v>228</v>
      </c>
    </row>
    <row r="452" customFormat="false" ht="15" hidden="false" customHeight="false" outlineLevel="0" collapsed="false">
      <c r="A452" s="31" t="s">
        <v>5709</v>
      </c>
      <c r="B452" s="31" t="s">
        <v>5275</v>
      </c>
      <c r="C452" s="35" t="n">
        <v>169</v>
      </c>
    </row>
    <row r="453" customFormat="false" ht="15" hidden="false" customHeight="false" outlineLevel="0" collapsed="false">
      <c r="A453" s="31" t="s">
        <v>5710</v>
      </c>
      <c r="B453" s="31" t="s">
        <v>5275</v>
      </c>
      <c r="C453" s="35" t="n">
        <v>169</v>
      </c>
    </row>
    <row r="454" customFormat="false" ht="15" hidden="false" customHeight="false" outlineLevel="0" collapsed="false">
      <c r="A454" s="31" t="s">
        <v>4962</v>
      </c>
      <c r="B454" s="31" t="s">
        <v>5310</v>
      </c>
      <c r="C454" s="35" t="n">
        <v>186</v>
      </c>
    </row>
    <row r="455" customFormat="false" ht="15" hidden="false" customHeight="false" outlineLevel="0" collapsed="false">
      <c r="A455" s="31" t="s">
        <v>5711</v>
      </c>
      <c r="B455" s="31" t="s">
        <v>5310</v>
      </c>
      <c r="C455" s="35" t="n">
        <v>186</v>
      </c>
    </row>
    <row r="456" customFormat="false" ht="15" hidden="false" customHeight="false" outlineLevel="0" collapsed="false">
      <c r="A456" s="31" t="s">
        <v>5712</v>
      </c>
      <c r="B456" s="31" t="s">
        <v>5275</v>
      </c>
      <c r="C456" s="35" t="n">
        <v>169</v>
      </c>
    </row>
    <row r="457" customFormat="false" ht="15" hidden="false" customHeight="false" outlineLevel="0" collapsed="false">
      <c r="A457" s="31" t="s">
        <v>5713</v>
      </c>
      <c r="B457" s="31" t="s">
        <v>5275</v>
      </c>
      <c r="C457" s="35" t="n">
        <v>169</v>
      </c>
    </row>
    <row r="458" customFormat="false" ht="15" hidden="false" customHeight="false" outlineLevel="0" collapsed="false">
      <c r="A458" s="31" t="s">
        <v>4966</v>
      </c>
      <c r="B458" s="31" t="s">
        <v>5714</v>
      </c>
      <c r="C458" s="35" t="n">
        <v>187</v>
      </c>
    </row>
    <row r="459" customFormat="false" ht="15" hidden="false" customHeight="false" outlineLevel="0" collapsed="false">
      <c r="A459" s="31" t="s">
        <v>5715</v>
      </c>
      <c r="B459" s="31" t="s">
        <v>5302</v>
      </c>
      <c r="C459" s="35" t="n">
        <v>228</v>
      </c>
    </row>
    <row r="460" customFormat="false" ht="15" hidden="false" customHeight="false" outlineLevel="0" collapsed="false">
      <c r="A460" s="31" t="s">
        <v>5716</v>
      </c>
      <c r="B460" s="31" t="s">
        <v>5310</v>
      </c>
      <c r="C460" s="35" t="n">
        <v>186</v>
      </c>
    </row>
    <row r="461" customFormat="false" ht="15" hidden="false" customHeight="false" outlineLevel="0" collapsed="false">
      <c r="A461" s="31" t="s">
        <v>5717</v>
      </c>
      <c r="B461" s="31" t="s">
        <v>5275</v>
      </c>
      <c r="C461" s="35" t="n">
        <v>169</v>
      </c>
    </row>
    <row r="462" customFormat="false" ht="15" hidden="false" customHeight="false" outlineLevel="0" collapsed="false">
      <c r="A462" s="31" t="s">
        <v>5718</v>
      </c>
      <c r="B462" s="31" t="s">
        <v>5302</v>
      </c>
      <c r="C462" s="35" t="n">
        <v>228</v>
      </c>
    </row>
    <row r="463" customFormat="false" ht="15" hidden="false" customHeight="false" outlineLevel="0" collapsed="false">
      <c r="A463" s="31" t="s">
        <v>5719</v>
      </c>
      <c r="B463" s="31" t="s">
        <v>5310</v>
      </c>
      <c r="C463" s="35" t="n">
        <v>186</v>
      </c>
    </row>
    <row r="464" customFormat="false" ht="15" hidden="false" customHeight="false" outlineLevel="0" collapsed="false">
      <c r="A464" s="31" t="s">
        <v>5720</v>
      </c>
      <c r="B464" s="31" t="s">
        <v>5302</v>
      </c>
      <c r="C464" s="35" t="n">
        <v>228</v>
      </c>
    </row>
    <row r="465" customFormat="false" ht="15" hidden="false" customHeight="false" outlineLevel="0" collapsed="false">
      <c r="A465" s="31" t="s">
        <v>5721</v>
      </c>
      <c r="B465" s="31" t="s">
        <v>5275</v>
      </c>
      <c r="C465" s="35" t="n">
        <v>169</v>
      </c>
    </row>
    <row r="466" customFormat="false" ht="15" hidden="false" customHeight="false" outlineLevel="0" collapsed="false">
      <c r="A466" s="31" t="s">
        <v>5722</v>
      </c>
      <c r="B466" s="31" t="s">
        <v>5310</v>
      </c>
      <c r="C466" s="35" t="n">
        <v>186</v>
      </c>
    </row>
    <row r="467" customFormat="false" ht="15" hidden="false" customHeight="false" outlineLevel="0" collapsed="false">
      <c r="A467" s="31" t="s">
        <v>5723</v>
      </c>
      <c r="B467" s="31" t="s">
        <v>5310</v>
      </c>
      <c r="C467" s="35" t="n">
        <v>186</v>
      </c>
    </row>
    <row r="468" customFormat="false" ht="15" hidden="false" customHeight="false" outlineLevel="0" collapsed="false">
      <c r="A468" s="31" t="s">
        <v>5724</v>
      </c>
      <c r="B468" s="31" t="s">
        <v>5302</v>
      </c>
      <c r="C468" s="35" t="n">
        <v>228</v>
      </c>
    </row>
    <row r="469" customFormat="false" ht="15" hidden="false" customHeight="false" outlineLevel="0" collapsed="false">
      <c r="A469" s="31" t="s">
        <v>4969</v>
      </c>
      <c r="B469" s="31" t="s">
        <v>5725</v>
      </c>
      <c r="C469" s="35" t="n">
        <v>182</v>
      </c>
    </row>
    <row r="470" customFormat="false" ht="15" hidden="false" customHeight="false" outlineLevel="0" collapsed="false">
      <c r="A470" s="31" t="s">
        <v>5726</v>
      </c>
      <c r="B470" s="31" t="s">
        <v>5302</v>
      </c>
      <c r="C470" s="35" t="n">
        <v>228</v>
      </c>
    </row>
    <row r="471" customFormat="false" ht="15" hidden="false" customHeight="false" outlineLevel="0" collapsed="false">
      <c r="A471" s="31" t="s">
        <v>5727</v>
      </c>
      <c r="B471" s="31" t="s">
        <v>5310</v>
      </c>
      <c r="C471" s="35" t="n">
        <v>186</v>
      </c>
    </row>
    <row r="472" customFormat="false" ht="15" hidden="false" customHeight="false" outlineLevel="0" collapsed="false">
      <c r="A472" s="31" t="s">
        <v>4971</v>
      </c>
      <c r="B472" s="31" t="s">
        <v>5310</v>
      </c>
      <c r="C472" s="35" t="n">
        <v>186</v>
      </c>
    </row>
    <row r="473" customFormat="false" ht="15" hidden="false" customHeight="false" outlineLevel="0" collapsed="false">
      <c r="A473" s="31" t="s">
        <v>5728</v>
      </c>
      <c r="B473" s="31" t="s">
        <v>5302</v>
      </c>
      <c r="C473" s="35" t="n">
        <v>228</v>
      </c>
    </row>
    <row r="474" customFormat="false" ht="15" hidden="false" customHeight="false" outlineLevel="0" collapsed="false">
      <c r="A474" s="31" t="s">
        <v>5729</v>
      </c>
      <c r="B474" s="31" t="s">
        <v>5275</v>
      </c>
      <c r="C474" s="35" t="n">
        <v>169</v>
      </c>
    </row>
    <row r="475" customFormat="false" ht="15" hidden="false" customHeight="false" outlineLevel="0" collapsed="false">
      <c r="A475" s="31" t="s">
        <v>4973</v>
      </c>
      <c r="B475" s="31" t="s">
        <v>5275</v>
      </c>
      <c r="C475" s="35" t="n">
        <v>169</v>
      </c>
    </row>
    <row r="476" customFormat="false" ht="15" hidden="false" customHeight="false" outlineLevel="0" collapsed="false">
      <c r="A476" s="31" t="s">
        <v>4975</v>
      </c>
      <c r="B476" s="31" t="s">
        <v>5730</v>
      </c>
      <c r="C476" s="35" t="n">
        <v>190</v>
      </c>
    </row>
    <row r="477" customFormat="false" ht="15" hidden="false" customHeight="false" outlineLevel="0" collapsed="false">
      <c r="A477" s="31" t="s">
        <v>5731</v>
      </c>
      <c r="B477" s="31" t="s">
        <v>5732</v>
      </c>
      <c r="C477" s="35" t="n">
        <v>204</v>
      </c>
    </row>
    <row r="478" customFormat="false" ht="15" hidden="false" customHeight="false" outlineLevel="0" collapsed="false">
      <c r="A478" s="31" t="s">
        <v>5733</v>
      </c>
      <c r="B478" s="31" t="s">
        <v>5302</v>
      </c>
      <c r="C478" s="35" t="n">
        <v>228</v>
      </c>
    </row>
    <row r="479" customFormat="false" ht="15" hidden="false" customHeight="false" outlineLevel="0" collapsed="false">
      <c r="A479" s="31" t="s">
        <v>5734</v>
      </c>
      <c r="B479" s="31" t="s">
        <v>5302</v>
      </c>
      <c r="C479" s="35" t="n">
        <v>228</v>
      </c>
    </row>
    <row r="480" customFormat="false" ht="15" hidden="false" customHeight="false" outlineLevel="0" collapsed="false">
      <c r="A480" s="31" t="s">
        <v>5735</v>
      </c>
      <c r="B480" s="31" t="s">
        <v>5302</v>
      </c>
      <c r="C480" s="35" t="n">
        <v>228</v>
      </c>
    </row>
    <row r="481" customFormat="false" ht="15" hidden="false" customHeight="false" outlineLevel="0" collapsed="false">
      <c r="A481" s="31" t="s">
        <v>5736</v>
      </c>
      <c r="B481" s="31" t="s">
        <v>5310</v>
      </c>
      <c r="C481" s="35" t="n">
        <v>186</v>
      </c>
    </row>
    <row r="482" customFormat="false" ht="15" hidden="false" customHeight="false" outlineLevel="0" collapsed="false">
      <c r="A482" s="31" t="s">
        <v>5737</v>
      </c>
      <c r="B482" s="31" t="s">
        <v>5302</v>
      </c>
      <c r="C482" s="35" t="n">
        <v>228</v>
      </c>
    </row>
    <row r="483" customFormat="false" ht="15" hidden="false" customHeight="false" outlineLevel="0" collapsed="false">
      <c r="A483" s="31" t="s">
        <v>5738</v>
      </c>
      <c r="B483" s="31" t="s">
        <v>5275</v>
      </c>
      <c r="C483" s="35" t="n">
        <v>169</v>
      </c>
    </row>
    <row r="484" customFormat="false" ht="15" hidden="false" customHeight="false" outlineLevel="0" collapsed="false">
      <c r="A484" s="31" t="s">
        <v>5739</v>
      </c>
      <c r="B484" s="31" t="s">
        <v>5302</v>
      </c>
      <c r="C484" s="35" t="n">
        <v>228</v>
      </c>
    </row>
    <row r="485" customFormat="false" ht="15" hidden="false" customHeight="false" outlineLevel="0" collapsed="false">
      <c r="A485" s="31" t="s">
        <v>5740</v>
      </c>
      <c r="B485" s="31" t="s">
        <v>5302</v>
      </c>
      <c r="C485" s="35" t="n">
        <v>228</v>
      </c>
    </row>
    <row r="486" customFormat="false" ht="15" hidden="false" customHeight="false" outlineLevel="0" collapsed="false">
      <c r="A486" s="31" t="s">
        <v>5741</v>
      </c>
      <c r="B486" s="31" t="s">
        <v>5302</v>
      </c>
      <c r="C486" s="35" t="n">
        <v>228</v>
      </c>
    </row>
    <row r="487" customFormat="false" ht="15" hidden="false" customHeight="false" outlineLevel="0" collapsed="false">
      <c r="A487" s="31" t="s">
        <v>5742</v>
      </c>
      <c r="B487" s="31" t="s">
        <v>5310</v>
      </c>
      <c r="C487" s="35" t="n">
        <v>186</v>
      </c>
    </row>
    <row r="488" customFormat="false" ht="15" hidden="false" customHeight="false" outlineLevel="0" collapsed="false">
      <c r="A488" s="31" t="s">
        <v>5743</v>
      </c>
      <c r="B488" s="31" t="s">
        <v>5275</v>
      </c>
      <c r="C488" s="35" t="n">
        <v>169</v>
      </c>
    </row>
    <row r="489" customFormat="false" ht="15" hidden="false" customHeight="false" outlineLevel="0" collapsed="false">
      <c r="A489" s="31" t="s">
        <v>4977</v>
      </c>
      <c r="B489" s="31" t="s">
        <v>5310</v>
      </c>
      <c r="C489" s="35" t="n">
        <v>186</v>
      </c>
    </row>
    <row r="490" customFormat="false" ht="15" hidden="false" customHeight="false" outlineLevel="0" collapsed="false">
      <c r="A490" s="31" t="s">
        <v>5744</v>
      </c>
      <c r="B490" s="31" t="s">
        <v>5302</v>
      </c>
      <c r="C490" s="35" t="n">
        <v>228</v>
      </c>
    </row>
    <row r="491" customFormat="false" ht="15" hidden="false" customHeight="false" outlineLevel="0" collapsed="false">
      <c r="A491" s="31" t="s">
        <v>5745</v>
      </c>
      <c r="B491" s="31" t="s">
        <v>5328</v>
      </c>
      <c r="C491" s="35" t="n">
        <v>188</v>
      </c>
    </row>
    <row r="492" customFormat="false" ht="15" hidden="false" customHeight="false" outlineLevel="0" collapsed="false">
      <c r="A492" s="31" t="s">
        <v>5746</v>
      </c>
      <c r="B492" s="31" t="s">
        <v>5310</v>
      </c>
      <c r="C492" s="35" t="n">
        <v>186</v>
      </c>
    </row>
    <row r="493" customFormat="false" ht="15" hidden="false" customHeight="false" outlineLevel="0" collapsed="false">
      <c r="A493" s="31" t="s">
        <v>5747</v>
      </c>
      <c r="B493" s="31" t="s">
        <v>5275</v>
      </c>
      <c r="C493" s="35" t="n">
        <v>169</v>
      </c>
    </row>
    <row r="494" customFormat="false" ht="15" hidden="false" customHeight="false" outlineLevel="0" collapsed="false">
      <c r="A494" s="31" t="s">
        <v>4981</v>
      </c>
      <c r="B494" s="31" t="s">
        <v>5310</v>
      </c>
      <c r="C494" s="35" t="n">
        <v>186</v>
      </c>
    </row>
    <row r="495" customFormat="false" ht="15" hidden="false" customHeight="false" outlineLevel="0" collapsed="false">
      <c r="A495" s="31" t="s">
        <v>5748</v>
      </c>
      <c r="B495" s="31" t="s">
        <v>5302</v>
      </c>
      <c r="C495" s="35" t="n">
        <v>228</v>
      </c>
    </row>
    <row r="496" customFormat="false" ht="15" hidden="false" customHeight="false" outlineLevel="0" collapsed="false">
      <c r="A496" s="31" t="s">
        <v>4983</v>
      </c>
      <c r="B496" s="31" t="s">
        <v>5310</v>
      </c>
      <c r="C496" s="35" t="n">
        <v>186</v>
      </c>
    </row>
    <row r="497" customFormat="false" ht="15" hidden="false" customHeight="false" outlineLevel="0" collapsed="false">
      <c r="A497" s="31" t="s">
        <v>5749</v>
      </c>
      <c r="B497" s="31" t="s">
        <v>5302</v>
      </c>
      <c r="C497" s="35" t="n">
        <v>228</v>
      </c>
    </row>
    <row r="498" customFormat="false" ht="15" hidden="false" customHeight="false" outlineLevel="0" collapsed="false">
      <c r="A498" s="31" t="s">
        <v>5750</v>
      </c>
      <c r="B498" s="31" t="s">
        <v>5275</v>
      </c>
      <c r="C498" s="35" t="n">
        <v>169</v>
      </c>
    </row>
    <row r="499" customFormat="false" ht="15" hidden="false" customHeight="false" outlineLevel="0" collapsed="false">
      <c r="A499" s="31" t="s">
        <v>5751</v>
      </c>
      <c r="B499" s="31" t="s">
        <v>5302</v>
      </c>
      <c r="C499" s="35" t="n">
        <v>228</v>
      </c>
    </row>
    <row r="500" customFormat="false" ht="15" hidden="false" customHeight="false" outlineLevel="0" collapsed="false">
      <c r="A500" s="31" t="s">
        <v>5752</v>
      </c>
      <c r="B500" s="31" t="s">
        <v>5275</v>
      </c>
      <c r="C500" s="35" t="n">
        <v>169</v>
      </c>
    </row>
    <row r="501" customFormat="false" ht="15" hidden="false" customHeight="false" outlineLevel="0" collapsed="false">
      <c r="A501" s="31" t="s">
        <v>5753</v>
      </c>
      <c r="B501" s="31" t="s">
        <v>5275</v>
      </c>
      <c r="C501" s="35" t="n">
        <v>169</v>
      </c>
    </row>
    <row r="502" customFormat="false" ht="15" hidden="false" customHeight="false" outlineLevel="0" collapsed="false">
      <c r="A502" s="31" t="s">
        <v>5754</v>
      </c>
      <c r="B502" s="31" t="s">
        <v>5275</v>
      </c>
      <c r="C502" s="35" t="n">
        <v>169</v>
      </c>
    </row>
    <row r="503" customFormat="false" ht="15" hidden="false" customHeight="false" outlineLevel="0" collapsed="false">
      <c r="A503" s="31" t="s">
        <v>4985</v>
      </c>
      <c r="B503" s="31" t="s">
        <v>5755</v>
      </c>
      <c r="C503" s="35" t="n">
        <v>211</v>
      </c>
    </row>
    <row r="504" customFormat="false" ht="15" hidden="false" customHeight="false" outlineLevel="0" collapsed="false">
      <c r="A504" s="31" t="s">
        <v>5756</v>
      </c>
      <c r="B504" s="31" t="s">
        <v>5275</v>
      </c>
      <c r="C504" s="35" t="n">
        <v>169</v>
      </c>
    </row>
    <row r="505" customFormat="false" ht="15" hidden="false" customHeight="false" outlineLevel="0" collapsed="false">
      <c r="A505" s="31" t="s">
        <v>5757</v>
      </c>
      <c r="B505" s="31" t="s">
        <v>5302</v>
      </c>
      <c r="C505" s="35" t="n">
        <v>228</v>
      </c>
    </row>
    <row r="506" customFormat="false" ht="15" hidden="false" customHeight="false" outlineLevel="0" collapsed="false">
      <c r="A506" s="31" t="s">
        <v>5758</v>
      </c>
      <c r="B506" s="31" t="s">
        <v>5275</v>
      </c>
      <c r="C506" s="35" t="n">
        <v>169</v>
      </c>
    </row>
    <row r="507" customFormat="false" ht="15" hidden="false" customHeight="false" outlineLevel="0" collapsed="false">
      <c r="A507" s="31" t="s">
        <v>4615</v>
      </c>
      <c r="B507" s="31" t="s">
        <v>5759</v>
      </c>
      <c r="C507" s="35" t="n">
        <v>189</v>
      </c>
    </row>
    <row r="508" customFormat="false" ht="15" hidden="false" customHeight="false" outlineLevel="0" collapsed="false">
      <c r="A508" s="31" t="s">
        <v>5760</v>
      </c>
      <c r="B508" s="31" t="s">
        <v>5302</v>
      </c>
      <c r="C508" s="35" t="n">
        <v>228</v>
      </c>
    </row>
    <row r="509" customFormat="false" ht="15" hidden="false" customHeight="false" outlineLevel="0" collapsed="false">
      <c r="A509" s="31" t="s">
        <v>5761</v>
      </c>
      <c r="B509" s="31" t="s">
        <v>5762</v>
      </c>
      <c r="C509" s="35" t="n">
        <v>193</v>
      </c>
    </row>
    <row r="510" customFormat="false" ht="15" hidden="false" customHeight="false" outlineLevel="0" collapsed="false">
      <c r="A510" s="31" t="s">
        <v>5763</v>
      </c>
      <c r="B510" s="31" t="s">
        <v>5310</v>
      </c>
      <c r="C510" s="35" t="n">
        <v>186</v>
      </c>
    </row>
    <row r="511" customFormat="false" ht="15" hidden="false" customHeight="false" outlineLevel="0" collapsed="false">
      <c r="A511" s="31" t="s">
        <v>4616</v>
      </c>
      <c r="B511" s="31" t="s">
        <v>5764</v>
      </c>
      <c r="C511" s="35" t="n">
        <v>207</v>
      </c>
    </row>
    <row r="512" customFormat="false" ht="15" hidden="false" customHeight="false" outlineLevel="0" collapsed="false">
      <c r="A512" s="31" t="s">
        <v>5765</v>
      </c>
      <c r="B512" s="31" t="s">
        <v>5275</v>
      </c>
      <c r="C512" s="35" t="n">
        <v>169</v>
      </c>
    </row>
    <row r="513" customFormat="false" ht="15" hidden="false" customHeight="false" outlineLevel="0" collapsed="false">
      <c r="A513" s="31" t="s">
        <v>4988</v>
      </c>
      <c r="B513" s="31" t="s">
        <v>5629</v>
      </c>
      <c r="C513" s="35" t="n">
        <v>178</v>
      </c>
    </row>
    <row r="514" customFormat="false" ht="15" hidden="false" customHeight="false" outlineLevel="0" collapsed="false">
      <c r="A514" s="31" t="s">
        <v>5766</v>
      </c>
      <c r="B514" s="31" t="s">
        <v>5275</v>
      </c>
      <c r="C514" s="35" t="n">
        <v>169</v>
      </c>
    </row>
    <row r="515" customFormat="false" ht="15" hidden="false" customHeight="false" outlineLevel="0" collapsed="false">
      <c r="A515" s="31" t="s">
        <v>5767</v>
      </c>
      <c r="B515" s="31" t="s">
        <v>5310</v>
      </c>
      <c r="C515" s="35" t="n">
        <v>186</v>
      </c>
    </row>
    <row r="516" customFormat="false" ht="15" hidden="false" customHeight="false" outlineLevel="0" collapsed="false">
      <c r="A516" s="31" t="s">
        <v>4990</v>
      </c>
      <c r="B516" s="31" t="s">
        <v>5310</v>
      </c>
      <c r="C516" s="35" t="n">
        <v>186</v>
      </c>
    </row>
    <row r="517" customFormat="false" ht="15" hidden="false" customHeight="false" outlineLevel="0" collapsed="false">
      <c r="A517" s="31" t="s">
        <v>5768</v>
      </c>
      <c r="B517" s="31" t="s">
        <v>5275</v>
      </c>
      <c r="C517" s="35" t="n">
        <v>169</v>
      </c>
    </row>
    <row r="518" customFormat="false" ht="15" hidden="false" customHeight="false" outlineLevel="0" collapsed="false">
      <c r="A518" s="31" t="s">
        <v>5769</v>
      </c>
      <c r="B518" s="31" t="s">
        <v>5275</v>
      </c>
      <c r="C518" s="35" t="n">
        <v>169</v>
      </c>
    </row>
    <row r="519" customFormat="false" ht="15" hidden="false" customHeight="false" outlineLevel="0" collapsed="false">
      <c r="A519" s="31" t="s">
        <v>5770</v>
      </c>
      <c r="B519" s="31" t="s">
        <v>5302</v>
      </c>
      <c r="C519" s="35" t="n">
        <v>228</v>
      </c>
    </row>
    <row r="520" customFormat="false" ht="15" hidden="false" customHeight="false" outlineLevel="0" collapsed="false">
      <c r="A520" s="31" t="s">
        <v>5771</v>
      </c>
      <c r="B520" s="31" t="s">
        <v>5275</v>
      </c>
      <c r="C520" s="35" t="n">
        <v>169</v>
      </c>
    </row>
    <row r="521" customFormat="false" ht="15" hidden="false" customHeight="false" outlineLevel="0" collapsed="false">
      <c r="A521" s="31" t="s">
        <v>5772</v>
      </c>
      <c r="B521" s="31" t="s">
        <v>5302</v>
      </c>
      <c r="C521" s="35" t="n">
        <v>228</v>
      </c>
    </row>
    <row r="522" customFormat="false" ht="15" hidden="false" customHeight="false" outlineLevel="0" collapsed="false">
      <c r="A522" s="31" t="s">
        <v>5773</v>
      </c>
      <c r="B522" s="31" t="s">
        <v>5310</v>
      </c>
      <c r="C522" s="35" t="n">
        <v>186</v>
      </c>
    </row>
    <row r="523" customFormat="false" ht="15" hidden="false" customHeight="false" outlineLevel="0" collapsed="false">
      <c r="A523" s="31" t="s">
        <v>5774</v>
      </c>
      <c r="B523" s="31" t="s">
        <v>5302</v>
      </c>
      <c r="C523" s="35" t="n">
        <v>228</v>
      </c>
    </row>
    <row r="524" customFormat="false" ht="15" hidden="false" customHeight="false" outlineLevel="0" collapsed="false">
      <c r="A524" s="31" t="s">
        <v>4619</v>
      </c>
      <c r="B524" s="31" t="s">
        <v>5775</v>
      </c>
      <c r="C524" s="35" t="n">
        <v>167</v>
      </c>
    </row>
    <row r="525" customFormat="false" ht="15" hidden="false" customHeight="false" outlineLevel="0" collapsed="false">
      <c r="A525" s="31" t="s">
        <v>5776</v>
      </c>
      <c r="B525" s="31" t="s">
        <v>5310</v>
      </c>
      <c r="C525" s="35" t="n">
        <v>186</v>
      </c>
    </row>
    <row r="526" customFormat="false" ht="15" hidden="false" customHeight="false" outlineLevel="0" collapsed="false">
      <c r="A526" s="31" t="s">
        <v>4992</v>
      </c>
      <c r="B526" s="31" t="s">
        <v>5777</v>
      </c>
      <c r="C526" s="35" t="n">
        <v>166</v>
      </c>
    </row>
    <row r="527" customFormat="false" ht="15" hidden="false" customHeight="false" outlineLevel="0" collapsed="false">
      <c r="A527" s="31" t="s">
        <v>4994</v>
      </c>
      <c r="B527" s="31" t="s">
        <v>5778</v>
      </c>
      <c r="C527" s="35" t="n">
        <v>178</v>
      </c>
    </row>
    <row r="528" customFormat="false" ht="15" hidden="false" customHeight="false" outlineLevel="0" collapsed="false">
      <c r="A528" s="31" t="s">
        <v>5779</v>
      </c>
      <c r="B528" s="31" t="s">
        <v>5275</v>
      </c>
      <c r="C528" s="35" t="n">
        <v>169</v>
      </c>
    </row>
    <row r="529" customFormat="false" ht="15" hidden="false" customHeight="false" outlineLevel="0" collapsed="false">
      <c r="A529" s="31" t="s">
        <v>5780</v>
      </c>
      <c r="B529" s="31" t="s">
        <v>5310</v>
      </c>
      <c r="C529" s="35" t="n">
        <v>186</v>
      </c>
    </row>
    <row r="530" customFormat="false" ht="15" hidden="false" customHeight="false" outlineLevel="0" collapsed="false">
      <c r="A530" s="31" t="s">
        <v>5781</v>
      </c>
      <c r="B530" s="31" t="s">
        <v>5275</v>
      </c>
      <c r="C530" s="35" t="n">
        <v>169</v>
      </c>
    </row>
    <row r="531" customFormat="false" ht="15" hidden="false" customHeight="false" outlineLevel="0" collapsed="false">
      <c r="A531" s="31" t="s">
        <v>5782</v>
      </c>
      <c r="B531" s="31" t="s">
        <v>5302</v>
      </c>
      <c r="C531" s="35" t="n">
        <v>228</v>
      </c>
    </row>
    <row r="532" customFormat="false" ht="15" hidden="false" customHeight="false" outlineLevel="0" collapsed="false">
      <c r="A532" s="31" t="s">
        <v>5783</v>
      </c>
      <c r="B532" s="31" t="s">
        <v>5275</v>
      </c>
      <c r="C532" s="35" t="n">
        <v>169</v>
      </c>
    </row>
    <row r="533" customFormat="false" ht="15" hidden="false" customHeight="false" outlineLevel="0" collapsed="false">
      <c r="A533" s="31" t="s">
        <v>5784</v>
      </c>
      <c r="B533" s="31" t="s">
        <v>5302</v>
      </c>
      <c r="C533" s="35" t="n">
        <v>228</v>
      </c>
    </row>
    <row r="534" customFormat="false" ht="15" hidden="false" customHeight="false" outlineLevel="0" collapsed="false">
      <c r="A534" s="31" t="s">
        <v>5785</v>
      </c>
      <c r="B534" s="31" t="s">
        <v>5302</v>
      </c>
      <c r="C534" s="35" t="n">
        <v>228</v>
      </c>
    </row>
    <row r="535" customFormat="false" ht="15" hidden="false" customHeight="false" outlineLevel="0" collapsed="false">
      <c r="A535" s="31" t="s">
        <v>5786</v>
      </c>
      <c r="B535" s="31" t="s">
        <v>5310</v>
      </c>
      <c r="C535" s="35" t="n">
        <v>186</v>
      </c>
    </row>
    <row r="536" customFormat="false" ht="15" hidden="false" customHeight="false" outlineLevel="0" collapsed="false">
      <c r="A536" s="31" t="s">
        <v>5787</v>
      </c>
      <c r="B536" s="31" t="s">
        <v>5275</v>
      </c>
      <c r="C536" s="35" t="n">
        <v>169</v>
      </c>
    </row>
    <row r="537" customFormat="false" ht="15" hidden="false" customHeight="false" outlineLevel="0" collapsed="false">
      <c r="A537" s="31" t="s">
        <v>4998</v>
      </c>
      <c r="B537" s="31" t="s">
        <v>5310</v>
      </c>
      <c r="C537" s="35" t="n">
        <v>186</v>
      </c>
    </row>
    <row r="538" customFormat="false" ht="15" hidden="false" customHeight="false" outlineLevel="0" collapsed="false">
      <c r="A538" s="31" t="s">
        <v>5788</v>
      </c>
      <c r="B538" s="31" t="s">
        <v>5275</v>
      </c>
      <c r="C538" s="35" t="n">
        <v>169</v>
      </c>
    </row>
    <row r="539" customFormat="false" ht="15" hidden="false" customHeight="false" outlineLevel="0" collapsed="false">
      <c r="A539" s="31" t="s">
        <v>5000</v>
      </c>
      <c r="B539" s="31" t="s">
        <v>5310</v>
      </c>
      <c r="C539" s="35" t="n">
        <v>186</v>
      </c>
    </row>
    <row r="540" customFormat="false" ht="15" hidden="false" customHeight="false" outlineLevel="0" collapsed="false">
      <c r="A540" s="31" t="s">
        <v>5789</v>
      </c>
      <c r="B540" s="31" t="s">
        <v>5275</v>
      </c>
      <c r="C540" s="35" t="n">
        <v>169</v>
      </c>
    </row>
    <row r="541" customFormat="false" ht="15" hidden="false" customHeight="false" outlineLevel="0" collapsed="false">
      <c r="A541" s="31" t="s">
        <v>5790</v>
      </c>
      <c r="B541" s="31" t="s">
        <v>5302</v>
      </c>
      <c r="C541" s="35" t="n">
        <v>228</v>
      </c>
    </row>
    <row r="542" customFormat="false" ht="15" hidden="false" customHeight="false" outlineLevel="0" collapsed="false">
      <c r="A542" s="31" t="s">
        <v>5791</v>
      </c>
      <c r="B542" s="31" t="s">
        <v>5328</v>
      </c>
      <c r="C542" s="35" t="n">
        <v>188</v>
      </c>
    </row>
    <row r="543" customFormat="false" ht="15" hidden="false" customHeight="false" outlineLevel="0" collapsed="false">
      <c r="A543" s="31" t="s">
        <v>5792</v>
      </c>
      <c r="B543" s="31" t="s">
        <v>5302</v>
      </c>
      <c r="C543" s="35" t="n">
        <v>228</v>
      </c>
    </row>
    <row r="544" customFormat="false" ht="15" hidden="false" customHeight="false" outlineLevel="0" collapsed="false">
      <c r="A544" s="31" t="s">
        <v>5004</v>
      </c>
      <c r="B544" s="31" t="s">
        <v>5310</v>
      </c>
      <c r="C544" s="35" t="n">
        <v>186</v>
      </c>
    </row>
    <row r="545" customFormat="false" ht="15" hidden="false" customHeight="false" outlineLevel="0" collapsed="false">
      <c r="A545" s="31" t="s">
        <v>5793</v>
      </c>
      <c r="B545" s="31" t="s">
        <v>5302</v>
      </c>
      <c r="C545" s="35" t="n">
        <v>228</v>
      </c>
    </row>
    <row r="546" customFormat="false" ht="15" hidden="false" customHeight="false" outlineLevel="0" collapsed="false">
      <c r="A546" s="31" t="s">
        <v>5794</v>
      </c>
      <c r="B546" s="31" t="s">
        <v>5275</v>
      </c>
      <c r="C546" s="35" t="n">
        <v>169</v>
      </c>
    </row>
    <row r="547" customFormat="false" ht="15" hidden="false" customHeight="false" outlineLevel="0" collapsed="false">
      <c r="A547" s="31" t="s">
        <v>5795</v>
      </c>
      <c r="B547" s="31" t="s">
        <v>5275</v>
      </c>
      <c r="C547" s="35" t="n">
        <v>169</v>
      </c>
    </row>
    <row r="548" customFormat="false" ht="15" hidden="false" customHeight="false" outlineLevel="0" collapsed="false">
      <c r="A548" s="31" t="s">
        <v>5796</v>
      </c>
      <c r="B548" s="31" t="s">
        <v>5797</v>
      </c>
      <c r="C548" s="35" t="n">
        <v>192</v>
      </c>
    </row>
    <row r="549" customFormat="false" ht="15" hidden="false" customHeight="false" outlineLevel="0" collapsed="false">
      <c r="A549" s="31" t="s">
        <v>5798</v>
      </c>
      <c r="B549" s="31" t="s">
        <v>5302</v>
      </c>
      <c r="C549" s="35" t="n">
        <v>228</v>
      </c>
    </row>
    <row r="550" customFormat="false" ht="15" hidden="false" customHeight="false" outlineLevel="0" collapsed="false">
      <c r="A550" s="31" t="s">
        <v>5008</v>
      </c>
      <c r="B550" s="31" t="s">
        <v>5310</v>
      </c>
      <c r="C550" s="35" t="n">
        <v>186</v>
      </c>
    </row>
    <row r="551" customFormat="false" ht="15" hidden="false" customHeight="false" outlineLevel="0" collapsed="false">
      <c r="A551" s="31" t="s">
        <v>5799</v>
      </c>
      <c r="B551" s="31" t="s">
        <v>5302</v>
      </c>
      <c r="C551" s="35" t="n">
        <v>228</v>
      </c>
    </row>
    <row r="552" customFormat="false" ht="15" hidden="false" customHeight="false" outlineLevel="0" collapsed="false">
      <c r="A552" s="31" t="s">
        <v>5800</v>
      </c>
      <c r="B552" s="31" t="s">
        <v>5302</v>
      </c>
      <c r="C552" s="35" t="n">
        <v>228</v>
      </c>
    </row>
    <row r="553" customFormat="false" ht="15" hidden="false" customHeight="false" outlineLevel="0" collapsed="false">
      <c r="A553" s="31" t="s">
        <v>5801</v>
      </c>
      <c r="B553" s="31" t="s">
        <v>5302</v>
      </c>
      <c r="C553" s="35" t="n">
        <v>228</v>
      </c>
    </row>
    <row r="554" customFormat="false" ht="15" hidden="false" customHeight="false" outlineLevel="0" collapsed="false">
      <c r="A554" s="31" t="s">
        <v>5802</v>
      </c>
      <c r="B554" s="31" t="s">
        <v>5275</v>
      </c>
      <c r="C554" s="35" t="n">
        <v>169</v>
      </c>
    </row>
    <row r="555" customFormat="false" ht="15" hidden="false" customHeight="false" outlineLevel="0" collapsed="false">
      <c r="A555" s="31" t="s">
        <v>4622</v>
      </c>
      <c r="B555" s="31" t="s">
        <v>5803</v>
      </c>
      <c r="C555" s="35" t="n">
        <v>180</v>
      </c>
    </row>
    <row r="556" customFormat="false" ht="15" hidden="false" customHeight="false" outlineLevel="0" collapsed="false">
      <c r="A556" s="31" t="s">
        <v>5804</v>
      </c>
      <c r="B556" s="31" t="s">
        <v>5302</v>
      </c>
      <c r="C556" s="35" t="n">
        <v>228</v>
      </c>
    </row>
    <row r="557" customFormat="false" ht="15" hidden="false" customHeight="false" outlineLevel="0" collapsed="false">
      <c r="A557" s="31" t="s">
        <v>4623</v>
      </c>
      <c r="B557" s="31" t="s">
        <v>5805</v>
      </c>
      <c r="C557" s="35" t="n">
        <v>166</v>
      </c>
    </row>
    <row r="558" customFormat="false" ht="15" hidden="false" customHeight="false" outlineLevel="0" collapsed="false">
      <c r="A558" s="31" t="s">
        <v>5806</v>
      </c>
      <c r="B558" s="31" t="s">
        <v>5807</v>
      </c>
      <c r="C558" s="35" t="n">
        <v>184</v>
      </c>
    </row>
    <row r="559" customFormat="false" ht="15" hidden="false" customHeight="false" outlineLevel="0" collapsed="false">
      <c r="A559" s="31" t="s">
        <v>4624</v>
      </c>
      <c r="B559" s="31" t="s">
        <v>5808</v>
      </c>
      <c r="C559" s="35" t="n">
        <v>191</v>
      </c>
    </row>
    <row r="560" customFormat="false" ht="15" hidden="false" customHeight="false" outlineLevel="0" collapsed="false">
      <c r="A560" s="31" t="s">
        <v>5016</v>
      </c>
      <c r="B560" s="31" t="s">
        <v>5310</v>
      </c>
      <c r="C560" s="35" t="n">
        <v>186</v>
      </c>
    </row>
    <row r="561" customFormat="false" ht="15" hidden="false" customHeight="false" outlineLevel="0" collapsed="false">
      <c r="A561" s="31" t="s">
        <v>5809</v>
      </c>
      <c r="B561" s="31" t="s">
        <v>5275</v>
      </c>
      <c r="C561" s="35" t="n">
        <v>169</v>
      </c>
    </row>
    <row r="562" customFormat="false" ht="15" hidden="false" customHeight="false" outlineLevel="0" collapsed="false">
      <c r="A562" s="31" t="s">
        <v>5810</v>
      </c>
      <c r="B562" s="31" t="s">
        <v>5275</v>
      </c>
      <c r="C562" s="35" t="n">
        <v>169</v>
      </c>
    </row>
    <row r="563" customFormat="false" ht="15" hidden="false" customHeight="false" outlineLevel="0" collapsed="false">
      <c r="A563" s="31" t="s">
        <v>5811</v>
      </c>
      <c r="B563" s="31" t="s">
        <v>5812</v>
      </c>
      <c r="C563" s="35" t="n">
        <v>183</v>
      </c>
    </row>
    <row r="564" customFormat="false" ht="15" hidden="false" customHeight="false" outlineLevel="0" collapsed="false">
      <c r="A564" s="31" t="s">
        <v>5813</v>
      </c>
      <c r="B564" s="31" t="s">
        <v>5302</v>
      </c>
      <c r="C564" s="35" t="n">
        <v>228</v>
      </c>
    </row>
    <row r="565" customFormat="false" ht="15" hidden="false" customHeight="false" outlineLevel="0" collapsed="false">
      <c r="A565" s="31" t="s">
        <v>5814</v>
      </c>
      <c r="B565" s="31" t="s">
        <v>5275</v>
      </c>
      <c r="C565" s="35" t="n">
        <v>169</v>
      </c>
    </row>
    <row r="566" customFormat="false" ht="15" hidden="false" customHeight="false" outlineLevel="0" collapsed="false">
      <c r="A566" s="31" t="s">
        <v>5815</v>
      </c>
      <c r="B566" s="31" t="s">
        <v>5816</v>
      </c>
      <c r="C566" s="35" t="n">
        <v>180</v>
      </c>
    </row>
    <row r="567" customFormat="false" ht="15" hidden="false" customHeight="false" outlineLevel="0" collapsed="false">
      <c r="A567" s="31" t="s">
        <v>5817</v>
      </c>
      <c r="B567" s="31" t="s">
        <v>5275</v>
      </c>
      <c r="C567" s="35" t="n">
        <v>169</v>
      </c>
    </row>
    <row r="568" customFormat="false" ht="15" hidden="false" customHeight="false" outlineLevel="0" collapsed="false">
      <c r="A568" s="31" t="s">
        <v>5018</v>
      </c>
      <c r="B568" s="31" t="s">
        <v>5310</v>
      </c>
      <c r="C568" s="35" t="n">
        <v>186</v>
      </c>
    </row>
    <row r="569" customFormat="false" ht="15" hidden="false" customHeight="false" outlineLevel="0" collapsed="false">
      <c r="A569" s="31" t="s">
        <v>5020</v>
      </c>
      <c r="B569" s="31" t="s">
        <v>5310</v>
      </c>
      <c r="C569" s="35" t="n">
        <v>186</v>
      </c>
    </row>
    <row r="570" customFormat="false" ht="15" hidden="false" customHeight="false" outlineLevel="0" collapsed="false">
      <c r="A570" s="31" t="s">
        <v>5818</v>
      </c>
      <c r="B570" s="31" t="s">
        <v>5275</v>
      </c>
      <c r="C570" s="35" t="n">
        <v>169</v>
      </c>
    </row>
    <row r="571" customFormat="false" ht="15" hidden="false" customHeight="false" outlineLevel="0" collapsed="false">
      <c r="A571" s="31" t="s">
        <v>5819</v>
      </c>
      <c r="B571" s="31" t="s">
        <v>5302</v>
      </c>
      <c r="C571" s="35" t="n">
        <v>228</v>
      </c>
    </row>
    <row r="572" customFormat="false" ht="15" hidden="false" customHeight="false" outlineLevel="0" collapsed="false">
      <c r="A572" s="31" t="s">
        <v>5820</v>
      </c>
      <c r="B572" s="31" t="s">
        <v>5275</v>
      </c>
      <c r="C572" s="35" t="n">
        <v>169</v>
      </c>
    </row>
    <row r="573" customFormat="false" ht="15" hidden="false" customHeight="false" outlineLevel="0" collapsed="false">
      <c r="A573" s="31" t="s">
        <v>5821</v>
      </c>
      <c r="B573" s="31" t="s">
        <v>5310</v>
      </c>
      <c r="C573" s="35" t="n">
        <v>186</v>
      </c>
    </row>
    <row r="574" customFormat="false" ht="15" hidden="false" customHeight="false" outlineLevel="0" collapsed="false">
      <c r="A574" s="31" t="s">
        <v>5822</v>
      </c>
      <c r="B574" s="31" t="s">
        <v>5302</v>
      </c>
      <c r="C574" s="35" t="n">
        <v>228</v>
      </c>
    </row>
    <row r="575" customFormat="false" ht="15" hidden="false" customHeight="false" outlineLevel="0" collapsed="false">
      <c r="A575" s="31" t="s">
        <v>5823</v>
      </c>
      <c r="B575" s="31" t="s">
        <v>5302</v>
      </c>
      <c r="C575" s="35" t="n">
        <v>228</v>
      </c>
    </row>
    <row r="576" customFormat="false" ht="15" hidden="false" customHeight="false" outlineLevel="0" collapsed="false">
      <c r="A576" s="31" t="s">
        <v>5824</v>
      </c>
      <c r="B576" s="31" t="s">
        <v>5310</v>
      </c>
      <c r="C576" s="35" t="n">
        <v>186</v>
      </c>
    </row>
    <row r="577" customFormat="false" ht="15" hidden="false" customHeight="false" outlineLevel="0" collapsed="false">
      <c r="A577" s="31" t="s">
        <v>5825</v>
      </c>
      <c r="B577" s="31" t="s">
        <v>5275</v>
      </c>
      <c r="C577" s="35" t="n">
        <v>169</v>
      </c>
    </row>
    <row r="578" customFormat="false" ht="15" hidden="false" customHeight="false" outlineLevel="0" collapsed="false">
      <c r="A578" s="31" t="s">
        <v>5826</v>
      </c>
      <c r="B578" s="31" t="s">
        <v>5275</v>
      </c>
      <c r="C578" s="35" t="n">
        <v>169</v>
      </c>
    </row>
    <row r="579" customFormat="false" ht="15" hidden="false" customHeight="false" outlineLevel="0" collapsed="false">
      <c r="A579" s="31" t="s">
        <v>5827</v>
      </c>
      <c r="B579" s="31" t="s">
        <v>5310</v>
      </c>
      <c r="C579" s="35" t="n">
        <v>186</v>
      </c>
    </row>
    <row r="580" customFormat="false" ht="15" hidden="false" customHeight="false" outlineLevel="0" collapsed="false">
      <c r="A580" s="31" t="s">
        <v>5828</v>
      </c>
      <c r="B580" s="31" t="s">
        <v>5829</v>
      </c>
      <c r="C580" s="35" t="n">
        <v>167</v>
      </c>
    </row>
    <row r="581" customFormat="false" ht="15" hidden="false" customHeight="false" outlineLevel="0" collapsed="false">
      <c r="A581" s="31" t="s">
        <v>5830</v>
      </c>
      <c r="B581" s="31" t="s">
        <v>5302</v>
      </c>
      <c r="C581" s="35" t="n">
        <v>228</v>
      </c>
    </row>
    <row r="582" customFormat="false" ht="15" hidden="false" customHeight="false" outlineLevel="0" collapsed="false">
      <c r="A582" s="31" t="s">
        <v>5831</v>
      </c>
      <c r="B582" s="31" t="s">
        <v>5302</v>
      </c>
      <c r="C582" s="35" t="n">
        <v>228</v>
      </c>
    </row>
    <row r="583" customFormat="false" ht="15" hidden="false" customHeight="false" outlineLevel="0" collapsed="false">
      <c r="A583" s="31" t="s">
        <v>5832</v>
      </c>
      <c r="B583" s="31" t="s">
        <v>5833</v>
      </c>
      <c r="C583" s="35" t="n">
        <v>178</v>
      </c>
    </row>
    <row r="584" customFormat="false" ht="15" hidden="false" customHeight="false" outlineLevel="0" collapsed="false">
      <c r="A584" s="31" t="s">
        <v>5027</v>
      </c>
      <c r="B584" s="31" t="s">
        <v>5310</v>
      </c>
      <c r="C584" s="35" t="n">
        <v>186</v>
      </c>
    </row>
    <row r="585" customFormat="false" ht="15" hidden="false" customHeight="false" outlineLevel="0" collapsed="false">
      <c r="A585" s="31" t="s">
        <v>5029</v>
      </c>
      <c r="B585" s="31" t="s">
        <v>5310</v>
      </c>
      <c r="C585" s="35" t="n">
        <v>186</v>
      </c>
    </row>
    <row r="586" customFormat="false" ht="15" hidden="false" customHeight="false" outlineLevel="0" collapsed="false">
      <c r="A586" s="31" t="s">
        <v>5834</v>
      </c>
      <c r="B586" s="31" t="s">
        <v>5275</v>
      </c>
      <c r="C586" s="35" t="n">
        <v>169</v>
      </c>
    </row>
    <row r="587" customFormat="false" ht="15" hidden="false" customHeight="false" outlineLevel="0" collapsed="false">
      <c r="A587" s="31" t="s">
        <v>5835</v>
      </c>
      <c r="B587" s="31" t="s">
        <v>5302</v>
      </c>
      <c r="C587" s="35" t="n">
        <v>228</v>
      </c>
    </row>
    <row r="588" customFormat="false" ht="15" hidden="false" customHeight="false" outlineLevel="0" collapsed="false">
      <c r="A588" s="31" t="s">
        <v>5836</v>
      </c>
      <c r="B588" s="31" t="s">
        <v>5275</v>
      </c>
      <c r="C588" s="35" t="n">
        <v>169</v>
      </c>
    </row>
    <row r="589" customFormat="false" ht="15" hidden="false" customHeight="false" outlineLevel="0" collapsed="false">
      <c r="A589" s="31" t="s">
        <v>5031</v>
      </c>
      <c r="B589" s="31" t="s">
        <v>5310</v>
      </c>
      <c r="C589" s="35" t="n">
        <v>186</v>
      </c>
    </row>
    <row r="590" customFormat="false" ht="15" hidden="false" customHeight="false" outlineLevel="0" collapsed="false">
      <c r="A590" s="31" t="s">
        <v>5033</v>
      </c>
      <c r="B590" s="31" t="s">
        <v>5310</v>
      </c>
      <c r="C590" s="35" t="n">
        <v>186</v>
      </c>
    </row>
    <row r="591" customFormat="false" ht="15" hidden="false" customHeight="false" outlineLevel="0" collapsed="false">
      <c r="A591" s="31" t="s">
        <v>5837</v>
      </c>
      <c r="B591" s="31" t="s">
        <v>5302</v>
      </c>
      <c r="C591" s="35" t="n">
        <v>228</v>
      </c>
    </row>
    <row r="592" customFormat="false" ht="15" hidden="false" customHeight="false" outlineLevel="0" collapsed="false">
      <c r="A592" s="31" t="s">
        <v>5838</v>
      </c>
      <c r="B592" s="31" t="s">
        <v>5310</v>
      </c>
      <c r="C592" s="35" t="n">
        <v>186</v>
      </c>
    </row>
    <row r="593" customFormat="false" ht="15" hidden="false" customHeight="false" outlineLevel="0" collapsed="false">
      <c r="A593" s="31" t="s">
        <v>5839</v>
      </c>
      <c r="B593" s="31" t="s">
        <v>5275</v>
      </c>
      <c r="C593" s="35" t="n">
        <v>169</v>
      </c>
    </row>
    <row r="594" customFormat="false" ht="15" hidden="false" customHeight="false" outlineLevel="0" collapsed="false">
      <c r="A594" s="31" t="s">
        <v>5035</v>
      </c>
      <c r="B594" s="31" t="s">
        <v>5310</v>
      </c>
      <c r="C594" s="35" t="n">
        <v>186</v>
      </c>
    </row>
    <row r="595" customFormat="false" ht="15" hidden="false" customHeight="false" outlineLevel="0" collapsed="false">
      <c r="A595" s="31" t="s">
        <v>5840</v>
      </c>
      <c r="B595" s="31" t="s">
        <v>5302</v>
      </c>
      <c r="C595" s="35" t="n">
        <v>228</v>
      </c>
    </row>
    <row r="596" customFormat="false" ht="15" hidden="false" customHeight="false" outlineLevel="0" collapsed="false">
      <c r="A596" s="31" t="s">
        <v>5841</v>
      </c>
      <c r="B596" s="31" t="s">
        <v>5302</v>
      </c>
      <c r="C596" s="35" t="n">
        <v>228</v>
      </c>
    </row>
    <row r="597" customFormat="false" ht="15" hidden="false" customHeight="false" outlineLevel="0" collapsed="false">
      <c r="A597" s="31" t="s">
        <v>5842</v>
      </c>
      <c r="B597" s="31" t="s">
        <v>5310</v>
      </c>
      <c r="C597" s="35" t="n">
        <v>186</v>
      </c>
    </row>
    <row r="598" customFormat="false" ht="15" hidden="false" customHeight="false" outlineLevel="0" collapsed="false">
      <c r="A598" s="31" t="s">
        <v>5843</v>
      </c>
      <c r="B598" s="31" t="s">
        <v>5310</v>
      </c>
      <c r="C598" s="35" t="n">
        <v>186</v>
      </c>
    </row>
    <row r="599" customFormat="false" ht="15" hidden="false" customHeight="false" outlineLevel="0" collapsed="false">
      <c r="A599" s="31" t="s">
        <v>4627</v>
      </c>
      <c r="B599" s="31" t="s">
        <v>5844</v>
      </c>
      <c r="C599" s="35" t="n">
        <v>211</v>
      </c>
    </row>
    <row r="600" customFormat="false" ht="15" hidden="false" customHeight="false" outlineLevel="0" collapsed="false">
      <c r="A600" s="31" t="s">
        <v>5845</v>
      </c>
      <c r="B600" s="31" t="s">
        <v>5302</v>
      </c>
      <c r="C600" s="35" t="n">
        <v>228</v>
      </c>
    </row>
    <row r="601" customFormat="false" ht="15" hidden="false" customHeight="false" outlineLevel="0" collapsed="false">
      <c r="A601" s="31" t="s">
        <v>5846</v>
      </c>
      <c r="B601" s="31" t="s">
        <v>5275</v>
      </c>
      <c r="C601" s="35" t="n">
        <v>169</v>
      </c>
    </row>
    <row r="602" customFormat="false" ht="15" hidden="false" customHeight="false" outlineLevel="0" collapsed="false">
      <c r="A602" s="31" t="s">
        <v>5847</v>
      </c>
      <c r="B602" s="31" t="s">
        <v>5275</v>
      </c>
      <c r="C602" s="35" t="n">
        <v>169</v>
      </c>
    </row>
    <row r="603" customFormat="false" ht="15" hidden="false" customHeight="false" outlineLevel="0" collapsed="false">
      <c r="A603" s="31" t="s">
        <v>5040</v>
      </c>
      <c r="B603" s="31" t="s">
        <v>5310</v>
      </c>
      <c r="C603" s="35" t="n">
        <v>186</v>
      </c>
    </row>
    <row r="604" customFormat="false" ht="15" hidden="false" customHeight="false" outlineLevel="0" collapsed="false">
      <c r="A604" s="31" t="s">
        <v>5848</v>
      </c>
      <c r="B604" s="31" t="s">
        <v>5302</v>
      </c>
      <c r="C604" s="35" t="n">
        <v>228</v>
      </c>
    </row>
    <row r="605" customFormat="false" ht="15" hidden="false" customHeight="false" outlineLevel="0" collapsed="false">
      <c r="A605" s="31" t="s">
        <v>5849</v>
      </c>
      <c r="B605" s="31" t="s">
        <v>5275</v>
      </c>
      <c r="C605" s="35" t="n">
        <v>169</v>
      </c>
    </row>
    <row r="606" customFormat="false" ht="15" hidden="false" customHeight="false" outlineLevel="0" collapsed="false">
      <c r="A606" s="31" t="s">
        <v>5850</v>
      </c>
      <c r="B606" s="31" t="s">
        <v>5275</v>
      </c>
      <c r="C606" s="35" t="n">
        <v>169</v>
      </c>
    </row>
    <row r="607" customFormat="false" ht="15" hidden="false" customHeight="false" outlineLevel="0" collapsed="false">
      <c r="A607" s="31" t="s">
        <v>5851</v>
      </c>
      <c r="B607" s="31" t="s">
        <v>5302</v>
      </c>
      <c r="C607" s="35" t="n">
        <v>228</v>
      </c>
    </row>
    <row r="608" customFormat="false" ht="15" hidden="false" customHeight="false" outlineLevel="0" collapsed="false">
      <c r="A608" s="31" t="s">
        <v>5044</v>
      </c>
      <c r="B608" s="31" t="s">
        <v>5852</v>
      </c>
      <c r="C608" s="35" t="n">
        <v>183</v>
      </c>
    </row>
    <row r="609" customFormat="false" ht="15" hidden="false" customHeight="false" outlineLevel="0" collapsed="false">
      <c r="A609" s="31" t="s">
        <v>5853</v>
      </c>
      <c r="B609" s="31" t="s">
        <v>5302</v>
      </c>
      <c r="C609" s="35" t="n">
        <v>228</v>
      </c>
    </row>
    <row r="610" customFormat="false" ht="15" hidden="false" customHeight="false" outlineLevel="0" collapsed="false">
      <c r="A610" s="31" t="s">
        <v>5854</v>
      </c>
      <c r="B610" s="31" t="s">
        <v>5310</v>
      </c>
      <c r="C610" s="35" t="n">
        <v>186</v>
      </c>
    </row>
    <row r="611" customFormat="false" ht="15" hidden="false" customHeight="false" outlineLevel="0" collapsed="false">
      <c r="A611" s="31" t="s">
        <v>5855</v>
      </c>
      <c r="B611" s="31" t="s">
        <v>5310</v>
      </c>
      <c r="C611" s="35" t="n">
        <v>186</v>
      </c>
    </row>
    <row r="612" customFormat="false" ht="15" hidden="false" customHeight="false" outlineLevel="0" collapsed="false">
      <c r="A612" s="31" t="s">
        <v>5856</v>
      </c>
      <c r="B612" s="31" t="s">
        <v>5302</v>
      </c>
      <c r="C612" s="35" t="n">
        <v>228</v>
      </c>
    </row>
    <row r="613" customFormat="false" ht="15" hidden="false" customHeight="false" outlineLevel="0" collapsed="false">
      <c r="A613" s="31" t="s">
        <v>5857</v>
      </c>
      <c r="B613" s="31" t="s">
        <v>5310</v>
      </c>
      <c r="C613" s="35" t="n">
        <v>186</v>
      </c>
    </row>
    <row r="614" customFormat="false" ht="15" hidden="false" customHeight="false" outlineLevel="0" collapsed="false">
      <c r="A614" s="31" t="s">
        <v>5858</v>
      </c>
      <c r="B614" s="31" t="s">
        <v>5275</v>
      </c>
      <c r="C614" s="35" t="n">
        <v>169</v>
      </c>
    </row>
    <row r="615" customFormat="false" ht="15" hidden="false" customHeight="false" outlineLevel="0" collapsed="false">
      <c r="A615" s="31" t="s">
        <v>5046</v>
      </c>
      <c r="B615" s="31" t="s">
        <v>5310</v>
      </c>
      <c r="C615" s="35" t="n">
        <v>186</v>
      </c>
    </row>
    <row r="616" customFormat="false" ht="15" hidden="false" customHeight="false" outlineLevel="0" collapsed="false">
      <c r="A616" s="31" t="s">
        <v>5859</v>
      </c>
      <c r="B616" s="31" t="s">
        <v>5860</v>
      </c>
      <c r="C616" s="35" t="n">
        <v>201</v>
      </c>
    </row>
    <row r="617" customFormat="false" ht="15" hidden="false" customHeight="false" outlineLevel="0" collapsed="false">
      <c r="A617" s="31" t="s">
        <v>5861</v>
      </c>
      <c r="B617" s="31" t="s">
        <v>5862</v>
      </c>
      <c r="C617" s="35" t="n">
        <v>195</v>
      </c>
    </row>
    <row r="618" customFormat="false" ht="15" hidden="false" customHeight="false" outlineLevel="0" collapsed="false">
      <c r="A618" s="31" t="s">
        <v>5863</v>
      </c>
      <c r="B618" s="31" t="s">
        <v>5302</v>
      </c>
      <c r="C618" s="35" t="n">
        <v>228</v>
      </c>
    </row>
    <row r="619" customFormat="false" ht="15" hidden="false" customHeight="false" outlineLevel="0" collapsed="false">
      <c r="A619" s="31" t="s">
        <v>5048</v>
      </c>
      <c r="B619" s="31" t="s">
        <v>5310</v>
      </c>
      <c r="C619" s="35" t="n">
        <v>186</v>
      </c>
    </row>
    <row r="620" customFormat="false" ht="15" hidden="false" customHeight="false" outlineLevel="0" collapsed="false">
      <c r="A620" s="31" t="s">
        <v>5864</v>
      </c>
      <c r="B620" s="31" t="s">
        <v>5302</v>
      </c>
      <c r="C620" s="35" t="n">
        <v>228</v>
      </c>
    </row>
    <row r="621" customFormat="false" ht="15" hidden="false" customHeight="false" outlineLevel="0" collapsed="false">
      <c r="A621" s="31" t="s">
        <v>5865</v>
      </c>
      <c r="B621" s="31" t="s">
        <v>5866</v>
      </c>
      <c r="C621" s="35" t="n">
        <v>206</v>
      </c>
    </row>
    <row r="622" customFormat="false" ht="15" hidden="false" customHeight="false" outlineLevel="0" collapsed="false">
      <c r="A622" s="31" t="s">
        <v>5867</v>
      </c>
      <c r="B622" s="31" t="s">
        <v>5302</v>
      </c>
      <c r="C622" s="35" t="n">
        <v>228</v>
      </c>
    </row>
    <row r="623" customFormat="false" ht="15" hidden="false" customHeight="false" outlineLevel="0" collapsed="false">
      <c r="A623" s="31" t="s">
        <v>5868</v>
      </c>
      <c r="B623" s="31" t="s">
        <v>5302</v>
      </c>
      <c r="C623" s="35" t="n">
        <v>228</v>
      </c>
    </row>
    <row r="624" customFormat="false" ht="15" hidden="false" customHeight="false" outlineLevel="0" collapsed="false">
      <c r="A624" s="31" t="s">
        <v>5869</v>
      </c>
      <c r="B624" s="31" t="s">
        <v>5275</v>
      </c>
      <c r="C624" s="35" t="n">
        <v>169</v>
      </c>
    </row>
    <row r="625" customFormat="false" ht="15" hidden="false" customHeight="false" outlineLevel="0" collapsed="false">
      <c r="A625" s="31" t="s">
        <v>5052</v>
      </c>
      <c r="B625" s="31" t="s">
        <v>5870</v>
      </c>
      <c r="C625" s="35" t="n">
        <v>168</v>
      </c>
    </row>
    <row r="626" customFormat="false" ht="15" hidden="false" customHeight="false" outlineLevel="0" collapsed="false">
      <c r="A626" s="31" t="s">
        <v>5871</v>
      </c>
      <c r="B626" s="31" t="s">
        <v>5275</v>
      </c>
      <c r="C626" s="35" t="n">
        <v>169</v>
      </c>
    </row>
    <row r="627" customFormat="false" ht="15" hidden="false" customHeight="false" outlineLevel="0" collapsed="false">
      <c r="A627" s="31" t="s">
        <v>5872</v>
      </c>
      <c r="B627" s="31" t="s">
        <v>5873</v>
      </c>
      <c r="C627" s="35" t="n">
        <v>184</v>
      </c>
    </row>
    <row r="628" customFormat="false" ht="15" hidden="false" customHeight="false" outlineLevel="0" collapsed="false">
      <c r="A628" s="31" t="s">
        <v>5874</v>
      </c>
      <c r="B628" s="31" t="s">
        <v>5310</v>
      </c>
      <c r="C628" s="35" t="n">
        <v>186</v>
      </c>
    </row>
    <row r="629" customFormat="false" ht="15" hidden="false" customHeight="false" outlineLevel="0" collapsed="false">
      <c r="A629" s="31" t="s">
        <v>5875</v>
      </c>
      <c r="B629" s="31" t="s">
        <v>5275</v>
      </c>
      <c r="C629" s="35" t="n">
        <v>169</v>
      </c>
    </row>
    <row r="630" customFormat="false" ht="15" hidden="false" customHeight="false" outlineLevel="0" collapsed="false">
      <c r="A630" s="31" t="s">
        <v>4631</v>
      </c>
      <c r="B630" s="31" t="s">
        <v>5876</v>
      </c>
      <c r="C630" s="35" t="n">
        <v>195</v>
      </c>
    </row>
    <row r="631" customFormat="false" ht="15" hidden="false" customHeight="false" outlineLevel="0" collapsed="false">
      <c r="A631" s="31" t="s">
        <v>5877</v>
      </c>
      <c r="B631" s="31" t="s">
        <v>5275</v>
      </c>
      <c r="C631" s="35" t="n">
        <v>169</v>
      </c>
    </row>
    <row r="632" customFormat="false" ht="15" hidden="false" customHeight="false" outlineLevel="0" collapsed="false">
      <c r="A632" s="31" t="s">
        <v>5055</v>
      </c>
      <c r="B632" s="31" t="s">
        <v>5878</v>
      </c>
      <c r="C632" s="35" t="n">
        <v>215</v>
      </c>
    </row>
    <row r="633" customFormat="false" ht="15" hidden="false" customHeight="false" outlineLevel="0" collapsed="false">
      <c r="A633" s="31" t="s">
        <v>5879</v>
      </c>
      <c r="B633" s="31" t="s">
        <v>5880</v>
      </c>
      <c r="C633" s="35" t="n">
        <v>165</v>
      </c>
    </row>
    <row r="634" customFormat="false" ht="15" hidden="false" customHeight="false" outlineLevel="0" collapsed="false">
      <c r="A634" s="31" t="s">
        <v>5881</v>
      </c>
      <c r="B634" s="31" t="s">
        <v>5310</v>
      </c>
      <c r="C634" s="35" t="n">
        <v>186</v>
      </c>
    </row>
    <row r="635" customFormat="false" ht="15" hidden="false" customHeight="false" outlineLevel="0" collapsed="false">
      <c r="A635" s="31" t="s">
        <v>5882</v>
      </c>
      <c r="B635" s="31" t="s">
        <v>5302</v>
      </c>
      <c r="C635" s="35" t="n">
        <v>228</v>
      </c>
    </row>
    <row r="636" customFormat="false" ht="15" hidden="false" customHeight="false" outlineLevel="0" collapsed="false">
      <c r="A636" s="31" t="s">
        <v>5057</v>
      </c>
      <c r="B636" s="31" t="s">
        <v>5883</v>
      </c>
      <c r="C636" s="35" t="n">
        <v>186</v>
      </c>
    </row>
    <row r="637" customFormat="false" ht="15" hidden="false" customHeight="false" outlineLevel="0" collapsed="false">
      <c r="A637" s="31" t="s">
        <v>5884</v>
      </c>
      <c r="B637" s="31" t="s">
        <v>5310</v>
      </c>
      <c r="C637" s="35" t="n">
        <v>186</v>
      </c>
    </row>
    <row r="638" customFormat="false" ht="15" hidden="false" customHeight="false" outlineLevel="0" collapsed="false">
      <c r="A638" s="31" t="s">
        <v>5885</v>
      </c>
      <c r="B638" s="31" t="s">
        <v>5310</v>
      </c>
      <c r="C638" s="35" t="n">
        <v>186</v>
      </c>
    </row>
    <row r="639" customFormat="false" ht="15" hidden="false" customHeight="false" outlineLevel="0" collapsed="false">
      <c r="A639" s="31" t="s">
        <v>5886</v>
      </c>
      <c r="B639" s="31" t="s">
        <v>5302</v>
      </c>
      <c r="C639" s="35" t="n">
        <v>228</v>
      </c>
    </row>
    <row r="640" customFormat="false" ht="15" hidden="false" customHeight="false" outlineLevel="0" collapsed="false">
      <c r="A640" s="31" t="s">
        <v>5887</v>
      </c>
      <c r="B640" s="31" t="s">
        <v>5302</v>
      </c>
      <c r="C640" s="35" t="n">
        <v>228</v>
      </c>
    </row>
    <row r="641" customFormat="false" ht="15" hidden="false" customHeight="false" outlineLevel="0" collapsed="false">
      <c r="A641" s="31" t="s">
        <v>5888</v>
      </c>
      <c r="B641" s="31" t="s">
        <v>5275</v>
      </c>
      <c r="C641" s="35" t="n">
        <v>169</v>
      </c>
    </row>
    <row r="642" customFormat="false" ht="15" hidden="false" customHeight="false" outlineLevel="0" collapsed="false">
      <c r="A642" s="31" t="s">
        <v>5889</v>
      </c>
      <c r="B642" s="31" t="s">
        <v>5890</v>
      </c>
      <c r="C642" s="35" t="n">
        <v>164</v>
      </c>
    </row>
    <row r="643" customFormat="false" ht="15" hidden="false" customHeight="false" outlineLevel="0" collapsed="false">
      <c r="A643" s="31" t="s">
        <v>5891</v>
      </c>
      <c r="B643" s="31" t="s">
        <v>5310</v>
      </c>
      <c r="C643" s="35" t="n">
        <v>186</v>
      </c>
    </row>
    <row r="644" customFormat="false" ht="15" hidden="false" customHeight="false" outlineLevel="0" collapsed="false">
      <c r="A644" s="31" t="s">
        <v>5059</v>
      </c>
      <c r="B644" s="31" t="s">
        <v>5310</v>
      </c>
      <c r="C644" s="35" t="n">
        <v>186</v>
      </c>
    </row>
    <row r="645" customFormat="false" ht="15" hidden="false" customHeight="false" outlineLevel="0" collapsed="false">
      <c r="A645" s="31" t="s">
        <v>5061</v>
      </c>
      <c r="B645" s="31" t="s">
        <v>5310</v>
      </c>
      <c r="C645" s="35" t="n">
        <v>186</v>
      </c>
    </row>
    <row r="646" customFormat="false" ht="15" hidden="false" customHeight="false" outlineLevel="0" collapsed="false">
      <c r="A646" s="31" t="s">
        <v>5892</v>
      </c>
      <c r="B646" s="31" t="s">
        <v>5275</v>
      </c>
      <c r="C646" s="35" t="n">
        <v>169</v>
      </c>
    </row>
    <row r="647" customFormat="false" ht="15" hidden="false" customHeight="false" outlineLevel="0" collapsed="false">
      <c r="A647" s="31" t="s">
        <v>5063</v>
      </c>
      <c r="B647" s="31" t="s">
        <v>5893</v>
      </c>
      <c r="C647" s="35" t="n">
        <v>168</v>
      </c>
    </row>
    <row r="648" customFormat="false" ht="15" hidden="false" customHeight="false" outlineLevel="0" collapsed="false">
      <c r="A648" s="31" t="s">
        <v>5894</v>
      </c>
      <c r="B648" s="31" t="s">
        <v>5275</v>
      </c>
      <c r="C648" s="35" t="n">
        <v>169</v>
      </c>
    </row>
    <row r="649" customFormat="false" ht="15" hidden="false" customHeight="false" outlineLevel="0" collapsed="false">
      <c r="A649" s="31" t="s">
        <v>5895</v>
      </c>
      <c r="B649" s="31" t="s">
        <v>5310</v>
      </c>
      <c r="C649" s="35" t="n">
        <v>186</v>
      </c>
    </row>
    <row r="650" customFormat="false" ht="15" hidden="false" customHeight="false" outlineLevel="0" collapsed="false">
      <c r="A650" s="31" t="s">
        <v>5896</v>
      </c>
      <c r="B650" s="31" t="s">
        <v>5275</v>
      </c>
      <c r="C650" s="35" t="n">
        <v>169</v>
      </c>
    </row>
    <row r="651" customFormat="false" ht="15" hidden="false" customHeight="false" outlineLevel="0" collapsed="false">
      <c r="A651" s="31" t="s">
        <v>5897</v>
      </c>
      <c r="B651" s="31" t="s">
        <v>5275</v>
      </c>
      <c r="C651" s="35" t="n">
        <v>169</v>
      </c>
    </row>
    <row r="652" customFormat="false" ht="15" hidden="false" customHeight="false" outlineLevel="0" collapsed="false">
      <c r="A652" s="31" t="s">
        <v>5898</v>
      </c>
      <c r="B652" s="31" t="s">
        <v>5275</v>
      </c>
      <c r="C652" s="35" t="n">
        <v>169</v>
      </c>
    </row>
    <row r="653" customFormat="false" ht="15" hidden="false" customHeight="false" outlineLevel="0" collapsed="false">
      <c r="A653" s="31" t="s">
        <v>5899</v>
      </c>
      <c r="B653" s="31" t="s">
        <v>5275</v>
      </c>
      <c r="C653" s="35" t="n">
        <v>169</v>
      </c>
    </row>
    <row r="654" customFormat="false" ht="15" hidden="false" customHeight="false" outlineLevel="0" collapsed="false">
      <c r="A654" s="31" t="s">
        <v>5900</v>
      </c>
      <c r="B654" s="31" t="s">
        <v>5302</v>
      </c>
      <c r="C654" s="35" t="n">
        <v>228</v>
      </c>
    </row>
    <row r="655" customFormat="false" ht="15" hidden="false" customHeight="false" outlineLevel="0" collapsed="false">
      <c r="A655" s="31" t="s">
        <v>5901</v>
      </c>
      <c r="B655" s="31" t="s">
        <v>5275</v>
      </c>
      <c r="C655" s="35" t="n">
        <v>169</v>
      </c>
    </row>
    <row r="656" customFormat="false" ht="15" hidden="false" customHeight="false" outlineLevel="0" collapsed="false">
      <c r="A656" s="31" t="s">
        <v>5902</v>
      </c>
      <c r="B656" s="31" t="s">
        <v>5903</v>
      </c>
      <c r="C656" s="35" t="n">
        <v>190</v>
      </c>
    </row>
    <row r="657" customFormat="false" ht="15" hidden="false" customHeight="false" outlineLevel="0" collapsed="false">
      <c r="A657" s="31" t="s">
        <v>5069</v>
      </c>
      <c r="B657" s="31" t="s">
        <v>5904</v>
      </c>
      <c r="C657" s="35" t="n">
        <v>182</v>
      </c>
    </row>
    <row r="658" customFormat="false" ht="15" hidden="false" customHeight="false" outlineLevel="0" collapsed="false">
      <c r="A658" s="31" t="s">
        <v>5905</v>
      </c>
      <c r="B658" s="31" t="s">
        <v>5906</v>
      </c>
      <c r="C658" s="35" t="n">
        <v>183</v>
      </c>
    </row>
    <row r="659" customFormat="false" ht="15" hidden="false" customHeight="false" outlineLevel="0" collapsed="false">
      <c r="A659" s="31" t="s">
        <v>5907</v>
      </c>
      <c r="B659" s="31" t="s">
        <v>5310</v>
      </c>
      <c r="C659" s="35" t="n">
        <v>186</v>
      </c>
    </row>
    <row r="660" customFormat="false" ht="15" hidden="false" customHeight="false" outlineLevel="0" collapsed="false">
      <c r="A660" s="31" t="s">
        <v>5908</v>
      </c>
      <c r="B660" s="31" t="s">
        <v>5302</v>
      </c>
      <c r="C660" s="35" t="n">
        <v>228</v>
      </c>
    </row>
    <row r="661" customFormat="false" ht="15" hidden="false" customHeight="false" outlineLevel="0" collapsed="false">
      <c r="A661" s="31" t="s">
        <v>5909</v>
      </c>
      <c r="B661" s="31" t="s">
        <v>5542</v>
      </c>
      <c r="C661" s="35" t="n">
        <v>169</v>
      </c>
    </row>
    <row r="662" customFormat="false" ht="15" hidden="false" customHeight="false" outlineLevel="0" collapsed="false">
      <c r="A662" s="31" t="s">
        <v>5910</v>
      </c>
      <c r="B662" s="31" t="s">
        <v>5302</v>
      </c>
      <c r="C662" s="35" t="n">
        <v>228</v>
      </c>
    </row>
    <row r="663" customFormat="false" ht="15" hidden="false" customHeight="false" outlineLevel="0" collapsed="false">
      <c r="A663" s="31" t="s">
        <v>5911</v>
      </c>
      <c r="B663" s="31" t="s">
        <v>5302</v>
      </c>
      <c r="C663" s="35" t="n">
        <v>228</v>
      </c>
    </row>
    <row r="664" customFormat="false" ht="15" hidden="false" customHeight="false" outlineLevel="0" collapsed="false">
      <c r="A664" s="31" t="s">
        <v>5912</v>
      </c>
      <c r="B664" s="31" t="s">
        <v>5302</v>
      </c>
      <c r="C664" s="35" t="n">
        <v>228</v>
      </c>
    </row>
    <row r="665" customFormat="false" ht="15" hidden="false" customHeight="false" outlineLevel="0" collapsed="false">
      <c r="A665" s="31" t="s">
        <v>5071</v>
      </c>
      <c r="B665" s="31" t="s">
        <v>5913</v>
      </c>
      <c r="C665" s="35" t="n">
        <v>212</v>
      </c>
    </row>
    <row r="666" customFormat="false" ht="15" hidden="false" customHeight="false" outlineLevel="0" collapsed="false">
      <c r="A666" s="31" t="s">
        <v>5914</v>
      </c>
      <c r="B666" s="31" t="s">
        <v>5915</v>
      </c>
      <c r="C666" s="35" t="n">
        <v>170</v>
      </c>
    </row>
    <row r="667" customFormat="false" ht="15" hidden="false" customHeight="false" outlineLevel="0" collapsed="false">
      <c r="A667" s="31" t="s">
        <v>5916</v>
      </c>
      <c r="B667" s="31" t="s">
        <v>5302</v>
      </c>
      <c r="C667" s="35" t="n">
        <v>228</v>
      </c>
    </row>
    <row r="668" customFormat="false" ht="15" hidden="false" customHeight="false" outlineLevel="0" collapsed="false">
      <c r="A668" s="31" t="s">
        <v>5917</v>
      </c>
      <c r="B668" s="31" t="s">
        <v>5302</v>
      </c>
      <c r="C668" s="35" t="n">
        <v>228</v>
      </c>
    </row>
    <row r="669" customFormat="false" ht="15" hidden="false" customHeight="false" outlineLevel="0" collapsed="false">
      <c r="A669" s="31" t="s">
        <v>5073</v>
      </c>
      <c r="B669" s="31" t="s">
        <v>5918</v>
      </c>
      <c r="C669" s="35" t="n">
        <v>186</v>
      </c>
    </row>
    <row r="670" customFormat="false" ht="15" hidden="false" customHeight="false" outlineLevel="0" collapsed="false">
      <c r="A670" s="31" t="s">
        <v>5919</v>
      </c>
      <c r="B670" s="31" t="s">
        <v>5302</v>
      </c>
      <c r="C670" s="35" t="n">
        <v>228</v>
      </c>
    </row>
    <row r="671" customFormat="false" ht="15" hidden="false" customHeight="false" outlineLevel="0" collapsed="false">
      <c r="A671" s="31" t="s">
        <v>5920</v>
      </c>
      <c r="B671" s="31" t="s">
        <v>5302</v>
      </c>
      <c r="C671" s="35" t="n">
        <v>228</v>
      </c>
    </row>
    <row r="672" customFormat="false" ht="15" hidden="false" customHeight="false" outlineLevel="0" collapsed="false">
      <c r="A672" s="31" t="s">
        <v>5075</v>
      </c>
      <c r="B672" s="31" t="s">
        <v>5921</v>
      </c>
      <c r="C672" s="35" t="n">
        <v>165</v>
      </c>
    </row>
    <row r="673" customFormat="false" ht="15" hidden="false" customHeight="false" outlineLevel="0" collapsed="false">
      <c r="A673" s="31" t="s">
        <v>5922</v>
      </c>
      <c r="B673" s="31" t="s">
        <v>5302</v>
      </c>
      <c r="C673" s="35" t="n">
        <v>228</v>
      </c>
    </row>
    <row r="674" customFormat="false" ht="15" hidden="false" customHeight="false" outlineLevel="0" collapsed="false">
      <c r="A674" s="31" t="s">
        <v>5923</v>
      </c>
      <c r="B674" s="31" t="s">
        <v>5302</v>
      </c>
      <c r="C674" s="35" t="n">
        <v>228</v>
      </c>
    </row>
    <row r="675" customFormat="false" ht="15" hidden="false" customHeight="false" outlineLevel="0" collapsed="false">
      <c r="A675" s="31" t="s">
        <v>5924</v>
      </c>
      <c r="B675" s="31" t="s">
        <v>5302</v>
      </c>
      <c r="C675" s="35" t="n">
        <v>228</v>
      </c>
    </row>
    <row r="676" customFormat="false" ht="15" hidden="false" customHeight="false" outlineLevel="0" collapsed="false">
      <c r="A676" s="31" t="s">
        <v>5925</v>
      </c>
      <c r="B676" s="31" t="s">
        <v>5275</v>
      </c>
      <c r="C676" s="35" t="n">
        <v>169</v>
      </c>
    </row>
    <row r="677" customFormat="false" ht="15" hidden="false" customHeight="false" outlineLevel="0" collapsed="false">
      <c r="A677" s="31" t="s">
        <v>5926</v>
      </c>
      <c r="B677" s="31" t="s">
        <v>5275</v>
      </c>
      <c r="C677" s="35" t="n">
        <v>169</v>
      </c>
    </row>
    <row r="678" customFormat="false" ht="15" hidden="false" customHeight="false" outlineLevel="0" collapsed="false">
      <c r="A678" s="31" t="s">
        <v>5927</v>
      </c>
      <c r="B678" s="31" t="s">
        <v>5275</v>
      </c>
      <c r="C678" s="35" t="n">
        <v>169</v>
      </c>
    </row>
    <row r="679" customFormat="false" ht="15" hidden="false" customHeight="false" outlineLevel="0" collapsed="false">
      <c r="A679" s="31" t="s">
        <v>5081</v>
      </c>
      <c r="B679" s="31" t="s">
        <v>5310</v>
      </c>
      <c r="C679" s="35" t="n">
        <v>186</v>
      </c>
    </row>
    <row r="680" customFormat="false" ht="15" hidden="false" customHeight="false" outlineLevel="0" collapsed="false">
      <c r="A680" s="31" t="s">
        <v>5928</v>
      </c>
      <c r="B680" s="31" t="s">
        <v>5302</v>
      </c>
      <c r="C680" s="35" t="n">
        <v>228</v>
      </c>
    </row>
    <row r="681" customFormat="false" ht="15" hidden="false" customHeight="false" outlineLevel="0" collapsed="false">
      <c r="A681" s="31" t="s">
        <v>5083</v>
      </c>
      <c r="B681" s="31" t="s">
        <v>5275</v>
      </c>
      <c r="C681" s="35" t="n">
        <v>169</v>
      </c>
    </row>
    <row r="682" customFormat="false" ht="15" hidden="false" customHeight="false" outlineLevel="0" collapsed="false">
      <c r="A682" s="31" t="s">
        <v>5929</v>
      </c>
      <c r="B682" s="31" t="s">
        <v>5275</v>
      </c>
      <c r="C682" s="35" t="n">
        <v>169</v>
      </c>
    </row>
    <row r="683" customFormat="false" ht="15" hidden="false" customHeight="false" outlineLevel="0" collapsed="false">
      <c r="A683" s="31" t="s">
        <v>5930</v>
      </c>
      <c r="B683" s="31" t="s">
        <v>5310</v>
      </c>
      <c r="C683" s="35" t="n">
        <v>186</v>
      </c>
    </row>
    <row r="684" customFormat="false" ht="15" hidden="false" customHeight="false" outlineLevel="0" collapsed="false">
      <c r="A684" s="31" t="s">
        <v>5931</v>
      </c>
      <c r="B684" s="31" t="s">
        <v>5275</v>
      </c>
      <c r="C684" s="35" t="n">
        <v>169</v>
      </c>
    </row>
    <row r="685" customFormat="false" ht="15" hidden="false" customHeight="false" outlineLevel="0" collapsed="false">
      <c r="A685" s="31" t="s">
        <v>5932</v>
      </c>
      <c r="B685" s="31" t="s">
        <v>5302</v>
      </c>
      <c r="C685" s="35" t="n">
        <v>228</v>
      </c>
    </row>
    <row r="686" customFormat="false" ht="15" hidden="false" customHeight="false" outlineLevel="0" collapsed="false">
      <c r="A686" s="31" t="s">
        <v>5933</v>
      </c>
      <c r="B686" s="31" t="s">
        <v>5302</v>
      </c>
      <c r="C686" s="35" t="n">
        <v>228</v>
      </c>
    </row>
    <row r="687" customFormat="false" ht="15" hidden="false" customHeight="false" outlineLevel="0" collapsed="false">
      <c r="A687" s="31" t="s">
        <v>5934</v>
      </c>
      <c r="B687" s="31" t="s">
        <v>5935</v>
      </c>
      <c r="C687" s="35" t="n">
        <v>161</v>
      </c>
    </row>
    <row r="688" customFormat="false" ht="15" hidden="false" customHeight="false" outlineLevel="0" collapsed="false">
      <c r="A688" s="31" t="s">
        <v>5936</v>
      </c>
      <c r="B688" s="31" t="s">
        <v>5275</v>
      </c>
      <c r="C688" s="35" t="n">
        <v>169</v>
      </c>
    </row>
    <row r="689" customFormat="false" ht="15" hidden="false" customHeight="false" outlineLevel="0" collapsed="false">
      <c r="A689" s="31" t="s">
        <v>5085</v>
      </c>
      <c r="B689" s="31" t="s">
        <v>5310</v>
      </c>
      <c r="C689" s="35" t="n">
        <v>186</v>
      </c>
    </row>
    <row r="690" customFormat="false" ht="15" hidden="false" customHeight="false" outlineLevel="0" collapsed="false">
      <c r="A690" s="31" t="s">
        <v>5937</v>
      </c>
      <c r="B690" s="31" t="s">
        <v>5310</v>
      </c>
      <c r="C690" s="35" t="n">
        <v>186</v>
      </c>
    </row>
    <row r="691" customFormat="false" ht="15" hidden="false" customHeight="false" outlineLevel="0" collapsed="false">
      <c r="A691" s="31" t="s">
        <v>5087</v>
      </c>
      <c r="B691" s="31" t="s">
        <v>5275</v>
      </c>
      <c r="C691" s="35" t="n">
        <v>169</v>
      </c>
    </row>
    <row r="692" customFormat="false" ht="15" hidden="false" customHeight="false" outlineLevel="0" collapsed="false">
      <c r="A692" s="31" t="s">
        <v>5938</v>
      </c>
      <c r="B692" s="31" t="s">
        <v>5275</v>
      </c>
      <c r="C692" s="35" t="n">
        <v>169</v>
      </c>
    </row>
    <row r="693" customFormat="false" ht="15" hidden="false" customHeight="false" outlineLevel="0" collapsed="false">
      <c r="A693" s="31" t="s">
        <v>5939</v>
      </c>
      <c r="B693" s="31" t="s">
        <v>5302</v>
      </c>
      <c r="C693" s="35" t="n">
        <v>228</v>
      </c>
    </row>
    <row r="694" customFormat="false" ht="15" hidden="false" customHeight="false" outlineLevel="0" collapsed="false">
      <c r="A694" s="31" t="s">
        <v>5940</v>
      </c>
      <c r="B694" s="31" t="s">
        <v>5302</v>
      </c>
      <c r="C694" s="35" t="n">
        <v>228</v>
      </c>
    </row>
    <row r="695" customFormat="false" ht="15" hidden="false" customHeight="false" outlineLevel="0" collapsed="false">
      <c r="A695" s="31" t="s">
        <v>5091</v>
      </c>
      <c r="B695" s="31" t="s">
        <v>5941</v>
      </c>
      <c r="C695" s="35" t="n">
        <v>182</v>
      </c>
    </row>
    <row r="696" customFormat="false" ht="15" hidden="false" customHeight="false" outlineLevel="0" collapsed="false">
      <c r="A696" s="31" t="s">
        <v>4636</v>
      </c>
      <c r="B696" s="34" t="s">
        <v>5942</v>
      </c>
      <c r="C696" s="36" t="s">
        <v>5943</v>
      </c>
    </row>
    <row r="697" customFormat="false" ht="15" hidden="false" customHeight="false" outlineLevel="0" collapsed="false">
      <c r="A697" s="31" t="s">
        <v>5944</v>
      </c>
      <c r="B697" s="31" t="s">
        <v>5310</v>
      </c>
      <c r="C697" s="35" t="n">
        <v>186</v>
      </c>
    </row>
    <row r="698" customFormat="false" ht="15" hidden="false" customHeight="false" outlineLevel="0" collapsed="false">
      <c r="A698" s="31" t="s">
        <v>5945</v>
      </c>
      <c r="B698" s="31" t="s">
        <v>5302</v>
      </c>
      <c r="C698" s="35" t="n">
        <v>228</v>
      </c>
    </row>
    <row r="699" customFormat="false" ht="15" hidden="false" customHeight="false" outlineLevel="0" collapsed="false">
      <c r="A699" s="31" t="s">
        <v>5946</v>
      </c>
      <c r="B699" s="31" t="s">
        <v>5275</v>
      </c>
      <c r="C699" s="35" t="n">
        <v>169</v>
      </c>
    </row>
    <row r="700" customFormat="false" ht="15" hidden="false" customHeight="false" outlineLevel="0" collapsed="false">
      <c r="A700" s="31" t="s">
        <v>5947</v>
      </c>
      <c r="B700" s="31" t="s">
        <v>5310</v>
      </c>
      <c r="C700" s="35" t="n">
        <v>186</v>
      </c>
    </row>
    <row r="701" customFormat="false" ht="15" hidden="false" customHeight="false" outlineLevel="0" collapsed="false">
      <c r="A701" s="31" t="s">
        <v>5948</v>
      </c>
      <c r="B701" s="31" t="s">
        <v>5328</v>
      </c>
      <c r="C701" s="35" t="n">
        <v>188</v>
      </c>
    </row>
    <row r="702" customFormat="false" ht="15" hidden="false" customHeight="false" outlineLevel="0" collapsed="false">
      <c r="A702" s="31" t="s">
        <v>5093</v>
      </c>
      <c r="B702" s="31" t="s">
        <v>5310</v>
      </c>
      <c r="C702" s="35" t="n">
        <v>186</v>
      </c>
    </row>
    <row r="703" customFormat="false" ht="15" hidden="false" customHeight="false" outlineLevel="0" collapsed="false">
      <c r="A703" s="31" t="s">
        <v>5949</v>
      </c>
      <c r="B703" s="31" t="s">
        <v>5275</v>
      </c>
      <c r="C703" s="35" t="n">
        <v>169</v>
      </c>
    </row>
    <row r="704" customFormat="false" ht="15" hidden="false" customHeight="false" outlineLevel="0" collapsed="false">
      <c r="A704" s="31" t="s">
        <v>5095</v>
      </c>
      <c r="B704" s="31" t="s">
        <v>5275</v>
      </c>
      <c r="C704" s="35" t="n">
        <v>169</v>
      </c>
    </row>
    <row r="705" customFormat="false" ht="15" hidden="false" customHeight="false" outlineLevel="0" collapsed="false">
      <c r="A705" s="31" t="s">
        <v>5950</v>
      </c>
      <c r="B705" s="31" t="s">
        <v>5275</v>
      </c>
      <c r="C705" s="35" t="n">
        <v>169</v>
      </c>
    </row>
    <row r="706" customFormat="false" ht="15" hidden="false" customHeight="false" outlineLevel="0" collapsed="false">
      <c r="A706" s="31" t="s">
        <v>5951</v>
      </c>
      <c r="B706" s="31" t="s">
        <v>5310</v>
      </c>
      <c r="C706" s="35" t="n">
        <v>186</v>
      </c>
    </row>
    <row r="707" customFormat="false" ht="15" hidden="false" customHeight="false" outlineLevel="0" collapsed="false">
      <c r="A707" s="31" t="s">
        <v>5952</v>
      </c>
      <c r="B707" s="31" t="s">
        <v>5953</v>
      </c>
      <c r="C707" s="35" t="n">
        <v>183</v>
      </c>
    </row>
    <row r="708" customFormat="false" ht="15" hidden="false" customHeight="false" outlineLevel="0" collapsed="false">
      <c r="A708" s="31" t="s">
        <v>5954</v>
      </c>
      <c r="B708" s="31" t="s">
        <v>5275</v>
      </c>
      <c r="C708" s="35" t="n">
        <v>169</v>
      </c>
    </row>
    <row r="709" customFormat="false" ht="15" hidden="false" customHeight="false" outlineLevel="0" collapsed="false">
      <c r="A709" s="31" t="s">
        <v>5097</v>
      </c>
      <c r="B709" s="31" t="s">
        <v>5955</v>
      </c>
      <c r="C709" s="35" t="n">
        <v>170</v>
      </c>
    </row>
    <row r="710" customFormat="false" ht="15" hidden="false" customHeight="false" outlineLevel="0" collapsed="false">
      <c r="A710" s="31" t="s">
        <v>5956</v>
      </c>
      <c r="B710" s="31" t="s">
        <v>5957</v>
      </c>
      <c r="C710" s="35" t="n">
        <v>167</v>
      </c>
    </row>
    <row r="711" customFormat="false" ht="15" hidden="false" customHeight="false" outlineLevel="0" collapsed="false">
      <c r="A711" s="31" t="s">
        <v>5958</v>
      </c>
      <c r="B711" s="31" t="s">
        <v>5275</v>
      </c>
      <c r="C711" s="35" t="n">
        <v>169</v>
      </c>
    </row>
    <row r="712" customFormat="false" ht="15" hidden="false" customHeight="false" outlineLevel="0" collapsed="false">
      <c r="A712" s="31" t="s">
        <v>5959</v>
      </c>
      <c r="B712" s="31" t="s">
        <v>5310</v>
      </c>
      <c r="C712" s="35" t="n">
        <v>186</v>
      </c>
    </row>
    <row r="713" customFormat="false" ht="15" hidden="false" customHeight="false" outlineLevel="0" collapsed="false">
      <c r="A713" s="31" t="s">
        <v>5960</v>
      </c>
      <c r="B713" s="31" t="s">
        <v>5310</v>
      </c>
      <c r="C713" s="35" t="n">
        <v>186</v>
      </c>
    </row>
    <row r="714" customFormat="false" ht="15" hidden="false" customHeight="false" outlineLevel="0" collapsed="false">
      <c r="A714" s="31" t="s">
        <v>5961</v>
      </c>
      <c r="B714" s="31" t="s">
        <v>5962</v>
      </c>
      <c r="C714" s="35" t="n">
        <v>174</v>
      </c>
    </row>
    <row r="715" customFormat="false" ht="15" hidden="false" customHeight="false" outlineLevel="0" collapsed="false">
      <c r="A715" s="31" t="s">
        <v>5963</v>
      </c>
      <c r="B715" s="31" t="s">
        <v>5310</v>
      </c>
      <c r="C715" s="35" t="n">
        <v>186</v>
      </c>
    </row>
    <row r="716" customFormat="false" ht="15" hidden="false" customHeight="false" outlineLevel="0" collapsed="false">
      <c r="A716" s="31" t="s">
        <v>5964</v>
      </c>
      <c r="B716" s="31" t="s">
        <v>5275</v>
      </c>
      <c r="C716" s="35" t="n">
        <v>169</v>
      </c>
    </row>
    <row r="717" customFormat="false" ht="15" hidden="false" customHeight="false" outlineLevel="0" collapsed="false">
      <c r="A717" s="31" t="s">
        <v>5099</v>
      </c>
      <c r="B717" s="31" t="s">
        <v>5965</v>
      </c>
      <c r="C717" s="35" t="n">
        <v>173</v>
      </c>
    </row>
    <row r="718" customFormat="false" ht="15" hidden="false" customHeight="false" outlineLevel="0" collapsed="false">
      <c r="A718" s="31" t="s">
        <v>5101</v>
      </c>
      <c r="B718" s="31" t="s">
        <v>5966</v>
      </c>
      <c r="C718" s="35" t="n">
        <v>161</v>
      </c>
    </row>
    <row r="719" customFormat="false" ht="15" hidden="false" customHeight="false" outlineLevel="0" collapsed="false">
      <c r="A719" s="31" t="s">
        <v>5967</v>
      </c>
      <c r="B719" s="31" t="s">
        <v>5302</v>
      </c>
      <c r="C719" s="35" t="n">
        <v>228</v>
      </c>
    </row>
    <row r="720" customFormat="false" ht="15" hidden="false" customHeight="false" outlineLevel="0" collapsed="false">
      <c r="A720" s="31" t="s">
        <v>5968</v>
      </c>
      <c r="B720" s="31" t="s">
        <v>5310</v>
      </c>
      <c r="C720" s="35" t="n">
        <v>186</v>
      </c>
    </row>
    <row r="721" customFormat="false" ht="15" hidden="false" customHeight="false" outlineLevel="0" collapsed="false">
      <c r="A721" s="31" t="s">
        <v>5103</v>
      </c>
      <c r="B721" s="31" t="s">
        <v>5310</v>
      </c>
      <c r="C721" s="35" t="n">
        <v>186</v>
      </c>
    </row>
    <row r="722" customFormat="false" ht="15" hidden="false" customHeight="false" outlineLevel="0" collapsed="false">
      <c r="A722" s="31" t="s">
        <v>5969</v>
      </c>
      <c r="B722" s="31" t="s">
        <v>5275</v>
      </c>
      <c r="C722" s="35" t="n">
        <v>169</v>
      </c>
    </row>
    <row r="723" customFormat="false" ht="15" hidden="false" customHeight="false" outlineLevel="0" collapsed="false">
      <c r="A723" s="31" t="s">
        <v>5970</v>
      </c>
      <c r="B723" s="31" t="s">
        <v>5275</v>
      </c>
      <c r="C723" s="35" t="n">
        <v>169</v>
      </c>
    </row>
    <row r="724" customFormat="false" ht="15" hidden="false" customHeight="false" outlineLevel="0" collapsed="false">
      <c r="A724" s="31" t="s">
        <v>5971</v>
      </c>
      <c r="B724" s="31" t="s">
        <v>5972</v>
      </c>
      <c r="C724" s="35" t="n">
        <v>181</v>
      </c>
    </row>
    <row r="725" customFormat="false" ht="15" hidden="false" customHeight="false" outlineLevel="0" collapsed="false">
      <c r="A725" s="31" t="s">
        <v>5973</v>
      </c>
      <c r="B725" s="31" t="s">
        <v>5275</v>
      </c>
      <c r="C725" s="35" t="n">
        <v>169</v>
      </c>
    </row>
    <row r="726" customFormat="false" ht="15" hidden="false" customHeight="false" outlineLevel="0" collapsed="false">
      <c r="A726" s="31" t="s">
        <v>5105</v>
      </c>
      <c r="B726" s="31" t="s">
        <v>5310</v>
      </c>
      <c r="C726" s="35" t="n">
        <v>186</v>
      </c>
    </row>
    <row r="727" customFormat="false" ht="15" hidden="false" customHeight="false" outlineLevel="0" collapsed="false">
      <c r="A727" s="31" t="s">
        <v>5974</v>
      </c>
      <c r="B727" s="31" t="s">
        <v>5275</v>
      </c>
      <c r="C727" s="35" t="n">
        <v>169</v>
      </c>
    </row>
    <row r="728" customFormat="false" ht="15" hidden="false" customHeight="false" outlineLevel="0" collapsed="false">
      <c r="A728" s="31" t="s">
        <v>5975</v>
      </c>
      <c r="B728" s="31" t="s">
        <v>5310</v>
      </c>
      <c r="C728" s="35" t="n">
        <v>186</v>
      </c>
    </row>
    <row r="729" customFormat="false" ht="15" hidden="false" customHeight="false" outlineLevel="0" collapsed="false">
      <c r="A729" s="31" t="s">
        <v>5107</v>
      </c>
      <c r="B729" s="31" t="s">
        <v>5310</v>
      </c>
      <c r="C729" s="35" t="n">
        <v>186</v>
      </c>
    </row>
    <row r="730" customFormat="false" ht="15" hidden="false" customHeight="false" outlineLevel="0" collapsed="false">
      <c r="A730" s="31" t="s">
        <v>5976</v>
      </c>
      <c r="B730" s="31" t="s">
        <v>5310</v>
      </c>
      <c r="C730" s="35" t="n">
        <v>186</v>
      </c>
    </row>
    <row r="731" customFormat="false" ht="15" hidden="false" customHeight="false" outlineLevel="0" collapsed="false">
      <c r="A731" s="31" t="s">
        <v>5977</v>
      </c>
      <c r="B731" s="31" t="s">
        <v>5275</v>
      </c>
      <c r="C731" s="35" t="n">
        <v>169</v>
      </c>
    </row>
    <row r="732" customFormat="false" ht="15" hidden="false" customHeight="false" outlineLevel="0" collapsed="false">
      <c r="A732" s="31" t="s">
        <v>5109</v>
      </c>
      <c r="B732" s="31" t="s">
        <v>5310</v>
      </c>
      <c r="C732" s="35" t="n">
        <v>186</v>
      </c>
    </row>
    <row r="733" customFormat="false" ht="15" hidden="false" customHeight="false" outlineLevel="0" collapsed="false">
      <c r="A733" s="31" t="s">
        <v>5978</v>
      </c>
      <c r="B733" s="31" t="s">
        <v>5302</v>
      </c>
      <c r="C733" s="35" t="n">
        <v>228</v>
      </c>
    </row>
    <row r="734" customFormat="false" ht="15" hidden="false" customHeight="false" outlineLevel="0" collapsed="false">
      <c r="A734" s="31" t="s">
        <v>5111</v>
      </c>
      <c r="B734" s="31" t="s">
        <v>5979</v>
      </c>
      <c r="C734" s="35" t="n">
        <v>189</v>
      </c>
    </row>
    <row r="735" customFormat="false" ht="15" hidden="false" customHeight="false" outlineLevel="0" collapsed="false">
      <c r="A735" s="31" t="s">
        <v>5980</v>
      </c>
      <c r="B735" s="31" t="s">
        <v>5275</v>
      </c>
      <c r="C735" s="35" t="n">
        <v>169</v>
      </c>
    </row>
    <row r="736" customFormat="false" ht="15" hidden="false" customHeight="false" outlineLevel="0" collapsed="false">
      <c r="A736" s="31" t="s">
        <v>5981</v>
      </c>
      <c r="B736" s="31" t="s">
        <v>5302</v>
      </c>
      <c r="C736" s="35" t="n">
        <v>228</v>
      </c>
    </row>
    <row r="737" customFormat="false" ht="15" hidden="false" customHeight="false" outlineLevel="0" collapsed="false">
      <c r="A737" s="31" t="s">
        <v>5982</v>
      </c>
      <c r="B737" s="31" t="s">
        <v>5302</v>
      </c>
      <c r="C737" s="35" t="n">
        <v>228</v>
      </c>
    </row>
    <row r="738" customFormat="false" ht="15" hidden="false" customHeight="false" outlineLevel="0" collapsed="false">
      <c r="A738" s="31" t="s">
        <v>5983</v>
      </c>
      <c r="B738" s="31" t="s">
        <v>5275</v>
      </c>
      <c r="C738" s="35" t="n">
        <v>169</v>
      </c>
    </row>
    <row r="739" customFormat="false" ht="15" hidden="false" customHeight="false" outlineLevel="0" collapsed="false">
      <c r="A739" s="31" t="s">
        <v>5984</v>
      </c>
      <c r="B739" s="31" t="s">
        <v>5302</v>
      </c>
      <c r="C739" s="35" t="n">
        <v>228</v>
      </c>
    </row>
    <row r="740" customFormat="false" ht="15" hidden="false" customHeight="false" outlineLevel="0" collapsed="false">
      <c r="A740" s="31" t="s">
        <v>5985</v>
      </c>
      <c r="B740" s="31" t="s">
        <v>5986</v>
      </c>
      <c r="C740" s="35" t="n">
        <v>181</v>
      </c>
    </row>
    <row r="741" customFormat="false" ht="15" hidden="false" customHeight="false" outlineLevel="0" collapsed="false">
      <c r="A741" s="31" t="s">
        <v>5115</v>
      </c>
      <c r="B741" s="31" t="s">
        <v>5987</v>
      </c>
      <c r="C741" s="35" t="n">
        <v>179</v>
      </c>
    </row>
    <row r="742" customFormat="false" ht="15" hidden="false" customHeight="false" outlineLevel="0" collapsed="false">
      <c r="A742" s="31" t="s">
        <v>5988</v>
      </c>
      <c r="B742" s="31" t="s">
        <v>5275</v>
      </c>
      <c r="C742" s="35" t="n">
        <v>169</v>
      </c>
    </row>
    <row r="743" customFormat="false" ht="15" hidden="false" customHeight="false" outlineLevel="0" collapsed="false">
      <c r="A743" s="31" t="s">
        <v>5989</v>
      </c>
      <c r="B743" s="31" t="s">
        <v>5725</v>
      </c>
      <c r="C743" s="35" t="n">
        <v>182</v>
      </c>
    </row>
    <row r="744" customFormat="false" ht="15" hidden="false" customHeight="false" outlineLevel="0" collapsed="false">
      <c r="A744" s="31" t="s">
        <v>5990</v>
      </c>
      <c r="B744" s="31" t="s">
        <v>5275</v>
      </c>
      <c r="C744" s="35" t="n">
        <v>169</v>
      </c>
    </row>
    <row r="745" customFormat="false" ht="15" hidden="false" customHeight="false" outlineLevel="0" collapsed="false">
      <c r="A745" s="31" t="s">
        <v>5991</v>
      </c>
      <c r="B745" s="31" t="s">
        <v>5275</v>
      </c>
      <c r="C745" s="35" t="n">
        <v>169</v>
      </c>
    </row>
    <row r="746" customFormat="false" ht="15" hidden="false" customHeight="false" outlineLevel="0" collapsed="false">
      <c r="A746" s="31" t="s">
        <v>5117</v>
      </c>
      <c r="B746" s="31" t="s">
        <v>5992</v>
      </c>
      <c r="C746" s="35" t="n">
        <v>174</v>
      </c>
    </row>
    <row r="747" customFormat="false" ht="15" hidden="false" customHeight="false" outlineLevel="0" collapsed="false">
      <c r="A747" s="31" t="s">
        <v>5993</v>
      </c>
      <c r="B747" s="31" t="s">
        <v>5275</v>
      </c>
      <c r="C747" s="35" t="n">
        <v>169</v>
      </c>
    </row>
    <row r="748" customFormat="false" ht="15" hidden="false" customHeight="false" outlineLevel="0" collapsed="false">
      <c r="A748" s="31" t="s">
        <v>5994</v>
      </c>
      <c r="B748" s="31" t="s">
        <v>5302</v>
      </c>
      <c r="C748" s="35" t="n">
        <v>228</v>
      </c>
    </row>
    <row r="749" customFormat="false" ht="15" hidden="false" customHeight="false" outlineLevel="0" collapsed="false">
      <c r="A749" s="31" t="s">
        <v>4640</v>
      </c>
      <c r="B749" s="34" t="s">
        <v>5995</v>
      </c>
      <c r="C749" s="36" t="s">
        <v>5996</v>
      </c>
    </row>
    <row r="750" customFormat="false" ht="15" hidden="false" customHeight="false" outlineLevel="0" collapsed="false">
      <c r="A750" s="31" t="s">
        <v>5119</v>
      </c>
      <c r="B750" s="31" t="s">
        <v>5310</v>
      </c>
      <c r="C750" s="35" t="n">
        <v>186</v>
      </c>
    </row>
    <row r="751" customFormat="false" ht="15" hidden="false" customHeight="false" outlineLevel="0" collapsed="false">
      <c r="A751" s="31" t="s">
        <v>5997</v>
      </c>
      <c r="B751" s="31" t="s">
        <v>5629</v>
      </c>
      <c r="C751" s="35" t="n">
        <v>178</v>
      </c>
    </row>
    <row r="752" customFormat="false" ht="15" hidden="false" customHeight="false" outlineLevel="0" collapsed="false">
      <c r="A752" s="31" t="s">
        <v>5998</v>
      </c>
      <c r="B752" s="31" t="s">
        <v>5302</v>
      </c>
      <c r="C752" s="35" t="n">
        <v>228</v>
      </c>
    </row>
    <row r="753" customFormat="false" ht="15" hidden="false" customHeight="false" outlineLevel="0" collapsed="false">
      <c r="A753" s="31" t="s">
        <v>5999</v>
      </c>
      <c r="B753" s="31" t="s">
        <v>5275</v>
      </c>
      <c r="C753" s="35" t="n">
        <v>169</v>
      </c>
    </row>
    <row r="754" customFormat="false" ht="15" hidden="false" customHeight="false" outlineLevel="0" collapsed="false">
      <c r="A754" s="31" t="s">
        <v>6000</v>
      </c>
      <c r="B754" s="31" t="s">
        <v>5302</v>
      </c>
      <c r="C754" s="35" t="n">
        <v>228</v>
      </c>
    </row>
    <row r="755" customFormat="false" ht="15" hidden="false" customHeight="false" outlineLevel="0" collapsed="false">
      <c r="A755" s="31" t="s">
        <v>4641</v>
      </c>
      <c r="B755" s="31" t="s">
        <v>6001</v>
      </c>
      <c r="C755" s="35" t="n">
        <v>171</v>
      </c>
    </row>
    <row r="756" customFormat="false" ht="15" hidden="false" customHeight="false" outlineLevel="0" collapsed="false">
      <c r="A756" s="31" t="s">
        <v>5122</v>
      </c>
      <c r="B756" s="31" t="s">
        <v>6002</v>
      </c>
      <c r="C756" s="35" t="n">
        <v>169</v>
      </c>
    </row>
    <row r="757" customFormat="false" ht="15" hidden="false" customHeight="false" outlineLevel="0" collapsed="false">
      <c r="A757" s="31" t="s">
        <v>4642</v>
      </c>
      <c r="B757" s="31" t="s">
        <v>6003</v>
      </c>
      <c r="C757" s="35" t="n">
        <v>161</v>
      </c>
    </row>
    <row r="758" customFormat="false" ht="15" hidden="false" customHeight="false" outlineLevel="0" collapsed="false">
      <c r="A758" s="31" t="s">
        <v>6004</v>
      </c>
      <c r="B758" s="31" t="s">
        <v>5275</v>
      </c>
      <c r="C758" s="35" t="n">
        <v>169</v>
      </c>
    </row>
    <row r="759" customFormat="false" ht="15" hidden="false" customHeight="false" outlineLevel="0" collapsed="false">
      <c r="A759" s="31" t="s">
        <v>6005</v>
      </c>
      <c r="B759" s="31" t="s">
        <v>5310</v>
      </c>
      <c r="C759" s="35" t="n">
        <v>186</v>
      </c>
    </row>
    <row r="760" customFormat="false" ht="15" hidden="false" customHeight="false" outlineLevel="0" collapsed="false">
      <c r="A760" s="31" t="s">
        <v>6006</v>
      </c>
      <c r="B760" s="31" t="s">
        <v>5302</v>
      </c>
      <c r="C760" s="35" t="n">
        <v>228</v>
      </c>
    </row>
    <row r="761" customFormat="false" ht="15" hidden="false" customHeight="false" outlineLevel="0" collapsed="false">
      <c r="A761" s="31" t="s">
        <v>6007</v>
      </c>
      <c r="B761" s="31" t="s">
        <v>5310</v>
      </c>
      <c r="C761" s="35" t="n">
        <v>186</v>
      </c>
    </row>
    <row r="762" customFormat="false" ht="15" hidden="false" customHeight="false" outlineLevel="0" collapsed="false">
      <c r="A762" s="31" t="s">
        <v>6008</v>
      </c>
      <c r="B762" s="31" t="s">
        <v>5310</v>
      </c>
      <c r="C762" s="35" t="n">
        <v>186</v>
      </c>
    </row>
    <row r="763" customFormat="false" ht="15" hidden="false" customHeight="false" outlineLevel="0" collapsed="false">
      <c r="A763" s="31" t="s">
        <v>5127</v>
      </c>
      <c r="B763" s="31" t="s">
        <v>5275</v>
      </c>
      <c r="C763" s="35" t="n">
        <v>169</v>
      </c>
    </row>
    <row r="764" customFormat="false" ht="15" hidden="false" customHeight="false" outlineLevel="0" collapsed="false">
      <c r="A764" s="31" t="s">
        <v>5129</v>
      </c>
      <c r="B764" s="31" t="s">
        <v>5310</v>
      </c>
      <c r="C764" s="35" t="n">
        <v>186</v>
      </c>
    </row>
    <row r="765" customFormat="false" ht="15" hidden="false" customHeight="false" outlineLevel="0" collapsed="false">
      <c r="A765" s="31" t="s">
        <v>6009</v>
      </c>
      <c r="B765" s="31" t="s">
        <v>5275</v>
      </c>
      <c r="C765" s="35" t="n">
        <v>169</v>
      </c>
    </row>
    <row r="766" customFormat="false" ht="15" hidden="false" customHeight="false" outlineLevel="0" collapsed="false">
      <c r="A766" s="31" t="s">
        <v>6010</v>
      </c>
      <c r="B766" s="31" t="s">
        <v>5302</v>
      </c>
      <c r="C766" s="35" t="n">
        <v>228</v>
      </c>
    </row>
    <row r="767" customFormat="false" ht="15" hidden="false" customHeight="false" outlineLevel="0" collapsed="false">
      <c r="A767" s="31" t="s">
        <v>5131</v>
      </c>
      <c r="B767" s="31" t="s">
        <v>5275</v>
      </c>
      <c r="C767" s="35" t="n">
        <v>169</v>
      </c>
    </row>
    <row r="768" customFormat="false" ht="15" hidden="false" customHeight="false" outlineLevel="0" collapsed="false">
      <c r="A768" s="31" t="s">
        <v>4643</v>
      </c>
      <c r="B768" s="31" t="s">
        <v>6011</v>
      </c>
      <c r="C768" s="35" t="n">
        <v>179</v>
      </c>
    </row>
    <row r="769" customFormat="false" ht="15" hidden="false" customHeight="false" outlineLevel="0" collapsed="false">
      <c r="A769" s="31" t="s">
        <v>6012</v>
      </c>
      <c r="B769" s="31" t="s">
        <v>5310</v>
      </c>
      <c r="C769" s="35" t="n">
        <v>186</v>
      </c>
    </row>
    <row r="770" customFormat="false" ht="15" hidden="false" customHeight="false" outlineLevel="0" collapsed="false">
      <c r="A770" s="31" t="s">
        <v>6013</v>
      </c>
      <c r="B770" s="31" t="s">
        <v>5302</v>
      </c>
      <c r="C770" s="35" t="n">
        <v>228</v>
      </c>
    </row>
    <row r="771" customFormat="false" ht="15" hidden="false" customHeight="false" outlineLevel="0" collapsed="false">
      <c r="A771" s="31" t="s">
        <v>6014</v>
      </c>
      <c r="B771" s="31" t="s">
        <v>5310</v>
      </c>
      <c r="C771" s="35" t="n">
        <v>186</v>
      </c>
    </row>
    <row r="772" customFormat="false" ht="15" hidden="false" customHeight="false" outlineLevel="0" collapsed="false">
      <c r="A772" s="31" t="s">
        <v>6015</v>
      </c>
      <c r="B772" s="31" t="s">
        <v>6016</v>
      </c>
      <c r="C772" s="35" t="n">
        <v>169</v>
      </c>
    </row>
    <row r="773" customFormat="false" ht="15" hidden="false" customHeight="false" outlineLevel="0" collapsed="false">
      <c r="A773" s="31" t="s">
        <v>6017</v>
      </c>
      <c r="B773" s="31" t="s">
        <v>5275</v>
      </c>
      <c r="C773" s="35" t="n">
        <v>169</v>
      </c>
    </row>
    <row r="774" customFormat="false" ht="15" hidden="false" customHeight="false" outlineLevel="0" collapsed="false">
      <c r="A774" s="31" t="s">
        <v>6018</v>
      </c>
      <c r="B774" s="31" t="s">
        <v>5275</v>
      </c>
      <c r="C774" s="35" t="n">
        <v>169</v>
      </c>
    </row>
    <row r="775" customFormat="false" ht="15" hidden="false" customHeight="false" outlineLevel="0" collapsed="false">
      <c r="A775" s="31" t="s">
        <v>6019</v>
      </c>
      <c r="B775" s="31" t="s">
        <v>5275</v>
      </c>
      <c r="C775" s="35" t="n">
        <v>169</v>
      </c>
    </row>
    <row r="776" customFormat="false" ht="15" hidden="false" customHeight="false" outlineLevel="0" collapsed="false">
      <c r="A776" s="31" t="s">
        <v>6020</v>
      </c>
      <c r="B776" s="31" t="s">
        <v>5302</v>
      </c>
      <c r="C776" s="35" t="n">
        <v>228</v>
      </c>
    </row>
    <row r="777" customFormat="false" ht="15" hidden="false" customHeight="false" outlineLevel="0" collapsed="false">
      <c r="A777" s="31" t="s">
        <v>5135</v>
      </c>
      <c r="B777" s="31" t="s">
        <v>5310</v>
      </c>
      <c r="C777" s="35" t="n">
        <v>186</v>
      </c>
    </row>
    <row r="778" customFormat="false" ht="15" hidden="false" customHeight="false" outlineLevel="0" collapsed="false">
      <c r="A778" s="31" t="s">
        <v>6021</v>
      </c>
      <c r="B778" s="31" t="s">
        <v>6022</v>
      </c>
      <c r="C778" s="35" t="n">
        <v>186</v>
      </c>
    </row>
    <row r="779" customFormat="false" ht="15" hidden="false" customHeight="false" outlineLevel="0" collapsed="false">
      <c r="A779" s="31" t="s">
        <v>4644</v>
      </c>
      <c r="B779" s="31" t="s">
        <v>6023</v>
      </c>
      <c r="C779" s="35" t="n">
        <v>162</v>
      </c>
    </row>
    <row r="780" customFormat="false" ht="15" hidden="false" customHeight="false" outlineLevel="0" collapsed="false">
      <c r="A780" s="31" t="s">
        <v>4645</v>
      </c>
      <c r="B780" s="34" t="s">
        <v>6024</v>
      </c>
      <c r="C780" s="36" t="s">
        <v>6025</v>
      </c>
    </row>
    <row r="781" customFormat="false" ht="15" hidden="false" customHeight="false" outlineLevel="0" collapsed="false">
      <c r="A781" s="31" t="s">
        <v>6026</v>
      </c>
      <c r="B781" s="31" t="s">
        <v>5302</v>
      </c>
      <c r="C781" s="35" t="n">
        <v>228</v>
      </c>
    </row>
    <row r="782" customFormat="false" ht="15" hidden="false" customHeight="false" outlineLevel="0" collapsed="false">
      <c r="A782" s="31" t="s">
        <v>6027</v>
      </c>
      <c r="B782" s="31" t="s">
        <v>5302</v>
      </c>
      <c r="C782" s="35" t="n">
        <v>228</v>
      </c>
    </row>
    <row r="783" customFormat="false" ht="15" hidden="false" customHeight="false" outlineLevel="0" collapsed="false">
      <c r="A783" s="31" t="s">
        <v>5138</v>
      </c>
      <c r="B783" s="31" t="s">
        <v>5310</v>
      </c>
      <c r="C783" s="35" t="n">
        <v>186</v>
      </c>
    </row>
    <row r="784" customFormat="false" ht="15" hidden="false" customHeight="false" outlineLevel="0" collapsed="false">
      <c r="A784" s="31" t="s">
        <v>6028</v>
      </c>
      <c r="B784" s="31" t="s">
        <v>5275</v>
      </c>
      <c r="C784" s="35" t="n">
        <v>169</v>
      </c>
    </row>
    <row r="785" customFormat="false" ht="15" hidden="false" customHeight="false" outlineLevel="0" collapsed="false">
      <c r="A785" s="31" t="s">
        <v>6029</v>
      </c>
      <c r="B785" s="31" t="s">
        <v>5302</v>
      </c>
      <c r="C785" s="35" t="n">
        <v>228</v>
      </c>
    </row>
    <row r="786" customFormat="false" ht="15" hidden="false" customHeight="false" outlineLevel="0" collapsed="false">
      <c r="A786" s="31" t="s">
        <v>5142</v>
      </c>
      <c r="B786" s="31" t="s">
        <v>5310</v>
      </c>
      <c r="C786" s="35" t="n">
        <v>186</v>
      </c>
    </row>
    <row r="787" customFormat="false" ht="15" hidden="false" customHeight="false" outlineLevel="0" collapsed="false">
      <c r="A787" s="31" t="s">
        <v>6030</v>
      </c>
      <c r="B787" s="31" t="s">
        <v>5275</v>
      </c>
      <c r="C787" s="35" t="n">
        <v>169</v>
      </c>
    </row>
    <row r="788" customFormat="false" ht="15" hidden="false" customHeight="false" outlineLevel="0" collapsed="false">
      <c r="A788" s="31" t="s">
        <v>6031</v>
      </c>
      <c r="B788" s="31" t="s">
        <v>5275</v>
      </c>
      <c r="C788" s="35" t="n">
        <v>169</v>
      </c>
    </row>
    <row r="789" customFormat="false" ht="15" hidden="false" customHeight="false" outlineLevel="0" collapsed="false">
      <c r="A789" s="31" t="s">
        <v>6032</v>
      </c>
      <c r="B789" s="31" t="s">
        <v>6033</v>
      </c>
      <c r="C789" s="35" t="n">
        <v>174</v>
      </c>
    </row>
    <row r="790" customFormat="false" ht="15" hidden="false" customHeight="false" outlineLevel="0" collapsed="false">
      <c r="A790" s="31" t="s">
        <v>6034</v>
      </c>
      <c r="B790" s="31" t="s">
        <v>5310</v>
      </c>
      <c r="C790" s="35" t="n">
        <v>186</v>
      </c>
    </row>
    <row r="791" customFormat="false" ht="15" hidden="false" customHeight="false" outlineLevel="0" collapsed="false">
      <c r="A791" s="31" t="s">
        <v>6035</v>
      </c>
      <c r="B791" s="31" t="s">
        <v>5302</v>
      </c>
      <c r="C791" s="35" t="n">
        <v>228</v>
      </c>
    </row>
    <row r="792" customFormat="false" ht="15" hidden="false" customHeight="false" outlineLevel="0" collapsed="false">
      <c r="A792" s="31" t="s">
        <v>5145</v>
      </c>
      <c r="B792" s="31" t="s">
        <v>5310</v>
      </c>
      <c r="C792" s="35" t="n">
        <v>186</v>
      </c>
    </row>
    <row r="793" customFormat="false" ht="15" hidden="false" customHeight="false" outlineLevel="0" collapsed="false">
      <c r="A793" s="31" t="s">
        <v>6036</v>
      </c>
      <c r="B793" s="31" t="s">
        <v>5302</v>
      </c>
      <c r="C793" s="35" t="n">
        <v>228</v>
      </c>
    </row>
    <row r="794" customFormat="false" ht="15" hidden="false" customHeight="false" outlineLevel="0" collapsed="false">
      <c r="A794" s="31" t="s">
        <v>6037</v>
      </c>
      <c r="B794" s="31" t="s">
        <v>5310</v>
      </c>
      <c r="C794" s="35" t="n">
        <v>186</v>
      </c>
    </row>
    <row r="795" customFormat="false" ht="15" hidden="false" customHeight="false" outlineLevel="0" collapsed="false">
      <c r="A795" s="31" t="s">
        <v>6038</v>
      </c>
      <c r="B795" s="31" t="s">
        <v>5302</v>
      </c>
      <c r="C795" s="35" t="n">
        <v>228</v>
      </c>
    </row>
    <row r="796" customFormat="false" ht="15" hidden="false" customHeight="false" outlineLevel="0" collapsed="false">
      <c r="A796" s="31" t="s">
        <v>6039</v>
      </c>
      <c r="B796" s="31" t="s">
        <v>5310</v>
      </c>
      <c r="C796" s="35" t="n">
        <v>186</v>
      </c>
    </row>
    <row r="797" customFormat="false" ht="15" hidden="false" customHeight="false" outlineLevel="0" collapsed="false">
      <c r="A797" s="31" t="s">
        <v>5148</v>
      </c>
      <c r="B797" s="31" t="s">
        <v>6040</v>
      </c>
      <c r="C797" s="35" t="n">
        <v>169</v>
      </c>
    </row>
    <row r="798" customFormat="false" ht="15" hidden="false" customHeight="false" outlineLevel="0" collapsed="false">
      <c r="A798" s="31" t="s">
        <v>6041</v>
      </c>
      <c r="B798" s="31" t="s">
        <v>5310</v>
      </c>
      <c r="C798" s="35" t="n">
        <v>186</v>
      </c>
    </row>
    <row r="799" customFormat="false" ht="15" hidden="false" customHeight="false" outlineLevel="0" collapsed="false">
      <c r="A799" s="31" t="s">
        <v>5150</v>
      </c>
      <c r="B799" s="31" t="s">
        <v>5310</v>
      </c>
      <c r="C799" s="35" t="n">
        <v>186</v>
      </c>
    </row>
    <row r="800" customFormat="false" ht="15" hidden="false" customHeight="false" outlineLevel="0" collapsed="false">
      <c r="A800" s="31" t="s">
        <v>6042</v>
      </c>
      <c r="B800" s="31" t="s">
        <v>5275</v>
      </c>
      <c r="C800" s="35" t="n">
        <v>169</v>
      </c>
    </row>
    <row r="801" customFormat="false" ht="15" hidden="false" customHeight="false" outlineLevel="0" collapsed="false">
      <c r="A801" s="31" t="s">
        <v>5152</v>
      </c>
      <c r="B801" s="31" t="s">
        <v>6043</v>
      </c>
      <c r="C801" s="35" t="n">
        <v>187</v>
      </c>
    </row>
    <row r="802" customFormat="false" ht="15" hidden="false" customHeight="false" outlineLevel="0" collapsed="false">
      <c r="A802" s="31" t="s">
        <v>6044</v>
      </c>
      <c r="B802" s="31" t="s">
        <v>5302</v>
      </c>
      <c r="C802" s="35" t="n">
        <v>228</v>
      </c>
    </row>
    <row r="803" customFormat="false" ht="15" hidden="false" customHeight="false" outlineLevel="0" collapsed="false">
      <c r="A803" s="31" t="s">
        <v>6045</v>
      </c>
      <c r="B803" s="31" t="s">
        <v>6046</v>
      </c>
      <c r="C803" s="35" t="n">
        <v>162</v>
      </c>
    </row>
    <row r="804" customFormat="false" ht="15" hidden="false" customHeight="false" outlineLevel="0" collapsed="false">
      <c r="A804" s="31" t="s">
        <v>6047</v>
      </c>
      <c r="B804" s="31" t="s">
        <v>5302</v>
      </c>
      <c r="C804" s="35" t="n">
        <v>228</v>
      </c>
    </row>
    <row r="805" customFormat="false" ht="15" hidden="false" customHeight="false" outlineLevel="0" collapsed="false">
      <c r="A805" s="31" t="s">
        <v>6048</v>
      </c>
      <c r="B805" s="31" t="s">
        <v>6049</v>
      </c>
      <c r="C805" s="35" t="n">
        <v>161</v>
      </c>
    </row>
    <row r="806" customFormat="false" ht="15" hidden="false" customHeight="false" outlineLevel="0" collapsed="false">
      <c r="A806" s="31" t="s">
        <v>6050</v>
      </c>
      <c r="B806" s="31" t="s">
        <v>5302</v>
      </c>
      <c r="C806" s="35" t="n">
        <v>228</v>
      </c>
    </row>
    <row r="807" customFormat="false" ht="15" hidden="false" customHeight="false" outlineLevel="0" collapsed="false">
      <c r="A807" s="31" t="s">
        <v>6051</v>
      </c>
      <c r="B807" s="31" t="s">
        <v>5302</v>
      </c>
      <c r="C807" s="35" t="n">
        <v>228</v>
      </c>
    </row>
    <row r="808" customFormat="false" ht="15" hidden="false" customHeight="false" outlineLevel="0" collapsed="false">
      <c r="A808" s="31" t="s">
        <v>6052</v>
      </c>
      <c r="B808" s="31" t="s">
        <v>5275</v>
      </c>
      <c r="C808" s="35" t="n">
        <v>169</v>
      </c>
    </row>
    <row r="809" customFormat="false" ht="15" hidden="false" customHeight="false" outlineLevel="0" collapsed="false">
      <c r="A809" s="31" t="s">
        <v>5156</v>
      </c>
      <c r="B809" s="31" t="s">
        <v>6053</v>
      </c>
      <c r="C809" s="35" t="n">
        <v>167</v>
      </c>
    </row>
    <row r="810" customFormat="false" ht="15" hidden="false" customHeight="false" outlineLevel="0" collapsed="false">
      <c r="A810" s="31" t="s">
        <v>6054</v>
      </c>
      <c r="B810" s="31" t="s">
        <v>5302</v>
      </c>
      <c r="C810" s="35" t="n">
        <v>228</v>
      </c>
    </row>
    <row r="811" customFormat="false" ht="15" hidden="false" customHeight="false" outlineLevel="0" collapsed="false">
      <c r="A811" s="31" t="s">
        <v>5158</v>
      </c>
      <c r="B811" s="31" t="s">
        <v>5310</v>
      </c>
      <c r="C811" s="35" t="n">
        <v>186</v>
      </c>
    </row>
    <row r="812" customFormat="false" ht="15" hidden="false" customHeight="false" outlineLevel="0" collapsed="false">
      <c r="A812" s="31" t="s">
        <v>6055</v>
      </c>
      <c r="B812" s="31" t="s">
        <v>5275</v>
      </c>
      <c r="C812" s="35" t="n">
        <v>169</v>
      </c>
    </row>
    <row r="813" customFormat="false" ht="15" hidden="false" customHeight="false" outlineLevel="0" collapsed="false">
      <c r="A813" s="31" t="s">
        <v>6056</v>
      </c>
      <c r="B813" s="31" t="s">
        <v>5302</v>
      </c>
      <c r="C813" s="35" t="n">
        <v>228</v>
      </c>
    </row>
    <row r="814" customFormat="false" ht="15" hidden="false" customHeight="false" outlineLevel="0" collapsed="false">
      <c r="A814" s="31" t="s">
        <v>6057</v>
      </c>
      <c r="B814" s="31" t="s">
        <v>5302</v>
      </c>
      <c r="C814" s="35" t="n">
        <v>228</v>
      </c>
    </row>
    <row r="815" customFormat="false" ht="15" hidden="false" customHeight="false" outlineLevel="0" collapsed="false">
      <c r="A815" s="31" t="s">
        <v>5160</v>
      </c>
      <c r="B815" s="31" t="s">
        <v>5310</v>
      </c>
      <c r="C815" s="35" t="n">
        <v>186</v>
      </c>
    </row>
    <row r="816" customFormat="false" ht="15" hidden="false" customHeight="false" outlineLevel="0" collapsed="false">
      <c r="A816" s="31" t="s">
        <v>6058</v>
      </c>
      <c r="B816" s="31" t="s">
        <v>5725</v>
      </c>
      <c r="C816" s="35" t="n">
        <v>182</v>
      </c>
    </row>
    <row r="817" customFormat="false" ht="15" hidden="false" customHeight="false" outlineLevel="0" collapsed="false">
      <c r="A817" s="31" t="s">
        <v>6059</v>
      </c>
      <c r="B817" s="31" t="s">
        <v>5302</v>
      </c>
      <c r="C817" s="35" t="n">
        <v>228</v>
      </c>
    </row>
    <row r="818" customFormat="false" ht="15" hidden="false" customHeight="false" outlineLevel="0" collapsed="false">
      <c r="A818" s="31" t="s">
        <v>6060</v>
      </c>
      <c r="B818" s="31" t="s">
        <v>5302</v>
      </c>
      <c r="C818" s="35" t="n">
        <v>228</v>
      </c>
    </row>
    <row r="819" customFormat="false" ht="15" hidden="false" customHeight="false" outlineLevel="0" collapsed="false">
      <c r="A819" s="31" t="s">
        <v>6061</v>
      </c>
      <c r="B819" s="31" t="s">
        <v>5275</v>
      </c>
      <c r="C819" s="35" t="n">
        <v>169</v>
      </c>
    </row>
    <row r="820" customFormat="false" ht="15" hidden="false" customHeight="false" outlineLevel="0" collapsed="false">
      <c r="A820" s="31" t="s">
        <v>6062</v>
      </c>
      <c r="B820" s="31" t="s">
        <v>5275</v>
      </c>
      <c r="C820" s="35" t="n">
        <v>169</v>
      </c>
    </row>
    <row r="821" customFormat="false" ht="15" hidden="false" customHeight="false" outlineLevel="0" collapsed="false">
      <c r="A821" s="31" t="s">
        <v>6063</v>
      </c>
      <c r="B821" s="31" t="s">
        <v>5302</v>
      </c>
      <c r="C821" s="35" t="n">
        <v>228</v>
      </c>
    </row>
    <row r="822" customFormat="false" ht="15" hidden="false" customHeight="false" outlineLevel="0" collapsed="false">
      <c r="A822" s="31" t="s">
        <v>6064</v>
      </c>
      <c r="B822" s="31" t="s">
        <v>5310</v>
      </c>
      <c r="C822" s="35" t="n">
        <v>186</v>
      </c>
    </row>
    <row r="823" customFormat="false" ht="15" hidden="false" customHeight="false" outlineLevel="0" collapsed="false">
      <c r="A823" s="31" t="s">
        <v>6065</v>
      </c>
      <c r="B823" s="31" t="s">
        <v>5302</v>
      </c>
      <c r="C823" s="35" t="n">
        <v>228</v>
      </c>
    </row>
    <row r="824" customFormat="false" ht="15" hidden="false" customHeight="false" outlineLevel="0" collapsed="false">
      <c r="A824" s="31" t="s">
        <v>5162</v>
      </c>
      <c r="B824" s="31" t="s">
        <v>5310</v>
      </c>
      <c r="C824" s="35" t="n">
        <v>186</v>
      </c>
    </row>
    <row r="825" customFormat="false" ht="15" hidden="false" customHeight="false" outlineLevel="0" collapsed="false">
      <c r="A825" s="31" t="s">
        <v>5164</v>
      </c>
      <c r="B825" s="31" t="s">
        <v>5310</v>
      </c>
      <c r="C825" s="35" t="n">
        <v>186</v>
      </c>
    </row>
    <row r="826" customFormat="false" ht="15" hidden="false" customHeight="false" outlineLevel="0" collapsed="false">
      <c r="A826" s="31" t="s">
        <v>6066</v>
      </c>
      <c r="B826" s="31" t="s">
        <v>5275</v>
      </c>
      <c r="C826" s="35" t="n">
        <v>169</v>
      </c>
    </row>
    <row r="827" customFormat="false" ht="15" hidden="false" customHeight="false" outlineLevel="0" collapsed="false">
      <c r="A827" s="31" t="s">
        <v>6067</v>
      </c>
      <c r="B827" s="31" t="s">
        <v>5310</v>
      </c>
      <c r="C827" s="35" t="n">
        <v>186</v>
      </c>
    </row>
    <row r="828" customFormat="false" ht="15" hidden="false" customHeight="false" outlineLevel="0" collapsed="false">
      <c r="A828" s="31" t="s">
        <v>6068</v>
      </c>
      <c r="B828" s="31" t="s">
        <v>5302</v>
      </c>
      <c r="C828" s="35" t="n">
        <v>228</v>
      </c>
    </row>
    <row r="829" customFormat="false" ht="15" hidden="false" customHeight="false" outlineLevel="0" collapsed="false">
      <c r="A829" s="31" t="s">
        <v>6069</v>
      </c>
      <c r="B829" s="31" t="s">
        <v>5275</v>
      </c>
      <c r="C829" s="35" t="n">
        <v>169</v>
      </c>
    </row>
    <row r="830" customFormat="false" ht="15" hidden="false" customHeight="false" outlineLevel="0" collapsed="false">
      <c r="A830" s="31" t="s">
        <v>6070</v>
      </c>
      <c r="B830" s="31" t="s">
        <v>5275</v>
      </c>
      <c r="C830" s="35" t="n">
        <v>169</v>
      </c>
    </row>
    <row r="831" customFormat="false" ht="15" hidden="false" customHeight="false" outlineLevel="0" collapsed="false">
      <c r="A831" s="31" t="s">
        <v>6071</v>
      </c>
      <c r="B831" s="31" t="s">
        <v>5302</v>
      </c>
      <c r="C831" s="35" t="n">
        <v>228</v>
      </c>
    </row>
    <row r="832" customFormat="false" ht="15" hidden="false" customHeight="false" outlineLevel="0" collapsed="false">
      <c r="A832" s="31" t="s">
        <v>6072</v>
      </c>
      <c r="B832" s="31" t="s">
        <v>5302</v>
      </c>
      <c r="C832" s="35" t="n">
        <v>228</v>
      </c>
    </row>
    <row r="833" customFormat="false" ht="15" hidden="false" customHeight="false" outlineLevel="0" collapsed="false">
      <c r="A833" s="31" t="s">
        <v>6073</v>
      </c>
      <c r="B833" s="31" t="s">
        <v>5275</v>
      </c>
      <c r="C833" s="35" t="n">
        <v>169</v>
      </c>
    </row>
    <row r="834" customFormat="false" ht="15" hidden="false" customHeight="false" outlineLevel="0" collapsed="false">
      <c r="A834" s="31" t="s">
        <v>5166</v>
      </c>
      <c r="B834" s="31" t="s">
        <v>5310</v>
      </c>
      <c r="C834" s="35" t="n">
        <v>186</v>
      </c>
    </row>
    <row r="835" customFormat="false" ht="15" hidden="false" customHeight="false" outlineLevel="0" collapsed="false">
      <c r="A835" s="31" t="s">
        <v>6074</v>
      </c>
      <c r="B835" s="31" t="s">
        <v>6075</v>
      </c>
      <c r="C835" s="35" t="n">
        <v>167</v>
      </c>
    </row>
    <row r="836" customFormat="false" ht="15" hidden="false" customHeight="false" outlineLevel="0" collapsed="false">
      <c r="A836" s="31" t="s">
        <v>5168</v>
      </c>
      <c r="B836" s="31" t="s">
        <v>5310</v>
      </c>
      <c r="C836" s="35" t="n">
        <v>186</v>
      </c>
    </row>
    <row r="837" customFormat="false" ht="15" hidden="false" customHeight="false" outlineLevel="0" collapsed="false">
      <c r="A837" s="31" t="s">
        <v>6076</v>
      </c>
      <c r="B837" s="31" t="s">
        <v>5302</v>
      </c>
      <c r="C837" s="35" t="n">
        <v>228</v>
      </c>
    </row>
    <row r="838" customFormat="false" ht="15" hidden="false" customHeight="false" outlineLevel="0" collapsed="false">
      <c r="A838" s="31" t="s">
        <v>6077</v>
      </c>
      <c r="B838" s="31" t="s">
        <v>5302</v>
      </c>
      <c r="C838" s="35" t="n">
        <v>228</v>
      </c>
    </row>
    <row r="839" customFormat="false" ht="15" hidden="false" customHeight="false" outlineLevel="0" collapsed="false">
      <c r="A839" s="31" t="s">
        <v>5170</v>
      </c>
      <c r="B839" s="31" t="s">
        <v>6078</v>
      </c>
      <c r="C839" s="35" t="n">
        <v>187</v>
      </c>
    </row>
    <row r="840" customFormat="false" ht="15" hidden="false" customHeight="false" outlineLevel="0" collapsed="false">
      <c r="A840" s="31" t="s">
        <v>6079</v>
      </c>
      <c r="B840" s="31" t="s">
        <v>5275</v>
      </c>
      <c r="C840" s="35" t="n">
        <v>169</v>
      </c>
    </row>
    <row r="841" customFormat="false" ht="15" hidden="false" customHeight="false" outlineLevel="0" collapsed="false">
      <c r="A841" s="31" t="s">
        <v>6080</v>
      </c>
      <c r="B841" s="31" t="s">
        <v>5302</v>
      </c>
      <c r="C841" s="35" t="n">
        <v>228</v>
      </c>
    </row>
    <row r="842" customFormat="false" ht="15" hidden="false" customHeight="false" outlineLevel="0" collapsed="false">
      <c r="A842" s="31" t="s">
        <v>6081</v>
      </c>
      <c r="B842" s="31" t="s">
        <v>5302</v>
      </c>
      <c r="C842" s="35" t="n">
        <v>228</v>
      </c>
    </row>
    <row r="843" customFormat="false" ht="15" hidden="false" customHeight="false" outlineLevel="0" collapsed="false">
      <c r="A843" s="31" t="s">
        <v>6082</v>
      </c>
      <c r="B843" s="31" t="s">
        <v>5302</v>
      </c>
      <c r="C843" s="35" t="n">
        <v>228</v>
      </c>
    </row>
    <row r="844" customFormat="false" ht="15" hidden="false" customHeight="false" outlineLevel="0" collapsed="false">
      <c r="A844" s="31" t="s">
        <v>6083</v>
      </c>
      <c r="B844" s="31" t="s">
        <v>5302</v>
      </c>
      <c r="C844" s="35" t="n">
        <v>228</v>
      </c>
    </row>
    <row r="845" customFormat="false" ht="15" hidden="false" customHeight="false" outlineLevel="0" collapsed="false">
      <c r="A845" s="31" t="s">
        <v>6084</v>
      </c>
      <c r="B845" s="31" t="s">
        <v>5310</v>
      </c>
      <c r="C845" s="35" t="n">
        <v>186</v>
      </c>
    </row>
    <row r="846" customFormat="false" ht="15" hidden="false" customHeight="false" outlineLevel="0" collapsed="false">
      <c r="A846" s="31" t="s">
        <v>5172</v>
      </c>
      <c r="B846" s="31" t="s">
        <v>5310</v>
      </c>
      <c r="C846" s="35" t="n">
        <v>186</v>
      </c>
    </row>
    <row r="847" customFormat="false" ht="15" hidden="false" customHeight="false" outlineLevel="0" collapsed="false">
      <c r="A847" s="31" t="s">
        <v>6085</v>
      </c>
      <c r="B847" s="31" t="s">
        <v>5275</v>
      </c>
      <c r="C847" s="35" t="n">
        <v>169</v>
      </c>
    </row>
    <row r="848" customFormat="false" ht="15" hidden="false" customHeight="false" outlineLevel="0" collapsed="false">
      <c r="A848" s="31" t="s">
        <v>6086</v>
      </c>
      <c r="B848" s="31" t="s">
        <v>5275</v>
      </c>
      <c r="C848" s="35" t="n">
        <v>169</v>
      </c>
    </row>
    <row r="849" customFormat="false" ht="15" hidden="false" customHeight="false" outlineLevel="0" collapsed="false">
      <c r="A849" s="31" t="s">
        <v>6087</v>
      </c>
      <c r="B849" s="31" t="s">
        <v>5310</v>
      </c>
      <c r="C849" s="35" t="n">
        <v>186</v>
      </c>
    </row>
    <row r="850" customFormat="false" ht="15" hidden="false" customHeight="false" outlineLevel="0" collapsed="false">
      <c r="A850" s="31" t="s">
        <v>6088</v>
      </c>
      <c r="B850" s="31" t="s">
        <v>5310</v>
      </c>
      <c r="C850" s="35" t="n">
        <v>186</v>
      </c>
    </row>
    <row r="851" customFormat="false" ht="15" hidden="false" customHeight="false" outlineLevel="0" collapsed="false">
      <c r="A851" s="31" t="s">
        <v>6089</v>
      </c>
      <c r="B851" s="31" t="s">
        <v>5310</v>
      </c>
      <c r="C851" s="35" t="n">
        <v>186</v>
      </c>
    </row>
    <row r="852" customFormat="false" ht="15" hidden="false" customHeight="false" outlineLevel="0" collapsed="false">
      <c r="A852" s="31" t="s">
        <v>5174</v>
      </c>
      <c r="B852" s="31" t="s">
        <v>5310</v>
      </c>
      <c r="C852" s="35" t="n">
        <v>186</v>
      </c>
    </row>
    <row r="853" customFormat="false" ht="15" hidden="false" customHeight="false" outlineLevel="0" collapsed="false">
      <c r="A853" s="31" t="s">
        <v>6090</v>
      </c>
      <c r="B853" s="31" t="s">
        <v>5275</v>
      </c>
      <c r="C853" s="35" t="n">
        <v>169</v>
      </c>
    </row>
    <row r="854" customFormat="false" ht="15" hidden="false" customHeight="false" outlineLevel="0" collapsed="false">
      <c r="A854" s="31" t="s">
        <v>6091</v>
      </c>
      <c r="B854" s="31" t="s">
        <v>5302</v>
      </c>
      <c r="C854" s="35" t="n">
        <v>228</v>
      </c>
    </row>
    <row r="855" customFormat="false" ht="15" hidden="false" customHeight="false" outlineLevel="0" collapsed="false">
      <c r="A855" s="31" t="s">
        <v>5176</v>
      </c>
      <c r="B855" s="31" t="s">
        <v>5525</v>
      </c>
      <c r="C855" s="35" t="n">
        <v>206</v>
      </c>
    </row>
    <row r="856" customFormat="false" ht="15" hidden="false" customHeight="false" outlineLevel="0" collapsed="false">
      <c r="A856" s="31" t="s">
        <v>6092</v>
      </c>
      <c r="B856" s="31" t="s">
        <v>6093</v>
      </c>
      <c r="C856" s="35" t="n">
        <v>175</v>
      </c>
    </row>
    <row r="857" customFormat="false" ht="15" hidden="false" customHeight="false" outlineLevel="0" collapsed="false">
      <c r="A857" s="31" t="s">
        <v>6094</v>
      </c>
      <c r="B857" s="31" t="s">
        <v>5275</v>
      </c>
      <c r="C857" s="35" t="n">
        <v>169</v>
      </c>
    </row>
    <row r="858" customFormat="false" ht="15" hidden="false" customHeight="false" outlineLevel="0" collapsed="false">
      <c r="A858" s="31" t="s">
        <v>6095</v>
      </c>
      <c r="B858" s="31" t="s">
        <v>6096</v>
      </c>
      <c r="C858" s="35" t="n">
        <v>173</v>
      </c>
    </row>
    <row r="859" customFormat="false" ht="15" hidden="false" customHeight="false" outlineLevel="0" collapsed="false">
      <c r="A859" s="31" t="s">
        <v>6097</v>
      </c>
      <c r="B859" s="31" t="s">
        <v>5302</v>
      </c>
      <c r="C859" s="35" t="n">
        <v>228</v>
      </c>
    </row>
    <row r="860" customFormat="false" ht="15" hidden="false" customHeight="false" outlineLevel="0" collapsed="false">
      <c r="A860" s="31" t="s">
        <v>6098</v>
      </c>
      <c r="B860" s="31" t="s">
        <v>5310</v>
      </c>
      <c r="C860" s="35" t="n">
        <v>186</v>
      </c>
    </row>
    <row r="861" customFormat="false" ht="15" hidden="false" customHeight="false" outlineLevel="0" collapsed="false">
      <c r="A861" s="31" t="s">
        <v>6099</v>
      </c>
      <c r="B861" s="31" t="s">
        <v>5310</v>
      </c>
      <c r="C861" s="35" t="n">
        <v>186</v>
      </c>
    </row>
    <row r="862" customFormat="false" ht="15" hidden="false" customHeight="false" outlineLevel="0" collapsed="false">
      <c r="A862" s="31" t="s">
        <v>6100</v>
      </c>
      <c r="B862" s="31" t="s">
        <v>5302</v>
      </c>
      <c r="C862" s="35" t="n">
        <v>228</v>
      </c>
    </row>
    <row r="863" customFormat="false" ht="15" hidden="false" customHeight="false" outlineLevel="0" collapsed="false">
      <c r="A863" s="31" t="s">
        <v>6101</v>
      </c>
      <c r="B863" s="31" t="s">
        <v>5319</v>
      </c>
      <c r="C863" s="35" t="n">
        <v>192</v>
      </c>
    </row>
    <row r="864" customFormat="false" ht="15" hidden="false" customHeight="false" outlineLevel="0" collapsed="false">
      <c r="A864" s="31" t="s">
        <v>5179</v>
      </c>
      <c r="B864" s="31" t="s">
        <v>6102</v>
      </c>
      <c r="C864" s="35" t="n">
        <v>170</v>
      </c>
    </row>
    <row r="865" customFormat="false" ht="15" hidden="false" customHeight="false" outlineLevel="0" collapsed="false">
      <c r="A865" s="31" t="s">
        <v>5181</v>
      </c>
      <c r="B865" s="31" t="s">
        <v>5310</v>
      </c>
      <c r="C865" s="35" t="n">
        <v>186</v>
      </c>
    </row>
    <row r="866" customFormat="false" ht="15" hidden="false" customHeight="false" outlineLevel="0" collapsed="false">
      <c r="A866" s="31" t="s">
        <v>6103</v>
      </c>
      <c r="B866" s="31" t="s">
        <v>5302</v>
      </c>
      <c r="C866" s="35" t="n">
        <v>228</v>
      </c>
    </row>
    <row r="867" customFormat="false" ht="15" hidden="false" customHeight="false" outlineLevel="0" collapsed="false">
      <c r="A867" s="31" t="s">
        <v>5185</v>
      </c>
      <c r="B867" s="31" t="s">
        <v>6104</v>
      </c>
      <c r="C867" s="35" t="n">
        <v>171</v>
      </c>
    </row>
    <row r="868" customFormat="false" ht="15" hidden="false" customHeight="false" outlineLevel="0" collapsed="false">
      <c r="A868" s="31" t="s">
        <v>5187</v>
      </c>
      <c r="B868" s="31" t="s">
        <v>6105</v>
      </c>
      <c r="C868" s="35" t="n">
        <v>184</v>
      </c>
    </row>
    <row r="869" customFormat="false" ht="15" hidden="false" customHeight="false" outlineLevel="0" collapsed="false">
      <c r="A869" s="31" t="s">
        <v>4648</v>
      </c>
      <c r="B869" s="31" t="s">
        <v>6106</v>
      </c>
      <c r="C869" s="35" t="n">
        <v>169</v>
      </c>
    </row>
    <row r="870" customFormat="false" ht="15" hidden="false" customHeight="false" outlineLevel="0" collapsed="false">
      <c r="A870" s="31" t="s">
        <v>6107</v>
      </c>
      <c r="B870" s="31" t="s">
        <v>5302</v>
      </c>
      <c r="C870" s="35" t="n">
        <v>228</v>
      </c>
    </row>
    <row r="871" customFormat="false" ht="15" hidden="false" customHeight="false" outlineLevel="0" collapsed="false">
      <c r="A871" s="31" t="s">
        <v>6108</v>
      </c>
      <c r="B871" s="31" t="s">
        <v>5275</v>
      </c>
      <c r="C871" s="35" t="n">
        <v>169</v>
      </c>
    </row>
    <row r="872" customFormat="false" ht="15" hidden="false" customHeight="false" outlineLevel="0" collapsed="false">
      <c r="A872" s="31" t="s">
        <v>5189</v>
      </c>
      <c r="B872" s="31" t="s">
        <v>6109</v>
      </c>
      <c r="C872" s="35" t="n">
        <v>172</v>
      </c>
    </row>
    <row r="873" customFormat="false" ht="15" hidden="false" customHeight="false" outlineLevel="0" collapsed="false">
      <c r="A873" s="31" t="s">
        <v>6110</v>
      </c>
      <c r="B873" s="31" t="s">
        <v>5275</v>
      </c>
      <c r="C873" s="35" t="n">
        <v>169</v>
      </c>
    </row>
    <row r="874" customFormat="false" ht="15" hidden="false" customHeight="false" outlineLevel="0" collapsed="false">
      <c r="A874" s="31" t="s">
        <v>6111</v>
      </c>
      <c r="B874" s="31" t="s">
        <v>6112</v>
      </c>
      <c r="C874" s="35" t="n">
        <v>164</v>
      </c>
    </row>
    <row r="875" customFormat="false" ht="15" hidden="false" customHeight="false" outlineLevel="0" collapsed="false">
      <c r="A875" s="31" t="s">
        <v>6113</v>
      </c>
      <c r="B875" s="31" t="s">
        <v>5275</v>
      </c>
      <c r="C875" s="35" t="n">
        <v>169</v>
      </c>
    </row>
    <row r="876" customFormat="false" ht="15" hidden="false" customHeight="false" outlineLevel="0" collapsed="false">
      <c r="A876" s="31" t="s">
        <v>6114</v>
      </c>
      <c r="B876" s="31" t="s">
        <v>5275</v>
      </c>
      <c r="C876" s="35" t="n">
        <v>169</v>
      </c>
    </row>
    <row r="877" customFormat="false" ht="15" hidden="false" customHeight="false" outlineLevel="0" collapsed="false">
      <c r="A877" s="31" t="s">
        <v>6115</v>
      </c>
      <c r="B877" s="31" t="s">
        <v>5310</v>
      </c>
      <c r="C877" s="35" t="n">
        <v>186</v>
      </c>
    </row>
    <row r="878" customFormat="false" ht="15" hidden="false" customHeight="false" outlineLevel="0" collapsed="false">
      <c r="A878" s="31" t="s">
        <v>5194</v>
      </c>
      <c r="B878" s="31" t="s">
        <v>6116</v>
      </c>
      <c r="C878" s="35" t="n">
        <v>171</v>
      </c>
    </row>
    <row r="879" customFormat="false" ht="15" hidden="false" customHeight="false" outlineLevel="0" collapsed="false">
      <c r="A879" s="31" t="s">
        <v>5196</v>
      </c>
      <c r="B879" s="31" t="s">
        <v>5878</v>
      </c>
      <c r="C879" s="35" t="n">
        <v>215</v>
      </c>
    </row>
    <row r="880" customFormat="false" ht="15" hidden="false" customHeight="false" outlineLevel="0" collapsed="false">
      <c r="A880" s="31" t="s">
        <v>6117</v>
      </c>
      <c r="B880" s="31" t="s">
        <v>5302</v>
      </c>
      <c r="C880" s="35" t="n">
        <v>228</v>
      </c>
    </row>
    <row r="881" customFormat="false" ht="15" hidden="false" customHeight="false" outlineLevel="0" collapsed="false">
      <c r="A881" s="31" t="s">
        <v>5200</v>
      </c>
      <c r="B881" s="31" t="s">
        <v>5310</v>
      </c>
      <c r="C881" s="35" t="n">
        <v>186</v>
      </c>
    </row>
    <row r="882" customFormat="false" ht="15" hidden="false" customHeight="false" outlineLevel="0" collapsed="false">
      <c r="A882" s="31" t="s">
        <v>6118</v>
      </c>
      <c r="B882" s="31" t="s">
        <v>5295</v>
      </c>
      <c r="C882" s="35" t="n">
        <v>182</v>
      </c>
    </row>
    <row r="883" customFormat="false" ht="15" hidden="false" customHeight="false" outlineLevel="0" collapsed="false">
      <c r="A883" s="31" t="s">
        <v>6119</v>
      </c>
      <c r="B883" s="31" t="s">
        <v>5275</v>
      </c>
      <c r="C883" s="35" t="n">
        <v>169</v>
      </c>
    </row>
    <row r="884" customFormat="false" ht="15" hidden="false" customHeight="false" outlineLevel="0" collapsed="false">
      <c r="A884" s="31" t="s">
        <v>5202</v>
      </c>
      <c r="B884" s="31" t="s">
        <v>5310</v>
      </c>
      <c r="C884" s="35" t="n">
        <v>186</v>
      </c>
    </row>
    <row r="885" customFormat="false" ht="15" hidden="false" customHeight="false" outlineLevel="0" collapsed="false">
      <c r="A885" s="31" t="s">
        <v>6120</v>
      </c>
      <c r="B885" s="31" t="s">
        <v>5302</v>
      </c>
      <c r="C885" s="35" t="n">
        <v>228</v>
      </c>
    </row>
    <row r="886" customFormat="false" ht="15" hidden="false" customHeight="false" outlineLevel="0" collapsed="false">
      <c r="A886" s="31" t="s">
        <v>6121</v>
      </c>
      <c r="B886" s="31" t="s">
        <v>5310</v>
      </c>
      <c r="C886" s="35" t="n">
        <v>186</v>
      </c>
    </row>
    <row r="887" customFormat="false" ht="15" hidden="false" customHeight="false" outlineLevel="0" collapsed="false">
      <c r="A887" s="31" t="s">
        <v>6122</v>
      </c>
      <c r="B887" s="31" t="s">
        <v>5275</v>
      </c>
      <c r="C887" s="35" t="n">
        <v>169</v>
      </c>
    </row>
    <row r="888" customFormat="false" ht="15" hidden="false" customHeight="false" outlineLevel="0" collapsed="false">
      <c r="A888" s="31" t="s">
        <v>5206</v>
      </c>
      <c r="B888" s="31" t="s">
        <v>5310</v>
      </c>
      <c r="C888" s="35" t="n">
        <v>186</v>
      </c>
    </row>
    <row r="889" customFormat="false" ht="15" hidden="false" customHeight="false" outlineLevel="0" collapsed="false">
      <c r="A889" s="31" t="s">
        <v>6123</v>
      </c>
      <c r="B889" s="31" t="s">
        <v>5302</v>
      </c>
      <c r="C889" s="35" t="n">
        <v>228</v>
      </c>
    </row>
    <row r="890" customFormat="false" ht="15" hidden="false" customHeight="false" outlineLevel="0" collapsed="false">
      <c r="A890" s="31" t="s">
        <v>4555</v>
      </c>
      <c r="B890" s="31" t="s">
        <v>6124</v>
      </c>
      <c r="C890" s="35" t="n">
        <v>186</v>
      </c>
    </row>
    <row r="891" customFormat="false" ht="15" hidden="false" customHeight="false" outlineLevel="0" collapsed="false">
      <c r="A891" s="31" t="s">
        <v>6125</v>
      </c>
      <c r="B891" s="31" t="s">
        <v>5302</v>
      </c>
      <c r="C891" s="35" t="n">
        <v>228</v>
      </c>
    </row>
    <row r="892" customFormat="false" ht="15" hidden="false" customHeight="false" outlineLevel="0" collapsed="false">
      <c r="A892" s="31" t="s">
        <v>6126</v>
      </c>
      <c r="B892" s="31" t="s">
        <v>5302</v>
      </c>
      <c r="C892" s="35" t="n">
        <v>228</v>
      </c>
    </row>
    <row r="893" customFormat="false" ht="15" hidden="false" customHeight="false" outlineLevel="0" collapsed="false">
      <c r="A893" s="31" t="s">
        <v>5208</v>
      </c>
      <c r="B893" s="31" t="s">
        <v>6127</v>
      </c>
      <c r="C893" s="35" t="n">
        <v>177</v>
      </c>
    </row>
    <row r="894" customFormat="false" ht="15" hidden="false" customHeight="false" outlineLevel="0" collapsed="false">
      <c r="A894" s="31" t="s">
        <v>6128</v>
      </c>
      <c r="B894" s="31" t="s">
        <v>5302</v>
      </c>
      <c r="C894" s="35" t="n">
        <v>228</v>
      </c>
    </row>
    <row r="895" customFormat="false" ht="15" hidden="false" customHeight="false" outlineLevel="0" collapsed="false">
      <c r="A895" s="31" t="s">
        <v>4649</v>
      </c>
      <c r="B895" s="31" t="s">
        <v>6129</v>
      </c>
      <c r="C895" s="35" t="n">
        <v>168</v>
      </c>
    </row>
    <row r="896" customFormat="false" ht="15" hidden="false" customHeight="false" outlineLevel="0" collapsed="false">
      <c r="A896" s="31" t="s">
        <v>6130</v>
      </c>
      <c r="B896" s="31" t="s">
        <v>5310</v>
      </c>
      <c r="C896" s="35" t="n">
        <v>186</v>
      </c>
    </row>
    <row r="897" customFormat="false" ht="15" hidden="false" customHeight="false" outlineLevel="0" collapsed="false">
      <c r="A897" s="31" t="s">
        <v>5211</v>
      </c>
      <c r="B897" s="31" t="s">
        <v>5310</v>
      </c>
      <c r="C897" s="35" t="n">
        <v>186</v>
      </c>
    </row>
    <row r="898" customFormat="false" ht="15" hidden="false" customHeight="false" outlineLevel="0" collapsed="false">
      <c r="A898" s="31" t="s">
        <v>6131</v>
      </c>
      <c r="B898" s="31" t="s">
        <v>5275</v>
      </c>
      <c r="C898" s="35" t="n">
        <v>169</v>
      </c>
    </row>
    <row r="899" customFormat="false" ht="15" hidden="false" customHeight="false" outlineLevel="0" collapsed="false">
      <c r="A899" s="31" t="s">
        <v>6132</v>
      </c>
      <c r="B899" s="31" t="s">
        <v>5302</v>
      </c>
      <c r="C899" s="35" t="n">
        <v>228</v>
      </c>
    </row>
    <row r="900" customFormat="false" ht="15" hidden="false" customHeight="false" outlineLevel="0" collapsed="false">
      <c r="A900" s="31" t="s">
        <v>6133</v>
      </c>
      <c r="B900" s="31" t="s">
        <v>5275</v>
      </c>
      <c r="C900" s="35" t="n">
        <v>169</v>
      </c>
    </row>
    <row r="901" customFormat="false" ht="15" hidden="false" customHeight="false" outlineLevel="0" collapsed="false">
      <c r="A901" s="31" t="s">
        <v>6134</v>
      </c>
      <c r="B901" s="31" t="s">
        <v>5275</v>
      </c>
      <c r="C901" s="35" t="n">
        <v>169</v>
      </c>
    </row>
    <row r="902" customFormat="false" ht="15" hidden="false" customHeight="false" outlineLevel="0" collapsed="false">
      <c r="A902" s="31" t="s">
        <v>6135</v>
      </c>
      <c r="B902" s="31" t="s">
        <v>5310</v>
      </c>
      <c r="C902" s="35" t="n">
        <v>186</v>
      </c>
    </row>
    <row r="903" customFormat="false" ht="15" hidden="false" customHeight="false" outlineLevel="0" collapsed="false">
      <c r="A903" s="31" t="s">
        <v>6136</v>
      </c>
      <c r="B903" s="31" t="s">
        <v>5275</v>
      </c>
      <c r="C903" s="35" t="n">
        <v>169</v>
      </c>
    </row>
    <row r="904" customFormat="false" ht="15" hidden="false" customHeight="false" outlineLevel="0" collapsed="false">
      <c r="A904" s="31" t="s">
        <v>6137</v>
      </c>
      <c r="B904" s="31" t="s">
        <v>5275</v>
      </c>
      <c r="C904" s="35" t="n">
        <v>169</v>
      </c>
    </row>
    <row r="905" customFormat="false" ht="15" hidden="false" customHeight="false" outlineLevel="0" collapsed="false">
      <c r="A905" s="31" t="s">
        <v>6138</v>
      </c>
      <c r="B905" s="31" t="s">
        <v>5302</v>
      </c>
      <c r="C905" s="35" t="n">
        <v>228</v>
      </c>
    </row>
    <row r="906" customFormat="false" ht="15" hidden="false" customHeight="false" outlineLevel="0" collapsed="false">
      <c r="A906" s="31" t="s">
        <v>6139</v>
      </c>
      <c r="B906" s="31" t="s">
        <v>5310</v>
      </c>
      <c r="C906" s="35" t="n">
        <v>186</v>
      </c>
    </row>
    <row r="907" customFormat="false" ht="15" hidden="false" customHeight="false" outlineLevel="0" collapsed="false">
      <c r="A907" s="31" t="s">
        <v>6140</v>
      </c>
      <c r="B907" s="31" t="s">
        <v>5302</v>
      </c>
      <c r="C907" s="35" t="n">
        <v>228</v>
      </c>
    </row>
    <row r="908" customFormat="false" ht="15" hidden="false" customHeight="false" outlineLevel="0" collapsed="false">
      <c r="A908" s="31" t="s">
        <v>6141</v>
      </c>
      <c r="B908" s="31" t="s">
        <v>5275</v>
      </c>
      <c r="C908" s="35" t="n">
        <v>169</v>
      </c>
    </row>
    <row r="909" customFormat="false" ht="15" hidden="false" customHeight="false" outlineLevel="0" collapsed="false">
      <c r="A909" s="31" t="s">
        <v>4652</v>
      </c>
      <c r="B909" s="31" t="s">
        <v>6142</v>
      </c>
      <c r="C909" s="35" t="n">
        <v>166</v>
      </c>
    </row>
    <row r="910" customFormat="false" ht="15" hidden="false" customHeight="false" outlineLevel="0" collapsed="false">
      <c r="A910" s="31" t="s">
        <v>4653</v>
      </c>
      <c r="B910" s="31" t="s">
        <v>6143</v>
      </c>
      <c r="C910" s="35" t="n">
        <v>196</v>
      </c>
    </row>
    <row r="911" customFormat="false" ht="15" hidden="false" customHeight="false" outlineLevel="0" collapsed="false">
      <c r="A911" s="31" t="s">
        <v>6144</v>
      </c>
      <c r="B911" s="31" t="s">
        <v>5310</v>
      </c>
      <c r="C911" s="35" t="n">
        <v>186</v>
      </c>
    </row>
    <row r="912" customFormat="false" ht="15" hidden="false" customHeight="false" outlineLevel="0" collapsed="false">
      <c r="A912" s="31" t="s">
        <v>5214</v>
      </c>
      <c r="B912" s="31" t="s">
        <v>6145</v>
      </c>
      <c r="C912" s="35" t="n">
        <v>165</v>
      </c>
    </row>
    <row r="913" customFormat="false" ht="15" hidden="false" customHeight="false" outlineLevel="0" collapsed="false">
      <c r="A913" s="31" t="s">
        <v>6146</v>
      </c>
      <c r="B913" s="31" t="s">
        <v>5275</v>
      </c>
      <c r="C913" s="35" t="n">
        <v>169</v>
      </c>
    </row>
    <row r="914" customFormat="false" ht="15" hidden="false" customHeight="false" outlineLevel="0" collapsed="false">
      <c r="A914" s="31" t="s">
        <v>5216</v>
      </c>
      <c r="B914" s="31" t="s">
        <v>6147</v>
      </c>
      <c r="C914" s="35" t="n">
        <v>187</v>
      </c>
    </row>
    <row r="915" customFormat="false" ht="15" hidden="false" customHeight="false" outlineLevel="0" collapsed="false">
      <c r="A915" s="31" t="s">
        <v>6148</v>
      </c>
      <c r="B915" s="31" t="s">
        <v>5275</v>
      </c>
      <c r="C915" s="35" t="n">
        <v>169</v>
      </c>
    </row>
    <row r="916" customFormat="false" ht="15" hidden="false" customHeight="false" outlineLevel="0" collapsed="false">
      <c r="A916" s="31" t="s">
        <v>6149</v>
      </c>
      <c r="B916" s="31" t="s">
        <v>5275</v>
      </c>
      <c r="C916" s="35" t="n">
        <v>169</v>
      </c>
    </row>
    <row r="917" customFormat="false" ht="15" hidden="false" customHeight="false" outlineLevel="0" collapsed="false">
      <c r="A917" s="31" t="s">
        <v>6150</v>
      </c>
      <c r="B917" s="31" t="s">
        <v>5275</v>
      </c>
      <c r="C917" s="35" t="n">
        <v>169</v>
      </c>
    </row>
    <row r="918" customFormat="false" ht="15" hidden="false" customHeight="false" outlineLevel="0" collapsed="false">
      <c r="A918" s="31" t="s">
        <v>6151</v>
      </c>
      <c r="B918" s="31" t="s">
        <v>5275</v>
      </c>
      <c r="C918" s="35" t="n">
        <v>169</v>
      </c>
    </row>
    <row r="919" customFormat="false" ht="15" hidden="false" customHeight="false" outlineLevel="0" collapsed="false">
      <c r="A919" s="31" t="s">
        <v>5218</v>
      </c>
      <c r="B919" s="31" t="s">
        <v>5275</v>
      </c>
      <c r="C919" s="35" t="n">
        <v>169</v>
      </c>
    </row>
    <row r="920" customFormat="false" ht="15" hidden="false" customHeight="false" outlineLevel="0" collapsed="false">
      <c r="A920" s="31" t="s">
        <v>6152</v>
      </c>
      <c r="B920" s="31" t="s">
        <v>5302</v>
      </c>
      <c r="C920" s="35" t="n">
        <v>228</v>
      </c>
    </row>
    <row r="921" customFormat="false" ht="15" hidden="false" customHeight="false" outlineLevel="0" collapsed="false">
      <c r="A921" s="31" t="s">
        <v>6153</v>
      </c>
      <c r="B921" s="31" t="s">
        <v>5302</v>
      </c>
      <c r="C921" s="35" t="n">
        <v>228</v>
      </c>
    </row>
    <row r="922" customFormat="false" ht="15" hidden="false" customHeight="false" outlineLevel="0" collapsed="false">
      <c r="A922" s="31" t="s">
        <v>6154</v>
      </c>
      <c r="B922" s="31" t="s">
        <v>5310</v>
      </c>
      <c r="C922" s="35" t="n">
        <v>186</v>
      </c>
    </row>
    <row r="923" customFormat="false" ht="15" hidden="false" customHeight="false" outlineLevel="0" collapsed="false">
      <c r="A923" s="31" t="s">
        <v>6155</v>
      </c>
      <c r="B923" s="31" t="s">
        <v>6156</v>
      </c>
      <c r="C923" s="35" t="n">
        <v>161</v>
      </c>
    </row>
    <row r="924" customFormat="false" ht="15" hidden="false" customHeight="false" outlineLevel="0" collapsed="false">
      <c r="A924" s="31" t="s">
        <v>6157</v>
      </c>
      <c r="B924" s="31" t="s">
        <v>6158</v>
      </c>
      <c r="C924" s="35" t="n">
        <v>185</v>
      </c>
    </row>
    <row r="925" customFormat="false" ht="15" hidden="false" customHeight="false" outlineLevel="0" collapsed="false">
      <c r="A925" s="31" t="s">
        <v>6159</v>
      </c>
      <c r="B925" s="31" t="s">
        <v>5275</v>
      </c>
      <c r="C925" s="35" t="n">
        <v>169</v>
      </c>
    </row>
    <row r="926" customFormat="false" ht="15" hidden="false" customHeight="false" outlineLevel="0" collapsed="false">
      <c r="A926" s="31" t="s">
        <v>6160</v>
      </c>
      <c r="B926" s="31" t="s">
        <v>5275</v>
      </c>
      <c r="C926" s="35" t="n">
        <v>169</v>
      </c>
    </row>
    <row r="927" customFormat="false" ht="15" hidden="false" customHeight="false" outlineLevel="0" collapsed="false">
      <c r="A927" s="31" t="s">
        <v>6161</v>
      </c>
      <c r="B927" s="31" t="s">
        <v>5302</v>
      </c>
      <c r="C927" s="35" t="n">
        <v>228</v>
      </c>
    </row>
    <row r="928" customFormat="false" ht="15" hidden="false" customHeight="false" outlineLevel="0" collapsed="false">
      <c r="A928" s="31" t="s">
        <v>6162</v>
      </c>
      <c r="B928" s="31" t="s">
        <v>5302</v>
      </c>
      <c r="C928" s="35" t="n">
        <v>228</v>
      </c>
    </row>
    <row r="929" customFormat="false" ht="15" hidden="false" customHeight="false" outlineLevel="0" collapsed="false">
      <c r="A929" s="31" t="s">
        <v>4654</v>
      </c>
      <c r="B929" s="31" t="s">
        <v>6163</v>
      </c>
      <c r="C929" s="35" t="n">
        <v>196</v>
      </c>
    </row>
    <row r="930" customFormat="false" ht="15" hidden="false" customHeight="false" outlineLevel="0" collapsed="false">
      <c r="A930" s="31" t="s">
        <v>5221</v>
      </c>
      <c r="B930" s="31" t="s">
        <v>5310</v>
      </c>
      <c r="C930" s="35" t="n">
        <v>186</v>
      </c>
    </row>
    <row r="931" customFormat="false" ht="15" hidden="false" customHeight="false" outlineLevel="0" collapsed="false">
      <c r="A931" s="31" t="s">
        <v>6164</v>
      </c>
      <c r="B931" s="31" t="s">
        <v>5275</v>
      </c>
      <c r="C931" s="35" t="n">
        <v>169</v>
      </c>
    </row>
    <row r="932" customFormat="false" ht="15" hidden="false" customHeight="false" outlineLevel="0" collapsed="false">
      <c r="A932" s="31" t="s">
        <v>6165</v>
      </c>
      <c r="B932" s="31" t="s">
        <v>5275</v>
      </c>
      <c r="C932" s="35" t="n">
        <v>169</v>
      </c>
    </row>
    <row r="933" customFormat="false" ht="15" hidden="false" customHeight="false" outlineLevel="0" collapsed="false">
      <c r="A933" s="31" t="s">
        <v>5223</v>
      </c>
      <c r="B933" s="31" t="s">
        <v>6166</v>
      </c>
      <c r="C933" s="35" t="n">
        <v>180</v>
      </c>
    </row>
    <row r="934" customFormat="false" ht="15" hidden="false" customHeight="false" outlineLevel="0" collapsed="false">
      <c r="A934" s="31" t="s">
        <v>4558</v>
      </c>
      <c r="B934" s="31" t="s">
        <v>6167</v>
      </c>
      <c r="C934" s="35" t="n">
        <v>166</v>
      </c>
    </row>
    <row r="935" customFormat="false" ht="15" hidden="false" customHeight="false" outlineLevel="0" collapsed="false">
      <c r="A935" s="31" t="s">
        <v>5225</v>
      </c>
      <c r="B935" s="31" t="s">
        <v>5310</v>
      </c>
      <c r="C935" s="35" t="n">
        <v>186</v>
      </c>
    </row>
    <row r="936" customFormat="false" ht="15" hidden="false" customHeight="false" outlineLevel="0" collapsed="false">
      <c r="A936" s="31" t="s">
        <v>6168</v>
      </c>
      <c r="B936" s="31" t="s">
        <v>5302</v>
      </c>
      <c r="C936" s="35" t="n">
        <v>228</v>
      </c>
    </row>
    <row r="937" customFormat="false" ht="15" hidden="false" customHeight="false" outlineLevel="0" collapsed="false">
      <c r="A937" s="31" t="s">
        <v>5227</v>
      </c>
      <c r="B937" s="31" t="s">
        <v>5310</v>
      </c>
      <c r="C937" s="35" t="n">
        <v>186</v>
      </c>
    </row>
    <row r="938" customFormat="false" ht="15" hidden="false" customHeight="false" outlineLevel="0" collapsed="false">
      <c r="A938" s="31" t="s">
        <v>5229</v>
      </c>
      <c r="B938" s="31" t="s">
        <v>5542</v>
      </c>
      <c r="C938" s="35" t="n">
        <v>169</v>
      </c>
    </row>
    <row r="939" customFormat="false" ht="15" hidden="false" customHeight="false" outlineLevel="0" collapsed="false">
      <c r="A939" s="31" t="s">
        <v>6169</v>
      </c>
      <c r="B939" s="31" t="s">
        <v>6170</v>
      </c>
      <c r="C939" s="35" t="n">
        <v>193</v>
      </c>
    </row>
    <row r="940" customFormat="false" ht="15" hidden="false" customHeight="false" outlineLevel="0" collapsed="false">
      <c r="A940" s="31" t="s">
        <v>6171</v>
      </c>
      <c r="B940" s="31" t="s">
        <v>5275</v>
      </c>
      <c r="C940" s="35" t="n">
        <v>169</v>
      </c>
    </row>
    <row r="941" customFormat="false" ht="15" hidden="false" customHeight="false" outlineLevel="0" collapsed="false">
      <c r="A941" s="31" t="s">
        <v>4655</v>
      </c>
      <c r="B941" s="31" t="s">
        <v>6172</v>
      </c>
      <c r="C941" s="35" t="n">
        <v>176</v>
      </c>
    </row>
    <row r="942" customFormat="false" ht="15" hidden="false" customHeight="false" outlineLevel="0" collapsed="false">
      <c r="A942" s="31" t="s">
        <v>6173</v>
      </c>
      <c r="B942" s="31" t="s">
        <v>5310</v>
      </c>
      <c r="C942" s="35" t="n">
        <v>186</v>
      </c>
    </row>
    <row r="943" customFormat="false" ht="15" hidden="false" customHeight="false" outlineLevel="0" collapsed="false">
      <c r="A943" s="31" t="s">
        <v>6174</v>
      </c>
      <c r="B943" s="31" t="s">
        <v>5878</v>
      </c>
      <c r="C943" s="35" t="n">
        <v>215</v>
      </c>
    </row>
    <row r="944" customFormat="false" ht="15" hidden="false" customHeight="false" outlineLevel="0" collapsed="false">
      <c r="A944" s="31" t="s">
        <v>6175</v>
      </c>
      <c r="B944" s="31" t="s">
        <v>5302</v>
      </c>
      <c r="C944" s="35" t="n">
        <v>228</v>
      </c>
    </row>
    <row r="945" customFormat="false" ht="15" hidden="false" customHeight="false" outlineLevel="0" collapsed="false">
      <c r="A945" s="31" t="s">
        <v>6176</v>
      </c>
      <c r="B945" s="31" t="s">
        <v>5275</v>
      </c>
      <c r="C945" s="35" t="n">
        <v>169</v>
      </c>
    </row>
    <row r="946" customFormat="false" ht="15" hidden="false" customHeight="false" outlineLevel="0" collapsed="false">
      <c r="A946" s="31" t="s">
        <v>6177</v>
      </c>
      <c r="B946" s="31" t="s">
        <v>5275</v>
      </c>
      <c r="C946" s="35" t="n">
        <v>169</v>
      </c>
    </row>
    <row r="947" customFormat="false" ht="15" hidden="false" customHeight="false" outlineLevel="0" collapsed="false">
      <c r="A947" s="31" t="s">
        <v>6178</v>
      </c>
      <c r="B947" s="31" t="s">
        <v>5275</v>
      </c>
      <c r="C947" s="35" t="n">
        <v>169</v>
      </c>
    </row>
    <row r="948" customFormat="false" ht="15" hidden="false" customHeight="false" outlineLevel="0" collapsed="false">
      <c r="A948" s="31" t="s">
        <v>6179</v>
      </c>
      <c r="B948" s="31" t="s">
        <v>5275</v>
      </c>
      <c r="C948" s="35" t="n">
        <v>169</v>
      </c>
    </row>
    <row r="949" customFormat="false" ht="15" hidden="false" customHeight="false" outlineLevel="0" collapsed="false">
      <c r="A949" s="31" t="s">
        <v>6180</v>
      </c>
      <c r="B949" s="31" t="s">
        <v>5310</v>
      </c>
      <c r="C949" s="35" t="n">
        <v>186</v>
      </c>
    </row>
    <row r="950" customFormat="false" ht="15" hidden="false" customHeight="false" outlineLevel="0" collapsed="false">
      <c r="A950" s="31" t="s">
        <v>6181</v>
      </c>
      <c r="B950" s="31" t="s">
        <v>5310</v>
      </c>
      <c r="C950" s="35" t="n">
        <v>186</v>
      </c>
    </row>
    <row r="951" customFormat="false" ht="15" hidden="false" customHeight="false" outlineLevel="0" collapsed="false">
      <c r="A951" s="31" t="s">
        <v>6182</v>
      </c>
      <c r="B951" s="31" t="s">
        <v>6183</v>
      </c>
      <c r="C951" s="35" t="n">
        <v>188</v>
      </c>
    </row>
    <row r="952" customFormat="false" ht="15" hidden="false" customHeight="false" outlineLevel="0" collapsed="false">
      <c r="A952" s="31" t="s">
        <v>6184</v>
      </c>
      <c r="B952" s="31" t="s">
        <v>5302</v>
      </c>
      <c r="C952" s="35" t="n">
        <v>228</v>
      </c>
    </row>
    <row r="953" customFormat="false" ht="15" hidden="false" customHeight="false" outlineLevel="0" collapsed="false">
      <c r="A953" s="31" t="s">
        <v>6185</v>
      </c>
      <c r="B953" s="31" t="s">
        <v>6186</v>
      </c>
      <c r="C953" s="35" t="n">
        <v>179</v>
      </c>
    </row>
    <row r="954" customFormat="false" ht="15" hidden="false" customHeight="false" outlineLevel="0" collapsed="false">
      <c r="A954" s="31" t="s">
        <v>6187</v>
      </c>
      <c r="B954" s="31" t="s">
        <v>5310</v>
      </c>
      <c r="C954" s="35" t="n">
        <v>186</v>
      </c>
    </row>
    <row r="955" customFormat="false" ht="15" hidden="false" customHeight="false" outlineLevel="0" collapsed="false">
      <c r="A955" s="31" t="s">
        <v>6188</v>
      </c>
      <c r="B955" s="31" t="s">
        <v>5302</v>
      </c>
      <c r="C955" s="35" t="n">
        <v>228</v>
      </c>
    </row>
    <row r="956" customFormat="false" ht="15" hidden="false" customHeight="false" outlineLevel="0" collapsed="false">
      <c r="A956" s="31" t="s">
        <v>6189</v>
      </c>
      <c r="B956" s="31" t="s">
        <v>5275</v>
      </c>
      <c r="C956" s="35" t="n">
        <v>169</v>
      </c>
    </row>
    <row r="957" customFormat="false" ht="15" hidden="false" customHeight="false" outlineLevel="0" collapsed="false">
      <c r="A957" s="31" t="s">
        <v>6190</v>
      </c>
      <c r="B957" s="31" t="s">
        <v>6191</v>
      </c>
      <c r="C957" s="35" t="n">
        <v>175</v>
      </c>
    </row>
    <row r="958" customFormat="false" ht="15" hidden="false" customHeight="false" outlineLevel="0" collapsed="false">
      <c r="A958" s="31" t="s">
        <v>5232</v>
      </c>
      <c r="B958" s="31" t="s">
        <v>5310</v>
      </c>
      <c r="C958" s="35" t="n">
        <v>186</v>
      </c>
    </row>
    <row r="959" customFormat="false" ht="15" hidden="false" customHeight="false" outlineLevel="0" collapsed="false">
      <c r="A959" s="31" t="s">
        <v>6192</v>
      </c>
      <c r="B959" s="31" t="s">
        <v>5302</v>
      </c>
      <c r="C959" s="35" t="n">
        <v>228</v>
      </c>
    </row>
    <row r="960" customFormat="false" ht="15" hidden="false" customHeight="false" outlineLevel="0" collapsed="false">
      <c r="A960" s="31" t="s">
        <v>6193</v>
      </c>
      <c r="B960" s="31" t="s">
        <v>5310</v>
      </c>
      <c r="C960" s="35" t="n">
        <v>186</v>
      </c>
    </row>
    <row r="961" customFormat="false" ht="15" hidden="false" customHeight="false" outlineLevel="0" collapsed="false">
      <c r="A961" s="31" t="s">
        <v>6194</v>
      </c>
      <c r="B961" s="31" t="s">
        <v>5302</v>
      </c>
      <c r="C961" s="35" t="n">
        <v>228</v>
      </c>
    </row>
    <row r="962" customFormat="false" ht="15" hidden="false" customHeight="false" outlineLevel="0" collapsed="false">
      <c r="A962" s="31" t="s">
        <v>6195</v>
      </c>
      <c r="B962" s="31" t="s">
        <v>5310</v>
      </c>
      <c r="C962" s="35" t="n">
        <v>186</v>
      </c>
    </row>
    <row r="963" customFormat="false" ht="15" hidden="false" customHeight="false" outlineLevel="0" collapsed="false">
      <c r="A963" s="31" t="s">
        <v>5234</v>
      </c>
      <c r="B963" s="31" t="s">
        <v>6196</v>
      </c>
      <c r="C963" s="35" t="n">
        <v>169</v>
      </c>
    </row>
    <row r="964" customFormat="false" ht="15" hidden="false" customHeight="false" outlineLevel="0" collapsed="false">
      <c r="A964" s="31" t="s">
        <v>6197</v>
      </c>
      <c r="B964" s="31" t="s">
        <v>5275</v>
      </c>
      <c r="C964" s="35" t="n">
        <v>169</v>
      </c>
    </row>
    <row r="965" customFormat="false" ht="15" hidden="false" customHeight="false" outlineLevel="0" collapsed="false">
      <c r="A965" s="31" t="s">
        <v>5236</v>
      </c>
      <c r="B965" s="31" t="s">
        <v>5310</v>
      </c>
      <c r="C965" s="35" t="n">
        <v>186</v>
      </c>
    </row>
    <row r="966" customFormat="false" ht="15" hidden="false" customHeight="false" outlineLevel="0" collapsed="false">
      <c r="A966" s="31" t="s">
        <v>5238</v>
      </c>
      <c r="B966" s="31" t="s">
        <v>5275</v>
      </c>
      <c r="C966" s="35" t="n">
        <v>169</v>
      </c>
    </row>
    <row r="967" customFormat="false" ht="15" hidden="false" customHeight="false" outlineLevel="0" collapsed="false">
      <c r="A967" s="31" t="s">
        <v>5240</v>
      </c>
      <c r="B967" s="31" t="s">
        <v>6198</v>
      </c>
      <c r="C967" s="35" t="n">
        <v>185</v>
      </c>
    </row>
    <row r="968" customFormat="false" ht="15" hidden="false" customHeight="false" outlineLevel="0" collapsed="false">
      <c r="A968" s="31" t="s">
        <v>6199</v>
      </c>
      <c r="B968" s="31" t="s">
        <v>5310</v>
      </c>
      <c r="C968" s="35" t="n">
        <v>186</v>
      </c>
    </row>
    <row r="969" customFormat="false" ht="15" hidden="false" customHeight="false" outlineLevel="0" collapsed="false">
      <c r="A969" s="31" t="s">
        <v>6200</v>
      </c>
      <c r="B969" s="31" t="s">
        <v>5275</v>
      </c>
      <c r="C969" s="35" t="n">
        <v>169</v>
      </c>
    </row>
    <row r="970" customFormat="false" ht="15" hidden="false" customHeight="false" outlineLevel="0" collapsed="false">
      <c r="A970" s="31" t="s">
        <v>5242</v>
      </c>
      <c r="B970" s="31" t="s">
        <v>5310</v>
      </c>
      <c r="C970" s="35" t="n">
        <v>186</v>
      </c>
    </row>
    <row r="971" customFormat="false" ht="15" hidden="false" customHeight="false" outlineLevel="0" collapsed="false">
      <c r="A971" s="31" t="s">
        <v>6201</v>
      </c>
      <c r="B971" s="31" t="s">
        <v>5310</v>
      </c>
      <c r="C971" s="35" t="n">
        <v>186</v>
      </c>
    </row>
    <row r="972" customFormat="false" ht="15" hidden="false" customHeight="false" outlineLevel="0" collapsed="false">
      <c r="A972" s="31" t="s">
        <v>6202</v>
      </c>
      <c r="B972" s="31" t="s">
        <v>5302</v>
      </c>
      <c r="C972" s="35" t="n">
        <v>228</v>
      </c>
    </row>
    <row r="973" customFormat="false" ht="15" hidden="false" customHeight="false" outlineLevel="0" collapsed="false">
      <c r="A973" s="31" t="s">
        <v>5244</v>
      </c>
      <c r="B973" s="31" t="s">
        <v>5310</v>
      </c>
      <c r="C973" s="35" t="n">
        <v>186</v>
      </c>
    </row>
    <row r="974" customFormat="false" ht="15" hidden="false" customHeight="false" outlineLevel="0" collapsed="false">
      <c r="A974" s="31" t="s">
        <v>6203</v>
      </c>
      <c r="B974" s="31" t="s">
        <v>5302</v>
      </c>
      <c r="C974" s="35" t="n">
        <v>228</v>
      </c>
    </row>
    <row r="975" customFormat="false" ht="15" hidden="false" customHeight="false" outlineLevel="0" collapsed="false">
      <c r="A975" s="31" t="s">
        <v>6204</v>
      </c>
      <c r="B975" s="31" t="s">
        <v>5302</v>
      </c>
      <c r="C975" s="35" t="n">
        <v>228</v>
      </c>
    </row>
    <row r="976" customFormat="false" ht="15" hidden="false" customHeight="false" outlineLevel="0" collapsed="false">
      <c r="A976" s="31" t="s">
        <v>6205</v>
      </c>
      <c r="B976" s="31" t="s">
        <v>5302</v>
      </c>
      <c r="C976" s="35" t="n">
        <v>228</v>
      </c>
    </row>
    <row r="977" customFormat="false" ht="15" hidden="false" customHeight="false" outlineLevel="0" collapsed="false">
      <c r="A977" s="31" t="s">
        <v>6206</v>
      </c>
      <c r="B977" s="31" t="s">
        <v>5310</v>
      </c>
      <c r="C977" s="35" t="n">
        <v>186</v>
      </c>
    </row>
    <row r="978" customFormat="false" ht="15" hidden="false" customHeight="false" outlineLevel="0" collapsed="false">
      <c r="A978" s="31" t="s">
        <v>6207</v>
      </c>
      <c r="B978" s="31" t="s">
        <v>5302</v>
      </c>
      <c r="C978" s="35" t="n">
        <v>228</v>
      </c>
    </row>
    <row r="979" customFormat="false" ht="15" hidden="false" customHeight="false" outlineLevel="0" collapsed="false">
      <c r="A979" s="31" t="s">
        <v>5246</v>
      </c>
      <c r="B979" s="31" t="s">
        <v>6208</v>
      </c>
      <c r="C979" s="35" t="n">
        <v>178</v>
      </c>
    </row>
    <row r="980" customFormat="false" ht="15" hidden="false" customHeight="false" outlineLevel="0" collapsed="false">
      <c r="A980" s="31" t="s">
        <v>6209</v>
      </c>
      <c r="B980" s="31" t="s">
        <v>5302</v>
      </c>
      <c r="C980" s="35" t="n">
        <v>228</v>
      </c>
    </row>
    <row r="981" customFormat="false" ht="15" hidden="false" customHeight="false" outlineLevel="0" collapsed="false">
      <c r="A981" s="31" t="s">
        <v>6210</v>
      </c>
      <c r="B981" s="31" t="s">
        <v>5302</v>
      </c>
      <c r="C981" s="35" t="n">
        <v>228</v>
      </c>
    </row>
    <row r="982" customFormat="false" ht="15" hidden="false" customHeight="false" outlineLevel="0" collapsed="false">
      <c r="A982" s="31" t="s">
        <v>6211</v>
      </c>
      <c r="B982" s="31" t="s">
        <v>5302</v>
      </c>
      <c r="C982" s="35" t="n">
        <v>228</v>
      </c>
    </row>
    <row r="983" customFormat="false" ht="15" hidden="false" customHeight="false" outlineLevel="0" collapsed="false">
      <c r="A983" s="31" t="s">
        <v>6212</v>
      </c>
      <c r="B983" s="31" t="s">
        <v>5310</v>
      </c>
      <c r="C983" s="35" t="n">
        <v>186</v>
      </c>
    </row>
    <row r="984" customFormat="false" ht="15" hidden="false" customHeight="false" outlineLevel="0" collapsed="false">
      <c r="A984" s="31" t="s">
        <v>6213</v>
      </c>
      <c r="B984" s="31" t="s">
        <v>5275</v>
      </c>
      <c r="C984" s="35" t="n">
        <v>169</v>
      </c>
    </row>
    <row r="985" customFormat="false" ht="15" hidden="false" customHeight="false" outlineLevel="0" collapsed="false">
      <c r="A985" s="31" t="s">
        <v>5250</v>
      </c>
      <c r="B985" s="31" t="s">
        <v>6214</v>
      </c>
      <c r="C985" s="35" t="n">
        <v>186</v>
      </c>
    </row>
    <row r="986" customFormat="false" ht="15" hidden="false" customHeight="false" outlineLevel="0" collapsed="false">
      <c r="A986" s="31" t="s">
        <v>6215</v>
      </c>
      <c r="B986" s="31" t="s">
        <v>5275</v>
      </c>
      <c r="C986" s="35" t="n">
        <v>169</v>
      </c>
    </row>
    <row r="987" customFormat="false" ht="15" hidden="false" customHeight="false" outlineLevel="0" collapsed="false">
      <c r="A987" s="31" t="s">
        <v>5252</v>
      </c>
      <c r="B987" s="31" t="s">
        <v>6216</v>
      </c>
      <c r="C987" s="35" t="n">
        <v>172</v>
      </c>
    </row>
    <row r="988" customFormat="false" ht="15" hidden="false" customHeight="false" outlineLevel="0" collapsed="false">
      <c r="A988" s="31" t="s">
        <v>4661</v>
      </c>
      <c r="B988" s="31" t="s">
        <v>6217</v>
      </c>
      <c r="C988" s="35" t="n">
        <v>190</v>
      </c>
    </row>
    <row r="989" customFormat="false" ht="15" hidden="false" customHeight="false" outlineLevel="0" collapsed="false">
      <c r="A989" s="31" t="s">
        <v>5254</v>
      </c>
      <c r="B989" s="31" t="s">
        <v>6218</v>
      </c>
      <c r="C989" s="35" t="n">
        <v>198</v>
      </c>
    </row>
    <row r="990" customFormat="false" ht="15" hidden="false" customHeight="false" outlineLevel="0" collapsed="false">
      <c r="A990" s="31" t="s">
        <v>6219</v>
      </c>
      <c r="B990" s="31" t="s">
        <v>5302</v>
      </c>
      <c r="C990" s="35" t="n">
        <v>228</v>
      </c>
    </row>
    <row r="991" customFormat="false" ht="15" hidden="false" customHeight="false" outlineLevel="0" collapsed="false">
      <c r="A991" s="31" t="s">
        <v>6220</v>
      </c>
      <c r="B991" s="31" t="s">
        <v>5310</v>
      </c>
      <c r="C991" s="35" t="n">
        <v>186</v>
      </c>
    </row>
    <row r="992" customFormat="false" ht="15" hidden="false" customHeight="false" outlineLevel="0" collapsed="false">
      <c r="A992" s="31" t="s">
        <v>4662</v>
      </c>
      <c r="B992" s="31" t="s">
        <v>6221</v>
      </c>
      <c r="C992" s="35" t="n">
        <v>179</v>
      </c>
    </row>
    <row r="993" customFormat="false" ht="15" hidden="false" customHeight="false" outlineLevel="0" collapsed="false">
      <c r="A993" s="31" t="s">
        <v>6222</v>
      </c>
      <c r="B993" s="31" t="s">
        <v>5275</v>
      </c>
      <c r="C993" s="35" t="n">
        <v>169</v>
      </c>
    </row>
    <row r="994" customFormat="false" ht="15" hidden="false" customHeight="false" outlineLevel="0" collapsed="false">
      <c r="A994" s="31" t="s">
        <v>6223</v>
      </c>
      <c r="B994" s="31" t="s">
        <v>6224</v>
      </c>
      <c r="C994" s="35" t="n">
        <v>236</v>
      </c>
    </row>
    <row r="995" customFormat="false" ht="15" hidden="false" customHeight="false" outlineLevel="0" collapsed="false">
      <c r="A995" s="31" t="s">
        <v>6225</v>
      </c>
      <c r="B995" s="31" t="s">
        <v>5275</v>
      </c>
      <c r="C995" s="35" t="n">
        <v>169</v>
      </c>
    </row>
    <row r="996" customFormat="false" ht="15" hidden="false" customHeight="false" outlineLevel="0" collapsed="false">
      <c r="A996" s="31" t="s">
        <v>6226</v>
      </c>
      <c r="B996" s="31" t="s">
        <v>5275</v>
      </c>
      <c r="C996" s="35" t="n">
        <v>169</v>
      </c>
    </row>
    <row r="997" customFormat="false" ht="15" hidden="false" customHeight="false" outlineLevel="0" collapsed="false">
      <c r="A997" s="31" t="s">
        <v>6227</v>
      </c>
      <c r="B997" s="31" t="s">
        <v>5302</v>
      </c>
      <c r="C997" s="35" t="n">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T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51"/>
    <col collapsed="false" customWidth="true" hidden="false" outlineLevel="0" max="2" min="2" style="0" width="12.38"/>
    <col collapsed="false" customWidth="true" hidden="false" outlineLevel="0" max="3" min="3" style="0" width="19.75"/>
    <col collapsed="false" customWidth="true" hidden="false" outlineLevel="0" max="4" min="4" style="0" width="20.38"/>
    <col collapsed="false" customWidth="true" hidden="false" outlineLevel="0" max="5" min="5" style="0" width="27.75"/>
    <col collapsed="false" customWidth="true" hidden="false" outlineLevel="0" max="6" min="6" style="0" width="13.75"/>
    <col collapsed="false" customWidth="true" hidden="false" outlineLevel="0" max="7" min="7" style="0" width="21.12"/>
    <col collapsed="false" customWidth="true" hidden="false" outlineLevel="0" max="9" min="9" style="0" width="28.5"/>
    <col collapsed="false" customWidth="true" hidden="false" outlineLevel="0" max="10" min="10" style="0" width="29.38"/>
    <col collapsed="false" customWidth="true" hidden="false" outlineLevel="0" max="11" min="11" style="0" width="36.75"/>
    <col collapsed="false" customWidth="true" hidden="false" outlineLevel="0" max="12" min="12" style="0" width="30.38"/>
    <col collapsed="false" customWidth="true" hidden="false" outlineLevel="0" max="13" min="13" style="0" width="37.75"/>
    <col collapsed="false" customWidth="true" hidden="false" outlineLevel="0" max="14" min="14" style="0" width="13.75"/>
    <col collapsed="false" customWidth="true" hidden="false" outlineLevel="0" max="15" min="15" style="0" width="21.12"/>
    <col collapsed="false" customWidth="true" hidden="false" outlineLevel="0" max="16" min="16" style="0" width="11.12"/>
    <col collapsed="false" customWidth="true" hidden="false" outlineLevel="0" max="17" min="17" style="0" width="37.25"/>
    <col collapsed="false" customWidth="true" hidden="false" outlineLevel="0" max="18" min="18" style="0" width="25.51"/>
    <col collapsed="false" customWidth="true" hidden="false" outlineLevel="0" max="20" min="20" style="0" width="22"/>
  </cols>
  <sheetData>
    <row r="1" customFormat="false" ht="15" hidden="false" customHeight="false" outlineLevel="0" collapsed="false">
      <c r="A1" s="41" t="s">
        <v>274</v>
      </c>
      <c r="B1" s="41" t="s">
        <v>4378</v>
      </c>
      <c r="C1" s="41" t="s">
        <v>6228</v>
      </c>
      <c r="D1" s="41" t="s">
        <v>6229</v>
      </c>
      <c r="E1" s="41" t="s">
        <v>6230</v>
      </c>
      <c r="F1" s="41" t="s">
        <v>6231</v>
      </c>
      <c r="G1" s="41" t="s">
        <v>6232</v>
      </c>
      <c r="H1" s="41" t="s">
        <v>6233</v>
      </c>
      <c r="I1" s="41" t="s">
        <v>6234</v>
      </c>
      <c r="J1" s="41" t="s">
        <v>6235</v>
      </c>
      <c r="K1" s="41" t="s">
        <v>6236</v>
      </c>
      <c r="L1" s="41" t="s">
        <v>6237</v>
      </c>
      <c r="M1" s="41" t="s">
        <v>6238</v>
      </c>
      <c r="N1" s="41" t="s">
        <v>6239</v>
      </c>
      <c r="O1" s="41" t="s">
        <v>6240</v>
      </c>
      <c r="P1" s="41" t="s">
        <v>6241</v>
      </c>
      <c r="Q1" s="41" t="s">
        <v>6242</v>
      </c>
      <c r="R1" s="41" t="s">
        <v>6243</v>
      </c>
      <c r="T1" s="26" t="str">
        <f aca="false">HYPERLINK("#'Master Overview'!A1","&lt;&lt; Master Overview")</f>
        <v>&lt;&lt; Master Overview</v>
      </c>
    </row>
    <row r="2" customFormat="false" ht="15" hidden="false" customHeight="false" outlineLevel="0" collapsed="false">
      <c r="A2" s="31" t="s">
        <v>6244</v>
      </c>
      <c r="B2" s="35" t="n">
        <v>0</v>
      </c>
      <c r="C2" s="35" t="n">
        <v>249</v>
      </c>
      <c r="D2" s="35" t="n">
        <v>0</v>
      </c>
      <c r="E2" s="35" t="n">
        <v>761</v>
      </c>
      <c r="F2" s="35" t="n">
        <v>0</v>
      </c>
      <c r="G2" s="35" t="n">
        <v>921</v>
      </c>
      <c r="H2" s="35" t="n">
        <v>0</v>
      </c>
      <c r="I2" s="35" t="n">
        <v>543</v>
      </c>
      <c r="J2" s="35" t="n">
        <v>0</v>
      </c>
      <c r="K2" s="35" t="n">
        <v>6</v>
      </c>
      <c r="L2" s="35" t="n">
        <v>0</v>
      </c>
      <c r="M2" s="35" t="n">
        <v>16</v>
      </c>
      <c r="N2" s="35" t="n">
        <v>435</v>
      </c>
      <c r="O2" s="35" t="n">
        <v>423</v>
      </c>
      <c r="P2" s="28"/>
      <c r="Q2" s="35" t="s">
        <v>6245</v>
      </c>
      <c r="R2" s="35" t="n">
        <v>8</v>
      </c>
      <c r="T2" s="2" t="s">
        <v>6246</v>
      </c>
    </row>
    <row r="3" customFormat="false" ht="15" hidden="false" customHeight="false" outlineLevel="0" collapsed="false">
      <c r="A3" s="31" t="s">
        <v>4388</v>
      </c>
      <c r="B3" s="35" t="n">
        <v>0</v>
      </c>
      <c r="C3" s="35" t="n">
        <v>19</v>
      </c>
      <c r="D3" s="35" t="n">
        <v>0</v>
      </c>
      <c r="E3" s="35" t="n">
        <v>0</v>
      </c>
      <c r="F3" s="35" t="n">
        <v>0</v>
      </c>
      <c r="G3" s="35" t="n">
        <v>0</v>
      </c>
      <c r="H3" s="35" t="n">
        <v>0</v>
      </c>
      <c r="I3" s="35" t="n">
        <v>0</v>
      </c>
      <c r="J3" s="35" t="n">
        <v>0</v>
      </c>
      <c r="K3" s="35" t="n">
        <v>3</v>
      </c>
      <c r="L3" s="35" t="n">
        <v>0</v>
      </c>
      <c r="M3" s="35" t="n">
        <v>7</v>
      </c>
      <c r="N3" s="35" t="n">
        <v>501</v>
      </c>
      <c r="O3" s="35" t="n">
        <v>489</v>
      </c>
      <c r="P3" s="28"/>
      <c r="Q3" s="35" t="s">
        <v>6247</v>
      </c>
      <c r="R3" s="35" t="n">
        <v>5</v>
      </c>
    </row>
    <row r="4" customFormat="false" ht="15" hidden="false" customHeight="false" outlineLevel="0" collapsed="false">
      <c r="A4" s="31" t="s">
        <v>4389</v>
      </c>
      <c r="B4" s="35" t="n">
        <v>0</v>
      </c>
      <c r="C4" s="35" t="n">
        <v>946</v>
      </c>
      <c r="D4" s="35" t="n">
        <v>0</v>
      </c>
      <c r="E4" s="35" t="n">
        <v>1</v>
      </c>
      <c r="F4" s="35" t="n">
        <v>0</v>
      </c>
      <c r="G4" s="35" t="n">
        <v>1</v>
      </c>
      <c r="H4" s="35" t="n">
        <v>0</v>
      </c>
      <c r="I4" s="35" t="n">
        <v>1</v>
      </c>
      <c r="J4" s="35" t="n">
        <v>0</v>
      </c>
      <c r="K4" s="35" t="n">
        <v>26</v>
      </c>
      <c r="L4" s="35" t="n">
        <v>0</v>
      </c>
      <c r="M4" s="35" t="n">
        <v>35</v>
      </c>
      <c r="N4" s="35" t="n">
        <v>504</v>
      </c>
      <c r="O4" s="35" t="n">
        <v>483</v>
      </c>
      <c r="P4" s="28"/>
      <c r="Q4" s="35" t="s">
        <v>6248</v>
      </c>
      <c r="R4" s="35" t="n">
        <v>1</v>
      </c>
    </row>
    <row r="5" customFormat="false" ht="15" hidden="false" customHeight="false" outlineLevel="0" collapsed="false">
      <c r="A5" s="31" t="s">
        <v>4391</v>
      </c>
      <c r="B5" s="35" t="n">
        <v>0</v>
      </c>
      <c r="C5" s="35" t="n">
        <v>349</v>
      </c>
      <c r="D5" s="35" t="n">
        <v>0</v>
      </c>
      <c r="E5" s="35" t="n">
        <v>1</v>
      </c>
      <c r="F5" s="35" t="n">
        <v>0</v>
      </c>
      <c r="G5" s="35" t="n">
        <v>1</v>
      </c>
      <c r="H5" s="35" t="n">
        <v>0</v>
      </c>
      <c r="I5" s="35" t="n">
        <v>1</v>
      </c>
      <c r="J5" s="35" t="n">
        <v>0</v>
      </c>
      <c r="K5" s="35" t="n">
        <v>27</v>
      </c>
      <c r="L5" s="35" t="n">
        <v>0</v>
      </c>
      <c r="M5" s="35" t="n">
        <v>50</v>
      </c>
      <c r="N5" s="35" t="n">
        <v>453</v>
      </c>
      <c r="O5" s="35" t="n">
        <v>435</v>
      </c>
      <c r="P5" s="28"/>
      <c r="Q5" s="35" t="s">
        <v>6249</v>
      </c>
      <c r="R5" s="35" t="n">
        <v>2</v>
      </c>
    </row>
    <row r="6" customFormat="false" ht="15" hidden="false" customHeight="false" outlineLevel="0" collapsed="false">
      <c r="A6" s="31" t="s">
        <v>4560</v>
      </c>
      <c r="B6" s="35" t="n">
        <v>0</v>
      </c>
      <c r="C6" s="35" t="n">
        <v>1</v>
      </c>
      <c r="D6" s="35" t="n">
        <v>0</v>
      </c>
      <c r="E6" s="35" t="n">
        <v>0</v>
      </c>
      <c r="F6" s="35" t="n">
        <v>0</v>
      </c>
      <c r="G6" s="35" t="n">
        <v>0</v>
      </c>
      <c r="H6" s="35" t="n">
        <v>0</v>
      </c>
      <c r="I6" s="35" t="n">
        <v>0</v>
      </c>
      <c r="J6" s="35" t="n">
        <v>0</v>
      </c>
      <c r="K6" s="35" t="n">
        <v>0</v>
      </c>
      <c r="L6" s="35" t="n">
        <v>0</v>
      </c>
      <c r="M6" s="35" t="n">
        <v>3</v>
      </c>
      <c r="N6" s="35" t="n">
        <v>434</v>
      </c>
      <c r="O6" s="35" t="n">
        <v>400</v>
      </c>
      <c r="P6" s="28"/>
      <c r="Q6" s="35" t="s">
        <v>6250</v>
      </c>
      <c r="R6" s="35" t="n">
        <v>5</v>
      </c>
    </row>
    <row r="7" customFormat="false" ht="15" hidden="false" customHeight="false" outlineLevel="0" collapsed="false">
      <c r="A7" s="31" t="s">
        <v>6251</v>
      </c>
      <c r="B7" s="35" t="n">
        <v>0</v>
      </c>
      <c r="C7" s="35" t="n">
        <v>0</v>
      </c>
      <c r="D7" s="35" t="n">
        <v>0</v>
      </c>
      <c r="E7" s="35" t="n">
        <v>390</v>
      </c>
      <c r="F7" s="35" t="n">
        <v>0</v>
      </c>
      <c r="G7" s="35" t="n">
        <v>428</v>
      </c>
      <c r="H7" s="35" t="n">
        <v>0</v>
      </c>
      <c r="I7" s="35" t="n">
        <v>111</v>
      </c>
      <c r="J7" s="35" t="n">
        <v>0</v>
      </c>
      <c r="K7" s="35" t="n">
        <v>0</v>
      </c>
      <c r="L7" s="35" t="n">
        <v>0</v>
      </c>
      <c r="M7" s="35" t="n">
        <v>1</v>
      </c>
      <c r="N7" s="35" t="n">
        <v>403</v>
      </c>
      <c r="O7" s="35" t="n">
        <v>383</v>
      </c>
      <c r="P7" s="28"/>
      <c r="Q7" s="35" t="s">
        <v>6252</v>
      </c>
      <c r="R7" s="35" t="n">
        <v>6</v>
      </c>
    </row>
    <row r="8" customFormat="false" ht="15" hidden="false" customHeight="false" outlineLevel="0" collapsed="false">
      <c r="A8" s="31" t="s">
        <v>4403</v>
      </c>
      <c r="B8" s="35" t="n">
        <v>0</v>
      </c>
      <c r="C8" s="35" t="n">
        <v>0</v>
      </c>
      <c r="D8" s="35" t="n">
        <v>0</v>
      </c>
      <c r="E8" s="35" t="n">
        <v>0</v>
      </c>
      <c r="F8" s="35" t="n">
        <v>0</v>
      </c>
      <c r="G8" s="35" t="n">
        <v>0</v>
      </c>
      <c r="H8" s="35" t="n">
        <v>0</v>
      </c>
      <c r="I8" s="35" t="n">
        <v>0</v>
      </c>
      <c r="J8" s="35" t="n">
        <v>0</v>
      </c>
      <c r="K8" s="35" t="n">
        <v>1</v>
      </c>
      <c r="L8" s="35" t="n">
        <v>0</v>
      </c>
      <c r="M8" s="35" t="n">
        <v>1</v>
      </c>
      <c r="N8" s="35" t="n">
        <v>131</v>
      </c>
      <c r="O8" s="35" t="n">
        <v>372</v>
      </c>
      <c r="P8" s="28"/>
      <c r="Q8" s="35" t="s">
        <v>6253</v>
      </c>
      <c r="R8" s="35" t="n">
        <v>1</v>
      </c>
    </row>
    <row r="9" customFormat="false" ht="15" hidden="false" customHeight="false" outlineLevel="0" collapsed="false">
      <c r="A9" s="31" t="s">
        <v>6254</v>
      </c>
      <c r="B9" s="35" t="n">
        <v>0</v>
      </c>
      <c r="C9" s="35" t="n">
        <v>0</v>
      </c>
      <c r="D9" s="35" t="n">
        <v>0</v>
      </c>
      <c r="E9" s="35" t="n">
        <v>0</v>
      </c>
      <c r="F9" s="35" t="n">
        <v>0</v>
      </c>
      <c r="G9" s="35" t="n">
        <v>0</v>
      </c>
      <c r="H9" s="35" t="n">
        <v>0</v>
      </c>
      <c r="I9" s="35" t="n">
        <v>0</v>
      </c>
      <c r="J9" s="35" t="n">
        <v>0</v>
      </c>
      <c r="K9" s="35" t="n">
        <v>1</v>
      </c>
      <c r="L9" s="35" t="n">
        <v>0</v>
      </c>
      <c r="M9" s="35" t="n">
        <v>1</v>
      </c>
      <c r="N9" s="35" t="n">
        <v>128</v>
      </c>
      <c r="O9" s="35" t="n">
        <v>369</v>
      </c>
      <c r="P9" s="28"/>
      <c r="Q9" s="35" t="s">
        <v>6255</v>
      </c>
      <c r="R9" s="35" t="n">
        <v>3</v>
      </c>
    </row>
    <row r="10" customFormat="false" ht="15" hidden="false" customHeight="false" outlineLevel="0" collapsed="false">
      <c r="A10" s="31" t="s">
        <v>6256</v>
      </c>
      <c r="B10" s="35" t="n">
        <v>0</v>
      </c>
      <c r="C10" s="35" t="n">
        <v>0</v>
      </c>
      <c r="D10" s="35" t="n">
        <v>0</v>
      </c>
      <c r="E10" s="35" t="n">
        <v>0</v>
      </c>
      <c r="F10" s="35" t="n">
        <v>0</v>
      </c>
      <c r="G10" s="35" t="n">
        <v>0</v>
      </c>
      <c r="H10" s="35" t="n">
        <v>0</v>
      </c>
      <c r="I10" s="35" t="n">
        <v>0</v>
      </c>
      <c r="J10" s="35" t="n">
        <v>0</v>
      </c>
      <c r="K10" s="35" t="n">
        <v>1</v>
      </c>
      <c r="L10" s="35" t="n">
        <v>0</v>
      </c>
      <c r="M10" s="35" t="n">
        <v>1</v>
      </c>
      <c r="N10" s="35" t="n">
        <v>131</v>
      </c>
      <c r="O10" s="35" t="n">
        <v>372</v>
      </c>
      <c r="P10" s="28"/>
      <c r="Q10" s="35" t="s">
        <v>6253</v>
      </c>
      <c r="R10" s="35" t="n">
        <v>1</v>
      </c>
    </row>
    <row r="11" customFormat="false" ht="15" hidden="false" customHeight="false" outlineLevel="0" collapsed="false">
      <c r="A11" s="31" t="s">
        <v>5266</v>
      </c>
      <c r="B11" s="35" t="n">
        <v>0</v>
      </c>
      <c r="C11" s="35" t="n">
        <v>32</v>
      </c>
      <c r="D11" s="35" t="n">
        <v>0</v>
      </c>
      <c r="E11" s="35" t="n">
        <v>0</v>
      </c>
      <c r="F11" s="35" t="n">
        <v>0</v>
      </c>
      <c r="G11" s="35" t="n">
        <v>0</v>
      </c>
      <c r="H11" s="35" t="n">
        <v>0</v>
      </c>
      <c r="I11" s="35" t="n">
        <v>0</v>
      </c>
      <c r="J11" s="35" t="n">
        <v>0</v>
      </c>
      <c r="K11" s="35" t="n">
        <v>2</v>
      </c>
      <c r="L11" s="35" t="n">
        <v>0</v>
      </c>
      <c r="M11" s="35" t="n">
        <v>3</v>
      </c>
      <c r="N11" s="35" t="n">
        <v>131</v>
      </c>
      <c r="O11" s="35" t="n">
        <v>372</v>
      </c>
      <c r="P11" s="28"/>
      <c r="Q11" s="35" t="s">
        <v>6247</v>
      </c>
      <c r="R11" s="35" t="n">
        <v>2</v>
      </c>
    </row>
    <row r="12" customFormat="false" ht="15" hidden="false" customHeight="false" outlineLevel="0" collapsed="false">
      <c r="A12" s="31" t="s">
        <v>6257</v>
      </c>
      <c r="B12" s="35" t="n">
        <v>0</v>
      </c>
      <c r="C12" s="35" t="n">
        <v>0</v>
      </c>
      <c r="D12" s="35" t="n">
        <v>0</v>
      </c>
      <c r="E12" s="35" t="n">
        <v>5</v>
      </c>
      <c r="F12" s="35" t="n">
        <v>0</v>
      </c>
      <c r="G12" s="35" t="n">
        <v>12</v>
      </c>
      <c r="H12" s="35" t="n">
        <v>0</v>
      </c>
      <c r="I12" s="35" t="n">
        <v>4</v>
      </c>
      <c r="J12" s="35" t="n">
        <v>0</v>
      </c>
      <c r="K12" s="35" t="n">
        <v>0</v>
      </c>
      <c r="L12" s="35" t="n">
        <v>0</v>
      </c>
      <c r="M12" s="35" t="n">
        <v>5</v>
      </c>
      <c r="N12" s="35" t="n">
        <v>128</v>
      </c>
      <c r="O12" s="35" t="n">
        <v>110</v>
      </c>
      <c r="P12" s="28"/>
      <c r="Q12" s="35" t="s">
        <v>6258</v>
      </c>
      <c r="R12" s="35" t="n">
        <v>5</v>
      </c>
    </row>
    <row r="13" customFormat="false" ht="15" hidden="false" customHeight="false" outlineLevel="0" collapsed="false">
      <c r="A13" s="31" t="s">
        <v>5268</v>
      </c>
      <c r="B13" s="35" t="n">
        <v>0</v>
      </c>
      <c r="C13" s="35" t="n">
        <v>175</v>
      </c>
      <c r="D13" s="35" t="n">
        <v>0</v>
      </c>
      <c r="E13" s="35" t="n">
        <v>0</v>
      </c>
      <c r="F13" s="35" t="n">
        <v>0</v>
      </c>
      <c r="G13" s="35" t="n">
        <v>0</v>
      </c>
      <c r="H13" s="35" t="n">
        <v>0</v>
      </c>
      <c r="I13" s="35" t="n">
        <v>0</v>
      </c>
      <c r="J13" s="35" t="n">
        <v>0</v>
      </c>
      <c r="K13" s="35" t="n">
        <v>8</v>
      </c>
      <c r="L13" s="35" t="n">
        <v>0</v>
      </c>
      <c r="M13" s="35" t="n">
        <v>18</v>
      </c>
      <c r="N13" s="35" t="n">
        <v>131</v>
      </c>
      <c r="O13" s="35" t="n">
        <v>372</v>
      </c>
      <c r="P13" s="28"/>
      <c r="Q13" s="35" t="s">
        <v>6259</v>
      </c>
      <c r="R13" s="35" t="n">
        <v>5</v>
      </c>
    </row>
    <row r="14" customFormat="false" ht="15" hidden="false" customHeight="false" outlineLevel="0" collapsed="false">
      <c r="A14" s="31" t="s">
        <v>6260</v>
      </c>
      <c r="B14" s="35" t="n">
        <v>0</v>
      </c>
      <c r="C14" s="35" t="n">
        <v>0</v>
      </c>
      <c r="D14" s="35" t="n">
        <v>0</v>
      </c>
      <c r="E14" s="35" t="n">
        <v>6</v>
      </c>
      <c r="F14" s="35" t="n">
        <v>0</v>
      </c>
      <c r="G14" s="35" t="n">
        <v>22</v>
      </c>
      <c r="H14" s="35" t="n">
        <v>0</v>
      </c>
      <c r="I14" s="35" t="n">
        <v>21</v>
      </c>
      <c r="J14" s="35" t="n">
        <v>0</v>
      </c>
      <c r="K14" s="35" t="n">
        <v>0</v>
      </c>
      <c r="L14" s="35" t="n">
        <v>0</v>
      </c>
      <c r="M14" s="35" t="n">
        <v>1</v>
      </c>
      <c r="N14" s="35" t="n">
        <v>89</v>
      </c>
      <c r="O14" s="35" t="n">
        <v>72</v>
      </c>
      <c r="P14" s="28"/>
      <c r="Q14" s="35" t="s">
        <v>6261</v>
      </c>
      <c r="R14" s="35" t="n">
        <v>7</v>
      </c>
    </row>
    <row r="15" customFormat="false" ht="15" hidden="false" customHeight="false" outlineLevel="0" collapsed="false">
      <c r="A15" s="31" t="s">
        <v>4669</v>
      </c>
      <c r="B15" s="35" t="n">
        <v>0</v>
      </c>
      <c r="C15" s="35" t="n">
        <v>44</v>
      </c>
      <c r="D15" s="35" t="n">
        <v>0</v>
      </c>
      <c r="E15" s="35" t="n">
        <v>0</v>
      </c>
      <c r="F15" s="35" t="n">
        <v>0</v>
      </c>
      <c r="G15" s="35" t="n">
        <v>0</v>
      </c>
      <c r="H15" s="35" t="n">
        <v>0</v>
      </c>
      <c r="I15" s="35" t="n">
        <v>0</v>
      </c>
      <c r="J15" s="35" t="n">
        <v>0</v>
      </c>
      <c r="K15" s="35" t="n">
        <v>4</v>
      </c>
      <c r="L15" s="35" t="n">
        <v>0</v>
      </c>
      <c r="M15" s="35" t="n">
        <v>4</v>
      </c>
      <c r="N15" s="35" t="n">
        <v>374</v>
      </c>
      <c r="O15" s="35" t="n">
        <v>359</v>
      </c>
      <c r="P15" s="28"/>
      <c r="Q15" s="35" t="s">
        <v>6262</v>
      </c>
      <c r="R15" s="35" t="n">
        <v>3</v>
      </c>
    </row>
    <row r="16" customFormat="false" ht="15" hidden="false" customHeight="false" outlineLevel="0" collapsed="false">
      <c r="A16" s="31" t="s">
        <v>4412</v>
      </c>
      <c r="B16" s="35" t="n">
        <v>0</v>
      </c>
      <c r="C16" s="35" t="n">
        <v>64</v>
      </c>
      <c r="D16" s="35" t="n">
        <v>0</v>
      </c>
      <c r="E16" s="35" t="n">
        <v>0</v>
      </c>
      <c r="F16" s="35" t="n">
        <v>0</v>
      </c>
      <c r="G16" s="35" t="n">
        <v>0</v>
      </c>
      <c r="H16" s="35" t="n">
        <v>0</v>
      </c>
      <c r="I16" s="35" t="n">
        <v>0</v>
      </c>
      <c r="J16" s="35" t="n">
        <v>0</v>
      </c>
      <c r="K16" s="35" t="n">
        <v>2</v>
      </c>
      <c r="L16" s="35" t="n">
        <v>0</v>
      </c>
      <c r="M16" s="35" t="n">
        <v>6</v>
      </c>
      <c r="N16" s="35" t="n">
        <v>387</v>
      </c>
      <c r="O16" s="35" t="n">
        <v>377</v>
      </c>
      <c r="P16" s="28"/>
      <c r="Q16" s="35" t="s">
        <v>6263</v>
      </c>
      <c r="R16" s="35" t="n">
        <v>2</v>
      </c>
    </row>
    <row r="17" customFormat="false" ht="15" hidden="false" customHeight="false" outlineLevel="0" collapsed="false">
      <c r="A17" s="31" t="s">
        <v>4672</v>
      </c>
      <c r="B17" s="35" t="n">
        <v>0</v>
      </c>
      <c r="C17" s="35" t="n">
        <v>1</v>
      </c>
      <c r="D17" s="35" t="n">
        <v>0</v>
      </c>
      <c r="E17" s="35" t="n">
        <v>0</v>
      </c>
      <c r="F17" s="35" t="n">
        <v>0</v>
      </c>
      <c r="G17" s="35" t="n">
        <v>0</v>
      </c>
      <c r="H17" s="35" t="n">
        <v>0</v>
      </c>
      <c r="I17" s="35" t="n">
        <v>0</v>
      </c>
      <c r="J17" s="35" t="n">
        <v>0</v>
      </c>
      <c r="K17" s="35" t="n">
        <v>1</v>
      </c>
      <c r="L17" s="35" t="n">
        <v>0</v>
      </c>
      <c r="M17" s="35" t="n">
        <v>2</v>
      </c>
      <c r="N17" s="35" t="n">
        <v>387</v>
      </c>
      <c r="O17" s="35" t="n">
        <v>375</v>
      </c>
      <c r="P17" s="28"/>
      <c r="Q17" s="35" t="s">
        <v>6264</v>
      </c>
      <c r="R17" s="35" t="n">
        <v>10</v>
      </c>
    </row>
    <row r="18" customFormat="false" ht="15" hidden="false" customHeight="false" outlineLevel="0" collapsed="false">
      <c r="A18" s="31" t="s">
        <v>6265</v>
      </c>
      <c r="B18" s="35" t="n">
        <v>0</v>
      </c>
      <c r="C18" s="35" t="n">
        <v>9</v>
      </c>
      <c r="D18" s="35" t="n">
        <v>0</v>
      </c>
      <c r="E18" s="35" t="n">
        <v>2</v>
      </c>
      <c r="F18" s="35" t="n">
        <v>0</v>
      </c>
      <c r="G18" s="35" t="n">
        <v>8</v>
      </c>
      <c r="H18" s="35" t="n">
        <v>0</v>
      </c>
      <c r="I18" s="35" t="n">
        <v>8</v>
      </c>
      <c r="J18" s="35" t="n">
        <v>0</v>
      </c>
      <c r="K18" s="35" t="n">
        <v>2</v>
      </c>
      <c r="L18" s="35" t="n">
        <v>0</v>
      </c>
      <c r="M18" s="35" t="n">
        <v>3</v>
      </c>
      <c r="N18" s="35" t="n">
        <v>387</v>
      </c>
      <c r="O18" s="35" t="n">
        <v>377</v>
      </c>
      <c r="P18" s="28"/>
      <c r="Q18" s="35" t="s">
        <v>6266</v>
      </c>
      <c r="R18" s="35" t="n">
        <v>4</v>
      </c>
    </row>
    <row r="19" customFormat="false" ht="15" hidden="false" customHeight="false" outlineLevel="0" collapsed="false">
      <c r="A19" s="31" t="s">
        <v>4428</v>
      </c>
      <c r="B19" s="35" t="n">
        <v>0</v>
      </c>
      <c r="C19" s="35" t="n">
        <v>0</v>
      </c>
      <c r="D19" s="35" t="n">
        <v>0</v>
      </c>
      <c r="E19" s="35" t="n">
        <v>0</v>
      </c>
      <c r="F19" s="35" t="n">
        <v>0</v>
      </c>
      <c r="G19" s="35" t="n">
        <v>0</v>
      </c>
      <c r="H19" s="35" t="n">
        <v>0</v>
      </c>
      <c r="I19" s="35" t="n">
        <v>0</v>
      </c>
      <c r="J19" s="35" t="n">
        <v>0</v>
      </c>
      <c r="K19" s="35" t="n">
        <v>0</v>
      </c>
      <c r="L19" s="35" t="n">
        <v>0</v>
      </c>
      <c r="M19" s="35" t="n">
        <v>1</v>
      </c>
      <c r="N19" s="35" t="n">
        <v>383</v>
      </c>
      <c r="O19" s="35" t="n">
        <v>377</v>
      </c>
      <c r="P19" s="28"/>
      <c r="Q19" s="35" t="s">
        <v>6247</v>
      </c>
      <c r="R19" s="35" t="n">
        <v>8</v>
      </c>
    </row>
    <row r="20" customFormat="false" ht="15" hidden="false" customHeight="false" outlineLevel="0" collapsed="false">
      <c r="A20" s="31" t="s">
        <v>6267</v>
      </c>
      <c r="B20" s="35" t="n">
        <v>0</v>
      </c>
      <c r="C20" s="35" t="n">
        <v>15</v>
      </c>
      <c r="D20" s="35" t="n">
        <v>0</v>
      </c>
      <c r="E20" s="35" t="n">
        <v>0</v>
      </c>
      <c r="F20" s="35" t="n">
        <v>0</v>
      </c>
      <c r="G20" s="35" t="n">
        <v>0</v>
      </c>
      <c r="H20" s="35" t="n">
        <v>0</v>
      </c>
      <c r="I20" s="35" t="n">
        <v>0</v>
      </c>
      <c r="J20" s="35" t="n">
        <v>0</v>
      </c>
      <c r="K20" s="35" t="n">
        <v>1</v>
      </c>
      <c r="L20" s="35" t="n">
        <v>0</v>
      </c>
      <c r="M20" s="35" t="n">
        <v>1</v>
      </c>
      <c r="N20" s="35" t="n">
        <v>387</v>
      </c>
      <c r="O20" s="35" t="n">
        <v>375</v>
      </c>
      <c r="P20" s="28"/>
      <c r="Q20" s="35" t="s">
        <v>6247</v>
      </c>
      <c r="R20" s="35" t="n">
        <v>2</v>
      </c>
    </row>
    <row r="21" customFormat="false" ht="15" hidden="false" customHeight="false" outlineLevel="0" collapsed="false">
      <c r="A21" s="31" t="s">
        <v>4566</v>
      </c>
      <c r="B21" s="35" t="n">
        <v>0</v>
      </c>
      <c r="C21" s="35" t="n">
        <v>0</v>
      </c>
      <c r="D21" s="35" t="n">
        <v>0</v>
      </c>
      <c r="E21" s="35" t="n">
        <v>0</v>
      </c>
      <c r="F21" s="35" t="n">
        <v>0</v>
      </c>
      <c r="G21" s="35" t="n">
        <v>0</v>
      </c>
      <c r="H21" s="35" t="n">
        <v>0</v>
      </c>
      <c r="I21" s="35" t="n">
        <v>0</v>
      </c>
      <c r="J21" s="35" t="n">
        <v>0</v>
      </c>
      <c r="K21" s="35" t="n">
        <v>1</v>
      </c>
      <c r="L21" s="35" t="n">
        <v>0</v>
      </c>
      <c r="M21" s="35" t="n">
        <v>1</v>
      </c>
      <c r="N21" s="35" t="n">
        <v>369</v>
      </c>
      <c r="O21" s="35" t="n">
        <v>358</v>
      </c>
      <c r="P21" s="28"/>
      <c r="Q21" s="35" t="s">
        <v>6247</v>
      </c>
      <c r="R21" s="35" t="n">
        <v>1</v>
      </c>
    </row>
    <row r="22" customFormat="false" ht="15" hidden="false" customHeight="false" outlineLevel="0" collapsed="false">
      <c r="A22" s="31" t="s">
        <v>4434</v>
      </c>
      <c r="B22" s="35" t="n">
        <v>0</v>
      </c>
      <c r="C22" s="35" t="n">
        <v>52</v>
      </c>
      <c r="D22" s="35" t="n">
        <v>0</v>
      </c>
      <c r="E22" s="35" t="n">
        <v>0</v>
      </c>
      <c r="F22" s="35" t="n">
        <v>0</v>
      </c>
      <c r="G22" s="35" t="n">
        <v>0</v>
      </c>
      <c r="H22" s="35" t="n">
        <v>0</v>
      </c>
      <c r="I22" s="35" t="n">
        <v>0</v>
      </c>
      <c r="J22" s="35" t="n">
        <v>0</v>
      </c>
      <c r="K22" s="35" t="n">
        <v>1</v>
      </c>
      <c r="L22" s="35" t="n">
        <v>0</v>
      </c>
      <c r="M22" s="35" t="n">
        <v>10</v>
      </c>
      <c r="N22" s="35" t="n">
        <v>103</v>
      </c>
      <c r="O22" s="35" t="n">
        <v>100</v>
      </c>
      <c r="P22" s="28"/>
      <c r="Q22" s="35" t="s">
        <v>6268</v>
      </c>
      <c r="R22" s="35" t="n">
        <v>3</v>
      </c>
    </row>
    <row r="23" customFormat="false" ht="15" hidden="false" customHeight="false" outlineLevel="0" collapsed="false">
      <c r="A23" s="31" t="s">
        <v>5297</v>
      </c>
      <c r="B23" s="35" t="n">
        <v>0</v>
      </c>
      <c r="C23" s="35" t="n">
        <v>22</v>
      </c>
      <c r="D23" s="35" t="n">
        <v>0</v>
      </c>
      <c r="E23" s="35" t="n">
        <v>1</v>
      </c>
      <c r="F23" s="35" t="n">
        <v>0</v>
      </c>
      <c r="G23" s="35" t="n">
        <v>1</v>
      </c>
      <c r="H23" s="35" t="n">
        <v>0</v>
      </c>
      <c r="I23" s="35" t="n">
        <v>1</v>
      </c>
      <c r="J23" s="35" t="n">
        <v>0</v>
      </c>
      <c r="K23" s="35" t="n">
        <v>2</v>
      </c>
      <c r="L23" s="35" t="n">
        <v>0</v>
      </c>
      <c r="M23" s="35" t="n">
        <v>3</v>
      </c>
      <c r="N23" s="35" t="n">
        <v>374</v>
      </c>
      <c r="O23" s="35" t="n">
        <v>359</v>
      </c>
      <c r="P23" s="28"/>
      <c r="Q23" s="35" t="s">
        <v>6247</v>
      </c>
      <c r="R23" s="35" t="n">
        <v>1</v>
      </c>
    </row>
    <row r="24" customFormat="false" ht="15" hidden="false" customHeight="false" outlineLevel="0" collapsed="false">
      <c r="A24" s="31" t="s">
        <v>4682</v>
      </c>
      <c r="B24" s="35" t="n">
        <v>0</v>
      </c>
      <c r="C24" s="35" t="n">
        <v>31</v>
      </c>
      <c r="D24" s="35" t="n">
        <v>0</v>
      </c>
      <c r="E24" s="35" t="n">
        <v>0</v>
      </c>
      <c r="F24" s="35" t="n">
        <v>0</v>
      </c>
      <c r="G24" s="35" t="n">
        <v>0</v>
      </c>
      <c r="H24" s="35" t="n">
        <v>0</v>
      </c>
      <c r="I24" s="35" t="n">
        <v>0</v>
      </c>
      <c r="J24" s="35" t="n">
        <v>0</v>
      </c>
      <c r="K24" s="35" t="n">
        <v>5</v>
      </c>
      <c r="L24" s="35" t="n">
        <v>0</v>
      </c>
      <c r="M24" s="35" t="n">
        <v>10</v>
      </c>
      <c r="N24" s="35" t="n">
        <v>374</v>
      </c>
      <c r="O24" s="35" t="n">
        <v>359</v>
      </c>
      <c r="P24" s="28"/>
      <c r="Q24" s="35" t="s">
        <v>6269</v>
      </c>
      <c r="R24" s="35" t="n">
        <v>2</v>
      </c>
    </row>
    <row r="25" customFormat="false" ht="15" hidden="false" customHeight="false" outlineLevel="0" collapsed="false">
      <c r="A25" s="31" t="s">
        <v>4684</v>
      </c>
      <c r="B25" s="35" t="n">
        <v>0</v>
      </c>
      <c r="C25" s="35" t="n">
        <v>44</v>
      </c>
      <c r="D25" s="35" t="n">
        <v>0</v>
      </c>
      <c r="E25" s="35" t="n">
        <v>0</v>
      </c>
      <c r="F25" s="35" t="n">
        <v>0</v>
      </c>
      <c r="G25" s="35" t="n">
        <v>0</v>
      </c>
      <c r="H25" s="35" t="n">
        <v>0</v>
      </c>
      <c r="I25" s="35" t="n">
        <v>0</v>
      </c>
      <c r="J25" s="35" t="n">
        <v>0</v>
      </c>
      <c r="K25" s="35" t="n">
        <v>3</v>
      </c>
      <c r="L25" s="35" t="n">
        <v>0</v>
      </c>
      <c r="M25" s="35" t="n">
        <v>3</v>
      </c>
      <c r="N25" s="35" t="n">
        <v>387</v>
      </c>
      <c r="O25" s="35" t="n">
        <v>377</v>
      </c>
      <c r="P25" s="28"/>
      <c r="Q25" s="35" t="s">
        <v>6266</v>
      </c>
      <c r="R25" s="35" t="n">
        <v>1</v>
      </c>
    </row>
    <row r="26" customFormat="false" ht="15" hidden="false" customHeight="false" outlineLevel="0" collapsed="false">
      <c r="A26" s="31" t="s">
        <v>4442</v>
      </c>
      <c r="B26" s="35" t="n">
        <v>0</v>
      </c>
      <c r="C26" s="35" t="n">
        <v>0</v>
      </c>
      <c r="D26" s="35" t="n">
        <v>0</v>
      </c>
      <c r="E26" s="35" t="n">
        <v>0</v>
      </c>
      <c r="F26" s="35" t="n">
        <v>0</v>
      </c>
      <c r="G26" s="35" t="n">
        <v>0</v>
      </c>
      <c r="H26" s="35" t="n">
        <v>0</v>
      </c>
      <c r="I26" s="35" t="n">
        <v>0</v>
      </c>
      <c r="J26" s="35" t="n">
        <v>0</v>
      </c>
      <c r="K26" s="35" t="n">
        <v>0</v>
      </c>
      <c r="L26" s="35" t="n">
        <v>0</v>
      </c>
      <c r="M26" s="35" t="n">
        <v>1</v>
      </c>
      <c r="N26" s="35" t="n">
        <v>387</v>
      </c>
      <c r="O26" s="35" t="n">
        <v>377</v>
      </c>
      <c r="P26" s="28"/>
      <c r="Q26" s="35" t="s">
        <v>6270</v>
      </c>
      <c r="R26" s="35" t="n">
        <v>8</v>
      </c>
    </row>
    <row r="27" customFormat="false" ht="15" hidden="false" customHeight="false" outlineLevel="0" collapsed="false">
      <c r="A27" s="31" t="s">
        <v>4450</v>
      </c>
      <c r="B27" s="35" t="n">
        <v>0</v>
      </c>
      <c r="C27" s="35" t="n">
        <v>7</v>
      </c>
      <c r="D27" s="35" t="n">
        <v>0</v>
      </c>
      <c r="E27" s="35" t="n">
        <v>0</v>
      </c>
      <c r="F27" s="35" t="n">
        <v>0</v>
      </c>
      <c r="G27" s="35" t="n">
        <v>0</v>
      </c>
      <c r="H27" s="35" t="n">
        <v>0</v>
      </c>
      <c r="I27" s="35" t="n">
        <v>0</v>
      </c>
      <c r="J27" s="35" t="n">
        <v>0</v>
      </c>
      <c r="K27" s="35" t="n">
        <v>2</v>
      </c>
      <c r="L27" s="35" t="n">
        <v>0</v>
      </c>
      <c r="M27" s="35" t="n">
        <v>4</v>
      </c>
      <c r="N27" s="35" t="n">
        <v>116</v>
      </c>
      <c r="O27" s="35" t="n">
        <v>357</v>
      </c>
      <c r="P27" s="28"/>
      <c r="Q27" s="35" t="s">
        <v>6271</v>
      </c>
      <c r="R27" s="35" t="n">
        <v>3</v>
      </c>
    </row>
    <row r="28" customFormat="false" ht="15" hidden="false" customHeight="false" outlineLevel="0" collapsed="false">
      <c r="A28" s="31" t="s">
        <v>6272</v>
      </c>
      <c r="B28" s="35" t="n">
        <v>0</v>
      </c>
      <c r="C28" s="35" t="n">
        <v>8</v>
      </c>
      <c r="D28" s="35" t="n">
        <v>0</v>
      </c>
      <c r="E28" s="35" t="n">
        <v>0</v>
      </c>
      <c r="F28" s="35" t="n">
        <v>0</v>
      </c>
      <c r="G28" s="35" t="n">
        <v>0</v>
      </c>
      <c r="H28" s="35" t="n">
        <v>0</v>
      </c>
      <c r="I28" s="35" t="n">
        <v>0</v>
      </c>
      <c r="J28" s="35" t="n">
        <v>0</v>
      </c>
      <c r="K28" s="35" t="n">
        <v>1</v>
      </c>
      <c r="L28" s="35" t="n">
        <v>0</v>
      </c>
      <c r="M28" s="35" t="n">
        <v>2</v>
      </c>
      <c r="N28" s="35" t="n">
        <v>106</v>
      </c>
      <c r="O28" s="35" t="n">
        <v>345</v>
      </c>
      <c r="P28" s="28"/>
      <c r="Q28" s="35" t="s">
        <v>6247</v>
      </c>
      <c r="R28" s="35" t="n">
        <v>1</v>
      </c>
    </row>
    <row r="29" customFormat="false" ht="15" hidden="false" customHeight="false" outlineLevel="0" collapsed="false">
      <c r="A29" s="31" t="s">
        <v>4461</v>
      </c>
      <c r="B29" s="35" t="n">
        <v>0</v>
      </c>
      <c r="C29" s="35" t="n">
        <v>1</v>
      </c>
      <c r="D29" s="35" t="n">
        <v>0</v>
      </c>
      <c r="E29" s="35" t="n">
        <v>0</v>
      </c>
      <c r="F29" s="35" t="n">
        <v>0</v>
      </c>
      <c r="G29" s="35" t="n">
        <v>0</v>
      </c>
      <c r="H29" s="35" t="n">
        <v>0</v>
      </c>
      <c r="I29" s="35" t="n">
        <v>0</v>
      </c>
      <c r="J29" s="35" t="n">
        <v>0</v>
      </c>
      <c r="K29" s="35" t="n">
        <v>1</v>
      </c>
      <c r="L29" s="35" t="n">
        <v>0</v>
      </c>
      <c r="M29" s="35" t="n">
        <v>1</v>
      </c>
      <c r="N29" s="35" t="n">
        <v>116</v>
      </c>
      <c r="O29" s="35" t="n">
        <v>357</v>
      </c>
      <c r="P29" s="28"/>
      <c r="Q29" s="35" t="s">
        <v>6247</v>
      </c>
      <c r="R29" s="35" t="n">
        <v>1</v>
      </c>
    </row>
    <row r="30" customFormat="false" ht="15" hidden="false" customHeight="false" outlineLevel="0" collapsed="false">
      <c r="A30" s="31" t="s">
        <v>4468</v>
      </c>
      <c r="B30" s="35" t="n">
        <v>0</v>
      </c>
      <c r="C30" s="35" t="n">
        <v>15</v>
      </c>
      <c r="D30" s="35" t="n">
        <v>0</v>
      </c>
      <c r="E30" s="35" t="n">
        <v>0</v>
      </c>
      <c r="F30" s="35" t="n">
        <v>0</v>
      </c>
      <c r="G30" s="35" t="n">
        <v>0</v>
      </c>
      <c r="H30" s="35" t="n">
        <v>0</v>
      </c>
      <c r="I30" s="35" t="n">
        <v>0</v>
      </c>
      <c r="J30" s="35" t="n">
        <v>0</v>
      </c>
      <c r="K30" s="35" t="n">
        <v>8</v>
      </c>
      <c r="L30" s="35" t="n">
        <v>0</v>
      </c>
      <c r="M30" s="35" t="n">
        <v>8</v>
      </c>
      <c r="N30" s="35" t="n">
        <v>106</v>
      </c>
      <c r="O30" s="35" t="n">
        <v>345</v>
      </c>
      <c r="P30" s="28"/>
      <c r="Q30" s="35" t="s">
        <v>6273</v>
      </c>
      <c r="R30" s="35" t="n">
        <v>2</v>
      </c>
    </row>
    <row r="31" customFormat="false" ht="15" hidden="false" customHeight="false" outlineLevel="0" collapsed="false">
      <c r="A31" s="31" t="s">
        <v>4474</v>
      </c>
      <c r="B31" s="35" t="n">
        <v>0</v>
      </c>
      <c r="C31" s="35" t="n">
        <v>1</v>
      </c>
      <c r="D31" s="35" t="n">
        <v>0</v>
      </c>
      <c r="E31" s="35" t="n">
        <v>0</v>
      </c>
      <c r="F31" s="35" t="n">
        <v>0</v>
      </c>
      <c r="G31" s="35" t="n">
        <v>0</v>
      </c>
      <c r="H31" s="35" t="n">
        <v>0</v>
      </c>
      <c r="I31" s="35" t="n">
        <v>0</v>
      </c>
      <c r="J31" s="35" t="n">
        <v>0</v>
      </c>
      <c r="K31" s="35" t="n">
        <v>1</v>
      </c>
      <c r="L31" s="35" t="n">
        <v>0</v>
      </c>
      <c r="M31" s="35" t="n">
        <v>1</v>
      </c>
      <c r="N31" s="35" t="n">
        <v>116</v>
      </c>
      <c r="O31" s="35" t="n">
        <v>357</v>
      </c>
      <c r="P31" s="28"/>
      <c r="Q31" s="35" t="s">
        <v>6247</v>
      </c>
      <c r="R31" s="35" t="n">
        <v>1</v>
      </c>
    </row>
    <row r="32" customFormat="false" ht="15" hidden="false" customHeight="false" outlineLevel="0" collapsed="false">
      <c r="A32" s="31" t="s">
        <v>6274</v>
      </c>
      <c r="B32" s="35" t="n">
        <v>0</v>
      </c>
      <c r="C32" s="35" t="n">
        <v>124</v>
      </c>
      <c r="D32" s="35" t="n">
        <v>0</v>
      </c>
      <c r="E32" s="35" t="n">
        <v>2</v>
      </c>
      <c r="F32" s="35" t="n">
        <v>0</v>
      </c>
      <c r="G32" s="35" t="n">
        <v>2</v>
      </c>
      <c r="H32" s="35" t="n">
        <v>0</v>
      </c>
      <c r="I32" s="35" t="n">
        <v>2</v>
      </c>
      <c r="J32" s="35" t="n">
        <v>0</v>
      </c>
      <c r="K32" s="35" t="n">
        <v>7</v>
      </c>
      <c r="L32" s="35" t="n">
        <v>0</v>
      </c>
      <c r="M32" s="35" t="n">
        <v>22</v>
      </c>
      <c r="N32" s="35" t="n">
        <v>103</v>
      </c>
      <c r="O32" s="35" t="n">
        <v>126</v>
      </c>
      <c r="P32" s="28"/>
      <c r="Q32" s="35" t="s">
        <v>6275</v>
      </c>
      <c r="R32" s="35" t="n">
        <v>3</v>
      </c>
    </row>
    <row r="33" customFormat="false" ht="15" hidden="false" customHeight="false" outlineLevel="0" collapsed="false">
      <c r="A33" s="31" t="s">
        <v>4483</v>
      </c>
      <c r="B33" s="35" t="n">
        <v>0</v>
      </c>
      <c r="C33" s="35" t="n">
        <v>1</v>
      </c>
      <c r="D33" s="35" t="n">
        <v>0</v>
      </c>
      <c r="E33" s="35" t="n">
        <v>0</v>
      </c>
      <c r="F33" s="35" t="n">
        <v>0</v>
      </c>
      <c r="G33" s="35" t="n">
        <v>0</v>
      </c>
      <c r="H33" s="35" t="n">
        <v>0</v>
      </c>
      <c r="I33" s="35" t="n">
        <v>0</v>
      </c>
      <c r="J33" s="35" t="n">
        <v>0</v>
      </c>
      <c r="K33" s="35" t="n">
        <v>0</v>
      </c>
      <c r="L33" s="35" t="n">
        <v>0</v>
      </c>
      <c r="M33" s="35" t="n">
        <v>2</v>
      </c>
      <c r="N33" s="35" t="n">
        <v>116</v>
      </c>
      <c r="O33" s="35" t="n">
        <v>357</v>
      </c>
      <c r="P33" s="28"/>
      <c r="Q33" s="35" t="s">
        <v>6276</v>
      </c>
      <c r="R33" s="35" t="n">
        <v>8</v>
      </c>
    </row>
    <row r="34" customFormat="false" ht="15" hidden="false" customHeight="false" outlineLevel="0" collapsed="false">
      <c r="A34" s="31" t="s">
        <v>4488</v>
      </c>
      <c r="B34" s="35" t="n">
        <v>0</v>
      </c>
      <c r="C34" s="35" t="n">
        <v>119</v>
      </c>
      <c r="D34" s="35" t="n">
        <v>0</v>
      </c>
      <c r="E34" s="35" t="n">
        <v>0</v>
      </c>
      <c r="F34" s="35" t="n">
        <v>0</v>
      </c>
      <c r="G34" s="35" t="n">
        <v>0</v>
      </c>
      <c r="H34" s="35" t="n">
        <v>0</v>
      </c>
      <c r="I34" s="35" t="n">
        <v>0</v>
      </c>
      <c r="J34" s="35" t="n">
        <v>0</v>
      </c>
      <c r="K34" s="35" t="n">
        <v>14</v>
      </c>
      <c r="L34" s="35" t="n">
        <v>0</v>
      </c>
      <c r="M34" s="35" t="n">
        <v>20</v>
      </c>
      <c r="N34" s="35" t="n">
        <v>106</v>
      </c>
      <c r="O34" s="35" t="n">
        <v>345</v>
      </c>
      <c r="P34" s="28"/>
      <c r="Q34" s="35" t="s">
        <v>6277</v>
      </c>
      <c r="R34" s="35" t="n">
        <v>2</v>
      </c>
    </row>
    <row r="35" customFormat="false" ht="15" hidden="false" customHeight="false" outlineLevel="0" collapsed="false">
      <c r="A35" s="31" t="s">
        <v>6278</v>
      </c>
      <c r="B35" s="35" t="n">
        <v>0</v>
      </c>
      <c r="C35" s="35" t="n">
        <v>48</v>
      </c>
      <c r="D35" s="35" t="n">
        <v>0</v>
      </c>
      <c r="E35" s="35" t="n">
        <v>1</v>
      </c>
      <c r="F35" s="35" t="n">
        <v>0</v>
      </c>
      <c r="G35" s="35" t="n">
        <v>1</v>
      </c>
      <c r="H35" s="35" t="n">
        <v>0</v>
      </c>
      <c r="I35" s="35" t="n">
        <v>0</v>
      </c>
      <c r="J35" s="35" t="n">
        <v>0</v>
      </c>
      <c r="K35" s="35" t="n">
        <v>1</v>
      </c>
      <c r="L35" s="35" t="n">
        <v>0</v>
      </c>
      <c r="M35" s="35" t="n">
        <v>3</v>
      </c>
      <c r="N35" s="35" t="n">
        <v>116</v>
      </c>
      <c r="O35" s="35" t="n">
        <v>357</v>
      </c>
      <c r="P35" s="28"/>
      <c r="Q35" s="35" t="s">
        <v>6247</v>
      </c>
      <c r="R35" s="35" t="n">
        <v>1</v>
      </c>
    </row>
    <row r="36" customFormat="false" ht="15" hidden="false" customHeight="false" outlineLevel="0" collapsed="false">
      <c r="A36" s="31" t="s">
        <v>5330</v>
      </c>
      <c r="B36" s="35" t="n">
        <v>0</v>
      </c>
      <c r="C36" s="35" t="n">
        <v>6</v>
      </c>
      <c r="D36" s="35" t="n">
        <v>0</v>
      </c>
      <c r="E36" s="35" t="n">
        <v>0</v>
      </c>
      <c r="F36" s="35" t="n">
        <v>0</v>
      </c>
      <c r="G36" s="35" t="n">
        <v>0</v>
      </c>
      <c r="H36" s="35" t="n">
        <v>0</v>
      </c>
      <c r="I36" s="35" t="n">
        <v>0</v>
      </c>
      <c r="J36" s="35" t="n">
        <v>0</v>
      </c>
      <c r="K36" s="35" t="n">
        <v>1</v>
      </c>
      <c r="L36" s="35" t="n">
        <v>0</v>
      </c>
      <c r="M36" s="35" t="n">
        <v>1</v>
      </c>
      <c r="N36" s="35" t="n">
        <v>155</v>
      </c>
      <c r="O36" s="35" t="n">
        <v>369</v>
      </c>
      <c r="P36" s="28"/>
      <c r="Q36" s="35" t="s">
        <v>6279</v>
      </c>
      <c r="R36" s="35" t="n">
        <v>2</v>
      </c>
    </row>
    <row r="37" customFormat="false" ht="15" hidden="false" customHeight="false" outlineLevel="0" collapsed="false">
      <c r="A37" s="31" t="s">
        <v>6280</v>
      </c>
      <c r="B37" s="35" t="n">
        <v>0</v>
      </c>
      <c r="C37" s="35" t="n">
        <v>17</v>
      </c>
      <c r="D37" s="35" t="n">
        <v>0</v>
      </c>
      <c r="E37" s="35" t="n">
        <v>2</v>
      </c>
      <c r="F37" s="35" t="n">
        <v>0</v>
      </c>
      <c r="G37" s="35" t="n">
        <v>2</v>
      </c>
      <c r="H37" s="35" t="n">
        <v>0</v>
      </c>
      <c r="I37" s="35" t="n">
        <v>1</v>
      </c>
      <c r="J37" s="35" t="n">
        <v>0</v>
      </c>
      <c r="K37" s="35" t="n">
        <v>2</v>
      </c>
      <c r="L37" s="35" t="n">
        <v>0</v>
      </c>
      <c r="M37" s="35" t="n">
        <v>6</v>
      </c>
      <c r="N37" s="35" t="n">
        <v>62</v>
      </c>
      <c r="O37" s="35" t="n">
        <v>74</v>
      </c>
      <c r="P37" s="28"/>
      <c r="Q37" s="35" t="s">
        <v>6281</v>
      </c>
      <c r="R37" s="35" t="n">
        <v>4</v>
      </c>
    </row>
    <row r="38" customFormat="false" ht="15" hidden="false" customHeight="false" outlineLevel="0" collapsed="false">
      <c r="A38" s="31" t="s">
        <v>6282</v>
      </c>
      <c r="B38" s="35" t="n">
        <v>0</v>
      </c>
      <c r="C38" s="35" t="n">
        <v>0</v>
      </c>
      <c r="D38" s="35" t="n">
        <v>0</v>
      </c>
      <c r="E38" s="35" t="n">
        <v>0</v>
      </c>
      <c r="F38" s="35" t="n">
        <v>0</v>
      </c>
      <c r="G38" s="35" t="n">
        <v>0</v>
      </c>
      <c r="H38" s="35" t="n">
        <v>0</v>
      </c>
      <c r="I38" s="35" t="n">
        <v>0</v>
      </c>
      <c r="J38" s="35" t="n">
        <v>0</v>
      </c>
      <c r="K38" s="35" t="n">
        <v>0</v>
      </c>
      <c r="L38" s="35" t="n">
        <v>0</v>
      </c>
      <c r="M38" s="35" t="n">
        <v>1</v>
      </c>
      <c r="N38" s="35" t="n">
        <v>7</v>
      </c>
      <c r="O38" s="35" t="n">
        <v>17</v>
      </c>
      <c r="P38" s="28"/>
      <c r="Q38" s="35" t="s">
        <v>6283</v>
      </c>
      <c r="R38" s="35" t="n">
        <v>10</v>
      </c>
    </row>
    <row r="39" customFormat="false" ht="15" hidden="false" customHeight="false" outlineLevel="0" collapsed="false">
      <c r="A39" s="31" t="s">
        <v>6284</v>
      </c>
      <c r="B39" s="35" t="n">
        <v>0</v>
      </c>
      <c r="C39" s="35" t="n">
        <v>0</v>
      </c>
      <c r="D39" s="35" t="n">
        <v>0</v>
      </c>
      <c r="E39" s="35" t="n">
        <v>0</v>
      </c>
      <c r="F39" s="35" t="n">
        <v>0</v>
      </c>
      <c r="G39" s="35" t="n">
        <v>0</v>
      </c>
      <c r="H39" s="35" t="n">
        <v>0</v>
      </c>
      <c r="I39" s="35" t="n">
        <v>0</v>
      </c>
      <c r="J39" s="35" t="n">
        <v>0</v>
      </c>
      <c r="K39" s="35" t="n">
        <v>1</v>
      </c>
      <c r="L39" s="35" t="n">
        <v>0</v>
      </c>
      <c r="M39" s="35" t="n">
        <v>1</v>
      </c>
      <c r="N39" s="35" t="n">
        <v>10</v>
      </c>
      <c r="O39" s="35" t="n">
        <v>10</v>
      </c>
      <c r="P39" s="28"/>
      <c r="Q39" s="35" t="s">
        <v>6253</v>
      </c>
      <c r="R39" s="35" t="n">
        <v>1</v>
      </c>
    </row>
    <row r="40" customFormat="false" ht="15" hidden="false" customHeight="false" outlineLevel="0" collapsed="false">
      <c r="A40" s="31" t="s">
        <v>6285</v>
      </c>
      <c r="B40" s="35" t="n">
        <v>0</v>
      </c>
      <c r="C40" s="35" t="n">
        <v>0</v>
      </c>
      <c r="D40" s="35" t="n">
        <v>0</v>
      </c>
      <c r="E40" s="35" t="n">
        <v>0</v>
      </c>
      <c r="F40" s="35" t="n">
        <v>0</v>
      </c>
      <c r="G40" s="35" t="n">
        <v>0</v>
      </c>
      <c r="H40" s="35" t="n">
        <v>0</v>
      </c>
      <c r="I40" s="35" t="n">
        <v>0</v>
      </c>
      <c r="J40" s="35" t="n">
        <v>0</v>
      </c>
      <c r="K40" s="35" t="n">
        <v>0</v>
      </c>
      <c r="L40" s="35" t="n">
        <v>0</v>
      </c>
      <c r="M40" s="35" t="n">
        <v>1</v>
      </c>
      <c r="N40" s="35" t="n">
        <v>57</v>
      </c>
      <c r="O40" s="35" t="n">
        <v>58</v>
      </c>
      <c r="P40" s="28"/>
      <c r="Q40" s="35" t="s">
        <v>6286</v>
      </c>
      <c r="R40" s="35" t="n">
        <v>6</v>
      </c>
    </row>
    <row r="41" customFormat="false" ht="15" hidden="false" customHeight="false" outlineLevel="0" collapsed="false">
      <c r="A41" s="31" t="s">
        <v>6287</v>
      </c>
      <c r="B41" s="35" t="n">
        <v>0</v>
      </c>
      <c r="C41" s="35" t="n">
        <v>0</v>
      </c>
      <c r="D41" s="35" t="n">
        <v>0</v>
      </c>
      <c r="E41" s="35" t="n">
        <v>1</v>
      </c>
      <c r="F41" s="35" t="n">
        <v>0</v>
      </c>
      <c r="G41" s="35" t="n">
        <v>1</v>
      </c>
      <c r="H41" s="35" t="n">
        <v>0</v>
      </c>
      <c r="I41" s="35" t="n">
        <v>1</v>
      </c>
      <c r="J41" s="35" t="n">
        <v>0</v>
      </c>
      <c r="K41" s="35" t="n">
        <v>0</v>
      </c>
      <c r="L41" s="35" t="n">
        <v>0</v>
      </c>
      <c r="M41" s="35" t="n">
        <v>1</v>
      </c>
      <c r="N41" s="35" t="n">
        <v>21</v>
      </c>
      <c r="O41" s="35" t="n">
        <v>13</v>
      </c>
      <c r="P41" s="28"/>
      <c r="Q41" s="35" t="s">
        <v>6288</v>
      </c>
      <c r="R41" s="35" t="n">
        <v>4</v>
      </c>
    </row>
    <row r="42" customFormat="false" ht="15" hidden="false" customHeight="false" outlineLevel="0" collapsed="false">
      <c r="A42" s="31" t="s">
        <v>6289</v>
      </c>
      <c r="B42" s="35" t="n">
        <v>0</v>
      </c>
      <c r="C42" s="35" t="n">
        <v>0</v>
      </c>
      <c r="D42" s="35" t="n">
        <v>0</v>
      </c>
      <c r="E42" s="35" t="n">
        <v>0</v>
      </c>
      <c r="F42" s="35" t="n">
        <v>0</v>
      </c>
      <c r="G42" s="35" t="n">
        <v>0</v>
      </c>
      <c r="H42" s="35" t="n">
        <v>0</v>
      </c>
      <c r="I42" s="35" t="n">
        <v>0</v>
      </c>
      <c r="J42" s="35" t="n">
        <v>0</v>
      </c>
      <c r="K42" s="35" t="n">
        <v>0</v>
      </c>
      <c r="L42" s="35" t="n">
        <v>0</v>
      </c>
      <c r="M42" s="35" t="n">
        <v>2</v>
      </c>
      <c r="N42" s="35" t="n">
        <v>27</v>
      </c>
      <c r="O42" s="35" t="n">
        <v>27</v>
      </c>
      <c r="P42" s="28"/>
      <c r="Q42" s="35" t="s">
        <v>6290</v>
      </c>
      <c r="R42" s="35" t="n">
        <v>6</v>
      </c>
    </row>
    <row r="43" customFormat="false" ht="15" hidden="false" customHeight="false" outlineLevel="0" collapsed="false">
      <c r="A43" s="31" t="s">
        <v>5349</v>
      </c>
      <c r="B43" s="35" t="n">
        <v>0</v>
      </c>
      <c r="C43" s="35" t="n">
        <v>0</v>
      </c>
      <c r="D43" s="35" t="n">
        <v>0</v>
      </c>
      <c r="E43" s="35" t="n">
        <v>0</v>
      </c>
      <c r="F43" s="35" t="n">
        <v>0</v>
      </c>
      <c r="G43" s="35" t="n">
        <v>0</v>
      </c>
      <c r="H43" s="35" t="n">
        <v>0</v>
      </c>
      <c r="I43" s="35" t="n">
        <v>0</v>
      </c>
      <c r="J43" s="35" t="n">
        <v>0</v>
      </c>
      <c r="K43" s="35" t="n">
        <v>2</v>
      </c>
      <c r="L43" s="35" t="n">
        <v>0</v>
      </c>
      <c r="M43" s="35" t="n">
        <v>3</v>
      </c>
      <c r="N43" s="35" t="n">
        <v>10</v>
      </c>
      <c r="O43" s="35" t="n">
        <v>10</v>
      </c>
      <c r="P43" s="28"/>
      <c r="Q43" s="35" t="s">
        <v>6247</v>
      </c>
      <c r="R43" s="35" t="n">
        <v>1</v>
      </c>
    </row>
    <row r="44" customFormat="false" ht="15" hidden="false" customHeight="false" outlineLevel="0" collapsed="false">
      <c r="A44" s="31" t="s">
        <v>4494</v>
      </c>
      <c r="B44" s="35" t="n">
        <v>0</v>
      </c>
      <c r="C44" s="35" t="n">
        <v>7</v>
      </c>
      <c r="D44" s="35" t="n">
        <v>0</v>
      </c>
      <c r="E44" s="35" t="n">
        <v>0</v>
      </c>
      <c r="F44" s="35" t="n">
        <v>0</v>
      </c>
      <c r="G44" s="35" t="n">
        <v>0</v>
      </c>
      <c r="H44" s="35" t="n">
        <v>0</v>
      </c>
      <c r="I44" s="35" t="n">
        <v>0</v>
      </c>
      <c r="J44" s="35" t="n">
        <v>0</v>
      </c>
      <c r="K44" s="35" t="n">
        <v>1</v>
      </c>
      <c r="L44" s="35" t="n">
        <v>0</v>
      </c>
      <c r="M44" s="35" t="n">
        <v>1</v>
      </c>
      <c r="N44" s="35" t="n">
        <v>9</v>
      </c>
      <c r="O44" s="35" t="n">
        <v>9</v>
      </c>
      <c r="P44" s="28"/>
      <c r="Q44" s="35" t="s">
        <v>6291</v>
      </c>
      <c r="R44" s="35" t="n">
        <v>2</v>
      </c>
    </row>
    <row r="45" customFormat="false" ht="15" hidden="false" customHeight="false" outlineLevel="0" collapsed="false">
      <c r="A45" s="31" t="s">
        <v>6292</v>
      </c>
      <c r="B45" s="35" t="n">
        <v>0</v>
      </c>
      <c r="C45" s="35" t="n">
        <v>0</v>
      </c>
      <c r="D45" s="35" t="n">
        <v>0</v>
      </c>
      <c r="E45" s="35" t="n">
        <v>0</v>
      </c>
      <c r="F45" s="35" t="n">
        <v>0</v>
      </c>
      <c r="G45" s="35" t="n">
        <v>0</v>
      </c>
      <c r="H45" s="35" t="n">
        <v>0</v>
      </c>
      <c r="I45" s="35" t="n">
        <v>0</v>
      </c>
      <c r="J45" s="35" t="n">
        <v>0</v>
      </c>
      <c r="K45" s="35" t="n">
        <v>1</v>
      </c>
      <c r="L45" s="35" t="n">
        <v>0</v>
      </c>
      <c r="M45" s="35" t="n">
        <v>1</v>
      </c>
      <c r="N45" s="35" t="n">
        <v>16</v>
      </c>
      <c r="O45" s="35" t="n">
        <v>12</v>
      </c>
      <c r="P45" s="28"/>
      <c r="Q45" s="35" t="s">
        <v>6247</v>
      </c>
      <c r="R45" s="35" t="n">
        <v>1</v>
      </c>
    </row>
    <row r="46" customFormat="false" ht="15" hidden="false" customHeight="false" outlineLevel="0" collapsed="false">
      <c r="A46" s="31" t="s">
        <v>6293</v>
      </c>
      <c r="B46" s="35" t="n">
        <v>0</v>
      </c>
      <c r="C46" s="35" t="n">
        <v>0</v>
      </c>
      <c r="D46" s="35" t="n">
        <v>0</v>
      </c>
      <c r="E46" s="35" t="n">
        <v>0</v>
      </c>
      <c r="F46" s="35" t="n">
        <v>0</v>
      </c>
      <c r="G46" s="35" t="n">
        <v>0</v>
      </c>
      <c r="H46" s="35" t="n">
        <v>0</v>
      </c>
      <c r="I46" s="35" t="n">
        <v>0</v>
      </c>
      <c r="J46" s="35" t="n">
        <v>0</v>
      </c>
      <c r="K46" s="35" t="n">
        <v>2</v>
      </c>
      <c r="L46" s="35" t="n">
        <v>0</v>
      </c>
      <c r="M46" s="35" t="n">
        <v>2</v>
      </c>
      <c r="N46" s="35" t="n">
        <v>49</v>
      </c>
      <c r="O46" s="35" t="n">
        <v>49</v>
      </c>
      <c r="P46" s="28"/>
      <c r="Q46" s="35" t="s">
        <v>6294</v>
      </c>
      <c r="R46" s="35" t="n">
        <v>1</v>
      </c>
    </row>
    <row r="47" customFormat="false" ht="15" hidden="false" customHeight="false" outlineLevel="0" collapsed="false">
      <c r="A47" s="31" t="s">
        <v>4575</v>
      </c>
      <c r="B47" s="35" t="n">
        <v>0</v>
      </c>
      <c r="C47" s="35" t="n">
        <v>18</v>
      </c>
      <c r="D47" s="35" t="n">
        <v>0</v>
      </c>
      <c r="E47" s="35" t="n">
        <v>0</v>
      </c>
      <c r="F47" s="35" t="n">
        <v>0</v>
      </c>
      <c r="G47" s="35" t="n">
        <v>0</v>
      </c>
      <c r="H47" s="35" t="n">
        <v>0</v>
      </c>
      <c r="I47" s="35" t="n">
        <v>0</v>
      </c>
      <c r="J47" s="35" t="n">
        <v>0</v>
      </c>
      <c r="K47" s="35" t="n">
        <v>15</v>
      </c>
      <c r="L47" s="35" t="n">
        <v>0</v>
      </c>
      <c r="M47" s="35" t="n">
        <v>25</v>
      </c>
      <c r="N47" s="35" t="n">
        <v>75</v>
      </c>
      <c r="O47" s="35" t="n">
        <v>76</v>
      </c>
      <c r="P47" s="28"/>
      <c r="Q47" s="35" t="s">
        <v>6295</v>
      </c>
      <c r="R47" s="35" t="n">
        <v>4</v>
      </c>
    </row>
    <row r="48" customFormat="false" ht="15" hidden="false" customHeight="false" outlineLevel="0" collapsed="false">
      <c r="A48" s="31" t="s">
        <v>6296</v>
      </c>
      <c r="B48" s="35" t="n">
        <v>0</v>
      </c>
      <c r="C48" s="35" t="n">
        <v>9</v>
      </c>
      <c r="D48" s="35" t="n">
        <v>0</v>
      </c>
      <c r="E48" s="35" t="n">
        <v>0</v>
      </c>
      <c r="F48" s="35" t="n">
        <v>0</v>
      </c>
      <c r="G48" s="35" t="n">
        <v>0</v>
      </c>
      <c r="H48" s="35" t="n">
        <v>0</v>
      </c>
      <c r="I48" s="35" t="n">
        <v>0</v>
      </c>
      <c r="J48" s="35" t="n">
        <v>0</v>
      </c>
      <c r="K48" s="35" t="n">
        <v>0</v>
      </c>
      <c r="L48" s="35" t="n">
        <v>0</v>
      </c>
      <c r="M48" s="35" t="n">
        <v>1</v>
      </c>
      <c r="N48" s="35" t="n">
        <v>12</v>
      </c>
      <c r="O48" s="35" t="n">
        <v>13</v>
      </c>
      <c r="P48" s="28"/>
      <c r="Q48" s="35" t="s">
        <v>6297</v>
      </c>
      <c r="R48" s="35" t="n">
        <v>8</v>
      </c>
    </row>
    <row r="49" customFormat="false" ht="15" hidden="false" customHeight="false" outlineLevel="0" collapsed="false">
      <c r="A49" s="31" t="s">
        <v>6298</v>
      </c>
      <c r="B49" s="35" t="n">
        <v>0</v>
      </c>
      <c r="C49" s="35" t="n">
        <v>0</v>
      </c>
      <c r="D49" s="35" t="n">
        <v>0</v>
      </c>
      <c r="E49" s="35" t="n">
        <v>0</v>
      </c>
      <c r="F49" s="35" t="n">
        <v>0</v>
      </c>
      <c r="G49" s="35" t="n">
        <v>0</v>
      </c>
      <c r="H49" s="35" t="n">
        <v>0</v>
      </c>
      <c r="I49" s="35" t="n">
        <v>0</v>
      </c>
      <c r="J49" s="35" t="n">
        <v>0</v>
      </c>
      <c r="K49" s="35" t="n">
        <v>0</v>
      </c>
      <c r="L49" s="35" t="n">
        <v>0</v>
      </c>
      <c r="M49" s="35" t="n">
        <v>1</v>
      </c>
      <c r="N49" s="35" t="n">
        <v>18</v>
      </c>
      <c r="O49" s="35" t="n">
        <v>18</v>
      </c>
      <c r="P49" s="28"/>
      <c r="Q49" s="35" t="s">
        <v>6299</v>
      </c>
      <c r="R49" s="35" t="n">
        <v>7</v>
      </c>
    </row>
    <row r="50" customFormat="false" ht="15" hidden="false" customHeight="false" outlineLevel="0" collapsed="false">
      <c r="A50" s="31" t="s">
        <v>6300</v>
      </c>
      <c r="B50" s="35" t="n">
        <v>0</v>
      </c>
      <c r="C50" s="35" t="n">
        <v>13</v>
      </c>
      <c r="D50" s="35" t="n">
        <v>0</v>
      </c>
      <c r="E50" s="35" t="n">
        <v>7</v>
      </c>
      <c r="F50" s="35" t="n">
        <v>0</v>
      </c>
      <c r="G50" s="35" t="n">
        <v>15</v>
      </c>
      <c r="H50" s="35" t="n">
        <v>0</v>
      </c>
      <c r="I50" s="35" t="n">
        <v>15</v>
      </c>
      <c r="J50" s="35" t="n">
        <v>0</v>
      </c>
      <c r="K50" s="35" t="n">
        <v>0</v>
      </c>
      <c r="L50" s="35" t="n">
        <v>0</v>
      </c>
      <c r="M50" s="35" t="n">
        <v>1</v>
      </c>
      <c r="N50" s="35" t="n">
        <v>46</v>
      </c>
      <c r="O50" s="35" t="n">
        <v>47</v>
      </c>
      <c r="P50" s="28"/>
      <c r="Q50" s="35" t="s">
        <v>6301</v>
      </c>
      <c r="R50" s="35" t="n">
        <v>7</v>
      </c>
    </row>
    <row r="51" customFormat="false" ht="15" hidden="false" customHeight="false" outlineLevel="0" collapsed="false">
      <c r="A51" s="31" t="s">
        <v>6302</v>
      </c>
      <c r="B51" s="35" t="n">
        <v>0</v>
      </c>
      <c r="C51" s="35" t="n">
        <v>0</v>
      </c>
      <c r="D51" s="35" t="n">
        <v>0</v>
      </c>
      <c r="E51" s="35" t="n">
        <v>0</v>
      </c>
      <c r="F51" s="35" t="n">
        <v>0</v>
      </c>
      <c r="G51" s="35" t="n">
        <v>0</v>
      </c>
      <c r="H51" s="35" t="n">
        <v>0</v>
      </c>
      <c r="I51" s="35" t="n">
        <v>0</v>
      </c>
      <c r="J51" s="35" t="n">
        <v>0</v>
      </c>
      <c r="K51" s="35" t="n">
        <v>0</v>
      </c>
      <c r="L51" s="35" t="n">
        <v>0</v>
      </c>
      <c r="M51" s="35" t="n">
        <v>5</v>
      </c>
      <c r="N51" s="35" t="n">
        <v>16</v>
      </c>
      <c r="O51" s="35" t="n">
        <v>21</v>
      </c>
      <c r="P51" s="28"/>
      <c r="Q51" s="35" t="s">
        <v>6303</v>
      </c>
      <c r="R51" s="35" t="n">
        <v>6</v>
      </c>
    </row>
    <row r="52" customFormat="false" ht="15" hidden="false" customHeight="false" outlineLevel="0" collapsed="false">
      <c r="A52" s="31" t="s">
        <v>6304</v>
      </c>
      <c r="B52" s="35" t="n">
        <v>0</v>
      </c>
      <c r="C52" s="35" t="n">
        <v>0</v>
      </c>
      <c r="D52" s="35" t="n">
        <v>0</v>
      </c>
      <c r="E52" s="35" t="n">
        <v>0</v>
      </c>
      <c r="F52" s="35" t="n">
        <v>0</v>
      </c>
      <c r="G52" s="35" t="n">
        <v>0</v>
      </c>
      <c r="H52" s="35" t="n">
        <v>0</v>
      </c>
      <c r="I52" s="35" t="n">
        <v>0</v>
      </c>
      <c r="J52" s="35" t="n">
        <v>0</v>
      </c>
      <c r="K52" s="35" t="n">
        <v>0</v>
      </c>
      <c r="L52" s="35" t="n">
        <v>0</v>
      </c>
      <c r="M52" s="35" t="n">
        <v>1</v>
      </c>
      <c r="N52" s="35" t="n">
        <v>40</v>
      </c>
      <c r="O52" s="35" t="n">
        <v>40</v>
      </c>
      <c r="P52" s="28"/>
      <c r="Q52" s="35" t="s">
        <v>6305</v>
      </c>
      <c r="R52" s="35" t="n">
        <v>10</v>
      </c>
    </row>
    <row r="53" customFormat="false" ht="15" hidden="false" customHeight="false" outlineLevel="0" collapsed="false">
      <c r="A53" s="31" t="s">
        <v>6306</v>
      </c>
      <c r="B53" s="35" t="n">
        <v>0</v>
      </c>
      <c r="C53" s="35" t="n">
        <v>858</v>
      </c>
      <c r="D53" s="35" t="n">
        <v>0</v>
      </c>
      <c r="E53" s="35" t="n">
        <v>3</v>
      </c>
      <c r="F53" s="35" t="n">
        <v>0</v>
      </c>
      <c r="G53" s="35" t="n">
        <v>4</v>
      </c>
      <c r="H53" s="35" t="n">
        <v>0</v>
      </c>
      <c r="I53" s="35" t="n">
        <v>1</v>
      </c>
      <c r="J53" s="35" t="n">
        <v>0</v>
      </c>
      <c r="K53" s="35" t="n">
        <v>4</v>
      </c>
      <c r="L53" s="35" t="n">
        <v>0</v>
      </c>
      <c r="M53" s="35" t="n">
        <v>10</v>
      </c>
      <c r="N53" s="35" t="n">
        <v>33</v>
      </c>
      <c r="O53" s="35" t="n">
        <v>32</v>
      </c>
      <c r="P53" s="28"/>
      <c r="Q53" s="35" t="s">
        <v>6245</v>
      </c>
      <c r="R53" s="35" t="n">
        <v>9</v>
      </c>
    </row>
    <row r="54" customFormat="false" ht="15" hidden="false" customHeight="false" outlineLevel="0" collapsed="false">
      <c r="A54" s="31" t="s">
        <v>6307</v>
      </c>
      <c r="B54" s="35" t="n">
        <v>0</v>
      </c>
      <c r="C54" s="35" t="n">
        <v>0</v>
      </c>
      <c r="D54" s="35" t="n">
        <v>0</v>
      </c>
      <c r="E54" s="35" t="n">
        <v>0</v>
      </c>
      <c r="F54" s="35" t="n">
        <v>0</v>
      </c>
      <c r="G54" s="35" t="n">
        <v>0</v>
      </c>
      <c r="H54" s="35" t="n">
        <v>0</v>
      </c>
      <c r="I54" s="35" t="n">
        <v>0</v>
      </c>
      <c r="J54" s="35" t="n">
        <v>0</v>
      </c>
      <c r="K54" s="35" t="n">
        <v>0</v>
      </c>
      <c r="L54" s="35" t="n">
        <v>0</v>
      </c>
      <c r="M54" s="35" t="n">
        <v>2</v>
      </c>
      <c r="N54" s="35" t="n">
        <v>42</v>
      </c>
      <c r="O54" s="35" t="n">
        <v>42</v>
      </c>
      <c r="P54" s="28"/>
      <c r="Q54" s="35" t="s">
        <v>6308</v>
      </c>
      <c r="R54" s="35" t="n">
        <v>8</v>
      </c>
    </row>
    <row r="55" customFormat="false" ht="15" hidden="false" customHeight="false" outlineLevel="0" collapsed="false">
      <c r="A55" s="31" t="s">
        <v>4741</v>
      </c>
      <c r="B55" s="35" t="n">
        <v>0</v>
      </c>
      <c r="C55" s="35" t="n">
        <v>5</v>
      </c>
      <c r="D55" s="35" t="n">
        <v>0</v>
      </c>
      <c r="E55" s="35" t="n">
        <v>0</v>
      </c>
      <c r="F55" s="35" t="n">
        <v>0</v>
      </c>
      <c r="G55" s="35" t="n">
        <v>0</v>
      </c>
      <c r="H55" s="35" t="n">
        <v>0</v>
      </c>
      <c r="I55" s="35" t="n">
        <v>0</v>
      </c>
      <c r="J55" s="35" t="n">
        <v>0</v>
      </c>
      <c r="K55" s="35" t="n">
        <v>1</v>
      </c>
      <c r="L55" s="35" t="n">
        <v>0</v>
      </c>
      <c r="M55" s="35" t="n">
        <v>1</v>
      </c>
      <c r="N55" s="35" t="n">
        <v>13</v>
      </c>
      <c r="O55" s="35" t="n">
        <v>13</v>
      </c>
      <c r="P55" s="28"/>
      <c r="Q55" s="35" t="s">
        <v>6309</v>
      </c>
      <c r="R55" s="35" t="n">
        <v>9</v>
      </c>
    </row>
    <row r="56" customFormat="false" ht="15" hidden="false" customHeight="false" outlineLevel="0" collapsed="false">
      <c r="A56" s="31" t="s">
        <v>4502</v>
      </c>
      <c r="B56" s="35" t="n">
        <v>0</v>
      </c>
      <c r="C56" s="35" t="n">
        <v>16</v>
      </c>
      <c r="D56" s="35" t="n">
        <v>0</v>
      </c>
      <c r="E56" s="35" t="n">
        <v>0</v>
      </c>
      <c r="F56" s="35" t="n">
        <v>0</v>
      </c>
      <c r="G56" s="35" t="n">
        <v>0</v>
      </c>
      <c r="H56" s="35" t="n">
        <v>0</v>
      </c>
      <c r="I56" s="35" t="n">
        <v>0</v>
      </c>
      <c r="J56" s="35" t="n">
        <v>0</v>
      </c>
      <c r="K56" s="35" t="n">
        <v>0</v>
      </c>
      <c r="L56" s="35" t="n">
        <v>0</v>
      </c>
      <c r="M56" s="35" t="n">
        <v>4</v>
      </c>
      <c r="N56" s="35" t="n">
        <v>40</v>
      </c>
      <c r="O56" s="35" t="n">
        <v>52</v>
      </c>
      <c r="P56" s="28"/>
      <c r="Q56" s="35" t="s">
        <v>6310</v>
      </c>
      <c r="R56" s="35" t="n">
        <v>7</v>
      </c>
    </row>
    <row r="57" customFormat="false" ht="15" hidden="false" customHeight="false" outlineLevel="0" collapsed="false">
      <c r="A57" s="31" t="s">
        <v>5397</v>
      </c>
      <c r="B57" s="35" t="n">
        <v>0</v>
      </c>
      <c r="C57" s="35" t="n">
        <v>0</v>
      </c>
      <c r="D57" s="35" t="n">
        <v>0</v>
      </c>
      <c r="E57" s="35" t="n">
        <v>0</v>
      </c>
      <c r="F57" s="35" t="n">
        <v>0</v>
      </c>
      <c r="G57" s="35" t="n">
        <v>0</v>
      </c>
      <c r="H57" s="35" t="n">
        <v>0</v>
      </c>
      <c r="I57" s="35" t="n">
        <v>0</v>
      </c>
      <c r="J57" s="35" t="n">
        <v>0</v>
      </c>
      <c r="K57" s="35" t="n">
        <v>1</v>
      </c>
      <c r="L57" s="35" t="n">
        <v>0</v>
      </c>
      <c r="M57" s="35" t="n">
        <v>1</v>
      </c>
      <c r="N57" s="35" t="n">
        <v>21</v>
      </c>
      <c r="O57" s="35" t="n">
        <v>16</v>
      </c>
      <c r="P57" s="28"/>
      <c r="Q57" s="35" t="s">
        <v>6247</v>
      </c>
      <c r="R57" s="35" t="n">
        <v>1</v>
      </c>
    </row>
    <row r="58" customFormat="false" ht="15" hidden="false" customHeight="false" outlineLevel="0" collapsed="false">
      <c r="A58" s="31" t="s">
        <v>4505</v>
      </c>
      <c r="B58" s="35" t="n">
        <v>0</v>
      </c>
      <c r="C58" s="35" t="n">
        <v>0</v>
      </c>
      <c r="D58" s="35" t="n">
        <v>0</v>
      </c>
      <c r="E58" s="35" t="n">
        <v>0</v>
      </c>
      <c r="F58" s="35" t="n">
        <v>0</v>
      </c>
      <c r="G58" s="35" t="n">
        <v>0</v>
      </c>
      <c r="H58" s="35" t="n">
        <v>0</v>
      </c>
      <c r="I58" s="35" t="n">
        <v>0</v>
      </c>
      <c r="J58" s="35" t="n">
        <v>0</v>
      </c>
      <c r="K58" s="35" t="n">
        <v>1</v>
      </c>
      <c r="L58" s="35" t="n">
        <v>0</v>
      </c>
      <c r="M58" s="35" t="n">
        <v>1</v>
      </c>
      <c r="N58" s="35" t="n">
        <v>10</v>
      </c>
      <c r="O58" s="35" t="n">
        <v>11</v>
      </c>
      <c r="P58" s="28"/>
      <c r="Q58" s="35" t="s">
        <v>6311</v>
      </c>
      <c r="R58" s="35" t="n">
        <v>3</v>
      </c>
    </row>
    <row r="59" customFormat="false" ht="15" hidden="false" customHeight="false" outlineLevel="0" collapsed="false">
      <c r="A59" s="31" t="s">
        <v>6312</v>
      </c>
      <c r="B59" s="35" t="n">
        <v>0</v>
      </c>
      <c r="C59" s="35" t="n">
        <v>325</v>
      </c>
      <c r="D59" s="35" t="n">
        <v>0</v>
      </c>
      <c r="E59" s="35" t="n">
        <v>0</v>
      </c>
      <c r="F59" s="35" t="n">
        <v>0</v>
      </c>
      <c r="G59" s="35" t="n">
        <v>0</v>
      </c>
      <c r="H59" s="35" t="n">
        <v>0</v>
      </c>
      <c r="I59" s="35" t="n">
        <v>0</v>
      </c>
      <c r="J59" s="35" t="n">
        <v>0</v>
      </c>
      <c r="K59" s="35" t="n">
        <v>6</v>
      </c>
      <c r="L59" s="35" t="n">
        <v>0</v>
      </c>
      <c r="M59" s="35" t="n">
        <v>62</v>
      </c>
      <c r="N59" s="35" t="n">
        <v>26</v>
      </c>
      <c r="O59" s="35" t="n">
        <v>26</v>
      </c>
      <c r="P59" s="28"/>
      <c r="Q59" s="35" t="s">
        <v>6313</v>
      </c>
      <c r="R59" s="35" t="n">
        <v>5</v>
      </c>
    </row>
    <row r="60" customFormat="false" ht="15" hidden="false" customHeight="false" outlineLevel="0" collapsed="false">
      <c r="A60" s="31" t="s">
        <v>4581</v>
      </c>
      <c r="B60" s="35" t="n">
        <v>0</v>
      </c>
      <c r="C60" s="35" t="n">
        <v>0</v>
      </c>
      <c r="D60" s="35" t="n">
        <v>0</v>
      </c>
      <c r="E60" s="35" t="n">
        <v>0</v>
      </c>
      <c r="F60" s="35" t="n">
        <v>0</v>
      </c>
      <c r="G60" s="35" t="n">
        <v>0</v>
      </c>
      <c r="H60" s="35" t="n">
        <v>0</v>
      </c>
      <c r="I60" s="35" t="n">
        <v>0</v>
      </c>
      <c r="J60" s="35" t="n">
        <v>0</v>
      </c>
      <c r="K60" s="35" t="n">
        <v>0</v>
      </c>
      <c r="L60" s="35" t="n">
        <v>0</v>
      </c>
      <c r="M60" s="35" t="n">
        <v>1</v>
      </c>
      <c r="N60" s="35" t="n">
        <v>18</v>
      </c>
      <c r="O60" s="35" t="n">
        <v>18</v>
      </c>
      <c r="P60" s="28"/>
      <c r="Q60" s="35" t="s">
        <v>6314</v>
      </c>
      <c r="R60" s="35" t="n">
        <v>9</v>
      </c>
    </row>
    <row r="61" customFormat="false" ht="15" hidden="false" customHeight="false" outlineLevel="0" collapsed="false">
      <c r="A61" s="31" t="s">
        <v>6315</v>
      </c>
      <c r="B61" s="35" t="n">
        <v>0</v>
      </c>
      <c r="C61" s="35" t="n">
        <v>0</v>
      </c>
      <c r="D61" s="35" t="n">
        <v>0</v>
      </c>
      <c r="E61" s="35" t="n">
        <v>3</v>
      </c>
      <c r="F61" s="35" t="n">
        <v>0</v>
      </c>
      <c r="G61" s="35" t="n">
        <v>4</v>
      </c>
      <c r="H61" s="35" t="n">
        <v>0</v>
      </c>
      <c r="I61" s="35" t="n">
        <v>2</v>
      </c>
      <c r="J61" s="35" t="n">
        <v>0</v>
      </c>
      <c r="K61" s="35" t="n">
        <v>1</v>
      </c>
      <c r="L61" s="35" t="n">
        <v>0</v>
      </c>
      <c r="M61" s="35" t="n">
        <v>1</v>
      </c>
      <c r="N61" s="35" t="n">
        <v>21</v>
      </c>
      <c r="O61" s="35" t="n">
        <v>21</v>
      </c>
      <c r="P61" s="28"/>
      <c r="Q61" s="35" t="s">
        <v>6316</v>
      </c>
      <c r="R61" s="35" t="n">
        <v>27</v>
      </c>
    </row>
    <row r="62" customFormat="false" ht="15" hidden="false" customHeight="false" outlineLevel="0" collapsed="false">
      <c r="A62" s="31" t="s">
        <v>6317</v>
      </c>
      <c r="B62" s="35" t="n">
        <v>0</v>
      </c>
      <c r="C62" s="35" t="n">
        <v>1</v>
      </c>
      <c r="D62" s="35" t="n">
        <v>0</v>
      </c>
      <c r="E62" s="35" t="n">
        <v>1</v>
      </c>
      <c r="F62" s="35" t="n">
        <v>0</v>
      </c>
      <c r="G62" s="35" t="n">
        <v>2</v>
      </c>
      <c r="H62" s="35" t="n">
        <v>0</v>
      </c>
      <c r="I62" s="35" t="n">
        <v>0</v>
      </c>
      <c r="J62" s="35" t="n">
        <v>0</v>
      </c>
      <c r="K62" s="35" t="n">
        <v>0</v>
      </c>
      <c r="L62" s="35" t="n">
        <v>0</v>
      </c>
      <c r="M62" s="35" t="n">
        <v>1</v>
      </c>
      <c r="N62" s="35" t="n">
        <v>17</v>
      </c>
      <c r="O62" s="35" t="n">
        <v>17</v>
      </c>
      <c r="P62" s="28"/>
      <c r="Q62" s="35" t="s">
        <v>6318</v>
      </c>
      <c r="R62" s="35" t="n">
        <v>6</v>
      </c>
    </row>
    <row r="63" customFormat="false" ht="15" hidden="false" customHeight="false" outlineLevel="0" collapsed="false">
      <c r="A63" s="31" t="s">
        <v>4757</v>
      </c>
      <c r="B63" s="35" t="n">
        <v>0</v>
      </c>
      <c r="C63" s="35" t="n">
        <v>1</v>
      </c>
      <c r="D63" s="35" t="n">
        <v>0</v>
      </c>
      <c r="E63" s="35" t="n">
        <v>11</v>
      </c>
      <c r="F63" s="35" t="n">
        <v>0</v>
      </c>
      <c r="G63" s="35" t="n">
        <v>11</v>
      </c>
      <c r="H63" s="35" t="n">
        <v>0</v>
      </c>
      <c r="I63" s="35" t="n">
        <v>2</v>
      </c>
      <c r="J63" s="35" t="n">
        <v>0</v>
      </c>
      <c r="K63" s="35" t="n">
        <v>0</v>
      </c>
      <c r="L63" s="35" t="n">
        <v>0</v>
      </c>
      <c r="M63" s="35" t="n">
        <v>1</v>
      </c>
      <c r="N63" s="35" t="n">
        <v>30</v>
      </c>
      <c r="O63" s="35" t="n">
        <v>31</v>
      </c>
      <c r="P63" s="28"/>
      <c r="Q63" s="35" t="s">
        <v>6319</v>
      </c>
      <c r="R63" s="35" t="n">
        <v>7</v>
      </c>
    </row>
    <row r="64" customFormat="false" ht="15" hidden="false" customHeight="false" outlineLevel="0" collapsed="false">
      <c r="A64" s="31" t="s">
        <v>4763</v>
      </c>
      <c r="B64" s="35" t="n">
        <v>0</v>
      </c>
      <c r="C64" s="35" t="n">
        <v>3</v>
      </c>
      <c r="D64" s="35" t="n">
        <v>0</v>
      </c>
      <c r="E64" s="35" t="n">
        <v>0</v>
      </c>
      <c r="F64" s="35" t="n">
        <v>0</v>
      </c>
      <c r="G64" s="35" t="n">
        <v>0</v>
      </c>
      <c r="H64" s="35" t="n">
        <v>0</v>
      </c>
      <c r="I64" s="35" t="n">
        <v>0</v>
      </c>
      <c r="J64" s="35" t="n">
        <v>0</v>
      </c>
      <c r="K64" s="35" t="n">
        <v>0</v>
      </c>
      <c r="L64" s="35" t="n">
        <v>0</v>
      </c>
      <c r="M64" s="35" t="n">
        <v>5</v>
      </c>
      <c r="N64" s="35" t="n">
        <v>36</v>
      </c>
      <c r="O64" s="35" t="n">
        <v>36</v>
      </c>
      <c r="P64" s="28"/>
      <c r="Q64" s="35" t="s">
        <v>6320</v>
      </c>
      <c r="R64" s="35" t="n">
        <v>5</v>
      </c>
    </row>
    <row r="65" customFormat="false" ht="15" hidden="false" customHeight="false" outlineLevel="0" collapsed="false">
      <c r="A65" s="31" t="s">
        <v>6321</v>
      </c>
      <c r="B65" s="35" t="n">
        <v>0</v>
      </c>
      <c r="C65" s="35" t="n">
        <v>0</v>
      </c>
      <c r="D65" s="35" t="n">
        <v>0</v>
      </c>
      <c r="E65" s="35" t="n">
        <v>3</v>
      </c>
      <c r="F65" s="35" t="n">
        <v>0</v>
      </c>
      <c r="G65" s="35" t="n">
        <v>4</v>
      </c>
      <c r="H65" s="35" t="n">
        <v>0</v>
      </c>
      <c r="I65" s="35" t="n">
        <v>3</v>
      </c>
      <c r="J65" s="35" t="n">
        <v>0</v>
      </c>
      <c r="K65" s="35" t="n">
        <v>1</v>
      </c>
      <c r="L65" s="35" t="n">
        <v>0</v>
      </c>
      <c r="M65" s="35" t="n">
        <v>1</v>
      </c>
      <c r="N65" s="35" t="n">
        <v>48</v>
      </c>
      <c r="O65" s="35" t="n">
        <v>42</v>
      </c>
      <c r="P65" s="28"/>
      <c r="Q65" s="35" t="s">
        <v>6322</v>
      </c>
      <c r="R65" s="35" t="n">
        <v>3</v>
      </c>
    </row>
    <row r="66" customFormat="false" ht="15" hidden="false" customHeight="false" outlineLevel="0" collapsed="false">
      <c r="A66" s="31" t="s">
        <v>6323</v>
      </c>
      <c r="B66" s="35" t="n">
        <v>0</v>
      </c>
      <c r="C66" s="35" t="n">
        <v>0</v>
      </c>
      <c r="D66" s="35" t="n">
        <v>0</v>
      </c>
      <c r="E66" s="35" t="n">
        <v>0</v>
      </c>
      <c r="F66" s="35" t="n">
        <v>0</v>
      </c>
      <c r="G66" s="35" t="n">
        <v>0</v>
      </c>
      <c r="H66" s="35" t="n">
        <v>0</v>
      </c>
      <c r="I66" s="35" t="n">
        <v>0</v>
      </c>
      <c r="J66" s="35" t="n">
        <v>0</v>
      </c>
      <c r="K66" s="35" t="n">
        <v>1</v>
      </c>
      <c r="L66" s="35" t="n">
        <v>0</v>
      </c>
      <c r="M66" s="35" t="n">
        <v>4</v>
      </c>
      <c r="N66" s="35" t="n">
        <v>54</v>
      </c>
      <c r="O66" s="35" t="n">
        <v>50</v>
      </c>
      <c r="P66" s="28"/>
      <c r="Q66" s="35" t="s">
        <v>6324</v>
      </c>
      <c r="R66" s="35" t="n">
        <v>6</v>
      </c>
    </row>
    <row r="67" customFormat="false" ht="15" hidden="false" customHeight="false" outlineLevel="0" collapsed="false">
      <c r="A67" s="31" t="s">
        <v>5442</v>
      </c>
      <c r="B67" s="35" t="n">
        <v>0</v>
      </c>
      <c r="C67" s="35" t="n">
        <v>0</v>
      </c>
      <c r="D67" s="35" t="n">
        <v>0</v>
      </c>
      <c r="E67" s="35" t="n">
        <v>0</v>
      </c>
      <c r="F67" s="35" t="n">
        <v>0</v>
      </c>
      <c r="G67" s="35" t="n">
        <v>0</v>
      </c>
      <c r="H67" s="35" t="n">
        <v>0</v>
      </c>
      <c r="I67" s="35" t="n">
        <v>0</v>
      </c>
      <c r="J67" s="35" t="n">
        <v>0</v>
      </c>
      <c r="K67" s="35" t="n">
        <v>3</v>
      </c>
      <c r="L67" s="35" t="n">
        <v>0</v>
      </c>
      <c r="M67" s="35" t="n">
        <v>3</v>
      </c>
      <c r="N67" s="35" t="n">
        <v>23</v>
      </c>
      <c r="O67" s="35" t="n">
        <v>13</v>
      </c>
      <c r="P67" s="28"/>
      <c r="Q67" s="35" t="s">
        <v>6247</v>
      </c>
      <c r="R67" s="35" t="n">
        <v>1</v>
      </c>
    </row>
    <row r="68" customFormat="false" ht="15" hidden="false" customHeight="false" outlineLevel="0" collapsed="false">
      <c r="A68" s="31" t="s">
        <v>5448</v>
      </c>
      <c r="B68" s="35" t="n">
        <v>0</v>
      </c>
      <c r="C68" s="35" t="n">
        <v>1</v>
      </c>
      <c r="D68" s="35" t="n">
        <v>0</v>
      </c>
      <c r="E68" s="35" t="n">
        <v>0</v>
      </c>
      <c r="F68" s="35" t="n">
        <v>0</v>
      </c>
      <c r="G68" s="35" t="n">
        <v>0</v>
      </c>
      <c r="H68" s="35" t="n">
        <v>0</v>
      </c>
      <c r="I68" s="35" t="n">
        <v>0</v>
      </c>
      <c r="J68" s="35" t="n">
        <v>0</v>
      </c>
      <c r="K68" s="35" t="n">
        <v>0</v>
      </c>
      <c r="L68" s="35" t="n">
        <v>0</v>
      </c>
      <c r="M68" s="35" t="n">
        <v>1</v>
      </c>
      <c r="N68" s="35" t="n">
        <v>35</v>
      </c>
      <c r="O68" s="35" t="n">
        <v>53</v>
      </c>
      <c r="P68" s="28"/>
      <c r="Q68" s="35" t="s">
        <v>6325</v>
      </c>
      <c r="R68" s="35" t="n">
        <v>8</v>
      </c>
    </row>
    <row r="69" customFormat="false" ht="15" hidden="false" customHeight="false" outlineLevel="0" collapsed="false">
      <c r="A69" s="31" t="s">
        <v>4585</v>
      </c>
      <c r="B69" s="35" t="n">
        <v>0</v>
      </c>
      <c r="C69" s="35" t="n">
        <v>5</v>
      </c>
      <c r="D69" s="35" t="n">
        <v>0</v>
      </c>
      <c r="E69" s="35" t="n">
        <v>0</v>
      </c>
      <c r="F69" s="35" t="n">
        <v>0</v>
      </c>
      <c r="G69" s="35" t="n">
        <v>0</v>
      </c>
      <c r="H69" s="35" t="n">
        <v>0</v>
      </c>
      <c r="I69" s="35" t="n">
        <v>0</v>
      </c>
      <c r="J69" s="35" t="n">
        <v>0</v>
      </c>
      <c r="K69" s="35" t="n">
        <v>0</v>
      </c>
      <c r="L69" s="35" t="n">
        <v>0</v>
      </c>
      <c r="M69" s="35" t="n">
        <v>1</v>
      </c>
      <c r="N69" s="35" t="n">
        <v>48</v>
      </c>
      <c r="O69" s="35" t="n">
        <v>49</v>
      </c>
      <c r="P69" s="28"/>
      <c r="Q69" s="35" t="s">
        <v>6326</v>
      </c>
      <c r="R69" s="35" t="n">
        <v>6</v>
      </c>
    </row>
    <row r="70" customFormat="false" ht="15" hidden="false" customHeight="false" outlineLevel="0" collapsed="false">
      <c r="A70" s="31" t="s">
        <v>6327</v>
      </c>
      <c r="B70" s="35" t="n">
        <v>0</v>
      </c>
      <c r="C70" s="35" t="n">
        <v>5</v>
      </c>
      <c r="D70" s="35" t="n">
        <v>0</v>
      </c>
      <c r="E70" s="35" t="n">
        <v>0</v>
      </c>
      <c r="F70" s="35" t="n">
        <v>0</v>
      </c>
      <c r="G70" s="35" t="n">
        <v>0</v>
      </c>
      <c r="H70" s="35" t="n">
        <v>0</v>
      </c>
      <c r="I70" s="35" t="n">
        <v>0</v>
      </c>
      <c r="J70" s="35" t="n">
        <v>0</v>
      </c>
      <c r="K70" s="35" t="n">
        <v>0</v>
      </c>
      <c r="L70" s="35" t="n">
        <v>0</v>
      </c>
      <c r="M70" s="35" t="n">
        <v>1</v>
      </c>
      <c r="N70" s="35" t="n">
        <v>15</v>
      </c>
      <c r="O70" s="35" t="n">
        <v>15</v>
      </c>
      <c r="P70" s="28"/>
      <c r="Q70" s="28"/>
      <c r="R70" s="28"/>
    </row>
    <row r="71" customFormat="false" ht="15" hidden="false" customHeight="false" outlineLevel="0" collapsed="false">
      <c r="A71" s="31" t="s">
        <v>4788</v>
      </c>
      <c r="B71" s="35" t="n">
        <v>0</v>
      </c>
      <c r="C71" s="35" t="n">
        <v>1</v>
      </c>
      <c r="D71" s="35" t="n">
        <v>0</v>
      </c>
      <c r="E71" s="35" t="n">
        <v>0</v>
      </c>
      <c r="F71" s="35" t="n">
        <v>0</v>
      </c>
      <c r="G71" s="35" t="n">
        <v>0</v>
      </c>
      <c r="H71" s="35" t="n">
        <v>0</v>
      </c>
      <c r="I71" s="35" t="n">
        <v>0</v>
      </c>
      <c r="J71" s="35" t="n">
        <v>0</v>
      </c>
      <c r="K71" s="35" t="n">
        <v>0</v>
      </c>
      <c r="L71" s="35" t="n">
        <v>0</v>
      </c>
      <c r="M71" s="35" t="n">
        <v>1</v>
      </c>
      <c r="N71" s="35" t="n">
        <v>8</v>
      </c>
      <c r="O71" s="35" t="n">
        <v>13</v>
      </c>
      <c r="P71" s="28"/>
      <c r="Q71" s="35" t="s">
        <v>6328</v>
      </c>
      <c r="R71" s="35" t="n">
        <v>8</v>
      </c>
    </row>
    <row r="72" customFormat="false" ht="15" hidden="false" customHeight="false" outlineLevel="0" collapsed="false">
      <c r="A72" s="31" t="s">
        <v>4790</v>
      </c>
      <c r="B72" s="35" t="n">
        <v>0</v>
      </c>
      <c r="C72" s="35" t="n">
        <v>7</v>
      </c>
      <c r="D72" s="35" t="n">
        <v>0</v>
      </c>
      <c r="E72" s="35" t="n">
        <v>0</v>
      </c>
      <c r="F72" s="35" t="n">
        <v>0</v>
      </c>
      <c r="G72" s="35" t="n">
        <v>0</v>
      </c>
      <c r="H72" s="35" t="n">
        <v>0</v>
      </c>
      <c r="I72" s="35" t="n">
        <v>0</v>
      </c>
      <c r="J72" s="35" t="n">
        <v>0</v>
      </c>
      <c r="K72" s="35" t="n">
        <v>0</v>
      </c>
      <c r="L72" s="35" t="n">
        <v>0</v>
      </c>
      <c r="M72" s="35" t="n">
        <v>1</v>
      </c>
      <c r="N72" s="35" t="n">
        <v>8</v>
      </c>
      <c r="O72" s="35" t="n">
        <v>9</v>
      </c>
      <c r="P72" s="28"/>
      <c r="Q72" s="35" t="s">
        <v>6329</v>
      </c>
      <c r="R72" s="35" t="n">
        <v>9</v>
      </c>
    </row>
    <row r="73" customFormat="false" ht="15" hidden="false" customHeight="false" outlineLevel="0" collapsed="false">
      <c r="A73" s="31" t="s">
        <v>6330</v>
      </c>
      <c r="B73" s="35" t="n">
        <v>0</v>
      </c>
      <c r="C73" s="35" t="n">
        <v>2</v>
      </c>
      <c r="D73" s="35" t="n">
        <v>0</v>
      </c>
      <c r="E73" s="35" t="n">
        <v>0</v>
      </c>
      <c r="F73" s="35" t="n">
        <v>0</v>
      </c>
      <c r="G73" s="35" t="n">
        <v>0</v>
      </c>
      <c r="H73" s="35" t="n">
        <v>0</v>
      </c>
      <c r="I73" s="35" t="n">
        <v>0</v>
      </c>
      <c r="J73" s="35" t="n">
        <v>0</v>
      </c>
      <c r="K73" s="35" t="n">
        <v>0</v>
      </c>
      <c r="L73" s="35" t="n">
        <v>0</v>
      </c>
      <c r="M73" s="35" t="n">
        <v>3</v>
      </c>
      <c r="N73" s="35" t="n">
        <v>8</v>
      </c>
      <c r="O73" s="35" t="n">
        <v>13</v>
      </c>
      <c r="P73" s="28"/>
      <c r="Q73" s="35" t="s">
        <v>6331</v>
      </c>
      <c r="R73" s="35" t="n">
        <v>6</v>
      </c>
    </row>
    <row r="74" customFormat="false" ht="15" hidden="false" customHeight="false" outlineLevel="0" collapsed="false">
      <c r="A74" s="31" t="s">
        <v>4591</v>
      </c>
      <c r="B74" s="35" t="n">
        <v>0</v>
      </c>
      <c r="C74" s="35" t="n">
        <v>12</v>
      </c>
      <c r="D74" s="35" t="n">
        <v>0</v>
      </c>
      <c r="E74" s="35" t="n">
        <v>0</v>
      </c>
      <c r="F74" s="35" t="n">
        <v>0</v>
      </c>
      <c r="G74" s="35" t="n">
        <v>0</v>
      </c>
      <c r="H74" s="35" t="n">
        <v>0</v>
      </c>
      <c r="I74" s="35" t="n">
        <v>0</v>
      </c>
      <c r="J74" s="35" t="n">
        <v>0</v>
      </c>
      <c r="K74" s="35" t="n">
        <v>1</v>
      </c>
      <c r="L74" s="35" t="n">
        <v>0</v>
      </c>
      <c r="M74" s="35" t="n">
        <v>5</v>
      </c>
      <c r="N74" s="35" t="n">
        <v>8</v>
      </c>
      <c r="O74" s="35" t="n">
        <v>13</v>
      </c>
      <c r="P74" s="28"/>
      <c r="Q74" s="35" t="s">
        <v>6332</v>
      </c>
      <c r="R74" s="35" t="n">
        <v>8</v>
      </c>
    </row>
    <row r="75" customFormat="false" ht="15" hidden="false" customHeight="false" outlineLevel="0" collapsed="false">
      <c r="A75" s="31" t="s">
        <v>4823</v>
      </c>
      <c r="B75" s="35" t="n">
        <v>0</v>
      </c>
      <c r="C75" s="35" t="n">
        <v>524</v>
      </c>
      <c r="D75" s="35" t="n">
        <v>0</v>
      </c>
      <c r="E75" s="35" t="n">
        <v>0</v>
      </c>
      <c r="F75" s="35" t="n">
        <v>0</v>
      </c>
      <c r="G75" s="35" t="n">
        <v>0</v>
      </c>
      <c r="H75" s="35" t="n">
        <v>0</v>
      </c>
      <c r="I75" s="35" t="n">
        <v>0</v>
      </c>
      <c r="J75" s="35" t="n">
        <v>0</v>
      </c>
      <c r="K75" s="35" t="n">
        <v>8</v>
      </c>
      <c r="L75" s="35" t="n">
        <v>0</v>
      </c>
      <c r="M75" s="35" t="n">
        <v>22</v>
      </c>
      <c r="N75" s="35" t="n">
        <v>13</v>
      </c>
      <c r="O75" s="35" t="n">
        <v>14</v>
      </c>
      <c r="P75" s="28"/>
      <c r="Q75" s="35" t="s">
        <v>6333</v>
      </c>
      <c r="R75" s="35" t="n">
        <v>7</v>
      </c>
    </row>
    <row r="76" customFormat="false" ht="15" hidden="false" customHeight="false" outlineLevel="0" collapsed="false">
      <c r="A76" s="31" t="s">
        <v>6334</v>
      </c>
      <c r="B76" s="35" t="n">
        <v>0</v>
      </c>
      <c r="C76" s="35" t="n">
        <v>1</v>
      </c>
      <c r="D76" s="35" t="n">
        <v>0</v>
      </c>
      <c r="E76" s="35" t="n">
        <v>0</v>
      </c>
      <c r="F76" s="35" t="n">
        <v>0</v>
      </c>
      <c r="G76" s="35" t="n">
        <v>0</v>
      </c>
      <c r="H76" s="35" t="n">
        <v>0</v>
      </c>
      <c r="I76" s="35" t="n">
        <v>0</v>
      </c>
      <c r="J76" s="35" t="n">
        <v>0</v>
      </c>
      <c r="K76" s="35" t="n">
        <v>0</v>
      </c>
      <c r="L76" s="35" t="n">
        <v>0</v>
      </c>
      <c r="M76" s="35" t="n">
        <v>1</v>
      </c>
      <c r="N76" s="35" t="n">
        <v>35</v>
      </c>
      <c r="O76" s="35" t="n">
        <v>31</v>
      </c>
      <c r="P76" s="28"/>
      <c r="Q76" s="35" t="s">
        <v>6335</v>
      </c>
      <c r="R76" s="35" t="n">
        <v>7</v>
      </c>
    </row>
    <row r="77" customFormat="false" ht="15" hidden="false" customHeight="false" outlineLevel="0" collapsed="false">
      <c r="A77" s="31" t="s">
        <v>6336</v>
      </c>
      <c r="B77" s="35" t="n">
        <v>0</v>
      </c>
      <c r="C77" s="35" t="n">
        <v>0</v>
      </c>
      <c r="D77" s="35" t="n">
        <v>0</v>
      </c>
      <c r="E77" s="35" t="n">
        <v>0</v>
      </c>
      <c r="F77" s="35" t="n">
        <v>0</v>
      </c>
      <c r="G77" s="35" t="n">
        <v>0</v>
      </c>
      <c r="H77" s="35" t="n">
        <v>0</v>
      </c>
      <c r="I77" s="35" t="n">
        <v>0</v>
      </c>
      <c r="J77" s="35" t="n">
        <v>0</v>
      </c>
      <c r="K77" s="35" t="n">
        <v>0</v>
      </c>
      <c r="L77" s="35" t="n">
        <v>0</v>
      </c>
      <c r="M77" s="35" t="n">
        <v>1</v>
      </c>
      <c r="N77" s="35" t="n">
        <v>9</v>
      </c>
      <c r="O77" s="35" t="n">
        <v>9</v>
      </c>
      <c r="P77" s="28"/>
      <c r="Q77" s="35" t="s">
        <v>6337</v>
      </c>
      <c r="R77" s="35" t="n">
        <v>10</v>
      </c>
    </row>
    <row r="78" customFormat="false" ht="15" hidden="false" customHeight="false" outlineLevel="0" collapsed="false">
      <c r="A78" s="31" t="s">
        <v>5584</v>
      </c>
      <c r="B78" s="35" t="n">
        <v>0</v>
      </c>
      <c r="C78" s="35" t="n">
        <v>3</v>
      </c>
      <c r="D78" s="35" t="n">
        <v>0</v>
      </c>
      <c r="E78" s="35" t="n">
        <v>0</v>
      </c>
      <c r="F78" s="35" t="n">
        <v>0</v>
      </c>
      <c r="G78" s="35" t="n">
        <v>0</v>
      </c>
      <c r="H78" s="35" t="n">
        <v>0</v>
      </c>
      <c r="I78" s="35" t="n">
        <v>0</v>
      </c>
      <c r="J78" s="35" t="n">
        <v>0</v>
      </c>
      <c r="K78" s="35" t="n">
        <v>0</v>
      </c>
      <c r="L78" s="35" t="n">
        <v>0</v>
      </c>
      <c r="M78" s="35" t="n">
        <v>1</v>
      </c>
      <c r="N78" s="35" t="n">
        <v>18</v>
      </c>
      <c r="O78" s="35" t="n">
        <v>24</v>
      </c>
      <c r="P78" s="28"/>
      <c r="Q78" s="35" t="s">
        <v>6338</v>
      </c>
      <c r="R78" s="35" t="n">
        <v>9</v>
      </c>
    </row>
    <row r="79" customFormat="false" ht="15" hidden="false" customHeight="false" outlineLevel="0" collapsed="false">
      <c r="A79" s="31" t="s">
        <v>5586</v>
      </c>
      <c r="B79" s="35" t="n">
        <v>0</v>
      </c>
      <c r="C79" s="35" t="n">
        <v>0</v>
      </c>
      <c r="D79" s="35" t="n">
        <v>0</v>
      </c>
      <c r="E79" s="35" t="n">
        <v>0</v>
      </c>
      <c r="F79" s="35" t="n">
        <v>0</v>
      </c>
      <c r="G79" s="35" t="n">
        <v>0</v>
      </c>
      <c r="H79" s="35" t="n">
        <v>0</v>
      </c>
      <c r="I79" s="35" t="n">
        <v>0</v>
      </c>
      <c r="J79" s="35" t="n">
        <v>0</v>
      </c>
      <c r="K79" s="35" t="n">
        <v>0</v>
      </c>
      <c r="L79" s="35" t="n">
        <v>0</v>
      </c>
      <c r="M79" s="35" t="n">
        <v>1</v>
      </c>
      <c r="N79" s="35" t="n">
        <v>28</v>
      </c>
      <c r="O79" s="35" t="n">
        <v>44</v>
      </c>
      <c r="P79" s="28"/>
      <c r="Q79" s="35" t="s">
        <v>6339</v>
      </c>
      <c r="R79" s="35" t="n">
        <v>10</v>
      </c>
    </row>
    <row r="80" customFormat="false" ht="15" hidden="false" customHeight="false" outlineLevel="0" collapsed="false">
      <c r="A80" s="31" t="s">
        <v>4536</v>
      </c>
      <c r="B80" s="35" t="n">
        <v>0</v>
      </c>
      <c r="C80" s="35" t="n">
        <v>6</v>
      </c>
      <c r="D80" s="35" t="n">
        <v>0</v>
      </c>
      <c r="E80" s="35" t="n">
        <v>0</v>
      </c>
      <c r="F80" s="35" t="n">
        <v>0</v>
      </c>
      <c r="G80" s="35" t="n">
        <v>0</v>
      </c>
      <c r="H80" s="35" t="n">
        <v>0</v>
      </c>
      <c r="I80" s="35" t="n">
        <v>0</v>
      </c>
      <c r="J80" s="35" t="n">
        <v>0</v>
      </c>
      <c r="K80" s="35" t="n">
        <v>0</v>
      </c>
      <c r="L80" s="35" t="n">
        <v>0</v>
      </c>
      <c r="M80" s="35" t="n">
        <v>4</v>
      </c>
      <c r="N80" s="35" t="n">
        <v>16</v>
      </c>
      <c r="O80" s="35" t="n">
        <v>16</v>
      </c>
      <c r="P80" s="28"/>
      <c r="Q80" s="35" t="s">
        <v>6340</v>
      </c>
      <c r="R80" s="35" t="n">
        <v>6</v>
      </c>
    </row>
    <row r="81" customFormat="false" ht="15" hidden="false" customHeight="false" outlineLevel="0" collapsed="false">
      <c r="A81" s="31" t="s">
        <v>5617</v>
      </c>
      <c r="B81" s="35" t="n">
        <v>0</v>
      </c>
      <c r="C81" s="35" t="n">
        <v>1</v>
      </c>
      <c r="D81" s="35" t="n">
        <v>0</v>
      </c>
      <c r="E81" s="35" t="n">
        <v>0</v>
      </c>
      <c r="F81" s="35" t="n">
        <v>0</v>
      </c>
      <c r="G81" s="35" t="n">
        <v>0</v>
      </c>
      <c r="H81" s="35" t="n">
        <v>0</v>
      </c>
      <c r="I81" s="35" t="n">
        <v>0</v>
      </c>
      <c r="J81" s="35" t="n">
        <v>0</v>
      </c>
      <c r="K81" s="35" t="n">
        <v>0</v>
      </c>
      <c r="L81" s="35" t="n">
        <v>0</v>
      </c>
      <c r="M81" s="35" t="n">
        <v>1</v>
      </c>
      <c r="N81" s="35" t="n">
        <v>13</v>
      </c>
      <c r="O81" s="35" t="n">
        <v>14</v>
      </c>
      <c r="P81" s="28"/>
      <c r="Q81" s="35" t="s">
        <v>6341</v>
      </c>
      <c r="R81" s="35" t="n">
        <v>6</v>
      </c>
    </row>
    <row r="82" customFormat="false" ht="15" hidden="false" customHeight="false" outlineLevel="0" collapsed="false">
      <c r="A82" s="31" t="s">
        <v>4899</v>
      </c>
      <c r="B82" s="35" t="n">
        <v>0</v>
      </c>
      <c r="C82" s="35" t="n">
        <v>2</v>
      </c>
      <c r="D82" s="35" t="n">
        <v>0</v>
      </c>
      <c r="E82" s="35" t="n">
        <v>0</v>
      </c>
      <c r="F82" s="35" t="n">
        <v>0</v>
      </c>
      <c r="G82" s="35" t="n">
        <v>0</v>
      </c>
      <c r="H82" s="35" t="n">
        <v>0</v>
      </c>
      <c r="I82" s="35" t="n">
        <v>0</v>
      </c>
      <c r="J82" s="35" t="n">
        <v>0</v>
      </c>
      <c r="K82" s="35" t="n">
        <v>0</v>
      </c>
      <c r="L82" s="35" t="n">
        <v>0</v>
      </c>
      <c r="M82" s="35" t="n">
        <v>1</v>
      </c>
      <c r="N82" s="35" t="n">
        <v>8</v>
      </c>
      <c r="O82" s="35" t="n">
        <v>14</v>
      </c>
      <c r="P82" s="28"/>
      <c r="Q82" s="35" t="s">
        <v>6342</v>
      </c>
      <c r="R82" s="35" t="n">
        <v>8</v>
      </c>
    </row>
    <row r="83" customFormat="false" ht="15" hidden="false" customHeight="false" outlineLevel="0" collapsed="false">
      <c r="A83" s="31" t="s">
        <v>6343</v>
      </c>
      <c r="B83" s="35" t="n">
        <v>0</v>
      </c>
      <c r="C83" s="35" t="n">
        <v>367</v>
      </c>
      <c r="D83" s="35" t="n">
        <v>0</v>
      </c>
      <c r="E83" s="35" t="n">
        <v>0</v>
      </c>
      <c r="F83" s="35" t="n">
        <v>0</v>
      </c>
      <c r="G83" s="35" t="n">
        <v>0</v>
      </c>
      <c r="H83" s="35" t="n">
        <v>0</v>
      </c>
      <c r="I83" s="35" t="n">
        <v>0</v>
      </c>
      <c r="J83" s="35" t="n">
        <v>0</v>
      </c>
      <c r="K83" s="35" t="n">
        <v>3</v>
      </c>
      <c r="L83" s="35" t="n">
        <v>0</v>
      </c>
      <c r="M83" s="35" t="n">
        <v>5</v>
      </c>
      <c r="N83" s="35" t="n">
        <v>9</v>
      </c>
      <c r="O83" s="35" t="n">
        <v>15</v>
      </c>
      <c r="P83" s="28"/>
      <c r="Q83" s="35" t="s">
        <v>6245</v>
      </c>
      <c r="R83" s="35" t="n">
        <v>5</v>
      </c>
    </row>
    <row r="84" customFormat="false" ht="15" hidden="false" customHeight="false" outlineLevel="0" collapsed="false">
      <c r="A84" s="31" t="s">
        <v>6344</v>
      </c>
      <c r="B84" s="35" t="n">
        <v>0</v>
      </c>
      <c r="C84" s="35" t="n">
        <v>1</v>
      </c>
      <c r="D84" s="35" t="n">
        <v>0</v>
      </c>
      <c r="E84" s="35" t="n">
        <v>0</v>
      </c>
      <c r="F84" s="35" t="n">
        <v>0</v>
      </c>
      <c r="G84" s="35" t="n">
        <v>0</v>
      </c>
      <c r="H84" s="35" t="n">
        <v>0</v>
      </c>
      <c r="I84" s="35" t="n">
        <v>0</v>
      </c>
      <c r="J84" s="35" t="n">
        <v>0</v>
      </c>
      <c r="K84" s="35" t="n">
        <v>1</v>
      </c>
      <c r="L84" s="35" t="n">
        <v>0</v>
      </c>
      <c r="M84" s="35" t="n">
        <v>1</v>
      </c>
      <c r="N84" s="35" t="n">
        <v>24</v>
      </c>
      <c r="O84" s="35" t="n">
        <v>24</v>
      </c>
      <c r="P84" s="28"/>
      <c r="Q84" s="35" t="s">
        <v>6345</v>
      </c>
      <c r="R84" s="35" t="n">
        <v>3</v>
      </c>
    </row>
    <row r="85" customFormat="false" ht="15" hidden="false" customHeight="false" outlineLevel="0" collapsed="false">
      <c r="A85" s="31" t="s">
        <v>5695</v>
      </c>
      <c r="B85" s="35" t="n">
        <v>0</v>
      </c>
      <c r="C85" s="35" t="n">
        <v>39</v>
      </c>
      <c r="D85" s="35" t="n">
        <v>0</v>
      </c>
      <c r="E85" s="35" t="n">
        <v>0</v>
      </c>
      <c r="F85" s="35" t="n">
        <v>0</v>
      </c>
      <c r="G85" s="35" t="n">
        <v>0</v>
      </c>
      <c r="H85" s="35" t="n">
        <v>0</v>
      </c>
      <c r="I85" s="35" t="n">
        <v>0</v>
      </c>
      <c r="J85" s="35" t="n">
        <v>0</v>
      </c>
      <c r="K85" s="35" t="n">
        <v>0</v>
      </c>
      <c r="L85" s="35" t="n">
        <v>0</v>
      </c>
      <c r="M85" s="35" t="n">
        <v>11</v>
      </c>
      <c r="N85" s="35" t="n">
        <v>8</v>
      </c>
      <c r="O85" s="35" t="n">
        <v>13</v>
      </c>
      <c r="P85" s="28"/>
      <c r="Q85" s="35" t="s">
        <v>6346</v>
      </c>
      <c r="R85" s="35" t="n">
        <v>6</v>
      </c>
    </row>
    <row r="86" customFormat="false" ht="15" hidden="false" customHeight="false" outlineLevel="0" collapsed="false">
      <c r="A86" s="31" t="s">
        <v>6347</v>
      </c>
      <c r="B86" s="35" t="n">
        <v>0</v>
      </c>
      <c r="C86" s="35" t="n">
        <v>8</v>
      </c>
      <c r="D86" s="35" t="n">
        <v>0</v>
      </c>
      <c r="E86" s="35" t="n">
        <v>0</v>
      </c>
      <c r="F86" s="35" t="n">
        <v>0</v>
      </c>
      <c r="G86" s="35" t="n">
        <v>0</v>
      </c>
      <c r="H86" s="35" t="n">
        <v>0</v>
      </c>
      <c r="I86" s="35" t="n">
        <v>0</v>
      </c>
      <c r="J86" s="35" t="n">
        <v>0</v>
      </c>
      <c r="K86" s="35" t="n">
        <v>0</v>
      </c>
      <c r="L86" s="35" t="n">
        <v>0</v>
      </c>
      <c r="M86" s="35" t="n">
        <v>1</v>
      </c>
      <c r="N86" s="35" t="n">
        <v>8</v>
      </c>
      <c r="O86" s="35" t="n">
        <v>9</v>
      </c>
      <c r="P86" s="28"/>
      <c r="Q86" s="35" t="s">
        <v>6348</v>
      </c>
      <c r="R86" s="35" t="n">
        <v>5</v>
      </c>
    </row>
    <row r="87" customFormat="false" ht="15" hidden="false" customHeight="false" outlineLevel="0" collapsed="false">
      <c r="A87" s="31" t="s">
        <v>5012</v>
      </c>
      <c r="B87" s="35" t="n">
        <v>0</v>
      </c>
      <c r="C87" s="35" t="n">
        <v>8</v>
      </c>
      <c r="D87" s="35" t="n">
        <v>0</v>
      </c>
      <c r="E87" s="35" t="n">
        <v>0</v>
      </c>
      <c r="F87" s="35" t="n">
        <v>0</v>
      </c>
      <c r="G87" s="35" t="n">
        <v>0</v>
      </c>
      <c r="H87" s="35" t="n">
        <v>0</v>
      </c>
      <c r="I87" s="35" t="n">
        <v>0</v>
      </c>
      <c r="J87" s="35" t="n">
        <v>0</v>
      </c>
      <c r="K87" s="35" t="n">
        <v>0</v>
      </c>
      <c r="L87" s="35" t="n">
        <v>0</v>
      </c>
      <c r="M87" s="35" t="n">
        <v>1</v>
      </c>
      <c r="N87" s="35" t="n">
        <v>9</v>
      </c>
      <c r="O87" s="35" t="n">
        <v>9</v>
      </c>
      <c r="P87" s="28"/>
      <c r="Q87" s="35" t="s">
        <v>6349</v>
      </c>
      <c r="R87" s="35" t="n">
        <v>11</v>
      </c>
    </row>
    <row r="88" customFormat="false" ht="15" hidden="false" customHeight="false" outlineLevel="0" collapsed="false">
      <c r="A88" s="31" t="s">
        <v>4626</v>
      </c>
      <c r="B88" s="35" t="n">
        <v>0</v>
      </c>
      <c r="C88" s="35" t="n">
        <v>0</v>
      </c>
      <c r="D88" s="35" t="n">
        <v>0</v>
      </c>
      <c r="E88" s="35" t="n">
        <v>0</v>
      </c>
      <c r="F88" s="35" t="n">
        <v>0</v>
      </c>
      <c r="G88" s="35" t="n">
        <v>0</v>
      </c>
      <c r="H88" s="35" t="n">
        <v>0</v>
      </c>
      <c r="I88" s="35" t="n">
        <v>0</v>
      </c>
      <c r="J88" s="35" t="n">
        <v>0</v>
      </c>
      <c r="K88" s="35" t="n">
        <v>0</v>
      </c>
      <c r="L88" s="35" t="n">
        <v>0</v>
      </c>
      <c r="M88" s="35" t="n">
        <v>1</v>
      </c>
      <c r="N88" s="35" t="n">
        <v>8</v>
      </c>
      <c r="O88" s="35" t="n">
        <v>13</v>
      </c>
      <c r="P88" s="28"/>
      <c r="Q88" s="35" t="s">
        <v>6350</v>
      </c>
      <c r="R88" s="35" t="n">
        <v>5</v>
      </c>
    </row>
    <row r="89" customFormat="false" ht="15" hidden="false" customHeight="false" outlineLevel="0" collapsed="false">
      <c r="A89" s="31" t="s">
        <v>6351</v>
      </c>
      <c r="B89" s="35" t="n">
        <v>0</v>
      </c>
      <c r="C89" s="35" t="n">
        <v>41</v>
      </c>
      <c r="D89" s="35" t="n">
        <v>0</v>
      </c>
      <c r="E89" s="35" t="n">
        <v>0</v>
      </c>
      <c r="F89" s="35" t="n">
        <v>0</v>
      </c>
      <c r="G89" s="35" t="n">
        <v>0</v>
      </c>
      <c r="H89" s="35" t="n">
        <v>0</v>
      </c>
      <c r="I89" s="35" t="n">
        <v>0</v>
      </c>
      <c r="J89" s="35" t="n">
        <v>0</v>
      </c>
      <c r="K89" s="35" t="n">
        <v>0</v>
      </c>
      <c r="L89" s="35" t="n">
        <v>0</v>
      </c>
      <c r="M89" s="35" t="n">
        <v>1</v>
      </c>
      <c r="N89" s="35" t="n">
        <v>21</v>
      </c>
      <c r="O89" s="35" t="n">
        <v>22</v>
      </c>
      <c r="P89" s="28"/>
      <c r="Q89" s="35" t="s">
        <v>6352</v>
      </c>
      <c r="R89" s="35" t="n">
        <v>6</v>
      </c>
    </row>
    <row r="90" customFormat="false" ht="15" hidden="false" customHeight="false" outlineLevel="0" collapsed="false">
      <c r="A90" s="31" t="s">
        <v>5089</v>
      </c>
      <c r="B90" s="35" t="n">
        <v>0</v>
      </c>
      <c r="C90" s="35" t="n">
        <v>0</v>
      </c>
      <c r="D90" s="35" t="n">
        <v>0</v>
      </c>
      <c r="E90" s="35" t="n">
        <v>0</v>
      </c>
      <c r="F90" s="35" t="n">
        <v>0</v>
      </c>
      <c r="G90" s="35" t="n">
        <v>0</v>
      </c>
      <c r="H90" s="35" t="n">
        <v>0</v>
      </c>
      <c r="I90" s="35" t="n">
        <v>0</v>
      </c>
      <c r="J90" s="35" t="n">
        <v>0</v>
      </c>
      <c r="K90" s="35" t="n">
        <v>0</v>
      </c>
      <c r="L90" s="35" t="n">
        <v>0</v>
      </c>
      <c r="M90" s="35" t="n">
        <v>1</v>
      </c>
      <c r="N90" s="35" t="n">
        <v>9</v>
      </c>
      <c r="O90" s="35" t="n">
        <v>27</v>
      </c>
      <c r="P90" s="28"/>
      <c r="Q90" s="35" t="s">
        <v>6353</v>
      </c>
      <c r="R90" s="35" t="n">
        <v>7</v>
      </c>
    </row>
    <row r="91" customFormat="false" ht="15" hidden="false" customHeight="false" outlineLevel="0" collapsed="false">
      <c r="A91" s="31" t="s">
        <v>5091</v>
      </c>
      <c r="B91" s="35" t="n">
        <v>0</v>
      </c>
      <c r="C91" s="35" t="n">
        <v>50</v>
      </c>
      <c r="D91" s="35" t="n">
        <v>0</v>
      </c>
      <c r="E91" s="35" t="n">
        <v>0</v>
      </c>
      <c r="F91" s="35" t="n">
        <v>0</v>
      </c>
      <c r="G91" s="35" t="n">
        <v>0</v>
      </c>
      <c r="H91" s="35" t="n">
        <v>0</v>
      </c>
      <c r="I91" s="35" t="n">
        <v>0</v>
      </c>
      <c r="J91" s="35" t="n">
        <v>0</v>
      </c>
      <c r="K91" s="35" t="n">
        <v>0</v>
      </c>
      <c r="L91" s="35" t="n">
        <v>0</v>
      </c>
      <c r="M91" s="35" t="n">
        <v>23</v>
      </c>
      <c r="N91" s="35" t="n">
        <v>8</v>
      </c>
      <c r="O91" s="35" t="n">
        <v>14</v>
      </c>
      <c r="P91" s="28"/>
      <c r="Q91" s="35" t="s">
        <v>6354</v>
      </c>
      <c r="R91" s="35" t="n">
        <v>4</v>
      </c>
    </row>
    <row r="92" customFormat="false" ht="15" hidden="false" customHeight="false" outlineLevel="0" collapsed="false">
      <c r="A92" s="31" t="s">
        <v>5117</v>
      </c>
      <c r="B92" s="35" t="n">
        <v>0</v>
      </c>
      <c r="C92" s="35" t="n">
        <v>9</v>
      </c>
      <c r="D92" s="35" t="n">
        <v>0</v>
      </c>
      <c r="E92" s="35" t="n">
        <v>0</v>
      </c>
      <c r="F92" s="35" t="n">
        <v>0</v>
      </c>
      <c r="G92" s="35" t="n">
        <v>0</v>
      </c>
      <c r="H92" s="35" t="n">
        <v>0</v>
      </c>
      <c r="I92" s="35" t="n">
        <v>0</v>
      </c>
      <c r="J92" s="35" t="n">
        <v>0</v>
      </c>
      <c r="K92" s="35" t="n">
        <v>1</v>
      </c>
      <c r="L92" s="35" t="n">
        <v>0</v>
      </c>
      <c r="M92" s="35" t="n">
        <v>3</v>
      </c>
      <c r="N92" s="35" t="n">
        <v>32</v>
      </c>
      <c r="O92" s="35" t="n">
        <v>48</v>
      </c>
      <c r="P92" s="28"/>
      <c r="Q92" s="35" t="s">
        <v>6355</v>
      </c>
      <c r="R92" s="35" t="n">
        <v>2</v>
      </c>
    </row>
    <row r="93" customFormat="false" ht="15" hidden="false" customHeight="false" outlineLevel="0" collapsed="false">
      <c r="A93" s="31" t="s">
        <v>6015</v>
      </c>
      <c r="B93" s="35" t="n">
        <v>0</v>
      </c>
      <c r="C93" s="35" t="n">
        <v>0</v>
      </c>
      <c r="D93" s="35" t="n">
        <v>0</v>
      </c>
      <c r="E93" s="35" t="n">
        <v>0</v>
      </c>
      <c r="F93" s="35" t="n">
        <v>0</v>
      </c>
      <c r="G93" s="35" t="n">
        <v>0</v>
      </c>
      <c r="H93" s="35" t="n">
        <v>0</v>
      </c>
      <c r="I93" s="35" t="n">
        <v>0</v>
      </c>
      <c r="J93" s="35" t="n">
        <v>0</v>
      </c>
      <c r="K93" s="35" t="n">
        <v>0</v>
      </c>
      <c r="L93" s="35" t="n">
        <v>0</v>
      </c>
      <c r="M93" s="35" t="n">
        <v>1</v>
      </c>
      <c r="N93" s="35" t="n">
        <v>14</v>
      </c>
      <c r="O93" s="35" t="n">
        <v>14</v>
      </c>
      <c r="P93" s="28"/>
      <c r="Q93" s="35" t="s">
        <v>6356</v>
      </c>
      <c r="R93" s="35" t="n">
        <v>9</v>
      </c>
    </row>
    <row r="94" customFormat="false" ht="15" hidden="false" customHeight="false" outlineLevel="0" collapsed="false">
      <c r="A94" s="31" t="s">
        <v>5133</v>
      </c>
      <c r="B94" s="35" t="n">
        <v>0</v>
      </c>
      <c r="C94" s="35" t="n">
        <v>3</v>
      </c>
      <c r="D94" s="35" t="n">
        <v>0</v>
      </c>
      <c r="E94" s="35" t="n">
        <v>0</v>
      </c>
      <c r="F94" s="35" t="n">
        <v>0</v>
      </c>
      <c r="G94" s="35" t="n">
        <v>0</v>
      </c>
      <c r="H94" s="35" t="n">
        <v>0</v>
      </c>
      <c r="I94" s="35" t="n">
        <v>0</v>
      </c>
      <c r="J94" s="35" t="n">
        <v>0</v>
      </c>
      <c r="K94" s="35" t="n">
        <v>1</v>
      </c>
      <c r="L94" s="35" t="n">
        <v>0</v>
      </c>
      <c r="M94" s="35" t="n">
        <v>1</v>
      </c>
      <c r="N94" s="35" t="n">
        <v>8</v>
      </c>
      <c r="O94" s="35" t="n">
        <v>14</v>
      </c>
      <c r="P94" s="28"/>
      <c r="Q94" s="35" t="s">
        <v>6357</v>
      </c>
      <c r="R94" s="35" t="n">
        <v>3</v>
      </c>
    </row>
    <row r="95" customFormat="false" ht="15" hidden="false" customHeight="false" outlineLevel="0" collapsed="false">
      <c r="A95" s="31" t="s">
        <v>6358</v>
      </c>
      <c r="B95" s="35" t="n">
        <v>0</v>
      </c>
      <c r="C95" s="35" t="n">
        <v>351</v>
      </c>
      <c r="D95" s="35" t="n">
        <v>0</v>
      </c>
      <c r="E95" s="35" t="n">
        <v>0</v>
      </c>
      <c r="F95" s="35" t="n">
        <v>0</v>
      </c>
      <c r="G95" s="35" t="n">
        <v>0</v>
      </c>
      <c r="H95" s="35" t="n">
        <v>0</v>
      </c>
      <c r="I95" s="35" t="n">
        <v>0</v>
      </c>
      <c r="J95" s="35" t="n">
        <v>0</v>
      </c>
      <c r="K95" s="35" t="n">
        <v>0</v>
      </c>
      <c r="L95" s="35" t="n">
        <v>0</v>
      </c>
      <c r="M95" s="35" t="n">
        <v>1</v>
      </c>
      <c r="N95" s="35" t="n">
        <v>9</v>
      </c>
      <c r="O95" s="35" t="n">
        <v>15</v>
      </c>
      <c r="P95" s="28"/>
      <c r="Q95" s="28"/>
      <c r="R95" s="28"/>
    </row>
    <row r="96" customFormat="false" ht="15" hidden="false" customHeight="false" outlineLevel="0" collapsed="false">
      <c r="A96" s="31" t="s">
        <v>5192</v>
      </c>
      <c r="B96" s="35" t="n">
        <v>0</v>
      </c>
      <c r="C96" s="35" t="n">
        <v>0</v>
      </c>
      <c r="D96" s="35" t="n">
        <v>0</v>
      </c>
      <c r="E96" s="35" t="n">
        <v>0</v>
      </c>
      <c r="F96" s="35" t="n">
        <v>0</v>
      </c>
      <c r="G96" s="35" t="n">
        <v>0</v>
      </c>
      <c r="H96" s="35" t="n">
        <v>0</v>
      </c>
      <c r="I96" s="35" t="n">
        <v>0</v>
      </c>
      <c r="J96" s="35" t="n">
        <v>0</v>
      </c>
      <c r="K96" s="35" t="n">
        <v>0</v>
      </c>
      <c r="L96" s="35" t="n">
        <v>0</v>
      </c>
      <c r="M96" s="35" t="n">
        <v>1</v>
      </c>
      <c r="N96" s="35" t="n">
        <v>10</v>
      </c>
      <c r="O96" s="35" t="n">
        <v>14</v>
      </c>
      <c r="P96" s="28"/>
      <c r="Q96" s="35" t="s">
        <v>6359</v>
      </c>
      <c r="R96" s="35" t="n">
        <v>4</v>
      </c>
    </row>
    <row r="97" customFormat="false" ht="15" hidden="false" customHeight="false" outlineLevel="0" collapsed="false">
      <c r="A97" s="31" t="s">
        <v>4654</v>
      </c>
      <c r="B97" s="35" t="n">
        <v>0</v>
      </c>
      <c r="C97" s="35" t="n">
        <v>2</v>
      </c>
      <c r="D97" s="35" t="n">
        <v>0</v>
      </c>
      <c r="E97" s="35" t="n">
        <v>0</v>
      </c>
      <c r="F97" s="35" t="n">
        <v>0</v>
      </c>
      <c r="G97" s="35" t="n">
        <v>0</v>
      </c>
      <c r="H97" s="35" t="n">
        <v>0</v>
      </c>
      <c r="I97" s="35" t="n">
        <v>0</v>
      </c>
      <c r="J97" s="35" t="n">
        <v>0</v>
      </c>
      <c r="K97" s="35" t="n">
        <v>0</v>
      </c>
      <c r="L97" s="35" t="n">
        <v>0</v>
      </c>
      <c r="M97" s="35" t="n">
        <v>2</v>
      </c>
      <c r="N97" s="35" t="n">
        <v>13</v>
      </c>
      <c r="O97" s="35" t="n">
        <v>13</v>
      </c>
      <c r="P97" s="28"/>
      <c r="Q97" s="35" t="s">
        <v>6360</v>
      </c>
      <c r="R97" s="35" t="n">
        <v>8</v>
      </c>
    </row>
    <row r="98" customFormat="false" ht="15" hidden="false" customHeight="false" outlineLevel="0" collapsed="false">
      <c r="A98" s="31" t="s">
        <v>4659</v>
      </c>
      <c r="B98" s="35" t="n">
        <v>0</v>
      </c>
      <c r="C98" s="35" t="n">
        <v>0</v>
      </c>
      <c r="D98" s="35" t="n">
        <v>0</v>
      </c>
      <c r="E98" s="35" t="n">
        <v>0</v>
      </c>
      <c r="F98" s="35" t="n">
        <v>0</v>
      </c>
      <c r="G98" s="35" t="n">
        <v>0</v>
      </c>
      <c r="H98" s="35" t="n">
        <v>0</v>
      </c>
      <c r="I98" s="35" t="n">
        <v>0</v>
      </c>
      <c r="J98" s="35" t="n">
        <v>0</v>
      </c>
      <c r="K98" s="35" t="n">
        <v>0</v>
      </c>
      <c r="L98" s="35" t="n">
        <v>0</v>
      </c>
      <c r="M98" s="35" t="n">
        <v>1</v>
      </c>
      <c r="N98" s="35" t="n">
        <v>16</v>
      </c>
      <c r="O98" s="35" t="n">
        <v>16</v>
      </c>
      <c r="P98" s="28"/>
      <c r="Q98" s="35" t="s">
        <v>6361</v>
      </c>
      <c r="R98" s="35" t="n">
        <v>4</v>
      </c>
    </row>
    <row r="99" customFormat="false" ht="15" hidden="false" customHeight="false" outlineLevel="0" collapsed="false">
      <c r="A99" s="31" t="s">
        <v>6362</v>
      </c>
      <c r="B99" s="35" t="n">
        <v>0</v>
      </c>
      <c r="C99" s="35" t="n">
        <v>0</v>
      </c>
      <c r="D99" s="35" t="n">
        <v>0</v>
      </c>
      <c r="E99" s="35" t="n">
        <v>0</v>
      </c>
      <c r="F99" s="35" t="n">
        <v>0</v>
      </c>
      <c r="G99" s="35" t="n">
        <v>0</v>
      </c>
      <c r="H99" s="35" t="n">
        <v>0</v>
      </c>
      <c r="I99" s="35" t="n">
        <v>0</v>
      </c>
      <c r="J99" s="35" t="n">
        <v>0</v>
      </c>
      <c r="K99" s="35" t="n">
        <v>1</v>
      </c>
      <c r="L99" s="35" t="n">
        <v>0</v>
      </c>
      <c r="M99" s="35" t="n">
        <v>1</v>
      </c>
      <c r="N99" s="35" t="n">
        <v>9</v>
      </c>
      <c r="O99" s="35" t="n">
        <v>9</v>
      </c>
      <c r="P99" s="28"/>
      <c r="Q99" s="35" t="s">
        <v>6247</v>
      </c>
      <c r="R99" s="35"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Y1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13"/>
    <col collapsed="false" customWidth="true" hidden="false" outlineLevel="0" max="2" min="2" style="0" width="74.25"/>
    <col collapsed="false" customWidth="true" hidden="false" outlineLevel="0" max="3" min="3" style="0" width="18.88"/>
    <col collapsed="false" customWidth="true" hidden="false" outlineLevel="0" max="4" min="4" style="0" width="23.25"/>
    <col collapsed="false" customWidth="true" hidden="false" outlineLevel="0" max="5" min="5" style="0" width="21.63"/>
    <col collapsed="false" customWidth="true" hidden="false" outlineLevel="0" max="6" min="6" style="0" width="23.38"/>
    <col collapsed="false" customWidth="true" hidden="false" outlineLevel="0" max="7" min="7" style="0" width="26.88"/>
    <col collapsed="false" customWidth="true" hidden="false" outlineLevel="0" max="9" min="9" style="0" width="39"/>
    <col collapsed="false" customWidth="true" hidden="false" outlineLevel="0" max="10" min="10" style="0" width="38.25"/>
    <col collapsed="false" customWidth="true" hidden="false" outlineLevel="0" max="11" min="11" style="0" width="59"/>
    <col collapsed="false" customWidth="true" hidden="false" outlineLevel="0" max="12" min="12" style="0" width="21"/>
    <col collapsed="false" customWidth="true" hidden="false" outlineLevel="0" max="13" min="13" style="0" width="59"/>
    <col collapsed="false" customWidth="true" hidden="false" outlineLevel="0" max="23" min="23" style="0" width="25.12"/>
    <col collapsed="false" customWidth="true" hidden="false" outlineLevel="0" max="24" min="24" style="0" width="59"/>
    <col collapsed="false" customWidth="true" hidden="false" outlineLevel="0" max="25" min="25" style="0" width="22"/>
  </cols>
  <sheetData>
    <row r="1" customFormat="false" ht="15" hidden="false" customHeight="false" outlineLevel="0" collapsed="false">
      <c r="A1" s="44"/>
      <c r="B1" s="44"/>
      <c r="C1" s="45"/>
      <c r="D1" s="45"/>
      <c r="E1" s="45"/>
      <c r="F1" s="45"/>
      <c r="G1" s="45"/>
      <c r="H1" s="46"/>
      <c r="I1" s="44"/>
      <c r="J1" s="25"/>
      <c r="K1" s="25"/>
      <c r="L1" s="25"/>
      <c r="W1" s="25"/>
      <c r="Y1" s="26" t="str">
        <f aca="false">HYPERLINK("#'Master Overview'!A1","&lt;&lt; Master Overview")</f>
        <v>&lt;&lt; Master Overview</v>
      </c>
    </row>
    <row r="2" customFormat="false" ht="15" hidden="false" customHeight="false" outlineLevel="0" collapsed="false">
      <c r="A2" s="44"/>
      <c r="B2" s="44"/>
      <c r="C2" s="45"/>
      <c r="D2" s="45"/>
      <c r="E2" s="45"/>
      <c r="F2" s="45"/>
      <c r="G2" s="45"/>
      <c r="H2" s="46"/>
      <c r="I2" s="44"/>
      <c r="J2" s="25"/>
      <c r="K2" s="25"/>
      <c r="L2" s="25"/>
      <c r="W2" s="25"/>
      <c r="Y2" s="2" t="s">
        <v>6363</v>
      </c>
    </row>
    <row r="3" customFormat="false" ht="15" hidden="false" customHeight="false" outlineLevel="0" collapsed="false">
      <c r="A3" s="44"/>
      <c r="B3" s="44"/>
      <c r="C3" s="45"/>
      <c r="D3" s="45"/>
      <c r="E3" s="45"/>
      <c r="F3" s="45"/>
      <c r="G3" s="45"/>
      <c r="H3" s="46"/>
      <c r="I3" s="44"/>
      <c r="J3" s="25"/>
      <c r="K3" s="25"/>
      <c r="L3" s="25"/>
      <c r="W3" s="25"/>
    </row>
    <row r="4" customFormat="false" ht="15" hidden="false" customHeight="false" outlineLevel="0" collapsed="false">
      <c r="A4" s="44"/>
      <c r="B4" s="44"/>
      <c r="C4" s="45"/>
      <c r="D4" s="45"/>
      <c r="E4" s="45"/>
      <c r="F4" s="45"/>
      <c r="G4" s="45"/>
      <c r="H4" s="46"/>
      <c r="I4" s="44"/>
      <c r="J4" s="25"/>
      <c r="K4" s="25"/>
      <c r="L4" s="25"/>
      <c r="W4" s="25"/>
    </row>
    <row r="5" customFormat="false" ht="15" hidden="false" customHeight="false" outlineLevel="0" collapsed="false">
      <c r="A5" s="44"/>
      <c r="B5" s="47" t="s">
        <v>6364</v>
      </c>
      <c r="C5" s="48" t="s">
        <v>6365</v>
      </c>
      <c r="D5" s="48" t="s">
        <v>6366</v>
      </c>
      <c r="E5" s="48" t="s">
        <v>6367</v>
      </c>
      <c r="F5" s="48" t="s">
        <v>6368</v>
      </c>
      <c r="G5" s="48" t="s">
        <v>6369</v>
      </c>
      <c r="H5" s="49" t="s">
        <v>6370</v>
      </c>
      <c r="I5" s="47" t="s">
        <v>6371</v>
      </c>
      <c r="J5" s="50" t="s">
        <v>6372</v>
      </c>
      <c r="K5" s="50" t="s">
        <v>6373</v>
      </c>
      <c r="L5" s="50" t="s">
        <v>6374</v>
      </c>
      <c r="W5" s="25" t="s">
        <v>6375</v>
      </c>
    </row>
    <row r="6" customFormat="false" ht="15" hidden="false" customHeight="false" outlineLevel="0" collapsed="false">
      <c r="A6" s="46"/>
      <c r="B6" s="49" t="s">
        <v>6376</v>
      </c>
      <c r="C6" s="48" t="n">
        <v>977</v>
      </c>
      <c r="D6" s="48" t="n">
        <v>2510</v>
      </c>
      <c r="E6" s="48" t="n">
        <f aca="false">C6-D6</f>
        <v>-1533</v>
      </c>
      <c r="F6" s="48" t="n">
        <v>27955</v>
      </c>
      <c r="G6" s="48" t="n">
        <v>44666</v>
      </c>
      <c r="H6" s="48" t="n">
        <f aca="false">F6-G6</f>
        <v>-16711</v>
      </c>
      <c r="I6" s="51"/>
      <c r="J6" s="51"/>
      <c r="K6" s="51"/>
      <c r="L6" s="51"/>
    </row>
    <row r="7" customFormat="false" ht="15" hidden="false" customHeight="false" outlineLevel="0" collapsed="false">
      <c r="A7" s="46"/>
      <c r="B7" s="49" t="s">
        <v>6377</v>
      </c>
      <c r="C7" s="48" t="n">
        <v>752</v>
      </c>
      <c r="D7" s="48" t="n">
        <v>290</v>
      </c>
      <c r="E7" s="48" t="n">
        <f aca="false">C7-D7</f>
        <v>462</v>
      </c>
      <c r="F7" s="48" t="n">
        <v>26191</v>
      </c>
      <c r="G7" s="48" t="n">
        <v>35458</v>
      </c>
      <c r="H7" s="48" t="n">
        <f aca="false">F7-G7</f>
        <v>-9267</v>
      </c>
      <c r="I7" s="51"/>
      <c r="J7" s="51"/>
      <c r="K7" s="51"/>
      <c r="L7" s="51"/>
    </row>
    <row r="8" customFormat="false" ht="15" hidden="false" customHeight="false" outlineLevel="0" collapsed="false">
      <c r="A8" s="46"/>
      <c r="B8" s="49" t="s">
        <v>6378</v>
      </c>
      <c r="C8" s="48" t="n">
        <v>709</v>
      </c>
      <c r="D8" s="48" t="n">
        <v>1994</v>
      </c>
      <c r="E8" s="48" t="n">
        <f aca="false">C8-D8</f>
        <v>-1285</v>
      </c>
      <c r="F8" s="48" t="n">
        <v>167018</v>
      </c>
      <c r="G8" s="48" t="n">
        <v>477697</v>
      </c>
      <c r="H8" s="48" t="n">
        <f aca="false">F8-G8</f>
        <v>-310679</v>
      </c>
      <c r="I8" s="51"/>
      <c r="J8" s="51"/>
      <c r="K8" s="51"/>
      <c r="L8" s="51"/>
    </row>
    <row r="9" customFormat="false" ht="15" hidden="false" customHeight="false" outlineLevel="0" collapsed="false">
      <c r="A9" s="46"/>
      <c r="B9" s="49" t="s">
        <v>6379</v>
      </c>
      <c r="C9" s="48" t="n">
        <v>696</v>
      </c>
      <c r="D9" s="48" t="n">
        <v>2496</v>
      </c>
      <c r="E9" s="48" t="n">
        <f aca="false">C9-D9</f>
        <v>-1800</v>
      </c>
      <c r="F9" s="48" t="n">
        <v>23805</v>
      </c>
      <c r="G9" s="48" t="n">
        <v>59927</v>
      </c>
      <c r="H9" s="48" t="n">
        <f aca="false">F9-G9</f>
        <v>-36122</v>
      </c>
      <c r="I9" s="51"/>
      <c r="J9" s="51"/>
      <c r="K9" s="51"/>
      <c r="L9" s="51"/>
    </row>
    <row r="10" customFormat="false" ht="15" hidden="false" customHeight="false" outlineLevel="0" collapsed="false">
      <c r="A10" s="46"/>
      <c r="B10" s="49" t="s">
        <v>6380</v>
      </c>
      <c r="C10" s="48" t="n">
        <v>639</v>
      </c>
      <c r="D10" s="48" t="n">
        <v>109</v>
      </c>
      <c r="E10" s="48" t="n">
        <f aca="false">C10-D10</f>
        <v>530</v>
      </c>
      <c r="F10" s="48" t="n">
        <v>325848</v>
      </c>
      <c r="G10" s="48" t="n">
        <v>211738</v>
      </c>
      <c r="H10" s="48" t="n">
        <f aca="false">F10-G10</f>
        <v>114110</v>
      </c>
      <c r="I10" s="51"/>
      <c r="J10" s="51"/>
      <c r="K10" s="51"/>
      <c r="L10" s="51"/>
    </row>
    <row r="11" customFormat="false" ht="15" hidden="false" customHeight="false" outlineLevel="0" collapsed="false">
      <c r="A11" s="46"/>
      <c r="B11" s="49" t="s">
        <v>6381</v>
      </c>
      <c r="C11" s="48" t="n">
        <v>445</v>
      </c>
      <c r="D11" s="48" t="n">
        <v>1473</v>
      </c>
      <c r="E11" s="48" t="n">
        <f aca="false">C11-D11</f>
        <v>-1028</v>
      </c>
      <c r="F11" s="48" t="n">
        <v>64868</v>
      </c>
      <c r="G11" s="48" t="n">
        <v>115536</v>
      </c>
      <c r="H11" s="48" t="n">
        <f aca="false">F11-G11</f>
        <v>-50668</v>
      </c>
      <c r="I11" s="51"/>
      <c r="J11" s="51"/>
      <c r="K11" s="51"/>
      <c r="L11" s="51"/>
    </row>
    <row r="12" customFormat="false" ht="15" hidden="false" customHeight="false" outlineLevel="0" collapsed="false">
      <c r="A12" s="46"/>
      <c r="B12" s="49" t="s">
        <v>6382</v>
      </c>
      <c r="C12" s="48" t="n">
        <v>362</v>
      </c>
      <c r="D12" s="48" t="n">
        <v>499</v>
      </c>
      <c r="E12" s="48" t="n">
        <f aca="false">C12-D12</f>
        <v>-137</v>
      </c>
      <c r="F12" s="48" t="n">
        <v>61390</v>
      </c>
      <c r="G12" s="48" t="n">
        <v>98671</v>
      </c>
      <c r="H12" s="48" t="n">
        <f aca="false">F12-G12</f>
        <v>-37281</v>
      </c>
      <c r="I12" s="51"/>
      <c r="J12" s="51"/>
      <c r="K12" s="51"/>
      <c r="L12" s="51"/>
    </row>
    <row r="13" customFormat="false" ht="15" hidden="false" customHeight="false" outlineLevel="0" collapsed="false">
      <c r="A13" s="46"/>
      <c r="B13" s="49" t="s">
        <v>6383</v>
      </c>
      <c r="C13" s="48" t="n">
        <v>356</v>
      </c>
      <c r="D13" s="48" t="n">
        <v>654</v>
      </c>
      <c r="E13" s="48" t="n">
        <f aca="false">C13-D13</f>
        <v>-298</v>
      </c>
      <c r="F13" s="48" t="n">
        <v>15246</v>
      </c>
      <c r="G13" s="48" t="n">
        <v>24307</v>
      </c>
      <c r="H13" s="48" t="n">
        <f aca="false">F13-G13</f>
        <v>-9061</v>
      </c>
      <c r="I13" s="51"/>
      <c r="J13" s="51"/>
      <c r="K13" s="51"/>
      <c r="L13" s="51"/>
    </row>
    <row r="14" customFormat="false" ht="15" hidden="false" customHeight="false" outlineLevel="0" collapsed="false">
      <c r="A14" s="46"/>
      <c r="B14" s="49" t="s">
        <v>6384</v>
      </c>
      <c r="C14" s="48" t="n">
        <v>344</v>
      </c>
      <c r="D14" s="48" t="n">
        <v>1186</v>
      </c>
      <c r="E14" s="48" t="n">
        <f aca="false">C14-D14</f>
        <v>-842</v>
      </c>
      <c r="F14" s="48" t="n">
        <v>51019</v>
      </c>
      <c r="G14" s="48" t="n">
        <v>152080</v>
      </c>
      <c r="H14" s="48" t="n">
        <f aca="false">F14-G14</f>
        <v>-101061</v>
      </c>
      <c r="I14" s="51"/>
      <c r="J14" s="51"/>
      <c r="K14" s="51"/>
      <c r="L14" s="51"/>
    </row>
    <row r="15" customFormat="false" ht="15" hidden="false" customHeight="false" outlineLevel="0" collapsed="false">
      <c r="A15" s="46"/>
      <c r="B15" s="49" t="s">
        <v>6385</v>
      </c>
      <c r="C15" s="48" t="n">
        <v>342</v>
      </c>
      <c r="D15" s="48" t="n">
        <v>722</v>
      </c>
      <c r="E15" s="48" t="n">
        <f aca="false">C15-D15</f>
        <v>-380</v>
      </c>
      <c r="F15" s="48" t="n">
        <v>7666</v>
      </c>
      <c r="G15" s="48" t="n">
        <v>14046</v>
      </c>
      <c r="H15" s="48" t="n">
        <f aca="false">F15-G15</f>
        <v>-6380</v>
      </c>
      <c r="I15" s="51"/>
      <c r="J15" s="51"/>
      <c r="K15" s="51"/>
      <c r="L15" s="51"/>
    </row>
    <row r="16" customFormat="false" ht="15" hidden="false" customHeight="false" outlineLevel="0" collapsed="false">
      <c r="A16" s="46"/>
      <c r="B16" s="49" t="s">
        <v>6386</v>
      </c>
      <c r="C16" s="48" t="n">
        <v>341</v>
      </c>
      <c r="D16" s="48" t="n">
        <v>573</v>
      </c>
      <c r="E16" s="48" t="n">
        <f aca="false">C16-D16</f>
        <v>-232</v>
      </c>
      <c r="F16" s="48" t="n">
        <v>26144</v>
      </c>
      <c r="G16" s="48" t="n">
        <v>36159</v>
      </c>
      <c r="H16" s="48" t="n">
        <f aca="false">F16-G16</f>
        <v>-10015</v>
      </c>
      <c r="I16" s="51"/>
      <c r="J16" s="51"/>
      <c r="K16" s="51"/>
      <c r="L16" s="51"/>
    </row>
    <row r="17" customFormat="false" ht="15" hidden="false" customHeight="false" outlineLevel="0" collapsed="false">
      <c r="A17" s="46"/>
      <c r="B17" s="49" t="s">
        <v>6387</v>
      </c>
      <c r="C17" s="48" t="n">
        <v>309</v>
      </c>
      <c r="D17" s="48" t="n">
        <v>230</v>
      </c>
      <c r="E17" s="48" t="n">
        <f aca="false">C17-D17</f>
        <v>79</v>
      </c>
      <c r="F17" s="48" t="n">
        <v>92678</v>
      </c>
      <c r="G17" s="48" t="n">
        <v>99182</v>
      </c>
      <c r="H17" s="48" t="n">
        <f aca="false">F17-G17</f>
        <v>-6504</v>
      </c>
      <c r="I17" s="51"/>
      <c r="J17" s="51"/>
      <c r="K17" s="51"/>
      <c r="L17" s="51"/>
    </row>
    <row r="18" customFormat="false" ht="15" hidden="false" customHeight="false" outlineLevel="0" collapsed="false">
      <c r="A18" s="46"/>
      <c r="B18" s="49" t="s">
        <v>6388</v>
      </c>
      <c r="C18" s="48" t="n">
        <v>306</v>
      </c>
      <c r="D18" s="48" t="n">
        <v>952</v>
      </c>
      <c r="E18" s="48" t="n">
        <f aca="false">C18-D18</f>
        <v>-646</v>
      </c>
      <c r="F18" s="48" t="n">
        <v>34527</v>
      </c>
      <c r="G18" s="48" t="n">
        <v>66682</v>
      </c>
      <c r="H18" s="48" t="n">
        <f aca="false">F18-G18</f>
        <v>-32155</v>
      </c>
      <c r="I18" s="51"/>
      <c r="J18" s="51"/>
      <c r="K18" s="51"/>
      <c r="L18" s="51"/>
    </row>
    <row r="19" customFormat="false" ht="15" hidden="false" customHeight="false" outlineLevel="0" collapsed="false">
      <c r="A19" s="46"/>
      <c r="B19" s="49" t="s">
        <v>6389</v>
      </c>
      <c r="C19" s="48" t="n">
        <v>295</v>
      </c>
      <c r="D19" s="48" t="n">
        <v>1187</v>
      </c>
      <c r="E19" s="48" t="n">
        <f aca="false">C19-D19</f>
        <v>-892</v>
      </c>
      <c r="F19" s="48" t="n">
        <v>61596</v>
      </c>
      <c r="G19" s="48" t="n">
        <v>121993</v>
      </c>
      <c r="H19" s="48" t="n">
        <f aca="false">F19-G19</f>
        <v>-60397</v>
      </c>
      <c r="I19" s="51"/>
      <c r="J19" s="51"/>
      <c r="K19" s="51"/>
      <c r="L19" s="51"/>
    </row>
    <row r="20" customFormat="false" ht="15" hidden="false" customHeight="false" outlineLevel="0" collapsed="false">
      <c r="A20" s="46"/>
      <c r="B20" s="49" t="s">
        <v>6390</v>
      </c>
      <c r="C20" s="48" t="n">
        <v>291</v>
      </c>
      <c r="D20" s="48" t="n">
        <v>1075</v>
      </c>
      <c r="E20" s="48" t="n">
        <f aca="false">C20-D20</f>
        <v>-784</v>
      </c>
      <c r="F20" s="48" t="n">
        <v>12412</v>
      </c>
      <c r="G20" s="48" t="n">
        <v>19460</v>
      </c>
      <c r="H20" s="48" t="n">
        <f aca="false">F20-G20</f>
        <v>-7048</v>
      </c>
      <c r="I20" s="51"/>
      <c r="J20" s="51"/>
      <c r="K20" s="51"/>
      <c r="L20" s="51"/>
    </row>
    <row r="21" customFormat="false" ht="15" hidden="false" customHeight="false" outlineLevel="0" collapsed="false">
      <c r="A21" s="46"/>
      <c r="B21" s="49" t="s">
        <v>6391</v>
      </c>
      <c r="C21" s="48" t="n">
        <v>210</v>
      </c>
      <c r="D21" s="48" t="n">
        <v>517</v>
      </c>
      <c r="E21" s="48" t="n">
        <f aca="false">C21-D21</f>
        <v>-307</v>
      </c>
      <c r="F21" s="48" t="n">
        <v>16401</v>
      </c>
      <c r="G21" s="48" t="n">
        <v>34095</v>
      </c>
      <c r="H21" s="48" t="n">
        <f aca="false">F21-G21</f>
        <v>-17694</v>
      </c>
      <c r="I21" s="51"/>
      <c r="J21" s="51"/>
      <c r="K21" s="51"/>
      <c r="L21" s="51"/>
    </row>
    <row r="22" customFormat="false" ht="15" hidden="false" customHeight="false" outlineLevel="0" collapsed="false">
      <c r="A22" s="46"/>
      <c r="B22" s="49" t="s">
        <v>6392</v>
      </c>
      <c r="C22" s="48" t="n">
        <v>208</v>
      </c>
      <c r="D22" s="48" t="n">
        <v>91</v>
      </c>
      <c r="E22" s="48" t="n">
        <f aca="false">C22-D22</f>
        <v>117</v>
      </c>
      <c r="F22" s="48" t="n">
        <v>23801</v>
      </c>
      <c r="G22" s="48" t="n">
        <v>23533</v>
      </c>
      <c r="H22" s="48" t="n">
        <f aca="false">F22-G22</f>
        <v>268</v>
      </c>
      <c r="I22" s="51"/>
      <c r="J22" s="51"/>
      <c r="K22" s="51"/>
      <c r="L22" s="51"/>
    </row>
    <row r="23" customFormat="false" ht="15" hidden="false" customHeight="false" outlineLevel="0" collapsed="false">
      <c r="A23" s="46"/>
      <c r="B23" s="49" t="s">
        <v>6393</v>
      </c>
      <c r="C23" s="48" t="n">
        <v>182</v>
      </c>
      <c r="D23" s="48" t="n">
        <v>492</v>
      </c>
      <c r="E23" s="48" t="n">
        <f aca="false">C23-D23</f>
        <v>-310</v>
      </c>
      <c r="F23" s="48" t="n">
        <v>255383</v>
      </c>
      <c r="G23" s="48" t="n">
        <v>581555</v>
      </c>
      <c r="H23" s="48" t="n">
        <f aca="false">F23-G23</f>
        <v>-326172</v>
      </c>
      <c r="I23" s="51"/>
      <c r="J23" s="51"/>
      <c r="K23" s="51"/>
      <c r="L23" s="51"/>
    </row>
    <row r="24" customFormat="false" ht="15" hidden="false" customHeight="false" outlineLevel="0" collapsed="false">
      <c r="A24" s="52"/>
      <c r="B24" s="51"/>
      <c r="C24" s="51" t="n">
        <v>182</v>
      </c>
      <c r="D24" s="51" t="n">
        <v>15</v>
      </c>
      <c r="E24" s="51"/>
      <c r="F24" s="51" t="n">
        <v>5993</v>
      </c>
      <c r="G24" s="51" t="n">
        <v>756</v>
      </c>
      <c r="H24" s="51"/>
      <c r="I24" s="51"/>
      <c r="J24" s="51"/>
      <c r="K24" s="51"/>
      <c r="L24" s="51"/>
    </row>
    <row r="25" customFormat="false" ht="15" hidden="false" customHeight="false" outlineLevel="0" collapsed="false">
      <c r="A25" s="52"/>
      <c r="B25" s="51"/>
      <c r="C25" s="51" t="n">
        <v>173</v>
      </c>
      <c r="D25" s="51" t="n">
        <v>157</v>
      </c>
      <c r="E25" s="51"/>
      <c r="F25" s="51" t="n">
        <v>54897</v>
      </c>
      <c r="G25" s="51" t="n">
        <v>47258</v>
      </c>
      <c r="H25" s="51"/>
      <c r="I25" s="51"/>
      <c r="J25" s="51"/>
      <c r="K25" s="51"/>
      <c r="L25" s="51"/>
    </row>
    <row r="26" customFormat="false" ht="15" hidden="false" customHeight="false" outlineLevel="0" collapsed="false">
      <c r="A26" s="46"/>
      <c r="B26" s="49" t="s">
        <v>6394</v>
      </c>
      <c r="C26" s="48" t="n">
        <v>157</v>
      </c>
      <c r="D26" s="48" t="n">
        <v>332</v>
      </c>
      <c r="E26" s="48" t="n">
        <f aca="false">C26-D26</f>
        <v>-175</v>
      </c>
      <c r="F26" s="48" t="n">
        <v>11378</v>
      </c>
      <c r="G26" s="48" t="n">
        <v>26984</v>
      </c>
      <c r="H26" s="48" t="n">
        <f aca="false">F26-G26</f>
        <v>-15606</v>
      </c>
      <c r="I26" s="51"/>
      <c r="J26" s="51"/>
      <c r="K26" s="51"/>
      <c r="L26" s="51"/>
    </row>
    <row r="27" customFormat="false" ht="15" hidden="false" customHeight="false" outlineLevel="0" collapsed="false">
      <c r="A27" s="46"/>
      <c r="B27" s="49" t="s">
        <v>6395</v>
      </c>
      <c r="C27" s="48" t="n">
        <v>156</v>
      </c>
      <c r="D27" s="48" t="n">
        <v>0</v>
      </c>
      <c r="E27" s="48" t="n">
        <f aca="false">C27-D27</f>
        <v>156</v>
      </c>
      <c r="F27" s="48" t="n">
        <v>10011</v>
      </c>
      <c r="G27" s="48" t="n">
        <v>0</v>
      </c>
      <c r="H27" s="48" t="n">
        <f aca="false">F27-G27</f>
        <v>10011</v>
      </c>
      <c r="I27" s="51"/>
      <c r="J27" s="51"/>
      <c r="K27" s="51"/>
      <c r="L27" s="51"/>
    </row>
    <row r="28" customFormat="false" ht="15" hidden="false" customHeight="false" outlineLevel="0" collapsed="false">
      <c r="A28" s="46"/>
      <c r="B28" s="49" t="s">
        <v>6396</v>
      </c>
      <c r="C28" s="48" t="n">
        <v>146</v>
      </c>
      <c r="D28" s="48" t="n">
        <v>180</v>
      </c>
      <c r="E28" s="48" t="n">
        <f aca="false">C28-D28</f>
        <v>-34</v>
      </c>
      <c r="F28" s="48" t="n">
        <v>90524</v>
      </c>
      <c r="G28" s="48" t="n">
        <v>169188</v>
      </c>
      <c r="H28" s="48" t="n">
        <f aca="false">F28-G28</f>
        <v>-78664</v>
      </c>
      <c r="I28" s="51"/>
      <c r="J28" s="51"/>
      <c r="K28" s="51"/>
      <c r="L28" s="51"/>
    </row>
    <row r="29" customFormat="false" ht="15" hidden="false" customHeight="false" outlineLevel="0" collapsed="false">
      <c r="A29" s="46"/>
      <c r="B29" s="49" t="s">
        <v>6397</v>
      </c>
      <c r="C29" s="48" t="n">
        <v>138</v>
      </c>
      <c r="D29" s="48" t="n">
        <v>246</v>
      </c>
      <c r="E29" s="48" t="n">
        <f aca="false">C29-D29</f>
        <v>-108</v>
      </c>
      <c r="F29" s="48" t="n">
        <v>12829</v>
      </c>
      <c r="G29" s="48" t="n">
        <v>23385</v>
      </c>
      <c r="H29" s="48" t="n">
        <f aca="false">F29-G29</f>
        <v>-10556</v>
      </c>
      <c r="I29" s="51"/>
      <c r="J29" s="51"/>
      <c r="K29" s="51"/>
      <c r="L29" s="51"/>
    </row>
    <row r="30" customFormat="false" ht="15" hidden="false" customHeight="false" outlineLevel="0" collapsed="false">
      <c r="A30" s="46"/>
      <c r="B30" s="49" t="s">
        <v>6398</v>
      </c>
      <c r="C30" s="48" t="n">
        <v>124</v>
      </c>
      <c r="D30" s="48" t="n">
        <v>338</v>
      </c>
      <c r="E30" s="48" t="n">
        <f aca="false">C30-D30</f>
        <v>-214</v>
      </c>
      <c r="F30" s="48" t="n">
        <v>11856</v>
      </c>
      <c r="G30" s="48" t="n">
        <v>24648</v>
      </c>
      <c r="H30" s="48" t="n">
        <f aca="false">F30-G30</f>
        <v>-12792</v>
      </c>
      <c r="I30" s="51"/>
      <c r="J30" s="51"/>
      <c r="K30" s="51"/>
      <c r="L30" s="51"/>
    </row>
    <row r="31" customFormat="false" ht="15" hidden="false" customHeight="false" outlineLevel="0" collapsed="false">
      <c r="A31" s="46"/>
      <c r="B31" s="49" t="s">
        <v>6399</v>
      </c>
      <c r="C31" s="48" t="n">
        <v>121</v>
      </c>
      <c r="D31" s="48" t="n">
        <v>248</v>
      </c>
      <c r="E31" s="48" t="n">
        <f aca="false">C31-D31</f>
        <v>-127</v>
      </c>
      <c r="F31" s="48" t="n">
        <v>77675</v>
      </c>
      <c r="G31" s="48" t="n">
        <v>189501</v>
      </c>
      <c r="H31" s="48" t="n">
        <f aca="false">F31-G31</f>
        <v>-111826</v>
      </c>
      <c r="I31" s="51"/>
      <c r="J31" s="51"/>
      <c r="K31" s="51"/>
      <c r="L31" s="51"/>
    </row>
    <row r="32" customFormat="false" ht="15" hidden="false" customHeight="false" outlineLevel="0" collapsed="false">
      <c r="A32" s="52"/>
      <c r="B32" s="51"/>
      <c r="C32" s="51" t="n">
        <v>119</v>
      </c>
      <c r="D32" s="51" t="n">
        <v>17</v>
      </c>
      <c r="E32" s="51"/>
      <c r="F32" s="51" t="n">
        <v>19922</v>
      </c>
      <c r="G32" s="51" t="n">
        <v>3203</v>
      </c>
      <c r="H32" s="51"/>
      <c r="I32" s="51"/>
      <c r="J32" s="51"/>
      <c r="K32" s="51"/>
      <c r="L32" s="51"/>
    </row>
    <row r="33" customFormat="false" ht="15" hidden="false" customHeight="false" outlineLevel="0" collapsed="false">
      <c r="A33" s="52"/>
      <c r="B33" s="51"/>
      <c r="C33" s="51" t="n">
        <v>113</v>
      </c>
      <c r="D33" s="51" t="n">
        <v>16</v>
      </c>
      <c r="E33" s="51"/>
      <c r="F33" s="51" t="n">
        <v>28891</v>
      </c>
      <c r="G33" s="51" t="n">
        <v>5293</v>
      </c>
      <c r="H33" s="51"/>
      <c r="I33" s="51"/>
      <c r="J33" s="51"/>
      <c r="K33" s="51"/>
      <c r="L33" s="51"/>
    </row>
    <row r="34" customFormat="false" ht="15" hidden="false" customHeight="false" outlineLevel="0" collapsed="false">
      <c r="A34" s="46"/>
      <c r="B34" s="49" t="s">
        <v>6400</v>
      </c>
      <c r="C34" s="48" t="n">
        <v>111</v>
      </c>
      <c r="D34" s="48" t="n">
        <v>153</v>
      </c>
      <c r="E34" s="48" t="n">
        <f aca="false">C34-D34</f>
        <v>-42</v>
      </c>
      <c r="F34" s="48" t="n">
        <v>19449</v>
      </c>
      <c r="G34" s="48" t="n">
        <v>36991</v>
      </c>
      <c r="H34" s="48" t="n">
        <f aca="false">F34-G34</f>
        <v>-17542</v>
      </c>
      <c r="I34" s="51"/>
      <c r="J34" s="51"/>
      <c r="K34" s="51"/>
      <c r="L34" s="51"/>
    </row>
    <row r="35" customFormat="false" ht="15" hidden="false" customHeight="false" outlineLevel="0" collapsed="false">
      <c r="A35" s="46"/>
      <c r="B35" s="49" t="s">
        <v>6401</v>
      </c>
      <c r="C35" s="48" t="n">
        <v>111</v>
      </c>
      <c r="D35" s="48" t="n">
        <v>420</v>
      </c>
      <c r="E35" s="48" t="n">
        <f aca="false">C35-D35</f>
        <v>-309</v>
      </c>
      <c r="F35" s="48" t="n">
        <v>5634</v>
      </c>
      <c r="G35" s="48" t="n">
        <v>14592</v>
      </c>
      <c r="H35" s="48" t="n">
        <f aca="false">F35-G35</f>
        <v>-8958</v>
      </c>
      <c r="I35" s="51"/>
      <c r="J35" s="51"/>
      <c r="K35" s="51"/>
      <c r="L35" s="51"/>
    </row>
    <row r="36" customFormat="false" ht="15" hidden="false" customHeight="false" outlineLevel="0" collapsed="false">
      <c r="A36" s="46"/>
      <c r="B36" s="49" t="s">
        <v>6402</v>
      </c>
      <c r="C36" s="48" t="n">
        <v>110</v>
      </c>
      <c r="D36" s="48" t="n">
        <v>1071</v>
      </c>
      <c r="E36" s="48" t="n">
        <f aca="false">C36-D36</f>
        <v>-961</v>
      </c>
      <c r="F36" s="48" t="n">
        <v>11129</v>
      </c>
      <c r="G36" s="48" t="n">
        <v>38585</v>
      </c>
      <c r="H36" s="48" t="n">
        <f aca="false">F36-G36</f>
        <v>-27456</v>
      </c>
      <c r="I36" s="51"/>
      <c r="J36" s="51"/>
      <c r="K36" s="51"/>
      <c r="L36" s="51"/>
    </row>
    <row r="37" customFormat="false" ht="15" hidden="false" customHeight="false" outlineLevel="0" collapsed="false">
      <c r="A37" s="52"/>
      <c r="B37" s="51"/>
      <c r="C37" s="51" t="n">
        <v>109</v>
      </c>
      <c r="D37" s="51" t="n">
        <v>12</v>
      </c>
      <c r="E37" s="51"/>
      <c r="F37" s="51" t="n">
        <v>4657</v>
      </c>
      <c r="G37" s="51" t="n">
        <v>378</v>
      </c>
      <c r="H37" s="51"/>
      <c r="I37" s="51"/>
      <c r="J37" s="51"/>
      <c r="K37" s="51"/>
      <c r="L37" s="51"/>
    </row>
    <row r="38" customFormat="false" ht="15" hidden="false" customHeight="false" outlineLevel="0" collapsed="false">
      <c r="A38" s="46"/>
      <c r="B38" s="49" t="s">
        <v>6403</v>
      </c>
      <c r="C38" s="48" t="n">
        <v>104</v>
      </c>
      <c r="D38" s="48" t="n">
        <v>434</v>
      </c>
      <c r="E38" s="48" t="n">
        <f aca="false">C38-D38</f>
        <v>-330</v>
      </c>
      <c r="F38" s="48" t="n">
        <v>5003</v>
      </c>
      <c r="G38" s="48" t="n">
        <v>11701</v>
      </c>
      <c r="H38" s="48" t="n">
        <f aca="false">F38-G38</f>
        <v>-6698</v>
      </c>
      <c r="I38" s="51"/>
      <c r="J38" s="51"/>
      <c r="K38" s="51"/>
      <c r="L38" s="51"/>
    </row>
    <row r="39" customFormat="false" ht="15" hidden="false" customHeight="false" outlineLevel="0" collapsed="false">
      <c r="A39" s="52"/>
      <c r="B39" s="51"/>
      <c r="C39" s="51" t="n">
        <v>103</v>
      </c>
      <c r="D39" s="51" t="n">
        <v>5</v>
      </c>
      <c r="E39" s="51"/>
      <c r="F39" s="51" t="n">
        <v>56369</v>
      </c>
      <c r="G39" s="51" t="n">
        <v>11288</v>
      </c>
      <c r="H39" s="51"/>
      <c r="I39" s="51"/>
      <c r="J39" s="51"/>
      <c r="K39" s="51"/>
      <c r="L39" s="51"/>
    </row>
    <row r="40" customFormat="false" ht="15" hidden="false" customHeight="false" outlineLevel="0" collapsed="false">
      <c r="A40" s="46"/>
      <c r="B40" s="49" t="s">
        <v>6404</v>
      </c>
      <c r="C40" s="48" t="n">
        <v>103</v>
      </c>
      <c r="D40" s="48" t="n">
        <v>481</v>
      </c>
      <c r="E40" s="48" t="n">
        <f aca="false">C40-D40</f>
        <v>-378</v>
      </c>
      <c r="F40" s="48" t="n">
        <v>4494</v>
      </c>
      <c r="G40" s="48" t="n">
        <v>10069</v>
      </c>
      <c r="H40" s="48" t="n">
        <f aca="false">F40-G40</f>
        <v>-5575</v>
      </c>
      <c r="I40" s="51"/>
      <c r="J40" s="51"/>
      <c r="K40" s="51"/>
      <c r="L40" s="51"/>
    </row>
    <row r="41" customFormat="false" ht="15" hidden="false" customHeight="false" outlineLevel="0" collapsed="false">
      <c r="A41" s="52"/>
      <c r="B41" s="51"/>
      <c r="C41" s="51" t="n">
        <v>99</v>
      </c>
      <c r="D41" s="51" t="n">
        <v>46</v>
      </c>
      <c r="E41" s="51"/>
      <c r="F41" s="51" t="n">
        <v>58733</v>
      </c>
      <c r="G41" s="51" t="n">
        <v>38342</v>
      </c>
      <c r="H41" s="51"/>
      <c r="I41" s="51"/>
      <c r="J41" s="51"/>
      <c r="K41" s="51"/>
      <c r="L41" s="51"/>
    </row>
    <row r="42" customFormat="false" ht="15" hidden="false" customHeight="false" outlineLevel="0" collapsed="false">
      <c r="A42" s="52"/>
      <c r="B42" s="51"/>
      <c r="C42" s="51" t="n">
        <v>92</v>
      </c>
      <c r="D42" s="51" t="n">
        <v>21</v>
      </c>
      <c r="E42" s="51"/>
      <c r="F42" s="51" t="n">
        <v>13108</v>
      </c>
      <c r="G42" s="51" t="n">
        <v>1865</v>
      </c>
      <c r="H42" s="51"/>
      <c r="I42" s="51"/>
      <c r="J42" s="51"/>
      <c r="K42" s="51"/>
      <c r="L42" s="51"/>
    </row>
    <row r="43" customFormat="false" ht="15" hidden="false" customHeight="false" outlineLevel="0" collapsed="false">
      <c r="A43" s="52"/>
      <c r="B43" s="51"/>
      <c r="C43" s="51" t="n">
        <v>88</v>
      </c>
      <c r="D43" s="51" t="n">
        <v>0</v>
      </c>
      <c r="E43" s="51"/>
      <c r="F43" s="51" t="n">
        <v>1734</v>
      </c>
      <c r="G43" s="51" t="n">
        <v>0</v>
      </c>
      <c r="H43" s="51"/>
      <c r="I43" s="51"/>
      <c r="J43" s="51"/>
      <c r="K43" s="51"/>
      <c r="L43" s="51"/>
    </row>
    <row r="44" customFormat="false" ht="15" hidden="false" customHeight="false" outlineLevel="0" collapsed="false">
      <c r="A44" s="46"/>
      <c r="B44" s="49" t="s">
        <v>6405</v>
      </c>
      <c r="C44" s="48" t="n">
        <v>87</v>
      </c>
      <c r="D44" s="48" t="n">
        <v>150</v>
      </c>
      <c r="E44" s="48" t="n">
        <f aca="false">C44-D44</f>
        <v>-63</v>
      </c>
      <c r="F44" s="48" t="n">
        <v>103058</v>
      </c>
      <c r="G44" s="48" t="n">
        <v>107529</v>
      </c>
      <c r="H44" s="48" t="n">
        <f aca="false">F44-G44</f>
        <v>-4471</v>
      </c>
      <c r="I44" s="51"/>
      <c r="J44" s="51"/>
      <c r="K44" s="51"/>
      <c r="L44" s="51"/>
    </row>
    <row r="45" customFormat="false" ht="15" hidden="false" customHeight="false" outlineLevel="0" collapsed="false">
      <c r="A45" s="46"/>
      <c r="B45" s="49" t="s">
        <v>6406</v>
      </c>
      <c r="C45" s="48" t="n">
        <v>86</v>
      </c>
      <c r="D45" s="48" t="n">
        <v>722</v>
      </c>
      <c r="E45" s="48" t="n">
        <f aca="false">C45-D45</f>
        <v>-636</v>
      </c>
      <c r="F45" s="48" t="n">
        <v>27222</v>
      </c>
      <c r="G45" s="48" t="n">
        <v>74658</v>
      </c>
      <c r="H45" s="48" t="n">
        <f aca="false">F45-G45</f>
        <v>-47436</v>
      </c>
      <c r="I45" s="51"/>
      <c r="J45" s="51"/>
      <c r="K45" s="51"/>
      <c r="L45" s="51"/>
    </row>
    <row r="46" customFormat="false" ht="15" hidden="false" customHeight="false" outlineLevel="0" collapsed="false">
      <c r="A46" s="46"/>
      <c r="B46" s="49" t="s">
        <v>6407</v>
      </c>
      <c r="C46" s="48" t="n">
        <v>86</v>
      </c>
      <c r="D46" s="48" t="n">
        <v>1746</v>
      </c>
      <c r="E46" s="48" t="n">
        <f aca="false">C46-D46</f>
        <v>-1660</v>
      </c>
      <c r="F46" s="48" t="n">
        <v>9386</v>
      </c>
      <c r="G46" s="48" t="n">
        <v>50227</v>
      </c>
      <c r="H46" s="48" t="n">
        <f aca="false">F46-G46</f>
        <v>-40841</v>
      </c>
      <c r="I46" s="51"/>
      <c r="J46" s="51"/>
      <c r="K46" s="51"/>
      <c r="L46" s="51"/>
    </row>
    <row r="47" customFormat="false" ht="15" hidden="false" customHeight="false" outlineLevel="0" collapsed="false">
      <c r="A47" s="52"/>
      <c r="B47" s="51"/>
      <c r="C47" s="51" t="n">
        <v>85</v>
      </c>
      <c r="D47" s="51" t="n">
        <v>0</v>
      </c>
      <c r="E47" s="51"/>
      <c r="F47" s="51" t="n">
        <v>3089</v>
      </c>
      <c r="G47" s="51" t="n">
        <v>0</v>
      </c>
      <c r="H47" s="51"/>
      <c r="I47" s="51"/>
      <c r="J47" s="51"/>
      <c r="K47" s="51"/>
      <c r="L47" s="51"/>
    </row>
    <row r="48" customFormat="false" ht="15" hidden="false" customHeight="false" outlineLevel="0" collapsed="false">
      <c r="A48" s="52"/>
      <c r="B48" s="51"/>
      <c r="C48" s="51" t="n">
        <v>82</v>
      </c>
      <c r="D48" s="51" t="n">
        <v>21</v>
      </c>
      <c r="E48" s="51"/>
      <c r="F48" s="51" t="n">
        <v>15590</v>
      </c>
      <c r="G48" s="51" t="n">
        <v>5877</v>
      </c>
      <c r="H48" s="51"/>
      <c r="I48" s="51"/>
      <c r="J48" s="51"/>
      <c r="K48" s="51"/>
      <c r="L48" s="51"/>
    </row>
    <row r="49" customFormat="false" ht="15" hidden="false" customHeight="false" outlineLevel="0" collapsed="false">
      <c r="A49" s="52"/>
      <c r="B49" s="51"/>
      <c r="C49" s="51" t="n">
        <v>80</v>
      </c>
      <c r="D49" s="51" t="n">
        <v>18</v>
      </c>
      <c r="E49" s="51"/>
      <c r="F49" s="51" t="n">
        <v>32279</v>
      </c>
      <c r="G49" s="51" t="n">
        <v>14322</v>
      </c>
      <c r="H49" s="51"/>
      <c r="I49" s="51"/>
      <c r="J49" s="51"/>
      <c r="K49" s="51"/>
      <c r="L49" s="51"/>
    </row>
    <row r="50" customFormat="false" ht="15" hidden="false" customHeight="false" outlineLevel="0" collapsed="false">
      <c r="A50" s="52"/>
      <c r="B50" s="51"/>
      <c r="C50" s="51" t="n">
        <v>80</v>
      </c>
      <c r="D50" s="51" t="n">
        <v>22</v>
      </c>
      <c r="E50" s="51"/>
      <c r="F50" s="51" t="n">
        <v>4602</v>
      </c>
      <c r="G50" s="51" t="n">
        <v>2752</v>
      </c>
      <c r="H50" s="51"/>
      <c r="I50" s="51"/>
      <c r="J50" s="51"/>
      <c r="K50" s="51"/>
      <c r="L50" s="51"/>
    </row>
    <row r="51" customFormat="false" ht="15" hidden="false" customHeight="false" outlineLevel="0" collapsed="false">
      <c r="A51" s="46"/>
      <c r="B51" s="49" t="s">
        <v>6408</v>
      </c>
      <c r="C51" s="48" t="n">
        <v>78</v>
      </c>
      <c r="D51" s="48" t="n">
        <v>250</v>
      </c>
      <c r="E51" s="48" t="n">
        <f aca="false">C51-D51</f>
        <v>-172</v>
      </c>
      <c r="F51" s="48" t="n">
        <v>45837</v>
      </c>
      <c r="G51" s="48" t="n">
        <v>80227</v>
      </c>
      <c r="H51" s="48" t="n">
        <f aca="false">F51-G51</f>
        <v>-34390</v>
      </c>
      <c r="I51" s="51"/>
      <c r="J51" s="51"/>
      <c r="K51" s="51"/>
      <c r="L51" s="51"/>
    </row>
    <row r="52" customFormat="false" ht="15" hidden="false" customHeight="false" outlineLevel="0" collapsed="false">
      <c r="A52" s="46"/>
      <c r="B52" s="49" t="s">
        <v>6409</v>
      </c>
      <c r="C52" s="48" t="n">
        <v>77</v>
      </c>
      <c r="D52" s="48" t="n">
        <v>57</v>
      </c>
      <c r="E52" s="48" t="n">
        <f aca="false">C52-D52</f>
        <v>20</v>
      </c>
      <c r="F52" s="48" t="n">
        <v>3180</v>
      </c>
      <c r="G52" s="48" t="n">
        <v>4387</v>
      </c>
      <c r="H52" s="48" t="n">
        <f aca="false">F52-G52</f>
        <v>-1207</v>
      </c>
      <c r="I52" s="51"/>
      <c r="J52" s="51"/>
      <c r="K52" s="51"/>
      <c r="L52" s="51"/>
    </row>
    <row r="53" customFormat="false" ht="15" hidden="false" customHeight="false" outlineLevel="0" collapsed="false">
      <c r="A53" s="46"/>
      <c r="B53" s="49" t="s">
        <v>6410</v>
      </c>
      <c r="C53" s="48" t="n">
        <v>76</v>
      </c>
      <c r="D53" s="48" t="n">
        <v>92</v>
      </c>
      <c r="E53" s="48" t="n">
        <f aca="false">C53-D53</f>
        <v>-16</v>
      </c>
      <c r="F53" s="48" t="n">
        <v>35026</v>
      </c>
      <c r="G53" s="48" t="n">
        <v>66235</v>
      </c>
      <c r="H53" s="48" t="n">
        <f aca="false">F53-G53</f>
        <v>-31209</v>
      </c>
      <c r="I53" s="51"/>
      <c r="J53" s="51"/>
      <c r="K53" s="51"/>
      <c r="L53" s="51"/>
    </row>
    <row r="54" customFormat="false" ht="15" hidden="false" customHeight="false" outlineLevel="0" collapsed="false">
      <c r="A54" s="52"/>
      <c r="B54" s="51"/>
      <c r="C54" s="51" t="n">
        <v>76</v>
      </c>
      <c r="D54" s="51" t="n">
        <v>28</v>
      </c>
      <c r="E54" s="51"/>
      <c r="F54" s="51" t="n">
        <v>17567</v>
      </c>
      <c r="G54" s="51" t="n">
        <v>5119</v>
      </c>
      <c r="H54" s="51"/>
      <c r="I54" s="51"/>
      <c r="J54" s="51"/>
      <c r="K54" s="51"/>
      <c r="L54" s="51"/>
    </row>
    <row r="55" customFormat="false" ht="15" hidden="false" customHeight="false" outlineLevel="0" collapsed="false">
      <c r="A55" s="46"/>
      <c r="B55" s="49" t="s">
        <v>6411</v>
      </c>
      <c r="C55" s="48" t="n">
        <v>75</v>
      </c>
      <c r="D55" s="48" t="n">
        <v>354</v>
      </c>
      <c r="E55" s="48" t="n">
        <f aca="false">C55-D55</f>
        <v>-279</v>
      </c>
      <c r="F55" s="48" t="n">
        <v>15856</v>
      </c>
      <c r="G55" s="48" t="n">
        <v>99905</v>
      </c>
      <c r="H55" s="48" t="n">
        <f aca="false">F55-G55</f>
        <v>-84049</v>
      </c>
      <c r="I55" s="51"/>
      <c r="J55" s="51"/>
      <c r="K55" s="51"/>
      <c r="L55" s="51"/>
    </row>
    <row r="56" customFormat="false" ht="15" hidden="false" customHeight="false" outlineLevel="0" collapsed="false">
      <c r="A56" s="52"/>
      <c r="B56" s="51"/>
      <c r="C56" s="51" t="n">
        <v>74</v>
      </c>
      <c r="D56" s="51" t="n">
        <v>20</v>
      </c>
      <c r="E56" s="51"/>
      <c r="F56" s="51" t="n">
        <v>2957</v>
      </c>
      <c r="G56" s="51" t="n">
        <v>1800</v>
      </c>
      <c r="H56" s="51"/>
      <c r="I56" s="51"/>
      <c r="J56" s="51"/>
      <c r="K56" s="51"/>
      <c r="L56" s="51"/>
    </row>
    <row r="57" customFormat="false" ht="15" hidden="false" customHeight="false" outlineLevel="0" collapsed="false">
      <c r="A57" s="46"/>
      <c r="B57" s="49" t="s">
        <v>6412</v>
      </c>
      <c r="C57" s="48" t="n">
        <v>73</v>
      </c>
      <c r="D57" s="48" t="n">
        <v>166</v>
      </c>
      <c r="E57" s="48" t="n">
        <f aca="false">C57-D57</f>
        <v>-93</v>
      </c>
      <c r="F57" s="48" t="n">
        <v>22140</v>
      </c>
      <c r="G57" s="48" t="n">
        <v>44150</v>
      </c>
      <c r="H57" s="48" t="n">
        <f aca="false">F57-G57</f>
        <v>-22010</v>
      </c>
      <c r="I57" s="51"/>
      <c r="J57" s="51"/>
      <c r="K57" s="51"/>
      <c r="L57" s="51"/>
    </row>
    <row r="58" customFormat="false" ht="15" hidden="false" customHeight="false" outlineLevel="0" collapsed="false">
      <c r="A58" s="52"/>
      <c r="B58" s="51"/>
      <c r="C58" s="51" t="n">
        <v>72</v>
      </c>
      <c r="D58" s="51" t="n">
        <v>21</v>
      </c>
      <c r="E58" s="51"/>
      <c r="F58" s="51" t="n">
        <v>10623</v>
      </c>
      <c r="G58" s="51" t="n">
        <v>2883</v>
      </c>
      <c r="H58" s="51"/>
      <c r="I58" s="51"/>
      <c r="J58" s="51"/>
      <c r="K58" s="51"/>
      <c r="L58" s="51"/>
    </row>
    <row r="59" customFormat="false" ht="15" hidden="false" customHeight="false" outlineLevel="0" collapsed="false">
      <c r="A59" s="46"/>
      <c r="B59" s="49" t="s">
        <v>6413</v>
      </c>
      <c r="C59" s="48" t="n">
        <v>70</v>
      </c>
      <c r="D59" s="48" t="n">
        <v>144</v>
      </c>
      <c r="E59" s="48" t="n">
        <f aca="false">C59-D59</f>
        <v>-74</v>
      </c>
      <c r="F59" s="48" t="n">
        <v>4104</v>
      </c>
      <c r="G59" s="48" t="n">
        <v>8981</v>
      </c>
      <c r="H59" s="48" t="n">
        <f aca="false">F59-G59</f>
        <v>-4877</v>
      </c>
      <c r="I59" s="51"/>
      <c r="J59" s="51"/>
      <c r="K59" s="51"/>
      <c r="L59" s="51"/>
    </row>
    <row r="60" customFormat="false" ht="15" hidden="false" customHeight="false" outlineLevel="0" collapsed="false">
      <c r="A60" s="52"/>
      <c r="B60" s="51"/>
      <c r="C60" s="51" t="n">
        <v>65</v>
      </c>
      <c r="D60" s="51" t="n">
        <v>24</v>
      </c>
      <c r="E60" s="51"/>
      <c r="F60" s="51" t="n">
        <v>20084</v>
      </c>
      <c r="G60" s="51" t="n">
        <v>10610</v>
      </c>
      <c r="H60" s="51"/>
      <c r="I60" s="51"/>
      <c r="J60" s="51"/>
      <c r="K60" s="51"/>
      <c r="L60" s="51"/>
    </row>
    <row r="61" customFormat="false" ht="15" hidden="false" customHeight="false" outlineLevel="0" collapsed="false">
      <c r="A61" s="46"/>
      <c r="B61" s="49" t="s">
        <v>6414</v>
      </c>
      <c r="C61" s="48" t="n">
        <v>65</v>
      </c>
      <c r="D61" s="48" t="n">
        <v>90</v>
      </c>
      <c r="E61" s="48" t="n">
        <f aca="false">C61-D61</f>
        <v>-25</v>
      </c>
      <c r="F61" s="48" t="n">
        <v>4666</v>
      </c>
      <c r="G61" s="48" t="n">
        <v>8076</v>
      </c>
      <c r="H61" s="48" t="n">
        <f aca="false">F61-G61</f>
        <v>-3410</v>
      </c>
      <c r="I61" s="51"/>
      <c r="J61" s="51"/>
      <c r="K61" s="51"/>
      <c r="L61" s="51"/>
    </row>
    <row r="62" customFormat="false" ht="15" hidden="false" customHeight="false" outlineLevel="0" collapsed="false">
      <c r="A62" s="52"/>
      <c r="B62" s="51"/>
      <c r="C62" s="51" t="n">
        <v>65</v>
      </c>
      <c r="D62" s="51" t="n">
        <v>11</v>
      </c>
      <c r="E62" s="51"/>
      <c r="F62" s="51" t="n">
        <v>2738</v>
      </c>
      <c r="G62" s="51" t="n">
        <v>566</v>
      </c>
      <c r="H62" s="51"/>
      <c r="I62" s="51"/>
      <c r="J62" s="51"/>
      <c r="K62" s="51"/>
      <c r="L62" s="51"/>
    </row>
    <row r="63" customFormat="false" ht="15" hidden="false" customHeight="false" outlineLevel="0" collapsed="false">
      <c r="A63" s="52"/>
      <c r="B63" s="51"/>
      <c r="C63" s="51" t="n">
        <v>65</v>
      </c>
      <c r="D63" s="51" t="n">
        <v>0</v>
      </c>
      <c r="E63" s="51"/>
      <c r="F63" s="51" t="n">
        <v>1721</v>
      </c>
      <c r="G63" s="51" t="n">
        <v>0</v>
      </c>
      <c r="H63" s="51"/>
      <c r="I63" s="51"/>
      <c r="J63" s="51"/>
      <c r="K63" s="51"/>
      <c r="L63" s="51"/>
    </row>
    <row r="64" customFormat="false" ht="15" hidden="false" customHeight="false" outlineLevel="0" collapsed="false">
      <c r="A64" s="46"/>
      <c r="B64" s="49" t="s">
        <v>6415</v>
      </c>
      <c r="C64" s="48" t="n">
        <v>64</v>
      </c>
      <c r="D64" s="48" t="n">
        <v>148</v>
      </c>
      <c r="E64" s="48" t="n">
        <f aca="false">C64-D64</f>
        <v>-84</v>
      </c>
      <c r="F64" s="48" t="n">
        <v>50078</v>
      </c>
      <c r="G64" s="48" t="n">
        <v>143785</v>
      </c>
      <c r="H64" s="48" t="n">
        <f aca="false">F64-G64</f>
        <v>-93707</v>
      </c>
      <c r="I64" s="51"/>
      <c r="J64" s="51"/>
      <c r="K64" s="51"/>
      <c r="L64" s="51"/>
    </row>
    <row r="65" customFormat="false" ht="15" hidden="false" customHeight="false" outlineLevel="0" collapsed="false">
      <c r="A65" s="52"/>
      <c r="B65" s="51"/>
      <c r="C65" s="51" t="n">
        <v>63</v>
      </c>
      <c r="D65" s="51" t="n">
        <v>27</v>
      </c>
      <c r="E65" s="51"/>
      <c r="F65" s="51" t="n">
        <v>44999</v>
      </c>
      <c r="G65" s="51" t="n">
        <v>28317</v>
      </c>
      <c r="H65" s="51"/>
      <c r="I65" s="51"/>
      <c r="J65" s="51"/>
      <c r="K65" s="51"/>
      <c r="L65" s="51"/>
    </row>
    <row r="66" customFormat="false" ht="15" hidden="false" customHeight="false" outlineLevel="0" collapsed="false">
      <c r="A66" s="52"/>
      <c r="B66" s="51"/>
      <c r="C66" s="51" t="n">
        <v>60</v>
      </c>
      <c r="D66" s="51" t="n">
        <v>20</v>
      </c>
      <c r="E66" s="51"/>
      <c r="F66" s="51" t="n">
        <v>4423</v>
      </c>
      <c r="G66" s="51" t="n">
        <v>2063</v>
      </c>
      <c r="H66" s="51"/>
      <c r="I66" s="51"/>
      <c r="J66" s="51"/>
      <c r="K66" s="51"/>
      <c r="L66" s="51"/>
    </row>
    <row r="67" customFormat="false" ht="15" hidden="false" customHeight="false" outlineLevel="0" collapsed="false">
      <c r="A67" s="46"/>
      <c r="B67" s="49" t="s">
        <v>6416</v>
      </c>
      <c r="C67" s="48" t="n">
        <v>59</v>
      </c>
      <c r="D67" s="48" t="n">
        <v>155</v>
      </c>
      <c r="E67" s="48" t="n">
        <f aca="false">C67-D67</f>
        <v>-96</v>
      </c>
      <c r="F67" s="48" t="n">
        <v>50022</v>
      </c>
      <c r="G67" s="48" t="n">
        <v>105502</v>
      </c>
      <c r="H67" s="48" t="n">
        <f aca="false">F67-G67</f>
        <v>-55480</v>
      </c>
      <c r="I67" s="51"/>
      <c r="J67" s="51"/>
      <c r="K67" s="51"/>
      <c r="L67" s="51"/>
    </row>
    <row r="68" customFormat="false" ht="15" hidden="false" customHeight="false" outlineLevel="0" collapsed="false">
      <c r="A68" s="52"/>
      <c r="B68" s="51"/>
      <c r="C68" s="51" t="n">
        <v>59</v>
      </c>
      <c r="D68" s="51" t="n">
        <v>0</v>
      </c>
      <c r="E68" s="51"/>
      <c r="F68" s="51" t="n">
        <v>1416</v>
      </c>
      <c r="G68" s="51" t="n">
        <v>0</v>
      </c>
      <c r="H68" s="51"/>
      <c r="I68" s="51"/>
      <c r="J68" s="51"/>
      <c r="K68" s="51"/>
      <c r="L68" s="51"/>
    </row>
    <row r="69" customFormat="false" ht="15" hidden="false" customHeight="false" outlineLevel="0" collapsed="false">
      <c r="A69" s="46"/>
      <c r="B69" s="49" t="s">
        <v>6417</v>
      </c>
      <c r="C69" s="48" t="n">
        <v>56</v>
      </c>
      <c r="D69" s="48" t="n">
        <v>483</v>
      </c>
      <c r="E69" s="48" t="n">
        <f aca="false">C69-D69</f>
        <v>-427</v>
      </c>
      <c r="F69" s="48" t="n">
        <v>33979</v>
      </c>
      <c r="G69" s="48" t="n">
        <v>119481</v>
      </c>
      <c r="H69" s="48" t="n">
        <f aca="false">F69-G69</f>
        <v>-85502</v>
      </c>
      <c r="I69" s="51"/>
      <c r="J69" s="51"/>
      <c r="K69" s="51"/>
      <c r="L69" s="51"/>
    </row>
    <row r="70" customFormat="false" ht="15" hidden="false" customHeight="false" outlineLevel="0" collapsed="false">
      <c r="A70" s="46"/>
      <c r="B70" s="49" t="s">
        <v>6418</v>
      </c>
      <c r="C70" s="48" t="n">
        <v>54</v>
      </c>
      <c r="D70" s="48" t="n">
        <v>269</v>
      </c>
      <c r="E70" s="48" t="n">
        <f aca="false">C70-D70</f>
        <v>-215</v>
      </c>
      <c r="F70" s="48" t="n">
        <v>7517</v>
      </c>
      <c r="G70" s="48" t="n">
        <v>36713</v>
      </c>
      <c r="H70" s="48" t="n">
        <f aca="false">F70-G70</f>
        <v>-29196</v>
      </c>
      <c r="I70" s="51"/>
      <c r="J70" s="51"/>
      <c r="K70" s="51"/>
      <c r="L70" s="51"/>
    </row>
    <row r="71" customFormat="false" ht="15" hidden="false" customHeight="false" outlineLevel="0" collapsed="false">
      <c r="A71" s="52"/>
      <c r="B71" s="51"/>
      <c r="C71" s="51" t="n">
        <v>53</v>
      </c>
      <c r="D71" s="51" t="n">
        <v>8</v>
      </c>
      <c r="E71" s="51"/>
      <c r="F71" s="51" t="n">
        <v>2228</v>
      </c>
      <c r="G71" s="51" t="n">
        <v>295</v>
      </c>
      <c r="H71" s="51"/>
      <c r="I71" s="51"/>
      <c r="J71" s="51"/>
      <c r="K71" s="51"/>
      <c r="L71" s="51"/>
    </row>
    <row r="72" customFormat="false" ht="15" hidden="false" customHeight="false" outlineLevel="0" collapsed="false">
      <c r="A72" s="46"/>
      <c r="B72" s="49" t="s">
        <v>6419</v>
      </c>
      <c r="C72" s="48" t="n">
        <v>49</v>
      </c>
      <c r="D72" s="48" t="n">
        <v>290</v>
      </c>
      <c r="E72" s="48" t="n">
        <f aca="false">C72-D72</f>
        <v>-241</v>
      </c>
      <c r="F72" s="48" t="n">
        <v>114275</v>
      </c>
      <c r="G72" s="48" t="n">
        <v>196101</v>
      </c>
      <c r="H72" s="48" t="n">
        <f aca="false">F72-G72</f>
        <v>-81826</v>
      </c>
      <c r="I72" s="51"/>
      <c r="J72" s="51"/>
      <c r="K72" s="51"/>
      <c r="L72" s="51"/>
    </row>
    <row r="73" customFormat="false" ht="15" hidden="false" customHeight="false" outlineLevel="0" collapsed="false">
      <c r="A73" s="52"/>
      <c r="B73" s="51"/>
      <c r="C73" s="51" t="n">
        <v>49</v>
      </c>
      <c r="D73" s="51" t="n">
        <v>11</v>
      </c>
      <c r="E73" s="51"/>
      <c r="F73" s="51" t="n">
        <v>3626</v>
      </c>
      <c r="G73" s="51" t="n">
        <v>698</v>
      </c>
      <c r="H73" s="51"/>
      <c r="I73" s="51"/>
      <c r="J73" s="51"/>
      <c r="K73" s="51"/>
      <c r="L73" s="51"/>
    </row>
    <row r="74" customFormat="false" ht="15" hidden="false" customHeight="false" outlineLevel="0" collapsed="false">
      <c r="A74" s="52"/>
      <c r="B74" s="51"/>
      <c r="C74" s="51" t="n">
        <v>48</v>
      </c>
      <c r="D74" s="51" t="n">
        <v>6</v>
      </c>
      <c r="E74" s="51"/>
      <c r="F74" s="51" t="n">
        <v>5079</v>
      </c>
      <c r="G74" s="51" t="n">
        <v>146</v>
      </c>
      <c r="H74" s="51"/>
      <c r="I74" s="51"/>
      <c r="J74" s="51"/>
      <c r="K74" s="51"/>
      <c r="L74" s="51"/>
    </row>
    <row r="75" customFormat="false" ht="15" hidden="false" customHeight="false" outlineLevel="0" collapsed="false">
      <c r="A75" s="46"/>
      <c r="B75" s="49" t="s">
        <v>6420</v>
      </c>
      <c r="C75" s="48" t="n">
        <v>42</v>
      </c>
      <c r="D75" s="48" t="n">
        <v>109</v>
      </c>
      <c r="E75" s="48" t="n">
        <f aca="false">C75-D75</f>
        <v>-67</v>
      </c>
      <c r="F75" s="48" t="n">
        <v>10273</v>
      </c>
      <c r="G75" s="48" t="n">
        <v>20642</v>
      </c>
      <c r="H75" s="48" t="n">
        <f aca="false">F75-G75</f>
        <v>-10369</v>
      </c>
      <c r="I75" s="51"/>
      <c r="J75" s="51"/>
      <c r="K75" s="51"/>
      <c r="L75" s="51"/>
    </row>
    <row r="76" customFormat="false" ht="15" hidden="false" customHeight="false" outlineLevel="0" collapsed="false">
      <c r="A76" s="46"/>
      <c r="B76" s="49" t="s">
        <v>6421</v>
      </c>
      <c r="C76" s="48" t="n">
        <v>40</v>
      </c>
      <c r="D76" s="48" t="n">
        <v>66</v>
      </c>
      <c r="E76" s="48" t="n">
        <f aca="false">C76-D76</f>
        <v>-26</v>
      </c>
      <c r="F76" s="48" t="n">
        <v>26704</v>
      </c>
      <c r="G76" s="48" t="n">
        <v>66786</v>
      </c>
      <c r="H76" s="48" t="n">
        <f aca="false">F76-G76</f>
        <v>-40082</v>
      </c>
      <c r="I76" s="51"/>
      <c r="J76" s="51"/>
      <c r="K76" s="51"/>
      <c r="L76" s="51"/>
    </row>
    <row r="77" customFormat="false" ht="15" hidden="false" customHeight="false" outlineLevel="0" collapsed="false">
      <c r="A77" s="46"/>
      <c r="B77" s="49" t="s">
        <v>6422</v>
      </c>
      <c r="C77" s="48" t="n">
        <v>40</v>
      </c>
      <c r="D77" s="48" t="n">
        <v>506</v>
      </c>
      <c r="E77" s="48" t="n">
        <f aca="false">C77-D77</f>
        <v>-466</v>
      </c>
      <c r="F77" s="48" t="n">
        <v>9794</v>
      </c>
      <c r="G77" s="48" t="n">
        <v>31523</v>
      </c>
      <c r="H77" s="48" t="n">
        <f aca="false">F77-G77</f>
        <v>-21729</v>
      </c>
      <c r="I77" s="51"/>
      <c r="J77" s="51"/>
      <c r="K77" s="51"/>
      <c r="L77" s="51"/>
    </row>
    <row r="78" customFormat="false" ht="15" hidden="false" customHeight="false" outlineLevel="0" collapsed="false">
      <c r="A78" s="46"/>
      <c r="B78" s="49" t="s">
        <v>6423</v>
      </c>
      <c r="C78" s="48" t="n">
        <v>40</v>
      </c>
      <c r="D78" s="48" t="n">
        <v>64</v>
      </c>
      <c r="E78" s="48" t="n">
        <f aca="false">C78-D78</f>
        <v>-24</v>
      </c>
      <c r="F78" s="48" t="n">
        <v>8408</v>
      </c>
      <c r="G78" s="48" t="n">
        <v>16087</v>
      </c>
      <c r="H78" s="48" t="n">
        <f aca="false">F78-G78</f>
        <v>-7679</v>
      </c>
      <c r="I78" s="51"/>
      <c r="J78" s="51"/>
      <c r="K78" s="51"/>
      <c r="L78" s="51"/>
    </row>
    <row r="79" customFormat="false" ht="15" hidden="false" customHeight="false" outlineLevel="0" collapsed="false">
      <c r="A79" s="46"/>
      <c r="B79" s="49" t="s">
        <v>6424</v>
      </c>
      <c r="C79" s="48" t="n">
        <v>39</v>
      </c>
      <c r="D79" s="48" t="n">
        <v>54</v>
      </c>
      <c r="E79" s="48" t="n">
        <f aca="false">C79-D79</f>
        <v>-15</v>
      </c>
      <c r="F79" s="48" t="n">
        <v>70782</v>
      </c>
      <c r="G79" s="48" t="n">
        <v>60193</v>
      </c>
      <c r="H79" s="48" t="n">
        <f aca="false">F79-G79</f>
        <v>10589</v>
      </c>
      <c r="I79" s="51"/>
      <c r="J79" s="51"/>
      <c r="K79" s="51"/>
      <c r="L79" s="51"/>
    </row>
    <row r="80" customFormat="false" ht="15" hidden="false" customHeight="false" outlineLevel="0" collapsed="false">
      <c r="A80" s="46"/>
      <c r="B80" s="49" t="s">
        <v>6425</v>
      </c>
      <c r="C80" s="48" t="n">
        <v>39</v>
      </c>
      <c r="D80" s="48" t="n">
        <v>141</v>
      </c>
      <c r="E80" s="48" t="n">
        <f aca="false">C80-D80</f>
        <v>-102</v>
      </c>
      <c r="F80" s="48" t="n">
        <v>8158</v>
      </c>
      <c r="G80" s="48" t="n">
        <v>23448</v>
      </c>
      <c r="H80" s="48" t="n">
        <f aca="false">F80-G80</f>
        <v>-15290</v>
      </c>
      <c r="I80" s="51"/>
      <c r="J80" s="51"/>
      <c r="K80" s="51"/>
      <c r="L80" s="51"/>
    </row>
    <row r="81" customFormat="false" ht="15" hidden="false" customHeight="false" outlineLevel="0" collapsed="false">
      <c r="A81" s="46"/>
      <c r="B81" s="49" t="s">
        <v>6426</v>
      </c>
      <c r="C81" s="48" t="n">
        <v>39</v>
      </c>
      <c r="D81" s="48" t="n">
        <v>321</v>
      </c>
      <c r="E81" s="48" t="n">
        <f aca="false">C81-D81</f>
        <v>-282</v>
      </c>
      <c r="F81" s="48" t="n">
        <v>4335</v>
      </c>
      <c r="G81" s="48" t="n">
        <v>15110</v>
      </c>
      <c r="H81" s="48" t="n">
        <f aca="false">F81-G81</f>
        <v>-10775</v>
      </c>
      <c r="I81" s="51"/>
      <c r="J81" s="51"/>
      <c r="K81" s="51"/>
      <c r="L81" s="51"/>
    </row>
    <row r="82" customFormat="false" ht="15" hidden="false" customHeight="false" outlineLevel="0" collapsed="false">
      <c r="A82" s="46"/>
      <c r="B82" s="49" t="s">
        <v>6427</v>
      </c>
      <c r="C82" s="48" t="n">
        <v>38</v>
      </c>
      <c r="D82" s="48" t="n">
        <v>78</v>
      </c>
      <c r="E82" s="48" t="n">
        <f aca="false">C82-D82</f>
        <v>-40</v>
      </c>
      <c r="F82" s="48" t="n">
        <v>13676</v>
      </c>
      <c r="G82" s="48" t="n">
        <v>15965</v>
      </c>
      <c r="H82" s="48" t="n">
        <f aca="false">F82-G82</f>
        <v>-2289</v>
      </c>
      <c r="I82" s="51"/>
      <c r="J82" s="51"/>
      <c r="K82" s="51"/>
      <c r="L82" s="51"/>
    </row>
    <row r="83" customFormat="false" ht="15" hidden="false" customHeight="false" outlineLevel="0" collapsed="false">
      <c r="A83" s="52"/>
      <c r="B83" s="51"/>
      <c r="C83" s="51" t="n">
        <v>38</v>
      </c>
      <c r="D83" s="51" t="n">
        <v>6</v>
      </c>
      <c r="E83" s="51"/>
      <c r="F83" s="51" t="n">
        <v>1805</v>
      </c>
      <c r="G83" s="51" t="n">
        <v>416</v>
      </c>
      <c r="H83" s="51"/>
      <c r="I83" s="51"/>
      <c r="J83" s="51"/>
      <c r="K83" s="51"/>
      <c r="L83" s="51"/>
    </row>
    <row r="84" customFormat="false" ht="15" hidden="false" customHeight="false" outlineLevel="0" collapsed="false">
      <c r="A84" s="46"/>
      <c r="B84" s="49" t="s">
        <v>6428</v>
      </c>
      <c r="C84" s="48" t="n">
        <v>37</v>
      </c>
      <c r="D84" s="48" t="n">
        <v>259</v>
      </c>
      <c r="E84" s="48" t="n">
        <f aca="false">C84-D84</f>
        <v>-222</v>
      </c>
      <c r="F84" s="48" t="n">
        <v>76534</v>
      </c>
      <c r="G84" s="48" t="n">
        <v>216297</v>
      </c>
      <c r="H84" s="48" t="n">
        <f aca="false">F84-G84</f>
        <v>-139763</v>
      </c>
      <c r="I84" s="51"/>
      <c r="J84" s="51"/>
      <c r="K84" s="51"/>
      <c r="L84" s="51"/>
    </row>
    <row r="85" customFormat="false" ht="15" hidden="false" customHeight="false" outlineLevel="0" collapsed="false">
      <c r="A85" s="52"/>
      <c r="B85" s="51"/>
      <c r="C85" s="51" t="n">
        <v>37</v>
      </c>
      <c r="D85" s="51" t="n">
        <v>3</v>
      </c>
      <c r="E85" s="51"/>
      <c r="F85" s="51" t="n">
        <v>11625</v>
      </c>
      <c r="G85" s="51" t="n">
        <v>1512</v>
      </c>
      <c r="H85" s="51"/>
      <c r="I85" s="51"/>
      <c r="J85" s="51"/>
      <c r="K85" s="51"/>
      <c r="L85" s="51"/>
    </row>
    <row r="86" customFormat="false" ht="15" hidden="false" customHeight="false" outlineLevel="0" collapsed="false">
      <c r="A86" s="46"/>
      <c r="B86" s="49" t="s">
        <v>6429</v>
      </c>
      <c r="C86" s="48" t="n">
        <v>37</v>
      </c>
      <c r="D86" s="48" t="n">
        <v>87</v>
      </c>
      <c r="E86" s="48" t="n">
        <f aca="false">C86-D86</f>
        <v>-50</v>
      </c>
      <c r="F86" s="48" t="n">
        <v>8278</v>
      </c>
      <c r="G86" s="48" t="n">
        <v>30625</v>
      </c>
      <c r="H86" s="48" t="n">
        <f aca="false">F86-G86</f>
        <v>-22347</v>
      </c>
      <c r="I86" s="51"/>
      <c r="J86" s="51"/>
      <c r="K86" s="51"/>
      <c r="L86" s="51"/>
    </row>
    <row r="87" customFormat="false" ht="15" hidden="false" customHeight="false" outlineLevel="0" collapsed="false">
      <c r="A87" s="52"/>
      <c r="B87" s="51"/>
      <c r="C87" s="51" t="n">
        <v>37</v>
      </c>
      <c r="D87" s="51" t="n">
        <v>3</v>
      </c>
      <c r="E87" s="51"/>
      <c r="F87" s="51" t="n">
        <v>6421</v>
      </c>
      <c r="G87" s="51" t="n">
        <v>1771</v>
      </c>
      <c r="H87" s="51"/>
      <c r="I87" s="51"/>
      <c r="J87" s="51"/>
      <c r="K87" s="51"/>
      <c r="L87" s="51"/>
    </row>
    <row r="88" customFormat="false" ht="15" hidden="false" customHeight="false" outlineLevel="0" collapsed="false">
      <c r="A88" s="52"/>
      <c r="B88" s="51"/>
      <c r="C88" s="51" t="n">
        <v>35</v>
      </c>
      <c r="D88" s="51" t="n">
        <v>70</v>
      </c>
      <c r="E88" s="51"/>
      <c r="F88" s="51" t="n">
        <v>3162</v>
      </c>
      <c r="G88" s="51" t="n">
        <v>4211</v>
      </c>
      <c r="H88" s="51"/>
      <c r="I88" s="51"/>
      <c r="J88" s="51"/>
      <c r="K88" s="51"/>
      <c r="L88" s="51"/>
    </row>
    <row r="89" customFormat="false" ht="15" hidden="false" customHeight="false" outlineLevel="0" collapsed="false">
      <c r="A89" s="52"/>
      <c r="B89" s="51"/>
      <c r="C89" s="51" t="n">
        <v>34</v>
      </c>
      <c r="D89" s="51" t="n">
        <v>8</v>
      </c>
      <c r="E89" s="51"/>
      <c r="F89" s="51" t="n">
        <v>8983</v>
      </c>
      <c r="G89" s="51" t="n">
        <v>5471</v>
      </c>
      <c r="H89" s="51"/>
      <c r="I89" s="51"/>
      <c r="J89" s="51"/>
      <c r="K89" s="51"/>
      <c r="L89" s="51"/>
    </row>
    <row r="90" customFormat="false" ht="15" hidden="false" customHeight="false" outlineLevel="0" collapsed="false">
      <c r="A90" s="46"/>
      <c r="B90" s="49" t="s">
        <v>6430</v>
      </c>
      <c r="C90" s="48" t="n">
        <v>34</v>
      </c>
      <c r="D90" s="48" t="n">
        <v>13</v>
      </c>
      <c r="E90" s="48" t="n">
        <f aca="false">C90-D90</f>
        <v>21</v>
      </c>
      <c r="F90" s="48" t="n">
        <v>5638</v>
      </c>
      <c r="G90" s="48" t="n">
        <v>5554</v>
      </c>
      <c r="H90" s="48" t="n">
        <f aca="false">F90-G90</f>
        <v>84</v>
      </c>
      <c r="I90" s="51"/>
      <c r="J90" s="51"/>
      <c r="K90" s="51"/>
      <c r="L90" s="51"/>
    </row>
    <row r="91" customFormat="false" ht="15" hidden="false" customHeight="false" outlineLevel="0" collapsed="false">
      <c r="A91" s="46"/>
      <c r="B91" s="49" t="s">
        <v>6431</v>
      </c>
      <c r="C91" s="48" t="n">
        <v>33</v>
      </c>
      <c r="D91" s="48" t="n">
        <v>180</v>
      </c>
      <c r="E91" s="48" t="n">
        <f aca="false">C91-D91</f>
        <v>-147</v>
      </c>
      <c r="F91" s="48" t="n">
        <v>71463</v>
      </c>
      <c r="G91" s="48" t="n">
        <v>182542</v>
      </c>
      <c r="H91" s="48" t="n">
        <f aca="false">F91-G91</f>
        <v>-111079</v>
      </c>
      <c r="I91" s="51"/>
      <c r="J91" s="51"/>
      <c r="K91" s="51"/>
      <c r="L91" s="51"/>
    </row>
    <row r="92" customFormat="false" ht="15" hidden="false" customHeight="false" outlineLevel="0" collapsed="false">
      <c r="A92" s="52"/>
      <c r="B92" s="51"/>
      <c r="C92" s="51" t="n">
        <v>33</v>
      </c>
      <c r="D92" s="51" t="n">
        <v>6</v>
      </c>
      <c r="E92" s="51"/>
      <c r="F92" s="51" t="n">
        <v>6335</v>
      </c>
      <c r="G92" s="51" t="n">
        <v>2289</v>
      </c>
      <c r="H92" s="51"/>
      <c r="I92" s="51"/>
      <c r="J92" s="51"/>
      <c r="K92" s="51"/>
      <c r="L92" s="51"/>
    </row>
    <row r="93" customFormat="false" ht="15" hidden="false" customHeight="false" outlineLevel="0" collapsed="false">
      <c r="A93" s="52"/>
      <c r="B93" s="51"/>
      <c r="C93" s="51" t="n">
        <v>33</v>
      </c>
      <c r="D93" s="51" t="n">
        <v>13</v>
      </c>
      <c r="E93" s="51"/>
      <c r="F93" s="51" t="n">
        <v>3780</v>
      </c>
      <c r="G93" s="51" t="n">
        <v>1287</v>
      </c>
      <c r="H93" s="51"/>
      <c r="I93" s="51"/>
      <c r="J93" s="51"/>
      <c r="K93" s="51"/>
      <c r="L93" s="51"/>
    </row>
    <row r="94" customFormat="false" ht="15" hidden="false" customHeight="false" outlineLevel="0" collapsed="false">
      <c r="A94" s="52"/>
      <c r="B94" s="51"/>
      <c r="C94" s="51" t="n">
        <v>33</v>
      </c>
      <c r="D94" s="51" t="n">
        <v>0</v>
      </c>
      <c r="E94" s="51"/>
      <c r="F94" s="51" t="n">
        <v>1849</v>
      </c>
      <c r="G94" s="51" t="n">
        <v>0</v>
      </c>
      <c r="H94" s="51"/>
      <c r="I94" s="51"/>
      <c r="J94" s="51"/>
      <c r="K94" s="51"/>
      <c r="L94" s="51"/>
    </row>
    <row r="95" customFormat="false" ht="15" hidden="false" customHeight="false" outlineLevel="0" collapsed="false">
      <c r="A95" s="52"/>
      <c r="B95" s="51"/>
      <c r="C95" s="51" t="n">
        <v>32</v>
      </c>
      <c r="D95" s="51" t="n">
        <v>0</v>
      </c>
      <c r="E95" s="51"/>
      <c r="F95" s="51" t="n">
        <v>6205</v>
      </c>
      <c r="G95" s="51" t="n">
        <v>361</v>
      </c>
      <c r="H95" s="51"/>
      <c r="I95" s="51"/>
      <c r="J95" s="51"/>
      <c r="K95" s="51"/>
      <c r="L95" s="51"/>
    </row>
    <row r="96" customFormat="false" ht="15" hidden="false" customHeight="false" outlineLevel="0" collapsed="false">
      <c r="A96" s="46"/>
      <c r="B96" s="49" t="s">
        <v>6432</v>
      </c>
      <c r="C96" s="48" t="n">
        <v>31</v>
      </c>
      <c r="D96" s="48" t="n">
        <v>62</v>
      </c>
      <c r="E96" s="48" t="n">
        <f aca="false">C96-D96</f>
        <v>-31</v>
      </c>
      <c r="F96" s="48" t="n">
        <v>15474</v>
      </c>
      <c r="G96" s="48" t="n">
        <v>19689</v>
      </c>
      <c r="H96" s="48" t="n">
        <f aca="false">F96-G96</f>
        <v>-4215</v>
      </c>
      <c r="I96" s="51"/>
      <c r="J96" s="51"/>
      <c r="K96" s="51"/>
      <c r="L96" s="51"/>
    </row>
    <row r="97" customFormat="false" ht="15" hidden="false" customHeight="false" outlineLevel="0" collapsed="false">
      <c r="A97" s="52"/>
      <c r="B97" s="51"/>
      <c r="C97" s="51" t="n">
        <v>31</v>
      </c>
      <c r="D97" s="51" t="n">
        <v>5</v>
      </c>
      <c r="E97" s="51"/>
      <c r="F97" s="51" t="n">
        <v>13770</v>
      </c>
      <c r="G97" s="51" t="n">
        <v>7000</v>
      </c>
      <c r="H97" s="51"/>
      <c r="I97" s="51"/>
      <c r="J97" s="51"/>
      <c r="K97" s="51"/>
      <c r="L97" s="51"/>
    </row>
    <row r="98" customFormat="false" ht="15" hidden="false" customHeight="false" outlineLevel="0" collapsed="false">
      <c r="A98" s="52"/>
      <c r="B98" s="51"/>
      <c r="C98" s="51" t="n">
        <v>31</v>
      </c>
      <c r="D98" s="51" t="n">
        <v>25</v>
      </c>
      <c r="E98" s="51"/>
      <c r="F98" s="51" t="n">
        <v>12634</v>
      </c>
      <c r="G98" s="51" t="n">
        <v>10282</v>
      </c>
      <c r="H98" s="51"/>
      <c r="I98" s="51"/>
      <c r="J98" s="51"/>
      <c r="K98" s="51"/>
      <c r="L98" s="51"/>
    </row>
    <row r="99" customFormat="false" ht="15" hidden="false" customHeight="false" outlineLevel="0" collapsed="false">
      <c r="A99" s="46"/>
      <c r="B99" s="49" t="s">
        <v>6433</v>
      </c>
      <c r="C99" s="48" t="n">
        <v>31</v>
      </c>
      <c r="D99" s="48" t="n">
        <v>171</v>
      </c>
      <c r="E99" s="48" t="n">
        <f aca="false">C99-D99</f>
        <v>-140</v>
      </c>
      <c r="F99" s="48" t="n">
        <v>8142</v>
      </c>
      <c r="G99" s="48" t="n">
        <v>24466</v>
      </c>
      <c r="H99" s="48" t="n">
        <f aca="false">F99-G99</f>
        <v>-16324</v>
      </c>
      <c r="I99" s="51"/>
      <c r="J99" s="51"/>
      <c r="K99" s="51"/>
      <c r="L99" s="51"/>
    </row>
    <row r="100" customFormat="false" ht="15" hidden="false" customHeight="false" outlineLevel="0" collapsed="false">
      <c r="A100" s="52"/>
      <c r="B100" s="51"/>
      <c r="C100" s="51" t="n">
        <v>31</v>
      </c>
      <c r="D100" s="51" t="n">
        <v>7</v>
      </c>
      <c r="E100" s="51"/>
      <c r="F100" s="51" t="n">
        <v>3845</v>
      </c>
      <c r="G100" s="51" t="n">
        <v>883</v>
      </c>
      <c r="H100" s="51"/>
      <c r="I100" s="51"/>
      <c r="J100" s="51"/>
      <c r="K100" s="51"/>
      <c r="L100" s="51"/>
    </row>
    <row r="101" customFormat="false" ht="15" hidden="false" customHeight="false" outlineLevel="0" collapsed="false">
      <c r="A101" s="52"/>
      <c r="B101" s="51"/>
      <c r="C101" s="51" t="n">
        <v>31</v>
      </c>
      <c r="D101" s="51" t="n">
        <v>14</v>
      </c>
      <c r="E101" s="51"/>
      <c r="F101" s="51" t="n">
        <v>1779</v>
      </c>
      <c r="G101" s="51" t="n">
        <v>1234</v>
      </c>
      <c r="H101" s="51"/>
      <c r="I101" s="51"/>
      <c r="J101" s="51"/>
      <c r="K101" s="51"/>
      <c r="L101" s="51"/>
    </row>
    <row r="102" customFormat="false" ht="15" hidden="false" customHeight="false" outlineLevel="0" collapsed="false">
      <c r="A102" s="46"/>
      <c r="B102" s="49" t="s">
        <v>6434</v>
      </c>
      <c r="C102" s="48" t="n">
        <v>30</v>
      </c>
      <c r="D102" s="48" t="n">
        <v>161</v>
      </c>
      <c r="E102" s="48" t="n">
        <f aca="false">C102-D102</f>
        <v>-131</v>
      </c>
      <c r="F102" s="48" t="n">
        <v>36944</v>
      </c>
      <c r="G102" s="48" t="n">
        <v>147561</v>
      </c>
      <c r="H102" s="48" t="n">
        <f aca="false">F102-G102</f>
        <v>-110617</v>
      </c>
      <c r="I102" s="51"/>
      <c r="J102" s="51"/>
      <c r="K102" s="51"/>
      <c r="L102" s="51"/>
    </row>
    <row r="103" customFormat="false" ht="15" hidden="false" customHeight="false" outlineLevel="0" collapsed="false">
      <c r="A103" s="46"/>
      <c r="B103" s="49" t="s">
        <v>6435</v>
      </c>
      <c r="C103" s="48" t="n">
        <v>30</v>
      </c>
      <c r="D103" s="48" t="n">
        <v>107</v>
      </c>
      <c r="E103" s="48" t="n">
        <f aca="false">C103-D103</f>
        <v>-77</v>
      </c>
      <c r="F103" s="48" t="n">
        <v>7780</v>
      </c>
      <c r="G103" s="48" t="n">
        <v>31276</v>
      </c>
      <c r="H103" s="48" t="n">
        <f aca="false">F103-G103</f>
        <v>-23496</v>
      </c>
      <c r="I103" s="51"/>
      <c r="J103" s="51"/>
      <c r="K103" s="51"/>
      <c r="L103" s="51"/>
    </row>
    <row r="104" customFormat="false" ht="15" hidden="false" customHeight="false" outlineLevel="0" collapsed="false">
      <c r="A104" s="46"/>
      <c r="B104" s="49" t="s">
        <v>6436</v>
      </c>
      <c r="C104" s="48" t="n">
        <v>30</v>
      </c>
      <c r="D104" s="48" t="n">
        <v>139</v>
      </c>
      <c r="E104" s="48" t="n">
        <f aca="false">C104-D104</f>
        <v>-109</v>
      </c>
      <c r="F104" s="48" t="n">
        <v>5390</v>
      </c>
      <c r="G104" s="48" t="n">
        <v>16021</v>
      </c>
      <c r="H104" s="48" t="n">
        <f aca="false">F104-G104</f>
        <v>-10631</v>
      </c>
      <c r="I104" s="51"/>
      <c r="J104" s="51"/>
      <c r="K104" s="51"/>
      <c r="L104" s="51"/>
    </row>
    <row r="105" customFormat="false" ht="15" hidden="false" customHeight="false" outlineLevel="0" collapsed="false">
      <c r="A105" s="46"/>
      <c r="B105" s="49" t="s">
        <v>6437</v>
      </c>
      <c r="C105" s="48" t="n">
        <v>30</v>
      </c>
      <c r="D105" s="48" t="n">
        <v>60</v>
      </c>
      <c r="E105" s="48" t="n">
        <f aca="false">C105-D105</f>
        <v>-30</v>
      </c>
      <c r="F105" s="48" t="n">
        <v>3640</v>
      </c>
      <c r="G105" s="48" t="n">
        <v>7967</v>
      </c>
      <c r="H105" s="48" t="n">
        <f aca="false">F105-G105</f>
        <v>-4327</v>
      </c>
      <c r="I105" s="51"/>
      <c r="J105" s="51"/>
      <c r="K105" s="51"/>
      <c r="L105" s="51"/>
    </row>
    <row r="106" customFormat="false" ht="15" hidden="false" customHeight="false" outlineLevel="0" collapsed="false">
      <c r="A106" s="46"/>
      <c r="B106" s="49" t="s">
        <v>6438</v>
      </c>
      <c r="C106" s="48" t="n">
        <v>29</v>
      </c>
      <c r="D106" s="48" t="n">
        <v>117</v>
      </c>
      <c r="E106" s="48" t="n">
        <f aca="false">C106-D106</f>
        <v>-88</v>
      </c>
      <c r="F106" s="48" t="n">
        <v>47608</v>
      </c>
      <c r="G106" s="48" t="n">
        <v>70694</v>
      </c>
      <c r="H106" s="48" t="n">
        <f aca="false">F106-G106</f>
        <v>-23086</v>
      </c>
      <c r="I106" s="51"/>
      <c r="J106" s="51"/>
      <c r="K106" s="51"/>
      <c r="L106" s="51"/>
    </row>
    <row r="107" customFormat="false" ht="15" hidden="false" customHeight="false" outlineLevel="0" collapsed="false">
      <c r="A107" s="52"/>
      <c r="B107" s="51"/>
      <c r="C107" s="51" t="n">
        <v>29</v>
      </c>
      <c r="D107" s="51" t="n">
        <v>10</v>
      </c>
      <c r="E107" s="51"/>
      <c r="F107" s="51" t="n">
        <v>42144</v>
      </c>
      <c r="G107" s="51" t="n">
        <v>35455</v>
      </c>
      <c r="H107" s="51"/>
      <c r="I107" s="51"/>
      <c r="J107" s="51"/>
      <c r="K107" s="51"/>
      <c r="L107" s="51"/>
    </row>
    <row r="108" customFormat="false" ht="15" hidden="false" customHeight="false" outlineLevel="0" collapsed="false">
      <c r="A108" s="52"/>
      <c r="B108" s="51"/>
      <c r="C108" s="51" t="n">
        <v>29</v>
      </c>
      <c r="D108" s="51" t="n">
        <v>1</v>
      </c>
      <c r="E108" s="51"/>
      <c r="F108" s="51" t="n">
        <v>6092</v>
      </c>
      <c r="G108" s="51" t="n">
        <v>1796</v>
      </c>
      <c r="H108" s="51"/>
      <c r="I108" s="51"/>
      <c r="J108" s="51"/>
      <c r="K108" s="51"/>
      <c r="L108" s="51"/>
    </row>
    <row r="109" customFormat="false" ht="15" hidden="false" customHeight="false" outlineLevel="0" collapsed="false">
      <c r="A109" s="52"/>
      <c r="B109" s="51"/>
      <c r="C109" s="51" t="n">
        <v>28</v>
      </c>
      <c r="D109" s="51" t="n">
        <v>4</v>
      </c>
      <c r="E109" s="51"/>
      <c r="F109" s="51" t="n">
        <v>5155</v>
      </c>
      <c r="G109" s="51" t="n">
        <v>1440</v>
      </c>
      <c r="H109" s="51"/>
      <c r="I109" s="51"/>
      <c r="J109" s="51"/>
      <c r="K109" s="51"/>
      <c r="L109" s="51"/>
    </row>
    <row r="110" customFormat="false" ht="15" hidden="false" customHeight="false" outlineLevel="0" collapsed="false">
      <c r="A110" s="52"/>
      <c r="B110" s="51"/>
      <c r="C110" s="51" t="n">
        <v>28</v>
      </c>
      <c r="D110" s="51" t="n">
        <v>3</v>
      </c>
      <c r="E110" s="51"/>
      <c r="F110" s="51" t="n">
        <v>4944</v>
      </c>
      <c r="G110" s="51" t="n">
        <v>288</v>
      </c>
      <c r="H110" s="51"/>
      <c r="I110" s="51"/>
      <c r="J110" s="51"/>
      <c r="K110" s="51"/>
      <c r="L110" s="51"/>
    </row>
    <row r="111" customFormat="false" ht="15" hidden="false" customHeight="false" outlineLevel="0" collapsed="false">
      <c r="A111" s="46"/>
      <c r="B111" s="49" t="s">
        <v>6439</v>
      </c>
      <c r="C111" s="48" t="n">
        <v>27</v>
      </c>
      <c r="D111" s="48" t="n">
        <v>196</v>
      </c>
      <c r="E111" s="48" t="n">
        <f aca="false">C111-D111</f>
        <v>-169</v>
      </c>
      <c r="F111" s="48" t="n">
        <v>9412</v>
      </c>
      <c r="G111" s="48" t="n">
        <v>24108</v>
      </c>
      <c r="H111" s="48" t="n">
        <f aca="false">F111-G111</f>
        <v>-14696</v>
      </c>
      <c r="I111" s="51"/>
      <c r="J111" s="51"/>
      <c r="K111" s="51"/>
      <c r="L111" s="51"/>
    </row>
    <row r="112" customFormat="false" ht="15" hidden="false" customHeight="false" outlineLevel="0" collapsed="false">
      <c r="A112" s="46"/>
      <c r="B112" s="49" t="s">
        <v>6440</v>
      </c>
      <c r="C112" s="48" t="n">
        <v>26</v>
      </c>
      <c r="D112" s="48" t="n">
        <v>128</v>
      </c>
      <c r="E112" s="48" t="n">
        <f aca="false">C112-D112</f>
        <v>-102</v>
      </c>
      <c r="F112" s="48" t="n">
        <v>20288</v>
      </c>
      <c r="G112" s="48" t="n">
        <v>56489</v>
      </c>
      <c r="H112" s="48" t="n">
        <f aca="false">F112-G112</f>
        <v>-36201</v>
      </c>
      <c r="I112" s="51"/>
      <c r="J112" s="51"/>
      <c r="K112" s="51"/>
      <c r="L112" s="51"/>
    </row>
    <row r="113" customFormat="false" ht="15" hidden="false" customHeight="false" outlineLevel="0" collapsed="false">
      <c r="A113" s="46"/>
      <c r="B113" s="49" t="s">
        <v>6441</v>
      </c>
      <c r="C113" s="48" t="n">
        <v>25</v>
      </c>
      <c r="D113" s="48" t="n">
        <v>140</v>
      </c>
      <c r="E113" s="48" t="n">
        <f aca="false">C113-D113</f>
        <v>-115</v>
      </c>
      <c r="F113" s="48" t="n">
        <v>35706</v>
      </c>
      <c r="G113" s="48" t="n">
        <v>159447</v>
      </c>
      <c r="H113" s="48" t="n">
        <f aca="false">F113-G113</f>
        <v>-123741</v>
      </c>
      <c r="I113" s="51"/>
      <c r="J113" s="51"/>
      <c r="K113" s="51"/>
      <c r="L113" s="51"/>
    </row>
    <row r="114" customFormat="false" ht="15" hidden="false" customHeight="false" outlineLevel="0" collapsed="false">
      <c r="A114" s="52"/>
      <c r="B114" s="51"/>
      <c r="C114" s="51" t="n">
        <v>25</v>
      </c>
      <c r="D114" s="51" t="n">
        <v>1</v>
      </c>
      <c r="E114" s="51"/>
      <c r="F114" s="51" t="n">
        <v>26038</v>
      </c>
      <c r="G114" s="51" t="n">
        <v>1983</v>
      </c>
      <c r="H114" s="51"/>
      <c r="I114" s="51"/>
      <c r="J114" s="51"/>
      <c r="K114" s="51"/>
      <c r="L114" s="51"/>
    </row>
    <row r="115" customFormat="false" ht="15" hidden="false" customHeight="false" outlineLevel="0" collapsed="false">
      <c r="A115" s="46"/>
      <c r="B115" s="49" t="s">
        <v>6442</v>
      </c>
      <c r="C115" s="48" t="n">
        <v>25</v>
      </c>
      <c r="D115" s="48" t="n">
        <v>11</v>
      </c>
      <c r="E115" s="48" t="n">
        <f aca="false">C115-D115</f>
        <v>14</v>
      </c>
      <c r="F115" s="48" t="n">
        <v>11605</v>
      </c>
      <c r="G115" s="48" t="n">
        <v>8935</v>
      </c>
      <c r="H115" s="48" t="n">
        <f aca="false">F115-G115</f>
        <v>2670</v>
      </c>
      <c r="I115" s="51"/>
      <c r="J115" s="51"/>
      <c r="K115" s="51"/>
      <c r="L115" s="51"/>
    </row>
    <row r="116" customFormat="false" ht="15" hidden="false" customHeight="false" outlineLevel="0" collapsed="false">
      <c r="A116" s="46"/>
      <c r="B116" s="49" t="s">
        <v>6443</v>
      </c>
      <c r="C116" s="48" t="n">
        <v>25</v>
      </c>
      <c r="D116" s="48" t="n">
        <v>53</v>
      </c>
      <c r="E116" s="48" t="n">
        <f aca="false">C116-D116</f>
        <v>-28</v>
      </c>
      <c r="F116" s="48" t="n">
        <v>7538</v>
      </c>
      <c r="G116" s="48" t="n">
        <v>12705</v>
      </c>
      <c r="H116" s="48" t="n">
        <f aca="false">F116-G116</f>
        <v>-5167</v>
      </c>
      <c r="I116" s="51"/>
      <c r="J116" s="51"/>
      <c r="K116" s="51"/>
      <c r="L116" s="51"/>
    </row>
    <row r="117" customFormat="false" ht="15" hidden="false" customHeight="false" outlineLevel="0" collapsed="false">
      <c r="A117" s="46"/>
      <c r="B117" s="49" t="s">
        <v>6444</v>
      </c>
      <c r="C117" s="48" t="n">
        <v>25</v>
      </c>
      <c r="D117" s="48" t="n">
        <v>48</v>
      </c>
      <c r="E117" s="48" t="n">
        <f aca="false">C117-D117</f>
        <v>-23</v>
      </c>
      <c r="F117" s="48" t="n">
        <v>3415</v>
      </c>
      <c r="G117" s="48" t="n">
        <v>6291</v>
      </c>
      <c r="H117" s="48" t="n">
        <f aca="false">F117-G117</f>
        <v>-2876</v>
      </c>
      <c r="I117" s="51"/>
      <c r="J117" s="51"/>
      <c r="K117" s="51"/>
      <c r="L117" s="51"/>
    </row>
    <row r="118" customFormat="false" ht="15" hidden="false" customHeight="false" outlineLevel="0" collapsed="false">
      <c r="A118" s="52"/>
      <c r="B118" s="51"/>
      <c r="C118" s="51" t="n">
        <v>25</v>
      </c>
      <c r="D118" s="51" t="n">
        <v>5</v>
      </c>
      <c r="E118" s="51"/>
      <c r="F118" s="51" t="n">
        <v>1832</v>
      </c>
      <c r="G118" s="51" t="n">
        <v>999</v>
      </c>
      <c r="H118" s="51"/>
      <c r="I118" s="51"/>
      <c r="J118" s="51"/>
      <c r="K118" s="51"/>
      <c r="L118" s="51"/>
    </row>
    <row r="119" customFormat="false" ht="15" hidden="false" customHeight="false" outlineLevel="0" collapsed="false">
      <c r="A119" s="52"/>
      <c r="B119" s="51"/>
      <c r="C119" s="51" t="n">
        <v>24</v>
      </c>
      <c r="D119" s="51" t="n">
        <v>0</v>
      </c>
      <c r="E119" s="51"/>
      <c r="F119" s="51" t="n">
        <v>19947</v>
      </c>
      <c r="G119" s="51" t="n">
        <v>0</v>
      </c>
      <c r="H119" s="51"/>
      <c r="I119" s="51"/>
      <c r="J119" s="51"/>
      <c r="K119" s="51"/>
      <c r="L119" s="51"/>
    </row>
    <row r="120" customFormat="false" ht="15" hidden="false" customHeight="false" outlineLevel="0" collapsed="false">
      <c r="A120" s="52"/>
      <c r="B120" s="51"/>
      <c r="C120" s="51" t="n">
        <v>24</v>
      </c>
      <c r="D120" s="51" t="n">
        <v>16</v>
      </c>
      <c r="E120" s="51"/>
      <c r="F120" s="51" t="n">
        <v>7936</v>
      </c>
      <c r="G120" s="51" t="n">
        <v>4839</v>
      </c>
      <c r="H120" s="51"/>
      <c r="I120" s="51"/>
      <c r="J120" s="51"/>
      <c r="K120" s="51"/>
      <c r="L120" s="51"/>
    </row>
    <row r="121" customFormat="false" ht="15" hidden="false" customHeight="false" outlineLevel="0" collapsed="false">
      <c r="A121" s="52"/>
      <c r="B121" s="51"/>
      <c r="C121" s="51" t="n">
        <v>24</v>
      </c>
      <c r="D121" s="51" t="n">
        <v>7</v>
      </c>
      <c r="E121" s="51"/>
      <c r="F121" s="51" t="n">
        <v>5342</v>
      </c>
      <c r="G121" s="51" t="n">
        <v>4243</v>
      </c>
      <c r="H121" s="51"/>
      <c r="I121" s="51"/>
      <c r="J121" s="51"/>
      <c r="K121" s="51"/>
      <c r="L121" s="51"/>
    </row>
    <row r="122" customFormat="false" ht="15" hidden="false" customHeight="false" outlineLevel="0" collapsed="false">
      <c r="A122" s="46"/>
      <c r="B122" s="49" t="s">
        <v>6445</v>
      </c>
      <c r="C122" s="48" t="n">
        <v>24</v>
      </c>
      <c r="D122" s="48" t="n">
        <v>65</v>
      </c>
      <c r="E122" s="48" t="n">
        <f aca="false">C122-D122</f>
        <v>-41</v>
      </c>
      <c r="F122" s="48" t="n">
        <v>1997</v>
      </c>
      <c r="G122" s="48" t="n">
        <v>4111</v>
      </c>
      <c r="H122" s="48" t="n">
        <f aca="false">F122-G122</f>
        <v>-2114</v>
      </c>
      <c r="I122" s="51"/>
      <c r="J122" s="51"/>
      <c r="K122" s="51"/>
      <c r="L122" s="51"/>
    </row>
    <row r="123" customFormat="false" ht="15" hidden="false" customHeight="false" outlineLevel="0" collapsed="false">
      <c r="A123" s="46"/>
      <c r="B123" s="49" t="s">
        <v>6446</v>
      </c>
      <c r="C123" s="48" t="n">
        <v>23</v>
      </c>
      <c r="D123" s="48" t="n">
        <v>68</v>
      </c>
      <c r="E123" s="48" t="n">
        <f aca="false">C123-D123</f>
        <v>-45</v>
      </c>
      <c r="F123" s="48" t="n">
        <v>17180</v>
      </c>
      <c r="G123" s="48" t="n">
        <v>60034</v>
      </c>
      <c r="H123" s="48" t="n">
        <f aca="false">F123-G123</f>
        <v>-42854</v>
      </c>
      <c r="I123" s="51"/>
      <c r="J123" s="51"/>
      <c r="K123" s="51"/>
      <c r="L123" s="51"/>
    </row>
    <row r="124" customFormat="false" ht="15" hidden="false" customHeight="false" outlineLevel="0" collapsed="false">
      <c r="A124" s="52"/>
      <c r="B124" s="51"/>
      <c r="C124" s="51" t="n">
        <v>23</v>
      </c>
      <c r="D124" s="51" t="n">
        <v>19</v>
      </c>
      <c r="E124" s="51"/>
      <c r="F124" s="51" t="n">
        <v>3805</v>
      </c>
      <c r="G124" s="51" t="n">
        <v>6746</v>
      </c>
      <c r="H124" s="51"/>
      <c r="I124" s="51"/>
      <c r="J124" s="51"/>
      <c r="K124" s="51"/>
      <c r="L124" s="51"/>
    </row>
    <row r="125" customFormat="false" ht="15" hidden="false" customHeight="false" outlineLevel="0" collapsed="false">
      <c r="A125" s="46"/>
      <c r="B125" s="49" t="s">
        <v>6447</v>
      </c>
      <c r="C125" s="48" t="n">
        <v>23</v>
      </c>
      <c r="D125" s="48" t="n">
        <v>49</v>
      </c>
      <c r="E125" s="48" t="n">
        <f aca="false">C125-D125</f>
        <v>-26</v>
      </c>
      <c r="F125" s="48" t="n">
        <v>2314</v>
      </c>
      <c r="G125" s="48" t="n">
        <v>4073</v>
      </c>
      <c r="H125" s="48" t="n">
        <f aca="false">F125-G125</f>
        <v>-1759</v>
      </c>
      <c r="I125" s="51"/>
      <c r="J125" s="51"/>
      <c r="K125" s="51"/>
      <c r="L125" s="51"/>
    </row>
    <row r="126" customFormat="false" ht="15" hidden="false" customHeight="false" outlineLevel="0" collapsed="false">
      <c r="A126" s="52"/>
      <c r="B126" s="51"/>
      <c r="C126" s="51" t="n">
        <v>23</v>
      </c>
      <c r="D126" s="51" t="n">
        <v>12</v>
      </c>
      <c r="E126" s="51"/>
      <c r="F126" s="51" t="n">
        <v>1920</v>
      </c>
      <c r="G126" s="51" t="n">
        <v>1858</v>
      </c>
      <c r="H126" s="51"/>
      <c r="I126" s="51"/>
      <c r="J126" s="51"/>
      <c r="K126" s="51"/>
      <c r="L126" s="51"/>
    </row>
    <row r="127" customFormat="false" ht="15" hidden="false" customHeight="false" outlineLevel="0" collapsed="false">
      <c r="A127" s="46"/>
      <c r="B127" s="49" t="s">
        <v>6448</v>
      </c>
      <c r="C127" s="48" t="n">
        <v>22</v>
      </c>
      <c r="D127" s="48" t="n">
        <v>44</v>
      </c>
      <c r="E127" s="48" t="n">
        <f aca="false">C127-D127</f>
        <v>-22</v>
      </c>
      <c r="F127" s="48" t="n">
        <v>4630</v>
      </c>
      <c r="G127" s="48" t="n">
        <v>16104</v>
      </c>
      <c r="H127" s="48" t="n">
        <f aca="false">F127-G127</f>
        <v>-11474</v>
      </c>
      <c r="I127" s="51"/>
      <c r="J127" s="51"/>
      <c r="K127" s="51"/>
      <c r="L127" s="51"/>
    </row>
    <row r="128" customFormat="false" ht="15" hidden="false" customHeight="false" outlineLevel="0" collapsed="false">
      <c r="A128" s="46"/>
      <c r="B128" s="49" t="s">
        <v>6449</v>
      </c>
      <c r="C128" s="48" t="n">
        <v>21</v>
      </c>
      <c r="D128" s="48" t="n">
        <v>22</v>
      </c>
      <c r="E128" s="48" t="n">
        <f aca="false">C128-D128</f>
        <v>-1</v>
      </c>
      <c r="F128" s="48" t="n">
        <v>14496</v>
      </c>
      <c r="G128" s="48" t="n">
        <v>24581</v>
      </c>
      <c r="H128" s="48" t="n">
        <f aca="false">F128-G128</f>
        <v>-10085</v>
      </c>
      <c r="I128" s="51"/>
      <c r="J128" s="51"/>
      <c r="K128" s="51"/>
      <c r="L128" s="51"/>
    </row>
    <row r="129" customFormat="false" ht="15" hidden="false" customHeight="false" outlineLevel="0" collapsed="false">
      <c r="A129" s="52"/>
      <c r="B129" s="51"/>
      <c r="C129" s="51" t="n">
        <v>21</v>
      </c>
      <c r="D129" s="51" t="n">
        <v>5</v>
      </c>
      <c r="E129" s="51"/>
      <c r="F129" s="51" t="n">
        <v>2597</v>
      </c>
      <c r="G129" s="51" t="n">
        <v>808</v>
      </c>
      <c r="H129" s="51"/>
      <c r="I129" s="51"/>
      <c r="J129" s="51"/>
      <c r="K129" s="51"/>
      <c r="L129" s="51"/>
    </row>
    <row r="130" customFormat="false" ht="15" hidden="false" customHeight="false" outlineLevel="0" collapsed="false">
      <c r="A130" s="52"/>
      <c r="B130" s="51"/>
      <c r="C130" s="51" t="n">
        <v>21</v>
      </c>
      <c r="D130" s="51" t="n">
        <v>2</v>
      </c>
      <c r="E130" s="51"/>
      <c r="F130" s="51" t="n">
        <v>2050</v>
      </c>
      <c r="G130" s="51" t="n">
        <v>460</v>
      </c>
      <c r="H130" s="51"/>
      <c r="I130" s="51"/>
      <c r="J130" s="51"/>
      <c r="K130" s="51"/>
      <c r="L130" s="51"/>
    </row>
    <row r="131" customFormat="false" ht="15" hidden="false" customHeight="false" outlineLevel="0" collapsed="false">
      <c r="A131" s="52"/>
      <c r="B131" s="51"/>
      <c r="C131" s="51" t="n">
        <v>21</v>
      </c>
      <c r="D131" s="51" t="n">
        <v>7</v>
      </c>
      <c r="E131" s="51"/>
      <c r="F131" s="51" t="n">
        <v>1969</v>
      </c>
      <c r="G131" s="51" t="n">
        <v>365</v>
      </c>
      <c r="H131" s="51"/>
      <c r="I131" s="51"/>
      <c r="J131" s="51"/>
      <c r="K131" s="51"/>
      <c r="L131" s="51"/>
    </row>
    <row r="132" customFormat="false" ht="15" hidden="false" customHeight="false" outlineLevel="0" collapsed="false">
      <c r="A132" s="52"/>
      <c r="B132" s="51"/>
      <c r="C132" s="51" t="n">
        <v>20</v>
      </c>
      <c r="D132" s="51" t="n">
        <v>6</v>
      </c>
      <c r="E132" s="51"/>
      <c r="F132" s="51" t="n">
        <v>7815</v>
      </c>
      <c r="G132" s="51" t="n">
        <v>2215</v>
      </c>
      <c r="H132" s="51"/>
      <c r="I132" s="51"/>
      <c r="J132" s="51"/>
      <c r="K132" s="51"/>
      <c r="L132" s="51"/>
    </row>
    <row r="133" customFormat="false" ht="15" hidden="false" customHeight="false" outlineLevel="0" collapsed="false">
      <c r="A133" s="46"/>
      <c r="B133" s="49" t="s">
        <v>6450</v>
      </c>
      <c r="C133" s="48" t="n">
        <v>20</v>
      </c>
      <c r="D133" s="48" t="n">
        <v>72</v>
      </c>
      <c r="E133" s="48" t="n">
        <f aca="false">C133-D133</f>
        <v>-52</v>
      </c>
      <c r="F133" s="48" t="n">
        <v>2017</v>
      </c>
      <c r="G133" s="48" t="n">
        <v>6418</v>
      </c>
      <c r="H133" s="48" t="n">
        <f aca="false">F133-G133</f>
        <v>-4401</v>
      </c>
      <c r="I133" s="51"/>
      <c r="J133" s="51"/>
      <c r="K133" s="51"/>
      <c r="L133" s="51"/>
    </row>
    <row r="134" customFormat="false" ht="15" hidden="false" customHeight="false" outlineLevel="0" collapsed="false">
      <c r="A134" s="46"/>
      <c r="B134" s="49" t="s">
        <v>6451</v>
      </c>
      <c r="C134" s="48" t="n">
        <v>19</v>
      </c>
      <c r="D134" s="48" t="n">
        <v>16</v>
      </c>
      <c r="E134" s="48" t="n">
        <f aca="false">C134-D134</f>
        <v>3</v>
      </c>
      <c r="F134" s="48" t="n">
        <v>4814</v>
      </c>
      <c r="G134" s="48" t="n">
        <v>7193</v>
      </c>
      <c r="H134" s="48" t="n">
        <f aca="false">F134-G134</f>
        <v>-2379</v>
      </c>
      <c r="I134" s="51"/>
      <c r="J134" s="51"/>
      <c r="K134" s="51"/>
      <c r="L134" s="51"/>
    </row>
    <row r="135" customFormat="false" ht="15" hidden="false" customHeight="false" outlineLevel="0" collapsed="false">
      <c r="A135" s="52"/>
      <c r="B135" s="51"/>
      <c r="C135" s="51" t="n">
        <v>19</v>
      </c>
      <c r="D135" s="51" t="n">
        <v>11</v>
      </c>
      <c r="E135" s="51"/>
      <c r="F135" s="51" t="n">
        <v>681</v>
      </c>
      <c r="G135" s="51" t="n">
        <v>761</v>
      </c>
      <c r="H135" s="51"/>
      <c r="I135" s="51"/>
      <c r="J135" s="51"/>
      <c r="K135" s="51"/>
      <c r="L135" s="51"/>
    </row>
    <row r="136" customFormat="false" ht="15" hidden="false" customHeight="false" outlineLevel="0" collapsed="false">
      <c r="A136" s="46"/>
      <c r="B136" s="49" t="s">
        <v>6452</v>
      </c>
      <c r="C136" s="48" t="n">
        <v>18</v>
      </c>
      <c r="D136" s="48" t="n">
        <v>37</v>
      </c>
      <c r="E136" s="48" t="n">
        <f aca="false">C136-D136</f>
        <v>-19</v>
      </c>
      <c r="F136" s="48" t="n">
        <v>11587</v>
      </c>
      <c r="G136" s="48" t="n">
        <v>16253</v>
      </c>
      <c r="H136" s="48" t="n">
        <f aca="false">F136-G136</f>
        <v>-4666</v>
      </c>
      <c r="I136" s="51"/>
      <c r="J136" s="51"/>
      <c r="K136" s="51"/>
      <c r="L136" s="51"/>
    </row>
    <row r="137" customFormat="false" ht="15" hidden="false" customHeight="false" outlineLevel="0" collapsed="false">
      <c r="A137" s="52"/>
      <c r="B137" s="51"/>
      <c r="C137" s="51" t="n">
        <v>18</v>
      </c>
      <c r="D137" s="51" t="n">
        <v>18</v>
      </c>
      <c r="E137" s="51"/>
      <c r="F137" s="51" t="n">
        <v>10670</v>
      </c>
      <c r="G137" s="51" t="n">
        <v>12062</v>
      </c>
      <c r="H137" s="51"/>
      <c r="I137" s="51"/>
      <c r="J137" s="51"/>
      <c r="K137" s="51"/>
      <c r="L137" s="51"/>
    </row>
    <row r="138" customFormat="false" ht="15" hidden="false" customHeight="false" outlineLevel="0" collapsed="false">
      <c r="A138" s="52"/>
      <c r="B138" s="51"/>
      <c r="C138" s="51" t="n">
        <v>18</v>
      </c>
      <c r="D138" s="51" t="n">
        <v>4</v>
      </c>
      <c r="E138" s="51"/>
      <c r="F138" s="51" t="n">
        <v>7590</v>
      </c>
      <c r="G138" s="51" t="n">
        <v>1096</v>
      </c>
      <c r="H138" s="51"/>
      <c r="I138" s="51"/>
      <c r="J138" s="51"/>
      <c r="K138" s="51"/>
      <c r="L138" s="51"/>
    </row>
    <row r="139" customFormat="false" ht="15" hidden="false" customHeight="false" outlineLevel="0" collapsed="false">
      <c r="A139" s="52"/>
      <c r="B139" s="51"/>
      <c r="C139" s="51" t="n">
        <v>18</v>
      </c>
      <c r="D139" s="51" t="n">
        <v>0</v>
      </c>
      <c r="E139" s="51"/>
      <c r="F139" s="51" t="n">
        <v>3526</v>
      </c>
      <c r="G139" s="51" t="n">
        <v>0</v>
      </c>
      <c r="H139" s="51"/>
      <c r="I139" s="51"/>
      <c r="J139" s="51"/>
      <c r="K139" s="51"/>
      <c r="L139" s="51"/>
    </row>
    <row r="140" customFormat="false" ht="15" hidden="false" customHeight="false" outlineLevel="0" collapsed="false">
      <c r="A140" s="46"/>
      <c r="B140" s="49" t="s">
        <v>6453</v>
      </c>
      <c r="C140" s="48" t="n">
        <v>18</v>
      </c>
      <c r="D140" s="48" t="n">
        <v>26</v>
      </c>
      <c r="E140" s="48" t="n">
        <f aca="false">C140-D140</f>
        <v>-8</v>
      </c>
      <c r="F140" s="48" t="n">
        <v>2743</v>
      </c>
      <c r="G140" s="48" t="n">
        <v>5042</v>
      </c>
      <c r="H140" s="48" t="n">
        <f aca="false">F140-G140</f>
        <v>-2299</v>
      </c>
      <c r="I140" s="51"/>
      <c r="J140" s="51"/>
      <c r="K140" s="51"/>
      <c r="L140" s="51"/>
    </row>
    <row r="141" customFormat="false" ht="15" hidden="false" customHeight="false" outlineLevel="0" collapsed="false">
      <c r="A141" s="46"/>
      <c r="B141" s="49" t="s">
        <v>6454</v>
      </c>
      <c r="C141" s="48" t="n">
        <v>18</v>
      </c>
      <c r="D141" s="48" t="n">
        <v>47</v>
      </c>
      <c r="E141" s="48" t="n">
        <f aca="false">C141-D141</f>
        <v>-29</v>
      </c>
      <c r="F141" s="48" t="n">
        <v>2508</v>
      </c>
      <c r="G141" s="48" t="n">
        <v>4526</v>
      </c>
      <c r="H141" s="48" t="n">
        <f aca="false">F141-G141</f>
        <v>-2018</v>
      </c>
      <c r="I141" s="51"/>
      <c r="J141" s="51"/>
      <c r="K141" s="51"/>
      <c r="L141" s="51"/>
    </row>
    <row r="142" customFormat="false" ht="15" hidden="false" customHeight="false" outlineLevel="0" collapsed="false">
      <c r="A142" s="46"/>
      <c r="B142" s="49" t="s">
        <v>6455</v>
      </c>
      <c r="C142" s="48" t="n">
        <v>18</v>
      </c>
      <c r="D142" s="48" t="n">
        <v>80</v>
      </c>
      <c r="E142" s="48" t="n">
        <f aca="false">C142-D142</f>
        <v>-62</v>
      </c>
      <c r="F142" s="48" t="n">
        <v>2156</v>
      </c>
      <c r="G142" s="48" t="n">
        <v>7070</v>
      </c>
      <c r="H142" s="48" t="n">
        <f aca="false">F142-G142</f>
        <v>-4914</v>
      </c>
      <c r="I142" s="51"/>
      <c r="J142" s="51"/>
      <c r="K142" s="51"/>
      <c r="L142" s="51"/>
    </row>
    <row r="143" customFormat="false" ht="15" hidden="false" customHeight="false" outlineLevel="0" collapsed="false">
      <c r="A143" s="52"/>
      <c r="B143" s="51"/>
      <c r="C143" s="51" t="n">
        <v>17</v>
      </c>
      <c r="D143" s="51" t="n">
        <v>3</v>
      </c>
      <c r="E143" s="51"/>
      <c r="F143" s="51" t="n">
        <v>8726</v>
      </c>
      <c r="G143" s="51" t="n">
        <v>8279</v>
      </c>
      <c r="H143" s="51"/>
      <c r="I143" s="51"/>
      <c r="J143" s="51"/>
      <c r="K143" s="51"/>
      <c r="L143" s="51"/>
    </row>
    <row r="144" customFormat="false" ht="15" hidden="false" customHeight="false" outlineLevel="0" collapsed="false">
      <c r="A144" s="46"/>
      <c r="B144" s="49" t="s">
        <v>6456</v>
      </c>
      <c r="C144" s="48" t="n">
        <v>17</v>
      </c>
      <c r="D144" s="48" t="n">
        <v>89</v>
      </c>
      <c r="E144" s="48" t="n">
        <f aca="false">C144-D144</f>
        <v>-72</v>
      </c>
      <c r="F144" s="48" t="n">
        <v>7758</v>
      </c>
      <c r="G144" s="48" t="n">
        <v>19518</v>
      </c>
      <c r="H144" s="48" t="n">
        <f aca="false">F144-G144</f>
        <v>-11760</v>
      </c>
      <c r="I144" s="51"/>
      <c r="J144" s="51"/>
      <c r="K144" s="51"/>
      <c r="L144" s="51"/>
    </row>
    <row r="145" customFormat="false" ht="15" hidden="false" customHeight="false" outlineLevel="0" collapsed="false">
      <c r="A145" s="52"/>
      <c r="B145" s="51"/>
      <c r="C145" s="51" t="n">
        <v>17</v>
      </c>
      <c r="D145" s="51" t="n">
        <v>0</v>
      </c>
      <c r="E145" s="51"/>
      <c r="F145" s="51" t="n">
        <v>4123</v>
      </c>
      <c r="G145" s="51" t="n">
        <v>0</v>
      </c>
      <c r="H145" s="51"/>
      <c r="I145" s="51"/>
      <c r="J145" s="51"/>
      <c r="K145" s="51"/>
      <c r="L145" s="51"/>
    </row>
    <row r="146" customFormat="false" ht="15" hidden="false" customHeight="false" outlineLevel="0" collapsed="false">
      <c r="A146" s="46"/>
      <c r="B146" s="49" t="s">
        <v>6457</v>
      </c>
      <c r="C146" s="48" t="n">
        <v>17</v>
      </c>
      <c r="D146" s="48" t="n">
        <v>12</v>
      </c>
      <c r="E146" s="48" t="n">
        <f aca="false">C146-D146</f>
        <v>5</v>
      </c>
      <c r="F146" s="48" t="n">
        <v>2329</v>
      </c>
      <c r="G146" s="48" t="n">
        <v>974</v>
      </c>
      <c r="H146" s="48" t="n">
        <f aca="false">F146-G146</f>
        <v>1355</v>
      </c>
      <c r="I146" s="51"/>
      <c r="J146" s="51"/>
      <c r="K146" s="51"/>
      <c r="L146" s="51"/>
    </row>
    <row r="147" customFormat="false" ht="15" hidden="false" customHeight="false" outlineLevel="0" collapsed="false">
      <c r="A147" s="52"/>
      <c r="B147" s="51"/>
      <c r="C147" s="51" t="n">
        <v>17</v>
      </c>
      <c r="D147" s="51" t="n">
        <v>0</v>
      </c>
      <c r="E147" s="51"/>
      <c r="F147" s="51" t="n">
        <v>359</v>
      </c>
      <c r="G147" s="51" t="n">
        <v>0</v>
      </c>
      <c r="H147" s="51"/>
      <c r="I147" s="51"/>
      <c r="J147" s="51"/>
      <c r="K147" s="51"/>
      <c r="L147" s="51"/>
    </row>
    <row r="148" customFormat="false" ht="15" hidden="false" customHeight="false" outlineLevel="0" collapsed="false">
      <c r="A148" s="46"/>
      <c r="B148" s="49" t="s">
        <v>6458</v>
      </c>
      <c r="C148" s="48" t="n">
        <v>16</v>
      </c>
      <c r="D148" s="48" t="n">
        <v>56</v>
      </c>
      <c r="E148" s="48" t="n">
        <f aca="false">C148-D148</f>
        <v>-40</v>
      </c>
      <c r="F148" s="48" t="n">
        <v>3496</v>
      </c>
      <c r="G148" s="48" t="n">
        <v>12130</v>
      </c>
      <c r="H148" s="48" t="n">
        <f aca="false">F148-G148</f>
        <v>-8634</v>
      </c>
      <c r="I148" s="51"/>
      <c r="J148" s="51"/>
      <c r="K148" s="51"/>
      <c r="L148" s="51"/>
    </row>
    <row r="149" customFormat="false" ht="15" hidden="false" customHeight="false" outlineLevel="0" collapsed="false">
      <c r="A149" s="52"/>
      <c r="B149" s="51"/>
      <c r="C149" s="51" t="n">
        <v>16</v>
      </c>
      <c r="D149" s="51" t="n">
        <v>8</v>
      </c>
      <c r="E149" s="51"/>
      <c r="F149" s="51" t="n">
        <v>2783</v>
      </c>
      <c r="G149" s="51" t="n">
        <v>2684</v>
      </c>
      <c r="H149" s="51"/>
      <c r="I149" s="51"/>
      <c r="J149" s="51"/>
      <c r="K149" s="51"/>
      <c r="L149" s="51"/>
    </row>
    <row r="150" customFormat="false" ht="15" hidden="false" customHeight="false" outlineLevel="0" collapsed="false">
      <c r="A150" s="52"/>
      <c r="B150" s="51"/>
      <c r="C150" s="51" t="n">
        <v>16</v>
      </c>
      <c r="D150" s="51" t="n">
        <v>0</v>
      </c>
      <c r="E150" s="51"/>
      <c r="F150" s="51" t="n">
        <v>1751</v>
      </c>
      <c r="G150" s="51" t="n">
        <v>0</v>
      </c>
      <c r="H150" s="51"/>
      <c r="I150" s="51"/>
      <c r="J150" s="51"/>
      <c r="K150" s="51"/>
      <c r="L150" s="51"/>
    </row>
    <row r="151" customFormat="false" ht="15" hidden="false" customHeight="false" outlineLevel="0" collapsed="false">
      <c r="A151" s="46"/>
      <c r="B151" s="49" t="s">
        <v>6459</v>
      </c>
      <c r="C151" s="48" t="n">
        <v>15</v>
      </c>
      <c r="D151" s="48" t="n">
        <v>62</v>
      </c>
      <c r="E151" s="48" t="n">
        <f aca="false">C151-D151</f>
        <v>-47</v>
      </c>
      <c r="F151" s="48" t="n">
        <v>4236</v>
      </c>
      <c r="G151" s="48" t="n">
        <v>14227</v>
      </c>
      <c r="H151" s="48" t="n">
        <f aca="false">F151-G151</f>
        <v>-9991</v>
      </c>
      <c r="I151" s="51"/>
      <c r="J151" s="51"/>
      <c r="K151" s="51"/>
      <c r="L151" s="51"/>
    </row>
    <row r="152" customFormat="false" ht="15" hidden="false" customHeight="false" outlineLevel="0" collapsed="false">
      <c r="A152" s="52"/>
      <c r="B152" s="51"/>
      <c r="C152" s="51" t="n">
        <v>15</v>
      </c>
      <c r="D152" s="51" t="n">
        <v>16</v>
      </c>
      <c r="E152" s="51"/>
      <c r="F152" s="51" t="n">
        <v>2007</v>
      </c>
      <c r="G152" s="51" t="n">
        <v>2477</v>
      </c>
      <c r="H152" s="51"/>
      <c r="I152" s="51"/>
      <c r="J152" s="51"/>
      <c r="K152" s="51"/>
      <c r="L152" s="51"/>
    </row>
    <row r="153" customFormat="false" ht="15" hidden="false" customHeight="false" outlineLevel="0" collapsed="false">
      <c r="A153" s="52"/>
      <c r="B153" s="51"/>
      <c r="C153" s="51" t="n">
        <v>15</v>
      </c>
      <c r="D153" s="51" t="n">
        <v>3</v>
      </c>
      <c r="E153" s="51"/>
      <c r="F153" s="51" t="n">
        <v>1183</v>
      </c>
      <c r="G153" s="51" t="n">
        <v>331</v>
      </c>
      <c r="H153" s="51"/>
      <c r="I153" s="51"/>
      <c r="J153" s="51"/>
      <c r="K153" s="51"/>
      <c r="L153" s="51"/>
    </row>
    <row r="154" customFormat="false" ht="15" hidden="false" customHeight="false" outlineLevel="0" collapsed="false">
      <c r="A154" s="52"/>
      <c r="B154" s="51"/>
      <c r="C154" s="51" t="n">
        <v>15</v>
      </c>
      <c r="D154" s="51" t="n">
        <v>0</v>
      </c>
      <c r="E154" s="51"/>
      <c r="F154" s="51" t="n">
        <v>963</v>
      </c>
      <c r="G154" s="51" t="n">
        <v>0</v>
      </c>
      <c r="H154" s="51"/>
      <c r="I154" s="51"/>
      <c r="J154" s="51"/>
      <c r="K154" s="51"/>
      <c r="L154" s="51"/>
    </row>
    <row r="155" customFormat="false" ht="15" hidden="false" customHeight="false" outlineLevel="0" collapsed="false">
      <c r="A155" s="52"/>
      <c r="B155" s="51"/>
      <c r="C155" s="51" t="n">
        <v>15</v>
      </c>
      <c r="D155" s="51" t="n">
        <v>0</v>
      </c>
      <c r="E155" s="51"/>
      <c r="F155" s="51" t="n">
        <v>868</v>
      </c>
      <c r="G155" s="51" t="n">
        <v>0</v>
      </c>
      <c r="H155" s="51"/>
      <c r="I155" s="51"/>
      <c r="J155" s="51"/>
      <c r="K155" s="51"/>
      <c r="L155" s="51"/>
    </row>
    <row r="156" customFormat="false" ht="15" hidden="false" customHeight="false" outlineLevel="0" collapsed="false">
      <c r="A156" s="52"/>
      <c r="B156" s="51"/>
      <c r="C156" s="51" t="n">
        <v>14</v>
      </c>
      <c r="D156" s="51" t="n">
        <v>4</v>
      </c>
      <c r="E156" s="51"/>
      <c r="F156" s="51" t="n">
        <v>7396</v>
      </c>
      <c r="G156" s="51" t="n">
        <v>3920</v>
      </c>
      <c r="H156" s="51"/>
      <c r="I156" s="51"/>
      <c r="J156" s="51"/>
      <c r="K156" s="51"/>
      <c r="L156" s="51"/>
    </row>
    <row r="157" customFormat="false" ht="15" hidden="false" customHeight="false" outlineLevel="0" collapsed="false">
      <c r="A157" s="46"/>
      <c r="B157" s="49" t="s">
        <v>6460</v>
      </c>
      <c r="C157" s="48" t="n">
        <v>14</v>
      </c>
      <c r="D157" s="48" t="n">
        <v>5</v>
      </c>
      <c r="E157" s="48" t="n">
        <f aca="false">C157-D157</f>
        <v>9</v>
      </c>
      <c r="F157" s="48" t="n">
        <v>5363</v>
      </c>
      <c r="G157" s="48" t="n">
        <v>2229</v>
      </c>
      <c r="H157" s="48" t="n">
        <f aca="false">F157-G157</f>
        <v>3134</v>
      </c>
      <c r="I157" s="51"/>
      <c r="J157" s="51"/>
      <c r="K157" s="51"/>
      <c r="L157" s="51"/>
    </row>
    <row r="158" customFormat="false" ht="15" hidden="false" customHeight="false" outlineLevel="0" collapsed="false">
      <c r="A158" s="52"/>
      <c r="B158" s="51"/>
      <c r="C158" s="51" t="n">
        <v>14</v>
      </c>
      <c r="D158" s="51" t="n">
        <v>4</v>
      </c>
      <c r="E158" s="51"/>
      <c r="F158" s="51" t="n">
        <v>3857</v>
      </c>
      <c r="G158" s="51" t="n">
        <v>2868</v>
      </c>
      <c r="H158" s="51"/>
      <c r="I158" s="51"/>
      <c r="J158" s="51"/>
      <c r="K158" s="51"/>
      <c r="L158" s="51"/>
    </row>
    <row r="159" customFormat="false" ht="15" hidden="false" customHeight="false" outlineLevel="0" collapsed="false">
      <c r="A159" s="46"/>
      <c r="B159" s="49" t="s">
        <v>6461</v>
      </c>
      <c r="C159" s="48" t="n">
        <v>14</v>
      </c>
      <c r="D159" s="48" t="n">
        <v>0</v>
      </c>
      <c r="E159" s="48" t="n">
        <f aca="false">C159-D159</f>
        <v>14</v>
      </c>
      <c r="F159" s="48" t="n">
        <v>1845</v>
      </c>
      <c r="G159" s="48" t="n">
        <v>0</v>
      </c>
      <c r="H159" s="48" t="n">
        <f aca="false">F159-G159</f>
        <v>1845</v>
      </c>
      <c r="I159" s="51"/>
      <c r="J159" s="51"/>
      <c r="K159" s="51"/>
      <c r="L159" s="51"/>
    </row>
    <row r="160" customFormat="false" ht="15" hidden="false" customHeight="false" outlineLevel="0" collapsed="false">
      <c r="A160" s="46"/>
      <c r="B160" s="49" t="s">
        <v>6462</v>
      </c>
      <c r="C160" s="48" t="n">
        <v>14</v>
      </c>
      <c r="D160" s="48" t="n">
        <v>0</v>
      </c>
      <c r="E160" s="48" t="n">
        <f aca="false">C160-D160</f>
        <v>14</v>
      </c>
      <c r="F160" s="48" t="n">
        <v>1359</v>
      </c>
      <c r="G160" s="48" t="n">
        <v>0</v>
      </c>
      <c r="H160" s="48" t="n">
        <f aca="false">F160-G160</f>
        <v>1359</v>
      </c>
      <c r="I160" s="51"/>
      <c r="J160" s="51"/>
      <c r="K160" s="51"/>
      <c r="L160" s="51"/>
    </row>
    <row r="161" customFormat="false" ht="15" hidden="false" customHeight="false" outlineLevel="0" collapsed="false">
      <c r="A161" s="52"/>
      <c r="B161" s="51"/>
      <c r="C161" s="51" t="n">
        <v>14</v>
      </c>
      <c r="D161" s="51" t="n">
        <v>0</v>
      </c>
      <c r="E161" s="51"/>
      <c r="F161" s="51" t="n">
        <v>1054</v>
      </c>
      <c r="G161" s="51" t="n">
        <v>0</v>
      </c>
      <c r="H161" s="51"/>
      <c r="I161" s="51"/>
      <c r="J161" s="51"/>
      <c r="K161" s="51"/>
      <c r="L161" s="51"/>
    </row>
    <row r="162" customFormat="false" ht="15" hidden="false" customHeight="false" outlineLevel="0" collapsed="false">
      <c r="A162" s="52"/>
      <c r="B162" s="51"/>
      <c r="C162" s="51" t="n">
        <v>14</v>
      </c>
      <c r="D162" s="51" t="n">
        <v>0</v>
      </c>
      <c r="E162" s="51"/>
      <c r="F162" s="51" t="n">
        <v>365</v>
      </c>
      <c r="G162" s="51" t="n">
        <v>0</v>
      </c>
      <c r="H162" s="51"/>
      <c r="I162" s="51"/>
      <c r="J162" s="51"/>
      <c r="K162" s="51"/>
      <c r="L162" s="51"/>
    </row>
    <row r="163" customFormat="false" ht="15" hidden="false" customHeight="false" outlineLevel="0" collapsed="false">
      <c r="A163" s="52"/>
      <c r="B163" s="51"/>
      <c r="C163" s="51" t="n">
        <v>14</v>
      </c>
      <c r="D163" s="51" t="n">
        <v>0</v>
      </c>
      <c r="E163" s="51"/>
      <c r="F163" s="51" t="n">
        <v>338</v>
      </c>
      <c r="G163" s="51" t="n">
        <v>0</v>
      </c>
      <c r="H163" s="51"/>
      <c r="I163" s="51"/>
      <c r="J163" s="51"/>
      <c r="K163" s="51"/>
      <c r="L163" s="51"/>
    </row>
    <row r="164" customFormat="false" ht="15" hidden="false" customHeight="false" outlineLevel="0" collapsed="false">
      <c r="A164" s="46"/>
      <c r="B164" s="49" t="s">
        <v>6463</v>
      </c>
      <c r="C164" s="48" t="n">
        <v>13</v>
      </c>
      <c r="D164" s="48" t="n">
        <v>6</v>
      </c>
      <c r="E164" s="48" t="n">
        <f aca="false">C164-D164</f>
        <v>7</v>
      </c>
      <c r="F164" s="48" t="n">
        <v>5223</v>
      </c>
      <c r="G164" s="48" t="n">
        <v>10419</v>
      </c>
      <c r="H164" s="48" t="n">
        <f aca="false">F164-G164</f>
        <v>-5196</v>
      </c>
      <c r="I164" s="51"/>
      <c r="J164" s="51"/>
      <c r="K164" s="51"/>
      <c r="L164" s="51"/>
    </row>
    <row r="165" customFormat="false" ht="15" hidden="false" customHeight="false" outlineLevel="0" collapsed="false">
      <c r="A165" s="52"/>
      <c r="B165" s="51"/>
      <c r="C165" s="51" t="n">
        <v>13</v>
      </c>
      <c r="D165" s="51" t="n">
        <v>0</v>
      </c>
      <c r="E165" s="51"/>
      <c r="F165" s="51" t="n">
        <v>4761</v>
      </c>
      <c r="G165" s="51" t="n">
        <v>0</v>
      </c>
      <c r="H165" s="51"/>
      <c r="I165" s="51"/>
      <c r="J165" s="51"/>
      <c r="K165" s="51"/>
      <c r="L165" s="51"/>
    </row>
    <row r="166" customFormat="false" ht="15" hidden="false" customHeight="false" outlineLevel="0" collapsed="false">
      <c r="A166" s="52"/>
      <c r="B166" s="51"/>
      <c r="C166" s="51" t="n">
        <v>13</v>
      </c>
      <c r="D166" s="51" t="n">
        <v>6</v>
      </c>
      <c r="E166" s="51"/>
      <c r="F166" s="51" t="n">
        <v>2165</v>
      </c>
      <c r="G166" s="51" t="n">
        <v>364</v>
      </c>
      <c r="H166" s="51"/>
      <c r="I166" s="51"/>
      <c r="J166" s="51"/>
      <c r="K166" s="51"/>
      <c r="L166" s="51"/>
    </row>
    <row r="167" customFormat="false" ht="15" hidden="false" customHeight="false" outlineLevel="0" collapsed="false">
      <c r="A167" s="52"/>
      <c r="B167" s="51"/>
      <c r="C167" s="51" t="n">
        <v>13</v>
      </c>
      <c r="D167" s="51" t="n">
        <v>3</v>
      </c>
      <c r="E167" s="51"/>
      <c r="F167" s="51" t="n">
        <v>958</v>
      </c>
      <c r="G167" s="51" t="n">
        <v>187</v>
      </c>
      <c r="H167" s="51"/>
      <c r="I167" s="51"/>
      <c r="J167" s="51"/>
      <c r="K167" s="51"/>
      <c r="L167" s="51"/>
    </row>
    <row r="168" customFormat="false" ht="15" hidden="false" customHeight="false" outlineLevel="0" collapsed="false">
      <c r="A168" s="52"/>
      <c r="B168" s="51"/>
      <c r="C168" s="51" t="n">
        <v>12</v>
      </c>
      <c r="D168" s="51" t="n">
        <v>2</v>
      </c>
      <c r="E168" s="51"/>
      <c r="F168" s="51" t="n">
        <v>8268</v>
      </c>
      <c r="G168" s="51" t="n">
        <v>4269</v>
      </c>
      <c r="H168" s="51"/>
      <c r="I168" s="51"/>
      <c r="J168" s="51"/>
      <c r="K168" s="51"/>
      <c r="L168" s="51"/>
    </row>
    <row r="169" customFormat="false" ht="15" hidden="false" customHeight="false" outlineLevel="0" collapsed="false">
      <c r="A169" s="52"/>
      <c r="B169" s="51"/>
      <c r="C169" s="51" t="n">
        <v>12</v>
      </c>
      <c r="D169" s="51" t="n">
        <v>1</v>
      </c>
      <c r="E169" s="51"/>
      <c r="F169" s="51" t="n">
        <v>6521</v>
      </c>
      <c r="G169" s="51" t="n">
        <v>2215</v>
      </c>
      <c r="H169" s="51"/>
      <c r="I169" s="51"/>
      <c r="J169" s="51"/>
      <c r="K169" s="51"/>
      <c r="L169" s="51"/>
    </row>
    <row r="170" customFormat="false" ht="15" hidden="false" customHeight="false" outlineLevel="0" collapsed="false">
      <c r="A170" s="46"/>
      <c r="B170" s="49" t="s">
        <v>6464</v>
      </c>
      <c r="C170" s="48" t="n">
        <v>12</v>
      </c>
      <c r="D170" s="48" t="n">
        <v>32</v>
      </c>
      <c r="E170" s="48" t="n">
        <f aca="false">C170-D170</f>
        <v>-20</v>
      </c>
      <c r="F170" s="48" t="n">
        <v>6104</v>
      </c>
      <c r="G170" s="48" t="n">
        <v>11035</v>
      </c>
      <c r="H170" s="48" t="n">
        <f aca="false">F170-G170</f>
        <v>-4931</v>
      </c>
      <c r="I170" s="51"/>
      <c r="J170" s="51"/>
      <c r="K170" s="51"/>
      <c r="L170" s="51"/>
    </row>
    <row r="171" customFormat="false" ht="15" hidden="false" customHeight="false" outlineLevel="0" collapsed="false">
      <c r="A171" s="46"/>
      <c r="B171" s="49" t="s">
        <v>6465</v>
      </c>
      <c r="C171" s="48" t="n">
        <v>12</v>
      </c>
      <c r="D171" s="48" t="n">
        <v>30</v>
      </c>
      <c r="E171" s="48" t="n">
        <f aca="false">C171-D171</f>
        <v>-18</v>
      </c>
      <c r="F171" s="48" t="n">
        <v>5820</v>
      </c>
      <c r="G171" s="48" t="n">
        <v>13124</v>
      </c>
      <c r="H171" s="48" t="n">
        <f aca="false">F171-G171</f>
        <v>-7304</v>
      </c>
      <c r="I171" s="51"/>
      <c r="J171" s="51"/>
      <c r="K171" s="51"/>
      <c r="L171" s="51"/>
    </row>
    <row r="172" customFormat="false" ht="15" hidden="false" customHeight="false" outlineLevel="0" collapsed="false">
      <c r="A172" s="46"/>
      <c r="B172" s="49" t="s">
        <v>6466</v>
      </c>
      <c r="C172" s="48" t="n">
        <v>12</v>
      </c>
      <c r="D172" s="48" t="n">
        <v>57</v>
      </c>
      <c r="E172" s="48" t="n">
        <f aca="false">C172-D172</f>
        <v>-45</v>
      </c>
      <c r="F172" s="48" t="n">
        <v>5810</v>
      </c>
      <c r="G172" s="48" t="n">
        <v>26107</v>
      </c>
      <c r="H172" s="48" t="n">
        <f aca="false">F172-G172</f>
        <v>-20297</v>
      </c>
      <c r="I172" s="51"/>
      <c r="J172" s="51"/>
      <c r="K172" s="51"/>
      <c r="L172" s="51"/>
    </row>
    <row r="173" customFormat="false" ht="15" hidden="false" customHeight="false" outlineLevel="0" collapsed="false">
      <c r="A173" s="52"/>
      <c r="B173" s="51"/>
      <c r="C173" s="51" t="n">
        <v>12</v>
      </c>
      <c r="D173" s="51" t="n">
        <v>9</v>
      </c>
      <c r="E173" s="51"/>
      <c r="F173" s="51" t="n">
        <v>5158</v>
      </c>
      <c r="G173" s="51" t="n">
        <v>3263</v>
      </c>
      <c r="H173" s="51"/>
      <c r="I173" s="51"/>
      <c r="J173" s="51"/>
      <c r="K173" s="51"/>
      <c r="L173" s="51"/>
    </row>
    <row r="174" customFormat="false" ht="15" hidden="false" customHeight="false" outlineLevel="0" collapsed="false">
      <c r="A174" s="52"/>
      <c r="B174" s="51"/>
      <c r="C174" s="51" t="n">
        <v>12</v>
      </c>
      <c r="D174" s="51" t="n">
        <v>0</v>
      </c>
      <c r="E174" s="51"/>
      <c r="F174" s="51" t="n">
        <v>4289</v>
      </c>
      <c r="G174" s="51" t="n">
        <v>921</v>
      </c>
      <c r="H174" s="51"/>
      <c r="I174" s="51"/>
      <c r="J174" s="51"/>
      <c r="K174" s="51"/>
      <c r="L174" s="51"/>
    </row>
    <row r="175" customFormat="false" ht="15" hidden="false" customHeight="false" outlineLevel="0" collapsed="false">
      <c r="A175" s="52"/>
      <c r="B175" s="51"/>
      <c r="C175" s="51" t="n">
        <v>12</v>
      </c>
      <c r="D175" s="51" t="n">
        <v>0</v>
      </c>
      <c r="E175" s="51"/>
      <c r="F175" s="51" t="n">
        <v>4217</v>
      </c>
      <c r="G175" s="51" t="n">
        <v>772</v>
      </c>
      <c r="H175" s="51"/>
      <c r="I175" s="51"/>
      <c r="J175" s="51"/>
      <c r="K175" s="51"/>
      <c r="L175" s="51"/>
    </row>
    <row r="176" customFormat="false" ht="15" hidden="false" customHeight="false" outlineLevel="0" collapsed="false">
      <c r="A176" s="52"/>
      <c r="B176" s="51"/>
      <c r="C176" s="51" t="n">
        <v>12</v>
      </c>
      <c r="D176" s="51" t="n">
        <v>14</v>
      </c>
      <c r="E176" s="51"/>
      <c r="F176" s="51" t="n">
        <v>3469</v>
      </c>
      <c r="G176" s="51" t="n">
        <v>3517</v>
      </c>
      <c r="H176" s="51"/>
      <c r="I176" s="51"/>
      <c r="J176" s="51"/>
      <c r="K176" s="51"/>
      <c r="L176" s="51"/>
    </row>
    <row r="177" customFormat="false" ht="15" hidden="false" customHeight="false" outlineLevel="0" collapsed="false">
      <c r="A177" s="52"/>
      <c r="B177" s="51"/>
      <c r="C177" s="51" t="n">
        <v>12</v>
      </c>
      <c r="D177" s="51" t="n">
        <v>3</v>
      </c>
      <c r="E177" s="51"/>
      <c r="F177" s="51" t="n">
        <v>1970</v>
      </c>
      <c r="G177" s="51" t="n">
        <v>480</v>
      </c>
      <c r="H177" s="51"/>
      <c r="I177" s="51"/>
      <c r="J177" s="51"/>
      <c r="K177" s="51"/>
      <c r="L177" s="51"/>
    </row>
    <row r="178" customFormat="false" ht="15" hidden="false" customHeight="false" outlineLevel="0" collapsed="false">
      <c r="A178" s="52"/>
      <c r="B178" s="51"/>
      <c r="C178" s="51" t="n">
        <v>12</v>
      </c>
      <c r="D178" s="51" t="n">
        <v>12</v>
      </c>
      <c r="E178" s="51"/>
      <c r="F178" s="51" t="n">
        <v>1965</v>
      </c>
      <c r="G178" s="51" t="n">
        <v>1953</v>
      </c>
      <c r="H178" s="51"/>
      <c r="I178" s="51"/>
      <c r="J178" s="51"/>
      <c r="K178" s="51"/>
      <c r="L178" s="51"/>
    </row>
    <row r="179" customFormat="false" ht="15" hidden="false" customHeight="false" outlineLevel="0" collapsed="false">
      <c r="A179" s="52"/>
      <c r="B179" s="51"/>
      <c r="C179" s="51" t="n">
        <v>12</v>
      </c>
      <c r="D179" s="51" t="n">
        <v>8</v>
      </c>
      <c r="E179" s="51"/>
      <c r="F179" s="51" t="n">
        <v>1181</v>
      </c>
      <c r="G179" s="51" t="n">
        <v>555</v>
      </c>
      <c r="H179" s="51"/>
      <c r="I179" s="51"/>
      <c r="J179" s="51"/>
      <c r="K179" s="51"/>
      <c r="L179" s="51"/>
    </row>
    <row r="180" customFormat="false" ht="15" hidden="false" customHeight="false" outlineLevel="0" collapsed="false">
      <c r="A180" s="46"/>
      <c r="B180" s="49" t="s">
        <v>6467</v>
      </c>
      <c r="C180" s="48" t="n">
        <v>11</v>
      </c>
      <c r="D180" s="48" t="n">
        <v>99</v>
      </c>
      <c r="E180" s="48" t="n">
        <f aca="false">C180-D180</f>
        <v>-88</v>
      </c>
      <c r="F180" s="48" t="n">
        <v>6630</v>
      </c>
      <c r="G180" s="48" t="n">
        <v>20497</v>
      </c>
      <c r="H180" s="48" t="n">
        <f aca="false">F180-G180</f>
        <v>-13867</v>
      </c>
      <c r="I180" s="51"/>
      <c r="J180" s="51"/>
      <c r="K180" s="51"/>
      <c r="L180" s="51"/>
    </row>
    <row r="181" customFormat="false" ht="15" hidden="false" customHeight="false" outlineLevel="0" collapsed="false">
      <c r="A181" s="46"/>
      <c r="B181" s="49" t="s">
        <v>6468</v>
      </c>
      <c r="C181" s="48" t="n">
        <v>11</v>
      </c>
      <c r="D181" s="48" t="n">
        <v>50</v>
      </c>
      <c r="E181" s="48" t="n">
        <f aca="false">C181-D181</f>
        <v>-39</v>
      </c>
      <c r="F181" s="48" t="n">
        <v>5824</v>
      </c>
      <c r="G181" s="48" t="n">
        <v>16568</v>
      </c>
      <c r="H181" s="48" t="n">
        <f aca="false">F181-G181</f>
        <v>-10744</v>
      </c>
      <c r="I181" s="51"/>
      <c r="J181" s="51"/>
      <c r="K181" s="51"/>
      <c r="L181" s="51"/>
    </row>
    <row r="182" customFormat="false" ht="15" hidden="false" customHeight="false" outlineLevel="0" collapsed="false">
      <c r="A182" s="52"/>
      <c r="B182" s="51"/>
      <c r="C182" s="51" t="n">
        <v>11</v>
      </c>
      <c r="D182" s="51" t="n">
        <v>13</v>
      </c>
      <c r="E182" s="51"/>
      <c r="F182" s="51" t="n">
        <v>5719</v>
      </c>
      <c r="G182" s="51" t="n">
        <v>2840</v>
      </c>
      <c r="H182" s="51"/>
      <c r="I182" s="51"/>
      <c r="J182" s="51"/>
      <c r="K182" s="51"/>
      <c r="L182" s="51"/>
    </row>
    <row r="183" customFormat="false" ht="15" hidden="false" customHeight="false" outlineLevel="0" collapsed="false">
      <c r="A183" s="46"/>
      <c r="B183" s="49" t="s">
        <v>6469</v>
      </c>
      <c r="C183" s="48" t="n">
        <v>11</v>
      </c>
      <c r="D183" s="48" t="n">
        <v>5</v>
      </c>
      <c r="E183" s="48" t="n">
        <f aca="false">C183-D183</f>
        <v>6</v>
      </c>
      <c r="F183" s="48" t="n">
        <v>3986</v>
      </c>
      <c r="G183" s="48" t="n">
        <v>7913</v>
      </c>
      <c r="H183" s="48" t="n">
        <f aca="false">F183-G183</f>
        <v>-3927</v>
      </c>
      <c r="I183" s="51"/>
      <c r="J183" s="51"/>
      <c r="K183" s="51"/>
      <c r="L183" s="51"/>
    </row>
    <row r="184" customFormat="false" ht="15" hidden="false" customHeight="false" outlineLevel="0" collapsed="false">
      <c r="A184" s="46"/>
      <c r="B184" s="49" t="s">
        <v>6470</v>
      </c>
      <c r="C184" s="48" t="n">
        <v>11</v>
      </c>
      <c r="D184" s="48" t="n">
        <v>33</v>
      </c>
      <c r="E184" s="48" t="n">
        <f aca="false">C184-D184</f>
        <v>-22</v>
      </c>
      <c r="F184" s="48" t="n">
        <v>3661</v>
      </c>
      <c r="G184" s="48" t="n">
        <v>4973</v>
      </c>
      <c r="H184" s="48" t="n">
        <f aca="false">F184-G184</f>
        <v>-1312</v>
      </c>
      <c r="I184" s="51"/>
      <c r="J184" s="51"/>
      <c r="K184" s="51"/>
      <c r="L184" s="51"/>
    </row>
    <row r="185" customFormat="false" ht="15" hidden="false" customHeight="false" outlineLevel="0" collapsed="false">
      <c r="A185" s="52"/>
      <c r="B185" s="51"/>
      <c r="C185" s="51" t="n">
        <v>11</v>
      </c>
      <c r="D185" s="51" t="n">
        <v>6</v>
      </c>
      <c r="E185" s="51"/>
      <c r="F185" s="51" t="n">
        <v>2556</v>
      </c>
      <c r="G185" s="51" t="n">
        <v>1572</v>
      </c>
      <c r="H185" s="51"/>
      <c r="I185" s="51"/>
      <c r="J185" s="51"/>
      <c r="K185" s="51"/>
      <c r="L185" s="51"/>
    </row>
    <row r="186" customFormat="false" ht="15" hidden="false" customHeight="false" outlineLevel="0" collapsed="false">
      <c r="A186" s="52"/>
      <c r="B186" s="51"/>
      <c r="C186" s="51" t="n">
        <v>11</v>
      </c>
      <c r="D186" s="51" t="n">
        <v>13</v>
      </c>
      <c r="E186" s="51"/>
      <c r="F186" s="51" t="n">
        <v>888</v>
      </c>
      <c r="G186" s="51" t="n">
        <v>1137</v>
      </c>
      <c r="H186" s="51"/>
      <c r="I186" s="51"/>
      <c r="J186" s="51"/>
      <c r="K186" s="51"/>
      <c r="L186" s="51"/>
    </row>
    <row r="187" customFormat="false" ht="15" hidden="false" customHeight="false" outlineLevel="0" collapsed="false">
      <c r="A187" s="52"/>
      <c r="B187" s="51"/>
      <c r="C187" s="51" t="n">
        <v>11</v>
      </c>
      <c r="D187" s="51" t="n">
        <v>0</v>
      </c>
      <c r="E187" s="51"/>
      <c r="F187" s="51" t="n">
        <v>670</v>
      </c>
      <c r="G187" s="51" t="n">
        <v>0</v>
      </c>
      <c r="H187" s="51"/>
      <c r="I187" s="51"/>
      <c r="J187" s="51"/>
      <c r="K187" s="51"/>
      <c r="L187" s="51"/>
    </row>
    <row r="188" customFormat="false" ht="15" hidden="false" customHeight="false" outlineLevel="0" collapsed="false">
      <c r="A188" s="52"/>
      <c r="B188" s="51"/>
      <c r="C188" s="51" t="n">
        <v>10</v>
      </c>
      <c r="D188" s="51" t="n">
        <v>1</v>
      </c>
      <c r="E188" s="51"/>
      <c r="F188" s="51" t="n">
        <v>23942</v>
      </c>
      <c r="G188" s="51" t="n">
        <v>565</v>
      </c>
      <c r="H188" s="51"/>
      <c r="I188" s="51"/>
      <c r="J188" s="51"/>
      <c r="K188" s="51"/>
      <c r="L188" s="51"/>
    </row>
    <row r="189" customFormat="false" ht="15" hidden="false" customHeight="false" outlineLevel="0" collapsed="false">
      <c r="A189" s="52"/>
      <c r="B189" s="51"/>
      <c r="C189" s="51" t="n">
        <v>10</v>
      </c>
      <c r="D189" s="51" t="n">
        <v>2</v>
      </c>
      <c r="E189" s="51"/>
      <c r="F189" s="51" t="n">
        <v>8163</v>
      </c>
      <c r="G189" s="51" t="n">
        <v>2143</v>
      </c>
      <c r="H189" s="51"/>
      <c r="I189" s="51"/>
      <c r="J189" s="51"/>
      <c r="K189" s="51"/>
      <c r="L189" s="51"/>
    </row>
    <row r="190" customFormat="false" ht="15" hidden="false" customHeight="false" outlineLevel="0" collapsed="false">
      <c r="A190" s="46"/>
      <c r="B190" s="49" t="s">
        <v>6471</v>
      </c>
      <c r="C190" s="48" t="n">
        <v>10</v>
      </c>
      <c r="D190" s="48" t="n">
        <v>107</v>
      </c>
      <c r="E190" s="48" t="n">
        <f aca="false">C190-D190</f>
        <v>-97</v>
      </c>
      <c r="F190" s="48" t="n">
        <v>7929</v>
      </c>
      <c r="G190" s="48" t="n">
        <v>23497</v>
      </c>
      <c r="H190" s="48" t="n">
        <f aca="false">F190-G190</f>
        <v>-15568</v>
      </c>
      <c r="I190" s="51"/>
      <c r="J190" s="51"/>
      <c r="K190" s="51"/>
      <c r="L190" s="51"/>
    </row>
    <row r="191" customFormat="false" ht="15" hidden="false" customHeight="false" outlineLevel="0" collapsed="false">
      <c r="A191" s="52"/>
      <c r="B191" s="51"/>
      <c r="C191" s="51" t="n">
        <v>10</v>
      </c>
      <c r="D191" s="51" t="n">
        <v>2</v>
      </c>
      <c r="E191" s="51"/>
      <c r="F191" s="51" t="n">
        <v>4705</v>
      </c>
      <c r="G191" s="51" t="n">
        <v>1079</v>
      </c>
      <c r="H191" s="51"/>
      <c r="I191" s="51"/>
      <c r="J191" s="51"/>
      <c r="K191" s="51"/>
      <c r="L191" s="51"/>
    </row>
    <row r="192" customFormat="false" ht="15" hidden="false" customHeight="false" outlineLevel="0" collapsed="false">
      <c r="A192" s="52"/>
      <c r="B192" s="51"/>
      <c r="C192" s="51" t="n">
        <v>10</v>
      </c>
      <c r="D192" s="51" t="n">
        <v>0</v>
      </c>
      <c r="E192" s="51"/>
      <c r="F192" s="51" t="n">
        <v>2123</v>
      </c>
      <c r="G192" s="51" t="n">
        <v>0</v>
      </c>
      <c r="H192" s="51"/>
      <c r="I192" s="51"/>
      <c r="J192" s="51"/>
      <c r="K192" s="51"/>
      <c r="L192" s="51"/>
    </row>
    <row r="193" customFormat="false" ht="15" hidden="false" customHeight="false" outlineLevel="0" collapsed="false">
      <c r="A193" s="46"/>
      <c r="B193" s="49" t="s">
        <v>6472</v>
      </c>
      <c r="C193" s="48" t="n">
        <v>10</v>
      </c>
      <c r="D193" s="48" t="n">
        <v>28</v>
      </c>
      <c r="E193" s="48" t="n">
        <f aca="false">C193-D193</f>
        <v>-18</v>
      </c>
      <c r="F193" s="48" t="n">
        <v>1832</v>
      </c>
      <c r="G193" s="48" t="n">
        <v>5109</v>
      </c>
      <c r="H193" s="48" t="n">
        <f aca="false">F193-G193</f>
        <v>-3277</v>
      </c>
      <c r="I193" s="51"/>
      <c r="J193" s="51"/>
      <c r="K193" s="51"/>
      <c r="L193" s="51"/>
    </row>
    <row r="194" customFormat="false" ht="15" hidden="false" customHeight="false" outlineLevel="0" collapsed="false">
      <c r="A194" s="46"/>
      <c r="B194" s="49" t="s">
        <v>6473</v>
      </c>
      <c r="C194" s="48" t="n">
        <v>10</v>
      </c>
      <c r="D194" s="48" t="n">
        <v>7</v>
      </c>
      <c r="E194" s="48" t="n">
        <f aca="false">C194-D194</f>
        <v>3</v>
      </c>
      <c r="F194" s="48" t="n">
        <v>1320</v>
      </c>
      <c r="G194" s="48" t="n">
        <v>2327</v>
      </c>
      <c r="H194" s="48" t="n">
        <f aca="false">F194-G194</f>
        <v>-1007</v>
      </c>
      <c r="I194" s="51"/>
      <c r="J194" s="51"/>
      <c r="K194" s="51"/>
      <c r="L194" s="51"/>
    </row>
    <row r="195" customFormat="false" ht="15" hidden="false" customHeight="false" outlineLevel="0" collapsed="false">
      <c r="A195" s="52"/>
      <c r="B195" s="51"/>
      <c r="C195" s="51" t="n">
        <v>10</v>
      </c>
      <c r="D195" s="51" t="n">
        <v>2</v>
      </c>
      <c r="E195" s="51"/>
      <c r="F195" s="51" t="n">
        <v>1235</v>
      </c>
      <c r="G195" s="51" t="n">
        <v>532</v>
      </c>
      <c r="H195" s="51"/>
      <c r="I195" s="51"/>
      <c r="J195" s="51"/>
      <c r="K195" s="51"/>
      <c r="L195" s="51"/>
    </row>
    <row r="196" customFormat="false" ht="15" hidden="false" customHeight="false" outlineLevel="0" collapsed="false">
      <c r="A196" s="52"/>
      <c r="B196" s="51"/>
      <c r="C196" s="51" t="n">
        <v>10</v>
      </c>
      <c r="D196" s="51" t="n">
        <v>0</v>
      </c>
      <c r="E196" s="51"/>
      <c r="F196" s="51" t="n">
        <v>826</v>
      </c>
      <c r="G196" s="51" t="n">
        <v>0</v>
      </c>
      <c r="H196" s="51"/>
      <c r="I196" s="51"/>
      <c r="J196" s="51"/>
      <c r="K196" s="51"/>
      <c r="L196" s="51"/>
    </row>
    <row r="197" customFormat="false" ht="15" hidden="false" customHeight="false" outlineLevel="0" collapsed="false">
      <c r="A197" s="52"/>
      <c r="B197" s="51"/>
      <c r="C197" s="51" t="n">
        <v>10</v>
      </c>
      <c r="D197" s="51" t="n">
        <v>0</v>
      </c>
      <c r="E197" s="51"/>
      <c r="F197" s="51" t="n">
        <v>632</v>
      </c>
      <c r="G197" s="51" t="n">
        <v>0</v>
      </c>
      <c r="H197" s="51"/>
      <c r="I197" s="51"/>
      <c r="J197" s="51"/>
      <c r="K197" s="51"/>
      <c r="L197" s="51"/>
    </row>
    <row r="198" customFormat="false" ht="15" hidden="false" customHeight="false" outlineLevel="0" collapsed="false">
      <c r="A198" s="52"/>
      <c r="B198" s="51"/>
      <c r="C198" s="51" t="n">
        <v>10</v>
      </c>
      <c r="D198" s="51" t="n">
        <v>0</v>
      </c>
      <c r="E198" s="51"/>
      <c r="F198" s="51" t="n">
        <v>558</v>
      </c>
      <c r="G198" s="51" t="n">
        <v>0</v>
      </c>
      <c r="H198" s="51"/>
      <c r="I198" s="51"/>
      <c r="J198" s="51"/>
      <c r="K198" s="51"/>
      <c r="L198" s="51"/>
    </row>
    <row r="199" customFormat="false" ht="15" hidden="false" customHeight="false" outlineLevel="0" collapsed="false">
      <c r="A199" s="52"/>
      <c r="B199" s="51"/>
      <c r="C199" s="51" t="n">
        <v>10</v>
      </c>
      <c r="D199" s="51" t="n">
        <v>0</v>
      </c>
      <c r="E199" s="51"/>
      <c r="F199" s="51" t="n">
        <v>551</v>
      </c>
      <c r="G199" s="51" t="n">
        <v>0</v>
      </c>
      <c r="H199" s="51"/>
      <c r="I199" s="51"/>
      <c r="J199" s="51"/>
      <c r="K199" s="51"/>
      <c r="L199" s="51"/>
    </row>
    <row r="200" customFormat="false" ht="15" hidden="false" customHeight="false" outlineLevel="0" collapsed="false">
      <c r="A200" s="52"/>
      <c r="B200" s="51"/>
      <c r="C200" s="51" t="n">
        <v>10</v>
      </c>
      <c r="D200" s="51" t="n">
        <v>1</v>
      </c>
      <c r="E200" s="51"/>
      <c r="F200" s="51" t="n">
        <v>371</v>
      </c>
      <c r="G200" s="51" t="n">
        <v>219</v>
      </c>
      <c r="H200" s="51"/>
      <c r="I200" s="51"/>
      <c r="J200" s="51"/>
      <c r="K200" s="51"/>
      <c r="L200" s="51"/>
    </row>
    <row r="201" customFormat="false" ht="15" hidden="false" customHeight="false" outlineLevel="0" collapsed="false">
      <c r="A201" s="46"/>
      <c r="B201" s="49" t="s">
        <v>6474</v>
      </c>
      <c r="C201" s="48" t="n">
        <v>10</v>
      </c>
      <c r="D201" s="48" t="n">
        <v>14</v>
      </c>
      <c r="E201" s="48" t="n">
        <f aca="false">C201-D201</f>
        <v>-4</v>
      </c>
      <c r="F201" s="48" t="n">
        <v>346</v>
      </c>
      <c r="G201" s="48" t="n">
        <v>790</v>
      </c>
      <c r="H201" s="48" t="n">
        <f aca="false">F201-G201</f>
        <v>-444</v>
      </c>
      <c r="I201" s="51"/>
      <c r="J201" s="51"/>
      <c r="K201" s="51"/>
      <c r="L201" s="51"/>
    </row>
    <row r="202" customFormat="false" ht="15" hidden="false" customHeight="false" outlineLevel="0" collapsed="false">
      <c r="A202" s="52"/>
      <c r="B202" s="51"/>
      <c r="C202" s="51" t="n">
        <v>10</v>
      </c>
      <c r="D202" s="51" t="n">
        <v>0</v>
      </c>
      <c r="E202" s="51"/>
      <c r="F202" s="51" t="n">
        <v>303</v>
      </c>
      <c r="G202" s="51" t="n">
        <v>0</v>
      </c>
      <c r="H202" s="51"/>
      <c r="I202" s="51"/>
      <c r="J202" s="51"/>
      <c r="K202" s="51"/>
      <c r="L202" s="51"/>
    </row>
    <row r="203" customFormat="false" ht="15" hidden="false" customHeight="false" outlineLevel="0" collapsed="false">
      <c r="A203" s="52"/>
      <c r="B203" s="51"/>
      <c r="C203" s="51" t="n">
        <v>10</v>
      </c>
      <c r="D203" s="51" t="n">
        <v>0</v>
      </c>
      <c r="E203" s="51"/>
      <c r="F203" s="51" t="n">
        <v>238</v>
      </c>
      <c r="G203" s="51" t="n">
        <v>0</v>
      </c>
      <c r="H203" s="51"/>
      <c r="I203" s="51"/>
      <c r="J203" s="51"/>
      <c r="K203" s="51"/>
      <c r="L203" s="51"/>
    </row>
    <row r="204" customFormat="false" ht="15" hidden="false" customHeight="false" outlineLevel="0" collapsed="false">
      <c r="A204" s="46"/>
      <c r="B204" s="49" t="s">
        <v>6475</v>
      </c>
      <c r="C204" s="48" t="n">
        <v>9</v>
      </c>
      <c r="D204" s="48" t="n">
        <v>38</v>
      </c>
      <c r="E204" s="48" t="n">
        <f aca="false">C204-D204</f>
        <v>-29</v>
      </c>
      <c r="F204" s="48" t="n">
        <v>10935</v>
      </c>
      <c r="G204" s="48" t="n">
        <v>31406</v>
      </c>
      <c r="H204" s="48" t="n">
        <f aca="false">F204-G204</f>
        <v>-20471</v>
      </c>
      <c r="I204" s="51"/>
      <c r="J204" s="51"/>
      <c r="K204" s="51"/>
      <c r="L204" s="51"/>
    </row>
    <row r="205" customFormat="false" ht="15" hidden="false" customHeight="false" outlineLevel="0" collapsed="false">
      <c r="A205" s="52"/>
      <c r="B205" s="51"/>
      <c r="C205" s="51" t="n">
        <v>9</v>
      </c>
      <c r="D205" s="51" t="n">
        <v>4</v>
      </c>
      <c r="E205" s="51"/>
      <c r="F205" s="51" t="n">
        <v>4937</v>
      </c>
      <c r="G205" s="51" t="n">
        <v>521</v>
      </c>
      <c r="H205" s="51"/>
      <c r="I205" s="51"/>
      <c r="J205" s="51"/>
      <c r="K205" s="51"/>
      <c r="L205" s="51"/>
    </row>
    <row r="206" customFormat="false" ht="15" hidden="false" customHeight="false" outlineLevel="0" collapsed="false">
      <c r="A206" s="46"/>
      <c r="B206" s="49" t="s">
        <v>6476</v>
      </c>
      <c r="C206" s="48" t="n">
        <v>9</v>
      </c>
      <c r="D206" s="48" t="n">
        <v>25</v>
      </c>
      <c r="E206" s="48" t="n">
        <f aca="false">C206-D206</f>
        <v>-16</v>
      </c>
      <c r="F206" s="48" t="n">
        <v>3629</v>
      </c>
      <c r="G206" s="48" t="n">
        <v>10105</v>
      </c>
      <c r="H206" s="48" t="n">
        <f aca="false">F206-G206</f>
        <v>-6476</v>
      </c>
      <c r="I206" s="51"/>
      <c r="J206" s="51"/>
      <c r="K206" s="51"/>
      <c r="L206" s="51"/>
    </row>
    <row r="207" customFormat="false" ht="15" hidden="false" customHeight="false" outlineLevel="0" collapsed="false">
      <c r="A207" s="46"/>
      <c r="B207" s="49" t="s">
        <v>6477</v>
      </c>
      <c r="C207" s="48" t="n">
        <v>9</v>
      </c>
      <c r="D207" s="48" t="n">
        <v>25</v>
      </c>
      <c r="E207" s="48" t="n">
        <f aca="false">C207-D207</f>
        <v>-16</v>
      </c>
      <c r="F207" s="48" t="n">
        <v>2375</v>
      </c>
      <c r="G207" s="48" t="n">
        <v>4153</v>
      </c>
      <c r="H207" s="48" t="n">
        <f aca="false">F207-G207</f>
        <v>-1778</v>
      </c>
      <c r="I207" s="51"/>
      <c r="J207" s="51"/>
      <c r="K207" s="51"/>
      <c r="L207" s="51"/>
    </row>
    <row r="208" customFormat="false" ht="15" hidden="false" customHeight="false" outlineLevel="0" collapsed="false">
      <c r="A208" s="52"/>
      <c r="B208" s="51"/>
      <c r="C208" s="51" t="n">
        <v>9</v>
      </c>
      <c r="D208" s="51" t="n">
        <v>2</v>
      </c>
      <c r="E208" s="51"/>
      <c r="F208" s="51" t="n">
        <v>2040</v>
      </c>
      <c r="G208" s="51" t="n">
        <v>1208</v>
      </c>
      <c r="H208" s="51"/>
      <c r="I208" s="51"/>
      <c r="J208" s="51"/>
      <c r="K208" s="51"/>
      <c r="L208" s="51"/>
    </row>
    <row r="209" customFormat="false" ht="15" hidden="false" customHeight="false" outlineLevel="0" collapsed="false">
      <c r="A209" s="52"/>
      <c r="B209" s="51"/>
      <c r="C209" s="51" t="n">
        <v>9</v>
      </c>
      <c r="D209" s="51" t="n">
        <v>0</v>
      </c>
      <c r="E209" s="51"/>
      <c r="F209" s="51" t="n">
        <v>1452</v>
      </c>
      <c r="G209" s="51" t="n">
        <v>0</v>
      </c>
      <c r="H209" s="51"/>
      <c r="I209" s="51"/>
      <c r="J209" s="51"/>
      <c r="K209" s="51"/>
      <c r="L209" s="51"/>
    </row>
    <row r="210" customFormat="false" ht="15" hidden="false" customHeight="false" outlineLevel="0" collapsed="false">
      <c r="A210" s="52"/>
      <c r="B210" s="51"/>
      <c r="C210" s="51" t="n">
        <v>9</v>
      </c>
      <c r="D210" s="51" t="n">
        <v>12</v>
      </c>
      <c r="E210" s="51"/>
      <c r="F210" s="51" t="n">
        <v>1139</v>
      </c>
      <c r="G210" s="51" t="n">
        <v>1581</v>
      </c>
      <c r="H210" s="51"/>
      <c r="I210" s="51"/>
      <c r="J210" s="51"/>
      <c r="K210" s="51"/>
      <c r="L210" s="51"/>
    </row>
    <row r="211" customFormat="false" ht="15" hidden="false" customHeight="false" outlineLevel="0" collapsed="false">
      <c r="A211" s="52"/>
      <c r="B211" s="51"/>
      <c r="C211" s="51" t="n">
        <v>9</v>
      </c>
      <c r="D211" s="51" t="n">
        <v>0</v>
      </c>
      <c r="E211" s="51"/>
      <c r="F211" s="51" t="n">
        <v>1067</v>
      </c>
      <c r="G211" s="51" t="n">
        <v>434</v>
      </c>
      <c r="H211" s="51"/>
      <c r="I211" s="51"/>
      <c r="J211" s="51"/>
      <c r="K211" s="51"/>
      <c r="L211" s="51"/>
    </row>
    <row r="212" customFormat="false" ht="15" hidden="false" customHeight="false" outlineLevel="0" collapsed="false">
      <c r="A212" s="52"/>
      <c r="B212" s="51"/>
      <c r="C212" s="51" t="n">
        <v>9</v>
      </c>
      <c r="D212" s="51" t="n">
        <v>0</v>
      </c>
      <c r="E212" s="51"/>
      <c r="F212" s="51" t="n">
        <v>1059</v>
      </c>
      <c r="G212" s="51" t="n">
        <v>0</v>
      </c>
      <c r="H212" s="51"/>
      <c r="I212" s="51"/>
      <c r="J212" s="51"/>
      <c r="K212" s="51"/>
      <c r="L212" s="51"/>
    </row>
    <row r="213" customFormat="false" ht="15" hidden="false" customHeight="false" outlineLevel="0" collapsed="false">
      <c r="A213" s="52"/>
      <c r="B213" s="51"/>
      <c r="C213" s="51" t="n">
        <v>9</v>
      </c>
      <c r="D213" s="51" t="n">
        <v>1</v>
      </c>
      <c r="E213" s="51"/>
      <c r="F213" s="51" t="n">
        <v>1054</v>
      </c>
      <c r="G213" s="51" t="n">
        <v>66</v>
      </c>
      <c r="H213" s="51"/>
      <c r="I213" s="51"/>
      <c r="J213" s="51"/>
      <c r="K213" s="51"/>
      <c r="L213" s="51"/>
    </row>
    <row r="214" customFormat="false" ht="15" hidden="false" customHeight="false" outlineLevel="0" collapsed="false">
      <c r="A214" s="52"/>
      <c r="B214" s="51"/>
      <c r="C214" s="51" t="n">
        <v>9</v>
      </c>
      <c r="D214" s="51" t="n">
        <v>6</v>
      </c>
      <c r="E214" s="51"/>
      <c r="F214" s="51" t="n">
        <v>551</v>
      </c>
      <c r="G214" s="51" t="n">
        <v>965</v>
      </c>
      <c r="H214" s="51"/>
      <c r="I214" s="51"/>
      <c r="J214" s="51"/>
      <c r="K214" s="51"/>
      <c r="L214" s="51"/>
    </row>
    <row r="215" customFormat="false" ht="15" hidden="false" customHeight="false" outlineLevel="0" collapsed="false">
      <c r="A215" s="52"/>
      <c r="B215" s="51"/>
      <c r="C215" s="51" t="n">
        <v>9</v>
      </c>
      <c r="D215" s="51" t="n">
        <v>0</v>
      </c>
      <c r="E215" s="51"/>
      <c r="F215" s="51" t="n">
        <v>417</v>
      </c>
      <c r="G215" s="51" t="n">
        <v>0</v>
      </c>
      <c r="H215" s="51"/>
      <c r="I215" s="51"/>
      <c r="J215" s="51"/>
      <c r="K215" s="51"/>
      <c r="L215" s="51"/>
    </row>
    <row r="216" customFormat="false" ht="15" hidden="false" customHeight="false" outlineLevel="0" collapsed="false">
      <c r="A216" s="52"/>
      <c r="B216" s="51"/>
      <c r="C216" s="51" t="n">
        <v>9</v>
      </c>
      <c r="D216" s="51" t="n">
        <v>0</v>
      </c>
      <c r="E216" s="51"/>
      <c r="F216" s="51" t="n">
        <v>307</v>
      </c>
      <c r="G216" s="51" t="n">
        <v>0</v>
      </c>
      <c r="H216" s="51"/>
      <c r="I216" s="51"/>
      <c r="J216" s="51"/>
      <c r="K216" s="51"/>
      <c r="L216" s="51"/>
    </row>
    <row r="217" customFormat="false" ht="15" hidden="false" customHeight="false" outlineLevel="0" collapsed="false">
      <c r="A217" s="52"/>
      <c r="B217" s="51"/>
      <c r="C217" s="51" t="n">
        <v>8</v>
      </c>
      <c r="D217" s="51" t="n">
        <v>4</v>
      </c>
      <c r="E217" s="51"/>
      <c r="F217" s="51" t="n">
        <v>12017</v>
      </c>
      <c r="G217" s="51" t="n">
        <v>8572</v>
      </c>
      <c r="H217" s="51"/>
      <c r="I217" s="51"/>
      <c r="J217" s="51"/>
      <c r="K217" s="51"/>
      <c r="L217" s="51"/>
    </row>
    <row r="218" customFormat="false" ht="15" hidden="false" customHeight="false" outlineLevel="0" collapsed="false">
      <c r="A218" s="52"/>
      <c r="B218" s="51"/>
      <c r="C218" s="51" t="n">
        <v>8</v>
      </c>
      <c r="D218" s="51" t="n">
        <v>0</v>
      </c>
      <c r="E218" s="51"/>
      <c r="F218" s="51" t="n">
        <v>4003</v>
      </c>
      <c r="G218" s="51" t="n">
        <v>0</v>
      </c>
      <c r="H218" s="51"/>
      <c r="I218" s="51"/>
      <c r="J218" s="51"/>
      <c r="K218" s="51"/>
      <c r="L218" s="51"/>
    </row>
    <row r="219" customFormat="false" ht="15" hidden="false" customHeight="false" outlineLevel="0" collapsed="false">
      <c r="A219" s="52"/>
      <c r="B219" s="51"/>
      <c r="C219" s="51" t="n">
        <v>8</v>
      </c>
      <c r="D219" s="51" t="n">
        <v>0</v>
      </c>
      <c r="E219" s="51"/>
      <c r="F219" s="51" t="n">
        <v>3373</v>
      </c>
      <c r="G219" s="51" t="n">
        <v>0</v>
      </c>
      <c r="H219" s="51"/>
      <c r="I219" s="51"/>
      <c r="J219" s="51"/>
      <c r="K219" s="51"/>
      <c r="L219" s="51"/>
    </row>
    <row r="220" customFormat="false" ht="15" hidden="false" customHeight="false" outlineLevel="0" collapsed="false">
      <c r="A220" s="52"/>
      <c r="B220" s="51"/>
      <c r="C220" s="51" t="n">
        <v>8</v>
      </c>
      <c r="D220" s="51" t="n">
        <v>15</v>
      </c>
      <c r="E220" s="51"/>
      <c r="F220" s="51" t="n">
        <v>3065</v>
      </c>
      <c r="G220" s="51" t="n">
        <v>8436</v>
      </c>
      <c r="H220" s="51"/>
      <c r="I220" s="51"/>
      <c r="J220" s="51"/>
      <c r="K220" s="51"/>
      <c r="L220" s="51"/>
    </row>
    <row r="221" customFormat="false" ht="15" hidden="false" customHeight="false" outlineLevel="0" collapsed="false">
      <c r="A221" s="46"/>
      <c r="B221" s="49" t="s">
        <v>6478</v>
      </c>
      <c r="C221" s="48" t="n">
        <v>8</v>
      </c>
      <c r="D221" s="48" t="n">
        <v>32</v>
      </c>
      <c r="E221" s="48" t="n">
        <f aca="false">C221-D221</f>
        <v>-24</v>
      </c>
      <c r="F221" s="48" t="n">
        <v>3062</v>
      </c>
      <c r="G221" s="48" t="n">
        <v>5858</v>
      </c>
      <c r="H221" s="48" t="n">
        <f aca="false">F221-G221</f>
        <v>-2796</v>
      </c>
      <c r="I221" s="51"/>
      <c r="J221" s="51"/>
      <c r="K221" s="51"/>
      <c r="L221" s="51"/>
    </row>
    <row r="222" customFormat="false" ht="15" hidden="false" customHeight="false" outlineLevel="0" collapsed="false">
      <c r="A222" s="46"/>
      <c r="B222" s="49" t="s">
        <v>6479</v>
      </c>
      <c r="C222" s="48" t="n">
        <v>8</v>
      </c>
      <c r="D222" s="48" t="n">
        <v>36</v>
      </c>
      <c r="E222" s="48" t="n">
        <f aca="false">C222-D222</f>
        <v>-28</v>
      </c>
      <c r="F222" s="48" t="n">
        <v>2962</v>
      </c>
      <c r="G222" s="48" t="n">
        <v>10560</v>
      </c>
      <c r="H222" s="48" t="n">
        <f aca="false">F222-G222</f>
        <v>-7598</v>
      </c>
      <c r="I222" s="51"/>
      <c r="J222" s="51"/>
      <c r="K222" s="51"/>
      <c r="L222" s="51"/>
    </row>
    <row r="223" customFormat="false" ht="15" hidden="false" customHeight="false" outlineLevel="0" collapsed="false">
      <c r="A223" s="46"/>
      <c r="B223" s="49" t="s">
        <v>6480</v>
      </c>
      <c r="C223" s="48" t="n">
        <v>8</v>
      </c>
      <c r="D223" s="48" t="n">
        <v>62</v>
      </c>
      <c r="E223" s="48" t="n">
        <f aca="false">C223-D223</f>
        <v>-54</v>
      </c>
      <c r="F223" s="48" t="n">
        <v>2484</v>
      </c>
      <c r="G223" s="48" t="n">
        <v>5234</v>
      </c>
      <c r="H223" s="48" t="n">
        <f aca="false">F223-G223</f>
        <v>-2750</v>
      </c>
      <c r="I223" s="51"/>
      <c r="J223" s="51"/>
      <c r="K223" s="51"/>
      <c r="L223" s="51"/>
    </row>
    <row r="224" customFormat="false" ht="15" hidden="false" customHeight="false" outlineLevel="0" collapsed="false">
      <c r="A224" s="52"/>
      <c r="B224" s="51"/>
      <c r="C224" s="51" t="n">
        <v>8</v>
      </c>
      <c r="D224" s="51" t="n">
        <v>0</v>
      </c>
      <c r="E224" s="51"/>
      <c r="F224" s="51" t="n">
        <v>1489</v>
      </c>
      <c r="G224" s="51" t="n">
        <v>0</v>
      </c>
      <c r="H224" s="51"/>
      <c r="I224" s="51"/>
      <c r="J224" s="51"/>
      <c r="K224" s="51"/>
      <c r="L224" s="51"/>
    </row>
    <row r="225" customFormat="false" ht="15" hidden="false" customHeight="false" outlineLevel="0" collapsed="false">
      <c r="A225" s="52"/>
      <c r="B225" s="51"/>
      <c r="C225" s="51" t="n">
        <v>8</v>
      </c>
      <c r="D225" s="51" t="n">
        <v>3</v>
      </c>
      <c r="E225" s="51"/>
      <c r="F225" s="51" t="n">
        <v>1342</v>
      </c>
      <c r="G225" s="51" t="n">
        <v>207</v>
      </c>
      <c r="H225" s="51"/>
      <c r="I225" s="51"/>
      <c r="J225" s="51"/>
      <c r="K225" s="51"/>
      <c r="L225" s="51"/>
    </row>
    <row r="226" customFormat="false" ht="15" hidden="false" customHeight="false" outlineLevel="0" collapsed="false">
      <c r="A226" s="46"/>
      <c r="B226" s="49" t="s">
        <v>6481</v>
      </c>
      <c r="C226" s="48" t="n">
        <v>8</v>
      </c>
      <c r="D226" s="48" t="n">
        <v>3</v>
      </c>
      <c r="E226" s="48" t="n">
        <f aca="false">C226-D226</f>
        <v>5</v>
      </c>
      <c r="F226" s="48" t="n">
        <v>865</v>
      </c>
      <c r="G226" s="48" t="n">
        <v>639</v>
      </c>
      <c r="H226" s="48" t="n">
        <f aca="false">F226-G226</f>
        <v>226</v>
      </c>
      <c r="I226" s="51"/>
      <c r="J226" s="51"/>
      <c r="K226" s="51"/>
      <c r="L226" s="51"/>
    </row>
    <row r="227" customFormat="false" ht="15" hidden="false" customHeight="false" outlineLevel="0" collapsed="false">
      <c r="A227" s="52"/>
      <c r="B227" s="51"/>
      <c r="C227" s="51" t="n">
        <v>8</v>
      </c>
      <c r="D227" s="51" t="n">
        <v>0</v>
      </c>
      <c r="E227" s="51"/>
      <c r="F227" s="51" t="n">
        <v>857</v>
      </c>
      <c r="G227" s="51" t="n">
        <v>0</v>
      </c>
      <c r="H227" s="51"/>
      <c r="I227" s="51"/>
      <c r="J227" s="51"/>
      <c r="K227" s="51"/>
      <c r="L227" s="51"/>
    </row>
    <row r="228" customFormat="false" ht="15" hidden="false" customHeight="false" outlineLevel="0" collapsed="false">
      <c r="A228" s="52"/>
      <c r="B228" s="51"/>
      <c r="C228" s="51" t="n">
        <v>8</v>
      </c>
      <c r="D228" s="51" t="n">
        <v>0</v>
      </c>
      <c r="E228" s="51"/>
      <c r="F228" s="51" t="n">
        <v>239</v>
      </c>
      <c r="G228" s="51" t="n">
        <v>0</v>
      </c>
      <c r="H228" s="51"/>
      <c r="I228" s="51"/>
      <c r="J228" s="51"/>
      <c r="K228" s="51"/>
      <c r="L228" s="51"/>
    </row>
    <row r="229" customFormat="false" ht="15" hidden="false" customHeight="false" outlineLevel="0" collapsed="false">
      <c r="A229" s="52"/>
      <c r="B229" s="51"/>
      <c r="C229" s="51" t="n">
        <v>7</v>
      </c>
      <c r="D229" s="51" t="n">
        <v>3</v>
      </c>
      <c r="E229" s="51"/>
      <c r="F229" s="51" t="n">
        <v>7099</v>
      </c>
      <c r="G229" s="51" t="n">
        <v>5480</v>
      </c>
      <c r="H229" s="51"/>
      <c r="I229" s="51"/>
      <c r="J229" s="51"/>
      <c r="K229" s="51"/>
      <c r="L229" s="51"/>
    </row>
    <row r="230" customFormat="false" ht="15" hidden="false" customHeight="false" outlineLevel="0" collapsed="false">
      <c r="A230" s="46"/>
      <c r="B230" s="49" t="s">
        <v>6482</v>
      </c>
      <c r="C230" s="48" t="n">
        <v>7</v>
      </c>
      <c r="D230" s="48" t="n">
        <v>12</v>
      </c>
      <c r="E230" s="48" t="n">
        <f aca="false">C230-D230</f>
        <v>-5</v>
      </c>
      <c r="F230" s="48" t="n">
        <v>5541</v>
      </c>
      <c r="G230" s="48" t="n">
        <v>6197</v>
      </c>
      <c r="H230" s="48" t="n">
        <f aca="false">F230-G230</f>
        <v>-656</v>
      </c>
      <c r="I230" s="51"/>
      <c r="J230" s="51"/>
      <c r="K230" s="51"/>
      <c r="L230" s="51"/>
    </row>
    <row r="231" customFormat="false" ht="15" hidden="false" customHeight="false" outlineLevel="0" collapsed="false">
      <c r="A231" s="46"/>
      <c r="B231" s="49" t="s">
        <v>6483</v>
      </c>
      <c r="C231" s="48" t="n">
        <v>7</v>
      </c>
      <c r="D231" s="48" t="n">
        <v>13</v>
      </c>
      <c r="E231" s="48" t="n">
        <f aca="false">C231-D231</f>
        <v>-6</v>
      </c>
      <c r="F231" s="48" t="n">
        <v>5037</v>
      </c>
      <c r="G231" s="48" t="n">
        <v>6225</v>
      </c>
      <c r="H231" s="48" t="n">
        <f aca="false">F231-G231</f>
        <v>-1188</v>
      </c>
      <c r="I231" s="51"/>
      <c r="J231" s="51"/>
      <c r="K231" s="51"/>
      <c r="L231" s="51"/>
    </row>
    <row r="232" customFormat="false" ht="15" hidden="false" customHeight="false" outlineLevel="0" collapsed="false">
      <c r="A232" s="46"/>
      <c r="B232" s="49" t="s">
        <v>6484</v>
      </c>
      <c r="C232" s="48" t="n">
        <v>7</v>
      </c>
      <c r="D232" s="48" t="n">
        <v>7</v>
      </c>
      <c r="E232" s="48" t="n">
        <f aca="false">C232-D232</f>
        <v>0</v>
      </c>
      <c r="F232" s="48" t="n">
        <v>3059</v>
      </c>
      <c r="G232" s="48" t="n">
        <v>11007</v>
      </c>
      <c r="H232" s="48" t="n">
        <f aca="false">F232-G232</f>
        <v>-7948</v>
      </c>
      <c r="I232" s="51"/>
      <c r="J232" s="51"/>
      <c r="K232" s="51"/>
      <c r="L232" s="51"/>
    </row>
    <row r="233" customFormat="false" ht="15" hidden="false" customHeight="false" outlineLevel="0" collapsed="false">
      <c r="A233" s="52"/>
      <c r="B233" s="51"/>
      <c r="C233" s="51" t="n">
        <v>7</v>
      </c>
      <c r="D233" s="51" t="n">
        <v>0</v>
      </c>
      <c r="E233" s="51"/>
      <c r="F233" s="51" t="n">
        <v>2785</v>
      </c>
      <c r="G233" s="51" t="n">
        <v>0</v>
      </c>
      <c r="H233" s="51"/>
      <c r="I233" s="51"/>
      <c r="J233" s="51"/>
      <c r="K233" s="51"/>
      <c r="L233" s="51"/>
    </row>
    <row r="234" customFormat="false" ht="15" hidden="false" customHeight="false" outlineLevel="0" collapsed="false">
      <c r="A234" s="46"/>
      <c r="B234" s="49" t="s">
        <v>6485</v>
      </c>
      <c r="C234" s="48" t="n">
        <v>7</v>
      </c>
      <c r="D234" s="48" t="n">
        <v>20</v>
      </c>
      <c r="E234" s="48" t="n">
        <f aca="false">C234-D234</f>
        <v>-13</v>
      </c>
      <c r="F234" s="48" t="n">
        <v>2149</v>
      </c>
      <c r="G234" s="48" t="n">
        <v>4990</v>
      </c>
      <c r="H234" s="48" t="n">
        <f aca="false">F234-G234</f>
        <v>-2841</v>
      </c>
      <c r="I234" s="51"/>
      <c r="J234" s="51"/>
      <c r="K234" s="51"/>
      <c r="L234" s="51"/>
    </row>
    <row r="235" customFormat="false" ht="15" hidden="false" customHeight="false" outlineLevel="0" collapsed="false">
      <c r="A235" s="52"/>
      <c r="B235" s="51"/>
      <c r="C235" s="51" t="n">
        <v>7</v>
      </c>
      <c r="D235" s="51" t="n">
        <v>0</v>
      </c>
      <c r="E235" s="51"/>
      <c r="F235" s="51" t="n">
        <v>1730</v>
      </c>
      <c r="G235" s="51" t="n">
        <v>0</v>
      </c>
      <c r="H235" s="51"/>
      <c r="I235" s="51"/>
      <c r="J235" s="51"/>
      <c r="K235" s="51"/>
      <c r="L235" s="51"/>
    </row>
    <row r="236" customFormat="false" ht="15" hidden="false" customHeight="false" outlineLevel="0" collapsed="false">
      <c r="A236" s="52"/>
      <c r="B236" s="51"/>
      <c r="C236" s="51" t="n">
        <v>7</v>
      </c>
      <c r="D236" s="51" t="n">
        <v>2</v>
      </c>
      <c r="E236" s="51"/>
      <c r="F236" s="51" t="n">
        <v>1592</v>
      </c>
      <c r="G236" s="51" t="n">
        <v>116</v>
      </c>
      <c r="H236" s="51"/>
      <c r="I236" s="51"/>
      <c r="J236" s="51"/>
      <c r="K236" s="51"/>
      <c r="L236" s="51"/>
    </row>
    <row r="237" customFormat="false" ht="15" hidden="false" customHeight="false" outlineLevel="0" collapsed="false">
      <c r="A237" s="52"/>
      <c r="B237" s="51"/>
      <c r="C237" s="51" t="n">
        <v>7</v>
      </c>
      <c r="D237" s="51" t="n">
        <v>0</v>
      </c>
      <c r="E237" s="51"/>
      <c r="F237" s="51" t="n">
        <v>1563</v>
      </c>
      <c r="G237" s="51" t="n">
        <v>0</v>
      </c>
      <c r="H237" s="51"/>
      <c r="I237" s="51"/>
      <c r="J237" s="51"/>
      <c r="K237" s="51"/>
      <c r="L237" s="51"/>
    </row>
    <row r="238" customFormat="false" ht="15" hidden="false" customHeight="false" outlineLevel="0" collapsed="false">
      <c r="A238" s="46"/>
      <c r="B238" s="49" t="s">
        <v>6486</v>
      </c>
      <c r="C238" s="48" t="n">
        <v>7</v>
      </c>
      <c r="D238" s="48" t="n">
        <v>11</v>
      </c>
      <c r="E238" s="48" t="n">
        <f aca="false">C238-D238</f>
        <v>-4</v>
      </c>
      <c r="F238" s="48" t="n">
        <v>1386</v>
      </c>
      <c r="G238" s="48" t="n">
        <v>2326</v>
      </c>
      <c r="H238" s="48" t="n">
        <f aca="false">F238-G238</f>
        <v>-940</v>
      </c>
      <c r="I238" s="51"/>
      <c r="J238" s="51"/>
      <c r="K238" s="51"/>
      <c r="L238" s="51"/>
    </row>
    <row r="239" customFormat="false" ht="15" hidden="false" customHeight="false" outlineLevel="0" collapsed="false">
      <c r="A239" s="46"/>
      <c r="B239" s="49" t="s">
        <v>6487</v>
      </c>
      <c r="C239" s="48" t="n">
        <v>7</v>
      </c>
      <c r="D239" s="48" t="n">
        <v>12</v>
      </c>
      <c r="E239" s="48" t="n">
        <f aca="false">C239-D239</f>
        <v>-5</v>
      </c>
      <c r="F239" s="48" t="n">
        <v>1259</v>
      </c>
      <c r="G239" s="48" t="n">
        <v>2814</v>
      </c>
      <c r="H239" s="48" t="n">
        <f aca="false">F239-G239</f>
        <v>-1555</v>
      </c>
      <c r="I239" s="51"/>
      <c r="J239" s="51"/>
      <c r="K239" s="51"/>
      <c r="L239" s="51"/>
    </row>
    <row r="240" customFormat="false" ht="15" hidden="false" customHeight="false" outlineLevel="0" collapsed="false">
      <c r="A240" s="46"/>
      <c r="B240" s="49" t="s">
        <v>6488</v>
      </c>
      <c r="C240" s="48" t="n">
        <v>7</v>
      </c>
      <c r="D240" s="48" t="n">
        <v>4</v>
      </c>
      <c r="E240" s="48" t="n">
        <f aca="false">C240-D240</f>
        <v>3</v>
      </c>
      <c r="F240" s="48" t="n">
        <v>908</v>
      </c>
      <c r="G240" s="48" t="n">
        <v>2007</v>
      </c>
      <c r="H240" s="48" t="n">
        <f aca="false">F240-G240</f>
        <v>-1099</v>
      </c>
      <c r="I240" s="51"/>
      <c r="J240" s="51"/>
      <c r="K240" s="51"/>
      <c r="L240" s="51"/>
    </row>
    <row r="241" customFormat="false" ht="15" hidden="false" customHeight="false" outlineLevel="0" collapsed="false">
      <c r="A241" s="52"/>
      <c r="B241" s="51"/>
      <c r="C241" s="51" t="n">
        <v>7</v>
      </c>
      <c r="D241" s="51" t="n">
        <v>1</v>
      </c>
      <c r="E241" s="51"/>
      <c r="F241" s="51" t="n">
        <v>820</v>
      </c>
      <c r="G241" s="51" t="n">
        <v>213</v>
      </c>
      <c r="H241" s="51"/>
      <c r="I241" s="51"/>
      <c r="J241" s="51"/>
      <c r="K241" s="51"/>
      <c r="L241" s="51"/>
    </row>
    <row r="242" customFormat="false" ht="15" hidden="false" customHeight="false" outlineLevel="0" collapsed="false">
      <c r="A242" s="52"/>
      <c r="B242" s="51"/>
      <c r="C242" s="51" t="n">
        <v>7</v>
      </c>
      <c r="D242" s="51" t="n">
        <v>0</v>
      </c>
      <c r="E242" s="51"/>
      <c r="F242" s="51" t="n">
        <v>796</v>
      </c>
      <c r="G242" s="51" t="n">
        <v>0</v>
      </c>
      <c r="H242" s="51"/>
      <c r="I242" s="51"/>
      <c r="J242" s="51"/>
      <c r="K242" s="51"/>
      <c r="L242" s="51"/>
    </row>
    <row r="243" customFormat="false" ht="15" hidden="false" customHeight="false" outlineLevel="0" collapsed="false">
      <c r="A243" s="52"/>
      <c r="B243" s="51"/>
      <c r="C243" s="51" t="n">
        <v>7</v>
      </c>
      <c r="D243" s="51" t="n">
        <v>0</v>
      </c>
      <c r="E243" s="51"/>
      <c r="F243" s="51" t="n">
        <v>780</v>
      </c>
      <c r="G243" s="51" t="n">
        <v>0</v>
      </c>
      <c r="H243" s="51"/>
      <c r="I243" s="51"/>
      <c r="J243" s="51"/>
      <c r="K243" s="51"/>
      <c r="L243" s="51"/>
    </row>
    <row r="244" customFormat="false" ht="15" hidden="false" customHeight="false" outlineLevel="0" collapsed="false">
      <c r="A244" s="52"/>
      <c r="B244" s="51"/>
      <c r="C244" s="51" t="n">
        <v>7</v>
      </c>
      <c r="D244" s="51" t="n">
        <v>0</v>
      </c>
      <c r="E244" s="51"/>
      <c r="F244" s="51" t="n">
        <v>273</v>
      </c>
      <c r="G244" s="51" t="n">
        <v>0</v>
      </c>
      <c r="H244" s="51"/>
      <c r="I244" s="51"/>
      <c r="J244" s="51"/>
      <c r="K244" s="51"/>
      <c r="L244" s="51"/>
    </row>
    <row r="245" customFormat="false" ht="15" hidden="false" customHeight="false" outlineLevel="0" collapsed="false">
      <c r="A245" s="52"/>
      <c r="B245" s="51"/>
      <c r="C245" s="51" t="n">
        <v>7</v>
      </c>
      <c r="D245" s="51" t="n">
        <v>0</v>
      </c>
      <c r="E245" s="51"/>
      <c r="F245" s="51" t="n">
        <v>256</v>
      </c>
      <c r="G245" s="51" t="n">
        <v>0</v>
      </c>
      <c r="H245" s="51"/>
      <c r="I245" s="51"/>
      <c r="J245" s="51"/>
      <c r="K245" s="51"/>
      <c r="L245" s="51"/>
    </row>
    <row r="246" customFormat="false" ht="15" hidden="false" customHeight="false" outlineLevel="0" collapsed="false">
      <c r="A246" s="52"/>
      <c r="B246" s="51"/>
      <c r="C246" s="51" t="n">
        <v>7</v>
      </c>
      <c r="D246" s="51" t="n">
        <v>0</v>
      </c>
      <c r="E246" s="51"/>
      <c r="F246" s="51" t="n">
        <v>228</v>
      </c>
      <c r="G246" s="51" t="n">
        <v>0</v>
      </c>
      <c r="H246" s="51"/>
      <c r="I246" s="51"/>
      <c r="J246" s="51"/>
      <c r="K246" s="51"/>
      <c r="L246" s="51"/>
    </row>
    <row r="247" customFormat="false" ht="15" hidden="false" customHeight="false" outlineLevel="0" collapsed="false">
      <c r="A247" s="46"/>
      <c r="B247" s="49" t="s">
        <v>6489</v>
      </c>
      <c r="C247" s="48" t="n">
        <v>6</v>
      </c>
      <c r="D247" s="48" t="n">
        <v>84</v>
      </c>
      <c r="E247" s="48" t="n">
        <f aca="false">C247-D247</f>
        <v>-78</v>
      </c>
      <c r="F247" s="48" t="n">
        <v>5404</v>
      </c>
      <c r="G247" s="48" t="n">
        <v>25316</v>
      </c>
      <c r="H247" s="48" t="n">
        <f aca="false">F247-G247</f>
        <v>-19912</v>
      </c>
      <c r="I247" s="51"/>
      <c r="J247" s="51"/>
      <c r="K247" s="51"/>
      <c r="L247" s="51"/>
    </row>
    <row r="248" customFormat="false" ht="15" hidden="false" customHeight="false" outlineLevel="0" collapsed="false">
      <c r="A248" s="52"/>
      <c r="B248" s="51"/>
      <c r="C248" s="51" t="n">
        <v>6</v>
      </c>
      <c r="D248" s="51" t="n">
        <v>9</v>
      </c>
      <c r="E248" s="51"/>
      <c r="F248" s="51" t="n">
        <v>2769</v>
      </c>
      <c r="G248" s="51" t="n">
        <v>5272</v>
      </c>
      <c r="H248" s="51"/>
      <c r="I248" s="51"/>
      <c r="J248" s="51"/>
      <c r="K248" s="51"/>
      <c r="L248" s="51"/>
    </row>
    <row r="249" customFormat="false" ht="15" hidden="false" customHeight="false" outlineLevel="0" collapsed="false">
      <c r="A249" s="46"/>
      <c r="B249" s="49" t="s">
        <v>6490</v>
      </c>
      <c r="C249" s="48" t="n">
        <v>6</v>
      </c>
      <c r="D249" s="48" t="n">
        <v>7</v>
      </c>
      <c r="E249" s="48" t="n">
        <f aca="false">C249-D249</f>
        <v>-1</v>
      </c>
      <c r="F249" s="48" t="n">
        <v>2748</v>
      </c>
      <c r="G249" s="48" t="n">
        <v>2878</v>
      </c>
      <c r="H249" s="48" t="n">
        <f aca="false">F249-G249</f>
        <v>-130</v>
      </c>
      <c r="I249" s="51"/>
      <c r="J249" s="51"/>
      <c r="K249" s="51"/>
      <c r="L249" s="51"/>
    </row>
    <row r="250" customFormat="false" ht="15" hidden="false" customHeight="false" outlineLevel="0" collapsed="false">
      <c r="A250" s="46"/>
      <c r="B250" s="49" t="s">
        <v>6491</v>
      </c>
      <c r="C250" s="48" t="n">
        <v>6</v>
      </c>
      <c r="D250" s="48" t="n">
        <v>52</v>
      </c>
      <c r="E250" s="48" t="n">
        <f aca="false">C250-D250</f>
        <v>-46</v>
      </c>
      <c r="F250" s="48" t="n">
        <v>2131</v>
      </c>
      <c r="G250" s="48" t="n">
        <v>8246</v>
      </c>
      <c r="H250" s="48" t="n">
        <f aca="false">F250-G250</f>
        <v>-6115</v>
      </c>
      <c r="I250" s="51"/>
      <c r="J250" s="51"/>
      <c r="K250" s="51"/>
      <c r="L250" s="51"/>
    </row>
    <row r="251" customFormat="false" ht="15" hidden="false" customHeight="false" outlineLevel="0" collapsed="false">
      <c r="A251" s="46"/>
      <c r="B251" s="49" t="s">
        <v>6492</v>
      </c>
      <c r="C251" s="48" t="n">
        <v>6</v>
      </c>
      <c r="D251" s="48" t="n">
        <v>1</v>
      </c>
      <c r="E251" s="48" t="n">
        <f aca="false">C251-D251</f>
        <v>5</v>
      </c>
      <c r="F251" s="48" t="n">
        <v>2126</v>
      </c>
      <c r="G251" s="48" t="n">
        <v>2210</v>
      </c>
      <c r="H251" s="48" t="n">
        <f aca="false">F251-G251</f>
        <v>-84</v>
      </c>
      <c r="I251" s="51"/>
      <c r="J251" s="51"/>
      <c r="K251" s="51"/>
      <c r="L251" s="51"/>
    </row>
    <row r="252" customFormat="false" ht="15" hidden="false" customHeight="false" outlineLevel="0" collapsed="false">
      <c r="A252" s="46"/>
      <c r="B252" s="49" t="s">
        <v>6493</v>
      </c>
      <c r="C252" s="48" t="n">
        <v>6</v>
      </c>
      <c r="D252" s="48" t="n">
        <v>10</v>
      </c>
      <c r="E252" s="48" t="n">
        <f aca="false">C252-D252</f>
        <v>-4</v>
      </c>
      <c r="F252" s="48" t="n">
        <v>1612</v>
      </c>
      <c r="G252" s="48" t="n">
        <v>2907</v>
      </c>
      <c r="H252" s="48" t="n">
        <f aca="false">F252-G252</f>
        <v>-1295</v>
      </c>
      <c r="I252" s="51"/>
      <c r="J252" s="51"/>
      <c r="K252" s="51"/>
      <c r="L252" s="51"/>
    </row>
    <row r="253" customFormat="false" ht="15" hidden="false" customHeight="false" outlineLevel="0" collapsed="false">
      <c r="A253" s="46"/>
      <c r="B253" s="49" t="s">
        <v>6494</v>
      </c>
      <c r="C253" s="48" t="n">
        <v>6</v>
      </c>
      <c r="D253" s="48" t="n">
        <v>10</v>
      </c>
      <c r="E253" s="48" t="n">
        <f aca="false">C253-D253</f>
        <v>-4</v>
      </c>
      <c r="F253" s="48" t="n">
        <v>1602</v>
      </c>
      <c r="G253" s="48" t="n">
        <v>4078</v>
      </c>
      <c r="H253" s="48" t="n">
        <f aca="false">F253-G253</f>
        <v>-2476</v>
      </c>
      <c r="I253" s="51"/>
      <c r="J253" s="51"/>
      <c r="K253" s="51"/>
      <c r="L253" s="51"/>
    </row>
    <row r="254" customFormat="false" ht="15" hidden="false" customHeight="false" outlineLevel="0" collapsed="false">
      <c r="A254" s="46"/>
      <c r="B254" s="49" t="s">
        <v>6495</v>
      </c>
      <c r="C254" s="48" t="n">
        <v>6</v>
      </c>
      <c r="D254" s="48" t="n">
        <v>1</v>
      </c>
      <c r="E254" s="48" t="n">
        <f aca="false">C254-D254</f>
        <v>5</v>
      </c>
      <c r="F254" s="48" t="n">
        <v>1106</v>
      </c>
      <c r="G254" s="48" t="n">
        <v>1005</v>
      </c>
      <c r="H254" s="48" t="n">
        <f aca="false">F254-G254</f>
        <v>101</v>
      </c>
      <c r="I254" s="51"/>
      <c r="J254" s="51"/>
      <c r="K254" s="51"/>
      <c r="L254" s="51"/>
    </row>
    <row r="255" customFormat="false" ht="15" hidden="false" customHeight="false" outlineLevel="0" collapsed="false">
      <c r="A255" s="52"/>
      <c r="B255" s="51"/>
      <c r="C255" s="51" t="n">
        <v>6</v>
      </c>
      <c r="D255" s="51" t="n">
        <v>0</v>
      </c>
      <c r="E255" s="51"/>
      <c r="F255" s="51" t="n">
        <v>1027</v>
      </c>
      <c r="G255" s="51" t="n">
        <v>0</v>
      </c>
      <c r="H255" s="51"/>
      <c r="I255" s="51"/>
      <c r="J255" s="51"/>
      <c r="K255" s="51"/>
      <c r="L255" s="51"/>
    </row>
    <row r="256" customFormat="false" ht="15" hidden="false" customHeight="false" outlineLevel="0" collapsed="false">
      <c r="A256" s="46"/>
      <c r="B256" s="49" t="s">
        <v>6496</v>
      </c>
      <c r="C256" s="48" t="n">
        <v>6</v>
      </c>
      <c r="D256" s="48" t="n">
        <v>0</v>
      </c>
      <c r="E256" s="48" t="n">
        <f aca="false">C256-D256</f>
        <v>6</v>
      </c>
      <c r="F256" s="48" t="n">
        <v>889</v>
      </c>
      <c r="G256" s="48" t="n">
        <v>0</v>
      </c>
      <c r="H256" s="48" t="n">
        <f aca="false">F256-G256</f>
        <v>889</v>
      </c>
      <c r="I256" s="51"/>
      <c r="J256" s="51"/>
      <c r="K256" s="51"/>
      <c r="L256" s="51"/>
    </row>
    <row r="257" customFormat="false" ht="15" hidden="false" customHeight="false" outlineLevel="0" collapsed="false">
      <c r="A257" s="52"/>
      <c r="B257" s="51"/>
      <c r="C257" s="51" t="n">
        <v>6</v>
      </c>
      <c r="D257" s="51" t="n">
        <v>0</v>
      </c>
      <c r="E257" s="51"/>
      <c r="F257" s="51" t="n">
        <v>702</v>
      </c>
      <c r="G257" s="51" t="n">
        <v>152</v>
      </c>
      <c r="H257" s="51"/>
      <c r="I257" s="51"/>
      <c r="J257" s="51"/>
      <c r="K257" s="51"/>
      <c r="L257" s="51"/>
    </row>
    <row r="258" customFormat="false" ht="15" hidden="false" customHeight="false" outlineLevel="0" collapsed="false">
      <c r="A258" s="52"/>
      <c r="B258" s="51"/>
      <c r="C258" s="51" t="n">
        <v>6</v>
      </c>
      <c r="D258" s="51" t="n">
        <v>0</v>
      </c>
      <c r="E258" s="51"/>
      <c r="F258" s="51" t="n">
        <v>668</v>
      </c>
      <c r="G258" s="51" t="n">
        <v>0</v>
      </c>
      <c r="H258" s="51"/>
      <c r="I258" s="51"/>
      <c r="J258" s="51"/>
      <c r="K258" s="51"/>
      <c r="L258" s="51"/>
    </row>
    <row r="259" customFormat="false" ht="15" hidden="false" customHeight="false" outlineLevel="0" collapsed="false">
      <c r="A259" s="52"/>
      <c r="B259" s="51"/>
      <c r="C259" s="51" t="n">
        <v>6</v>
      </c>
      <c r="D259" s="51" t="n">
        <v>0</v>
      </c>
      <c r="E259" s="51"/>
      <c r="F259" s="51" t="n">
        <v>607</v>
      </c>
      <c r="G259" s="51" t="n">
        <v>0</v>
      </c>
      <c r="H259" s="51"/>
      <c r="I259" s="51"/>
      <c r="J259" s="51"/>
      <c r="K259" s="51"/>
      <c r="L259" s="51"/>
    </row>
    <row r="260" customFormat="false" ht="15" hidden="false" customHeight="false" outlineLevel="0" collapsed="false">
      <c r="A260" s="52"/>
      <c r="B260" s="51"/>
      <c r="C260" s="51" t="n">
        <v>6</v>
      </c>
      <c r="D260" s="51" t="n">
        <v>4</v>
      </c>
      <c r="E260" s="51"/>
      <c r="F260" s="51" t="n">
        <v>289</v>
      </c>
      <c r="G260" s="51" t="n">
        <v>160</v>
      </c>
      <c r="H260" s="51"/>
      <c r="I260" s="51"/>
      <c r="J260" s="51"/>
      <c r="K260" s="51"/>
      <c r="L260" s="51"/>
    </row>
    <row r="261" customFormat="false" ht="15" hidden="false" customHeight="false" outlineLevel="0" collapsed="false">
      <c r="A261" s="52"/>
      <c r="B261" s="51"/>
      <c r="C261" s="51" t="n">
        <v>6</v>
      </c>
      <c r="D261" s="51" t="n">
        <v>0</v>
      </c>
      <c r="E261" s="51"/>
      <c r="F261" s="51" t="n">
        <v>240</v>
      </c>
      <c r="G261" s="51" t="n">
        <v>0</v>
      </c>
      <c r="H261" s="51"/>
      <c r="I261" s="51"/>
      <c r="J261" s="51"/>
      <c r="K261" s="51"/>
      <c r="L261" s="51"/>
    </row>
    <row r="262" customFormat="false" ht="15" hidden="false" customHeight="false" outlineLevel="0" collapsed="false">
      <c r="A262" s="52"/>
      <c r="B262" s="51"/>
      <c r="C262" s="51" t="n">
        <v>6</v>
      </c>
      <c r="D262" s="51" t="n">
        <v>0</v>
      </c>
      <c r="E262" s="51"/>
      <c r="F262" s="51" t="n">
        <v>237</v>
      </c>
      <c r="G262" s="51" t="n">
        <v>0</v>
      </c>
      <c r="H262" s="51"/>
      <c r="I262" s="51"/>
      <c r="J262" s="51"/>
      <c r="K262" s="51"/>
      <c r="L262" s="51"/>
    </row>
    <row r="263" customFormat="false" ht="15" hidden="false" customHeight="false" outlineLevel="0" collapsed="false">
      <c r="A263" s="52"/>
      <c r="B263" s="51"/>
      <c r="C263" s="51" t="n">
        <v>6</v>
      </c>
      <c r="D263" s="51" t="n">
        <v>5</v>
      </c>
      <c r="E263" s="51"/>
      <c r="F263" s="51" t="n">
        <v>162</v>
      </c>
      <c r="G263" s="51" t="n">
        <v>204</v>
      </c>
      <c r="H263" s="51"/>
      <c r="I263" s="51"/>
      <c r="J263" s="51"/>
      <c r="K263" s="51"/>
      <c r="L263" s="51"/>
    </row>
    <row r="264" customFormat="false" ht="15" hidden="false" customHeight="false" outlineLevel="0" collapsed="false">
      <c r="A264" s="52"/>
      <c r="B264" s="51"/>
      <c r="C264" s="51" t="n">
        <v>6</v>
      </c>
      <c r="D264" s="51" t="n">
        <v>0</v>
      </c>
      <c r="E264" s="51"/>
      <c r="F264" s="51" t="n">
        <v>156</v>
      </c>
      <c r="G264" s="51" t="n">
        <v>0</v>
      </c>
      <c r="H264" s="51"/>
      <c r="I264" s="51"/>
      <c r="J264" s="51"/>
      <c r="K264" s="51"/>
      <c r="L264" s="51"/>
    </row>
    <row r="265" customFormat="false" ht="15" hidden="false" customHeight="false" outlineLevel="0" collapsed="false">
      <c r="A265" s="52"/>
      <c r="B265" s="51"/>
      <c r="C265" s="51" t="n">
        <v>5</v>
      </c>
      <c r="D265" s="51" t="n">
        <v>2</v>
      </c>
      <c r="E265" s="51"/>
      <c r="F265" s="51" t="n">
        <v>6333</v>
      </c>
      <c r="G265" s="51" t="n">
        <v>49</v>
      </c>
      <c r="H265" s="51"/>
      <c r="I265" s="51"/>
      <c r="J265" s="51"/>
      <c r="K265" s="51"/>
      <c r="L265" s="51"/>
    </row>
    <row r="266" customFormat="false" ht="15" hidden="false" customHeight="false" outlineLevel="0" collapsed="false">
      <c r="A266" s="46"/>
      <c r="B266" s="49" t="s">
        <v>6497</v>
      </c>
      <c r="C266" s="48" t="n">
        <v>5</v>
      </c>
      <c r="D266" s="48" t="n">
        <v>39</v>
      </c>
      <c r="E266" s="48" t="n">
        <f aca="false">C266-D266</f>
        <v>-34</v>
      </c>
      <c r="F266" s="48" t="n">
        <v>5424</v>
      </c>
      <c r="G266" s="48" t="n">
        <v>21268</v>
      </c>
      <c r="H266" s="48" t="n">
        <f aca="false">F266-G266</f>
        <v>-15844</v>
      </c>
      <c r="I266" s="51"/>
      <c r="J266" s="51"/>
      <c r="K266" s="51"/>
      <c r="L266" s="51"/>
    </row>
    <row r="267" customFormat="false" ht="15" hidden="false" customHeight="false" outlineLevel="0" collapsed="false">
      <c r="A267" s="46"/>
      <c r="B267" s="49" t="s">
        <v>6498</v>
      </c>
      <c r="C267" s="48" t="n">
        <v>5</v>
      </c>
      <c r="D267" s="48" t="n">
        <v>19</v>
      </c>
      <c r="E267" s="48" t="n">
        <f aca="false">C267-D267</f>
        <v>-14</v>
      </c>
      <c r="F267" s="48" t="n">
        <v>4901</v>
      </c>
      <c r="G267" s="48" t="n">
        <v>25341</v>
      </c>
      <c r="H267" s="48" t="n">
        <f aca="false">F267-G267</f>
        <v>-20440</v>
      </c>
      <c r="I267" s="51"/>
      <c r="J267" s="51"/>
      <c r="K267" s="51"/>
      <c r="L267" s="51"/>
    </row>
    <row r="268" customFormat="false" ht="15" hidden="false" customHeight="false" outlineLevel="0" collapsed="false">
      <c r="A268" s="52"/>
      <c r="B268" s="51"/>
      <c r="C268" s="51" t="n">
        <v>5</v>
      </c>
      <c r="D268" s="51" t="n">
        <v>2</v>
      </c>
      <c r="E268" s="51"/>
      <c r="F268" s="51" t="n">
        <v>3493</v>
      </c>
      <c r="G268" s="51" t="n">
        <v>1187</v>
      </c>
      <c r="H268" s="51"/>
      <c r="I268" s="51"/>
      <c r="J268" s="51"/>
      <c r="K268" s="51"/>
      <c r="L268" s="51"/>
    </row>
    <row r="269" customFormat="false" ht="15" hidden="false" customHeight="false" outlineLevel="0" collapsed="false">
      <c r="A269" s="52"/>
      <c r="B269" s="51"/>
      <c r="C269" s="51" t="n">
        <v>5</v>
      </c>
      <c r="D269" s="51" t="n">
        <v>3</v>
      </c>
      <c r="E269" s="51"/>
      <c r="F269" s="51" t="n">
        <v>2290</v>
      </c>
      <c r="G269" s="51" t="n">
        <v>1132</v>
      </c>
      <c r="H269" s="51"/>
      <c r="I269" s="51"/>
      <c r="J269" s="51"/>
      <c r="K269" s="51"/>
      <c r="L269" s="51"/>
    </row>
    <row r="270" customFormat="false" ht="15" hidden="false" customHeight="false" outlineLevel="0" collapsed="false">
      <c r="A270" s="46"/>
      <c r="B270" s="49" t="s">
        <v>6499</v>
      </c>
      <c r="C270" s="48" t="n">
        <v>5</v>
      </c>
      <c r="D270" s="48" t="n">
        <v>10</v>
      </c>
      <c r="E270" s="48" t="n">
        <f aca="false">C270-D270</f>
        <v>-5</v>
      </c>
      <c r="F270" s="48" t="n">
        <v>1430</v>
      </c>
      <c r="G270" s="48" t="n">
        <v>2500</v>
      </c>
      <c r="H270" s="48" t="n">
        <f aca="false">F270-G270</f>
        <v>-1070</v>
      </c>
      <c r="I270" s="51"/>
      <c r="J270" s="51"/>
      <c r="K270" s="51"/>
      <c r="L270" s="51"/>
    </row>
    <row r="271" customFormat="false" ht="15" hidden="false" customHeight="false" outlineLevel="0" collapsed="false">
      <c r="A271" s="46"/>
      <c r="B271" s="49" t="s">
        <v>6500</v>
      </c>
      <c r="C271" s="48" t="n">
        <v>5</v>
      </c>
      <c r="D271" s="48" t="n">
        <v>9</v>
      </c>
      <c r="E271" s="48" t="n">
        <f aca="false">C271-D271</f>
        <v>-4</v>
      </c>
      <c r="F271" s="48" t="n">
        <v>1349</v>
      </c>
      <c r="G271" s="48" t="n">
        <v>2237</v>
      </c>
      <c r="H271" s="48" t="n">
        <f aca="false">F271-G271</f>
        <v>-888</v>
      </c>
      <c r="I271" s="51"/>
      <c r="J271" s="51"/>
      <c r="K271" s="51"/>
      <c r="L271" s="51"/>
    </row>
    <row r="272" customFormat="false" ht="15" hidden="false" customHeight="false" outlineLevel="0" collapsed="false">
      <c r="A272" s="46"/>
      <c r="B272" s="49" t="s">
        <v>6501</v>
      </c>
      <c r="C272" s="48" t="n">
        <v>5</v>
      </c>
      <c r="D272" s="48" t="n">
        <v>4</v>
      </c>
      <c r="E272" s="48" t="n">
        <f aca="false">C272-D272</f>
        <v>1</v>
      </c>
      <c r="F272" s="48" t="n">
        <v>1210</v>
      </c>
      <c r="G272" s="48" t="n">
        <v>1945</v>
      </c>
      <c r="H272" s="48" t="n">
        <f aca="false">F272-G272</f>
        <v>-735</v>
      </c>
      <c r="I272" s="51"/>
      <c r="J272" s="51"/>
      <c r="K272" s="51"/>
      <c r="L272" s="51"/>
    </row>
    <row r="273" customFormat="false" ht="15" hidden="false" customHeight="false" outlineLevel="0" collapsed="false">
      <c r="A273" s="46"/>
      <c r="B273" s="49" t="s">
        <v>6502</v>
      </c>
      <c r="C273" s="48" t="n">
        <v>5</v>
      </c>
      <c r="D273" s="48" t="n">
        <v>4</v>
      </c>
      <c r="E273" s="48" t="n">
        <f aca="false">C273-D273</f>
        <v>1</v>
      </c>
      <c r="F273" s="48" t="n">
        <v>1089</v>
      </c>
      <c r="G273" s="48" t="n">
        <v>1500</v>
      </c>
      <c r="H273" s="48" t="n">
        <f aca="false">F273-G273</f>
        <v>-411</v>
      </c>
      <c r="I273" s="51"/>
      <c r="J273" s="51"/>
      <c r="K273" s="51"/>
      <c r="L273" s="51"/>
    </row>
    <row r="274" customFormat="false" ht="15" hidden="false" customHeight="false" outlineLevel="0" collapsed="false">
      <c r="A274" s="52"/>
      <c r="B274" s="51"/>
      <c r="C274" s="51" t="n">
        <v>5</v>
      </c>
      <c r="D274" s="51" t="n">
        <v>0</v>
      </c>
      <c r="E274" s="51"/>
      <c r="F274" s="51" t="n">
        <v>999</v>
      </c>
      <c r="G274" s="51" t="n">
        <v>0</v>
      </c>
      <c r="H274" s="51"/>
      <c r="I274" s="51"/>
      <c r="J274" s="51"/>
      <c r="K274" s="51"/>
      <c r="L274" s="51"/>
    </row>
    <row r="275" customFormat="false" ht="15" hidden="false" customHeight="false" outlineLevel="0" collapsed="false">
      <c r="A275" s="52"/>
      <c r="B275" s="51"/>
      <c r="C275" s="51" t="n">
        <v>5</v>
      </c>
      <c r="D275" s="51" t="n">
        <v>5</v>
      </c>
      <c r="E275" s="51"/>
      <c r="F275" s="51" t="n">
        <v>999</v>
      </c>
      <c r="G275" s="51" t="n">
        <v>601</v>
      </c>
      <c r="H275" s="51"/>
      <c r="I275" s="51"/>
      <c r="J275" s="51"/>
      <c r="K275" s="51"/>
      <c r="L275" s="51"/>
    </row>
    <row r="276" customFormat="false" ht="15" hidden="false" customHeight="false" outlineLevel="0" collapsed="false">
      <c r="A276" s="46"/>
      <c r="B276" s="49" t="s">
        <v>6503</v>
      </c>
      <c r="C276" s="48" t="n">
        <v>5</v>
      </c>
      <c r="D276" s="48" t="n">
        <v>12</v>
      </c>
      <c r="E276" s="48" t="n">
        <f aca="false">C276-D276</f>
        <v>-7</v>
      </c>
      <c r="F276" s="48" t="n">
        <v>769</v>
      </c>
      <c r="G276" s="48" t="n">
        <v>2001</v>
      </c>
      <c r="H276" s="48" t="n">
        <f aca="false">F276-G276</f>
        <v>-1232</v>
      </c>
      <c r="I276" s="51"/>
      <c r="J276" s="51"/>
      <c r="K276" s="51"/>
      <c r="L276" s="51"/>
    </row>
    <row r="277" customFormat="false" ht="15" hidden="false" customHeight="false" outlineLevel="0" collapsed="false">
      <c r="A277" s="52"/>
      <c r="B277" s="51"/>
      <c r="C277" s="51" t="n">
        <v>5</v>
      </c>
      <c r="D277" s="51" t="n">
        <v>5</v>
      </c>
      <c r="E277" s="51"/>
      <c r="F277" s="51" t="n">
        <v>729</v>
      </c>
      <c r="G277" s="51" t="n">
        <v>228</v>
      </c>
      <c r="H277" s="51"/>
      <c r="I277" s="51"/>
      <c r="J277" s="51"/>
      <c r="K277" s="51"/>
      <c r="L277" s="51"/>
    </row>
    <row r="278" customFormat="false" ht="15" hidden="false" customHeight="false" outlineLevel="0" collapsed="false">
      <c r="A278" s="52"/>
      <c r="B278" s="51"/>
      <c r="C278" s="51" t="n">
        <v>5</v>
      </c>
      <c r="D278" s="51" t="n">
        <v>0</v>
      </c>
      <c r="E278" s="51"/>
      <c r="F278" s="51" t="n">
        <v>580</v>
      </c>
      <c r="G278" s="51" t="n">
        <v>0</v>
      </c>
      <c r="H278" s="51"/>
      <c r="I278" s="51"/>
      <c r="J278" s="51"/>
      <c r="K278" s="51"/>
      <c r="L278" s="51"/>
    </row>
    <row r="279" customFormat="false" ht="15" hidden="false" customHeight="false" outlineLevel="0" collapsed="false">
      <c r="A279" s="52"/>
      <c r="B279" s="51"/>
      <c r="C279" s="51" t="n">
        <v>5</v>
      </c>
      <c r="D279" s="51" t="n">
        <v>0</v>
      </c>
      <c r="E279" s="51"/>
      <c r="F279" s="51" t="n">
        <v>462</v>
      </c>
      <c r="G279" s="51" t="n">
        <v>0</v>
      </c>
      <c r="H279" s="51"/>
      <c r="I279" s="51"/>
      <c r="J279" s="51"/>
      <c r="K279" s="51"/>
      <c r="L279" s="51"/>
    </row>
    <row r="280" customFormat="false" ht="15" hidden="false" customHeight="false" outlineLevel="0" collapsed="false">
      <c r="A280" s="52"/>
      <c r="B280" s="51"/>
      <c r="C280" s="51" t="n">
        <v>5</v>
      </c>
      <c r="D280" s="51" t="n">
        <v>0</v>
      </c>
      <c r="E280" s="51"/>
      <c r="F280" s="51" t="n">
        <v>364</v>
      </c>
      <c r="G280" s="51" t="n">
        <v>0</v>
      </c>
      <c r="H280" s="51"/>
      <c r="I280" s="51"/>
      <c r="J280" s="51"/>
      <c r="K280" s="51"/>
      <c r="L280" s="51"/>
    </row>
    <row r="281" customFormat="false" ht="15" hidden="false" customHeight="false" outlineLevel="0" collapsed="false">
      <c r="A281" s="52"/>
      <c r="B281" s="51"/>
      <c r="C281" s="51" t="n">
        <v>5</v>
      </c>
      <c r="D281" s="51" t="n">
        <v>0</v>
      </c>
      <c r="E281" s="51"/>
      <c r="F281" s="51" t="n">
        <v>352</v>
      </c>
      <c r="G281" s="51" t="n">
        <v>0</v>
      </c>
      <c r="H281" s="51"/>
      <c r="I281" s="51"/>
      <c r="J281" s="51"/>
      <c r="K281" s="51"/>
      <c r="L281" s="51"/>
    </row>
    <row r="282" customFormat="false" ht="15" hidden="false" customHeight="false" outlineLevel="0" collapsed="false">
      <c r="A282" s="52"/>
      <c r="B282" s="51"/>
      <c r="C282" s="51" t="n">
        <v>5</v>
      </c>
      <c r="D282" s="51" t="n">
        <v>0</v>
      </c>
      <c r="E282" s="51"/>
      <c r="F282" s="51" t="n">
        <v>253</v>
      </c>
      <c r="G282" s="51" t="n">
        <v>0</v>
      </c>
      <c r="H282" s="51"/>
      <c r="I282" s="51"/>
      <c r="J282" s="51"/>
      <c r="K282" s="51"/>
      <c r="L282" s="51"/>
    </row>
    <row r="283" customFormat="false" ht="15" hidden="false" customHeight="false" outlineLevel="0" collapsed="false">
      <c r="A283" s="52"/>
      <c r="B283" s="51"/>
      <c r="C283" s="51" t="n">
        <v>5</v>
      </c>
      <c r="D283" s="51" t="n">
        <v>0</v>
      </c>
      <c r="E283" s="51"/>
      <c r="F283" s="51" t="n">
        <v>118</v>
      </c>
      <c r="G283" s="51" t="n">
        <v>0</v>
      </c>
      <c r="H283" s="51"/>
      <c r="I283" s="51"/>
      <c r="J283" s="51"/>
      <c r="K283" s="51"/>
      <c r="L283" s="51"/>
    </row>
    <row r="284" customFormat="false" ht="15" hidden="false" customHeight="false" outlineLevel="0" collapsed="false">
      <c r="A284" s="46"/>
      <c r="B284" s="49" t="s">
        <v>6504</v>
      </c>
      <c r="C284" s="48" t="n">
        <v>4</v>
      </c>
      <c r="D284" s="48" t="n">
        <v>5</v>
      </c>
      <c r="E284" s="48" t="n">
        <f aca="false">C284-D284</f>
        <v>-1</v>
      </c>
      <c r="F284" s="48" t="n">
        <v>3594</v>
      </c>
      <c r="G284" s="48" t="n">
        <v>3296</v>
      </c>
      <c r="H284" s="48" t="n">
        <f aca="false">F284-G284</f>
        <v>298</v>
      </c>
      <c r="I284" s="51"/>
      <c r="J284" s="51"/>
      <c r="K284" s="51"/>
      <c r="L284" s="51"/>
    </row>
    <row r="285" customFormat="false" ht="15" hidden="false" customHeight="false" outlineLevel="0" collapsed="false">
      <c r="A285" s="52"/>
      <c r="B285" s="51"/>
      <c r="C285" s="51" t="n">
        <v>4</v>
      </c>
      <c r="D285" s="51" t="n">
        <v>4</v>
      </c>
      <c r="E285" s="51"/>
      <c r="F285" s="51" t="n">
        <v>2061</v>
      </c>
      <c r="G285" s="51" t="n">
        <v>1507</v>
      </c>
      <c r="H285" s="51"/>
      <c r="I285" s="51"/>
      <c r="J285" s="51"/>
      <c r="K285" s="51"/>
      <c r="L285" s="51"/>
    </row>
    <row r="286" customFormat="false" ht="15" hidden="false" customHeight="false" outlineLevel="0" collapsed="false">
      <c r="A286" s="52"/>
      <c r="B286" s="51"/>
      <c r="C286" s="51" t="n">
        <v>4</v>
      </c>
      <c r="D286" s="51" t="n">
        <v>3</v>
      </c>
      <c r="E286" s="51"/>
      <c r="F286" s="51" t="n">
        <v>1857</v>
      </c>
      <c r="G286" s="51" t="n">
        <v>658</v>
      </c>
      <c r="H286" s="51"/>
      <c r="I286" s="51"/>
      <c r="J286" s="51"/>
      <c r="K286" s="51"/>
      <c r="L286" s="51"/>
    </row>
    <row r="287" customFormat="false" ht="15" hidden="false" customHeight="false" outlineLevel="0" collapsed="false">
      <c r="A287" s="46"/>
      <c r="B287" s="49" t="s">
        <v>6505</v>
      </c>
      <c r="C287" s="48" t="n">
        <v>4</v>
      </c>
      <c r="D287" s="48" t="n">
        <v>0</v>
      </c>
      <c r="E287" s="48" t="n">
        <f aca="false">C287-D287</f>
        <v>4</v>
      </c>
      <c r="F287" s="48" t="n">
        <v>1328</v>
      </c>
      <c r="G287" s="48" t="n">
        <v>0</v>
      </c>
      <c r="H287" s="48" t="n">
        <f aca="false">F287-G287</f>
        <v>1328</v>
      </c>
      <c r="I287" s="51"/>
      <c r="J287" s="51"/>
      <c r="K287" s="51"/>
      <c r="L287" s="51"/>
    </row>
    <row r="288" customFormat="false" ht="15" hidden="false" customHeight="false" outlineLevel="0" collapsed="false">
      <c r="A288" s="46"/>
      <c r="B288" s="49" t="s">
        <v>6506</v>
      </c>
      <c r="C288" s="48" t="n">
        <v>4</v>
      </c>
      <c r="D288" s="48" t="n">
        <v>22</v>
      </c>
      <c r="E288" s="48" t="n">
        <f aca="false">C288-D288</f>
        <v>-18</v>
      </c>
      <c r="F288" s="48" t="n">
        <v>1325</v>
      </c>
      <c r="G288" s="48" t="n">
        <v>2646</v>
      </c>
      <c r="H288" s="48" t="n">
        <f aca="false">F288-G288</f>
        <v>-1321</v>
      </c>
      <c r="I288" s="51"/>
      <c r="J288" s="51"/>
      <c r="K288" s="51"/>
      <c r="L288" s="51"/>
    </row>
    <row r="289" customFormat="false" ht="15" hidden="false" customHeight="false" outlineLevel="0" collapsed="false">
      <c r="A289" s="52"/>
      <c r="B289" s="51"/>
      <c r="C289" s="51" t="n">
        <v>4</v>
      </c>
      <c r="D289" s="51" t="n">
        <v>0</v>
      </c>
      <c r="E289" s="51"/>
      <c r="F289" s="51" t="n">
        <v>1030</v>
      </c>
      <c r="G289" s="51" t="n">
        <v>0</v>
      </c>
      <c r="H289" s="51"/>
      <c r="I289" s="51"/>
      <c r="J289" s="51"/>
      <c r="K289" s="51"/>
      <c r="L289" s="51"/>
    </row>
    <row r="290" customFormat="false" ht="15" hidden="false" customHeight="false" outlineLevel="0" collapsed="false">
      <c r="A290" s="52"/>
      <c r="B290" s="51"/>
      <c r="C290" s="51" t="n">
        <v>4</v>
      </c>
      <c r="D290" s="51" t="n">
        <v>0</v>
      </c>
      <c r="E290" s="51"/>
      <c r="F290" s="51" t="n">
        <v>957</v>
      </c>
      <c r="G290" s="51" t="n">
        <v>0</v>
      </c>
      <c r="H290" s="51"/>
      <c r="I290" s="51"/>
      <c r="J290" s="51"/>
      <c r="K290" s="51"/>
      <c r="L290" s="51"/>
    </row>
    <row r="291" customFormat="false" ht="15" hidden="false" customHeight="false" outlineLevel="0" collapsed="false">
      <c r="A291" s="52"/>
      <c r="B291" s="51"/>
      <c r="C291" s="51" t="n">
        <v>4</v>
      </c>
      <c r="D291" s="51" t="n">
        <v>1</v>
      </c>
      <c r="E291" s="51"/>
      <c r="F291" s="51" t="n">
        <v>898</v>
      </c>
      <c r="G291" s="51" t="n">
        <v>430</v>
      </c>
      <c r="H291" s="51"/>
      <c r="I291" s="51"/>
      <c r="J291" s="51"/>
      <c r="K291" s="51"/>
      <c r="L291" s="51"/>
    </row>
    <row r="292" customFormat="false" ht="15" hidden="false" customHeight="false" outlineLevel="0" collapsed="false">
      <c r="A292" s="52"/>
      <c r="B292" s="51"/>
      <c r="C292" s="51" t="n">
        <v>4</v>
      </c>
      <c r="D292" s="51" t="n">
        <v>0</v>
      </c>
      <c r="E292" s="51"/>
      <c r="F292" s="51" t="n">
        <v>854</v>
      </c>
      <c r="G292" s="51" t="n">
        <v>307</v>
      </c>
      <c r="H292" s="51"/>
      <c r="I292" s="51"/>
      <c r="J292" s="51"/>
      <c r="K292" s="51"/>
      <c r="L292" s="51"/>
    </row>
    <row r="293" customFormat="false" ht="15" hidden="false" customHeight="false" outlineLevel="0" collapsed="false">
      <c r="A293" s="52"/>
      <c r="B293" s="51"/>
      <c r="C293" s="51" t="n">
        <v>4</v>
      </c>
      <c r="D293" s="51" t="n">
        <v>2</v>
      </c>
      <c r="E293" s="51"/>
      <c r="F293" s="51" t="n">
        <v>584</v>
      </c>
      <c r="G293" s="51" t="n">
        <v>565</v>
      </c>
      <c r="H293" s="51"/>
      <c r="I293" s="51"/>
      <c r="J293" s="51"/>
      <c r="K293" s="51"/>
      <c r="L293" s="51"/>
    </row>
    <row r="294" customFormat="false" ht="15" hidden="false" customHeight="false" outlineLevel="0" collapsed="false">
      <c r="A294" s="52"/>
      <c r="B294" s="51"/>
      <c r="C294" s="51" t="n">
        <v>4</v>
      </c>
      <c r="D294" s="51" t="n">
        <v>0</v>
      </c>
      <c r="E294" s="51"/>
      <c r="F294" s="51" t="n">
        <v>530</v>
      </c>
      <c r="G294" s="51" t="n">
        <v>0</v>
      </c>
      <c r="H294" s="51"/>
      <c r="I294" s="51"/>
      <c r="J294" s="51"/>
      <c r="K294" s="51"/>
      <c r="L294" s="51"/>
    </row>
    <row r="295" customFormat="false" ht="15" hidden="false" customHeight="false" outlineLevel="0" collapsed="false">
      <c r="A295" s="52"/>
      <c r="B295" s="51"/>
      <c r="C295" s="51" t="n">
        <v>4</v>
      </c>
      <c r="D295" s="51" t="n">
        <v>1</v>
      </c>
      <c r="E295" s="51"/>
      <c r="F295" s="51" t="n">
        <v>391</v>
      </c>
      <c r="G295" s="51" t="n">
        <v>246</v>
      </c>
      <c r="H295" s="51"/>
      <c r="I295" s="51"/>
      <c r="J295" s="51"/>
      <c r="K295" s="51"/>
      <c r="L295" s="51"/>
    </row>
    <row r="296" customFormat="false" ht="15" hidden="false" customHeight="false" outlineLevel="0" collapsed="false">
      <c r="A296" s="52"/>
      <c r="B296" s="51"/>
      <c r="C296" s="51" t="n">
        <v>4</v>
      </c>
      <c r="D296" s="51" t="n">
        <v>0</v>
      </c>
      <c r="E296" s="51"/>
      <c r="F296" s="51" t="n">
        <v>371</v>
      </c>
      <c r="G296" s="51" t="n">
        <v>0</v>
      </c>
      <c r="H296" s="51"/>
      <c r="I296" s="51"/>
      <c r="J296" s="51"/>
      <c r="K296" s="51"/>
      <c r="L296" s="51"/>
    </row>
    <row r="297" customFormat="false" ht="15" hidden="false" customHeight="false" outlineLevel="0" collapsed="false">
      <c r="A297" s="52"/>
      <c r="B297" s="51"/>
      <c r="C297" s="51" t="n">
        <v>4</v>
      </c>
      <c r="D297" s="51" t="n">
        <v>0</v>
      </c>
      <c r="E297" s="51"/>
      <c r="F297" s="51" t="n">
        <v>227</v>
      </c>
      <c r="G297" s="51" t="n">
        <v>0</v>
      </c>
      <c r="H297" s="51"/>
      <c r="I297" s="51"/>
      <c r="J297" s="51"/>
      <c r="K297" s="51"/>
      <c r="L297" s="51"/>
    </row>
    <row r="298" customFormat="false" ht="15" hidden="false" customHeight="false" outlineLevel="0" collapsed="false">
      <c r="A298" s="52"/>
      <c r="B298" s="51"/>
      <c r="C298" s="51" t="n">
        <v>4</v>
      </c>
      <c r="D298" s="51" t="n">
        <v>1</v>
      </c>
      <c r="E298" s="51"/>
      <c r="F298" s="51" t="n">
        <v>222</v>
      </c>
      <c r="G298" s="51" t="n">
        <v>185</v>
      </c>
      <c r="H298" s="51"/>
      <c r="I298" s="51"/>
      <c r="J298" s="51"/>
      <c r="K298" s="51"/>
      <c r="L298" s="51"/>
    </row>
    <row r="299" customFormat="false" ht="15" hidden="false" customHeight="false" outlineLevel="0" collapsed="false">
      <c r="A299" s="52"/>
      <c r="B299" s="51"/>
      <c r="C299" s="51" t="n">
        <v>4</v>
      </c>
      <c r="D299" s="51" t="n">
        <v>0</v>
      </c>
      <c r="E299" s="51"/>
      <c r="F299" s="51" t="n">
        <v>217</v>
      </c>
      <c r="G299" s="51" t="n">
        <v>0</v>
      </c>
      <c r="H299" s="51"/>
      <c r="I299" s="51"/>
      <c r="J299" s="51"/>
      <c r="K299" s="51"/>
      <c r="L299" s="51"/>
    </row>
    <row r="300" customFormat="false" ht="15" hidden="false" customHeight="false" outlineLevel="0" collapsed="false">
      <c r="A300" s="52"/>
      <c r="B300" s="51"/>
      <c r="C300" s="51" t="n">
        <v>4</v>
      </c>
      <c r="D300" s="51" t="n">
        <v>0</v>
      </c>
      <c r="E300" s="51"/>
      <c r="F300" s="51" t="n">
        <v>201</v>
      </c>
      <c r="G300" s="51" t="n">
        <v>0</v>
      </c>
      <c r="H300" s="51"/>
      <c r="I300" s="51"/>
      <c r="J300" s="51"/>
      <c r="K300" s="51"/>
      <c r="L300" s="51"/>
    </row>
    <row r="301" customFormat="false" ht="15" hidden="false" customHeight="false" outlineLevel="0" collapsed="false">
      <c r="A301" s="52"/>
      <c r="B301" s="51"/>
      <c r="C301" s="51" t="n">
        <v>4</v>
      </c>
      <c r="D301" s="51" t="n">
        <v>0</v>
      </c>
      <c r="E301" s="51"/>
      <c r="F301" s="51" t="n">
        <v>198</v>
      </c>
      <c r="G301" s="51" t="n">
        <v>0</v>
      </c>
      <c r="H301" s="51"/>
      <c r="I301" s="51"/>
      <c r="J301" s="51"/>
      <c r="K301" s="51"/>
      <c r="L301" s="51"/>
    </row>
    <row r="302" customFormat="false" ht="15" hidden="false" customHeight="false" outlineLevel="0" collapsed="false">
      <c r="A302" s="52"/>
      <c r="B302" s="51"/>
      <c r="C302" s="51" t="n">
        <v>4</v>
      </c>
      <c r="D302" s="51" t="n">
        <v>0</v>
      </c>
      <c r="E302" s="51"/>
      <c r="F302" s="51" t="n">
        <v>164</v>
      </c>
      <c r="G302" s="51" t="n">
        <v>0</v>
      </c>
      <c r="H302" s="51"/>
      <c r="I302" s="51"/>
      <c r="J302" s="51"/>
      <c r="K302" s="51"/>
      <c r="L302" s="51"/>
    </row>
    <row r="303" customFormat="false" ht="15" hidden="false" customHeight="false" outlineLevel="0" collapsed="false">
      <c r="A303" s="52"/>
      <c r="B303" s="51"/>
      <c r="C303" s="51" t="n">
        <v>4</v>
      </c>
      <c r="D303" s="51" t="n">
        <v>0</v>
      </c>
      <c r="E303" s="51"/>
      <c r="F303" s="51" t="n">
        <v>142</v>
      </c>
      <c r="G303" s="51" t="n">
        <v>0</v>
      </c>
      <c r="H303" s="51"/>
      <c r="I303" s="51"/>
      <c r="J303" s="51"/>
      <c r="K303" s="51"/>
      <c r="L303" s="51"/>
    </row>
    <row r="304" customFormat="false" ht="15" hidden="false" customHeight="false" outlineLevel="0" collapsed="false">
      <c r="A304" s="52"/>
      <c r="B304" s="51"/>
      <c r="C304" s="51" t="n">
        <v>4</v>
      </c>
      <c r="D304" s="51" t="n">
        <v>0</v>
      </c>
      <c r="E304" s="51"/>
      <c r="F304" s="51" t="n">
        <v>109</v>
      </c>
      <c r="G304" s="51" t="n">
        <v>0</v>
      </c>
      <c r="H304" s="51"/>
      <c r="I304" s="51"/>
      <c r="J304" s="51"/>
      <c r="K304" s="51"/>
      <c r="L304" s="51"/>
    </row>
    <row r="305" customFormat="false" ht="15" hidden="false" customHeight="false" outlineLevel="0" collapsed="false">
      <c r="A305" s="52"/>
      <c r="B305" s="51"/>
      <c r="C305" s="51" t="n">
        <v>4</v>
      </c>
      <c r="D305" s="51" t="n">
        <v>0</v>
      </c>
      <c r="E305" s="51"/>
      <c r="F305" s="51" t="n">
        <v>108</v>
      </c>
      <c r="G305" s="51" t="n">
        <v>0</v>
      </c>
      <c r="H305" s="51"/>
      <c r="I305" s="51"/>
      <c r="J305" s="51"/>
      <c r="K305" s="51"/>
      <c r="L305" s="51"/>
    </row>
    <row r="306" customFormat="false" ht="15" hidden="false" customHeight="false" outlineLevel="0" collapsed="false">
      <c r="A306" s="52"/>
      <c r="B306" s="51"/>
      <c r="C306" s="51" t="n">
        <v>4</v>
      </c>
      <c r="D306" s="51" t="n">
        <v>0</v>
      </c>
      <c r="E306" s="51"/>
      <c r="F306" s="51" t="n">
        <v>80</v>
      </c>
      <c r="G306" s="51" t="n">
        <v>0</v>
      </c>
      <c r="H306" s="51"/>
      <c r="I306" s="51"/>
      <c r="J306" s="51"/>
      <c r="K306" s="51"/>
      <c r="L306" s="51"/>
    </row>
    <row r="307" customFormat="false" ht="15" hidden="false" customHeight="false" outlineLevel="0" collapsed="false">
      <c r="A307" s="52"/>
      <c r="B307" s="51"/>
      <c r="C307" s="51" t="n">
        <v>4</v>
      </c>
      <c r="D307" s="51" t="n">
        <v>0</v>
      </c>
      <c r="E307" s="51"/>
      <c r="F307" s="51" t="n">
        <v>75</v>
      </c>
      <c r="G307" s="51" t="n">
        <v>0</v>
      </c>
      <c r="H307" s="51"/>
      <c r="I307" s="51"/>
      <c r="J307" s="51"/>
      <c r="K307" s="51"/>
      <c r="L307" s="51"/>
    </row>
    <row r="308" customFormat="false" ht="15" hidden="false" customHeight="false" outlineLevel="0" collapsed="false">
      <c r="A308" s="52"/>
      <c r="B308" s="51"/>
      <c r="C308" s="51" t="n">
        <v>4</v>
      </c>
      <c r="D308" s="51" t="n">
        <v>0</v>
      </c>
      <c r="E308" s="51"/>
      <c r="F308" s="51" t="n">
        <v>61</v>
      </c>
      <c r="G308" s="51" t="n">
        <v>0</v>
      </c>
      <c r="H308" s="51"/>
      <c r="I308" s="51"/>
      <c r="J308" s="51"/>
      <c r="K308" s="51"/>
      <c r="L308" s="51"/>
    </row>
    <row r="309" customFormat="false" ht="15" hidden="false" customHeight="false" outlineLevel="0" collapsed="false">
      <c r="A309" s="52"/>
      <c r="B309" s="51"/>
      <c r="C309" s="51" t="n">
        <v>4</v>
      </c>
      <c r="D309" s="51" t="n">
        <v>0</v>
      </c>
      <c r="E309" s="51"/>
      <c r="F309" s="51" t="n">
        <v>58</v>
      </c>
      <c r="G309" s="51" t="n">
        <v>0</v>
      </c>
      <c r="H309" s="51"/>
      <c r="I309" s="51"/>
      <c r="J309" s="51"/>
      <c r="K309" s="51"/>
      <c r="L309" s="51"/>
    </row>
    <row r="310" customFormat="false" ht="15" hidden="false" customHeight="false" outlineLevel="0" collapsed="false">
      <c r="A310" s="52"/>
      <c r="B310" s="51"/>
      <c r="C310" s="51" t="n">
        <v>4</v>
      </c>
      <c r="D310" s="51" t="n">
        <v>0</v>
      </c>
      <c r="E310" s="51"/>
      <c r="F310" s="51" t="n">
        <v>31</v>
      </c>
      <c r="G310" s="51" t="n">
        <v>0</v>
      </c>
      <c r="H310" s="51"/>
      <c r="I310" s="51"/>
      <c r="J310" s="51"/>
      <c r="K310" s="51"/>
      <c r="L310" s="51"/>
    </row>
    <row r="311" customFormat="false" ht="15" hidden="false" customHeight="false" outlineLevel="0" collapsed="false">
      <c r="A311" s="52"/>
      <c r="B311" s="51"/>
      <c r="C311" s="51" t="n">
        <v>3</v>
      </c>
      <c r="D311" s="51" t="n">
        <v>0</v>
      </c>
      <c r="E311" s="51"/>
      <c r="F311" s="51" t="n">
        <v>4114</v>
      </c>
      <c r="G311" s="51" t="n">
        <v>0</v>
      </c>
      <c r="H311" s="51"/>
      <c r="I311" s="51"/>
      <c r="J311" s="51"/>
      <c r="K311" s="51"/>
      <c r="L311" s="51"/>
    </row>
    <row r="312" customFormat="false" ht="15" hidden="false" customHeight="false" outlineLevel="0" collapsed="false">
      <c r="A312" s="52"/>
      <c r="B312" s="51"/>
      <c r="C312" s="51" t="n">
        <v>3</v>
      </c>
      <c r="D312" s="51" t="n">
        <v>1</v>
      </c>
      <c r="E312" s="51"/>
      <c r="F312" s="51" t="n">
        <v>3806</v>
      </c>
      <c r="G312" s="51" t="n">
        <v>867</v>
      </c>
      <c r="H312" s="51"/>
      <c r="I312" s="51"/>
      <c r="J312" s="51"/>
      <c r="K312" s="51"/>
      <c r="L312" s="51"/>
    </row>
    <row r="313" customFormat="false" ht="15" hidden="false" customHeight="false" outlineLevel="0" collapsed="false">
      <c r="A313" s="46"/>
      <c r="B313" s="49" t="s">
        <v>6507</v>
      </c>
      <c r="C313" s="48" t="n">
        <v>3</v>
      </c>
      <c r="D313" s="48" t="n">
        <v>4</v>
      </c>
      <c r="E313" s="48" t="n">
        <f aca="false">C313-D313</f>
        <v>-1</v>
      </c>
      <c r="F313" s="48" t="n">
        <v>3678</v>
      </c>
      <c r="G313" s="48" t="n">
        <v>7919</v>
      </c>
      <c r="H313" s="48" t="n">
        <f aca="false">F313-G313</f>
        <v>-4241</v>
      </c>
      <c r="I313" s="51"/>
      <c r="J313" s="51"/>
      <c r="K313" s="51"/>
      <c r="L313" s="51"/>
    </row>
    <row r="314" customFormat="false" ht="15" hidden="false" customHeight="false" outlineLevel="0" collapsed="false">
      <c r="A314" s="46"/>
      <c r="B314" s="49" t="s">
        <v>6508</v>
      </c>
      <c r="C314" s="48" t="n">
        <v>3</v>
      </c>
      <c r="D314" s="48" t="n">
        <v>7</v>
      </c>
      <c r="E314" s="48" t="n">
        <f aca="false">C314-D314</f>
        <v>-4</v>
      </c>
      <c r="F314" s="48" t="n">
        <v>3481</v>
      </c>
      <c r="G314" s="48" t="n">
        <v>4115</v>
      </c>
      <c r="H314" s="48" t="n">
        <f aca="false">F314-G314</f>
        <v>-634</v>
      </c>
      <c r="I314" s="51"/>
      <c r="J314" s="51"/>
      <c r="K314" s="51"/>
      <c r="L314" s="51"/>
    </row>
    <row r="315" customFormat="false" ht="15" hidden="false" customHeight="false" outlineLevel="0" collapsed="false">
      <c r="A315" s="52"/>
      <c r="B315" s="51"/>
      <c r="C315" s="51" t="n">
        <v>3</v>
      </c>
      <c r="D315" s="51" t="n">
        <v>7</v>
      </c>
      <c r="E315" s="51"/>
      <c r="F315" s="51" t="n">
        <v>3433</v>
      </c>
      <c r="G315" s="51" t="n">
        <v>6894</v>
      </c>
      <c r="H315" s="51"/>
      <c r="I315" s="51"/>
      <c r="J315" s="51"/>
      <c r="K315" s="51"/>
      <c r="L315" s="51"/>
    </row>
    <row r="316" customFormat="false" ht="15" hidden="false" customHeight="false" outlineLevel="0" collapsed="false">
      <c r="A316" s="52"/>
      <c r="B316" s="51"/>
      <c r="C316" s="51" t="n">
        <v>3</v>
      </c>
      <c r="D316" s="51" t="n">
        <v>1</v>
      </c>
      <c r="E316" s="51"/>
      <c r="F316" s="51" t="n">
        <v>3176</v>
      </c>
      <c r="G316" s="51" t="n">
        <v>3602</v>
      </c>
      <c r="H316" s="51"/>
      <c r="I316" s="51"/>
      <c r="J316" s="51"/>
      <c r="K316" s="51"/>
      <c r="L316" s="51"/>
    </row>
    <row r="317" customFormat="false" ht="15" hidden="false" customHeight="false" outlineLevel="0" collapsed="false">
      <c r="A317" s="52"/>
      <c r="B317" s="51"/>
      <c r="C317" s="51" t="n">
        <v>3</v>
      </c>
      <c r="D317" s="51" t="n">
        <v>5</v>
      </c>
      <c r="E317" s="51"/>
      <c r="F317" s="51" t="n">
        <v>2558</v>
      </c>
      <c r="G317" s="51" t="n">
        <v>3054</v>
      </c>
      <c r="H317" s="51"/>
      <c r="I317" s="51"/>
      <c r="J317" s="51"/>
      <c r="K317" s="51"/>
      <c r="L317" s="51"/>
    </row>
    <row r="318" customFormat="false" ht="15" hidden="false" customHeight="false" outlineLevel="0" collapsed="false">
      <c r="A318" s="52"/>
      <c r="B318" s="51"/>
      <c r="C318" s="51" t="n">
        <v>3</v>
      </c>
      <c r="D318" s="51" t="n">
        <v>0</v>
      </c>
      <c r="E318" s="51"/>
      <c r="F318" s="51" t="n">
        <v>2396</v>
      </c>
      <c r="G318" s="51" t="n">
        <v>544</v>
      </c>
      <c r="H318" s="51"/>
      <c r="I318" s="51"/>
      <c r="J318" s="51"/>
      <c r="K318" s="51"/>
      <c r="L318" s="51"/>
    </row>
    <row r="319" customFormat="false" ht="15" hidden="false" customHeight="false" outlineLevel="0" collapsed="false">
      <c r="A319" s="52"/>
      <c r="B319" s="51"/>
      <c r="C319" s="51" t="n">
        <v>3</v>
      </c>
      <c r="D319" s="51" t="n">
        <v>6</v>
      </c>
      <c r="E319" s="51"/>
      <c r="F319" s="51" t="n">
        <v>2329</v>
      </c>
      <c r="G319" s="51" t="n">
        <v>3484</v>
      </c>
      <c r="H319" s="51"/>
      <c r="I319" s="51"/>
      <c r="J319" s="51"/>
      <c r="K319" s="51"/>
      <c r="L319" s="51"/>
    </row>
    <row r="320" customFormat="false" ht="15" hidden="false" customHeight="false" outlineLevel="0" collapsed="false">
      <c r="A320" s="46"/>
      <c r="B320" s="49" t="s">
        <v>6509</v>
      </c>
      <c r="C320" s="48" t="n">
        <v>3</v>
      </c>
      <c r="D320" s="48" t="n">
        <v>30</v>
      </c>
      <c r="E320" s="48" t="n">
        <f aca="false">C320-D320</f>
        <v>-27</v>
      </c>
      <c r="F320" s="48" t="n">
        <v>2210</v>
      </c>
      <c r="G320" s="48" t="n">
        <v>7732</v>
      </c>
      <c r="H320" s="48" t="n">
        <f aca="false">F320-G320</f>
        <v>-5522</v>
      </c>
      <c r="I320" s="51"/>
      <c r="J320" s="51"/>
      <c r="K320" s="51"/>
      <c r="L320" s="51"/>
    </row>
    <row r="321" customFormat="false" ht="15" hidden="false" customHeight="false" outlineLevel="0" collapsed="false">
      <c r="A321" s="52"/>
      <c r="B321" s="51"/>
      <c r="C321" s="51" t="n">
        <v>3</v>
      </c>
      <c r="D321" s="51" t="n">
        <v>0</v>
      </c>
      <c r="E321" s="51"/>
      <c r="F321" s="51" t="n">
        <v>1818</v>
      </c>
      <c r="G321" s="51" t="n">
        <v>880</v>
      </c>
      <c r="H321" s="51"/>
      <c r="I321" s="51"/>
      <c r="J321" s="51"/>
      <c r="K321" s="51"/>
      <c r="L321" s="51"/>
    </row>
    <row r="322" customFormat="false" ht="15" hidden="false" customHeight="false" outlineLevel="0" collapsed="false">
      <c r="A322" s="52"/>
      <c r="B322" s="51"/>
      <c r="C322" s="51" t="n">
        <v>3</v>
      </c>
      <c r="D322" s="51" t="n">
        <v>2</v>
      </c>
      <c r="E322" s="51"/>
      <c r="F322" s="51" t="n">
        <v>1794</v>
      </c>
      <c r="G322" s="51" t="n">
        <v>445</v>
      </c>
      <c r="H322" s="51"/>
      <c r="I322" s="51"/>
      <c r="J322" s="51"/>
      <c r="K322" s="51"/>
      <c r="L322" s="51"/>
    </row>
    <row r="323" customFormat="false" ht="15" hidden="false" customHeight="false" outlineLevel="0" collapsed="false">
      <c r="A323" s="52"/>
      <c r="B323" s="51"/>
      <c r="C323" s="51" t="n">
        <v>3</v>
      </c>
      <c r="D323" s="51" t="n">
        <v>0</v>
      </c>
      <c r="E323" s="51"/>
      <c r="F323" s="51" t="n">
        <v>1738</v>
      </c>
      <c r="G323" s="51" t="n">
        <v>0</v>
      </c>
      <c r="H323" s="51"/>
      <c r="I323" s="51"/>
      <c r="J323" s="51"/>
      <c r="K323" s="51"/>
      <c r="L323" s="51"/>
    </row>
    <row r="324" customFormat="false" ht="15" hidden="false" customHeight="false" outlineLevel="0" collapsed="false">
      <c r="A324" s="46"/>
      <c r="B324" s="49" t="s">
        <v>6510</v>
      </c>
      <c r="C324" s="48" t="n">
        <v>3</v>
      </c>
      <c r="D324" s="48" t="n">
        <v>3</v>
      </c>
      <c r="E324" s="48" t="n">
        <f aca="false">C324-D324</f>
        <v>0</v>
      </c>
      <c r="F324" s="48" t="n">
        <v>1559</v>
      </c>
      <c r="G324" s="48" t="n">
        <v>5744</v>
      </c>
      <c r="H324" s="48" t="n">
        <f aca="false">F324-G324</f>
        <v>-4185</v>
      </c>
      <c r="I324" s="51"/>
      <c r="J324" s="51"/>
      <c r="K324" s="51"/>
      <c r="L324" s="51"/>
    </row>
    <row r="325" customFormat="false" ht="15" hidden="false" customHeight="false" outlineLevel="0" collapsed="false">
      <c r="A325" s="52"/>
      <c r="B325" s="51"/>
      <c r="C325" s="51" t="n">
        <v>3</v>
      </c>
      <c r="D325" s="51" t="n">
        <v>2</v>
      </c>
      <c r="E325" s="51"/>
      <c r="F325" s="51" t="n">
        <v>1444</v>
      </c>
      <c r="G325" s="51" t="n">
        <v>206</v>
      </c>
      <c r="H325" s="51"/>
      <c r="I325" s="51"/>
      <c r="J325" s="51"/>
      <c r="K325" s="51"/>
      <c r="L325" s="51"/>
    </row>
    <row r="326" customFormat="false" ht="15" hidden="false" customHeight="false" outlineLevel="0" collapsed="false">
      <c r="A326" s="52"/>
      <c r="B326" s="51"/>
      <c r="C326" s="51" t="n">
        <v>3</v>
      </c>
      <c r="D326" s="51" t="n">
        <v>0</v>
      </c>
      <c r="E326" s="51"/>
      <c r="F326" s="51" t="n">
        <v>1430</v>
      </c>
      <c r="G326" s="51" t="n">
        <v>0</v>
      </c>
      <c r="H326" s="51"/>
      <c r="I326" s="51"/>
      <c r="J326" s="51"/>
      <c r="K326" s="51"/>
      <c r="L326" s="51"/>
    </row>
    <row r="327" customFormat="false" ht="15" hidden="false" customHeight="false" outlineLevel="0" collapsed="false">
      <c r="A327" s="52"/>
      <c r="B327" s="51"/>
      <c r="C327" s="51" t="n">
        <v>3</v>
      </c>
      <c r="D327" s="51" t="n">
        <v>0</v>
      </c>
      <c r="E327" s="51"/>
      <c r="F327" s="51" t="n">
        <v>1042</v>
      </c>
      <c r="G327" s="51" t="n">
        <v>0</v>
      </c>
      <c r="H327" s="51"/>
      <c r="I327" s="51"/>
      <c r="J327" s="51"/>
      <c r="K327" s="51"/>
      <c r="L327" s="51"/>
    </row>
    <row r="328" customFormat="false" ht="15" hidden="false" customHeight="false" outlineLevel="0" collapsed="false">
      <c r="A328" s="52"/>
      <c r="B328" s="51"/>
      <c r="C328" s="51" t="n">
        <v>3</v>
      </c>
      <c r="D328" s="51" t="n">
        <v>1</v>
      </c>
      <c r="E328" s="51"/>
      <c r="F328" s="51" t="n">
        <v>991</v>
      </c>
      <c r="G328" s="51" t="n">
        <v>381</v>
      </c>
      <c r="H328" s="51"/>
      <c r="I328" s="51"/>
      <c r="J328" s="51"/>
      <c r="K328" s="51"/>
      <c r="L328" s="51"/>
    </row>
    <row r="329" customFormat="false" ht="15" hidden="false" customHeight="false" outlineLevel="0" collapsed="false">
      <c r="A329" s="46"/>
      <c r="B329" s="49" t="s">
        <v>6511</v>
      </c>
      <c r="C329" s="48" t="n">
        <v>3</v>
      </c>
      <c r="D329" s="48" t="n">
        <v>2</v>
      </c>
      <c r="E329" s="48" t="n">
        <f aca="false">C329-D329</f>
        <v>1</v>
      </c>
      <c r="F329" s="48" t="n">
        <v>978</v>
      </c>
      <c r="G329" s="48" t="n">
        <v>2997</v>
      </c>
      <c r="H329" s="48" t="n">
        <f aca="false">F329-G329</f>
        <v>-2019</v>
      </c>
      <c r="I329" s="51"/>
      <c r="J329" s="51"/>
      <c r="K329" s="51"/>
      <c r="L329" s="51"/>
    </row>
    <row r="330" customFormat="false" ht="15" hidden="false" customHeight="false" outlineLevel="0" collapsed="false">
      <c r="A330" s="52"/>
      <c r="B330" s="51"/>
      <c r="C330" s="51" t="n">
        <v>3</v>
      </c>
      <c r="D330" s="51" t="n">
        <v>0</v>
      </c>
      <c r="E330" s="51"/>
      <c r="F330" s="51" t="n">
        <v>950</v>
      </c>
      <c r="G330" s="51" t="n">
        <v>0</v>
      </c>
      <c r="H330" s="51"/>
      <c r="I330" s="51"/>
      <c r="J330" s="51"/>
      <c r="K330" s="51"/>
      <c r="L330" s="51"/>
    </row>
    <row r="331" customFormat="false" ht="15" hidden="false" customHeight="false" outlineLevel="0" collapsed="false">
      <c r="A331" s="52"/>
      <c r="B331" s="51"/>
      <c r="C331" s="51" t="n">
        <v>3</v>
      </c>
      <c r="D331" s="51" t="n">
        <v>2</v>
      </c>
      <c r="E331" s="51"/>
      <c r="F331" s="51" t="n">
        <v>819</v>
      </c>
      <c r="G331" s="51" t="n">
        <v>121</v>
      </c>
      <c r="H331" s="51"/>
      <c r="I331" s="51"/>
      <c r="J331" s="51"/>
      <c r="K331" s="51"/>
      <c r="L331" s="51"/>
    </row>
    <row r="332" customFormat="false" ht="15" hidden="false" customHeight="false" outlineLevel="0" collapsed="false">
      <c r="A332" s="52"/>
      <c r="B332" s="51"/>
      <c r="C332" s="51" t="n">
        <v>3</v>
      </c>
      <c r="D332" s="51" t="n">
        <v>2</v>
      </c>
      <c r="E332" s="51"/>
      <c r="F332" s="51" t="n">
        <v>726</v>
      </c>
      <c r="G332" s="51" t="n">
        <v>93</v>
      </c>
      <c r="H332" s="51"/>
      <c r="I332" s="51"/>
      <c r="J332" s="51"/>
      <c r="K332" s="51"/>
      <c r="L332" s="51"/>
    </row>
    <row r="333" customFormat="false" ht="15" hidden="false" customHeight="false" outlineLevel="0" collapsed="false">
      <c r="A333" s="52"/>
      <c r="B333" s="51"/>
      <c r="C333" s="51" t="n">
        <v>3</v>
      </c>
      <c r="D333" s="51" t="n">
        <v>3</v>
      </c>
      <c r="E333" s="51"/>
      <c r="F333" s="51" t="n">
        <v>710</v>
      </c>
      <c r="G333" s="51" t="n">
        <v>279</v>
      </c>
      <c r="H333" s="51"/>
      <c r="I333" s="51"/>
      <c r="J333" s="51"/>
      <c r="K333" s="51"/>
      <c r="L333" s="51"/>
    </row>
    <row r="334" customFormat="false" ht="15" hidden="false" customHeight="false" outlineLevel="0" collapsed="false">
      <c r="A334" s="52"/>
      <c r="B334" s="51"/>
      <c r="C334" s="51" t="n">
        <v>3</v>
      </c>
      <c r="D334" s="51" t="n">
        <v>2</v>
      </c>
      <c r="E334" s="51"/>
      <c r="F334" s="51" t="n">
        <v>691</v>
      </c>
      <c r="G334" s="51" t="n">
        <v>517</v>
      </c>
      <c r="H334" s="51"/>
      <c r="I334" s="51"/>
      <c r="J334" s="51"/>
      <c r="K334" s="51"/>
      <c r="L334" s="51"/>
    </row>
    <row r="335" customFormat="false" ht="15" hidden="false" customHeight="false" outlineLevel="0" collapsed="false">
      <c r="A335" s="52"/>
      <c r="B335" s="51"/>
      <c r="C335" s="51" t="n">
        <v>3</v>
      </c>
      <c r="D335" s="51" t="n">
        <v>1</v>
      </c>
      <c r="E335" s="51"/>
      <c r="F335" s="51" t="n">
        <v>682</v>
      </c>
      <c r="G335" s="51" t="n">
        <v>50</v>
      </c>
      <c r="H335" s="51"/>
      <c r="I335" s="51"/>
      <c r="J335" s="51"/>
      <c r="K335" s="51"/>
      <c r="L335" s="51"/>
    </row>
    <row r="336" customFormat="false" ht="15" hidden="false" customHeight="false" outlineLevel="0" collapsed="false">
      <c r="A336" s="52"/>
      <c r="B336" s="51"/>
      <c r="C336" s="51" t="n">
        <v>3</v>
      </c>
      <c r="D336" s="51" t="n">
        <v>0</v>
      </c>
      <c r="E336" s="51"/>
      <c r="F336" s="51" t="n">
        <v>634</v>
      </c>
      <c r="G336" s="51" t="n">
        <v>25</v>
      </c>
      <c r="H336" s="51"/>
      <c r="I336" s="51"/>
      <c r="J336" s="51"/>
      <c r="K336" s="51"/>
      <c r="L336" s="51"/>
    </row>
    <row r="337" customFormat="false" ht="15" hidden="false" customHeight="false" outlineLevel="0" collapsed="false">
      <c r="A337" s="52"/>
      <c r="B337" s="51"/>
      <c r="C337" s="51" t="n">
        <v>3</v>
      </c>
      <c r="D337" s="51" t="n">
        <v>0</v>
      </c>
      <c r="E337" s="51"/>
      <c r="F337" s="51" t="n">
        <v>607</v>
      </c>
      <c r="G337" s="51" t="n">
        <v>0</v>
      </c>
      <c r="H337" s="51"/>
      <c r="I337" s="51"/>
      <c r="J337" s="51"/>
      <c r="K337" s="51"/>
      <c r="L337" s="51"/>
    </row>
    <row r="338" customFormat="false" ht="15" hidden="false" customHeight="false" outlineLevel="0" collapsed="false">
      <c r="A338" s="52"/>
      <c r="B338" s="51"/>
      <c r="C338" s="51" t="n">
        <v>3</v>
      </c>
      <c r="D338" s="51" t="n">
        <v>0</v>
      </c>
      <c r="E338" s="51"/>
      <c r="F338" s="51" t="n">
        <v>601</v>
      </c>
      <c r="G338" s="51" t="n">
        <v>0</v>
      </c>
      <c r="H338" s="51"/>
      <c r="I338" s="51"/>
      <c r="J338" s="51"/>
      <c r="K338" s="51"/>
      <c r="L338" s="51"/>
    </row>
    <row r="339" customFormat="false" ht="15" hidden="false" customHeight="false" outlineLevel="0" collapsed="false">
      <c r="A339" s="46"/>
      <c r="B339" s="49" t="s">
        <v>6512</v>
      </c>
      <c r="C339" s="48" t="n">
        <v>3</v>
      </c>
      <c r="D339" s="48" t="n">
        <v>13</v>
      </c>
      <c r="E339" s="48" t="n">
        <f aca="false">C339-D339</f>
        <v>-10</v>
      </c>
      <c r="F339" s="48" t="n">
        <v>599</v>
      </c>
      <c r="G339" s="48" t="n">
        <v>2480</v>
      </c>
      <c r="H339" s="48" t="n">
        <f aca="false">F339-G339</f>
        <v>-1881</v>
      </c>
      <c r="I339" s="51"/>
      <c r="J339" s="51"/>
      <c r="K339" s="51"/>
      <c r="L339" s="51"/>
    </row>
    <row r="340" customFormat="false" ht="15" hidden="false" customHeight="false" outlineLevel="0" collapsed="false">
      <c r="A340" s="46"/>
      <c r="B340" s="49" t="s">
        <v>6513</v>
      </c>
      <c r="C340" s="48" t="n">
        <v>3</v>
      </c>
      <c r="D340" s="48" t="n">
        <v>29</v>
      </c>
      <c r="E340" s="48" t="n">
        <f aca="false">C340-D340</f>
        <v>-26</v>
      </c>
      <c r="F340" s="48" t="n">
        <v>544</v>
      </c>
      <c r="G340" s="48" t="n">
        <v>3348</v>
      </c>
      <c r="H340" s="48" t="n">
        <f aca="false">F340-G340</f>
        <v>-2804</v>
      </c>
      <c r="I340" s="51"/>
      <c r="J340" s="51"/>
      <c r="K340" s="51"/>
      <c r="L340" s="51"/>
    </row>
    <row r="341" customFormat="false" ht="15" hidden="false" customHeight="false" outlineLevel="0" collapsed="false">
      <c r="A341" s="46"/>
      <c r="B341" s="49" t="s">
        <v>6514</v>
      </c>
      <c r="C341" s="48" t="n">
        <v>3</v>
      </c>
      <c r="D341" s="48" t="n">
        <v>4</v>
      </c>
      <c r="E341" s="48" t="n">
        <f aca="false">C341-D341</f>
        <v>-1</v>
      </c>
      <c r="F341" s="48" t="n">
        <v>538</v>
      </c>
      <c r="G341" s="48" t="n">
        <v>988</v>
      </c>
      <c r="H341" s="48" t="n">
        <f aca="false">F341-G341</f>
        <v>-450</v>
      </c>
      <c r="I341" s="51"/>
      <c r="J341" s="51"/>
      <c r="K341" s="51"/>
      <c r="L341" s="51"/>
    </row>
    <row r="342" customFormat="false" ht="15" hidden="false" customHeight="false" outlineLevel="0" collapsed="false">
      <c r="A342" s="52"/>
      <c r="B342" s="51"/>
      <c r="C342" s="51" t="n">
        <v>3</v>
      </c>
      <c r="D342" s="51" t="n">
        <v>0</v>
      </c>
      <c r="E342" s="51"/>
      <c r="F342" s="51" t="n">
        <v>492</v>
      </c>
      <c r="G342" s="51" t="n">
        <v>0</v>
      </c>
      <c r="H342" s="51"/>
      <c r="I342" s="51"/>
      <c r="J342" s="51"/>
      <c r="K342" s="51"/>
      <c r="L342" s="51"/>
    </row>
    <row r="343" customFormat="false" ht="15" hidden="false" customHeight="false" outlineLevel="0" collapsed="false">
      <c r="A343" s="52"/>
      <c r="B343" s="51"/>
      <c r="C343" s="51" t="n">
        <v>3</v>
      </c>
      <c r="D343" s="51" t="n">
        <v>0</v>
      </c>
      <c r="E343" s="51"/>
      <c r="F343" s="51" t="n">
        <v>443</v>
      </c>
      <c r="G343" s="51" t="n">
        <v>0</v>
      </c>
      <c r="H343" s="51"/>
      <c r="I343" s="51"/>
      <c r="J343" s="51"/>
      <c r="K343" s="51"/>
      <c r="L343" s="51"/>
    </row>
    <row r="344" customFormat="false" ht="15" hidden="false" customHeight="false" outlineLevel="0" collapsed="false">
      <c r="A344" s="52"/>
      <c r="B344" s="51"/>
      <c r="C344" s="51" t="n">
        <v>3</v>
      </c>
      <c r="D344" s="51" t="n">
        <v>3</v>
      </c>
      <c r="E344" s="51"/>
      <c r="F344" s="51" t="n">
        <v>434</v>
      </c>
      <c r="G344" s="51" t="n">
        <v>58</v>
      </c>
      <c r="H344" s="51"/>
      <c r="I344" s="51"/>
      <c r="J344" s="51"/>
      <c r="K344" s="51"/>
      <c r="L344" s="51"/>
    </row>
    <row r="345" customFormat="false" ht="15" hidden="false" customHeight="false" outlineLevel="0" collapsed="false">
      <c r="A345" s="52"/>
      <c r="B345" s="51"/>
      <c r="C345" s="51" t="n">
        <v>3</v>
      </c>
      <c r="D345" s="51" t="n">
        <v>0</v>
      </c>
      <c r="E345" s="51"/>
      <c r="F345" s="51" t="n">
        <v>315</v>
      </c>
      <c r="G345" s="51" t="n">
        <v>95</v>
      </c>
      <c r="H345" s="51"/>
      <c r="I345" s="51"/>
      <c r="J345" s="51"/>
      <c r="K345" s="51"/>
      <c r="L345" s="51"/>
    </row>
    <row r="346" customFormat="false" ht="15" hidden="false" customHeight="false" outlineLevel="0" collapsed="false">
      <c r="A346" s="52"/>
      <c r="B346" s="51"/>
      <c r="C346" s="51" t="n">
        <v>3</v>
      </c>
      <c r="D346" s="51" t="n">
        <v>2</v>
      </c>
      <c r="E346" s="51"/>
      <c r="F346" s="51" t="n">
        <v>312</v>
      </c>
      <c r="G346" s="51" t="n">
        <v>49</v>
      </c>
      <c r="H346" s="51"/>
      <c r="I346" s="51"/>
      <c r="J346" s="51"/>
      <c r="K346" s="51"/>
      <c r="L346" s="51"/>
    </row>
    <row r="347" customFormat="false" ht="15" hidden="false" customHeight="false" outlineLevel="0" collapsed="false">
      <c r="A347" s="52"/>
      <c r="B347" s="51"/>
      <c r="C347" s="51" t="n">
        <v>3</v>
      </c>
      <c r="D347" s="51" t="n">
        <v>0</v>
      </c>
      <c r="E347" s="51"/>
      <c r="F347" s="51" t="n">
        <v>307</v>
      </c>
      <c r="G347" s="51" t="n">
        <v>0</v>
      </c>
      <c r="H347" s="51"/>
      <c r="I347" s="51"/>
      <c r="J347" s="51"/>
      <c r="K347" s="51"/>
      <c r="L347" s="51"/>
    </row>
    <row r="348" customFormat="false" ht="15" hidden="false" customHeight="false" outlineLevel="0" collapsed="false">
      <c r="A348" s="52"/>
      <c r="B348" s="51"/>
      <c r="C348" s="51" t="n">
        <v>3</v>
      </c>
      <c r="D348" s="51" t="n">
        <v>0</v>
      </c>
      <c r="E348" s="51"/>
      <c r="F348" s="51" t="n">
        <v>246</v>
      </c>
      <c r="G348" s="51" t="n">
        <v>0</v>
      </c>
      <c r="H348" s="51"/>
      <c r="I348" s="51"/>
      <c r="J348" s="51"/>
      <c r="K348" s="51"/>
      <c r="L348" s="51"/>
    </row>
    <row r="349" customFormat="false" ht="15" hidden="false" customHeight="false" outlineLevel="0" collapsed="false">
      <c r="A349" s="46"/>
      <c r="B349" s="49" t="s">
        <v>6515</v>
      </c>
      <c r="C349" s="48" t="n">
        <v>3</v>
      </c>
      <c r="D349" s="48" t="n">
        <v>2</v>
      </c>
      <c r="E349" s="48" t="n">
        <f aca="false">C349-D349</f>
        <v>1</v>
      </c>
      <c r="F349" s="48" t="n">
        <v>228</v>
      </c>
      <c r="G349" s="48" t="n">
        <v>263</v>
      </c>
      <c r="H349" s="48" t="n">
        <f aca="false">F349-G349</f>
        <v>-35</v>
      </c>
      <c r="I349" s="51"/>
      <c r="J349" s="51"/>
      <c r="K349" s="51"/>
      <c r="L349" s="51"/>
    </row>
    <row r="350" customFormat="false" ht="15" hidden="false" customHeight="false" outlineLevel="0" collapsed="false">
      <c r="A350" s="52"/>
      <c r="B350" s="51"/>
      <c r="C350" s="51" t="n">
        <v>3</v>
      </c>
      <c r="D350" s="51" t="n">
        <v>0</v>
      </c>
      <c r="E350" s="51"/>
      <c r="F350" s="51" t="n">
        <v>227</v>
      </c>
      <c r="G350" s="51" t="n">
        <v>0</v>
      </c>
      <c r="H350" s="51"/>
      <c r="I350" s="51"/>
      <c r="J350" s="51"/>
      <c r="K350" s="51"/>
      <c r="L350" s="51"/>
    </row>
    <row r="351" customFormat="false" ht="15" hidden="false" customHeight="false" outlineLevel="0" collapsed="false">
      <c r="A351" s="46"/>
      <c r="B351" s="49" t="s">
        <v>6516</v>
      </c>
      <c r="C351" s="48" t="n">
        <v>3</v>
      </c>
      <c r="D351" s="48" t="n">
        <v>1</v>
      </c>
      <c r="E351" s="48" t="n">
        <f aca="false">C351-D351</f>
        <v>2</v>
      </c>
      <c r="F351" s="48" t="n">
        <v>224</v>
      </c>
      <c r="G351" s="48" t="n">
        <v>63</v>
      </c>
      <c r="H351" s="48" t="n">
        <f aca="false">F351-G351</f>
        <v>161</v>
      </c>
      <c r="I351" s="51"/>
      <c r="J351" s="51"/>
      <c r="K351" s="51"/>
      <c r="L351" s="51"/>
    </row>
    <row r="352" customFormat="false" ht="15" hidden="false" customHeight="false" outlineLevel="0" collapsed="false">
      <c r="A352" s="52"/>
      <c r="B352" s="51"/>
      <c r="C352" s="51" t="n">
        <v>3</v>
      </c>
      <c r="D352" s="51" t="n">
        <v>0</v>
      </c>
      <c r="E352" s="51"/>
      <c r="F352" s="51" t="n">
        <v>222</v>
      </c>
      <c r="G352" s="51" t="n">
        <v>0</v>
      </c>
      <c r="H352" s="51"/>
      <c r="I352" s="51"/>
      <c r="J352" s="51"/>
      <c r="K352" s="51"/>
      <c r="L352" s="51"/>
    </row>
    <row r="353" customFormat="false" ht="15" hidden="false" customHeight="false" outlineLevel="0" collapsed="false">
      <c r="A353" s="52"/>
      <c r="B353" s="51"/>
      <c r="C353" s="51" t="n">
        <v>3</v>
      </c>
      <c r="D353" s="51" t="n">
        <v>1</v>
      </c>
      <c r="E353" s="51"/>
      <c r="F353" s="51" t="n">
        <v>210</v>
      </c>
      <c r="G353" s="51" t="n">
        <v>198</v>
      </c>
      <c r="H353" s="51"/>
      <c r="I353" s="51"/>
      <c r="J353" s="51"/>
      <c r="K353" s="51"/>
      <c r="L353" s="51"/>
    </row>
    <row r="354" customFormat="false" ht="15" hidden="false" customHeight="false" outlineLevel="0" collapsed="false">
      <c r="A354" s="52"/>
      <c r="B354" s="51"/>
      <c r="C354" s="51" t="n">
        <v>3</v>
      </c>
      <c r="D354" s="51" t="n">
        <v>0</v>
      </c>
      <c r="E354" s="51"/>
      <c r="F354" s="51" t="n">
        <v>208</v>
      </c>
      <c r="G354" s="51" t="n">
        <v>0</v>
      </c>
      <c r="H354" s="51"/>
      <c r="I354" s="51"/>
      <c r="J354" s="51"/>
      <c r="K354" s="51"/>
      <c r="L354" s="51"/>
    </row>
    <row r="355" customFormat="false" ht="15" hidden="false" customHeight="false" outlineLevel="0" collapsed="false">
      <c r="A355" s="52"/>
      <c r="B355" s="51"/>
      <c r="C355" s="51" t="n">
        <v>3</v>
      </c>
      <c r="D355" s="51" t="n">
        <v>2</v>
      </c>
      <c r="E355" s="51"/>
      <c r="F355" s="51" t="n">
        <v>207</v>
      </c>
      <c r="G355" s="51" t="n">
        <v>166</v>
      </c>
      <c r="H355" s="51"/>
      <c r="I355" s="51"/>
      <c r="J355" s="51"/>
      <c r="K355" s="51"/>
      <c r="L355" s="51"/>
    </row>
    <row r="356" customFormat="false" ht="15" hidden="false" customHeight="false" outlineLevel="0" collapsed="false">
      <c r="A356" s="52"/>
      <c r="B356" s="51"/>
      <c r="C356" s="51" t="n">
        <v>3</v>
      </c>
      <c r="D356" s="51" t="n">
        <v>0</v>
      </c>
      <c r="E356" s="51"/>
      <c r="F356" s="51" t="n">
        <v>190</v>
      </c>
      <c r="G356" s="51" t="n">
        <v>0</v>
      </c>
      <c r="H356" s="51"/>
      <c r="I356" s="51"/>
      <c r="J356" s="51"/>
      <c r="K356" s="51"/>
      <c r="L356" s="51"/>
    </row>
    <row r="357" customFormat="false" ht="15" hidden="false" customHeight="false" outlineLevel="0" collapsed="false">
      <c r="A357" s="52"/>
      <c r="B357" s="51"/>
      <c r="C357" s="51" t="n">
        <v>3</v>
      </c>
      <c r="D357" s="51" t="n">
        <v>0</v>
      </c>
      <c r="E357" s="51"/>
      <c r="F357" s="51" t="n">
        <v>166</v>
      </c>
      <c r="G357" s="51" t="n">
        <v>0</v>
      </c>
      <c r="H357" s="51"/>
      <c r="I357" s="51"/>
      <c r="J357" s="51"/>
      <c r="K357" s="51"/>
      <c r="L357" s="51"/>
    </row>
    <row r="358" customFormat="false" ht="15" hidden="false" customHeight="false" outlineLevel="0" collapsed="false">
      <c r="A358" s="52"/>
      <c r="B358" s="51"/>
      <c r="C358" s="51" t="n">
        <v>3</v>
      </c>
      <c r="D358" s="51" t="n">
        <v>0</v>
      </c>
      <c r="E358" s="51"/>
      <c r="F358" s="51" t="n">
        <v>163</v>
      </c>
      <c r="G358" s="51" t="n">
        <v>115</v>
      </c>
      <c r="H358" s="51"/>
      <c r="I358" s="51"/>
      <c r="J358" s="51"/>
      <c r="K358" s="51"/>
      <c r="L358" s="51"/>
    </row>
    <row r="359" customFormat="false" ht="15" hidden="false" customHeight="false" outlineLevel="0" collapsed="false">
      <c r="A359" s="52"/>
      <c r="B359" s="51"/>
      <c r="C359" s="51" t="n">
        <v>3</v>
      </c>
      <c r="D359" s="51" t="n">
        <v>0</v>
      </c>
      <c r="E359" s="51"/>
      <c r="F359" s="51" t="n">
        <v>134</v>
      </c>
      <c r="G359" s="51" t="n">
        <v>0</v>
      </c>
      <c r="H359" s="51"/>
      <c r="I359" s="51"/>
      <c r="J359" s="51"/>
      <c r="K359" s="51"/>
      <c r="L359" s="51"/>
    </row>
    <row r="360" customFormat="false" ht="15" hidden="false" customHeight="false" outlineLevel="0" collapsed="false">
      <c r="A360" s="52"/>
      <c r="B360" s="51"/>
      <c r="C360" s="51" t="n">
        <v>3</v>
      </c>
      <c r="D360" s="51" t="n">
        <v>0</v>
      </c>
      <c r="E360" s="51"/>
      <c r="F360" s="51" t="n">
        <v>95</v>
      </c>
      <c r="G360" s="51" t="n">
        <v>0</v>
      </c>
      <c r="H360" s="51"/>
      <c r="I360" s="51"/>
      <c r="J360" s="51"/>
      <c r="K360" s="51"/>
      <c r="L360" s="51"/>
    </row>
    <row r="361" customFormat="false" ht="15" hidden="false" customHeight="false" outlineLevel="0" collapsed="false">
      <c r="A361" s="52"/>
      <c r="B361" s="51"/>
      <c r="C361" s="51" t="n">
        <v>3</v>
      </c>
      <c r="D361" s="51" t="n">
        <v>0</v>
      </c>
      <c r="E361" s="51"/>
      <c r="F361" s="51" t="n">
        <v>92</v>
      </c>
      <c r="G361" s="51" t="n">
        <v>0</v>
      </c>
      <c r="H361" s="51"/>
      <c r="I361" s="51"/>
      <c r="J361" s="51"/>
      <c r="K361" s="51"/>
      <c r="L361" s="51"/>
    </row>
    <row r="362" customFormat="false" ht="15" hidden="false" customHeight="false" outlineLevel="0" collapsed="false">
      <c r="A362" s="52"/>
      <c r="B362" s="51"/>
      <c r="C362" s="51" t="n">
        <v>3</v>
      </c>
      <c r="D362" s="51" t="n">
        <v>0</v>
      </c>
      <c r="E362" s="51"/>
      <c r="F362" s="51" t="n">
        <v>85</v>
      </c>
      <c r="G362" s="51" t="n">
        <v>0</v>
      </c>
      <c r="H362" s="51"/>
      <c r="I362" s="51"/>
      <c r="J362" s="51"/>
      <c r="K362" s="51"/>
      <c r="L362" s="51"/>
    </row>
    <row r="363" customFormat="false" ht="15" hidden="false" customHeight="false" outlineLevel="0" collapsed="false">
      <c r="A363" s="52"/>
      <c r="B363" s="51"/>
      <c r="C363" s="51" t="n">
        <v>3</v>
      </c>
      <c r="D363" s="51" t="n">
        <v>0</v>
      </c>
      <c r="E363" s="51"/>
      <c r="F363" s="51" t="n">
        <v>68</v>
      </c>
      <c r="G363" s="51" t="n">
        <v>0</v>
      </c>
      <c r="H363" s="51"/>
      <c r="I363" s="51"/>
      <c r="J363" s="51"/>
      <c r="K363" s="51"/>
      <c r="L363" s="51"/>
    </row>
    <row r="364" customFormat="false" ht="15" hidden="false" customHeight="false" outlineLevel="0" collapsed="false">
      <c r="A364" s="52"/>
      <c r="B364" s="51"/>
      <c r="C364" s="51" t="n">
        <v>3</v>
      </c>
      <c r="D364" s="51" t="n">
        <v>0</v>
      </c>
      <c r="E364" s="51"/>
      <c r="F364" s="51" t="n">
        <v>64</v>
      </c>
      <c r="G364" s="51" t="n">
        <v>0</v>
      </c>
      <c r="H364" s="51"/>
      <c r="I364" s="51"/>
      <c r="J364" s="51"/>
      <c r="K364" s="51"/>
      <c r="L364" s="51"/>
    </row>
    <row r="365" customFormat="false" ht="15" hidden="false" customHeight="false" outlineLevel="0" collapsed="false">
      <c r="A365" s="52"/>
      <c r="B365" s="51"/>
      <c r="C365" s="51" t="n">
        <v>3</v>
      </c>
      <c r="D365" s="51" t="n">
        <v>0</v>
      </c>
      <c r="E365" s="51"/>
      <c r="F365" s="51" t="n">
        <v>50</v>
      </c>
      <c r="G365" s="51" t="n">
        <v>0</v>
      </c>
      <c r="H365" s="51"/>
      <c r="I365" s="51"/>
      <c r="J365" s="51"/>
      <c r="K365" s="51"/>
      <c r="L365" s="51"/>
    </row>
    <row r="366" customFormat="false" ht="15" hidden="false" customHeight="false" outlineLevel="0" collapsed="false">
      <c r="A366" s="46"/>
      <c r="B366" s="49" t="s">
        <v>6517</v>
      </c>
      <c r="C366" s="48" t="n">
        <v>2</v>
      </c>
      <c r="D366" s="48" t="n">
        <v>6</v>
      </c>
      <c r="E366" s="48" t="n">
        <f aca="false">C366-D366</f>
        <v>-4</v>
      </c>
      <c r="F366" s="48" t="n">
        <v>7819</v>
      </c>
      <c r="G366" s="48" t="n">
        <v>7278</v>
      </c>
      <c r="H366" s="48" t="n">
        <f aca="false">F366-G366</f>
        <v>541</v>
      </c>
      <c r="I366" s="51"/>
      <c r="J366" s="51"/>
      <c r="K366" s="51"/>
      <c r="L366" s="51"/>
    </row>
    <row r="367" customFormat="false" ht="15" hidden="false" customHeight="false" outlineLevel="0" collapsed="false">
      <c r="A367" s="46"/>
      <c r="B367" s="49" t="s">
        <v>6518</v>
      </c>
      <c r="C367" s="48" t="n">
        <v>2</v>
      </c>
      <c r="D367" s="48" t="n">
        <v>19</v>
      </c>
      <c r="E367" s="48" t="n">
        <f aca="false">C367-D367</f>
        <v>-17</v>
      </c>
      <c r="F367" s="48" t="n">
        <v>4962</v>
      </c>
      <c r="G367" s="48" t="n">
        <v>27150</v>
      </c>
      <c r="H367" s="48" t="n">
        <f aca="false">F367-G367</f>
        <v>-22188</v>
      </c>
      <c r="I367" s="51"/>
      <c r="J367" s="51"/>
      <c r="K367" s="51"/>
      <c r="L367" s="51"/>
    </row>
    <row r="368" customFormat="false" ht="15" hidden="false" customHeight="false" outlineLevel="0" collapsed="false">
      <c r="A368" s="52"/>
      <c r="B368" s="51"/>
      <c r="C368" s="51" t="n">
        <v>2</v>
      </c>
      <c r="D368" s="51" t="n">
        <v>2</v>
      </c>
      <c r="E368" s="51"/>
      <c r="F368" s="51" t="n">
        <v>2635</v>
      </c>
      <c r="G368" s="51" t="n">
        <v>280</v>
      </c>
      <c r="H368" s="51"/>
      <c r="I368" s="51"/>
      <c r="J368" s="51"/>
      <c r="K368" s="51"/>
      <c r="L368" s="51"/>
    </row>
    <row r="369" customFormat="false" ht="15" hidden="false" customHeight="false" outlineLevel="0" collapsed="false">
      <c r="A369" s="46"/>
      <c r="B369" s="49" t="s">
        <v>6519</v>
      </c>
      <c r="C369" s="48" t="n">
        <v>2</v>
      </c>
      <c r="D369" s="48" t="n">
        <v>22</v>
      </c>
      <c r="E369" s="48" t="n">
        <f aca="false">C369-D369</f>
        <v>-20</v>
      </c>
      <c r="F369" s="48" t="n">
        <v>2602</v>
      </c>
      <c r="G369" s="48" t="n">
        <v>4823</v>
      </c>
      <c r="H369" s="48" t="n">
        <f aca="false">F369-G369</f>
        <v>-2221</v>
      </c>
      <c r="I369" s="51"/>
      <c r="J369" s="51"/>
      <c r="K369" s="51"/>
      <c r="L369" s="51"/>
    </row>
    <row r="370" customFormat="false" ht="15" hidden="false" customHeight="false" outlineLevel="0" collapsed="false">
      <c r="A370" s="46"/>
      <c r="B370" s="49" t="s">
        <v>6520</v>
      </c>
      <c r="C370" s="48" t="n">
        <v>2</v>
      </c>
      <c r="D370" s="48" t="n">
        <v>14</v>
      </c>
      <c r="E370" s="48" t="n">
        <f aca="false">C370-D370</f>
        <v>-12</v>
      </c>
      <c r="F370" s="48" t="n">
        <v>2427</v>
      </c>
      <c r="G370" s="48" t="n">
        <v>5607</v>
      </c>
      <c r="H370" s="48" t="n">
        <f aca="false">F370-G370</f>
        <v>-3180</v>
      </c>
      <c r="I370" s="51"/>
      <c r="J370" s="51"/>
      <c r="K370" s="51"/>
      <c r="L370" s="51"/>
    </row>
    <row r="371" customFormat="false" ht="15" hidden="false" customHeight="false" outlineLevel="0" collapsed="false">
      <c r="A371" s="52"/>
      <c r="B371" s="51"/>
      <c r="C371" s="51" t="n">
        <v>2</v>
      </c>
      <c r="D371" s="51" t="n">
        <v>1</v>
      </c>
      <c r="E371" s="51"/>
      <c r="F371" s="51" t="n">
        <v>1710</v>
      </c>
      <c r="G371" s="51" t="n">
        <v>1235</v>
      </c>
      <c r="H371" s="51"/>
      <c r="I371" s="51"/>
      <c r="J371" s="51"/>
      <c r="K371" s="51"/>
      <c r="L371" s="51"/>
    </row>
    <row r="372" customFormat="false" ht="15" hidden="false" customHeight="false" outlineLevel="0" collapsed="false">
      <c r="A372" s="46"/>
      <c r="B372" s="49" t="s">
        <v>6521</v>
      </c>
      <c r="C372" s="48" t="n">
        <v>2</v>
      </c>
      <c r="D372" s="48" t="n">
        <v>0</v>
      </c>
      <c r="E372" s="48" t="n">
        <f aca="false">C372-D372</f>
        <v>2</v>
      </c>
      <c r="F372" s="48" t="n">
        <v>1439</v>
      </c>
      <c r="G372" s="48" t="n">
        <v>0</v>
      </c>
      <c r="H372" s="48" t="n">
        <f aca="false">F372-G372</f>
        <v>1439</v>
      </c>
      <c r="I372" s="51"/>
      <c r="J372" s="51"/>
      <c r="K372" s="51"/>
      <c r="L372" s="51"/>
    </row>
    <row r="373" customFormat="false" ht="15" hidden="false" customHeight="false" outlineLevel="0" collapsed="false">
      <c r="A373" s="52"/>
      <c r="B373" s="51"/>
      <c r="C373" s="51" t="n">
        <v>2</v>
      </c>
      <c r="D373" s="51" t="n">
        <v>2</v>
      </c>
      <c r="E373" s="51"/>
      <c r="F373" s="51" t="n">
        <v>1434</v>
      </c>
      <c r="G373" s="51" t="n">
        <v>615</v>
      </c>
      <c r="H373" s="51"/>
      <c r="I373" s="51"/>
      <c r="J373" s="51"/>
      <c r="K373" s="51"/>
      <c r="L373" s="51"/>
    </row>
    <row r="374" customFormat="false" ht="15" hidden="false" customHeight="false" outlineLevel="0" collapsed="false">
      <c r="A374" s="46"/>
      <c r="B374" s="49" t="s">
        <v>6522</v>
      </c>
      <c r="C374" s="48" t="n">
        <v>2</v>
      </c>
      <c r="D374" s="48" t="n">
        <v>5</v>
      </c>
      <c r="E374" s="48" t="n">
        <f aca="false">C374-D374</f>
        <v>-3</v>
      </c>
      <c r="F374" s="48" t="n">
        <v>1344</v>
      </c>
      <c r="G374" s="48" t="n">
        <v>2804</v>
      </c>
      <c r="H374" s="48" t="n">
        <f aca="false">F374-G374</f>
        <v>-1460</v>
      </c>
      <c r="I374" s="51"/>
      <c r="J374" s="51"/>
      <c r="K374" s="51"/>
      <c r="L374" s="51"/>
    </row>
    <row r="375" customFormat="false" ht="15" hidden="false" customHeight="false" outlineLevel="0" collapsed="false">
      <c r="A375" s="52"/>
      <c r="B375" s="51"/>
      <c r="C375" s="51" t="n">
        <v>2</v>
      </c>
      <c r="D375" s="51" t="n">
        <v>2</v>
      </c>
      <c r="E375" s="51"/>
      <c r="F375" s="51" t="n">
        <v>1225</v>
      </c>
      <c r="G375" s="51" t="n">
        <v>1096</v>
      </c>
      <c r="H375" s="51"/>
      <c r="I375" s="51"/>
      <c r="J375" s="51"/>
      <c r="K375" s="51"/>
      <c r="L375" s="51"/>
    </row>
    <row r="376" customFormat="false" ht="15" hidden="false" customHeight="false" outlineLevel="0" collapsed="false">
      <c r="A376" s="52"/>
      <c r="B376" s="51"/>
      <c r="C376" s="51" t="n">
        <v>2</v>
      </c>
      <c r="D376" s="51" t="n">
        <v>0</v>
      </c>
      <c r="E376" s="51"/>
      <c r="F376" s="51" t="n">
        <v>1159</v>
      </c>
      <c r="G376" s="51" t="n">
        <v>0</v>
      </c>
      <c r="H376" s="51"/>
      <c r="I376" s="51"/>
      <c r="J376" s="51"/>
      <c r="K376" s="51"/>
      <c r="L376" s="51"/>
    </row>
    <row r="377" customFormat="false" ht="15" hidden="false" customHeight="false" outlineLevel="0" collapsed="false">
      <c r="A377" s="52"/>
      <c r="B377" s="51"/>
      <c r="C377" s="51" t="n">
        <v>2</v>
      </c>
      <c r="D377" s="51" t="n">
        <v>14</v>
      </c>
      <c r="E377" s="51"/>
      <c r="F377" s="51" t="n">
        <v>1118</v>
      </c>
      <c r="G377" s="51" t="n">
        <v>4070</v>
      </c>
      <c r="H377" s="51"/>
      <c r="I377" s="51"/>
      <c r="J377" s="51"/>
      <c r="K377" s="51"/>
      <c r="L377" s="51"/>
    </row>
    <row r="378" customFormat="false" ht="15" hidden="false" customHeight="false" outlineLevel="0" collapsed="false">
      <c r="A378" s="52"/>
      <c r="B378" s="51"/>
      <c r="C378" s="51" t="n">
        <v>2</v>
      </c>
      <c r="D378" s="51" t="n">
        <v>0</v>
      </c>
      <c r="E378" s="51"/>
      <c r="F378" s="51" t="n">
        <v>1030</v>
      </c>
      <c r="G378" s="51" t="n">
        <v>0</v>
      </c>
      <c r="H378" s="51"/>
      <c r="I378" s="51"/>
      <c r="J378" s="51"/>
      <c r="K378" s="51"/>
      <c r="L378" s="51"/>
    </row>
    <row r="379" customFormat="false" ht="15" hidden="false" customHeight="false" outlineLevel="0" collapsed="false">
      <c r="A379" s="46"/>
      <c r="B379" s="49" t="s">
        <v>6523</v>
      </c>
      <c r="C379" s="48" t="n">
        <v>2</v>
      </c>
      <c r="D379" s="48" t="n">
        <v>0</v>
      </c>
      <c r="E379" s="48" t="n">
        <f aca="false">C379-D379</f>
        <v>2</v>
      </c>
      <c r="F379" s="48" t="n">
        <v>965</v>
      </c>
      <c r="G379" s="48" t="n">
        <v>1462</v>
      </c>
      <c r="H379" s="48" t="n">
        <f aca="false">F379-G379</f>
        <v>-497</v>
      </c>
      <c r="I379" s="51"/>
      <c r="J379" s="51"/>
      <c r="K379" s="51"/>
      <c r="L379" s="51"/>
    </row>
    <row r="380" customFormat="false" ht="15" hidden="false" customHeight="false" outlineLevel="0" collapsed="false">
      <c r="A380" s="52"/>
      <c r="B380" s="51"/>
      <c r="C380" s="51" t="n">
        <v>2</v>
      </c>
      <c r="D380" s="51" t="n">
        <v>0</v>
      </c>
      <c r="E380" s="51"/>
      <c r="F380" s="51" t="n">
        <v>848</v>
      </c>
      <c r="G380" s="51" t="n">
        <v>0</v>
      </c>
      <c r="H380" s="51"/>
      <c r="I380" s="51"/>
      <c r="J380" s="51"/>
      <c r="K380" s="51"/>
      <c r="L380" s="51"/>
    </row>
    <row r="381" customFormat="false" ht="15" hidden="false" customHeight="false" outlineLevel="0" collapsed="false">
      <c r="A381" s="52"/>
      <c r="B381" s="51"/>
      <c r="C381" s="51" t="n">
        <v>2</v>
      </c>
      <c r="D381" s="51" t="n">
        <v>2</v>
      </c>
      <c r="E381" s="51"/>
      <c r="F381" s="51" t="n">
        <v>847</v>
      </c>
      <c r="G381" s="51" t="n">
        <v>824</v>
      </c>
      <c r="H381" s="51"/>
      <c r="I381" s="51"/>
      <c r="J381" s="51"/>
      <c r="K381" s="51"/>
      <c r="L381" s="51"/>
    </row>
    <row r="382" customFormat="false" ht="15" hidden="false" customHeight="false" outlineLevel="0" collapsed="false">
      <c r="A382" s="52"/>
      <c r="B382" s="51"/>
      <c r="C382" s="51" t="n">
        <v>2</v>
      </c>
      <c r="D382" s="51" t="n">
        <v>0</v>
      </c>
      <c r="E382" s="51"/>
      <c r="F382" s="51" t="n">
        <v>818</v>
      </c>
      <c r="G382" s="51" t="n">
        <v>0</v>
      </c>
      <c r="H382" s="51"/>
      <c r="I382" s="51"/>
      <c r="J382" s="51"/>
      <c r="K382" s="51"/>
      <c r="L382" s="51"/>
    </row>
    <row r="383" customFormat="false" ht="15" hidden="false" customHeight="false" outlineLevel="0" collapsed="false">
      <c r="A383" s="52"/>
      <c r="B383" s="51"/>
      <c r="C383" s="51" t="n">
        <v>2</v>
      </c>
      <c r="D383" s="51" t="n">
        <v>0</v>
      </c>
      <c r="E383" s="51"/>
      <c r="F383" s="51" t="n">
        <v>773</v>
      </c>
      <c r="G383" s="51" t="n">
        <v>313</v>
      </c>
      <c r="H383" s="51"/>
      <c r="I383" s="51"/>
      <c r="J383" s="51"/>
      <c r="K383" s="51"/>
      <c r="L383" s="51"/>
    </row>
    <row r="384" customFormat="false" ht="15" hidden="false" customHeight="false" outlineLevel="0" collapsed="false">
      <c r="A384" s="46"/>
      <c r="B384" s="49" t="s">
        <v>6524</v>
      </c>
      <c r="C384" s="48" t="n">
        <v>2</v>
      </c>
      <c r="D384" s="48" t="n">
        <v>9</v>
      </c>
      <c r="E384" s="48" t="n">
        <f aca="false">C384-D384</f>
        <v>-7</v>
      </c>
      <c r="F384" s="48" t="n">
        <v>744</v>
      </c>
      <c r="G384" s="48" t="n">
        <v>1146</v>
      </c>
      <c r="H384" s="48" t="n">
        <f aca="false">F384-G384</f>
        <v>-402</v>
      </c>
      <c r="I384" s="51"/>
      <c r="J384" s="51"/>
      <c r="K384" s="51"/>
      <c r="L384" s="51"/>
    </row>
    <row r="385" customFormat="false" ht="15" hidden="false" customHeight="false" outlineLevel="0" collapsed="false">
      <c r="A385" s="46"/>
      <c r="B385" s="49" t="s">
        <v>6525</v>
      </c>
      <c r="C385" s="48" t="n">
        <v>2</v>
      </c>
      <c r="D385" s="48" t="n">
        <v>0</v>
      </c>
      <c r="E385" s="48" t="n">
        <f aca="false">C385-D385</f>
        <v>2</v>
      </c>
      <c r="F385" s="48" t="n">
        <v>723</v>
      </c>
      <c r="G385" s="48" t="n">
        <v>0</v>
      </c>
      <c r="H385" s="48" t="n">
        <f aca="false">F385-G385</f>
        <v>723</v>
      </c>
      <c r="I385" s="51"/>
      <c r="J385" s="51"/>
      <c r="K385" s="51"/>
      <c r="L385" s="51"/>
    </row>
    <row r="386" customFormat="false" ht="15" hidden="false" customHeight="false" outlineLevel="0" collapsed="false">
      <c r="A386" s="52"/>
      <c r="B386" s="51"/>
      <c r="C386" s="51" t="n">
        <v>2</v>
      </c>
      <c r="D386" s="51" t="n">
        <v>0</v>
      </c>
      <c r="E386" s="51"/>
      <c r="F386" s="51" t="n">
        <v>664</v>
      </c>
      <c r="G386" s="51" t="n">
        <v>0</v>
      </c>
      <c r="H386" s="51"/>
      <c r="I386" s="51"/>
      <c r="J386" s="51"/>
      <c r="K386" s="51"/>
      <c r="L386" s="51"/>
    </row>
    <row r="387" customFormat="false" ht="15" hidden="false" customHeight="false" outlineLevel="0" collapsed="false">
      <c r="A387" s="52"/>
      <c r="B387" s="51"/>
      <c r="C387" s="51" t="n">
        <v>2</v>
      </c>
      <c r="D387" s="51" t="n">
        <v>0</v>
      </c>
      <c r="E387" s="51"/>
      <c r="F387" s="51" t="n">
        <v>624</v>
      </c>
      <c r="G387" s="51" t="n">
        <v>0</v>
      </c>
      <c r="H387" s="51"/>
      <c r="I387" s="51"/>
      <c r="J387" s="51"/>
      <c r="K387" s="51"/>
      <c r="L387" s="51"/>
    </row>
    <row r="388" customFormat="false" ht="15" hidden="false" customHeight="false" outlineLevel="0" collapsed="false">
      <c r="A388" s="52"/>
      <c r="B388" s="51"/>
      <c r="C388" s="51" t="n">
        <v>2</v>
      </c>
      <c r="D388" s="51" t="n">
        <v>0</v>
      </c>
      <c r="E388" s="51"/>
      <c r="F388" s="51" t="n">
        <v>488</v>
      </c>
      <c r="G388" s="51" t="n">
        <v>0</v>
      </c>
      <c r="H388" s="51"/>
      <c r="I388" s="51"/>
      <c r="J388" s="51"/>
      <c r="K388" s="51"/>
      <c r="L388" s="51"/>
    </row>
    <row r="389" customFormat="false" ht="15" hidden="false" customHeight="false" outlineLevel="0" collapsed="false">
      <c r="A389" s="52"/>
      <c r="B389" s="51"/>
      <c r="C389" s="51" t="n">
        <v>2</v>
      </c>
      <c r="D389" s="51" t="n">
        <v>1</v>
      </c>
      <c r="E389" s="51"/>
      <c r="F389" s="51" t="n">
        <v>485</v>
      </c>
      <c r="G389" s="51" t="n">
        <v>95</v>
      </c>
      <c r="H389" s="51"/>
      <c r="I389" s="51"/>
      <c r="J389" s="51"/>
      <c r="K389" s="51"/>
      <c r="L389" s="51"/>
    </row>
    <row r="390" customFormat="false" ht="15" hidden="false" customHeight="false" outlineLevel="0" collapsed="false">
      <c r="A390" s="52"/>
      <c r="B390" s="51"/>
      <c r="C390" s="51" t="n">
        <v>2</v>
      </c>
      <c r="D390" s="51" t="n">
        <v>0</v>
      </c>
      <c r="E390" s="51"/>
      <c r="F390" s="51" t="n">
        <v>469</v>
      </c>
      <c r="G390" s="51" t="n">
        <v>0</v>
      </c>
      <c r="H390" s="51"/>
      <c r="I390" s="51"/>
      <c r="J390" s="51"/>
      <c r="K390" s="51"/>
      <c r="L390" s="51"/>
    </row>
    <row r="391" customFormat="false" ht="15" hidden="false" customHeight="false" outlineLevel="0" collapsed="false">
      <c r="A391" s="52"/>
      <c r="B391" s="51"/>
      <c r="C391" s="51" t="n">
        <v>2</v>
      </c>
      <c r="D391" s="51" t="n">
        <v>0</v>
      </c>
      <c r="E391" s="51"/>
      <c r="F391" s="51" t="n">
        <v>441</v>
      </c>
      <c r="G391" s="51" t="n">
        <v>444</v>
      </c>
      <c r="H391" s="51"/>
      <c r="I391" s="51"/>
      <c r="J391" s="51"/>
      <c r="K391" s="51"/>
      <c r="L391" s="51"/>
    </row>
    <row r="392" customFormat="false" ht="15" hidden="false" customHeight="false" outlineLevel="0" collapsed="false">
      <c r="A392" s="52"/>
      <c r="B392" s="51"/>
      <c r="C392" s="51" t="n">
        <v>2</v>
      </c>
      <c r="D392" s="51" t="n">
        <v>0</v>
      </c>
      <c r="E392" s="51"/>
      <c r="F392" s="51" t="n">
        <v>402</v>
      </c>
      <c r="G392" s="51" t="n">
        <v>0</v>
      </c>
      <c r="H392" s="51"/>
      <c r="I392" s="51"/>
      <c r="J392" s="51"/>
      <c r="K392" s="51"/>
      <c r="L392" s="51"/>
    </row>
    <row r="393" customFormat="false" ht="15" hidden="false" customHeight="false" outlineLevel="0" collapsed="false">
      <c r="A393" s="46"/>
      <c r="B393" s="49" t="s">
        <v>6526</v>
      </c>
      <c r="C393" s="48" t="n">
        <v>2</v>
      </c>
      <c r="D393" s="48" t="n">
        <v>8</v>
      </c>
      <c r="E393" s="48" t="n">
        <f aca="false">C393-D393</f>
        <v>-6</v>
      </c>
      <c r="F393" s="48" t="n">
        <v>390</v>
      </c>
      <c r="G393" s="48" t="n">
        <v>1225</v>
      </c>
      <c r="H393" s="48" t="n">
        <f aca="false">F393-G393</f>
        <v>-835</v>
      </c>
      <c r="I393" s="51"/>
      <c r="J393" s="51"/>
      <c r="K393" s="51"/>
      <c r="L393" s="51"/>
    </row>
    <row r="394" customFormat="false" ht="15" hidden="false" customHeight="false" outlineLevel="0" collapsed="false">
      <c r="A394" s="52"/>
      <c r="B394" s="51"/>
      <c r="C394" s="51" t="n">
        <v>2</v>
      </c>
      <c r="D394" s="51" t="n">
        <v>3</v>
      </c>
      <c r="E394" s="51"/>
      <c r="F394" s="51" t="n">
        <v>385</v>
      </c>
      <c r="G394" s="51" t="n">
        <v>229</v>
      </c>
      <c r="H394" s="51"/>
      <c r="I394" s="51"/>
      <c r="J394" s="51"/>
      <c r="K394" s="51"/>
      <c r="L394" s="51"/>
    </row>
    <row r="395" customFormat="false" ht="15" hidden="false" customHeight="false" outlineLevel="0" collapsed="false">
      <c r="A395" s="52"/>
      <c r="B395" s="51"/>
      <c r="C395" s="51" t="n">
        <v>2</v>
      </c>
      <c r="D395" s="51" t="n">
        <v>0</v>
      </c>
      <c r="E395" s="51"/>
      <c r="F395" s="51" t="n">
        <v>372</v>
      </c>
      <c r="G395" s="51" t="n">
        <v>86</v>
      </c>
      <c r="H395" s="51"/>
      <c r="I395" s="51"/>
      <c r="J395" s="51"/>
      <c r="K395" s="51"/>
      <c r="L395" s="51"/>
    </row>
    <row r="396" customFormat="false" ht="15" hidden="false" customHeight="false" outlineLevel="0" collapsed="false">
      <c r="A396" s="52"/>
      <c r="B396" s="51"/>
      <c r="C396" s="51" t="n">
        <v>2</v>
      </c>
      <c r="D396" s="51" t="n">
        <v>0</v>
      </c>
      <c r="E396" s="51"/>
      <c r="F396" s="51" t="n">
        <v>359</v>
      </c>
      <c r="G396" s="51" t="n">
        <v>0</v>
      </c>
      <c r="H396" s="51"/>
      <c r="I396" s="51"/>
      <c r="J396" s="51"/>
      <c r="K396" s="51"/>
      <c r="L396" s="51"/>
    </row>
    <row r="397" customFormat="false" ht="15" hidden="false" customHeight="false" outlineLevel="0" collapsed="false">
      <c r="A397" s="52"/>
      <c r="B397" s="51"/>
      <c r="C397" s="51" t="n">
        <v>2</v>
      </c>
      <c r="D397" s="51" t="n">
        <v>0</v>
      </c>
      <c r="E397" s="51"/>
      <c r="F397" s="51" t="n">
        <v>353</v>
      </c>
      <c r="G397" s="51" t="n">
        <v>0</v>
      </c>
      <c r="H397" s="51"/>
      <c r="I397" s="51"/>
      <c r="J397" s="51"/>
      <c r="K397" s="51"/>
      <c r="L397" s="51"/>
    </row>
    <row r="398" customFormat="false" ht="15" hidden="false" customHeight="false" outlineLevel="0" collapsed="false">
      <c r="A398" s="52"/>
      <c r="B398" s="51"/>
      <c r="C398" s="51" t="n">
        <v>2</v>
      </c>
      <c r="D398" s="51" t="n">
        <v>1</v>
      </c>
      <c r="E398" s="51"/>
      <c r="F398" s="51" t="n">
        <v>324</v>
      </c>
      <c r="G398" s="51" t="n">
        <v>85</v>
      </c>
      <c r="H398" s="51"/>
      <c r="I398" s="51"/>
      <c r="J398" s="51"/>
      <c r="K398" s="51"/>
      <c r="L398" s="51"/>
    </row>
    <row r="399" customFormat="false" ht="15" hidden="false" customHeight="false" outlineLevel="0" collapsed="false">
      <c r="A399" s="52"/>
      <c r="B399" s="51"/>
      <c r="C399" s="51" t="n">
        <v>2</v>
      </c>
      <c r="D399" s="51" t="n">
        <v>2</v>
      </c>
      <c r="E399" s="51"/>
      <c r="F399" s="51" t="n">
        <v>318</v>
      </c>
      <c r="G399" s="51" t="n">
        <v>214</v>
      </c>
      <c r="H399" s="51"/>
      <c r="I399" s="51"/>
      <c r="J399" s="51"/>
      <c r="K399" s="51"/>
      <c r="L399" s="51"/>
    </row>
    <row r="400" customFormat="false" ht="15" hidden="false" customHeight="false" outlineLevel="0" collapsed="false">
      <c r="A400" s="52"/>
      <c r="B400" s="51"/>
      <c r="C400" s="51" t="n">
        <v>2</v>
      </c>
      <c r="D400" s="51" t="n">
        <v>0</v>
      </c>
      <c r="E400" s="51"/>
      <c r="F400" s="51" t="n">
        <v>317</v>
      </c>
      <c r="G400" s="51" t="n">
        <v>0</v>
      </c>
      <c r="H400" s="51"/>
      <c r="I400" s="51"/>
      <c r="J400" s="51"/>
      <c r="K400" s="51"/>
      <c r="L400" s="51"/>
    </row>
    <row r="401" customFormat="false" ht="15" hidden="false" customHeight="false" outlineLevel="0" collapsed="false">
      <c r="A401" s="52"/>
      <c r="B401" s="51"/>
      <c r="C401" s="51" t="n">
        <v>2</v>
      </c>
      <c r="D401" s="51" t="n">
        <v>0</v>
      </c>
      <c r="E401" s="51"/>
      <c r="F401" s="51" t="n">
        <v>287</v>
      </c>
      <c r="G401" s="51" t="n">
        <v>0</v>
      </c>
      <c r="H401" s="51"/>
      <c r="I401" s="51"/>
      <c r="J401" s="51"/>
      <c r="K401" s="51"/>
      <c r="L401" s="51"/>
    </row>
    <row r="402" customFormat="false" ht="15" hidden="false" customHeight="false" outlineLevel="0" collapsed="false">
      <c r="A402" s="52"/>
      <c r="B402" s="51"/>
      <c r="C402" s="51" t="n">
        <v>2</v>
      </c>
      <c r="D402" s="51" t="n">
        <v>0</v>
      </c>
      <c r="E402" s="51"/>
      <c r="F402" s="51" t="n">
        <v>282</v>
      </c>
      <c r="G402" s="51" t="n">
        <v>0</v>
      </c>
      <c r="H402" s="51"/>
      <c r="I402" s="51"/>
      <c r="J402" s="51"/>
      <c r="K402" s="51"/>
      <c r="L402" s="51"/>
    </row>
    <row r="403" customFormat="false" ht="15" hidden="false" customHeight="false" outlineLevel="0" collapsed="false">
      <c r="A403" s="52"/>
      <c r="B403" s="51"/>
      <c r="C403" s="51" t="n">
        <v>2</v>
      </c>
      <c r="D403" s="51" t="n">
        <v>0</v>
      </c>
      <c r="E403" s="51"/>
      <c r="F403" s="51" t="n">
        <v>279</v>
      </c>
      <c r="G403" s="51" t="n">
        <v>212</v>
      </c>
      <c r="H403" s="51"/>
      <c r="I403" s="51"/>
      <c r="J403" s="51"/>
      <c r="K403" s="51"/>
      <c r="L403" s="51"/>
    </row>
    <row r="404" customFormat="false" ht="15" hidden="false" customHeight="false" outlineLevel="0" collapsed="false">
      <c r="A404" s="52"/>
      <c r="B404" s="51"/>
      <c r="C404" s="51" t="n">
        <v>2</v>
      </c>
      <c r="D404" s="51" t="n">
        <v>0</v>
      </c>
      <c r="E404" s="51"/>
      <c r="F404" s="51" t="n">
        <v>266</v>
      </c>
      <c r="G404" s="51" t="n">
        <v>0</v>
      </c>
      <c r="H404" s="51"/>
      <c r="I404" s="51"/>
      <c r="J404" s="51"/>
      <c r="K404" s="51"/>
      <c r="L404" s="51"/>
    </row>
    <row r="405" customFormat="false" ht="15" hidden="false" customHeight="false" outlineLevel="0" collapsed="false">
      <c r="A405" s="46"/>
      <c r="B405" s="49" t="s">
        <v>6527</v>
      </c>
      <c r="C405" s="48" t="n">
        <v>2</v>
      </c>
      <c r="D405" s="48" t="n">
        <v>4</v>
      </c>
      <c r="E405" s="48" t="n">
        <f aca="false">C405-D405</f>
        <v>-2</v>
      </c>
      <c r="F405" s="48" t="n">
        <v>265</v>
      </c>
      <c r="G405" s="48" t="n">
        <v>515</v>
      </c>
      <c r="H405" s="48" t="n">
        <f aca="false">F405-G405</f>
        <v>-250</v>
      </c>
      <c r="I405" s="51"/>
      <c r="J405" s="51"/>
      <c r="K405" s="51"/>
      <c r="L405" s="51"/>
    </row>
    <row r="406" customFormat="false" ht="15" hidden="false" customHeight="false" outlineLevel="0" collapsed="false">
      <c r="A406" s="52"/>
      <c r="B406" s="51"/>
      <c r="C406" s="51" t="n">
        <v>2</v>
      </c>
      <c r="D406" s="51" t="n">
        <v>0</v>
      </c>
      <c r="E406" s="51"/>
      <c r="F406" s="51" t="n">
        <v>265</v>
      </c>
      <c r="G406" s="51" t="n">
        <v>0</v>
      </c>
      <c r="H406" s="51"/>
      <c r="I406" s="51"/>
      <c r="J406" s="51"/>
      <c r="K406" s="51"/>
      <c r="L406" s="51"/>
    </row>
    <row r="407" customFormat="false" ht="15" hidden="false" customHeight="false" outlineLevel="0" collapsed="false">
      <c r="A407" s="52"/>
      <c r="B407" s="51"/>
      <c r="C407" s="51" t="n">
        <v>2</v>
      </c>
      <c r="D407" s="51" t="n">
        <v>0</v>
      </c>
      <c r="E407" s="51"/>
      <c r="F407" s="51" t="n">
        <v>229</v>
      </c>
      <c r="G407" s="51" t="n">
        <v>0</v>
      </c>
      <c r="H407" s="51"/>
      <c r="I407" s="51"/>
      <c r="J407" s="51"/>
      <c r="K407" s="51"/>
      <c r="L407" s="51"/>
    </row>
    <row r="408" customFormat="false" ht="15" hidden="false" customHeight="false" outlineLevel="0" collapsed="false">
      <c r="A408" s="52"/>
      <c r="B408" s="51"/>
      <c r="C408" s="51" t="n">
        <v>2</v>
      </c>
      <c r="D408" s="51" t="n">
        <v>4</v>
      </c>
      <c r="E408" s="51"/>
      <c r="F408" s="51" t="n">
        <v>228</v>
      </c>
      <c r="G408" s="51" t="n">
        <v>2583</v>
      </c>
      <c r="H408" s="51"/>
      <c r="I408" s="51"/>
      <c r="J408" s="51"/>
      <c r="K408" s="51"/>
      <c r="L408" s="51"/>
    </row>
    <row r="409" customFormat="false" ht="15" hidden="false" customHeight="false" outlineLevel="0" collapsed="false">
      <c r="A409" s="52"/>
      <c r="B409" s="51"/>
      <c r="C409" s="51" t="n">
        <v>2</v>
      </c>
      <c r="D409" s="51" t="n">
        <v>1</v>
      </c>
      <c r="E409" s="51"/>
      <c r="F409" s="51" t="n">
        <v>220</v>
      </c>
      <c r="G409" s="51" t="n">
        <v>149</v>
      </c>
      <c r="H409" s="51"/>
      <c r="I409" s="51"/>
      <c r="J409" s="51"/>
      <c r="K409" s="51"/>
      <c r="L409" s="51"/>
    </row>
    <row r="410" customFormat="false" ht="15" hidden="false" customHeight="false" outlineLevel="0" collapsed="false">
      <c r="A410" s="52"/>
      <c r="B410" s="51"/>
      <c r="C410" s="51" t="n">
        <v>2</v>
      </c>
      <c r="D410" s="51" t="n">
        <v>0</v>
      </c>
      <c r="E410" s="51"/>
      <c r="F410" s="51" t="n">
        <v>215</v>
      </c>
      <c r="G410" s="51" t="n">
        <v>343</v>
      </c>
      <c r="H410" s="51"/>
      <c r="I410" s="51"/>
      <c r="J410" s="51"/>
      <c r="K410" s="51"/>
      <c r="L410" s="51"/>
    </row>
    <row r="411" customFormat="false" ht="15" hidden="false" customHeight="false" outlineLevel="0" collapsed="false">
      <c r="A411" s="52"/>
      <c r="B411" s="51"/>
      <c r="C411" s="51" t="n">
        <v>2</v>
      </c>
      <c r="D411" s="51" t="n">
        <v>0</v>
      </c>
      <c r="E411" s="51"/>
      <c r="F411" s="51" t="n">
        <v>185</v>
      </c>
      <c r="G411" s="51" t="n">
        <v>205</v>
      </c>
      <c r="H411" s="51"/>
      <c r="I411" s="51"/>
      <c r="J411" s="51"/>
      <c r="K411" s="51"/>
      <c r="L411" s="51"/>
    </row>
    <row r="412" customFormat="false" ht="15" hidden="false" customHeight="false" outlineLevel="0" collapsed="false">
      <c r="A412" s="52"/>
      <c r="B412" s="51"/>
      <c r="C412" s="51" t="n">
        <v>2</v>
      </c>
      <c r="D412" s="51" t="n">
        <v>0</v>
      </c>
      <c r="E412" s="51"/>
      <c r="F412" s="51" t="n">
        <v>159</v>
      </c>
      <c r="G412" s="51" t="n">
        <v>205</v>
      </c>
      <c r="H412" s="51"/>
      <c r="I412" s="51"/>
      <c r="J412" s="51"/>
      <c r="K412" s="51"/>
      <c r="L412" s="51"/>
    </row>
    <row r="413" customFormat="false" ht="15" hidden="false" customHeight="false" outlineLevel="0" collapsed="false">
      <c r="A413" s="52"/>
      <c r="B413" s="51"/>
      <c r="C413" s="51" t="n">
        <v>2</v>
      </c>
      <c r="D413" s="51" t="n">
        <v>0</v>
      </c>
      <c r="E413" s="51"/>
      <c r="F413" s="51" t="n">
        <v>136</v>
      </c>
      <c r="G413" s="51" t="n">
        <v>0</v>
      </c>
      <c r="H413" s="51"/>
      <c r="I413" s="51"/>
      <c r="J413" s="51"/>
      <c r="K413" s="51"/>
      <c r="L413" s="51"/>
    </row>
    <row r="414" customFormat="false" ht="15" hidden="false" customHeight="false" outlineLevel="0" collapsed="false">
      <c r="A414" s="46"/>
      <c r="B414" s="49" t="s">
        <v>6528</v>
      </c>
      <c r="C414" s="48" t="n">
        <v>2</v>
      </c>
      <c r="D414" s="48" t="n">
        <v>0</v>
      </c>
      <c r="E414" s="48" t="n">
        <f aca="false">C414-D414</f>
        <v>2</v>
      </c>
      <c r="F414" s="48" t="n">
        <v>129</v>
      </c>
      <c r="G414" s="48" t="n">
        <v>0</v>
      </c>
      <c r="H414" s="48" t="n">
        <f aca="false">F414-G414</f>
        <v>129</v>
      </c>
      <c r="I414" s="51"/>
      <c r="J414" s="51"/>
      <c r="K414" s="51"/>
      <c r="L414" s="51"/>
    </row>
    <row r="415" customFormat="false" ht="15" hidden="false" customHeight="false" outlineLevel="0" collapsed="false">
      <c r="A415" s="52"/>
      <c r="B415" s="51"/>
      <c r="C415" s="51" t="n">
        <v>2</v>
      </c>
      <c r="D415" s="51" t="n">
        <v>2</v>
      </c>
      <c r="E415" s="51"/>
      <c r="F415" s="51" t="n">
        <v>119</v>
      </c>
      <c r="G415" s="51" t="n">
        <v>94</v>
      </c>
      <c r="H415" s="51"/>
      <c r="I415" s="51"/>
      <c r="J415" s="51"/>
      <c r="K415" s="51"/>
      <c r="L415" s="51"/>
    </row>
    <row r="416" customFormat="false" ht="15" hidden="false" customHeight="false" outlineLevel="0" collapsed="false">
      <c r="A416" s="52"/>
      <c r="B416" s="51"/>
      <c r="C416" s="51" t="n">
        <v>2</v>
      </c>
      <c r="D416" s="51" t="n">
        <v>0</v>
      </c>
      <c r="E416" s="51"/>
      <c r="F416" s="51" t="n">
        <v>103</v>
      </c>
      <c r="G416" s="51" t="n">
        <v>0</v>
      </c>
      <c r="H416" s="51"/>
      <c r="I416" s="51"/>
      <c r="J416" s="51"/>
      <c r="K416" s="51"/>
      <c r="L416" s="51"/>
    </row>
    <row r="417" customFormat="false" ht="15" hidden="false" customHeight="false" outlineLevel="0" collapsed="false">
      <c r="A417" s="52"/>
      <c r="B417" s="51"/>
      <c r="C417" s="51" t="n">
        <v>2</v>
      </c>
      <c r="D417" s="51" t="n">
        <v>0</v>
      </c>
      <c r="E417" s="51"/>
      <c r="F417" s="51" t="n">
        <v>80</v>
      </c>
      <c r="G417" s="51" t="n">
        <v>0</v>
      </c>
      <c r="H417" s="51"/>
      <c r="I417" s="51"/>
      <c r="J417" s="51"/>
      <c r="K417" s="51"/>
      <c r="L417" s="51"/>
    </row>
    <row r="418" customFormat="false" ht="15" hidden="false" customHeight="false" outlineLevel="0" collapsed="false">
      <c r="A418" s="52"/>
      <c r="B418" s="51"/>
      <c r="C418" s="51" t="n">
        <v>2</v>
      </c>
      <c r="D418" s="51" t="n">
        <v>0</v>
      </c>
      <c r="E418" s="51"/>
      <c r="F418" s="51" t="n">
        <v>79</v>
      </c>
      <c r="G418" s="51" t="n">
        <v>0</v>
      </c>
      <c r="H418" s="51"/>
      <c r="I418" s="51"/>
      <c r="J418" s="51"/>
      <c r="K418" s="51"/>
      <c r="L418" s="51"/>
    </row>
    <row r="419" customFormat="false" ht="15" hidden="false" customHeight="false" outlineLevel="0" collapsed="false">
      <c r="A419" s="52"/>
      <c r="B419" s="51"/>
      <c r="C419" s="51" t="n">
        <v>2</v>
      </c>
      <c r="D419" s="51" t="n">
        <v>0</v>
      </c>
      <c r="E419" s="51"/>
      <c r="F419" s="51" t="n">
        <v>73</v>
      </c>
      <c r="G419" s="51" t="n">
        <v>0</v>
      </c>
      <c r="H419" s="51"/>
      <c r="I419" s="51"/>
      <c r="J419" s="51"/>
      <c r="K419" s="51"/>
      <c r="L419" s="51"/>
    </row>
    <row r="420" customFormat="false" ht="15" hidden="false" customHeight="false" outlineLevel="0" collapsed="false">
      <c r="A420" s="52"/>
      <c r="B420" s="51"/>
      <c r="C420" s="51" t="n">
        <v>2</v>
      </c>
      <c r="D420" s="51" t="n">
        <v>0</v>
      </c>
      <c r="E420" s="51"/>
      <c r="F420" s="51" t="n">
        <v>73</v>
      </c>
      <c r="G420" s="51" t="n">
        <v>0</v>
      </c>
      <c r="H420" s="51"/>
      <c r="I420" s="51"/>
      <c r="J420" s="51"/>
      <c r="K420" s="51"/>
      <c r="L420" s="51"/>
    </row>
    <row r="421" customFormat="false" ht="15" hidden="false" customHeight="false" outlineLevel="0" collapsed="false">
      <c r="A421" s="52"/>
      <c r="B421" s="51"/>
      <c r="C421" s="51" t="n">
        <v>2</v>
      </c>
      <c r="D421" s="51" t="n">
        <v>0</v>
      </c>
      <c r="E421" s="51"/>
      <c r="F421" s="51" t="n">
        <v>69</v>
      </c>
      <c r="G421" s="51" t="n">
        <v>0</v>
      </c>
      <c r="H421" s="51"/>
      <c r="I421" s="51"/>
      <c r="J421" s="51"/>
      <c r="K421" s="51"/>
      <c r="L421" s="51"/>
    </row>
    <row r="422" customFormat="false" ht="15" hidden="false" customHeight="false" outlineLevel="0" collapsed="false">
      <c r="A422" s="52"/>
      <c r="B422" s="51"/>
      <c r="C422" s="51" t="n">
        <v>2</v>
      </c>
      <c r="D422" s="51" t="n">
        <v>0</v>
      </c>
      <c r="E422" s="51"/>
      <c r="F422" s="51" t="n">
        <v>59</v>
      </c>
      <c r="G422" s="51" t="n">
        <v>0</v>
      </c>
      <c r="H422" s="51"/>
      <c r="I422" s="51"/>
      <c r="J422" s="51"/>
      <c r="K422" s="51"/>
      <c r="L422" s="51"/>
    </row>
    <row r="423" customFormat="false" ht="15" hidden="false" customHeight="false" outlineLevel="0" collapsed="false">
      <c r="A423" s="52"/>
      <c r="B423" s="51"/>
      <c r="C423" s="51" t="n">
        <v>2</v>
      </c>
      <c r="D423" s="51" t="n">
        <v>0</v>
      </c>
      <c r="E423" s="51"/>
      <c r="F423" s="51" t="n">
        <v>50</v>
      </c>
      <c r="G423" s="51" t="n">
        <v>0</v>
      </c>
      <c r="H423" s="51"/>
      <c r="I423" s="51"/>
      <c r="J423" s="51"/>
      <c r="K423" s="51"/>
      <c r="L423" s="51"/>
    </row>
    <row r="424" customFormat="false" ht="15" hidden="false" customHeight="false" outlineLevel="0" collapsed="false">
      <c r="A424" s="52"/>
      <c r="B424" s="51"/>
      <c r="C424" s="51" t="n">
        <v>2</v>
      </c>
      <c r="D424" s="51" t="n">
        <v>2</v>
      </c>
      <c r="E424" s="51"/>
      <c r="F424" s="51" t="n">
        <v>42</v>
      </c>
      <c r="G424" s="51" t="n">
        <v>16</v>
      </c>
      <c r="H424" s="51"/>
      <c r="I424" s="51"/>
      <c r="J424" s="51"/>
      <c r="K424" s="51"/>
      <c r="L424" s="51"/>
    </row>
    <row r="425" customFormat="false" ht="15" hidden="false" customHeight="false" outlineLevel="0" collapsed="false">
      <c r="A425" s="52"/>
      <c r="B425" s="51"/>
      <c r="C425" s="51" t="n">
        <v>2</v>
      </c>
      <c r="D425" s="51" t="n">
        <v>0</v>
      </c>
      <c r="E425" s="51"/>
      <c r="F425" s="51" t="n">
        <v>39</v>
      </c>
      <c r="G425" s="51" t="n">
        <v>0</v>
      </c>
      <c r="H425" s="51"/>
      <c r="I425" s="51"/>
      <c r="J425" s="51"/>
      <c r="K425" s="51"/>
      <c r="L425" s="51"/>
    </row>
    <row r="426" customFormat="false" ht="15" hidden="false" customHeight="false" outlineLevel="0" collapsed="false">
      <c r="A426" s="52"/>
      <c r="B426" s="51"/>
      <c r="C426" s="51" t="n">
        <v>2</v>
      </c>
      <c r="D426" s="51" t="n">
        <v>0</v>
      </c>
      <c r="E426" s="51"/>
      <c r="F426" s="51" t="n">
        <v>20</v>
      </c>
      <c r="G426" s="51" t="n">
        <v>0</v>
      </c>
      <c r="H426" s="51"/>
      <c r="I426" s="51"/>
      <c r="J426" s="51"/>
      <c r="K426" s="51"/>
      <c r="L426" s="51"/>
    </row>
    <row r="427" customFormat="false" ht="15" hidden="false" customHeight="false" outlineLevel="0" collapsed="false">
      <c r="A427" s="46"/>
      <c r="B427" s="49" t="s">
        <v>6529</v>
      </c>
      <c r="C427" s="48" t="n">
        <v>1</v>
      </c>
      <c r="D427" s="48" t="n">
        <v>1</v>
      </c>
      <c r="E427" s="48" t="n">
        <f aca="false">C427-D427</f>
        <v>0</v>
      </c>
      <c r="F427" s="48" t="n">
        <v>8120</v>
      </c>
      <c r="G427" s="48" t="n">
        <v>10059</v>
      </c>
      <c r="H427" s="48" t="n">
        <f aca="false">F427-G427</f>
        <v>-1939</v>
      </c>
      <c r="I427" s="51"/>
      <c r="J427" s="51"/>
      <c r="K427" s="51"/>
      <c r="L427" s="51"/>
    </row>
    <row r="428" customFormat="false" ht="15" hidden="false" customHeight="false" outlineLevel="0" collapsed="false">
      <c r="A428" s="46"/>
      <c r="B428" s="49" t="s">
        <v>6530</v>
      </c>
      <c r="C428" s="48" t="n">
        <v>1</v>
      </c>
      <c r="D428" s="48" t="n">
        <v>2</v>
      </c>
      <c r="E428" s="48" t="n">
        <f aca="false">C428-D428</f>
        <v>-1</v>
      </c>
      <c r="F428" s="48" t="n">
        <v>3668</v>
      </c>
      <c r="G428" s="48" t="n">
        <v>13463</v>
      </c>
      <c r="H428" s="48" t="n">
        <f aca="false">F428-G428</f>
        <v>-9795</v>
      </c>
      <c r="I428" s="51"/>
      <c r="J428" s="51"/>
      <c r="K428" s="51"/>
      <c r="L428" s="51"/>
    </row>
    <row r="429" customFormat="false" ht="15" hidden="false" customHeight="false" outlineLevel="0" collapsed="false">
      <c r="A429" s="52"/>
      <c r="B429" s="51"/>
      <c r="C429" s="51" t="n">
        <v>1</v>
      </c>
      <c r="D429" s="51" t="n">
        <v>0</v>
      </c>
      <c r="E429" s="51"/>
      <c r="F429" s="51" t="n">
        <v>3199</v>
      </c>
      <c r="G429" s="51" t="n">
        <v>0</v>
      </c>
      <c r="H429" s="51"/>
      <c r="I429" s="51"/>
      <c r="J429" s="51"/>
      <c r="K429" s="51"/>
      <c r="L429" s="51"/>
    </row>
    <row r="430" customFormat="false" ht="15" hidden="false" customHeight="false" outlineLevel="0" collapsed="false">
      <c r="A430" s="46"/>
      <c r="B430" s="49" t="s">
        <v>6531</v>
      </c>
      <c r="C430" s="48" t="n">
        <v>1</v>
      </c>
      <c r="D430" s="48" t="n">
        <v>7</v>
      </c>
      <c r="E430" s="48" t="n">
        <f aca="false">C430-D430</f>
        <v>-6</v>
      </c>
      <c r="F430" s="48" t="n">
        <v>2856</v>
      </c>
      <c r="G430" s="48" t="n">
        <v>5909</v>
      </c>
      <c r="H430" s="48" t="n">
        <f aca="false">F430-G430</f>
        <v>-3053</v>
      </c>
      <c r="I430" s="51"/>
      <c r="J430" s="51"/>
      <c r="K430" s="51"/>
      <c r="L430" s="51"/>
    </row>
    <row r="431" customFormat="false" ht="15" hidden="false" customHeight="false" outlineLevel="0" collapsed="false">
      <c r="A431" s="46"/>
      <c r="B431" s="49" t="s">
        <v>6532</v>
      </c>
      <c r="C431" s="48" t="n">
        <v>1</v>
      </c>
      <c r="D431" s="48" t="n">
        <v>0</v>
      </c>
      <c r="E431" s="48" t="n">
        <f aca="false">C431-D431</f>
        <v>1</v>
      </c>
      <c r="F431" s="48" t="n">
        <v>2765</v>
      </c>
      <c r="G431" s="48" t="n">
        <v>8912</v>
      </c>
      <c r="H431" s="48" t="n">
        <f aca="false">F431-G431</f>
        <v>-6147</v>
      </c>
      <c r="I431" s="51"/>
      <c r="J431" s="51"/>
      <c r="K431" s="51"/>
      <c r="L431" s="51"/>
    </row>
    <row r="432" customFormat="false" ht="15" hidden="false" customHeight="false" outlineLevel="0" collapsed="false">
      <c r="A432" s="52"/>
      <c r="B432" s="51"/>
      <c r="C432" s="51" t="n">
        <v>1</v>
      </c>
      <c r="D432" s="51" t="n">
        <v>0</v>
      </c>
      <c r="E432" s="51"/>
      <c r="F432" s="51" t="n">
        <v>2423</v>
      </c>
      <c r="G432" s="51" t="n">
        <v>16965</v>
      </c>
      <c r="H432" s="51"/>
      <c r="I432" s="51"/>
      <c r="J432" s="51"/>
      <c r="K432" s="51"/>
      <c r="L432" s="51"/>
    </row>
    <row r="433" customFormat="false" ht="15" hidden="false" customHeight="false" outlineLevel="0" collapsed="false">
      <c r="A433" s="46"/>
      <c r="B433" s="49" t="s">
        <v>6533</v>
      </c>
      <c r="C433" s="48" t="n">
        <v>1</v>
      </c>
      <c r="D433" s="48" t="n">
        <v>5</v>
      </c>
      <c r="E433" s="48" t="n">
        <f aca="false">C433-D433</f>
        <v>-4</v>
      </c>
      <c r="F433" s="48" t="n">
        <v>2121</v>
      </c>
      <c r="G433" s="48" t="n">
        <v>6276</v>
      </c>
      <c r="H433" s="48" t="n">
        <f aca="false">F433-G433</f>
        <v>-4155</v>
      </c>
      <c r="I433" s="51"/>
      <c r="J433" s="51"/>
      <c r="K433" s="51"/>
      <c r="L433" s="51"/>
    </row>
    <row r="434" customFormat="false" ht="15" hidden="false" customHeight="false" outlineLevel="0" collapsed="false">
      <c r="A434" s="46"/>
      <c r="B434" s="49" t="s">
        <v>6534</v>
      </c>
      <c r="C434" s="48" t="n">
        <v>1</v>
      </c>
      <c r="D434" s="48" t="n">
        <v>14</v>
      </c>
      <c r="E434" s="48" t="n">
        <f aca="false">C434-D434</f>
        <v>-13</v>
      </c>
      <c r="F434" s="48" t="n">
        <v>2023</v>
      </c>
      <c r="G434" s="48" t="n">
        <v>3079</v>
      </c>
      <c r="H434" s="48" t="n">
        <f aca="false">F434-G434</f>
        <v>-1056</v>
      </c>
      <c r="I434" s="51"/>
      <c r="J434" s="51"/>
      <c r="K434" s="51"/>
      <c r="L434" s="51"/>
    </row>
    <row r="435" customFormat="false" ht="15" hidden="false" customHeight="false" outlineLevel="0" collapsed="false">
      <c r="A435" s="46"/>
      <c r="B435" s="49" t="s">
        <v>6535</v>
      </c>
      <c r="C435" s="48" t="n">
        <v>1</v>
      </c>
      <c r="D435" s="48" t="n">
        <v>2</v>
      </c>
      <c r="E435" s="48" t="n">
        <f aca="false">C435-D435</f>
        <v>-1</v>
      </c>
      <c r="F435" s="48" t="n">
        <v>1336</v>
      </c>
      <c r="G435" s="48" t="n">
        <v>1833</v>
      </c>
      <c r="H435" s="48" t="n">
        <f aca="false">F435-G435</f>
        <v>-497</v>
      </c>
      <c r="I435" s="51"/>
      <c r="J435" s="51"/>
      <c r="K435" s="51"/>
      <c r="L435" s="51"/>
    </row>
    <row r="436" customFormat="false" ht="15" hidden="false" customHeight="false" outlineLevel="0" collapsed="false">
      <c r="A436" s="46"/>
      <c r="B436" s="49" t="s">
        <v>6536</v>
      </c>
      <c r="C436" s="48" t="n">
        <v>1</v>
      </c>
      <c r="D436" s="48" t="n">
        <v>6</v>
      </c>
      <c r="E436" s="48" t="n">
        <f aca="false">C436-D436</f>
        <v>-5</v>
      </c>
      <c r="F436" s="48" t="n">
        <v>1117</v>
      </c>
      <c r="G436" s="48" t="n">
        <v>1478</v>
      </c>
      <c r="H436" s="48" t="n">
        <f aca="false">F436-G436</f>
        <v>-361</v>
      </c>
      <c r="I436" s="51"/>
      <c r="J436" s="51"/>
      <c r="K436" s="51"/>
      <c r="L436" s="51"/>
    </row>
    <row r="437" customFormat="false" ht="15" hidden="false" customHeight="false" outlineLevel="0" collapsed="false">
      <c r="A437" s="52"/>
      <c r="B437" s="51"/>
      <c r="C437" s="51" t="n">
        <v>1</v>
      </c>
      <c r="D437" s="51" t="n">
        <v>0</v>
      </c>
      <c r="E437" s="51"/>
      <c r="F437" s="51" t="n">
        <v>1116</v>
      </c>
      <c r="G437" s="51" t="n">
        <v>0</v>
      </c>
      <c r="H437" s="51"/>
      <c r="I437" s="51"/>
      <c r="J437" s="51"/>
      <c r="K437" s="51"/>
      <c r="L437" s="51"/>
    </row>
    <row r="438" customFormat="false" ht="15" hidden="false" customHeight="false" outlineLevel="0" collapsed="false">
      <c r="A438" s="52"/>
      <c r="B438" s="51"/>
      <c r="C438" s="51" t="n">
        <v>1</v>
      </c>
      <c r="D438" s="51" t="n">
        <v>0</v>
      </c>
      <c r="E438" s="51"/>
      <c r="F438" s="51" t="n">
        <v>992</v>
      </c>
      <c r="G438" s="51" t="n">
        <v>0</v>
      </c>
      <c r="H438" s="51"/>
      <c r="I438" s="51"/>
      <c r="J438" s="51"/>
      <c r="K438" s="51"/>
      <c r="L438" s="51"/>
    </row>
    <row r="439" customFormat="false" ht="15" hidden="false" customHeight="false" outlineLevel="0" collapsed="false">
      <c r="A439" s="52"/>
      <c r="B439" s="51"/>
      <c r="C439" s="51" t="n">
        <v>1</v>
      </c>
      <c r="D439" s="51" t="n">
        <v>0</v>
      </c>
      <c r="E439" s="51"/>
      <c r="F439" s="51" t="n">
        <v>967</v>
      </c>
      <c r="G439" s="51" t="n">
        <v>0</v>
      </c>
      <c r="H439" s="51"/>
      <c r="I439" s="51"/>
      <c r="J439" s="51"/>
      <c r="K439" s="51"/>
      <c r="L439" s="51"/>
    </row>
    <row r="440" customFormat="false" ht="15" hidden="false" customHeight="false" outlineLevel="0" collapsed="false">
      <c r="A440" s="52"/>
      <c r="B440" s="51"/>
      <c r="C440" s="51" t="n">
        <v>1</v>
      </c>
      <c r="D440" s="51" t="n">
        <v>0</v>
      </c>
      <c r="E440" s="51"/>
      <c r="F440" s="51" t="n">
        <v>831</v>
      </c>
      <c r="G440" s="51" t="n">
        <v>0</v>
      </c>
      <c r="H440" s="51"/>
      <c r="I440" s="51"/>
      <c r="J440" s="51"/>
      <c r="K440" s="51"/>
      <c r="L440" s="51"/>
    </row>
    <row r="441" customFormat="false" ht="15" hidden="false" customHeight="false" outlineLevel="0" collapsed="false">
      <c r="A441" s="52"/>
      <c r="B441" s="51"/>
      <c r="C441" s="51" t="n">
        <v>1</v>
      </c>
      <c r="D441" s="51" t="n">
        <v>0</v>
      </c>
      <c r="E441" s="51"/>
      <c r="F441" s="51" t="n">
        <v>777</v>
      </c>
      <c r="G441" s="51" t="n">
        <v>0</v>
      </c>
      <c r="H441" s="51"/>
      <c r="I441" s="51"/>
      <c r="J441" s="51"/>
      <c r="K441" s="51"/>
      <c r="L441" s="51"/>
    </row>
    <row r="442" customFormat="false" ht="15" hidden="false" customHeight="false" outlineLevel="0" collapsed="false">
      <c r="A442" s="52"/>
      <c r="B442" s="51"/>
      <c r="C442" s="51" t="n">
        <v>1</v>
      </c>
      <c r="D442" s="51" t="n">
        <v>0</v>
      </c>
      <c r="E442" s="51"/>
      <c r="F442" s="51" t="n">
        <v>766</v>
      </c>
      <c r="G442" s="51" t="n">
        <v>0</v>
      </c>
      <c r="H442" s="51"/>
      <c r="I442" s="51"/>
      <c r="J442" s="51"/>
      <c r="K442" s="51"/>
      <c r="L442" s="51"/>
    </row>
    <row r="443" customFormat="false" ht="15" hidden="false" customHeight="false" outlineLevel="0" collapsed="false">
      <c r="A443" s="52"/>
      <c r="B443" s="51"/>
      <c r="C443" s="51" t="n">
        <v>1</v>
      </c>
      <c r="D443" s="51" t="n">
        <v>5</v>
      </c>
      <c r="E443" s="51"/>
      <c r="F443" s="51" t="n">
        <v>735</v>
      </c>
      <c r="G443" s="51" t="n">
        <v>3797</v>
      </c>
      <c r="H443" s="51"/>
      <c r="I443" s="51"/>
      <c r="J443" s="51"/>
      <c r="K443" s="51"/>
      <c r="L443" s="51"/>
    </row>
    <row r="444" customFormat="false" ht="15" hidden="false" customHeight="false" outlineLevel="0" collapsed="false">
      <c r="A444" s="52"/>
      <c r="B444" s="51"/>
      <c r="C444" s="51" t="n">
        <v>1</v>
      </c>
      <c r="D444" s="51" t="n">
        <v>1</v>
      </c>
      <c r="E444" s="51"/>
      <c r="F444" s="51" t="n">
        <v>733</v>
      </c>
      <c r="G444" s="51" t="n">
        <v>859</v>
      </c>
      <c r="H444" s="51"/>
      <c r="I444" s="51"/>
      <c r="J444" s="51"/>
      <c r="K444" s="51"/>
      <c r="L444" s="51"/>
    </row>
    <row r="445" customFormat="false" ht="15" hidden="false" customHeight="false" outlineLevel="0" collapsed="false">
      <c r="A445" s="52"/>
      <c r="B445" s="51"/>
      <c r="C445" s="51" t="n">
        <v>1</v>
      </c>
      <c r="D445" s="51" t="n">
        <v>0</v>
      </c>
      <c r="E445" s="51"/>
      <c r="F445" s="51" t="n">
        <v>690</v>
      </c>
      <c r="G445" s="51" t="n">
        <v>472</v>
      </c>
      <c r="H445" s="51"/>
      <c r="I445" s="51"/>
      <c r="J445" s="51"/>
      <c r="K445" s="51"/>
      <c r="L445" s="51"/>
    </row>
    <row r="446" customFormat="false" ht="15" hidden="false" customHeight="false" outlineLevel="0" collapsed="false">
      <c r="A446" s="46"/>
      <c r="B446" s="49" t="s">
        <v>6537</v>
      </c>
      <c r="C446" s="48" t="n">
        <v>1</v>
      </c>
      <c r="D446" s="48" t="n">
        <v>0</v>
      </c>
      <c r="E446" s="48" t="n">
        <f aca="false">C446-D446</f>
        <v>1</v>
      </c>
      <c r="F446" s="48" t="n">
        <v>675</v>
      </c>
      <c r="G446" s="48" t="n">
        <v>0</v>
      </c>
      <c r="H446" s="48" t="n">
        <f aca="false">F446-G446</f>
        <v>675</v>
      </c>
      <c r="I446" s="51"/>
      <c r="J446" s="51"/>
      <c r="K446" s="51"/>
      <c r="L446" s="51"/>
    </row>
    <row r="447" customFormat="false" ht="15" hidden="false" customHeight="false" outlineLevel="0" collapsed="false">
      <c r="A447" s="46"/>
      <c r="B447" s="49" t="s">
        <v>6538</v>
      </c>
      <c r="C447" s="48" t="n">
        <v>1</v>
      </c>
      <c r="D447" s="48" t="n">
        <v>0</v>
      </c>
      <c r="E447" s="48" t="n">
        <f aca="false">C447-D447</f>
        <v>1</v>
      </c>
      <c r="F447" s="48" t="n">
        <v>595</v>
      </c>
      <c r="G447" s="48" t="n">
        <v>626</v>
      </c>
      <c r="H447" s="48" t="n">
        <f aca="false">F447-G447</f>
        <v>-31</v>
      </c>
      <c r="I447" s="51"/>
      <c r="J447" s="51"/>
      <c r="K447" s="51"/>
      <c r="L447" s="51"/>
    </row>
    <row r="448" customFormat="false" ht="15" hidden="false" customHeight="false" outlineLevel="0" collapsed="false">
      <c r="A448" s="52"/>
      <c r="B448" s="51"/>
      <c r="C448" s="51" t="n">
        <v>1</v>
      </c>
      <c r="D448" s="51" t="n">
        <v>0</v>
      </c>
      <c r="E448" s="51"/>
      <c r="F448" s="51" t="n">
        <v>574</v>
      </c>
      <c r="G448" s="51" t="n">
        <v>0</v>
      </c>
      <c r="H448" s="51"/>
      <c r="I448" s="51"/>
      <c r="J448" s="51"/>
      <c r="K448" s="51"/>
      <c r="L448" s="51"/>
    </row>
    <row r="449" customFormat="false" ht="15" hidden="false" customHeight="false" outlineLevel="0" collapsed="false">
      <c r="A449" s="52"/>
      <c r="B449" s="51"/>
      <c r="C449" s="51" t="n">
        <v>1</v>
      </c>
      <c r="D449" s="51" t="n">
        <v>0</v>
      </c>
      <c r="E449" s="51"/>
      <c r="F449" s="51" t="n">
        <v>569</v>
      </c>
      <c r="G449" s="51" t="n">
        <v>0</v>
      </c>
      <c r="H449" s="51"/>
      <c r="I449" s="51"/>
      <c r="J449" s="51"/>
      <c r="K449" s="51"/>
      <c r="L449" s="51"/>
    </row>
    <row r="450" customFormat="false" ht="15" hidden="false" customHeight="false" outlineLevel="0" collapsed="false">
      <c r="A450" s="52"/>
      <c r="B450" s="51"/>
      <c r="C450" s="51" t="n">
        <v>1</v>
      </c>
      <c r="D450" s="51" t="n">
        <v>1</v>
      </c>
      <c r="E450" s="51"/>
      <c r="F450" s="51" t="n">
        <v>558</v>
      </c>
      <c r="G450" s="51" t="n">
        <v>349</v>
      </c>
      <c r="H450" s="51"/>
      <c r="I450" s="51"/>
      <c r="J450" s="51"/>
      <c r="K450" s="51"/>
      <c r="L450" s="51"/>
    </row>
    <row r="451" customFormat="false" ht="15" hidden="false" customHeight="false" outlineLevel="0" collapsed="false">
      <c r="A451" s="52"/>
      <c r="B451" s="51"/>
      <c r="C451" s="51" t="n">
        <v>1</v>
      </c>
      <c r="D451" s="51" t="n">
        <v>0</v>
      </c>
      <c r="E451" s="51"/>
      <c r="F451" s="51" t="n">
        <v>553</v>
      </c>
      <c r="G451" s="51" t="n">
        <v>0</v>
      </c>
      <c r="H451" s="51"/>
      <c r="I451" s="51"/>
      <c r="J451" s="51"/>
      <c r="K451" s="51"/>
      <c r="L451" s="51"/>
    </row>
    <row r="452" customFormat="false" ht="15" hidden="false" customHeight="false" outlineLevel="0" collapsed="false">
      <c r="A452" s="52"/>
      <c r="B452" s="51"/>
      <c r="C452" s="51" t="n">
        <v>1</v>
      </c>
      <c r="D452" s="51" t="n">
        <v>0</v>
      </c>
      <c r="E452" s="51"/>
      <c r="F452" s="51" t="n">
        <v>461</v>
      </c>
      <c r="G452" s="51" t="n">
        <v>53</v>
      </c>
      <c r="H452" s="51"/>
      <c r="I452" s="51"/>
      <c r="J452" s="51"/>
      <c r="K452" s="51"/>
      <c r="L452" s="51"/>
    </row>
    <row r="453" customFormat="false" ht="15" hidden="false" customHeight="false" outlineLevel="0" collapsed="false">
      <c r="A453" s="52"/>
      <c r="B453" s="51"/>
      <c r="C453" s="51" t="n">
        <v>1</v>
      </c>
      <c r="D453" s="51" t="n">
        <v>0</v>
      </c>
      <c r="E453" s="51"/>
      <c r="F453" s="51" t="n">
        <v>450</v>
      </c>
      <c r="G453" s="51" t="n">
        <v>238</v>
      </c>
      <c r="H453" s="51"/>
      <c r="I453" s="51"/>
      <c r="J453" s="51"/>
      <c r="K453" s="51"/>
      <c r="L453" s="51"/>
    </row>
    <row r="454" customFormat="false" ht="15" hidden="false" customHeight="false" outlineLevel="0" collapsed="false">
      <c r="A454" s="52"/>
      <c r="B454" s="51"/>
      <c r="C454" s="51" t="n">
        <v>1</v>
      </c>
      <c r="D454" s="51" t="n">
        <v>0</v>
      </c>
      <c r="E454" s="51"/>
      <c r="F454" s="51" t="n">
        <v>424</v>
      </c>
      <c r="G454" s="51" t="n">
        <v>0</v>
      </c>
      <c r="H454" s="51"/>
      <c r="I454" s="51"/>
      <c r="J454" s="51"/>
      <c r="K454" s="51"/>
      <c r="L454" s="51"/>
    </row>
    <row r="455" customFormat="false" ht="15" hidden="false" customHeight="false" outlineLevel="0" collapsed="false">
      <c r="A455" s="52"/>
      <c r="B455" s="51"/>
      <c r="C455" s="51" t="n">
        <v>1</v>
      </c>
      <c r="D455" s="51" t="n">
        <v>0</v>
      </c>
      <c r="E455" s="51"/>
      <c r="F455" s="51" t="n">
        <v>416</v>
      </c>
      <c r="G455" s="51" t="n">
        <v>0</v>
      </c>
      <c r="H455" s="51"/>
      <c r="I455" s="51"/>
      <c r="J455" s="51"/>
      <c r="K455" s="51"/>
      <c r="L455" s="51"/>
    </row>
    <row r="456" customFormat="false" ht="15" hidden="false" customHeight="false" outlineLevel="0" collapsed="false">
      <c r="A456" s="52"/>
      <c r="B456" s="51"/>
      <c r="C456" s="51" t="n">
        <v>1</v>
      </c>
      <c r="D456" s="51" t="n">
        <v>0</v>
      </c>
      <c r="E456" s="51"/>
      <c r="F456" s="51" t="n">
        <v>397</v>
      </c>
      <c r="G456" s="51" t="n">
        <v>0</v>
      </c>
      <c r="H456" s="51"/>
      <c r="I456" s="51"/>
      <c r="J456" s="51"/>
      <c r="K456" s="51"/>
      <c r="L456" s="51"/>
    </row>
    <row r="457" customFormat="false" ht="15" hidden="false" customHeight="false" outlineLevel="0" collapsed="false">
      <c r="A457" s="52"/>
      <c r="B457" s="51"/>
      <c r="C457" s="51" t="n">
        <v>1</v>
      </c>
      <c r="D457" s="51" t="n">
        <v>0</v>
      </c>
      <c r="E457" s="51"/>
      <c r="F457" s="51" t="n">
        <v>375</v>
      </c>
      <c r="G457" s="51" t="n">
        <v>436</v>
      </c>
      <c r="H457" s="51"/>
      <c r="I457" s="51"/>
      <c r="J457" s="51"/>
      <c r="K457" s="51"/>
      <c r="L457" s="51"/>
    </row>
    <row r="458" customFormat="false" ht="15" hidden="false" customHeight="false" outlineLevel="0" collapsed="false">
      <c r="A458" s="52"/>
      <c r="B458" s="51"/>
      <c r="C458" s="51" t="n">
        <v>1</v>
      </c>
      <c r="D458" s="51" t="n">
        <v>0</v>
      </c>
      <c r="E458" s="51"/>
      <c r="F458" s="51" t="n">
        <v>356</v>
      </c>
      <c r="G458" s="51" t="n">
        <v>82</v>
      </c>
      <c r="H458" s="51"/>
      <c r="I458" s="51"/>
      <c r="J458" s="51"/>
      <c r="K458" s="51"/>
      <c r="L458" s="51"/>
    </row>
    <row r="459" customFormat="false" ht="15" hidden="false" customHeight="false" outlineLevel="0" collapsed="false">
      <c r="A459" s="52"/>
      <c r="B459" s="51"/>
      <c r="C459" s="51" t="n">
        <v>1</v>
      </c>
      <c r="D459" s="51" t="n">
        <v>1</v>
      </c>
      <c r="E459" s="51"/>
      <c r="F459" s="51" t="n">
        <v>326</v>
      </c>
      <c r="G459" s="51" t="n">
        <v>383</v>
      </c>
      <c r="H459" s="51"/>
      <c r="I459" s="51"/>
      <c r="J459" s="51"/>
      <c r="K459" s="51"/>
      <c r="L459" s="51"/>
    </row>
    <row r="460" customFormat="false" ht="15" hidden="false" customHeight="false" outlineLevel="0" collapsed="false">
      <c r="A460" s="52"/>
      <c r="B460" s="51"/>
      <c r="C460" s="51" t="n">
        <v>1</v>
      </c>
      <c r="D460" s="51" t="n">
        <v>0</v>
      </c>
      <c r="E460" s="51"/>
      <c r="F460" s="51" t="n">
        <v>315</v>
      </c>
      <c r="G460" s="51" t="n">
        <v>0</v>
      </c>
      <c r="H460" s="51"/>
      <c r="I460" s="51"/>
      <c r="J460" s="51"/>
      <c r="K460" s="51"/>
      <c r="L460" s="51"/>
    </row>
    <row r="461" customFormat="false" ht="15" hidden="false" customHeight="false" outlineLevel="0" collapsed="false">
      <c r="A461" s="52"/>
      <c r="B461" s="51"/>
      <c r="C461" s="51" t="n">
        <v>1</v>
      </c>
      <c r="D461" s="51" t="n">
        <v>0</v>
      </c>
      <c r="E461" s="51"/>
      <c r="F461" s="51" t="n">
        <v>286</v>
      </c>
      <c r="G461" s="51" t="n">
        <v>0</v>
      </c>
      <c r="H461" s="51"/>
      <c r="I461" s="51"/>
      <c r="J461" s="51"/>
      <c r="K461" s="51"/>
      <c r="L461" s="51"/>
    </row>
    <row r="462" customFormat="false" ht="15" hidden="false" customHeight="false" outlineLevel="0" collapsed="false">
      <c r="A462" s="46"/>
      <c r="B462" s="49" t="s">
        <v>6539</v>
      </c>
      <c r="C462" s="48" t="n">
        <v>1</v>
      </c>
      <c r="D462" s="48" t="n">
        <v>1</v>
      </c>
      <c r="E462" s="48" t="n">
        <f aca="false">C462-D462</f>
        <v>0</v>
      </c>
      <c r="F462" s="48" t="n">
        <v>272</v>
      </c>
      <c r="G462" s="48" t="n">
        <v>175</v>
      </c>
      <c r="H462" s="48" t="n">
        <f aca="false">F462-G462</f>
        <v>97</v>
      </c>
      <c r="I462" s="51"/>
      <c r="J462" s="51"/>
      <c r="K462" s="51"/>
      <c r="L462" s="51"/>
    </row>
    <row r="463" customFormat="false" ht="15" hidden="false" customHeight="false" outlineLevel="0" collapsed="false">
      <c r="A463" s="52"/>
      <c r="B463" s="51"/>
      <c r="C463" s="51" t="n">
        <v>1</v>
      </c>
      <c r="D463" s="51" t="n">
        <v>0</v>
      </c>
      <c r="E463" s="51"/>
      <c r="F463" s="51" t="n">
        <v>270</v>
      </c>
      <c r="G463" s="51" t="n">
        <v>39</v>
      </c>
      <c r="H463" s="51"/>
      <c r="I463" s="51"/>
      <c r="J463" s="51"/>
      <c r="K463" s="51"/>
      <c r="L463" s="51"/>
    </row>
    <row r="464" customFormat="false" ht="15" hidden="false" customHeight="false" outlineLevel="0" collapsed="false">
      <c r="A464" s="52"/>
      <c r="B464" s="51"/>
      <c r="C464" s="51" t="n">
        <v>1</v>
      </c>
      <c r="D464" s="51" t="n">
        <v>0</v>
      </c>
      <c r="E464" s="51"/>
      <c r="F464" s="51" t="n">
        <v>252</v>
      </c>
      <c r="G464" s="51" t="n">
        <v>0</v>
      </c>
      <c r="H464" s="51"/>
      <c r="I464" s="51"/>
      <c r="J464" s="51"/>
      <c r="K464" s="51"/>
      <c r="L464" s="51"/>
    </row>
    <row r="465" customFormat="false" ht="15" hidden="false" customHeight="false" outlineLevel="0" collapsed="false">
      <c r="A465" s="52"/>
      <c r="B465" s="51"/>
      <c r="C465" s="51" t="n">
        <v>1</v>
      </c>
      <c r="D465" s="51" t="n">
        <v>0</v>
      </c>
      <c r="E465" s="51"/>
      <c r="F465" s="51" t="n">
        <v>251</v>
      </c>
      <c r="G465" s="51" t="n">
        <v>57</v>
      </c>
      <c r="H465" s="51"/>
      <c r="I465" s="51"/>
      <c r="J465" s="51"/>
      <c r="K465" s="51"/>
      <c r="L465" s="51"/>
    </row>
    <row r="466" customFormat="false" ht="15" hidden="false" customHeight="false" outlineLevel="0" collapsed="false">
      <c r="A466" s="52"/>
      <c r="B466" s="51"/>
      <c r="C466" s="51" t="n">
        <v>1</v>
      </c>
      <c r="D466" s="51" t="n">
        <v>0</v>
      </c>
      <c r="E466" s="51"/>
      <c r="F466" s="51" t="n">
        <v>250</v>
      </c>
      <c r="G466" s="51" t="n">
        <v>0</v>
      </c>
      <c r="H466" s="51"/>
      <c r="I466" s="51"/>
      <c r="J466" s="51"/>
      <c r="K466" s="51"/>
      <c r="L466" s="51"/>
    </row>
    <row r="467" customFormat="false" ht="15" hidden="false" customHeight="false" outlineLevel="0" collapsed="false">
      <c r="A467" s="52"/>
      <c r="B467" s="51"/>
      <c r="C467" s="51" t="n">
        <v>1</v>
      </c>
      <c r="D467" s="51" t="n">
        <v>0</v>
      </c>
      <c r="E467" s="51"/>
      <c r="F467" s="51" t="n">
        <v>248</v>
      </c>
      <c r="G467" s="51" t="n">
        <v>0</v>
      </c>
      <c r="H467" s="51"/>
      <c r="I467" s="51"/>
      <c r="J467" s="51"/>
      <c r="K467" s="51"/>
      <c r="L467" s="51"/>
    </row>
    <row r="468" customFormat="false" ht="15" hidden="false" customHeight="false" outlineLevel="0" collapsed="false">
      <c r="A468" s="52"/>
      <c r="B468" s="51"/>
      <c r="C468" s="51" t="n">
        <v>1</v>
      </c>
      <c r="D468" s="51" t="n">
        <v>0</v>
      </c>
      <c r="E468" s="51"/>
      <c r="F468" s="51" t="n">
        <v>246</v>
      </c>
      <c r="G468" s="51" t="n">
        <v>0</v>
      </c>
      <c r="H468" s="51"/>
      <c r="I468" s="51"/>
      <c r="J468" s="51"/>
      <c r="K468" s="51"/>
      <c r="L468" s="51"/>
    </row>
    <row r="469" customFormat="false" ht="15" hidden="false" customHeight="false" outlineLevel="0" collapsed="false">
      <c r="A469" s="52"/>
      <c r="B469" s="51"/>
      <c r="C469" s="51" t="n">
        <v>1</v>
      </c>
      <c r="D469" s="51" t="n">
        <v>0</v>
      </c>
      <c r="E469" s="51"/>
      <c r="F469" s="51" t="n">
        <v>236</v>
      </c>
      <c r="G469" s="51" t="n">
        <v>0</v>
      </c>
      <c r="H469" s="51"/>
      <c r="I469" s="51"/>
      <c r="J469" s="51"/>
      <c r="K469" s="51"/>
      <c r="L469" s="51"/>
    </row>
    <row r="470" customFormat="false" ht="15" hidden="false" customHeight="false" outlineLevel="0" collapsed="false">
      <c r="A470" s="46"/>
      <c r="B470" s="49" t="s">
        <v>6540</v>
      </c>
      <c r="C470" s="48" t="n">
        <v>1</v>
      </c>
      <c r="D470" s="48" t="n">
        <v>0</v>
      </c>
      <c r="E470" s="48" t="n">
        <f aca="false">C470-D470</f>
        <v>1</v>
      </c>
      <c r="F470" s="48" t="n">
        <v>234</v>
      </c>
      <c r="G470" s="48" t="n">
        <v>292</v>
      </c>
      <c r="H470" s="48" t="n">
        <f aca="false">F470-G470</f>
        <v>-58</v>
      </c>
      <c r="I470" s="51"/>
      <c r="J470" s="51"/>
      <c r="K470" s="51"/>
      <c r="L470" s="51"/>
    </row>
    <row r="471" customFormat="false" ht="15" hidden="false" customHeight="false" outlineLevel="0" collapsed="false">
      <c r="A471" s="52"/>
      <c r="B471" s="51"/>
      <c r="C471" s="51" t="n">
        <v>1</v>
      </c>
      <c r="D471" s="51" t="n">
        <v>0</v>
      </c>
      <c r="E471" s="51"/>
      <c r="F471" s="51" t="n">
        <v>225</v>
      </c>
      <c r="G471" s="51" t="n">
        <v>136</v>
      </c>
      <c r="H471" s="51"/>
      <c r="I471" s="51"/>
      <c r="J471" s="51"/>
      <c r="K471" s="51"/>
      <c r="L471" s="51"/>
    </row>
    <row r="472" customFormat="false" ht="15" hidden="false" customHeight="false" outlineLevel="0" collapsed="false">
      <c r="A472" s="52"/>
      <c r="B472" s="51"/>
      <c r="C472" s="51" t="n">
        <v>1</v>
      </c>
      <c r="D472" s="51" t="n">
        <v>0</v>
      </c>
      <c r="E472" s="51"/>
      <c r="F472" s="51" t="n">
        <v>209</v>
      </c>
      <c r="G472" s="51" t="n">
        <v>0</v>
      </c>
      <c r="H472" s="51"/>
      <c r="I472" s="51"/>
      <c r="J472" s="51"/>
      <c r="K472" s="51"/>
      <c r="L472" s="51"/>
    </row>
    <row r="473" customFormat="false" ht="15" hidden="false" customHeight="false" outlineLevel="0" collapsed="false">
      <c r="A473" s="52"/>
      <c r="B473" s="51"/>
      <c r="C473" s="51" t="n">
        <v>1</v>
      </c>
      <c r="D473" s="51" t="n">
        <v>0</v>
      </c>
      <c r="E473" s="51"/>
      <c r="F473" s="51" t="n">
        <v>200</v>
      </c>
      <c r="G473" s="51" t="n">
        <v>0</v>
      </c>
      <c r="H473" s="51"/>
      <c r="I473" s="51"/>
      <c r="J473" s="51"/>
      <c r="K473" s="51"/>
      <c r="L473" s="51"/>
    </row>
    <row r="474" customFormat="false" ht="15" hidden="false" customHeight="false" outlineLevel="0" collapsed="false">
      <c r="A474" s="52"/>
      <c r="B474" s="51"/>
      <c r="C474" s="51" t="n">
        <v>1</v>
      </c>
      <c r="D474" s="51" t="n">
        <v>0</v>
      </c>
      <c r="E474" s="51"/>
      <c r="F474" s="51" t="n">
        <v>197</v>
      </c>
      <c r="G474" s="51" t="n">
        <v>0</v>
      </c>
      <c r="H474" s="51"/>
      <c r="I474" s="51"/>
      <c r="J474" s="51"/>
      <c r="K474" s="51"/>
      <c r="L474" s="51"/>
    </row>
    <row r="475" customFormat="false" ht="15" hidden="false" customHeight="false" outlineLevel="0" collapsed="false">
      <c r="A475" s="46"/>
      <c r="B475" s="49" t="s">
        <v>6541</v>
      </c>
      <c r="C475" s="48" t="n">
        <v>1</v>
      </c>
      <c r="D475" s="48" t="n">
        <v>0</v>
      </c>
      <c r="E475" s="48" t="n">
        <f aca="false">C475-D475</f>
        <v>1</v>
      </c>
      <c r="F475" s="48" t="n">
        <v>193</v>
      </c>
      <c r="G475" s="48" t="n">
        <v>491</v>
      </c>
      <c r="H475" s="48" t="n">
        <f aca="false">F475-G475</f>
        <v>-298</v>
      </c>
      <c r="I475" s="51"/>
      <c r="J475" s="51"/>
      <c r="K475" s="51"/>
      <c r="L475" s="51"/>
    </row>
    <row r="476" customFormat="false" ht="15" hidden="false" customHeight="false" outlineLevel="0" collapsed="false">
      <c r="A476" s="52"/>
      <c r="B476" s="51"/>
      <c r="C476" s="51" t="n">
        <v>1</v>
      </c>
      <c r="D476" s="51" t="n">
        <v>8</v>
      </c>
      <c r="E476" s="51"/>
      <c r="F476" s="51" t="n">
        <v>187</v>
      </c>
      <c r="G476" s="51" t="n">
        <v>292</v>
      </c>
      <c r="H476" s="51"/>
      <c r="I476" s="51"/>
      <c r="J476" s="51"/>
      <c r="K476" s="51"/>
      <c r="L476" s="51"/>
    </row>
    <row r="477" customFormat="false" ht="15" hidden="false" customHeight="false" outlineLevel="0" collapsed="false">
      <c r="A477" s="52"/>
      <c r="B477" s="51"/>
      <c r="C477" s="51" t="n">
        <v>1</v>
      </c>
      <c r="D477" s="51" t="n">
        <v>0</v>
      </c>
      <c r="E477" s="51"/>
      <c r="F477" s="51" t="n">
        <v>178</v>
      </c>
      <c r="G477" s="51" t="n">
        <v>0</v>
      </c>
      <c r="H477" s="51"/>
      <c r="I477" s="51"/>
      <c r="J477" s="51"/>
      <c r="K477" s="51"/>
      <c r="L477" s="51"/>
    </row>
    <row r="478" customFormat="false" ht="15" hidden="false" customHeight="false" outlineLevel="0" collapsed="false">
      <c r="A478" s="52"/>
      <c r="B478" s="51"/>
      <c r="C478" s="51" t="n">
        <v>1</v>
      </c>
      <c r="D478" s="51" t="n">
        <v>0</v>
      </c>
      <c r="E478" s="51"/>
      <c r="F478" s="51" t="n">
        <v>170</v>
      </c>
      <c r="G478" s="51" t="n">
        <v>53</v>
      </c>
      <c r="H478" s="51"/>
      <c r="I478" s="51"/>
      <c r="J478" s="51"/>
      <c r="K478" s="51"/>
      <c r="L478" s="51"/>
    </row>
    <row r="479" customFormat="false" ht="15" hidden="false" customHeight="false" outlineLevel="0" collapsed="false">
      <c r="A479" s="52"/>
      <c r="B479" s="51"/>
      <c r="C479" s="51" t="n">
        <v>1</v>
      </c>
      <c r="D479" s="51" t="n">
        <v>0</v>
      </c>
      <c r="E479" s="51"/>
      <c r="F479" s="51" t="n">
        <v>169</v>
      </c>
      <c r="G479" s="51" t="n">
        <v>109</v>
      </c>
      <c r="H479" s="51"/>
      <c r="I479" s="51"/>
      <c r="J479" s="51"/>
      <c r="K479" s="51"/>
      <c r="L479" s="51"/>
    </row>
    <row r="480" customFormat="false" ht="15" hidden="false" customHeight="false" outlineLevel="0" collapsed="false">
      <c r="A480" s="52"/>
      <c r="B480" s="51"/>
      <c r="C480" s="51" t="n">
        <v>1</v>
      </c>
      <c r="D480" s="51" t="n">
        <v>0</v>
      </c>
      <c r="E480" s="51"/>
      <c r="F480" s="51" t="n">
        <v>169</v>
      </c>
      <c r="G480" s="51" t="n">
        <v>0</v>
      </c>
      <c r="H480" s="51"/>
      <c r="I480" s="51"/>
      <c r="J480" s="51"/>
      <c r="K480" s="51"/>
      <c r="L480" s="51"/>
    </row>
    <row r="481" customFormat="false" ht="15" hidden="false" customHeight="false" outlineLevel="0" collapsed="false">
      <c r="A481" s="52"/>
      <c r="B481" s="51"/>
      <c r="C481" s="51" t="n">
        <v>1</v>
      </c>
      <c r="D481" s="51" t="n">
        <v>0</v>
      </c>
      <c r="E481" s="51"/>
      <c r="F481" s="51" t="n">
        <v>166</v>
      </c>
      <c r="G481" s="51" t="n">
        <v>0</v>
      </c>
      <c r="H481" s="51"/>
      <c r="I481" s="51"/>
      <c r="J481" s="51"/>
      <c r="K481" s="51"/>
      <c r="L481" s="51"/>
    </row>
    <row r="482" customFormat="false" ht="15" hidden="false" customHeight="false" outlineLevel="0" collapsed="false">
      <c r="A482" s="46"/>
      <c r="B482" s="49" t="s">
        <v>6542</v>
      </c>
      <c r="C482" s="48" t="n">
        <v>1</v>
      </c>
      <c r="D482" s="48" t="n">
        <v>1</v>
      </c>
      <c r="E482" s="48" t="n">
        <f aca="false">C482-D482</f>
        <v>0</v>
      </c>
      <c r="F482" s="48" t="n">
        <v>160</v>
      </c>
      <c r="G482" s="48" t="n">
        <v>307</v>
      </c>
      <c r="H482" s="48" t="n">
        <f aca="false">F482-G482</f>
        <v>-147</v>
      </c>
      <c r="I482" s="51"/>
      <c r="J482" s="51"/>
      <c r="K482" s="51"/>
      <c r="L482" s="51"/>
    </row>
    <row r="483" customFormat="false" ht="15" hidden="false" customHeight="false" outlineLevel="0" collapsed="false">
      <c r="A483" s="52"/>
      <c r="B483" s="51"/>
      <c r="C483" s="51" t="n">
        <v>1</v>
      </c>
      <c r="D483" s="51" t="n">
        <v>0</v>
      </c>
      <c r="E483" s="51"/>
      <c r="F483" s="51" t="n">
        <v>153</v>
      </c>
      <c r="G483" s="51" t="n">
        <v>0</v>
      </c>
      <c r="H483" s="51"/>
      <c r="I483" s="51"/>
      <c r="J483" s="51"/>
      <c r="K483" s="51"/>
      <c r="L483" s="51"/>
    </row>
    <row r="484" customFormat="false" ht="15" hidden="false" customHeight="false" outlineLevel="0" collapsed="false">
      <c r="A484" s="52"/>
      <c r="B484" s="51"/>
      <c r="C484" s="51" t="n">
        <v>1</v>
      </c>
      <c r="D484" s="51" t="n">
        <v>0</v>
      </c>
      <c r="E484" s="51"/>
      <c r="F484" s="51" t="n">
        <v>152</v>
      </c>
      <c r="G484" s="51" t="n">
        <v>0</v>
      </c>
      <c r="H484" s="51"/>
      <c r="I484" s="51"/>
      <c r="J484" s="51"/>
      <c r="K484" s="51"/>
      <c r="L484" s="51"/>
    </row>
    <row r="485" customFormat="false" ht="15" hidden="false" customHeight="false" outlineLevel="0" collapsed="false">
      <c r="A485" s="52"/>
      <c r="B485" s="51"/>
      <c r="C485" s="51" t="n">
        <v>1</v>
      </c>
      <c r="D485" s="51" t="n">
        <v>0</v>
      </c>
      <c r="E485" s="51"/>
      <c r="F485" s="51" t="n">
        <v>152</v>
      </c>
      <c r="G485" s="51" t="n">
        <v>0</v>
      </c>
      <c r="H485" s="51"/>
      <c r="I485" s="51"/>
      <c r="J485" s="51"/>
      <c r="K485" s="51"/>
      <c r="L485" s="51"/>
    </row>
    <row r="486" customFormat="false" ht="15" hidden="false" customHeight="false" outlineLevel="0" collapsed="false">
      <c r="A486" s="52"/>
      <c r="B486" s="51"/>
      <c r="C486" s="51" t="n">
        <v>1</v>
      </c>
      <c r="D486" s="51" t="n">
        <v>3</v>
      </c>
      <c r="E486" s="51"/>
      <c r="F486" s="51" t="n">
        <v>152</v>
      </c>
      <c r="G486" s="51" t="n">
        <v>451</v>
      </c>
      <c r="H486" s="51"/>
      <c r="I486" s="51"/>
      <c r="J486" s="51"/>
      <c r="K486" s="51"/>
      <c r="L486" s="51"/>
    </row>
    <row r="487" customFormat="false" ht="15" hidden="false" customHeight="false" outlineLevel="0" collapsed="false">
      <c r="A487" s="52"/>
      <c r="B487" s="51"/>
      <c r="C487" s="51" t="n">
        <v>1</v>
      </c>
      <c r="D487" s="51" t="n">
        <v>0</v>
      </c>
      <c r="E487" s="51"/>
      <c r="F487" s="51" t="n">
        <v>151</v>
      </c>
      <c r="G487" s="51" t="n">
        <v>0</v>
      </c>
      <c r="H487" s="51"/>
      <c r="I487" s="51"/>
      <c r="J487" s="51"/>
      <c r="K487" s="51"/>
      <c r="L487" s="51"/>
    </row>
    <row r="488" customFormat="false" ht="15" hidden="false" customHeight="false" outlineLevel="0" collapsed="false">
      <c r="A488" s="52"/>
      <c r="B488" s="51"/>
      <c r="C488" s="51" t="n">
        <v>1</v>
      </c>
      <c r="D488" s="51" t="n">
        <v>0</v>
      </c>
      <c r="E488" s="51"/>
      <c r="F488" s="51" t="n">
        <v>141</v>
      </c>
      <c r="G488" s="51" t="n">
        <v>0</v>
      </c>
      <c r="H488" s="51"/>
      <c r="I488" s="51"/>
      <c r="J488" s="51"/>
      <c r="K488" s="51"/>
      <c r="L488" s="51"/>
    </row>
    <row r="489" customFormat="false" ht="15" hidden="false" customHeight="false" outlineLevel="0" collapsed="false">
      <c r="A489" s="52"/>
      <c r="B489" s="51"/>
      <c r="C489" s="51" t="n">
        <v>1</v>
      </c>
      <c r="D489" s="51" t="n">
        <v>0</v>
      </c>
      <c r="E489" s="51"/>
      <c r="F489" s="51" t="n">
        <v>141</v>
      </c>
      <c r="G489" s="51" t="n">
        <v>0</v>
      </c>
      <c r="H489" s="51"/>
      <c r="I489" s="51"/>
      <c r="J489" s="51"/>
      <c r="K489" s="51"/>
      <c r="L489" s="51"/>
    </row>
    <row r="490" customFormat="false" ht="15" hidden="false" customHeight="false" outlineLevel="0" collapsed="false">
      <c r="A490" s="52"/>
      <c r="B490" s="51"/>
      <c r="C490" s="51" t="n">
        <v>1</v>
      </c>
      <c r="D490" s="51" t="n">
        <v>0</v>
      </c>
      <c r="E490" s="51"/>
      <c r="F490" s="51" t="n">
        <v>141</v>
      </c>
      <c r="G490" s="51" t="n">
        <v>0</v>
      </c>
      <c r="H490" s="51"/>
      <c r="I490" s="51"/>
      <c r="J490" s="51"/>
      <c r="K490" s="51"/>
      <c r="L490" s="51"/>
    </row>
    <row r="491" customFormat="false" ht="15" hidden="false" customHeight="false" outlineLevel="0" collapsed="false">
      <c r="A491" s="52"/>
      <c r="B491" s="51"/>
      <c r="C491" s="51" t="n">
        <v>1</v>
      </c>
      <c r="D491" s="51" t="n">
        <v>0</v>
      </c>
      <c r="E491" s="51"/>
      <c r="F491" s="51" t="n">
        <v>137</v>
      </c>
      <c r="G491" s="51" t="n">
        <v>0</v>
      </c>
      <c r="H491" s="51"/>
      <c r="I491" s="51"/>
      <c r="J491" s="51"/>
      <c r="K491" s="51"/>
      <c r="L491" s="51"/>
    </row>
    <row r="492" customFormat="false" ht="15" hidden="false" customHeight="false" outlineLevel="0" collapsed="false">
      <c r="A492" s="52"/>
      <c r="B492" s="51"/>
      <c r="C492" s="51" t="n">
        <v>1</v>
      </c>
      <c r="D492" s="51" t="n">
        <v>0</v>
      </c>
      <c r="E492" s="51"/>
      <c r="F492" s="51" t="n">
        <v>135</v>
      </c>
      <c r="G492" s="51" t="n">
        <v>0</v>
      </c>
      <c r="H492" s="51"/>
      <c r="I492" s="51"/>
      <c r="J492" s="51"/>
      <c r="K492" s="51"/>
      <c r="L492" s="51"/>
    </row>
    <row r="493" customFormat="false" ht="15" hidden="false" customHeight="false" outlineLevel="0" collapsed="false">
      <c r="A493" s="52"/>
      <c r="B493" s="51"/>
      <c r="C493" s="51" t="n">
        <v>1</v>
      </c>
      <c r="D493" s="51" t="n">
        <v>0</v>
      </c>
      <c r="E493" s="51"/>
      <c r="F493" s="51" t="n">
        <v>129</v>
      </c>
      <c r="G493" s="51" t="n">
        <v>0</v>
      </c>
      <c r="H493" s="51"/>
      <c r="I493" s="51"/>
      <c r="J493" s="51"/>
      <c r="K493" s="51"/>
      <c r="L493" s="51"/>
    </row>
    <row r="494" customFormat="false" ht="15" hidden="false" customHeight="false" outlineLevel="0" collapsed="false">
      <c r="A494" s="52"/>
      <c r="B494" s="51"/>
      <c r="C494" s="51" t="n">
        <v>1</v>
      </c>
      <c r="D494" s="51" t="n">
        <v>1</v>
      </c>
      <c r="E494" s="51"/>
      <c r="F494" s="51" t="n">
        <v>128</v>
      </c>
      <c r="G494" s="51" t="n">
        <v>448</v>
      </c>
      <c r="H494" s="51"/>
      <c r="I494" s="51"/>
      <c r="J494" s="51"/>
      <c r="K494" s="51"/>
      <c r="L494" s="51"/>
    </row>
    <row r="495" customFormat="false" ht="15" hidden="false" customHeight="false" outlineLevel="0" collapsed="false">
      <c r="A495" s="52"/>
      <c r="B495" s="51"/>
      <c r="C495" s="51" t="n">
        <v>1</v>
      </c>
      <c r="D495" s="51" t="n">
        <v>1</v>
      </c>
      <c r="E495" s="51"/>
      <c r="F495" s="51" t="n">
        <v>127</v>
      </c>
      <c r="G495" s="51" t="n">
        <v>75</v>
      </c>
      <c r="H495" s="51"/>
      <c r="I495" s="51"/>
      <c r="J495" s="51"/>
      <c r="K495" s="51"/>
      <c r="L495" s="51"/>
    </row>
    <row r="496" customFormat="false" ht="15" hidden="false" customHeight="false" outlineLevel="0" collapsed="false">
      <c r="A496" s="52"/>
      <c r="B496" s="51"/>
      <c r="C496" s="51" t="n">
        <v>1</v>
      </c>
      <c r="D496" s="51" t="n">
        <v>0</v>
      </c>
      <c r="E496" s="51"/>
      <c r="F496" s="51" t="n">
        <v>127</v>
      </c>
      <c r="G496" s="51" t="n">
        <v>0</v>
      </c>
      <c r="H496" s="51"/>
      <c r="I496" s="51"/>
      <c r="J496" s="51"/>
      <c r="K496" s="51"/>
      <c r="L496" s="51"/>
    </row>
    <row r="497" customFormat="false" ht="15" hidden="false" customHeight="false" outlineLevel="0" collapsed="false">
      <c r="A497" s="52"/>
      <c r="B497" s="51"/>
      <c r="C497" s="51" t="n">
        <v>1</v>
      </c>
      <c r="D497" s="51" t="n">
        <v>0</v>
      </c>
      <c r="E497" s="51"/>
      <c r="F497" s="51" t="n">
        <v>126</v>
      </c>
      <c r="G497" s="51" t="n">
        <v>0</v>
      </c>
      <c r="H497" s="51"/>
      <c r="I497" s="51"/>
      <c r="J497" s="51"/>
      <c r="K497" s="51"/>
      <c r="L497" s="51"/>
    </row>
    <row r="498" customFormat="false" ht="15" hidden="false" customHeight="false" outlineLevel="0" collapsed="false">
      <c r="A498" s="52"/>
      <c r="B498" s="51"/>
      <c r="C498" s="51" t="n">
        <v>1</v>
      </c>
      <c r="D498" s="51" t="n">
        <v>0</v>
      </c>
      <c r="E498" s="51"/>
      <c r="F498" s="51" t="n">
        <v>126</v>
      </c>
      <c r="G498" s="51" t="n">
        <v>0</v>
      </c>
      <c r="H498" s="51"/>
      <c r="I498" s="51"/>
      <c r="J498" s="51"/>
      <c r="K498" s="51"/>
      <c r="L498" s="51"/>
    </row>
    <row r="499" customFormat="false" ht="15" hidden="false" customHeight="false" outlineLevel="0" collapsed="false">
      <c r="A499" s="52"/>
      <c r="B499" s="51"/>
      <c r="C499" s="51" t="n">
        <v>1</v>
      </c>
      <c r="D499" s="51" t="n">
        <v>0</v>
      </c>
      <c r="E499" s="51"/>
      <c r="F499" s="51" t="n">
        <v>119</v>
      </c>
      <c r="G499" s="51" t="n">
        <v>263</v>
      </c>
      <c r="H499" s="51"/>
      <c r="I499" s="51"/>
      <c r="J499" s="51"/>
      <c r="K499" s="51"/>
      <c r="L499" s="51"/>
    </row>
    <row r="500" customFormat="false" ht="15" hidden="false" customHeight="false" outlineLevel="0" collapsed="false">
      <c r="A500" s="52"/>
      <c r="B500" s="51"/>
      <c r="C500" s="51" t="n">
        <v>1</v>
      </c>
      <c r="D500" s="51" t="n">
        <v>0</v>
      </c>
      <c r="E500" s="51"/>
      <c r="F500" s="51" t="n">
        <v>116</v>
      </c>
      <c r="G500" s="51" t="n">
        <v>0</v>
      </c>
      <c r="H500" s="51"/>
      <c r="I500" s="51"/>
      <c r="J500" s="51"/>
      <c r="K500" s="51"/>
      <c r="L500" s="51"/>
    </row>
    <row r="501" customFormat="false" ht="15" hidden="false" customHeight="false" outlineLevel="0" collapsed="false">
      <c r="A501" s="52"/>
      <c r="B501" s="51"/>
      <c r="C501" s="51" t="n">
        <v>1</v>
      </c>
      <c r="D501" s="51" t="n">
        <v>0</v>
      </c>
      <c r="E501" s="51"/>
      <c r="F501" s="51" t="n">
        <v>114</v>
      </c>
      <c r="G501" s="51" t="n">
        <v>0</v>
      </c>
      <c r="H501" s="51"/>
      <c r="I501" s="51"/>
      <c r="J501" s="51"/>
      <c r="K501" s="51"/>
      <c r="L501" s="51"/>
    </row>
    <row r="502" customFormat="false" ht="15" hidden="false" customHeight="false" outlineLevel="0" collapsed="false">
      <c r="A502" s="52"/>
      <c r="B502" s="51"/>
      <c r="C502" s="51" t="n">
        <v>1</v>
      </c>
      <c r="D502" s="51" t="n">
        <v>0</v>
      </c>
      <c r="E502" s="51"/>
      <c r="F502" s="51" t="n">
        <v>110</v>
      </c>
      <c r="G502" s="51" t="n">
        <v>0</v>
      </c>
      <c r="H502" s="51"/>
      <c r="I502" s="51"/>
      <c r="J502" s="51"/>
      <c r="K502" s="51"/>
      <c r="L502" s="51"/>
    </row>
    <row r="503" customFormat="false" ht="15" hidden="false" customHeight="false" outlineLevel="0" collapsed="false">
      <c r="A503" s="52"/>
      <c r="B503" s="51"/>
      <c r="C503" s="51" t="n">
        <v>1</v>
      </c>
      <c r="D503" s="51" t="n">
        <v>0</v>
      </c>
      <c r="E503" s="51"/>
      <c r="F503" s="51" t="n">
        <v>105</v>
      </c>
      <c r="G503" s="51" t="n">
        <v>8</v>
      </c>
      <c r="H503" s="51"/>
      <c r="I503" s="51"/>
      <c r="J503" s="51"/>
      <c r="K503" s="51"/>
      <c r="L503" s="51"/>
    </row>
    <row r="504" customFormat="false" ht="15" hidden="false" customHeight="false" outlineLevel="0" collapsed="false">
      <c r="A504" s="52"/>
      <c r="B504" s="51"/>
      <c r="C504" s="51" t="n">
        <v>1</v>
      </c>
      <c r="D504" s="51" t="n">
        <v>0</v>
      </c>
      <c r="E504" s="51"/>
      <c r="F504" s="51" t="n">
        <v>104</v>
      </c>
      <c r="G504" s="51" t="n">
        <v>0</v>
      </c>
      <c r="H504" s="51"/>
      <c r="I504" s="51"/>
      <c r="J504" s="51"/>
      <c r="K504" s="51"/>
      <c r="L504" s="51"/>
    </row>
    <row r="505" customFormat="false" ht="15" hidden="false" customHeight="false" outlineLevel="0" collapsed="false">
      <c r="A505" s="52"/>
      <c r="B505" s="51"/>
      <c r="C505" s="51" t="n">
        <v>1</v>
      </c>
      <c r="D505" s="51" t="n">
        <v>0</v>
      </c>
      <c r="E505" s="51"/>
      <c r="F505" s="51" t="n">
        <v>101</v>
      </c>
      <c r="G505" s="51" t="n">
        <v>0</v>
      </c>
      <c r="H505" s="51"/>
      <c r="I505" s="51"/>
      <c r="J505" s="51"/>
      <c r="K505" s="51"/>
      <c r="L505" s="51"/>
    </row>
    <row r="506" customFormat="false" ht="15" hidden="false" customHeight="false" outlineLevel="0" collapsed="false">
      <c r="A506" s="52"/>
      <c r="B506" s="51"/>
      <c r="C506" s="51" t="n">
        <v>1</v>
      </c>
      <c r="D506" s="51" t="n">
        <v>2</v>
      </c>
      <c r="E506" s="51"/>
      <c r="F506" s="51" t="n">
        <v>100</v>
      </c>
      <c r="G506" s="51" t="n">
        <v>108</v>
      </c>
      <c r="H506" s="51"/>
      <c r="I506" s="51"/>
      <c r="J506" s="51"/>
      <c r="K506" s="51"/>
      <c r="L506" s="51"/>
    </row>
    <row r="507" customFormat="false" ht="15" hidden="false" customHeight="false" outlineLevel="0" collapsed="false">
      <c r="A507" s="52"/>
      <c r="B507" s="51"/>
      <c r="C507" s="51" t="n">
        <v>1</v>
      </c>
      <c r="D507" s="51" t="n">
        <v>0</v>
      </c>
      <c r="E507" s="51"/>
      <c r="F507" s="51" t="n">
        <v>99</v>
      </c>
      <c r="G507" s="51" t="n">
        <v>0</v>
      </c>
      <c r="H507" s="51"/>
      <c r="I507" s="51"/>
      <c r="J507" s="51"/>
      <c r="K507" s="51"/>
      <c r="L507" s="51"/>
    </row>
    <row r="508" customFormat="false" ht="15" hidden="false" customHeight="false" outlineLevel="0" collapsed="false">
      <c r="A508" s="52"/>
      <c r="B508" s="51"/>
      <c r="C508" s="51" t="n">
        <v>1</v>
      </c>
      <c r="D508" s="51" t="n">
        <v>0</v>
      </c>
      <c r="E508" s="51"/>
      <c r="F508" s="51" t="n">
        <v>99</v>
      </c>
      <c r="G508" s="51" t="n">
        <v>0</v>
      </c>
      <c r="H508" s="51"/>
      <c r="I508" s="51"/>
      <c r="J508" s="51"/>
      <c r="K508" s="51"/>
      <c r="L508" s="51"/>
    </row>
    <row r="509" customFormat="false" ht="15" hidden="false" customHeight="false" outlineLevel="0" collapsed="false">
      <c r="A509" s="52"/>
      <c r="B509" s="51"/>
      <c r="C509" s="51" t="n">
        <v>1</v>
      </c>
      <c r="D509" s="51" t="n">
        <v>0</v>
      </c>
      <c r="E509" s="51"/>
      <c r="F509" s="51" t="n">
        <v>94</v>
      </c>
      <c r="G509" s="51" t="n">
        <v>0</v>
      </c>
      <c r="H509" s="51"/>
      <c r="I509" s="51"/>
      <c r="J509" s="51"/>
      <c r="K509" s="51"/>
      <c r="L509" s="51"/>
    </row>
    <row r="510" customFormat="false" ht="15" hidden="false" customHeight="false" outlineLevel="0" collapsed="false">
      <c r="A510" s="52"/>
      <c r="B510" s="51"/>
      <c r="C510" s="51" t="n">
        <v>1</v>
      </c>
      <c r="D510" s="51" t="n">
        <v>0</v>
      </c>
      <c r="E510" s="51"/>
      <c r="F510" s="51" t="n">
        <v>93</v>
      </c>
      <c r="G510" s="51" t="n">
        <v>0</v>
      </c>
      <c r="H510" s="51"/>
      <c r="I510" s="51"/>
      <c r="J510" s="51"/>
      <c r="K510" s="51"/>
      <c r="L510" s="51"/>
    </row>
    <row r="511" customFormat="false" ht="15" hidden="false" customHeight="false" outlineLevel="0" collapsed="false">
      <c r="A511" s="52"/>
      <c r="B511" s="51"/>
      <c r="C511" s="51" t="n">
        <v>1</v>
      </c>
      <c r="D511" s="51" t="n">
        <v>0</v>
      </c>
      <c r="E511" s="51"/>
      <c r="F511" s="51" t="n">
        <v>90</v>
      </c>
      <c r="G511" s="51" t="n">
        <v>0</v>
      </c>
      <c r="H511" s="51"/>
      <c r="I511" s="51"/>
      <c r="J511" s="51"/>
      <c r="K511" s="51"/>
      <c r="L511" s="51"/>
    </row>
    <row r="512" customFormat="false" ht="15" hidden="false" customHeight="false" outlineLevel="0" collapsed="false">
      <c r="A512" s="52"/>
      <c r="B512" s="51"/>
      <c r="C512" s="51" t="n">
        <v>1</v>
      </c>
      <c r="D512" s="51" t="n">
        <v>0</v>
      </c>
      <c r="E512" s="51"/>
      <c r="F512" s="51" t="n">
        <v>90</v>
      </c>
      <c r="G512" s="51" t="n">
        <v>0</v>
      </c>
      <c r="H512" s="51"/>
      <c r="I512" s="51"/>
      <c r="J512" s="51"/>
      <c r="K512" s="51"/>
      <c r="L512" s="51"/>
    </row>
    <row r="513" customFormat="false" ht="15" hidden="false" customHeight="false" outlineLevel="0" collapsed="false">
      <c r="A513" s="52"/>
      <c r="B513" s="51"/>
      <c r="C513" s="51" t="n">
        <v>1</v>
      </c>
      <c r="D513" s="51" t="n">
        <v>0</v>
      </c>
      <c r="E513" s="51"/>
      <c r="F513" s="51" t="n">
        <v>88</v>
      </c>
      <c r="G513" s="51" t="n">
        <v>0</v>
      </c>
      <c r="H513" s="51"/>
      <c r="I513" s="51"/>
      <c r="J513" s="51"/>
      <c r="K513" s="51"/>
      <c r="L513" s="51"/>
    </row>
    <row r="514" customFormat="false" ht="15" hidden="false" customHeight="false" outlineLevel="0" collapsed="false">
      <c r="A514" s="52"/>
      <c r="B514" s="51"/>
      <c r="C514" s="51" t="n">
        <v>1</v>
      </c>
      <c r="D514" s="51" t="n">
        <v>0</v>
      </c>
      <c r="E514" s="51"/>
      <c r="F514" s="51" t="n">
        <v>87</v>
      </c>
      <c r="G514" s="51" t="n">
        <v>0</v>
      </c>
      <c r="H514" s="51"/>
      <c r="I514" s="51"/>
      <c r="J514" s="51"/>
      <c r="K514" s="51"/>
      <c r="L514" s="51"/>
    </row>
    <row r="515" customFormat="false" ht="15" hidden="false" customHeight="false" outlineLevel="0" collapsed="false">
      <c r="A515" s="52"/>
      <c r="B515" s="51"/>
      <c r="C515" s="51" t="n">
        <v>1</v>
      </c>
      <c r="D515" s="51" t="n">
        <v>0</v>
      </c>
      <c r="E515" s="51"/>
      <c r="F515" s="51" t="n">
        <v>86</v>
      </c>
      <c r="G515" s="51" t="n">
        <v>0</v>
      </c>
      <c r="H515" s="51"/>
      <c r="I515" s="51"/>
      <c r="J515" s="51"/>
      <c r="K515" s="51"/>
      <c r="L515" s="51"/>
    </row>
    <row r="516" customFormat="false" ht="15" hidden="false" customHeight="false" outlineLevel="0" collapsed="false">
      <c r="A516" s="52"/>
      <c r="B516" s="51"/>
      <c r="C516" s="51" t="n">
        <v>1</v>
      </c>
      <c r="D516" s="51" t="n">
        <v>0</v>
      </c>
      <c r="E516" s="51"/>
      <c r="F516" s="51" t="n">
        <v>85</v>
      </c>
      <c r="G516" s="51" t="n">
        <v>0</v>
      </c>
      <c r="H516" s="51"/>
      <c r="I516" s="51"/>
      <c r="J516" s="51"/>
      <c r="K516" s="51"/>
      <c r="L516" s="51"/>
    </row>
    <row r="517" customFormat="false" ht="15" hidden="false" customHeight="false" outlineLevel="0" collapsed="false">
      <c r="A517" s="52"/>
      <c r="B517" s="51"/>
      <c r="C517" s="51" t="n">
        <v>1</v>
      </c>
      <c r="D517" s="51" t="n">
        <v>0</v>
      </c>
      <c r="E517" s="51"/>
      <c r="F517" s="51" t="n">
        <v>79</v>
      </c>
      <c r="G517" s="51" t="n">
        <v>0</v>
      </c>
      <c r="H517" s="51"/>
      <c r="I517" s="51"/>
      <c r="J517" s="51"/>
      <c r="K517" s="51"/>
      <c r="L517" s="51"/>
    </row>
    <row r="518" customFormat="false" ht="15" hidden="false" customHeight="false" outlineLevel="0" collapsed="false">
      <c r="A518" s="52"/>
      <c r="B518" s="51"/>
      <c r="C518" s="51" t="n">
        <v>1</v>
      </c>
      <c r="D518" s="51" t="n">
        <v>0</v>
      </c>
      <c r="E518" s="51"/>
      <c r="F518" s="51" t="n">
        <v>78</v>
      </c>
      <c r="G518" s="51" t="n">
        <v>0</v>
      </c>
      <c r="H518" s="51"/>
      <c r="I518" s="51"/>
      <c r="J518" s="51"/>
      <c r="K518" s="51"/>
      <c r="L518" s="51"/>
    </row>
    <row r="519" customFormat="false" ht="15" hidden="false" customHeight="false" outlineLevel="0" collapsed="false">
      <c r="A519" s="52"/>
      <c r="B519" s="51"/>
      <c r="C519" s="51" t="n">
        <v>1</v>
      </c>
      <c r="D519" s="51" t="n">
        <v>0</v>
      </c>
      <c r="E519" s="51"/>
      <c r="F519" s="51" t="n">
        <v>78</v>
      </c>
      <c r="G519" s="51" t="n">
        <v>96</v>
      </c>
      <c r="H519" s="51"/>
      <c r="I519" s="51"/>
      <c r="J519" s="51"/>
      <c r="K519" s="51"/>
      <c r="L519" s="51"/>
    </row>
    <row r="520" customFormat="false" ht="15" hidden="false" customHeight="false" outlineLevel="0" collapsed="false">
      <c r="A520" s="52"/>
      <c r="B520" s="51"/>
      <c r="C520" s="51" t="n">
        <v>1</v>
      </c>
      <c r="D520" s="51" t="n">
        <v>0</v>
      </c>
      <c r="E520" s="51"/>
      <c r="F520" s="51" t="n">
        <v>76</v>
      </c>
      <c r="G520" s="51" t="n">
        <v>0</v>
      </c>
      <c r="H520" s="51"/>
      <c r="I520" s="51"/>
      <c r="J520" s="51"/>
      <c r="K520" s="51"/>
      <c r="L520" s="51"/>
    </row>
    <row r="521" customFormat="false" ht="15" hidden="false" customHeight="false" outlineLevel="0" collapsed="false">
      <c r="A521" s="52"/>
      <c r="B521" s="51"/>
      <c r="C521" s="51" t="n">
        <v>1</v>
      </c>
      <c r="D521" s="51" t="n">
        <v>0</v>
      </c>
      <c r="E521" s="51"/>
      <c r="F521" s="51" t="n">
        <v>73</v>
      </c>
      <c r="G521" s="51" t="n">
        <v>56</v>
      </c>
      <c r="H521" s="51"/>
      <c r="I521" s="51"/>
      <c r="J521" s="51"/>
      <c r="K521" s="51"/>
      <c r="L521" s="51"/>
    </row>
    <row r="522" customFormat="false" ht="15" hidden="false" customHeight="false" outlineLevel="0" collapsed="false">
      <c r="A522" s="52"/>
      <c r="B522" s="51"/>
      <c r="C522" s="51" t="n">
        <v>1</v>
      </c>
      <c r="D522" s="51" t="n">
        <v>0</v>
      </c>
      <c r="E522" s="51"/>
      <c r="F522" s="51" t="n">
        <v>68</v>
      </c>
      <c r="G522" s="51" t="n">
        <v>16</v>
      </c>
      <c r="H522" s="51"/>
      <c r="I522" s="51"/>
      <c r="J522" s="51"/>
      <c r="K522" s="51"/>
      <c r="L522" s="51"/>
    </row>
    <row r="523" customFormat="false" ht="15" hidden="false" customHeight="false" outlineLevel="0" collapsed="false">
      <c r="A523" s="52"/>
      <c r="B523" s="51"/>
      <c r="C523" s="51" t="n">
        <v>1</v>
      </c>
      <c r="D523" s="51" t="n">
        <v>1</v>
      </c>
      <c r="E523" s="51"/>
      <c r="F523" s="51" t="n">
        <v>68</v>
      </c>
      <c r="G523" s="51" t="n">
        <v>808</v>
      </c>
      <c r="H523" s="51"/>
      <c r="I523" s="51"/>
      <c r="J523" s="51"/>
      <c r="K523" s="51"/>
      <c r="L523" s="51"/>
    </row>
    <row r="524" customFormat="false" ht="15" hidden="false" customHeight="false" outlineLevel="0" collapsed="false">
      <c r="A524" s="52"/>
      <c r="B524" s="51"/>
      <c r="C524" s="51" t="n">
        <v>1</v>
      </c>
      <c r="D524" s="51" t="n">
        <v>0</v>
      </c>
      <c r="E524" s="51"/>
      <c r="F524" s="51" t="n">
        <v>67</v>
      </c>
      <c r="G524" s="51" t="n">
        <v>0</v>
      </c>
      <c r="H524" s="51"/>
      <c r="I524" s="51"/>
      <c r="J524" s="51"/>
      <c r="K524" s="51"/>
      <c r="L524" s="51"/>
    </row>
    <row r="525" customFormat="false" ht="15" hidden="false" customHeight="false" outlineLevel="0" collapsed="false">
      <c r="A525" s="52"/>
      <c r="B525" s="51"/>
      <c r="C525" s="51" t="n">
        <v>1</v>
      </c>
      <c r="D525" s="51" t="n">
        <v>2</v>
      </c>
      <c r="E525" s="51"/>
      <c r="F525" s="51" t="n">
        <v>64</v>
      </c>
      <c r="G525" s="51" t="n">
        <v>18</v>
      </c>
      <c r="H525" s="51"/>
      <c r="I525" s="51"/>
      <c r="J525" s="51"/>
      <c r="K525" s="51"/>
      <c r="L525" s="51"/>
    </row>
    <row r="526" customFormat="false" ht="15" hidden="false" customHeight="false" outlineLevel="0" collapsed="false">
      <c r="A526" s="52"/>
      <c r="B526" s="51"/>
      <c r="C526" s="51" t="n">
        <v>1</v>
      </c>
      <c r="D526" s="51" t="n">
        <v>0</v>
      </c>
      <c r="E526" s="51"/>
      <c r="F526" s="51" t="n">
        <v>64</v>
      </c>
      <c r="G526" s="51" t="n">
        <v>0</v>
      </c>
      <c r="H526" s="51"/>
      <c r="I526" s="51"/>
      <c r="J526" s="51"/>
      <c r="K526" s="51"/>
      <c r="L526" s="51"/>
    </row>
    <row r="527" customFormat="false" ht="15" hidden="false" customHeight="false" outlineLevel="0" collapsed="false">
      <c r="A527" s="52"/>
      <c r="B527" s="51"/>
      <c r="C527" s="51" t="n">
        <v>1</v>
      </c>
      <c r="D527" s="51" t="n">
        <v>0</v>
      </c>
      <c r="E527" s="51"/>
      <c r="F527" s="51" t="n">
        <v>63</v>
      </c>
      <c r="G527" s="51" t="n">
        <v>0</v>
      </c>
      <c r="H527" s="51"/>
      <c r="I527" s="51"/>
      <c r="J527" s="51"/>
      <c r="K527" s="51"/>
      <c r="L527" s="51"/>
    </row>
    <row r="528" customFormat="false" ht="15" hidden="false" customHeight="false" outlineLevel="0" collapsed="false">
      <c r="A528" s="52"/>
      <c r="B528" s="51"/>
      <c r="C528" s="51" t="n">
        <v>1</v>
      </c>
      <c r="D528" s="51" t="n">
        <v>0</v>
      </c>
      <c r="E528" s="51"/>
      <c r="F528" s="51" t="n">
        <v>60</v>
      </c>
      <c r="G528" s="51" t="n">
        <v>10</v>
      </c>
      <c r="H528" s="51"/>
      <c r="I528" s="51"/>
      <c r="J528" s="51"/>
      <c r="K528" s="51"/>
      <c r="L528" s="51"/>
    </row>
    <row r="529" customFormat="false" ht="15" hidden="false" customHeight="false" outlineLevel="0" collapsed="false">
      <c r="A529" s="52"/>
      <c r="B529" s="51"/>
      <c r="C529" s="51" t="n">
        <v>1</v>
      </c>
      <c r="D529" s="51" t="n">
        <v>0</v>
      </c>
      <c r="E529" s="51"/>
      <c r="F529" s="51" t="n">
        <v>59</v>
      </c>
      <c r="G529" s="51" t="n">
        <v>0</v>
      </c>
      <c r="H529" s="51"/>
      <c r="I529" s="51"/>
      <c r="J529" s="51"/>
      <c r="K529" s="51"/>
      <c r="L529" s="51"/>
    </row>
    <row r="530" customFormat="false" ht="15" hidden="false" customHeight="false" outlineLevel="0" collapsed="false">
      <c r="A530" s="52"/>
      <c r="B530" s="51"/>
      <c r="C530" s="51" t="n">
        <v>1</v>
      </c>
      <c r="D530" s="51" t="n">
        <v>0</v>
      </c>
      <c r="E530" s="51"/>
      <c r="F530" s="51" t="n">
        <v>57</v>
      </c>
      <c r="G530" s="51" t="n">
        <v>0</v>
      </c>
      <c r="H530" s="51"/>
      <c r="I530" s="51"/>
      <c r="J530" s="51"/>
      <c r="K530" s="51"/>
      <c r="L530" s="51"/>
    </row>
    <row r="531" customFormat="false" ht="15" hidden="false" customHeight="false" outlineLevel="0" collapsed="false">
      <c r="A531" s="52"/>
      <c r="B531" s="51"/>
      <c r="C531" s="51" t="n">
        <v>1</v>
      </c>
      <c r="D531" s="51" t="n">
        <v>0</v>
      </c>
      <c r="E531" s="51"/>
      <c r="F531" s="51" t="n">
        <v>56</v>
      </c>
      <c r="G531" s="51" t="n">
        <v>37</v>
      </c>
      <c r="H531" s="51"/>
      <c r="I531" s="51"/>
      <c r="J531" s="51"/>
      <c r="K531" s="51"/>
      <c r="L531" s="51"/>
    </row>
    <row r="532" customFormat="false" ht="15" hidden="false" customHeight="false" outlineLevel="0" collapsed="false">
      <c r="A532" s="52"/>
      <c r="B532" s="51"/>
      <c r="C532" s="51" t="n">
        <v>1</v>
      </c>
      <c r="D532" s="51" t="n">
        <v>0</v>
      </c>
      <c r="E532" s="51"/>
      <c r="F532" s="51" t="n">
        <v>55</v>
      </c>
      <c r="G532" s="51" t="n">
        <v>18</v>
      </c>
      <c r="H532" s="51"/>
      <c r="I532" s="51"/>
      <c r="J532" s="51"/>
      <c r="K532" s="51"/>
      <c r="L532" s="51"/>
    </row>
    <row r="533" customFormat="false" ht="15" hidden="false" customHeight="false" outlineLevel="0" collapsed="false">
      <c r="A533" s="46"/>
      <c r="B533" s="49" t="s">
        <v>6543</v>
      </c>
      <c r="C533" s="48" t="n">
        <v>1</v>
      </c>
      <c r="D533" s="48" t="n">
        <v>0</v>
      </c>
      <c r="E533" s="48" t="n">
        <f aca="false">C533-D533</f>
        <v>1</v>
      </c>
      <c r="F533" s="48" t="n">
        <v>53</v>
      </c>
      <c r="G533" s="48" t="n">
        <v>0</v>
      </c>
      <c r="H533" s="48" t="n">
        <f aca="false">F533-G533</f>
        <v>53</v>
      </c>
      <c r="I533" s="51"/>
      <c r="J533" s="51"/>
      <c r="K533" s="51"/>
      <c r="L533" s="51"/>
    </row>
    <row r="534" customFormat="false" ht="15" hidden="false" customHeight="false" outlineLevel="0" collapsed="false">
      <c r="A534" s="52"/>
      <c r="B534" s="51"/>
      <c r="C534" s="51" t="n">
        <v>1</v>
      </c>
      <c r="D534" s="51" t="n">
        <v>0</v>
      </c>
      <c r="E534" s="51"/>
      <c r="F534" s="51" t="n">
        <v>52</v>
      </c>
      <c r="G534" s="51" t="n">
        <v>0</v>
      </c>
      <c r="H534" s="51"/>
      <c r="I534" s="51"/>
      <c r="J534" s="51"/>
      <c r="K534" s="51"/>
      <c r="L534" s="51"/>
    </row>
    <row r="535" customFormat="false" ht="15" hidden="false" customHeight="false" outlineLevel="0" collapsed="false">
      <c r="A535" s="52"/>
      <c r="B535" s="51"/>
      <c r="C535" s="51" t="n">
        <v>1</v>
      </c>
      <c r="D535" s="51" t="n">
        <v>0</v>
      </c>
      <c r="E535" s="51"/>
      <c r="F535" s="51" t="n">
        <v>50</v>
      </c>
      <c r="G535" s="51" t="n">
        <v>84</v>
      </c>
      <c r="H535" s="51"/>
      <c r="I535" s="51"/>
      <c r="J535" s="51"/>
      <c r="K535" s="51"/>
      <c r="L535" s="51"/>
    </row>
    <row r="536" customFormat="false" ht="15" hidden="false" customHeight="false" outlineLevel="0" collapsed="false">
      <c r="A536" s="52"/>
      <c r="B536" s="51"/>
      <c r="C536" s="51" t="n">
        <v>1</v>
      </c>
      <c r="D536" s="51" t="n">
        <v>0</v>
      </c>
      <c r="E536" s="51"/>
      <c r="F536" s="51" t="n">
        <v>47</v>
      </c>
      <c r="G536" s="51" t="n">
        <v>19</v>
      </c>
      <c r="H536" s="51"/>
      <c r="I536" s="51"/>
      <c r="J536" s="51"/>
      <c r="K536" s="51"/>
      <c r="L536" s="51"/>
    </row>
    <row r="537" customFormat="false" ht="15" hidden="false" customHeight="false" outlineLevel="0" collapsed="false">
      <c r="A537" s="52"/>
      <c r="B537" s="51"/>
      <c r="C537" s="51" t="n">
        <v>1</v>
      </c>
      <c r="D537" s="51" t="n">
        <v>0</v>
      </c>
      <c r="E537" s="51"/>
      <c r="F537" s="51" t="n">
        <v>45</v>
      </c>
      <c r="G537" s="51" t="n">
        <v>0</v>
      </c>
      <c r="H537" s="51"/>
      <c r="I537" s="51"/>
      <c r="J537" s="51"/>
      <c r="K537" s="51"/>
      <c r="L537" s="51"/>
    </row>
    <row r="538" customFormat="false" ht="15" hidden="false" customHeight="false" outlineLevel="0" collapsed="false">
      <c r="A538" s="52"/>
      <c r="B538" s="51"/>
      <c r="C538" s="51" t="n">
        <v>1</v>
      </c>
      <c r="D538" s="51" t="n">
        <v>0</v>
      </c>
      <c r="E538" s="51"/>
      <c r="F538" s="51" t="n">
        <v>44</v>
      </c>
      <c r="G538" s="51" t="n">
        <v>0</v>
      </c>
      <c r="H538" s="51"/>
      <c r="I538" s="51"/>
      <c r="J538" s="51"/>
      <c r="K538" s="51"/>
      <c r="L538" s="51"/>
    </row>
    <row r="539" customFormat="false" ht="15" hidden="false" customHeight="false" outlineLevel="0" collapsed="false">
      <c r="A539" s="52"/>
      <c r="B539" s="51"/>
      <c r="C539" s="51" t="n">
        <v>1</v>
      </c>
      <c r="D539" s="51" t="n">
        <v>0</v>
      </c>
      <c r="E539" s="51"/>
      <c r="F539" s="51" t="n">
        <v>42</v>
      </c>
      <c r="G539" s="51" t="n">
        <v>0</v>
      </c>
      <c r="H539" s="51"/>
      <c r="I539" s="51"/>
      <c r="J539" s="51"/>
      <c r="K539" s="51"/>
      <c r="L539" s="51"/>
    </row>
    <row r="540" customFormat="false" ht="15" hidden="false" customHeight="false" outlineLevel="0" collapsed="false">
      <c r="A540" s="52"/>
      <c r="B540" s="51"/>
      <c r="C540" s="51" t="n">
        <v>1</v>
      </c>
      <c r="D540" s="51" t="n">
        <v>0</v>
      </c>
      <c r="E540" s="51"/>
      <c r="F540" s="51" t="n">
        <v>42</v>
      </c>
      <c r="G540" s="51" t="n">
        <v>0</v>
      </c>
      <c r="H540" s="51"/>
      <c r="I540" s="51"/>
      <c r="J540" s="51"/>
      <c r="K540" s="51"/>
      <c r="L540" s="51"/>
    </row>
    <row r="541" customFormat="false" ht="15" hidden="false" customHeight="false" outlineLevel="0" collapsed="false">
      <c r="A541" s="52"/>
      <c r="B541" s="51"/>
      <c r="C541" s="51" t="n">
        <v>1</v>
      </c>
      <c r="D541" s="51" t="n">
        <v>0</v>
      </c>
      <c r="E541" s="51"/>
      <c r="F541" s="51" t="n">
        <v>38</v>
      </c>
      <c r="G541" s="51" t="n">
        <v>0</v>
      </c>
      <c r="H541" s="51"/>
      <c r="I541" s="51"/>
      <c r="J541" s="51"/>
      <c r="K541" s="51"/>
      <c r="L541" s="51"/>
    </row>
    <row r="542" customFormat="false" ht="15" hidden="false" customHeight="false" outlineLevel="0" collapsed="false">
      <c r="A542" s="52"/>
      <c r="B542" s="51"/>
      <c r="C542" s="51" t="n">
        <v>1</v>
      </c>
      <c r="D542" s="51" t="n">
        <v>0</v>
      </c>
      <c r="E542" s="51"/>
      <c r="F542" s="51" t="n">
        <v>37</v>
      </c>
      <c r="G542" s="51" t="n">
        <v>0</v>
      </c>
      <c r="H542" s="51"/>
      <c r="I542" s="51"/>
      <c r="J542" s="51"/>
      <c r="K542" s="51"/>
      <c r="L542" s="51"/>
    </row>
    <row r="543" customFormat="false" ht="15" hidden="false" customHeight="false" outlineLevel="0" collapsed="false">
      <c r="A543" s="52"/>
      <c r="B543" s="51"/>
      <c r="C543" s="51" t="n">
        <v>1</v>
      </c>
      <c r="D543" s="51" t="n">
        <v>0</v>
      </c>
      <c r="E543" s="51"/>
      <c r="F543" s="51" t="n">
        <v>36</v>
      </c>
      <c r="G543" s="51" t="n">
        <v>0</v>
      </c>
      <c r="H543" s="51"/>
      <c r="I543" s="51"/>
      <c r="J543" s="51"/>
      <c r="K543" s="51"/>
      <c r="L543" s="51"/>
    </row>
    <row r="544" customFormat="false" ht="15" hidden="false" customHeight="false" outlineLevel="0" collapsed="false">
      <c r="A544" s="52"/>
      <c r="B544" s="51"/>
      <c r="C544" s="51" t="n">
        <v>1</v>
      </c>
      <c r="D544" s="51" t="n">
        <v>3</v>
      </c>
      <c r="E544" s="51"/>
      <c r="F544" s="51" t="n">
        <v>36</v>
      </c>
      <c r="G544" s="51" t="n">
        <v>40</v>
      </c>
      <c r="H544" s="51"/>
      <c r="I544" s="51"/>
      <c r="J544" s="51"/>
      <c r="K544" s="51"/>
      <c r="L544" s="51"/>
    </row>
    <row r="545" customFormat="false" ht="15" hidden="false" customHeight="false" outlineLevel="0" collapsed="false">
      <c r="A545" s="52"/>
      <c r="B545" s="51"/>
      <c r="C545" s="51" t="n">
        <v>1</v>
      </c>
      <c r="D545" s="51" t="n">
        <v>0</v>
      </c>
      <c r="E545" s="51"/>
      <c r="F545" s="51" t="n">
        <v>30</v>
      </c>
      <c r="G545" s="51" t="n">
        <v>0</v>
      </c>
      <c r="H545" s="51"/>
      <c r="I545" s="51"/>
      <c r="J545" s="51"/>
      <c r="K545" s="51"/>
      <c r="L545" s="51"/>
    </row>
    <row r="546" customFormat="false" ht="15" hidden="false" customHeight="false" outlineLevel="0" collapsed="false">
      <c r="A546" s="52"/>
      <c r="B546" s="51"/>
      <c r="C546" s="51" t="n">
        <v>1</v>
      </c>
      <c r="D546" s="51" t="n">
        <v>0</v>
      </c>
      <c r="E546" s="51"/>
      <c r="F546" s="51" t="n">
        <v>28</v>
      </c>
      <c r="G546" s="51" t="n">
        <v>0</v>
      </c>
      <c r="H546" s="51"/>
      <c r="I546" s="51"/>
      <c r="J546" s="51"/>
      <c r="K546" s="51"/>
      <c r="L546" s="51"/>
    </row>
    <row r="547" customFormat="false" ht="15" hidden="false" customHeight="false" outlineLevel="0" collapsed="false">
      <c r="A547" s="52"/>
      <c r="B547" s="51"/>
      <c r="C547" s="51" t="n">
        <v>1</v>
      </c>
      <c r="D547" s="51" t="n">
        <v>0</v>
      </c>
      <c r="E547" s="51"/>
      <c r="F547" s="51" t="n">
        <v>28</v>
      </c>
      <c r="G547" s="51" t="n">
        <v>0</v>
      </c>
      <c r="H547" s="51"/>
      <c r="I547" s="51"/>
      <c r="J547" s="51"/>
      <c r="K547" s="51"/>
      <c r="L547" s="51"/>
    </row>
    <row r="548" customFormat="false" ht="15" hidden="false" customHeight="false" outlineLevel="0" collapsed="false">
      <c r="A548" s="52"/>
      <c r="B548" s="51"/>
      <c r="C548" s="51" t="n">
        <v>1</v>
      </c>
      <c r="D548" s="51" t="n">
        <v>0</v>
      </c>
      <c r="E548" s="51"/>
      <c r="F548" s="51" t="n">
        <v>27</v>
      </c>
      <c r="G548" s="51" t="n">
        <v>0</v>
      </c>
      <c r="H548" s="51"/>
      <c r="I548" s="51"/>
      <c r="J548" s="51"/>
      <c r="K548" s="51"/>
      <c r="L548" s="51"/>
    </row>
    <row r="549" customFormat="false" ht="15" hidden="false" customHeight="false" outlineLevel="0" collapsed="false">
      <c r="A549" s="52"/>
      <c r="B549" s="51"/>
      <c r="C549" s="51" t="n">
        <v>1</v>
      </c>
      <c r="D549" s="51" t="n">
        <v>0</v>
      </c>
      <c r="E549" s="51"/>
      <c r="F549" s="51" t="n">
        <v>27</v>
      </c>
      <c r="G549" s="51" t="n">
        <v>0</v>
      </c>
      <c r="H549" s="51"/>
      <c r="I549" s="51"/>
      <c r="J549" s="51"/>
      <c r="K549" s="51"/>
      <c r="L549" s="51"/>
    </row>
    <row r="550" customFormat="false" ht="15" hidden="false" customHeight="false" outlineLevel="0" collapsed="false">
      <c r="A550" s="52"/>
      <c r="B550" s="51"/>
      <c r="C550" s="51" t="n">
        <v>1</v>
      </c>
      <c r="D550" s="51" t="n">
        <v>0</v>
      </c>
      <c r="E550" s="51"/>
      <c r="F550" s="51" t="n">
        <v>27</v>
      </c>
      <c r="G550" s="51" t="n">
        <v>12</v>
      </c>
      <c r="H550" s="51"/>
      <c r="I550" s="51"/>
      <c r="J550" s="51"/>
      <c r="K550" s="51"/>
      <c r="L550" s="51"/>
    </row>
    <row r="551" customFormat="false" ht="15" hidden="false" customHeight="false" outlineLevel="0" collapsed="false">
      <c r="A551" s="52"/>
      <c r="B551" s="51"/>
      <c r="C551" s="51" t="n">
        <v>1</v>
      </c>
      <c r="D551" s="51" t="n">
        <v>1</v>
      </c>
      <c r="E551" s="51"/>
      <c r="F551" s="51" t="n">
        <v>27</v>
      </c>
      <c r="G551" s="51" t="n">
        <v>96</v>
      </c>
      <c r="H551" s="51"/>
      <c r="I551" s="51"/>
      <c r="J551" s="51"/>
      <c r="K551" s="51"/>
      <c r="L551" s="51"/>
    </row>
    <row r="552" customFormat="false" ht="15" hidden="false" customHeight="false" outlineLevel="0" collapsed="false">
      <c r="A552" s="52"/>
      <c r="B552" s="51"/>
      <c r="C552" s="51" t="n">
        <v>1</v>
      </c>
      <c r="D552" s="51" t="n">
        <v>0</v>
      </c>
      <c r="E552" s="51"/>
      <c r="F552" s="51" t="n">
        <v>25</v>
      </c>
      <c r="G552" s="51" t="n">
        <v>0</v>
      </c>
      <c r="H552" s="51"/>
      <c r="I552" s="51"/>
      <c r="J552" s="51"/>
      <c r="K552" s="51"/>
      <c r="L552" s="51"/>
    </row>
    <row r="553" customFormat="false" ht="15" hidden="false" customHeight="false" outlineLevel="0" collapsed="false">
      <c r="A553" s="52"/>
      <c r="B553" s="51"/>
      <c r="C553" s="51" t="n">
        <v>1</v>
      </c>
      <c r="D553" s="51" t="n">
        <v>0</v>
      </c>
      <c r="E553" s="51"/>
      <c r="F553" s="51" t="n">
        <v>24</v>
      </c>
      <c r="G553" s="51" t="n">
        <v>40</v>
      </c>
      <c r="H553" s="51"/>
      <c r="I553" s="51"/>
      <c r="J553" s="51"/>
      <c r="K553" s="51"/>
      <c r="L553" s="51"/>
    </row>
    <row r="554" customFormat="false" ht="15" hidden="false" customHeight="false" outlineLevel="0" collapsed="false">
      <c r="A554" s="52"/>
      <c r="B554" s="51"/>
      <c r="C554" s="51" t="n">
        <v>1</v>
      </c>
      <c r="D554" s="51" t="n">
        <v>0</v>
      </c>
      <c r="E554" s="51"/>
      <c r="F554" s="51" t="n">
        <v>22</v>
      </c>
      <c r="G554" s="51" t="n">
        <v>0</v>
      </c>
      <c r="H554" s="51"/>
      <c r="I554" s="51"/>
      <c r="J554" s="51"/>
      <c r="K554" s="51"/>
      <c r="L554" s="51"/>
    </row>
    <row r="555" customFormat="false" ht="15" hidden="false" customHeight="false" outlineLevel="0" collapsed="false">
      <c r="A555" s="52"/>
      <c r="B555" s="51"/>
      <c r="C555" s="51" t="n">
        <v>1</v>
      </c>
      <c r="D555" s="51" t="n">
        <v>0</v>
      </c>
      <c r="E555" s="51"/>
      <c r="F555" s="51" t="n">
        <v>20</v>
      </c>
      <c r="G555" s="51" t="n">
        <v>0</v>
      </c>
      <c r="H555" s="51"/>
      <c r="I555" s="51"/>
      <c r="J555" s="51"/>
      <c r="K555" s="51"/>
      <c r="L555" s="51"/>
    </row>
    <row r="556" customFormat="false" ht="15" hidden="false" customHeight="false" outlineLevel="0" collapsed="false">
      <c r="A556" s="52"/>
      <c r="B556" s="51"/>
      <c r="C556" s="51" t="n">
        <v>1</v>
      </c>
      <c r="D556" s="51" t="n">
        <v>0</v>
      </c>
      <c r="E556" s="51"/>
      <c r="F556" s="51" t="n">
        <v>19</v>
      </c>
      <c r="G556" s="51" t="n">
        <v>7</v>
      </c>
      <c r="H556" s="51"/>
      <c r="I556" s="51"/>
      <c r="J556" s="51"/>
      <c r="K556" s="51"/>
      <c r="L556" s="51"/>
    </row>
    <row r="557" customFormat="false" ht="15" hidden="false" customHeight="false" outlineLevel="0" collapsed="false">
      <c r="A557" s="52"/>
      <c r="B557" s="51"/>
      <c r="C557" s="51" t="n">
        <v>1</v>
      </c>
      <c r="D557" s="51" t="n">
        <v>0</v>
      </c>
      <c r="E557" s="51"/>
      <c r="F557" s="51" t="n">
        <v>19</v>
      </c>
      <c r="G557" s="51" t="n">
        <v>0</v>
      </c>
      <c r="H557" s="51"/>
      <c r="I557" s="51"/>
      <c r="J557" s="51"/>
      <c r="K557" s="51"/>
      <c r="L557" s="51"/>
    </row>
    <row r="558" customFormat="false" ht="15" hidden="false" customHeight="false" outlineLevel="0" collapsed="false">
      <c r="A558" s="52"/>
      <c r="B558" s="51"/>
      <c r="C558" s="51" t="n">
        <v>1</v>
      </c>
      <c r="D558" s="51" t="n">
        <v>0</v>
      </c>
      <c r="E558" s="51"/>
      <c r="F558" s="51" t="n">
        <v>17</v>
      </c>
      <c r="G558" s="51" t="n">
        <v>0</v>
      </c>
      <c r="H558" s="51"/>
      <c r="I558" s="51"/>
      <c r="J558" s="51"/>
      <c r="K558" s="51"/>
      <c r="L558" s="51"/>
    </row>
    <row r="559" customFormat="false" ht="15" hidden="false" customHeight="false" outlineLevel="0" collapsed="false">
      <c r="A559" s="52"/>
      <c r="B559" s="51"/>
      <c r="C559" s="51" t="n">
        <v>1</v>
      </c>
      <c r="D559" s="51" t="n">
        <v>0</v>
      </c>
      <c r="E559" s="51"/>
      <c r="F559" s="51" t="n">
        <v>16</v>
      </c>
      <c r="G559" s="51" t="n">
        <v>20</v>
      </c>
      <c r="H559" s="51"/>
      <c r="I559" s="51"/>
      <c r="J559" s="51"/>
      <c r="K559" s="51"/>
      <c r="L559" s="51"/>
    </row>
    <row r="560" customFormat="false" ht="15" hidden="false" customHeight="false" outlineLevel="0" collapsed="false">
      <c r="A560" s="52"/>
      <c r="B560" s="51"/>
      <c r="C560" s="51" t="n">
        <v>1</v>
      </c>
      <c r="D560" s="51" t="n">
        <v>0</v>
      </c>
      <c r="E560" s="51"/>
      <c r="F560" s="51" t="n">
        <v>13</v>
      </c>
      <c r="G560" s="51" t="n">
        <v>0</v>
      </c>
      <c r="H560" s="51"/>
      <c r="I560" s="51"/>
      <c r="J560" s="51"/>
      <c r="K560" s="51"/>
      <c r="L560" s="51"/>
    </row>
    <row r="561" customFormat="false" ht="15" hidden="false" customHeight="false" outlineLevel="0" collapsed="false">
      <c r="A561" s="52"/>
      <c r="B561" s="51"/>
      <c r="C561" s="51" t="n">
        <v>1</v>
      </c>
      <c r="D561" s="51" t="n">
        <v>0</v>
      </c>
      <c r="E561" s="51"/>
      <c r="F561" s="51" t="n">
        <v>11</v>
      </c>
      <c r="G561" s="51" t="n">
        <v>0</v>
      </c>
      <c r="H561" s="51"/>
      <c r="I561" s="51"/>
      <c r="J561" s="51"/>
      <c r="K561" s="51"/>
      <c r="L561" s="51"/>
    </row>
    <row r="562" customFormat="false" ht="15" hidden="false" customHeight="false" outlineLevel="0" collapsed="false">
      <c r="A562" s="52"/>
      <c r="B562" s="51"/>
      <c r="C562" s="51" t="n">
        <v>1</v>
      </c>
      <c r="D562" s="51" t="n">
        <v>0</v>
      </c>
      <c r="E562" s="51"/>
      <c r="F562" s="51" t="n">
        <v>10</v>
      </c>
      <c r="G562" s="51" t="n">
        <v>22</v>
      </c>
      <c r="H562" s="51"/>
      <c r="I562" s="51"/>
      <c r="J562" s="51"/>
      <c r="K562" s="51"/>
      <c r="L562" s="51"/>
    </row>
    <row r="563" customFormat="false" ht="15" hidden="false" customHeight="false" outlineLevel="0" collapsed="false">
      <c r="A563" s="52"/>
      <c r="B563" s="51"/>
      <c r="C563" s="51" t="n">
        <v>1</v>
      </c>
      <c r="D563" s="51" t="n">
        <v>0</v>
      </c>
      <c r="E563" s="51"/>
      <c r="F563" s="51" t="n">
        <v>9</v>
      </c>
      <c r="G563" s="51" t="n">
        <v>0</v>
      </c>
      <c r="H563" s="51"/>
      <c r="I563" s="51"/>
      <c r="J563" s="51"/>
      <c r="K563" s="51"/>
      <c r="L563" s="51"/>
    </row>
    <row r="564" customFormat="false" ht="15" hidden="false" customHeight="false" outlineLevel="0" collapsed="false">
      <c r="A564" s="52"/>
      <c r="B564" s="51"/>
      <c r="C564" s="51" t="n">
        <v>1</v>
      </c>
      <c r="D564" s="51" t="n">
        <v>0</v>
      </c>
      <c r="E564" s="51"/>
      <c r="F564" s="51" t="n">
        <v>9</v>
      </c>
      <c r="G564" s="51" t="n">
        <v>0</v>
      </c>
      <c r="H564" s="51"/>
      <c r="I564" s="51"/>
      <c r="J564" s="51"/>
      <c r="K564" s="51"/>
      <c r="L564" s="51"/>
    </row>
    <row r="565" customFormat="false" ht="15" hidden="false" customHeight="false" outlineLevel="0" collapsed="false">
      <c r="A565" s="52"/>
      <c r="B565" s="51"/>
      <c r="C565" s="51" t="n">
        <v>1</v>
      </c>
      <c r="D565" s="51" t="n">
        <v>0</v>
      </c>
      <c r="E565" s="51"/>
      <c r="F565" s="51" t="n">
        <v>6</v>
      </c>
      <c r="G565" s="51" t="n">
        <v>0</v>
      </c>
      <c r="H565" s="51"/>
      <c r="I565" s="51"/>
      <c r="J565" s="51"/>
      <c r="K565" s="51"/>
      <c r="L565" s="51"/>
    </row>
    <row r="566" customFormat="false" ht="15" hidden="false" customHeight="false" outlineLevel="0" collapsed="false">
      <c r="A566" s="46"/>
      <c r="B566" s="49" t="s">
        <v>6544</v>
      </c>
      <c r="C566" s="48" t="n">
        <v>0</v>
      </c>
      <c r="D566" s="48" t="n">
        <v>4</v>
      </c>
      <c r="E566" s="48" t="n">
        <f aca="false">C566-D566</f>
        <v>-4</v>
      </c>
      <c r="F566" s="48" t="n">
        <v>1842</v>
      </c>
      <c r="G566" s="48" t="n">
        <v>14280</v>
      </c>
      <c r="H566" s="48" t="n">
        <f aca="false">F566-G566</f>
        <v>-12438</v>
      </c>
      <c r="I566" s="51"/>
      <c r="J566" s="51"/>
      <c r="K566" s="51"/>
      <c r="L566" s="51"/>
    </row>
    <row r="567" customFormat="false" ht="15" hidden="false" customHeight="false" outlineLevel="0" collapsed="false">
      <c r="A567" s="52"/>
      <c r="B567" s="51"/>
      <c r="C567" s="51" t="n">
        <v>0</v>
      </c>
      <c r="D567" s="51" t="n">
        <v>2</v>
      </c>
      <c r="E567" s="51"/>
      <c r="F567" s="51" t="n">
        <v>1761</v>
      </c>
      <c r="G567" s="51" t="n">
        <v>3502</v>
      </c>
      <c r="H567" s="51"/>
      <c r="I567" s="51"/>
      <c r="J567" s="51"/>
      <c r="K567" s="51"/>
      <c r="L567" s="51"/>
    </row>
    <row r="568" customFormat="false" ht="15" hidden="false" customHeight="false" outlineLevel="0" collapsed="false">
      <c r="A568" s="52"/>
      <c r="B568" s="51"/>
      <c r="C568" s="51" t="n">
        <v>0</v>
      </c>
      <c r="D568" s="51" t="n">
        <v>0</v>
      </c>
      <c r="E568" s="51"/>
      <c r="F568" s="51" t="n">
        <v>1690</v>
      </c>
      <c r="G568" s="51" t="n">
        <v>0</v>
      </c>
      <c r="H568" s="51"/>
      <c r="I568" s="51"/>
      <c r="J568" s="51"/>
      <c r="K568" s="51"/>
      <c r="L568" s="51"/>
    </row>
    <row r="569" customFormat="false" ht="15" hidden="false" customHeight="false" outlineLevel="0" collapsed="false">
      <c r="A569" s="52"/>
      <c r="B569" s="51"/>
      <c r="C569" s="51" t="n">
        <v>0</v>
      </c>
      <c r="D569" s="51" t="n">
        <v>1</v>
      </c>
      <c r="E569" s="51"/>
      <c r="F569" s="51" t="n">
        <v>1636</v>
      </c>
      <c r="G569" s="51" t="n">
        <v>3869</v>
      </c>
      <c r="H569" s="51"/>
      <c r="I569" s="51"/>
      <c r="J569" s="51"/>
      <c r="K569" s="51"/>
      <c r="L569" s="51"/>
    </row>
    <row r="570" customFormat="false" ht="15" hidden="false" customHeight="false" outlineLevel="0" collapsed="false">
      <c r="A570" s="52"/>
      <c r="B570" s="51"/>
      <c r="C570" s="51" t="n">
        <v>0</v>
      </c>
      <c r="D570" s="51" t="n">
        <v>0</v>
      </c>
      <c r="E570" s="51"/>
      <c r="F570" s="51" t="n">
        <v>1388</v>
      </c>
      <c r="G570" s="51" t="n">
        <v>0</v>
      </c>
      <c r="H570" s="51"/>
      <c r="I570" s="51"/>
      <c r="J570" s="51"/>
      <c r="K570" s="51"/>
      <c r="L570" s="51"/>
    </row>
    <row r="571" customFormat="false" ht="15" hidden="false" customHeight="false" outlineLevel="0" collapsed="false">
      <c r="A571" s="52"/>
      <c r="B571" s="51"/>
      <c r="C571" s="51" t="n">
        <v>0</v>
      </c>
      <c r="D571" s="51" t="n">
        <v>2</v>
      </c>
      <c r="E571" s="51"/>
      <c r="F571" s="51" t="n">
        <v>1355</v>
      </c>
      <c r="G571" s="51" t="n">
        <v>1524</v>
      </c>
      <c r="H571" s="51"/>
      <c r="I571" s="51"/>
      <c r="J571" s="51"/>
      <c r="K571" s="51"/>
      <c r="L571" s="51"/>
    </row>
    <row r="572" customFormat="false" ht="15" hidden="false" customHeight="false" outlineLevel="0" collapsed="false">
      <c r="A572" s="52"/>
      <c r="B572" s="51"/>
      <c r="C572" s="51" t="n">
        <v>0</v>
      </c>
      <c r="D572" s="51" t="n">
        <v>0</v>
      </c>
      <c r="E572" s="51"/>
      <c r="F572" s="51" t="n">
        <v>1205</v>
      </c>
      <c r="G572" s="51" t="n">
        <v>0</v>
      </c>
      <c r="H572" s="51"/>
      <c r="I572" s="51"/>
      <c r="J572" s="51"/>
      <c r="K572" s="51"/>
      <c r="L572" s="51"/>
    </row>
    <row r="573" customFormat="false" ht="15" hidden="false" customHeight="false" outlineLevel="0" collapsed="false">
      <c r="A573" s="46"/>
      <c r="B573" s="49" t="s">
        <v>6545</v>
      </c>
      <c r="C573" s="48" t="n">
        <v>0</v>
      </c>
      <c r="D573" s="48" t="n">
        <v>3</v>
      </c>
      <c r="E573" s="48" t="n">
        <f aca="false">C573-D573</f>
        <v>-3</v>
      </c>
      <c r="F573" s="48" t="n">
        <v>1068</v>
      </c>
      <c r="G573" s="48" t="n">
        <v>3021</v>
      </c>
      <c r="H573" s="48" t="n">
        <f aca="false">F573-G573</f>
        <v>-1953</v>
      </c>
      <c r="I573" s="51"/>
      <c r="J573" s="51"/>
      <c r="K573" s="51"/>
      <c r="L573" s="51"/>
    </row>
    <row r="574" customFormat="false" ht="15" hidden="false" customHeight="false" outlineLevel="0" collapsed="false">
      <c r="A574" s="52"/>
      <c r="B574" s="51"/>
      <c r="C574" s="51" t="n">
        <v>0</v>
      </c>
      <c r="D574" s="51" t="n">
        <v>0</v>
      </c>
      <c r="E574" s="51"/>
      <c r="F574" s="51" t="n">
        <v>979</v>
      </c>
      <c r="G574" s="51" t="n">
        <v>308</v>
      </c>
      <c r="H574" s="51"/>
      <c r="I574" s="51"/>
      <c r="J574" s="51"/>
      <c r="K574" s="51"/>
      <c r="L574" s="51"/>
    </row>
    <row r="575" customFormat="false" ht="15" hidden="false" customHeight="false" outlineLevel="0" collapsed="false">
      <c r="A575" s="46"/>
      <c r="B575" s="49" t="s">
        <v>6546</v>
      </c>
      <c r="C575" s="48" t="n">
        <v>0</v>
      </c>
      <c r="D575" s="48" t="n">
        <v>1</v>
      </c>
      <c r="E575" s="48" t="n">
        <f aca="false">C575-D575</f>
        <v>-1</v>
      </c>
      <c r="F575" s="48" t="n">
        <v>881</v>
      </c>
      <c r="G575" s="48" t="n">
        <v>1225</v>
      </c>
      <c r="H575" s="48" t="n">
        <f aca="false">F575-G575</f>
        <v>-344</v>
      </c>
      <c r="I575" s="51"/>
      <c r="J575" s="51"/>
      <c r="K575" s="51"/>
      <c r="L575" s="51"/>
    </row>
    <row r="576" customFormat="false" ht="15" hidden="false" customHeight="false" outlineLevel="0" collapsed="false">
      <c r="A576" s="52"/>
      <c r="B576" s="51"/>
      <c r="C576" s="51" t="n">
        <v>0</v>
      </c>
      <c r="D576" s="51" t="n">
        <v>0</v>
      </c>
      <c r="E576" s="51"/>
      <c r="F576" s="51" t="n">
        <v>784</v>
      </c>
      <c r="G576" s="51" t="n">
        <v>0</v>
      </c>
      <c r="H576" s="51"/>
      <c r="I576" s="51"/>
      <c r="J576" s="51"/>
      <c r="K576" s="51"/>
      <c r="L576" s="51"/>
    </row>
    <row r="577" customFormat="false" ht="15" hidden="false" customHeight="false" outlineLevel="0" collapsed="false">
      <c r="A577" s="52"/>
      <c r="B577" s="51"/>
      <c r="C577" s="51" t="n">
        <v>0</v>
      </c>
      <c r="D577" s="51" t="n">
        <v>0</v>
      </c>
      <c r="E577" s="51"/>
      <c r="F577" s="51" t="n">
        <v>704</v>
      </c>
      <c r="G577" s="51" t="n">
        <v>0</v>
      </c>
      <c r="H577" s="51"/>
      <c r="I577" s="51"/>
      <c r="J577" s="51"/>
      <c r="K577" s="51"/>
      <c r="L577" s="51"/>
    </row>
    <row r="578" customFormat="false" ht="15" hidden="false" customHeight="false" outlineLevel="0" collapsed="false">
      <c r="A578" s="46"/>
      <c r="B578" s="49" t="s">
        <v>6547</v>
      </c>
      <c r="C578" s="48" t="n">
        <v>0</v>
      </c>
      <c r="D578" s="48" t="n">
        <v>0</v>
      </c>
      <c r="E578" s="48" t="n">
        <f aca="false">C578-D578</f>
        <v>0</v>
      </c>
      <c r="F578" s="48" t="n">
        <v>622</v>
      </c>
      <c r="G578" s="48" t="n">
        <v>734</v>
      </c>
      <c r="H578" s="48" t="n">
        <f aca="false">F578-G578</f>
        <v>-112</v>
      </c>
      <c r="I578" s="51"/>
      <c r="J578" s="51"/>
      <c r="K578" s="51"/>
      <c r="L578" s="51"/>
    </row>
    <row r="579" customFormat="false" ht="15" hidden="false" customHeight="false" outlineLevel="0" collapsed="false">
      <c r="A579" s="52"/>
      <c r="B579" s="51"/>
      <c r="C579" s="51" t="n">
        <v>0</v>
      </c>
      <c r="D579" s="51" t="n">
        <v>0</v>
      </c>
      <c r="E579" s="51"/>
      <c r="F579" s="51" t="n">
        <v>604</v>
      </c>
      <c r="G579" s="51" t="n">
        <v>0</v>
      </c>
      <c r="H579" s="51"/>
      <c r="I579" s="51"/>
      <c r="J579" s="51"/>
      <c r="K579" s="51"/>
      <c r="L579" s="51"/>
    </row>
    <row r="580" customFormat="false" ht="15" hidden="false" customHeight="false" outlineLevel="0" collapsed="false">
      <c r="A580" s="52"/>
      <c r="B580" s="51"/>
      <c r="C580" s="51" t="n">
        <v>0</v>
      </c>
      <c r="D580" s="51" t="n">
        <v>0</v>
      </c>
      <c r="E580" s="51"/>
      <c r="F580" s="51" t="n">
        <v>597</v>
      </c>
      <c r="G580" s="51" t="n">
        <v>0</v>
      </c>
      <c r="H580" s="51"/>
      <c r="I580" s="51"/>
      <c r="J580" s="51"/>
      <c r="K580" s="51"/>
      <c r="L580" s="51"/>
    </row>
    <row r="581" customFormat="false" ht="15" hidden="false" customHeight="false" outlineLevel="0" collapsed="false">
      <c r="A581" s="52"/>
      <c r="B581" s="51"/>
      <c r="C581" s="51" t="n">
        <v>0</v>
      </c>
      <c r="D581" s="51" t="n">
        <v>0</v>
      </c>
      <c r="E581" s="51"/>
      <c r="F581" s="51" t="n">
        <v>591</v>
      </c>
      <c r="G581" s="51" t="n">
        <v>0</v>
      </c>
      <c r="H581" s="51"/>
      <c r="I581" s="51"/>
      <c r="J581" s="51"/>
      <c r="K581" s="51"/>
      <c r="L581" s="51"/>
    </row>
    <row r="582" customFormat="false" ht="15" hidden="false" customHeight="false" outlineLevel="0" collapsed="false">
      <c r="A582" s="52"/>
      <c r="B582" s="51"/>
      <c r="C582" s="51" t="n">
        <v>0</v>
      </c>
      <c r="D582" s="51" t="n">
        <v>2</v>
      </c>
      <c r="E582" s="51"/>
      <c r="F582" s="51" t="n">
        <v>580</v>
      </c>
      <c r="G582" s="51" t="n">
        <v>1003</v>
      </c>
      <c r="H582" s="51"/>
      <c r="I582" s="51"/>
      <c r="J582" s="51"/>
      <c r="K582" s="51"/>
      <c r="L582" s="51"/>
    </row>
    <row r="583" customFormat="false" ht="15" hidden="false" customHeight="false" outlineLevel="0" collapsed="false">
      <c r="A583" s="52"/>
      <c r="B583" s="51"/>
      <c r="C583" s="51" t="n">
        <v>0</v>
      </c>
      <c r="D583" s="51" t="n">
        <v>0</v>
      </c>
      <c r="E583" s="51"/>
      <c r="F583" s="51" t="n">
        <v>560</v>
      </c>
      <c r="G583" s="51" t="n">
        <v>0</v>
      </c>
      <c r="H583" s="51"/>
      <c r="I583" s="51"/>
      <c r="J583" s="51"/>
      <c r="K583" s="51"/>
      <c r="L583" s="51"/>
    </row>
    <row r="584" customFormat="false" ht="15" hidden="false" customHeight="false" outlineLevel="0" collapsed="false">
      <c r="A584" s="52"/>
      <c r="B584" s="51"/>
      <c r="C584" s="51" t="n">
        <v>0</v>
      </c>
      <c r="D584" s="51" t="n">
        <v>0</v>
      </c>
      <c r="E584" s="51"/>
      <c r="F584" s="51" t="n">
        <v>545</v>
      </c>
      <c r="G584" s="51" t="n">
        <v>0</v>
      </c>
      <c r="H584" s="51"/>
      <c r="I584" s="51"/>
      <c r="J584" s="51"/>
      <c r="K584" s="51"/>
      <c r="L584" s="51"/>
    </row>
    <row r="585" customFormat="false" ht="15" hidden="false" customHeight="false" outlineLevel="0" collapsed="false">
      <c r="A585" s="52"/>
      <c r="B585" s="51"/>
      <c r="C585" s="51" t="n">
        <v>0</v>
      </c>
      <c r="D585" s="51" t="n">
        <v>0</v>
      </c>
      <c r="E585" s="51"/>
      <c r="F585" s="51" t="n">
        <v>470</v>
      </c>
      <c r="G585" s="51" t="n">
        <v>0</v>
      </c>
      <c r="H585" s="51"/>
      <c r="I585" s="51"/>
      <c r="J585" s="51"/>
      <c r="K585" s="51"/>
      <c r="L585" s="51"/>
    </row>
    <row r="586" customFormat="false" ht="15" hidden="false" customHeight="false" outlineLevel="0" collapsed="false">
      <c r="A586" s="52"/>
      <c r="B586" s="51"/>
      <c r="C586" s="51" t="n">
        <v>0</v>
      </c>
      <c r="D586" s="51" t="n">
        <v>0</v>
      </c>
      <c r="E586" s="51"/>
      <c r="F586" s="51" t="n">
        <v>469</v>
      </c>
      <c r="G586" s="51" t="n">
        <v>0</v>
      </c>
      <c r="H586" s="51"/>
      <c r="I586" s="51"/>
      <c r="J586" s="51"/>
      <c r="K586" s="51"/>
      <c r="L586" s="51"/>
    </row>
    <row r="587" customFormat="false" ht="15" hidden="false" customHeight="false" outlineLevel="0" collapsed="false">
      <c r="A587" s="52"/>
      <c r="B587" s="51"/>
      <c r="C587" s="51" t="n">
        <v>0</v>
      </c>
      <c r="D587" s="51" t="n">
        <v>0</v>
      </c>
      <c r="E587" s="51"/>
      <c r="F587" s="51" t="n">
        <v>452</v>
      </c>
      <c r="G587" s="51" t="n">
        <v>0</v>
      </c>
      <c r="H587" s="51"/>
      <c r="I587" s="51"/>
      <c r="J587" s="51"/>
      <c r="K587" s="51"/>
      <c r="L587" s="51"/>
    </row>
    <row r="588" customFormat="false" ht="15" hidden="false" customHeight="false" outlineLevel="0" collapsed="false">
      <c r="A588" s="52"/>
      <c r="B588" s="51"/>
      <c r="C588" s="51" t="n">
        <v>0</v>
      </c>
      <c r="D588" s="51" t="n">
        <v>0</v>
      </c>
      <c r="E588" s="51"/>
      <c r="F588" s="51" t="n">
        <v>443</v>
      </c>
      <c r="G588" s="51" t="n">
        <v>0</v>
      </c>
      <c r="H588" s="51"/>
      <c r="I588" s="51"/>
      <c r="J588" s="51"/>
      <c r="K588" s="51"/>
      <c r="L588" s="51"/>
    </row>
    <row r="589" customFormat="false" ht="15" hidden="false" customHeight="false" outlineLevel="0" collapsed="false">
      <c r="A589" s="46"/>
      <c r="B589" s="49" t="s">
        <v>6548</v>
      </c>
      <c r="C589" s="48" t="n">
        <v>0</v>
      </c>
      <c r="D589" s="48" t="n">
        <v>3</v>
      </c>
      <c r="E589" s="48" t="n">
        <f aca="false">C589-D589</f>
        <v>-3</v>
      </c>
      <c r="F589" s="48" t="n">
        <v>439</v>
      </c>
      <c r="G589" s="48" t="n">
        <v>996</v>
      </c>
      <c r="H589" s="48" t="n">
        <f aca="false">F589-G589</f>
        <v>-557</v>
      </c>
      <c r="I589" s="51"/>
      <c r="J589" s="51"/>
      <c r="K589" s="51"/>
      <c r="L589" s="51"/>
    </row>
    <row r="590" customFormat="false" ht="15" hidden="false" customHeight="false" outlineLevel="0" collapsed="false">
      <c r="A590" s="52"/>
      <c r="B590" s="51"/>
      <c r="C590" s="51" t="n">
        <v>0</v>
      </c>
      <c r="D590" s="51" t="n">
        <v>1</v>
      </c>
      <c r="E590" s="51"/>
      <c r="F590" s="51" t="n">
        <v>432</v>
      </c>
      <c r="G590" s="51" t="n">
        <v>75</v>
      </c>
      <c r="H590" s="51"/>
      <c r="I590" s="51"/>
      <c r="J590" s="51"/>
      <c r="K590" s="51"/>
      <c r="L590" s="51"/>
    </row>
    <row r="591" customFormat="false" ht="15" hidden="false" customHeight="false" outlineLevel="0" collapsed="false">
      <c r="A591" s="52"/>
      <c r="B591" s="51"/>
      <c r="C591" s="51" t="n">
        <v>0</v>
      </c>
      <c r="D591" s="51" t="n">
        <v>0</v>
      </c>
      <c r="E591" s="51"/>
      <c r="F591" s="51" t="n">
        <v>428</v>
      </c>
      <c r="G591" s="51" t="n">
        <v>0</v>
      </c>
      <c r="H591" s="51"/>
      <c r="I591" s="51"/>
      <c r="J591" s="51"/>
      <c r="K591" s="51"/>
      <c r="L591" s="51"/>
    </row>
    <row r="592" customFormat="false" ht="15" hidden="false" customHeight="false" outlineLevel="0" collapsed="false">
      <c r="A592" s="46"/>
      <c r="B592" s="49" t="s">
        <v>6549</v>
      </c>
      <c r="C592" s="48" t="n">
        <v>0</v>
      </c>
      <c r="D592" s="48" t="n">
        <v>3</v>
      </c>
      <c r="E592" s="48" t="n">
        <f aca="false">C592-D592</f>
        <v>-3</v>
      </c>
      <c r="F592" s="48" t="n">
        <v>427</v>
      </c>
      <c r="G592" s="48" t="n">
        <v>934</v>
      </c>
      <c r="H592" s="48" t="n">
        <f aca="false">F592-G592</f>
        <v>-507</v>
      </c>
      <c r="I592" s="51"/>
      <c r="J592" s="51"/>
      <c r="K592" s="51"/>
      <c r="L592" s="51"/>
    </row>
    <row r="593" customFormat="false" ht="15" hidden="false" customHeight="false" outlineLevel="0" collapsed="false">
      <c r="A593" s="52"/>
      <c r="B593" s="51"/>
      <c r="C593" s="51" t="n">
        <v>0</v>
      </c>
      <c r="D593" s="51" t="n">
        <v>0</v>
      </c>
      <c r="E593" s="51"/>
      <c r="F593" s="51" t="n">
        <v>406</v>
      </c>
      <c r="G593" s="51" t="n">
        <v>393</v>
      </c>
      <c r="H593" s="51"/>
      <c r="I593" s="51"/>
      <c r="J593" s="51"/>
      <c r="K593" s="51"/>
      <c r="L593" s="51"/>
    </row>
    <row r="594" customFormat="false" ht="15" hidden="false" customHeight="false" outlineLevel="0" collapsed="false">
      <c r="A594" s="52"/>
      <c r="B594" s="51"/>
      <c r="C594" s="51" t="n">
        <v>0</v>
      </c>
      <c r="D594" s="51" t="n">
        <v>0</v>
      </c>
      <c r="E594" s="51"/>
      <c r="F594" s="51" t="n">
        <v>391</v>
      </c>
      <c r="G594" s="51" t="n">
        <v>0</v>
      </c>
      <c r="H594" s="51"/>
      <c r="I594" s="51"/>
      <c r="J594" s="51"/>
      <c r="K594" s="51"/>
      <c r="L594" s="51"/>
    </row>
    <row r="595" customFormat="false" ht="15" hidden="false" customHeight="false" outlineLevel="0" collapsed="false">
      <c r="A595" s="46"/>
      <c r="B595" s="49" t="s">
        <v>6550</v>
      </c>
      <c r="C595" s="48" t="n">
        <v>0</v>
      </c>
      <c r="D595" s="48" t="n">
        <v>1</v>
      </c>
      <c r="E595" s="48" t="n">
        <f aca="false">C595-D595</f>
        <v>-1</v>
      </c>
      <c r="F595" s="48" t="n">
        <v>383</v>
      </c>
      <c r="G595" s="48" t="n">
        <v>1164</v>
      </c>
      <c r="H595" s="48" t="n">
        <f aca="false">F595-G595</f>
        <v>-781</v>
      </c>
      <c r="I595" s="51"/>
      <c r="J595" s="51"/>
      <c r="K595" s="51"/>
      <c r="L595" s="51"/>
    </row>
    <row r="596" customFormat="false" ht="15" hidden="false" customHeight="false" outlineLevel="0" collapsed="false">
      <c r="A596" s="52"/>
      <c r="B596" s="51"/>
      <c r="C596" s="51" t="n">
        <v>0</v>
      </c>
      <c r="D596" s="51" t="n">
        <v>0</v>
      </c>
      <c r="E596" s="51"/>
      <c r="F596" s="51" t="n">
        <v>364</v>
      </c>
      <c r="G596" s="51" t="n">
        <v>0</v>
      </c>
      <c r="H596" s="51"/>
      <c r="I596" s="51"/>
      <c r="J596" s="51"/>
      <c r="K596" s="51"/>
      <c r="L596" s="51"/>
    </row>
    <row r="597" customFormat="false" ht="15" hidden="false" customHeight="false" outlineLevel="0" collapsed="false">
      <c r="A597" s="52"/>
      <c r="B597" s="51"/>
      <c r="C597" s="51" t="n">
        <v>0</v>
      </c>
      <c r="D597" s="51" t="n">
        <v>0</v>
      </c>
      <c r="E597" s="51"/>
      <c r="F597" s="51" t="n">
        <v>339</v>
      </c>
      <c r="G597" s="51" t="n">
        <v>0</v>
      </c>
      <c r="H597" s="51"/>
      <c r="I597" s="51"/>
      <c r="J597" s="51"/>
      <c r="K597" s="51"/>
      <c r="L597" s="51"/>
    </row>
    <row r="598" customFormat="false" ht="15" hidden="false" customHeight="false" outlineLevel="0" collapsed="false">
      <c r="A598" s="52"/>
      <c r="B598" s="51"/>
      <c r="C598" s="51" t="n">
        <v>0</v>
      </c>
      <c r="D598" s="51" t="n">
        <v>0</v>
      </c>
      <c r="E598" s="51"/>
      <c r="F598" s="51" t="n">
        <v>337</v>
      </c>
      <c r="G598" s="51" t="n">
        <v>0</v>
      </c>
      <c r="H598" s="51"/>
      <c r="I598" s="51"/>
      <c r="J598" s="51"/>
      <c r="K598" s="51"/>
      <c r="L598" s="51"/>
    </row>
    <row r="599" customFormat="false" ht="15" hidden="false" customHeight="false" outlineLevel="0" collapsed="false">
      <c r="A599" s="52"/>
      <c r="B599" s="51"/>
      <c r="C599" s="51" t="n">
        <v>0</v>
      </c>
      <c r="D599" s="51" t="n">
        <v>0</v>
      </c>
      <c r="E599" s="51"/>
      <c r="F599" s="51" t="n">
        <v>330</v>
      </c>
      <c r="G599" s="51" t="n">
        <v>70</v>
      </c>
      <c r="H599" s="51"/>
      <c r="I599" s="51"/>
      <c r="J599" s="51"/>
      <c r="K599" s="51"/>
      <c r="L599" s="51"/>
    </row>
    <row r="600" customFormat="false" ht="15" hidden="false" customHeight="false" outlineLevel="0" collapsed="false">
      <c r="A600" s="52"/>
      <c r="B600" s="51"/>
      <c r="C600" s="51" t="n">
        <v>0</v>
      </c>
      <c r="D600" s="51" t="n">
        <v>1</v>
      </c>
      <c r="E600" s="51"/>
      <c r="F600" s="51" t="n">
        <v>329</v>
      </c>
      <c r="G600" s="51" t="n">
        <v>172</v>
      </c>
      <c r="H600" s="51"/>
      <c r="I600" s="51"/>
      <c r="J600" s="51"/>
      <c r="K600" s="51"/>
      <c r="L600" s="51"/>
    </row>
    <row r="601" customFormat="false" ht="15" hidden="false" customHeight="false" outlineLevel="0" collapsed="false">
      <c r="A601" s="52"/>
      <c r="B601" s="51"/>
      <c r="C601" s="51" t="n">
        <v>0</v>
      </c>
      <c r="D601" s="51" t="n">
        <v>0</v>
      </c>
      <c r="E601" s="51"/>
      <c r="F601" s="51" t="n">
        <v>325</v>
      </c>
      <c r="G601" s="51" t="n">
        <v>0</v>
      </c>
      <c r="H601" s="51"/>
      <c r="I601" s="51"/>
      <c r="J601" s="51"/>
      <c r="K601" s="51"/>
      <c r="L601" s="51"/>
    </row>
    <row r="602" customFormat="false" ht="15" hidden="false" customHeight="false" outlineLevel="0" collapsed="false">
      <c r="A602" s="46"/>
      <c r="B602" s="49" t="s">
        <v>6551</v>
      </c>
      <c r="C602" s="48" t="n">
        <v>0</v>
      </c>
      <c r="D602" s="48" t="n">
        <v>0</v>
      </c>
      <c r="E602" s="48" t="n">
        <f aca="false">C602-D602</f>
        <v>0</v>
      </c>
      <c r="F602" s="48" t="n">
        <v>307</v>
      </c>
      <c r="G602" s="48" t="n">
        <v>0</v>
      </c>
      <c r="H602" s="48" t="n">
        <f aca="false">F602-G602</f>
        <v>307</v>
      </c>
      <c r="I602" s="51"/>
      <c r="J602" s="51"/>
      <c r="K602" s="51"/>
      <c r="L602" s="51"/>
    </row>
    <row r="603" customFormat="false" ht="15" hidden="false" customHeight="false" outlineLevel="0" collapsed="false">
      <c r="A603" s="52"/>
      <c r="B603" s="51"/>
      <c r="C603" s="51" t="n">
        <v>0</v>
      </c>
      <c r="D603" s="51" t="n">
        <v>2</v>
      </c>
      <c r="E603" s="51"/>
      <c r="F603" s="51" t="n">
        <v>299</v>
      </c>
      <c r="G603" s="51" t="n">
        <v>353</v>
      </c>
      <c r="H603" s="51"/>
      <c r="I603" s="51"/>
      <c r="J603" s="51"/>
      <c r="K603" s="51"/>
      <c r="L603" s="51"/>
    </row>
    <row r="604" customFormat="false" ht="15" hidden="false" customHeight="false" outlineLevel="0" collapsed="false">
      <c r="A604" s="52"/>
      <c r="B604" s="51"/>
      <c r="C604" s="51" t="n">
        <v>0</v>
      </c>
      <c r="D604" s="51" t="n">
        <v>3</v>
      </c>
      <c r="E604" s="51"/>
      <c r="F604" s="51" t="n">
        <v>294</v>
      </c>
      <c r="G604" s="51" t="n">
        <v>476</v>
      </c>
      <c r="H604" s="51"/>
      <c r="I604" s="51"/>
      <c r="J604" s="51"/>
      <c r="K604" s="51"/>
      <c r="L604" s="51"/>
    </row>
    <row r="605" customFormat="false" ht="15" hidden="false" customHeight="false" outlineLevel="0" collapsed="false">
      <c r="A605" s="52"/>
      <c r="B605" s="51"/>
      <c r="C605" s="51" t="n">
        <v>0</v>
      </c>
      <c r="D605" s="51" t="n">
        <v>0</v>
      </c>
      <c r="E605" s="51"/>
      <c r="F605" s="51" t="n">
        <v>290</v>
      </c>
      <c r="G605" s="51" t="n">
        <v>0</v>
      </c>
      <c r="H605" s="51"/>
      <c r="I605" s="51"/>
      <c r="J605" s="51"/>
      <c r="K605" s="51"/>
      <c r="L605" s="51"/>
    </row>
    <row r="606" customFormat="false" ht="15" hidden="false" customHeight="false" outlineLevel="0" collapsed="false">
      <c r="A606" s="52"/>
      <c r="B606" s="51"/>
      <c r="C606" s="51" t="n">
        <v>0</v>
      </c>
      <c r="D606" s="51" t="n">
        <v>0</v>
      </c>
      <c r="E606" s="51"/>
      <c r="F606" s="51" t="n">
        <v>285</v>
      </c>
      <c r="G606" s="51" t="n">
        <v>0</v>
      </c>
      <c r="H606" s="51"/>
      <c r="I606" s="51"/>
      <c r="J606" s="51"/>
      <c r="K606" s="51"/>
      <c r="L606" s="51"/>
    </row>
    <row r="607" customFormat="false" ht="15" hidden="false" customHeight="false" outlineLevel="0" collapsed="false">
      <c r="A607" s="52"/>
      <c r="B607" s="51"/>
      <c r="C607" s="51" t="n">
        <v>0</v>
      </c>
      <c r="D607" s="51" t="n">
        <v>0</v>
      </c>
      <c r="E607" s="51"/>
      <c r="F607" s="51" t="n">
        <v>281</v>
      </c>
      <c r="G607" s="51" t="n">
        <v>85</v>
      </c>
      <c r="H607" s="51"/>
      <c r="I607" s="51"/>
      <c r="J607" s="51"/>
      <c r="K607" s="51"/>
      <c r="L607" s="51"/>
    </row>
    <row r="608" customFormat="false" ht="15" hidden="false" customHeight="false" outlineLevel="0" collapsed="false">
      <c r="A608" s="52"/>
      <c r="B608" s="51"/>
      <c r="C608" s="51" t="n">
        <v>0</v>
      </c>
      <c r="D608" s="51" t="n">
        <v>0</v>
      </c>
      <c r="E608" s="51"/>
      <c r="F608" s="51" t="n">
        <v>280</v>
      </c>
      <c r="G608" s="51" t="n">
        <v>0</v>
      </c>
      <c r="H608" s="51"/>
      <c r="I608" s="51"/>
      <c r="J608" s="51"/>
      <c r="K608" s="51"/>
      <c r="L608" s="51"/>
    </row>
    <row r="609" customFormat="false" ht="15" hidden="false" customHeight="false" outlineLevel="0" collapsed="false">
      <c r="A609" s="52"/>
      <c r="B609" s="51"/>
      <c r="C609" s="51" t="n">
        <v>0</v>
      </c>
      <c r="D609" s="51" t="n">
        <v>0</v>
      </c>
      <c r="E609" s="51"/>
      <c r="F609" s="51" t="n">
        <v>272</v>
      </c>
      <c r="G609" s="51" t="n">
        <v>0</v>
      </c>
      <c r="H609" s="51"/>
      <c r="I609" s="51"/>
      <c r="J609" s="51"/>
      <c r="K609" s="51"/>
      <c r="L609" s="51"/>
    </row>
    <row r="610" customFormat="false" ht="15" hidden="false" customHeight="false" outlineLevel="0" collapsed="false">
      <c r="A610" s="52"/>
      <c r="B610" s="51"/>
      <c r="C610" s="51" t="n">
        <v>0</v>
      </c>
      <c r="D610" s="51" t="n">
        <v>0</v>
      </c>
      <c r="E610" s="51"/>
      <c r="F610" s="51" t="n">
        <v>272</v>
      </c>
      <c r="G610" s="51" t="n">
        <v>0</v>
      </c>
      <c r="H610" s="51"/>
      <c r="I610" s="51"/>
      <c r="J610" s="51"/>
      <c r="K610" s="51"/>
      <c r="L610" s="51"/>
    </row>
    <row r="611" customFormat="false" ht="15" hidden="false" customHeight="false" outlineLevel="0" collapsed="false">
      <c r="A611" s="46"/>
      <c r="B611" s="49" t="s">
        <v>6552</v>
      </c>
      <c r="C611" s="48" t="n">
        <v>0</v>
      </c>
      <c r="D611" s="48" t="n">
        <v>2</v>
      </c>
      <c r="E611" s="48" t="n">
        <f aca="false">C611-D611</f>
        <v>-2</v>
      </c>
      <c r="F611" s="48" t="n">
        <v>270</v>
      </c>
      <c r="G611" s="48" t="n">
        <v>980</v>
      </c>
      <c r="H611" s="48" t="n">
        <f aca="false">F611-G611</f>
        <v>-710</v>
      </c>
      <c r="I611" s="51"/>
      <c r="J611" s="51"/>
      <c r="K611" s="51"/>
      <c r="L611" s="51"/>
    </row>
    <row r="612" customFormat="false" ht="15" hidden="false" customHeight="false" outlineLevel="0" collapsed="false">
      <c r="A612" s="52"/>
      <c r="B612" s="51"/>
      <c r="C612" s="51" t="n">
        <v>0</v>
      </c>
      <c r="D612" s="51" t="n">
        <v>0</v>
      </c>
      <c r="E612" s="51"/>
      <c r="F612" s="51" t="n">
        <v>270</v>
      </c>
      <c r="G612" s="51" t="n">
        <v>0</v>
      </c>
      <c r="H612" s="51"/>
      <c r="I612" s="51"/>
      <c r="J612" s="51"/>
      <c r="K612" s="51"/>
      <c r="L612" s="51"/>
    </row>
    <row r="613" customFormat="false" ht="15" hidden="false" customHeight="false" outlineLevel="0" collapsed="false">
      <c r="A613" s="52"/>
      <c r="B613" s="51"/>
      <c r="C613" s="51" t="n">
        <v>0</v>
      </c>
      <c r="D613" s="51" t="n">
        <v>0</v>
      </c>
      <c r="E613" s="51"/>
      <c r="F613" s="51" t="n">
        <v>259</v>
      </c>
      <c r="G613" s="51" t="n">
        <v>0</v>
      </c>
      <c r="H613" s="51"/>
      <c r="I613" s="51"/>
      <c r="J613" s="51"/>
      <c r="K613" s="51"/>
      <c r="L613" s="51"/>
    </row>
    <row r="614" customFormat="false" ht="15" hidden="false" customHeight="false" outlineLevel="0" collapsed="false">
      <c r="A614" s="52"/>
      <c r="B614" s="51"/>
      <c r="C614" s="51" t="n">
        <v>0</v>
      </c>
      <c r="D614" s="51" t="n">
        <v>0</v>
      </c>
      <c r="E614" s="51"/>
      <c r="F614" s="51" t="n">
        <v>256</v>
      </c>
      <c r="G614" s="51" t="n">
        <v>444</v>
      </c>
      <c r="H614" s="51"/>
      <c r="I614" s="51"/>
      <c r="J614" s="51"/>
      <c r="K614" s="51"/>
      <c r="L614" s="51"/>
    </row>
    <row r="615" customFormat="false" ht="15" hidden="false" customHeight="false" outlineLevel="0" collapsed="false">
      <c r="A615" s="52"/>
      <c r="B615" s="51"/>
      <c r="C615" s="51" t="n">
        <v>0</v>
      </c>
      <c r="D615" s="51" t="n">
        <v>0</v>
      </c>
      <c r="E615" s="51"/>
      <c r="F615" s="51" t="n">
        <v>244</v>
      </c>
      <c r="G615" s="51" t="n">
        <v>1313</v>
      </c>
      <c r="H615" s="51"/>
      <c r="I615" s="51"/>
      <c r="J615" s="51"/>
      <c r="K615" s="51"/>
      <c r="L615" s="51"/>
    </row>
    <row r="616" customFormat="false" ht="15" hidden="false" customHeight="false" outlineLevel="0" collapsed="false">
      <c r="A616" s="52"/>
      <c r="B616" s="51"/>
      <c r="C616" s="51" t="n">
        <v>0</v>
      </c>
      <c r="D616" s="51" t="n">
        <v>0</v>
      </c>
      <c r="E616" s="51"/>
      <c r="F616" s="51" t="n">
        <v>243</v>
      </c>
      <c r="G616" s="51" t="n">
        <v>509</v>
      </c>
      <c r="H616" s="51"/>
      <c r="I616" s="51"/>
      <c r="J616" s="51"/>
      <c r="K616" s="51"/>
      <c r="L616" s="51"/>
    </row>
    <row r="617" customFormat="false" ht="15" hidden="false" customHeight="false" outlineLevel="0" collapsed="false">
      <c r="A617" s="52"/>
      <c r="B617" s="51"/>
      <c r="C617" s="51" t="n">
        <v>0</v>
      </c>
      <c r="D617" s="51" t="n">
        <v>0</v>
      </c>
      <c r="E617" s="51"/>
      <c r="F617" s="51" t="n">
        <v>239</v>
      </c>
      <c r="G617" s="51" t="n">
        <v>40</v>
      </c>
      <c r="H617" s="51"/>
      <c r="I617" s="51"/>
      <c r="J617" s="51"/>
      <c r="K617" s="51"/>
      <c r="L617" s="51"/>
    </row>
    <row r="618" customFormat="false" ht="15" hidden="false" customHeight="false" outlineLevel="0" collapsed="false">
      <c r="A618" s="46"/>
      <c r="B618" s="49" t="s">
        <v>6553</v>
      </c>
      <c r="C618" s="48" t="n">
        <v>0</v>
      </c>
      <c r="D618" s="48" t="n">
        <v>0</v>
      </c>
      <c r="E618" s="48" t="n">
        <f aca="false">C618-D618</f>
        <v>0</v>
      </c>
      <c r="F618" s="48" t="n">
        <v>228</v>
      </c>
      <c r="G618" s="48" t="n">
        <v>837</v>
      </c>
      <c r="H618" s="48" t="n">
        <f aca="false">F618-G618</f>
        <v>-609</v>
      </c>
      <c r="I618" s="51"/>
      <c r="J618" s="51"/>
      <c r="K618" s="51"/>
      <c r="L618" s="51"/>
    </row>
    <row r="619" customFormat="false" ht="15" hidden="false" customHeight="false" outlineLevel="0" collapsed="false">
      <c r="A619" s="52"/>
      <c r="B619" s="51"/>
      <c r="C619" s="51" t="n">
        <v>0</v>
      </c>
      <c r="D619" s="51" t="n">
        <v>1</v>
      </c>
      <c r="E619" s="51"/>
      <c r="F619" s="51" t="n">
        <v>221</v>
      </c>
      <c r="G619" s="51" t="n">
        <v>94</v>
      </c>
      <c r="H619" s="51"/>
      <c r="I619" s="51"/>
      <c r="J619" s="51"/>
      <c r="K619" s="51"/>
      <c r="L619" s="51"/>
    </row>
    <row r="620" customFormat="false" ht="15" hidden="false" customHeight="false" outlineLevel="0" collapsed="false">
      <c r="A620" s="52"/>
      <c r="B620" s="51"/>
      <c r="C620" s="51" t="n">
        <v>0</v>
      </c>
      <c r="D620" s="51" t="n">
        <v>0</v>
      </c>
      <c r="E620" s="51"/>
      <c r="F620" s="51" t="n">
        <v>211</v>
      </c>
      <c r="G620" s="51" t="n">
        <v>0</v>
      </c>
      <c r="H620" s="51"/>
      <c r="I620" s="51"/>
      <c r="J620" s="51"/>
      <c r="K620" s="51"/>
      <c r="L620" s="51"/>
    </row>
    <row r="621" customFormat="false" ht="15" hidden="false" customHeight="false" outlineLevel="0" collapsed="false">
      <c r="A621" s="52"/>
      <c r="B621" s="51"/>
      <c r="C621" s="51" t="n">
        <v>0</v>
      </c>
      <c r="D621" s="51" t="n">
        <v>0</v>
      </c>
      <c r="E621" s="51"/>
      <c r="F621" s="51" t="n">
        <v>209</v>
      </c>
      <c r="G621" s="51" t="n">
        <v>0</v>
      </c>
      <c r="H621" s="51"/>
      <c r="I621" s="51"/>
      <c r="J621" s="51"/>
      <c r="K621" s="51"/>
      <c r="L621" s="51"/>
    </row>
    <row r="622" customFormat="false" ht="15" hidden="false" customHeight="false" outlineLevel="0" collapsed="false">
      <c r="A622" s="52"/>
      <c r="B622" s="51"/>
      <c r="C622" s="51" t="n">
        <v>0</v>
      </c>
      <c r="D622" s="51" t="n">
        <v>1</v>
      </c>
      <c r="E622" s="51"/>
      <c r="F622" s="51" t="n">
        <v>208</v>
      </c>
      <c r="G622" s="51" t="n">
        <v>402</v>
      </c>
      <c r="H622" s="51"/>
      <c r="I622" s="51"/>
      <c r="J622" s="51"/>
      <c r="K622" s="51"/>
      <c r="L622" s="51"/>
    </row>
    <row r="623" customFormat="false" ht="15" hidden="false" customHeight="false" outlineLevel="0" collapsed="false">
      <c r="A623" s="52"/>
      <c r="B623" s="51"/>
      <c r="C623" s="51" t="n">
        <v>0</v>
      </c>
      <c r="D623" s="51" t="n">
        <v>1</v>
      </c>
      <c r="E623" s="51"/>
      <c r="F623" s="51" t="n">
        <v>208</v>
      </c>
      <c r="G623" s="51" t="n">
        <v>770</v>
      </c>
      <c r="H623" s="51"/>
      <c r="I623" s="51"/>
      <c r="J623" s="51"/>
      <c r="K623" s="51"/>
      <c r="L623" s="51"/>
    </row>
    <row r="624" customFormat="false" ht="15" hidden="false" customHeight="false" outlineLevel="0" collapsed="false">
      <c r="A624" s="52"/>
      <c r="B624" s="51"/>
      <c r="C624" s="51" t="n">
        <v>0</v>
      </c>
      <c r="D624" s="51" t="n">
        <v>0</v>
      </c>
      <c r="E624" s="51"/>
      <c r="F624" s="51" t="n">
        <v>205</v>
      </c>
      <c r="G624" s="51" t="n">
        <v>0</v>
      </c>
      <c r="H624" s="51"/>
      <c r="I624" s="51"/>
      <c r="J624" s="51"/>
      <c r="K624" s="51"/>
      <c r="L624" s="51"/>
    </row>
    <row r="625" customFormat="false" ht="15" hidden="false" customHeight="false" outlineLevel="0" collapsed="false">
      <c r="A625" s="52"/>
      <c r="B625" s="51"/>
      <c r="C625" s="51" t="n">
        <v>0</v>
      </c>
      <c r="D625" s="51" t="n">
        <v>0</v>
      </c>
      <c r="E625" s="51"/>
      <c r="F625" s="51" t="n">
        <v>196</v>
      </c>
      <c r="G625" s="51" t="n">
        <v>0</v>
      </c>
      <c r="H625" s="51"/>
      <c r="I625" s="51"/>
      <c r="J625" s="51"/>
      <c r="K625" s="51"/>
      <c r="L625" s="51"/>
    </row>
    <row r="626" customFormat="false" ht="15" hidden="false" customHeight="false" outlineLevel="0" collapsed="false">
      <c r="A626" s="52"/>
      <c r="B626" s="51"/>
      <c r="C626" s="51" t="n">
        <v>0</v>
      </c>
      <c r="D626" s="51" t="n">
        <v>0</v>
      </c>
      <c r="E626" s="51"/>
      <c r="F626" s="51" t="n">
        <v>194</v>
      </c>
      <c r="G626" s="51" t="n">
        <v>147</v>
      </c>
      <c r="H626" s="51"/>
      <c r="I626" s="51"/>
      <c r="J626" s="51"/>
      <c r="K626" s="51"/>
      <c r="L626" s="51"/>
    </row>
    <row r="627" customFormat="false" ht="15" hidden="false" customHeight="false" outlineLevel="0" collapsed="false">
      <c r="A627" s="52"/>
      <c r="B627" s="51"/>
      <c r="C627" s="51" t="n">
        <v>0</v>
      </c>
      <c r="D627" s="51" t="n">
        <v>0</v>
      </c>
      <c r="E627" s="51"/>
      <c r="F627" s="51" t="n">
        <v>193</v>
      </c>
      <c r="G627" s="51" t="n">
        <v>0</v>
      </c>
      <c r="H627" s="51"/>
      <c r="I627" s="51"/>
      <c r="J627" s="51"/>
      <c r="K627" s="51"/>
      <c r="L627" s="51"/>
    </row>
    <row r="628" customFormat="false" ht="15" hidden="false" customHeight="false" outlineLevel="0" collapsed="false">
      <c r="A628" s="52"/>
      <c r="B628" s="51"/>
      <c r="C628" s="51" t="n">
        <v>0</v>
      </c>
      <c r="D628" s="51" t="n">
        <v>0</v>
      </c>
      <c r="E628" s="51"/>
      <c r="F628" s="51" t="n">
        <v>192</v>
      </c>
      <c r="G628" s="51" t="n">
        <v>227</v>
      </c>
      <c r="H628" s="51"/>
      <c r="I628" s="51"/>
      <c r="J628" s="51"/>
      <c r="K628" s="51"/>
      <c r="L628" s="51"/>
    </row>
    <row r="629" customFormat="false" ht="15" hidden="false" customHeight="false" outlineLevel="0" collapsed="false">
      <c r="A629" s="52"/>
      <c r="B629" s="51"/>
      <c r="C629" s="51" t="n">
        <v>0</v>
      </c>
      <c r="D629" s="51" t="n">
        <v>0</v>
      </c>
      <c r="E629" s="51"/>
      <c r="F629" s="51" t="n">
        <v>191</v>
      </c>
      <c r="G629" s="51" t="n">
        <v>0</v>
      </c>
      <c r="H629" s="51"/>
      <c r="I629" s="51"/>
      <c r="J629" s="51"/>
      <c r="K629" s="51"/>
      <c r="L629" s="51"/>
    </row>
    <row r="630" customFormat="false" ht="15" hidden="false" customHeight="false" outlineLevel="0" collapsed="false">
      <c r="A630" s="52"/>
      <c r="B630" s="51"/>
      <c r="C630" s="51" t="n">
        <v>0</v>
      </c>
      <c r="D630" s="51" t="n">
        <v>0</v>
      </c>
      <c r="E630" s="51"/>
      <c r="F630" s="51" t="n">
        <v>190</v>
      </c>
      <c r="G630" s="51" t="n">
        <v>0</v>
      </c>
      <c r="H630" s="51"/>
      <c r="I630" s="51"/>
      <c r="J630" s="51"/>
      <c r="K630" s="51"/>
      <c r="L630" s="51"/>
    </row>
    <row r="631" customFormat="false" ht="15" hidden="false" customHeight="false" outlineLevel="0" collapsed="false">
      <c r="A631" s="52"/>
      <c r="B631" s="51"/>
      <c r="C631" s="51" t="n">
        <v>0</v>
      </c>
      <c r="D631" s="51" t="n">
        <v>0</v>
      </c>
      <c r="E631" s="51"/>
      <c r="F631" s="51" t="n">
        <v>189</v>
      </c>
      <c r="G631" s="51" t="n">
        <v>0</v>
      </c>
      <c r="H631" s="51"/>
      <c r="I631" s="51"/>
      <c r="J631" s="51"/>
      <c r="K631" s="51"/>
      <c r="L631" s="51"/>
    </row>
    <row r="632" customFormat="false" ht="15" hidden="false" customHeight="false" outlineLevel="0" collapsed="false">
      <c r="A632" s="52"/>
      <c r="B632" s="51"/>
      <c r="C632" s="51" t="n">
        <v>0</v>
      </c>
      <c r="D632" s="51" t="n">
        <v>0</v>
      </c>
      <c r="E632" s="51"/>
      <c r="F632" s="51" t="n">
        <v>183</v>
      </c>
      <c r="G632" s="51" t="n">
        <v>0</v>
      </c>
      <c r="H632" s="51"/>
      <c r="I632" s="51"/>
      <c r="J632" s="51"/>
      <c r="K632" s="51"/>
      <c r="L632" s="51"/>
    </row>
    <row r="633" customFormat="false" ht="15" hidden="false" customHeight="false" outlineLevel="0" collapsed="false">
      <c r="A633" s="52"/>
      <c r="B633" s="51"/>
      <c r="C633" s="51" t="n">
        <v>0</v>
      </c>
      <c r="D633" s="51" t="n">
        <v>0</v>
      </c>
      <c r="E633" s="51"/>
      <c r="F633" s="51" t="n">
        <v>180</v>
      </c>
      <c r="G633" s="51" t="n">
        <v>0</v>
      </c>
      <c r="H633" s="51"/>
      <c r="I633" s="51"/>
      <c r="J633" s="51"/>
      <c r="K633" s="51"/>
      <c r="L633" s="51"/>
    </row>
    <row r="634" customFormat="false" ht="15" hidden="false" customHeight="false" outlineLevel="0" collapsed="false">
      <c r="A634" s="52"/>
      <c r="B634" s="51"/>
      <c r="C634" s="51" t="n">
        <v>0</v>
      </c>
      <c r="D634" s="51" t="n">
        <v>0</v>
      </c>
      <c r="E634" s="51"/>
      <c r="F634" s="51" t="n">
        <v>179</v>
      </c>
      <c r="G634" s="51" t="n">
        <v>0</v>
      </c>
      <c r="H634" s="51"/>
      <c r="I634" s="51"/>
      <c r="J634" s="51"/>
      <c r="K634" s="51"/>
      <c r="L634" s="51"/>
    </row>
    <row r="635" customFormat="false" ht="15" hidden="false" customHeight="false" outlineLevel="0" collapsed="false">
      <c r="A635" s="52"/>
      <c r="B635" s="51"/>
      <c r="C635" s="51" t="n">
        <v>0</v>
      </c>
      <c r="D635" s="51" t="n">
        <v>0</v>
      </c>
      <c r="E635" s="51"/>
      <c r="F635" s="51" t="n">
        <v>179</v>
      </c>
      <c r="G635" s="51" t="n">
        <v>134</v>
      </c>
      <c r="H635" s="51"/>
      <c r="I635" s="51"/>
      <c r="J635" s="51"/>
      <c r="K635" s="51"/>
      <c r="L635" s="51"/>
    </row>
    <row r="636" customFormat="false" ht="15" hidden="false" customHeight="false" outlineLevel="0" collapsed="false">
      <c r="A636" s="52"/>
      <c r="B636" s="51"/>
      <c r="C636" s="51" t="n">
        <v>0</v>
      </c>
      <c r="D636" s="51" t="n">
        <v>1</v>
      </c>
      <c r="E636" s="51"/>
      <c r="F636" s="51" t="n">
        <v>178</v>
      </c>
      <c r="G636" s="51" t="n">
        <v>139</v>
      </c>
      <c r="H636" s="51"/>
      <c r="I636" s="51"/>
      <c r="J636" s="51"/>
      <c r="K636" s="51"/>
      <c r="L636" s="51"/>
    </row>
    <row r="637" customFormat="false" ht="15" hidden="false" customHeight="false" outlineLevel="0" collapsed="false">
      <c r="A637" s="52"/>
      <c r="B637" s="51"/>
      <c r="C637" s="51" t="n">
        <v>0</v>
      </c>
      <c r="D637" s="51" t="n">
        <v>0</v>
      </c>
      <c r="E637" s="51"/>
      <c r="F637" s="51" t="n">
        <v>178</v>
      </c>
      <c r="G637" s="51" t="n">
        <v>0</v>
      </c>
      <c r="H637" s="51"/>
      <c r="I637" s="51"/>
      <c r="J637" s="51"/>
      <c r="K637" s="51"/>
      <c r="L637" s="51"/>
    </row>
    <row r="638" customFormat="false" ht="15" hidden="false" customHeight="false" outlineLevel="0" collapsed="false">
      <c r="A638" s="52"/>
      <c r="B638" s="51"/>
      <c r="C638" s="51" t="n">
        <v>0</v>
      </c>
      <c r="D638" s="51" t="n">
        <v>0</v>
      </c>
      <c r="E638" s="51"/>
      <c r="F638" s="51" t="n">
        <v>176</v>
      </c>
      <c r="G638" s="51" t="n">
        <v>0</v>
      </c>
      <c r="H638" s="51"/>
      <c r="I638" s="51"/>
      <c r="J638" s="51"/>
      <c r="K638" s="51"/>
      <c r="L638" s="51"/>
    </row>
    <row r="639" customFormat="false" ht="15" hidden="false" customHeight="false" outlineLevel="0" collapsed="false">
      <c r="A639" s="52"/>
      <c r="B639" s="51"/>
      <c r="C639" s="51" t="n">
        <v>0</v>
      </c>
      <c r="D639" s="51" t="n">
        <v>2</v>
      </c>
      <c r="E639" s="51"/>
      <c r="F639" s="51" t="n">
        <v>173</v>
      </c>
      <c r="G639" s="51" t="n">
        <v>65</v>
      </c>
      <c r="H639" s="51"/>
      <c r="I639" s="51"/>
      <c r="J639" s="51"/>
      <c r="K639" s="51"/>
      <c r="L639" s="51"/>
    </row>
    <row r="640" customFormat="false" ht="15" hidden="false" customHeight="false" outlineLevel="0" collapsed="false">
      <c r="A640" s="52"/>
      <c r="B640" s="51"/>
      <c r="C640" s="51" t="n">
        <v>0</v>
      </c>
      <c r="D640" s="51" t="n">
        <v>0</v>
      </c>
      <c r="E640" s="51"/>
      <c r="F640" s="51" t="n">
        <v>173</v>
      </c>
      <c r="G640" s="51" t="n">
        <v>0</v>
      </c>
      <c r="H640" s="51"/>
      <c r="I640" s="51"/>
      <c r="J640" s="51"/>
      <c r="K640" s="51"/>
      <c r="L640" s="51"/>
    </row>
    <row r="641" customFormat="false" ht="15" hidden="false" customHeight="false" outlineLevel="0" collapsed="false">
      <c r="A641" s="52"/>
      <c r="B641" s="51"/>
      <c r="C641" s="51" t="n">
        <v>0</v>
      </c>
      <c r="D641" s="51" t="n">
        <v>1</v>
      </c>
      <c r="E641" s="51"/>
      <c r="F641" s="51" t="n">
        <v>165</v>
      </c>
      <c r="G641" s="51" t="n">
        <v>146</v>
      </c>
      <c r="H641" s="51"/>
      <c r="I641" s="51"/>
      <c r="J641" s="51"/>
      <c r="K641" s="51"/>
      <c r="L641" s="51"/>
    </row>
    <row r="642" customFormat="false" ht="15" hidden="false" customHeight="false" outlineLevel="0" collapsed="false">
      <c r="A642" s="52"/>
      <c r="B642" s="51"/>
      <c r="C642" s="51" t="n">
        <v>0</v>
      </c>
      <c r="D642" s="51" t="n">
        <v>0</v>
      </c>
      <c r="E642" s="51"/>
      <c r="F642" s="51" t="n">
        <v>165</v>
      </c>
      <c r="G642" s="51" t="n">
        <v>22</v>
      </c>
      <c r="H642" s="51"/>
      <c r="I642" s="51"/>
      <c r="J642" s="51"/>
      <c r="K642" s="51"/>
      <c r="L642" s="51"/>
    </row>
    <row r="643" customFormat="false" ht="15" hidden="false" customHeight="false" outlineLevel="0" collapsed="false">
      <c r="A643" s="52"/>
      <c r="B643" s="51"/>
      <c r="C643" s="51" t="n">
        <v>0</v>
      </c>
      <c r="D643" s="51" t="n">
        <v>0</v>
      </c>
      <c r="E643" s="51"/>
      <c r="F643" s="51" t="n">
        <v>164</v>
      </c>
      <c r="G643" s="51" t="n">
        <v>714</v>
      </c>
      <c r="H643" s="51"/>
      <c r="I643" s="51"/>
      <c r="J643" s="51"/>
      <c r="K643" s="51"/>
      <c r="L643" s="51"/>
    </row>
    <row r="644" customFormat="false" ht="15" hidden="false" customHeight="false" outlineLevel="0" collapsed="false">
      <c r="A644" s="52"/>
      <c r="B644" s="51"/>
      <c r="C644" s="51" t="n">
        <v>0</v>
      </c>
      <c r="D644" s="51" t="n">
        <v>0</v>
      </c>
      <c r="E644" s="51"/>
      <c r="F644" s="51" t="n">
        <v>161</v>
      </c>
      <c r="G644" s="51" t="n">
        <v>0</v>
      </c>
      <c r="H644" s="51"/>
      <c r="I644" s="51"/>
      <c r="J644" s="51"/>
      <c r="K644" s="51"/>
      <c r="L644" s="51"/>
    </row>
    <row r="645" customFormat="false" ht="15" hidden="false" customHeight="false" outlineLevel="0" collapsed="false">
      <c r="A645" s="52"/>
      <c r="B645" s="51"/>
      <c r="C645" s="51" t="n">
        <v>0</v>
      </c>
      <c r="D645" s="51" t="n">
        <v>0</v>
      </c>
      <c r="E645" s="51"/>
      <c r="F645" s="51" t="n">
        <v>160</v>
      </c>
      <c r="G645" s="51" t="n">
        <v>0</v>
      </c>
      <c r="H645" s="51"/>
      <c r="I645" s="51"/>
      <c r="J645" s="51"/>
      <c r="K645" s="51"/>
      <c r="L645" s="51"/>
    </row>
    <row r="646" customFormat="false" ht="15" hidden="false" customHeight="false" outlineLevel="0" collapsed="false">
      <c r="A646" s="52"/>
      <c r="B646" s="51"/>
      <c r="C646" s="51" t="n">
        <v>0</v>
      </c>
      <c r="D646" s="51" t="n">
        <v>0</v>
      </c>
      <c r="E646" s="51"/>
      <c r="F646" s="51" t="n">
        <v>160</v>
      </c>
      <c r="G646" s="51" t="n">
        <v>0</v>
      </c>
      <c r="H646" s="51"/>
      <c r="I646" s="51"/>
      <c r="J646" s="51"/>
      <c r="K646" s="51"/>
      <c r="L646" s="51"/>
    </row>
    <row r="647" customFormat="false" ht="15" hidden="false" customHeight="false" outlineLevel="0" collapsed="false">
      <c r="A647" s="52"/>
      <c r="B647" s="51"/>
      <c r="C647" s="51" t="n">
        <v>0</v>
      </c>
      <c r="D647" s="51" t="n">
        <v>0</v>
      </c>
      <c r="E647" s="51"/>
      <c r="F647" s="51" t="n">
        <v>157</v>
      </c>
      <c r="G647" s="51" t="n">
        <v>0</v>
      </c>
      <c r="H647" s="51"/>
      <c r="I647" s="51"/>
      <c r="J647" s="51"/>
      <c r="K647" s="51"/>
      <c r="L647" s="51"/>
    </row>
    <row r="648" customFormat="false" ht="15" hidden="false" customHeight="false" outlineLevel="0" collapsed="false">
      <c r="A648" s="52"/>
      <c r="B648" s="51"/>
      <c r="C648" s="51" t="n">
        <v>0</v>
      </c>
      <c r="D648" s="51" t="n">
        <v>0</v>
      </c>
      <c r="E648" s="51"/>
      <c r="F648" s="51" t="n">
        <v>156</v>
      </c>
      <c r="G648" s="51" t="n">
        <v>281</v>
      </c>
      <c r="H648" s="51"/>
      <c r="I648" s="51"/>
      <c r="J648" s="51"/>
      <c r="K648" s="51"/>
      <c r="L648" s="51"/>
    </row>
    <row r="649" customFormat="false" ht="15" hidden="false" customHeight="false" outlineLevel="0" collapsed="false">
      <c r="A649" s="52"/>
      <c r="B649" s="51"/>
      <c r="C649" s="51" t="n">
        <v>0</v>
      </c>
      <c r="D649" s="51" t="n">
        <v>0</v>
      </c>
      <c r="E649" s="51"/>
      <c r="F649" s="51" t="n">
        <v>156</v>
      </c>
      <c r="G649" s="51" t="n">
        <v>496</v>
      </c>
      <c r="H649" s="51"/>
      <c r="I649" s="51"/>
      <c r="J649" s="51"/>
      <c r="K649" s="51"/>
      <c r="L649" s="51"/>
    </row>
    <row r="650" customFormat="false" ht="15" hidden="false" customHeight="false" outlineLevel="0" collapsed="false">
      <c r="A650" s="52"/>
      <c r="B650" s="51"/>
      <c r="C650" s="51" t="n">
        <v>0</v>
      </c>
      <c r="D650" s="51" t="n">
        <v>0</v>
      </c>
      <c r="E650" s="51"/>
      <c r="F650" s="51" t="n">
        <v>154</v>
      </c>
      <c r="G650" s="51" t="n">
        <v>0</v>
      </c>
      <c r="H650" s="51"/>
      <c r="I650" s="51"/>
      <c r="J650" s="51"/>
      <c r="K650" s="51"/>
      <c r="L650" s="51"/>
    </row>
    <row r="651" customFormat="false" ht="15" hidden="false" customHeight="false" outlineLevel="0" collapsed="false">
      <c r="A651" s="52"/>
      <c r="B651" s="51"/>
      <c r="C651" s="51" t="n">
        <v>0</v>
      </c>
      <c r="D651" s="51" t="n">
        <v>0</v>
      </c>
      <c r="E651" s="51"/>
      <c r="F651" s="51" t="n">
        <v>152</v>
      </c>
      <c r="G651" s="51" t="n">
        <v>0</v>
      </c>
      <c r="H651" s="51"/>
      <c r="I651" s="51"/>
      <c r="J651" s="51"/>
      <c r="K651" s="51"/>
      <c r="L651" s="51"/>
    </row>
    <row r="652" customFormat="false" ht="15" hidden="false" customHeight="false" outlineLevel="0" collapsed="false">
      <c r="A652" s="52"/>
      <c r="B652" s="51"/>
      <c r="C652" s="51" t="n">
        <v>0</v>
      </c>
      <c r="D652" s="51" t="n">
        <v>0</v>
      </c>
      <c r="E652" s="51"/>
      <c r="F652" s="51" t="n">
        <v>150</v>
      </c>
      <c r="G652" s="51" t="n">
        <v>0</v>
      </c>
      <c r="H652" s="51"/>
      <c r="I652" s="51"/>
      <c r="J652" s="51"/>
      <c r="K652" s="51"/>
      <c r="L652" s="51"/>
    </row>
    <row r="653" customFormat="false" ht="15" hidden="false" customHeight="false" outlineLevel="0" collapsed="false">
      <c r="A653" s="52"/>
      <c r="B653" s="51"/>
      <c r="C653" s="51" t="n">
        <v>0</v>
      </c>
      <c r="D653" s="51" t="n">
        <v>0</v>
      </c>
      <c r="E653" s="51"/>
      <c r="F653" s="51" t="n">
        <v>148</v>
      </c>
      <c r="G653" s="51" t="n">
        <v>36</v>
      </c>
      <c r="H653" s="51"/>
      <c r="I653" s="51"/>
      <c r="J653" s="51"/>
      <c r="K653" s="51"/>
      <c r="L653" s="51"/>
    </row>
    <row r="654" customFormat="false" ht="15" hidden="false" customHeight="false" outlineLevel="0" collapsed="false">
      <c r="A654" s="52"/>
      <c r="B654" s="51"/>
      <c r="C654" s="51" t="n">
        <v>0</v>
      </c>
      <c r="D654" s="51" t="n">
        <v>0</v>
      </c>
      <c r="E654" s="51"/>
      <c r="F654" s="51" t="n">
        <v>148</v>
      </c>
      <c r="G654" s="51" t="n">
        <v>0</v>
      </c>
      <c r="H654" s="51"/>
      <c r="I654" s="51"/>
      <c r="J654" s="51"/>
      <c r="K654" s="51"/>
      <c r="L654" s="51"/>
    </row>
    <row r="655" customFormat="false" ht="15" hidden="false" customHeight="false" outlineLevel="0" collapsed="false">
      <c r="A655" s="52"/>
      <c r="B655" s="51"/>
      <c r="C655" s="51" t="n">
        <v>0</v>
      </c>
      <c r="D655" s="51" t="n">
        <v>1</v>
      </c>
      <c r="E655" s="51"/>
      <c r="F655" s="51" t="n">
        <v>145</v>
      </c>
      <c r="G655" s="51" t="n">
        <v>258</v>
      </c>
      <c r="H655" s="51"/>
      <c r="I655" s="51"/>
      <c r="J655" s="51"/>
      <c r="K655" s="51"/>
      <c r="L655" s="51"/>
    </row>
    <row r="656" customFormat="false" ht="15" hidden="false" customHeight="false" outlineLevel="0" collapsed="false">
      <c r="A656" s="52"/>
      <c r="B656" s="51"/>
      <c r="C656" s="51" t="n">
        <v>0</v>
      </c>
      <c r="D656" s="51" t="n">
        <v>0</v>
      </c>
      <c r="E656" s="51"/>
      <c r="F656" s="51" t="n">
        <v>145</v>
      </c>
      <c r="G656" s="51" t="n">
        <v>295</v>
      </c>
      <c r="H656" s="51"/>
      <c r="I656" s="51"/>
      <c r="J656" s="51"/>
      <c r="K656" s="51"/>
      <c r="L656" s="51"/>
    </row>
    <row r="657" customFormat="false" ht="15" hidden="false" customHeight="false" outlineLevel="0" collapsed="false">
      <c r="A657" s="52"/>
      <c r="B657" s="51"/>
      <c r="C657" s="51" t="n">
        <v>0</v>
      </c>
      <c r="D657" s="51" t="n">
        <v>1</v>
      </c>
      <c r="E657" s="51"/>
      <c r="F657" s="51" t="n">
        <v>145</v>
      </c>
      <c r="G657" s="51" t="n">
        <v>298</v>
      </c>
      <c r="H657" s="51"/>
      <c r="I657" s="51"/>
      <c r="J657" s="51"/>
      <c r="K657" s="51"/>
      <c r="L657" s="51"/>
    </row>
    <row r="658" customFormat="false" ht="15" hidden="false" customHeight="false" outlineLevel="0" collapsed="false">
      <c r="A658" s="52"/>
      <c r="B658" s="51"/>
      <c r="C658" s="51" t="n">
        <v>0</v>
      </c>
      <c r="D658" s="51" t="n">
        <v>1</v>
      </c>
      <c r="E658" s="51"/>
      <c r="F658" s="51" t="n">
        <v>144</v>
      </c>
      <c r="G658" s="51" t="n">
        <v>104</v>
      </c>
      <c r="H658" s="51"/>
      <c r="I658" s="51"/>
      <c r="J658" s="51"/>
      <c r="K658" s="51"/>
      <c r="L658" s="51"/>
    </row>
    <row r="659" customFormat="false" ht="15" hidden="false" customHeight="false" outlineLevel="0" collapsed="false">
      <c r="A659" s="52"/>
      <c r="B659" s="51"/>
      <c r="C659" s="51" t="n">
        <v>0</v>
      </c>
      <c r="D659" s="51" t="n">
        <v>0</v>
      </c>
      <c r="E659" s="51"/>
      <c r="F659" s="51" t="n">
        <v>142</v>
      </c>
      <c r="G659" s="51" t="n">
        <v>0</v>
      </c>
      <c r="H659" s="51"/>
      <c r="I659" s="51"/>
      <c r="J659" s="51"/>
      <c r="K659" s="51"/>
      <c r="L659" s="51"/>
    </row>
    <row r="660" customFormat="false" ht="15" hidden="false" customHeight="false" outlineLevel="0" collapsed="false">
      <c r="A660" s="52"/>
      <c r="B660" s="51"/>
      <c r="C660" s="51" t="n">
        <v>0</v>
      </c>
      <c r="D660" s="51" t="n">
        <v>0</v>
      </c>
      <c r="E660" s="51"/>
      <c r="F660" s="51" t="n">
        <v>138</v>
      </c>
      <c r="G660" s="51" t="n">
        <v>241</v>
      </c>
      <c r="H660" s="51"/>
      <c r="I660" s="51"/>
      <c r="J660" s="51"/>
      <c r="K660" s="51"/>
      <c r="L660" s="51"/>
    </row>
    <row r="661" customFormat="false" ht="15" hidden="false" customHeight="false" outlineLevel="0" collapsed="false">
      <c r="A661" s="52"/>
      <c r="B661" s="51"/>
      <c r="C661" s="51" t="n">
        <v>0</v>
      </c>
      <c r="D661" s="51" t="n">
        <v>1</v>
      </c>
      <c r="E661" s="51"/>
      <c r="F661" s="51" t="n">
        <v>138</v>
      </c>
      <c r="G661" s="51" t="n">
        <v>249</v>
      </c>
      <c r="H661" s="51"/>
      <c r="I661" s="51"/>
      <c r="J661" s="51"/>
      <c r="K661" s="51"/>
      <c r="L661" s="51"/>
    </row>
    <row r="662" customFormat="false" ht="15" hidden="false" customHeight="false" outlineLevel="0" collapsed="false">
      <c r="A662" s="52"/>
      <c r="B662" s="51"/>
      <c r="C662" s="51" t="n">
        <v>0</v>
      </c>
      <c r="D662" s="51" t="n">
        <v>0</v>
      </c>
      <c r="E662" s="51"/>
      <c r="F662" s="51" t="n">
        <v>138</v>
      </c>
      <c r="G662" s="51" t="n">
        <v>0</v>
      </c>
      <c r="H662" s="51"/>
      <c r="I662" s="51"/>
      <c r="J662" s="51"/>
      <c r="K662" s="51"/>
      <c r="L662" s="51"/>
    </row>
    <row r="663" customFormat="false" ht="15" hidden="false" customHeight="false" outlineLevel="0" collapsed="false">
      <c r="A663" s="52"/>
      <c r="B663" s="51"/>
      <c r="C663" s="51" t="n">
        <v>0</v>
      </c>
      <c r="D663" s="51" t="n">
        <v>0</v>
      </c>
      <c r="E663" s="51"/>
      <c r="F663" s="51" t="n">
        <v>137</v>
      </c>
      <c r="G663" s="51" t="n">
        <v>0</v>
      </c>
      <c r="H663" s="51"/>
      <c r="I663" s="51"/>
      <c r="J663" s="51"/>
      <c r="K663" s="51"/>
      <c r="L663" s="51"/>
    </row>
    <row r="664" customFormat="false" ht="15" hidden="false" customHeight="false" outlineLevel="0" collapsed="false">
      <c r="A664" s="52"/>
      <c r="B664" s="51"/>
      <c r="C664" s="51" t="n">
        <v>0</v>
      </c>
      <c r="D664" s="51" t="n">
        <v>0</v>
      </c>
      <c r="E664" s="51"/>
      <c r="F664" s="51" t="n">
        <v>135</v>
      </c>
      <c r="G664" s="51" t="n">
        <v>99</v>
      </c>
      <c r="H664" s="51"/>
      <c r="I664" s="51"/>
      <c r="J664" s="51"/>
      <c r="K664" s="51"/>
      <c r="L664" s="51"/>
    </row>
    <row r="665" customFormat="false" ht="15" hidden="false" customHeight="false" outlineLevel="0" collapsed="false">
      <c r="A665" s="52"/>
      <c r="B665" s="51"/>
      <c r="C665" s="51" t="n">
        <v>0</v>
      </c>
      <c r="D665" s="51" t="n">
        <v>0</v>
      </c>
      <c r="E665" s="51"/>
      <c r="F665" s="51" t="n">
        <v>135</v>
      </c>
      <c r="G665" s="51" t="n">
        <v>0</v>
      </c>
      <c r="H665" s="51"/>
      <c r="I665" s="51"/>
      <c r="J665" s="51"/>
      <c r="K665" s="51"/>
      <c r="L665" s="51"/>
    </row>
    <row r="666" customFormat="false" ht="15" hidden="false" customHeight="false" outlineLevel="0" collapsed="false">
      <c r="A666" s="52"/>
      <c r="B666" s="51"/>
      <c r="C666" s="51" t="n">
        <v>0</v>
      </c>
      <c r="D666" s="51" t="n">
        <v>0</v>
      </c>
      <c r="E666" s="51"/>
      <c r="F666" s="51" t="n">
        <v>133</v>
      </c>
      <c r="G666" s="51" t="n">
        <v>263</v>
      </c>
      <c r="H666" s="51"/>
      <c r="I666" s="51"/>
      <c r="J666" s="51"/>
      <c r="K666" s="51"/>
      <c r="L666" s="51"/>
    </row>
    <row r="667" customFormat="false" ht="15" hidden="false" customHeight="false" outlineLevel="0" collapsed="false">
      <c r="A667" s="52"/>
      <c r="B667" s="51"/>
      <c r="C667" s="51" t="n">
        <v>0</v>
      </c>
      <c r="D667" s="51" t="n">
        <v>0</v>
      </c>
      <c r="E667" s="51"/>
      <c r="F667" s="51" t="n">
        <v>132</v>
      </c>
      <c r="G667" s="51" t="n">
        <v>0</v>
      </c>
      <c r="H667" s="51"/>
      <c r="I667" s="51"/>
      <c r="J667" s="51"/>
      <c r="K667" s="51"/>
      <c r="L667" s="51"/>
    </row>
    <row r="668" customFormat="false" ht="15" hidden="false" customHeight="false" outlineLevel="0" collapsed="false">
      <c r="A668" s="52"/>
      <c r="B668" s="51"/>
      <c r="C668" s="51" t="n">
        <v>0</v>
      </c>
      <c r="D668" s="51" t="n">
        <v>1</v>
      </c>
      <c r="E668" s="51"/>
      <c r="F668" s="51" t="n">
        <v>130</v>
      </c>
      <c r="G668" s="51" t="n">
        <v>275</v>
      </c>
      <c r="H668" s="51"/>
      <c r="I668" s="51"/>
      <c r="J668" s="51"/>
      <c r="K668" s="51"/>
      <c r="L668" s="51"/>
    </row>
    <row r="669" customFormat="false" ht="15" hidden="false" customHeight="false" outlineLevel="0" collapsed="false">
      <c r="A669" s="52"/>
      <c r="B669" s="51"/>
      <c r="C669" s="51" t="n">
        <v>0</v>
      </c>
      <c r="D669" s="51" t="n">
        <v>0</v>
      </c>
      <c r="E669" s="51"/>
      <c r="F669" s="51" t="n">
        <v>130</v>
      </c>
      <c r="G669" s="51" t="n">
        <v>0</v>
      </c>
      <c r="H669" s="51"/>
      <c r="I669" s="51"/>
      <c r="J669" s="51"/>
      <c r="K669" s="51"/>
      <c r="L669" s="51"/>
    </row>
    <row r="670" customFormat="false" ht="15" hidden="false" customHeight="false" outlineLevel="0" collapsed="false">
      <c r="A670" s="46"/>
      <c r="B670" s="49" t="s">
        <v>6554</v>
      </c>
      <c r="C670" s="48" t="n">
        <v>0</v>
      </c>
      <c r="D670" s="48" t="n">
        <v>0</v>
      </c>
      <c r="E670" s="48" t="n">
        <f aca="false">C670-D670</f>
        <v>0</v>
      </c>
      <c r="F670" s="48" t="n">
        <v>128</v>
      </c>
      <c r="G670" s="48" t="n">
        <v>146</v>
      </c>
      <c r="H670" s="48" t="n">
        <f aca="false">F670-G670</f>
        <v>-18</v>
      </c>
      <c r="I670" s="51"/>
      <c r="J670" s="51"/>
      <c r="K670" s="51"/>
      <c r="L670" s="51"/>
    </row>
    <row r="671" customFormat="false" ht="15" hidden="false" customHeight="false" outlineLevel="0" collapsed="false">
      <c r="A671" s="52"/>
      <c r="B671" s="51"/>
      <c r="C671" s="51" t="n">
        <v>0</v>
      </c>
      <c r="D671" s="51" t="n">
        <v>0</v>
      </c>
      <c r="E671" s="51"/>
      <c r="F671" s="51" t="n">
        <v>128</v>
      </c>
      <c r="G671" s="51" t="n">
        <v>0</v>
      </c>
      <c r="H671" s="51"/>
      <c r="I671" s="51"/>
      <c r="J671" s="51"/>
      <c r="K671" s="51"/>
      <c r="L671" s="51"/>
    </row>
    <row r="672" customFormat="false" ht="15" hidden="false" customHeight="false" outlineLevel="0" collapsed="false">
      <c r="A672" s="52"/>
      <c r="B672" s="51"/>
      <c r="C672" s="51" t="n">
        <v>0</v>
      </c>
      <c r="D672" s="51" t="n">
        <v>0</v>
      </c>
      <c r="E672" s="51"/>
      <c r="F672" s="51" t="n">
        <v>128</v>
      </c>
      <c r="G672" s="51" t="n">
        <v>0</v>
      </c>
      <c r="H672" s="51"/>
      <c r="I672" s="51"/>
      <c r="J672" s="51"/>
      <c r="K672" s="51"/>
      <c r="L672" s="51"/>
    </row>
    <row r="673" customFormat="false" ht="15" hidden="false" customHeight="false" outlineLevel="0" collapsed="false">
      <c r="A673" s="52"/>
      <c r="B673" s="51"/>
      <c r="C673" s="51" t="n">
        <v>0</v>
      </c>
      <c r="D673" s="51" t="n">
        <v>0</v>
      </c>
      <c r="E673" s="51"/>
      <c r="F673" s="51" t="n">
        <v>127</v>
      </c>
      <c r="G673" s="51" t="n">
        <v>109</v>
      </c>
      <c r="H673" s="51"/>
      <c r="I673" s="51"/>
      <c r="J673" s="51"/>
      <c r="K673" s="51"/>
      <c r="L673" s="51"/>
    </row>
    <row r="674" customFormat="false" ht="15" hidden="false" customHeight="false" outlineLevel="0" collapsed="false">
      <c r="A674" s="52"/>
      <c r="B674" s="51"/>
      <c r="C674" s="51" t="n">
        <v>0</v>
      </c>
      <c r="D674" s="51" t="n">
        <v>0</v>
      </c>
      <c r="E674" s="51"/>
      <c r="F674" s="51" t="n">
        <v>127</v>
      </c>
      <c r="G674" s="51" t="n">
        <v>0</v>
      </c>
      <c r="H674" s="51"/>
      <c r="I674" s="51"/>
      <c r="J674" s="51"/>
      <c r="K674" s="51"/>
      <c r="L674" s="51"/>
    </row>
    <row r="675" customFormat="false" ht="15" hidden="false" customHeight="false" outlineLevel="0" collapsed="false">
      <c r="A675" s="52"/>
      <c r="B675" s="51"/>
      <c r="C675" s="51" t="n">
        <v>0</v>
      </c>
      <c r="D675" s="51" t="n">
        <v>0</v>
      </c>
      <c r="E675" s="51"/>
      <c r="F675" s="51" t="n">
        <v>124</v>
      </c>
      <c r="G675" s="51" t="n">
        <v>0</v>
      </c>
      <c r="H675" s="51"/>
      <c r="I675" s="51"/>
      <c r="J675" s="51"/>
      <c r="K675" s="51"/>
      <c r="L675" s="51"/>
    </row>
    <row r="676" customFormat="false" ht="15" hidden="false" customHeight="false" outlineLevel="0" collapsed="false">
      <c r="A676" s="52"/>
      <c r="B676" s="51"/>
      <c r="C676" s="51" t="n">
        <v>0</v>
      </c>
      <c r="D676" s="51" t="n">
        <v>0</v>
      </c>
      <c r="E676" s="51"/>
      <c r="F676" s="51" t="n">
        <v>124</v>
      </c>
      <c r="G676" s="51" t="n">
        <v>0</v>
      </c>
      <c r="H676" s="51"/>
      <c r="I676" s="51"/>
      <c r="J676" s="51"/>
      <c r="K676" s="51"/>
      <c r="L676" s="51"/>
    </row>
    <row r="677" customFormat="false" ht="15" hidden="false" customHeight="false" outlineLevel="0" collapsed="false">
      <c r="A677" s="52"/>
      <c r="B677" s="51"/>
      <c r="C677" s="51" t="n">
        <v>0</v>
      </c>
      <c r="D677" s="51" t="n">
        <v>0</v>
      </c>
      <c r="E677" s="51"/>
      <c r="F677" s="51" t="n">
        <v>124</v>
      </c>
      <c r="G677" s="51" t="n">
        <v>93</v>
      </c>
      <c r="H677" s="51"/>
      <c r="I677" s="51"/>
      <c r="J677" s="51"/>
      <c r="K677" s="51"/>
      <c r="L677" s="51"/>
    </row>
    <row r="678" customFormat="false" ht="15" hidden="false" customHeight="false" outlineLevel="0" collapsed="false">
      <c r="A678" s="52"/>
      <c r="B678" s="51"/>
      <c r="C678" s="51" t="n">
        <v>0</v>
      </c>
      <c r="D678" s="51" t="n">
        <v>0</v>
      </c>
      <c r="E678" s="51"/>
      <c r="F678" s="51" t="n">
        <v>124</v>
      </c>
      <c r="G678" s="51" t="n">
        <v>0</v>
      </c>
      <c r="H678" s="51"/>
      <c r="I678" s="51"/>
      <c r="J678" s="51"/>
      <c r="K678" s="51"/>
      <c r="L678" s="51"/>
    </row>
    <row r="679" customFormat="false" ht="15" hidden="false" customHeight="false" outlineLevel="0" collapsed="false">
      <c r="A679" s="52"/>
      <c r="B679" s="51"/>
      <c r="C679" s="51" t="n">
        <v>0</v>
      </c>
      <c r="D679" s="51" t="n">
        <v>0</v>
      </c>
      <c r="E679" s="51"/>
      <c r="F679" s="51" t="n">
        <v>123</v>
      </c>
      <c r="G679" s="51" t="n">
        <v>0</v>
      </c>
      <c r="H679" s="51"/>
      <c r="I679" s="51"/>
      <c r="J679" s="51"/>
      <c r="K679" s="51"/>
      <c r="L679" s="51"/>
    </row>
    <row r="680" customFormat="false" ht="15" hidden="false" customHeight="false" outlineLevel="0" collapsed="false">
      <c r="A680" s="52"/>
      <c r="B680" s="51"/>
      <c r="C680" s="51" t="n">
        <v>0</v>
      </c>
      <c r="D680" s="51" t="n">
        <v>0</v>
      </c>
      <c r="E680" s="51"/>
      <c r="F680" s="51" t="n">
        <v>120</v>
      </c>
      <c r="G680" s="51" t="n">
        <v>0</v>
      </c>
      <c r="H680" s="51"/>
      <c r="I680" s="51"/>
      <c r="J680" s="51"/>
      <c r="K680" s="51"/>
      <c r="L680" s="51"/>
    </row>
    <row r="681" customFormat="false" ht="15" hidden="false" customHeight="false" outlineLevel="0" collapsed="false">
      <c r="A681" s="52"/>
      <c r="B681" s="51"/>
      <c r="C681" s="51" t="n">
        <v>0</v>
      </c>
      <c r="D681" s="51" t="n">
        <v>0</v>
      </c>
      <c r="E681" s="51"/>
      <c r="F681" s="51" t="n">
        <v>120</v>
      </c>
      <c r="G681" s="51" t="n">
        <v>0</v>
      </c>
      <c r="H681" s="51"/>
      <c r="I681" s="51"/>
      <c r="J681" s="51"/>
      <c r="K681" s="51"/>
      <c r="L681" s="51"/>
    </row>
    <row r="682" customFormat="false" ht="15" hidden="false" customHeight="false" outlineLevel="0" collapsed="false">
      <c r="A682" s="52"/>
      <c r="B682" s="51"/>
      <c r="C682" s="51" t="n">
        <v>0</v>
      </c>
      <c r="D682" s="51" t="n">
        <v>0</v>
      </c>
      <c r="E682" s="51"/>
      <c r="F682" s="51" t="n">
        <v>119</v>
      </c>
      <c r="G682" s="51" t="n">
        <v>0</v>
      </c>
      <c r="H682" s="51"/>
      <c r="I682" s="51"/>
      <c r="J682" s="51"/>
      <c r="K682" s="51"/>
      <c r="L682" s="51"/>
    </row>
    <row r="683" customFormat="false" ht="15" hidden="false" customHeight="false" outlineLevel="0" collapsed="false">
      <c r="A683" s="52"/>
      <c r="B683" s="51"/>
      <c r="C683" s="51" t="n">
        <v>0</v>
      </c>
      <c r="D683" s="51" t="n">
        <v>0</v>
      </c>
      <c r="E683" s="51"/>
      <c r="F683" s="51" t="n">
        <v>117</v>
      </c>
      <c r="G683" s="51" t="n">
        <v>90</v>
      </c>
      <c r="H683" s="51"/>
      <c r="I683" s="51"/>
      <c r="J683" s="51"/>
      <c r="K683" s="51"/>
      <c r="L683" s="51"/>
    </row>
    <row r="684" customFormat="false" ht="15" hidden="false" customHeight="false" outlineLevel="0" collapsed="false">
      <c r="A684" s="52"/>
      <c r="B684" s="51"/>
      <c r="C684" s="51" t="n">
        <v>0</v>
      </c>
      <c r="D684" s="51" t="n">
        <v>0</v>
      </c>
      <c r="E684" s="51"/>
      <c r="F684" s="51" t="n">
        <v>117</v>
      </c>
      <c r="G684" s="51" t="n">
        <v>0</v>
      </c>
      <c r="H684" s="51"/>
      <c r="I684" s="51"/>
      <c r="J684" s="51"/>
      <c r="K684" s="51"/>
      <c r="L684" s="51"/>
    </row>
    <row r="685" customFormat="false" ht="15" hidden="false" customHeight="false" outlineLevel="0" collapsed="false">
      <c r="A685" s="52"/>
      <c r="B685" s="51"/>
      <c r="C685" s="51" t="n">
        <v>0</v>
      </c>
      <c r="D685" s="51" t="n">
        <v>0</v>
      </c>
      <c r="E685" s="51"/>
      <c r="F685" s="51" t="n">
        <v>116</v>
      </c>
      <c r="G685" s="51" t="n">
        <v>51</v>
      </c>
      <c r="H685" s="51"/>
      <c r="I685" s="51"/>
      <c r="J685" s="51"/>
      <c r="K685" s="51"/>
      <c r="L685" s="51"/>
    </row>
    <row r="686" customFormat="false" ht="15" hidden="false" customHeight="false" outlineLevel="0" collapsed="false">
      <c r="A686" s="46"/>
      <c r="B686" s="49" t="s">
        <v>6555</v>
      </c>
      <c r="C686" s="48" t="n">
        <v>0</v>
      </c>
      <c r="D686" s="48" t="n">
        <v>0</v>
      </c>
      <c r="E686" s="48" t="n">
        <f aca="false">C686-D686</f>
        <v>0</v>
      </c>
      <c r="F686" s="48" t="n">
        <v>115</v>
      </c>
      <c r="G686" s="48" t="n">
        <v>9</v>
      </c>
      <c r="H686" s="48" t="n">
        <f aca="false">F686-G686</f>
        <v>106</v>
      </c>
      <c r="I686" s="51"/>
      <c r="J686" s="51"/>
      <c r="K686" s="51"/>
      <c r="L686" s="51"/>
    </row>
    <row r="687" customFormat="false" ht="15" hidden="false" customHeight="false" outlineLevel="0" collapsed="false">
      <c r="A687" s="52"/>
      <c r="B687" s="51"/>
      <c r="C687" s="51" t="n">
        <v>0</v>
      </c>
      <c r="D687" s="51" t="n">
        <v>0</v>
      </c>
      <c r="E687" s="51"/>
      <c r="F687" s="51" t="n">
        <v>115</v>
      </c>
      <c r="G687" s="51" t="n">
        <v>0</v>
      </c>
      <c r="H687" s="51"/>
      <c r="I687" s="51"/>
      <c r="J687" s="51"/>
      <c r="K687" s="51"/>
      <c r="L687" s="51"/>
    </row>
    <row r="688" customFormat="false" ht="15" hidden="false" customHeight="false" outlineLevel="0" collapsed="false">
      <c r="A688" s="52"/>
      <c r="B688" s="51"/>
      <c r="C688" s="51" t="n">
        <v>0</v>
      </c>
      <c r="D688" s="51" t="n">
        <v>0</v>
      </c>
      <c r="E688" s="51"/>
      <c r="F688" s="51" t="n">
        <v>115</v>
      </c>
      <c r="G688" s="51" t="n">
        <v>0</v>
      </c>
      <c r="H688" s="51"/>
      <c r="I688" s="51"/>
      <c r="J688" s="51"/>
      <c r="K688" s="51"/>
      <c r="L688" s="51"/>
    </row>
    <row r="689" customFormat="false" ht="15" hidden="false" customHeight="false" outlineLevel="0" collapsed="false">
      <c r="A689" s="52"/>
      <c r="B689" s="51"/>
      <c r="C689" s="51" t="n">
        <v>0</v>
      </c>
      <c r="D689" s="51" t="n">
        <v>0</v>
      </c>
      <c r="E689" s="51"/>
      <c r="F689" s="51" t="n">
        <v>113</v>
      </c>
      <c r="G689" s="51" t="n">
        <v>23</v>
      </c>
      <c r="H689" s="51"/>
      <c r="I689" s="51"/>
      <c r="J689" s="51"/>
      <c r="K689" s="51"/>
      <c r="L689" s="51"/>
    </row>
    <row r="690" customFormat="false" ht="15" hidden="false" customHeight="false" outlineLevel="0" collapsed="false">
      <c r="A690" s="52"/>
      <c r="B690" s="51"/>
      <c r="C690" s="51" t="n">
        <v>0</v>
      </c>
      <c r="D690" s="51" t="n">
        <v>0</v>
      </c>
      <c r="E690" s="51"/>
      <c r="F690" s="51" t="n">
        <v>112</v>
      </c>
      <c r="G690" s="51" t="n">
        <v>0</v>
      </c>
      <c r="H690" s="51"/>
      <c r="I690" s="51"/>
      <c r="J690" s="51"/>
      <c r="K690" s="51"/>
      <c r="L690" s="51"/>
    </row>
    <row r="691" customFormat="false" ht="15" hidden="false" customHeight="false" outlineLevel="0" collapsed="false">
      <c r="A691" s="52"/>
      <c r="B691" s="51"/>
      <c r="C691" s="51" t="n">
        <v>0</v>
      </c>
      <c r="D691" s="51" t="n">
        <v>0</v>
      </c>
      <c r="E691" s="51"/>
      <c r="F691" s="51" t="n">
        <v>111</v>
      </c>
      <c r="G691" s="51" t="n">
        <v>0</v>
      </c>
      <c r="H691" s="51"/>
      <c r="I691" s="51"/>
      <c r="J691" s="51"/>
      <c r="K691" s="51"/>
      <c r="L691" s="51"/>
    </row>
    <row r="692" customFormat="false" ht="15" hidden="false" customHeight="false" outlineLevel="0" collapsed="false">
      <c r="A692" s="52"/>
      <c r="B692" s="51"/>
      <c r="C692" s="51" t="n">
        <v>0</v>
      </c>
      <c r="D692" s="51" t="n">
        <v>1</v>
      </c>
      <c r="E692" s="51"/>
      <c r="F692" s="51" t="n">
        <v>109</v>
      </c>
      <c r="G692" s="51" t="n">
        <v>397</v>
      </c>
      <c r="H692" s="51"/>
      <c r="I692" s="51"/>
      <c r="J692" s="51"/>
      <c r="K692" s="51"/>
      <c r="L692" s="51"/>
    </row>
    <row r="693" customFormat="false" ht="15" hidden="false" customHeight="false" outlineLevel="0" collapsed="false">
      <c r="A693" s="52"/>
      <c r="B693" s="51"/>
      <c r="C693" s="51" t="n">
        <v>0</v>
      </c>
      <c r="D693" s="51" t="n">
        <v>0</v>
      </c>
      <c r="E693" s="51"/>
      <c r="F693" s="51" t="n">
        <v>109</v>
      </c>
      <c r="G693" s="51" t="n">
        <v>96</v>
      </c>
      <c r="H693" s="51"/>
      <c r="I693" s="51"/>
      <c r="J693" s="51"/>
      <c r="K693" s="51"/>
      <c r="L693" s="51"/>
    </row>
    <row r="694" customFormat="false" ht="15" hidden="false" customHeight="false" outlineLevel="0" collapsed="false">
      <c r="A694" s="52"/>
      <c r="B694" s="51"/>
      <c r="C694" s="51" t="n">
        <v>0</v>
      </c>
      <c r="D694" s="51" t="n">
        <v>0</v>
      </c>
      <c r="E694" s="51"/>
      <c r="F694" s="51" t="n">
        <v>108</v>
      </c>
      <c r="G694" s="51" t="n">
        <v>0</v>
      </c>
      <c r="H694" s="51"/>
      <c r="I694" s="51"/>
      <c r="J694" s="51"/>
      <c r="K694" s="51"/>
      <c r="L694" s="51"/>
    </row>
    <row r="695" customFormat="false" ht="15" hidden="false" customHeight="false" outlineLevel="0" collapsed="false">
      <c r="A695" s="52"/>
      <c r="B695" s="51"/>
      <c r="C695" s="51" t="n">
        <v>0</v>
      </c>
      <c r="D695" s="51" t="n">
        <v>0</v>
      </c>
      <c r="E695" s="51"/>
      <c r="F695" s="51" t="n">
        <v>108</v>
      </c>
      <c r="G695" s="51" t="n">
        <v>0</v>
      </c>
      <c r="H695" s="51"/>
      <c r="I695" s="51"/>
      <c r="J695" s="51"/>
      <c r="K695" s="51"/>
      <c r="L695" s="51"/>
    </row>
    <row r="696" customFormat="false" ht="15" hidden="false" customHeight="false" outlineLevel="0" collapsed="false">
      <c r="A696" s="52"/>
      <c r="B696" s="51"/>
      <c r="C696" s="51" t="n">
        <v>0</v>
      </c>
      <c r="D696" s="51" t="n">
        <v>1</v>
      </c>
      <c r="E696" s="51"/>
      <c r="F696" s="51" t="n">
        <v>108</v>
      </c>
      <c r="G696" s="51" t="n">
        <v>117</v>
      </c>
      <c r="H696" s="51"/>
      <c r="I696" s="51"/>
      <c r="J696" s="51"/>
      <c r="K696" s="51"/>
      <c r="L696" s="51"/>
    </row>
    <row r="697" customFormat="false" ht="15" hidden="false" customHeight="false" outlineLevel="0" collapsed="false">
      <c r="A697" s="52"/>
      <c r="B697" s="51"/>
      <c r="C697" s="51" t="n">
        <v>0</v>
      </c>
      <c r="D697" s="51" t="n">
        <v>0</v>
      </c>
      <c r="E697" s="51"/>
      <c r="F697" s="51" t="n">
        <v>107</v>
      </c>
      <c r="G697" s="51" t="n">
        <v>0</v>
      </c>
      <c r="H697" s="51"/>
      <c r="I697" s="51"/>
      <c r="J697" s="51"/>
      <c r="K697" s="51"/>
      <c r="L697" s="51"/>
    </row>
    <row r="698" customFormat="false" ht="15" hidden="false" customHeight="false" outlineLevel="0" collapsed="false">
      <c r="A698" s="52"/>
      <c r="B698" s="51"/>
      <c r="C698" s="51" t="n">
        <v>0</v>
      </c>
      <c r="D698" s="51" t="n">
        <v>0</v>
      </c>
      <c r="E698" s="51"/>
      <c r="F698" s="51" t="n">
        <v>105</v>
      </c>
      <c r="G698" s="51" t="n">
        <v>0</v>
      </c>
      <c r="H698" s="51"/>
      <c r="I698" s="51"/>
      <c r="J698" s="51"/>
      <c r="K698" s="51"/>
      <c r="L698" s="51"/>
    </row>
    <row r="699" customFormat="false" ht="15" hidden="false" customHeight="false" outlineLevel="0" collapsed="false">
      <c r="A699" s="52"/>
      <c r="B699" s="51"/>
      <c r="C699" s="51" t="n">
        <v>0</v>
      </c>
      <c r="D699" s="51" t="n">
        <v>0</v>
      </c>
      <c r="E699" s="51"/>
      <c r="F699" s="51" t="n">
        <v>103</v>
      </c>
      <c r="G699" s="51" t="n">
        <v>307</v>
      </c>
      <c r="H699" s="51"/>
      <c r="I699" s="51"/>
      <c r="J699" s="51"/>
      <c r="K699" s="51"/>
      <c r="L699" s="51"/>
    </row>
    <row r="700" customFormat="false" ht="15" hidden="false" customHeight="false" outlineLevel="0" collapsed="false">
      <c r="A700" s="52"/>
      <c r="B700" s="51"/>
      <c r="C700" s="51" t="n">
        <v>0</v>
      </c>
      <c r="D700" s="51" t="n">
        <v>0</v>
      </c>
      <c r="E700" s="51"/>
      <c r="F700" s="51" t="n">
        <v>103</v>
      </c>
      <c r="G700" s="51" t="n">
        <v>0</v>
      </c>
      <c r="H700" s="51"/>
      <c r="I700" s="51"/>
      <c r="J700" s="51"/>
      <c r="K700" s="51"/>
      <c r="L700" s="51"/>
    </row>
    <row r="701" customFormat="false" ht="15" hidden="false" customHeight="false" outlineLevel="0" collapsed="false">
      <c r="A701" s="52"/>
      <c r="B701" s="51"/>
      <c r="C701" s="51" t="n">
        <v>0</v>
      </c>
      <c r="D701" s="51" t="n">
        <v>0</v>
      </c>
      <c r="E701" s="51"/>
      <c r="F701" s="51" t="n">
        <v>101</v>
      </c>
      <c r="G701" s="51" t="n">
        <v>0</v>
      </c>
      <c r="H701" s="51"/>
      <c r="I701" s="51"/>
      <c r="J701" s="51"/>
      <c r="K701" s="51"/>
      <c r="L701" s="51"/>
    </row>
    <row r="702" customFormat="false" ht="15" hidden="false" customHeight="false" outlineLevel="0" collapsed="false">
      <c r="A702" s="52"/>
      <c r="B702" s="51"/>
      <c r="C702" s="51" t="n">
        <v>0</v>
      </c>
      <c r="D702" s="51" t="n">
        <v>0</v>
      </c>
      <c r="E702" s="51"/>
      <c r="F702" s="51" t="n">
        <v>101</v>
      </c>
      <c r="G702" s="51" t="n">
        <v>0</v>
      </c>
      <c r="H702" s="51"/>
      <c r="I702" s="51"/>
      <c r="J702" s="51"/>
      <c r="K702" s="51"/>
      <c r="L702" s="51"/>
    </row>
    <row r="703" customFormat="false" ht="15" hidden="false" customHeight="false" outlineLevel="0" collapsed="false">
      <c r="A703" s="52"/>
      <c r="B703" s="51"/>
      <c r="C703" s="51" t="n">
        <v>0</v>
      </c>
      <c r="D703" s="51" t="n">
        <v>0</v>
      </c>
      <c r="E703" s="51"/>
      <c r="F703" s="51" t="n">
        <v>96</v>
      </c>
      <c r="G703" s="51" t="n">
        <v>0</v>
      </c>
      <c r="H703" s="51"/>
      <c r="I703" s="51"/>
      <c r="J703" s="51"/>
      <c r="K703" s="51"/>
      <c r="L703" s="51"/>
    </row>
    <row r="704" customFormat="false" ht="15" hidden="false" customHeight="false" outlineLevel="0" collapsed="false">
      <c r="A704" s="52"/>
      <c r="B704" s="51"/>
      <c r="C704" s="51" t="n">
        <v>0</v>
      </c>
      <c r="D704" s="51" t="n">
        <v>0</v>
      </c>
      <c r="E704" s="51"/>
      <c r="F704" s="51" t="n">
        <v>94</v>
      </c>
      <c r="G704" s="51" t="n">
        <v>0</v>
      </c>
      <c r="H704" s="51"/>
      <c r="I704" s="51"/>
      <c r="J704" s="51"/>
      <c r="K704" s="51"/>
      <c r="L704" s="51"/>
    </row>
    <row r="705" customFormat="false" ht="15" hidden="false" customHeight="false" outlineLevel="0" collapsed="false">
      <c r="A705" s="52"/>
      <c r="B705" s="51"/>
      <c r="C705" s="51" t="n">
        <v>0</v>
      </c>
      <c r="D705" s="51" t="n">
        <v>0</v>
      </c>
      <c r="E705" s="51"/>
      <c r="F705" s="51" t="n">
        <v>94</v>
      </c>
      <c r="G705" s="51" t="n">
        <v>0</v>
      </c>
      <c r="H705" s="51"/>
      <c r="I705" s="51"/>
      <c r="J705" s="51"/>
      <c r="K705" s="51"/>
      <c r="L705" s="51"/>
    </row>
    <row r="706" customFormat="false" ht="15" hidden="false" customHeight="false" outlineLevel="0" collapsed="false">
      <c r="A706" s="52"/>
      <c r="B706" s="51"/>
      <c r="C706" s="51" t="n">
        <v>0</v>
      </c>
      <c r="D706" s="51" t="n">
        <v>0</v>
      </c>
      <c r="E706" s="51"/>
      <c r="F706" s="51" t="n">
        <v>93</v>
      </c>
      <c r="G706" s="51" t="n">
        <v>0</v>
      </c>
      <c r="H706" s="51"/>
      <c r="I706" s="51"/>
      <c r="J706" s="51"/>
      <c r="K706" s="51"/>
      <c r="L706" s="51"/>
    </row>
    <row r="707" customFormat="false" ht="15" hidden="false" customHeight="false" outlineLevel="0" collapsed="false">
      <c r="A707" s="52"/>
      <c r="B707" s="51"/>
      <c r="C707" s="51" t="n">
        <v>0</v>
      </c>
      <c r="D707" s="51" t="n">
        <v>0</v>
      </c>
      <c r="E707" s="51"/>
      <c r="F707" s="51" t="n">
        <v>91</v>
      </c>
      <c r="G707" s="51" t="n">
        <v>0</v>
      </c>
      <c r="H707" s="51"/>
      <c r="I707" s="51"/>
      <c r="J707" s="51"/>
      <c r="K707" s="51"/>
      <c r="L707" s="51"/>
    </row>
    <row r="708" customFormat="false" ht="15" hidden="false" customHeight="false" outlineLevel="0" collapsed="false">
      <c r="A708" s="52"/>
      <c r="B708" s="51"/>
      <c r="C708" s="51" t="n">
        <v>0</v>
      </c>
      <c r="D708" s="51" t="n">
        <v>0</v>
      </c>
      <c r="E708" s="51"/>
      <c r="F708" s="51" t="n">
        <v>90</v>
      </c>
      <c r="G708" s="51" t="n">
        <v>33</v>
      </c>
      <c r="H708" s="51"/>
      <c r="I708" s="51"/>
      <c r="J708" s="51"/>
      <c r="K708" s="51"/>
      <c r="L708" s="51"/>
    </row>
    <row r="709" customFormat="false" ht="15" hidden="false" customHeight="false" outlineLevel="0" collapsed="false">
      <c r="A709" s="52"/>
      <c r="B709" s="51"/>
      <c r="C709" s="51" t="n">
        <v>0</v>
      </c>
      <c r="D709" s="51" t="n">
        <v>0</v>
      </c>
      <c r="E709" s="51"/>
      <c r="F709" s="51" t="n">
        <v>90</v>
      </c>
      <c r="G709" s="51" t="n">
        <v>0</v>
      </c>
      <c r="H709" s="51"/>
      <c r="I709" s="51"/>
      <c r="J709" s="51"/>
      <c r="K709" s="51"/>
      <c r="L709" s="51"/>
    </row>
    <row r="710" customFormat="false" ht="15" hidden="false" customHeight="false" outlineLevel="0" collapsed="false">
      <c r="A710" s="52"/>
      <c r="B710" s="51"/>
      <c r="C710" s="51" t="n">
        <v>0</v>
      </c>
      <c r="D710" s="51" t="n">
        <v>0</v>
      </c>
      <c r="E710" s="51"/>
      <c r="F710" s="51" t="n">
        <v>89</v>
      </c>
      <c r="G710" s="51" t="n">
        <v>0</v>
      </c>
      <c r="H710" s="51"/>
      <c r="I710" s="51"/>
      <c r="J710" s="51"/>
      <c r="K710" s="51"/>
      <c r="L710" s="51"/>
    </row>
    <row r="711" customFormat="false" ht="15" hidden="false" customHeight="false" outlineLevel="0" collapsed="false">
      <c r="A711" s="52"/>
      <c r="B711" s="51"/>
      <c r="C711" s="51" t="n">
        <v>0</v>
      </c>
      <c r="D711" s="51" t="n">
        <v>0</v>
      </c>
      <c r="E711" s="51"/>
      <c r="F711" s="51" t="n">
        <v>89</v>
      </c>
      <c r="G711" s="51" t="n">
        <v>0</v>
      </c>
      <c r="H711" s="51"/>
      <c r="I711" s="51"/>
      <c r="J711" s="51"/>
      <c r="K711" s="51"/>
      <c r="L711" s="51"/>
    </row>
    <row r="712" customFormat="false" ht="15" hidden="false" customHeight="false" outlineLevel="0" collapsed="false">
      <c r="A712" s="52"/>
      <c r="B712" s="51"/>
      <c r="C712" s="51" t="n">
        <v>0</v>
      </c>
      <c r="D712" s="51" t="n">
        <v>0</v>
      </c>
      <c r="E712" s="51"/>
      <c r="F712" s="51" t="n">
        <v>88</v>
      </c>
      <c r="G712" s="51" t="n">
        <v>0</v>
      </c>
      <c r="H712" s="51"/>
      <c r="I712" s="51"/>
      <c r="J712" s="51"/>
      <c r="K712" s="51"/>
      <c r="L712" s="51"/>
    </row>
    <row r="713" customFormat="false" ht="15" hidden="false" customHeight="false" outlineLevel="0" collapsed="false">
      <c r="A713" s="52"/>
      <c r="B713" s="51"/>
      <c r="C713" s="51" t="n">
        <v>0</v>
      </c>
      <c r="D713" s="51" t="n">
        <v>0</v>
      </c>
      <c r="E713" s="51"/>
      <c r="F713" s="51" t="n">
        <v>88</v>
      </c>
      <c r="G713" s="51" t="n">
        <v>170</v>
      </c>
      <c r="H713" s="51"/>
      <c r="I713" s="51"/>
      <c r="J713" s="51"/>
      <c r="K713" s="51"/>
      <c r="L713" s="51"/>
    </row>
    <row r="714" customFormat="false" ht="15" hidden="false" customHeight="false" outlineLevel="0" collapsed="false">
      <c r="A714" s="52"/>
      <c r="B714" s="51"/>
      <c r="C714" s="51" t="n">
        <v>0</v>
      </c>
      <c r="D714" s="51" t="n">
        <v>0</v>
      </c>
      <c r="E714" s="51"/>
      <c r="F714" s="51" t="n">
        <v>87</v>
      </c>
      <c r="G714" s="51" t="n">
        <v>0</v>
      </c>
      <c r="H714" s="51"/>
      <c r="I714" s="51"/>
      <c r="J714" s="51"/>
      <c r="K714" s="51"/>
      <c r="L714" s="51"/>
    </row>
    <row r="715" customFormat="false" ht="15" hidden="false" customHeight="false" outlineLevel="0" collapsed="false">
      <c r="A715" s="52"/>
      <c r="B715" s="51"/>
      <c r="C715" s="51" t="n">
        <v>0</v>
      </c>
      <c r="D715" s="51" t="n">
        <v>0</v>
      </c>
      <c r="E715" s="51"/>
      <c r="F715" s="51" t="n">
        <v>86</v>
      </c>
      <c r="G715" s="51" t="n">
        <v>0</v>
      </c>
      <c r="H715" s="51"/>
      <c r="I715" s="51"/>
      <c r="J715" s="51"/>
      <c r="K715" s="51"/>
      <c r="L715" s="51"/>
    </row>
    <row r="716" customFormat="false" ht="15" hidden="false" customHeight="false" outlineLevel="0" collapsed="false">
      <c r="A716" s="52"/>
      <c r="B716" s="51"/>
      <c r="C716" s="51" t="n">
        <v>0</v>
      </c>
      <c r="D716" s="51" t="n">
        <v>0</v>
      </c>
      <c r="E716" s="51"/>
      <c r="F716" s="51" t="n">
        <v>85</v>
      </c>
      <c r="G716" s="51" t="n">
        <v>0</v>
      </c>
      <c r="H716" s="51"/>
      <c r="I716" s="51"/>
      <c r="J716" s="51"/>
      <c r="K716" s="51"/>
      <c r="L716" s="51"/>
    </row>
    <row r="717" customFormat="false" ht="15" hidden="false" customHeight="false" outlineLevel="0" collapsed="false">
      <c r="A717" s="52"/>
      <c r="B717" s="51"/>
      <c r="C717" s="51" t="n">
        <v>0</v>
      </c>
      <c r="D717" s="51" t="n">
        <v>0</v>
      </c>
      <c r="E717" s="51"/>
      <c r="F717" s="51" t="n">
        <v>84</v>
      </c>
      <c r="G717" s="51" t="n">
        <v>0</v>
      </c>
      <c r="H717" s="51"/>
      <c r="I717" s="51"/>
      <c r="J717" s="51"/>
      <c r="K717" s="51"/>
      <c r="L717" s="51"/>
    </row>
    <row r="718" customFormat="false" ht="15" hidden="false" customHeight="false" outlineLevel="0" collapsed="false">
      <c r="A718" s="52"/>
      <c r="B718" s="51"/>
      <c r="C718" s="51" t="n">
        <v>0</v>
      </c>
      <c r="D718" s="51" t="n">
        <v>0</v>
      </c>
      <c r="E718" s="51"/>
      <c r="F718" s="51" t="n">
        <v>83</v>
      </c>
      <c r="G718" s="51" t="n">
        <v>0</v>
      </c>
      <c r="H718" s="51"/>
      <c r="I718" s="51"/>
      <c r="J718" s="51"/>
      <c r="K718" s="51"/>
      <c r="L718" s="51"/>
    </row>
    <row r="719" customFormat="false" ht="15" hidden="false" customHeight="false" outlineLevel="0" collapsed="false">
      <c r="A719" s="52"/>
      <c r="B719" s="51"/>
      <c r="C719" s="51" t="n">
        <v>0</v>
      </c>
      <c r="D719" s="51" t="n">
        <v>2</v>
      </c>
      <c r="E719" s="51"/>
      <c r="F719" s="51" t="n">
        <v>82</v>
      </c>
      <c r="G719" s="51" t="n">
        <v>239</v>
      </c>
      <c r="H719" s="51"/>
      <c r="I719" s="51"/>
      <c r="J719" s="51"/>
      <c r="K719" s="51"/>
      <c r="L719" s="51"/>
    </row>
    <row r="720" customFormat="false" ht="15" hidden="false" customHeight="false" outlineLevel="0" collapsed="false">
      <c r="A720" s="52"/>
      <c r="B720" s="51"/>
      <c r="C720" s="51" t="n">
        <v>0</v>
      </c>
      <c r="D720" s="51" t="n">
        <v>0</v>
      </c>
      <c r="E720" s="51"/>
      <c r="F720" s="51" t="n">
        <v>82</v>
      </c>
      <c r="G720" s="51" t="n">
        <v>0</v>
      </c>
      <c r="H720" s="51"/>
      <c r="I720" s="51"/>
      <c r="J720" s="51"/>
      <c r="K720" s="51"/>
      <c r="L720" s="51"/>
    </row>
    <row r="721" customFormat="false" ht="15" hidden="false" customHeight="false" outlineLevel="0" collapsed="false">
      <c r="A721" s="52"/>
      <c r="B721" s="51"/>
      <c r="C721" s="51" t="n">
        <v>0</v>
      </c>
      <c r="D721" s="51" t="n">
        <v>0</v>
      </c>
      <c r="E721" s="51"/>
      <c r="F721" s="51" t="n">
        <v>81</v>
      </c>
      <c r="G721" s="51" t="n">
        <v>0</v>
      </c>
      <c r="H721" s="51"/>
      <c r="I721" s="51"/>
      <c r="J721" s="51"/>
      <c r="K721" s="51"/>
      <c r="L721" s="51"/>
    </row>
    <row r="722" customFormat="false" ht="15" hidden="false" customHeight="false" outlineLevel="0" collapsed="false">
      <c r="A722" s="52"/>
      <c r="B722" s="51"/>
      <c r="C722" s="51" t="n">
        <v>0</v>
      </c>
      <c r="D722" s="51" t="n">
        <v>0</v>
      </c>
      <c r="E722" s="51"/>
      <c r="F722" s="51" t="n">
        <v>81</v>
      </c>
      <c r="G722" s="51" t="n">
        <v>161</v>
      </c>
      <c r="H722" s="51"/>
      <c r="I722" s="51"/>
      <c r="J722" s="51"/>
      <c r="K722" s="51"/>
      <c r="L722" s="51"/>
    </row>
    <row r="723" customFormat="false" ht="15" hidden="false" customHeight="false" outlineLevel="0" collapsed="false">
      <c r="A723" s="52"/>
      <c r="B723" s="51"/>
      <c r="C723" s="51" t="n">
        <v>0</v>
      </c>
      <c r="D723" s="51" t="n">
        <v>0</v>
      </c>
      <c r="E723" s="51"/>
      <c r="F723" s="51" t="n">
        <v>81</v>
      </c>
      <c r="G723" s="51" t="n">
        <v>767</v>
      </c>
      <c r="H723" s="51"/>
      <c r="I723" s="51"/>
      <c r="J723" s="51"/>
      <c r="K723" s="51"/>
      <c r="L723" s="51"/>
    </row>
    <row r="724" customFormat="false" ht="15" hidden="false" customHeight="false" outlineLevel="0" collapsed="false">
      <c r="A724" s="52"/>
      <c r="B724" s="51"/>
      <c r="C724" s="51" t="n">
        <v>0</v>
      </c>
      <c r="D724" s="51" t="n">
        <v>2</v>
      </c>
      <c r="E724" s="51"/>
      <c r="F724" s="51" t="n">
        <v>80</v>
      </c>
      <c r="G724" s="51" t="n">
        <v>188</v>
      </c>
      <c r="H724" s="51"/>
      <c r="I724" s="51"/>
      <c r="J724" s="51"/>
      <c r="K724" s="51"/>
      <c r="L724" s="51"/>
    </row>
    <row r="725" customFormat="false" ht="15" hidden="false" customHeight="false" outlineLevel="0" collapsed="false">
      <c r="A725" s="52"/>
      <c r="B725" s="51"/>
      <c r="C725" s="51" t="n">
        <v>0</v>
      </c>
      <c r="D725" s="51" t="n">
        <v>0</v>
      </c>
      <c r="E725" s="51"/>
      <c r="F725" s="51" t="n">
        <v>80</v>
      </c>
      <c r="G725" s="51" t="n">
        <v>0</v>
      </c>
      <c r="H725" s="51"/>
      <c r="I725" s="51"/>
      <c r="J725" s="51"/>
      <c r="K725" s="51"/>
      <c r="L725" s="51"/>
    </row>
    <row r="726" customFormat="false" ht="15" hidden="false" customHeight="false" outlineLevel="0" collapsed="false">
      <c r="A726" s="52"/>
      <c r="B726" s="51"/>
      <c r="C726" s="51" t="n">
        <v>0</v>
      </c>
      <c r="D726" s="51" t="n">
        <v>0</v>
      </c>
      <c r="E726" s="51"/>
      <c r="F726" s="51" t="n">
        <v>80</v>
      </c>
      <c r="G726" s="51" t="n">
        <v>20</v>
      </c>
      <c r="H726" s="51"/>
      <c r="I726" s="51"/>
      <c r="J726" s="51"/>
      <c r="K726" s="51"/>
      <c r="L726" s="51"/>
    </row>
    <row r="727" customFormat="false" ht="15" hidden="false" customHeight="false" outlineLevel="0" collapsed="false">
      <c r="A727" s="52"/>
      <c r="B727" s="51"/>
      <c r="C727" s="51" t="n">
        <v>0</v>
      </c>
      <c r="D727" s="51" t="n">
        <v>0</v>
      </c>
      <c r="E727" s="51"/>
      <c r="F727" s="51" t="n">
        <v>79</v>
      </c>
      <c r="G727" s="51" t="n">
        <v>0</v>
      </c>
      <c r="H727" s="51"/>
      <c r="I727" s="51"/>
      <c r="J727" s="51"/>
      <c r="K727" s="51"/>
      <c r="L727" s="51"/>
    </row>
    <row r="728" customFormat="false" ht="15" hidden="false" customHeight="false" outlineLevel="0" collapsed="false">
      <c r="A728" s="52"/>
      <c r="B728" s="51"/>
      <c r="C728" s="51" t="n">
        <v>0</v>
      </c>
      <c r="D728" s="51" t="n">
        <v>0</v>
      </c>
      <c r="E728" s="51"/>
      <c r="F728" s="51" t="n">
        <v>78</v>
      </c>
      <c r="G728" s="51" t="n">
        <v>0</v>
      </c>
      <c r="H728" s="51"/>
      <c r="I728" s="51"/>
      <c r="J728" s="51"/>
      <c r="K728" s="51"/>
      <c r="L728" s="51"/>
    </row>
    <row r="729" customFormat="false" ht="15" hidden="false" customHeight="false" outlineLevel="0" collapsed="false">
      <c r="A729" s="52"/>
      <c r="B729" s="51"/>
      <c r="C729" s="51" t="n">
        <v>0</v>
      </c>
      <c r="D729" s="51" t="n">
        <v>0</v>
      </c>
      <c r="E729" s="51"/>
      <c r="F729" s="51" t="n">
        <v>76</v>
      </c>
      <c r="G729" s="51" t="n">
        <v>0</v>
      </c>
      <c r="H729" s="51"/>
      <c r="I729" s="51"/>
      <c r="J729" s="51"/>
      <c r="K729" s="51"/>
      <c r="L729" s="51"/>
    </row>
    <row r="730" customFormat="false" ht="15" hidden="false" customHeight="false" outlineLevel="0" collapsed="false">
      <c r="A730" s="52"/>
      <c r="B730" s="51"/>
      <c r="C730" s="51" t="n">
        <v>0</v>
      </c>
      <c r="D730" s="51" t="n">
        <v>0</v>
      </c>
      <c r="E730" s="51"/>
      <c r="F730" s="51" t="n">
        <v>75</v>
      </c>
      <c r="G730" s="51" t="n">
        <v>0</v>
      </c>
      <c r="H730" s="51"/>
      <c r="I730" s="51"/>
      <c r="J730" s="51"/>
      <c r="K730" s="51"/>
      <c r="L730" s="51"/>
    </row>
    <row r="731" customFormat="false" ht="15" hidden="false" customHeight="false" outlineLevel="0" collapsed="false">
      <c r="A731" s="52"/>
      <c r="B731" s="51"/>
      <c r="C731" s="51" t="n">
        <v>0</v>
      </c>
      <c r="D731" s="51" t="n">
        <v>0</v>
      </c>
      <c r="E731" s="51"/>
      <c r="F731" s="51" t="n">
        <v>74</v>
      </c>
      <c r="G731" s="51" t="n">
        <v>0</v>
      </c>
      <c r="H731" s="51"/>
      <c r="I731" s="51"/>
      <c r="J731" s="51"/>
      <c r="K731" s="51"/>
      <c r="L731" s="51"/>
    </row>
    <row r="732" customFormat="false" ht="15" hidden="false" customHeight="false" outlineLevel="0" collapsed="false">
      <c r="A732" s="52"/>
      <c r="B732" s="51"/>
      <c r="C732" s="51" t="n">
        <v>0</v>
      </c>
      <c r="D732" s="51" t="n">
        <v>0</v>
      </c>
      <c r="E732" s="51"/>
      <c r="F732" s="51" t="n">
        <v>74</v>
      </c>
      <c r="G732" s="51" t="n">
        <v>0</v>
      </c>
      <c r="H732" s="51"/>
      <c r="I732" s="51"/>
      <c r="J732" s="51"/>
      <c r="K732" s="51"/>
      <c r="L732" s="51"/>
    </row>
    <row r="733" customFormat="false" ht="15" hidden="false" customHeight="false" outlineLevel="0" collapsed="false">
      <c r="A733" s="52"/>
      <c r="B733" s="51"/>
      <c r="C733" s="51" t="n">
        <v>0</v>
      </c>
      <c r="D733" s="51" t="n">
        <v>0</v>
      </c>
      <c r="E733" s="51"/>
      <c r="F733" s="51" t="n">
        <v>72</v>
      </c>
      <c r="G733" s="51" t="n">
        <v>10</v>
      </c>
      <c r="H733" s="51"/>
      <c r="I733" s="51"/>
      <c r="J733" s="51"/>
      <c r="K733" s="51"/>
      <c r="L733" s="51"/>
    </row>
    <row r="734" customFormat="false" ht="15" hidden="false" customHeight="false" outlineLevel="0" collapsed="false">
      <c r="A734" s="52"/>
      <c r="B734" s="51"/>
      <c r="C734" s="51" t="n">
        <v>0</v>
      </c>
      <c r="D734" s="51" t="n">
        <v>0</v>
      </c>
      <c r="E734" s="51"/>
      <c r="F734" s="51" t="n">
        <v>72</v>
      </c>
      <c r="G734" s="51" t="n">
        <v>70</v>
      </c>
      <c r="H734" s="51"/>
      <c r="I734" s="51"/>
      <c r="J734" s="51"/>
      <c r="K734" s="51"/>
      <c r="L734" s="51"/>
    </row>
    <row r="735" customFormat="false" ht="15" hidden="false" customHeight="false" outlineLevel="0" collapsed="false">
      <c r="A735" s="52"/>
      <c r="B735" s="51"/>
      <c r="C735" s="51" t="n">
        <v>0</v>
      </c>
      <c r="D735" s="51" t="n">
        <v>0</v>
      </c>
      <c r="E735" s="51"/>
      <c r="F735" s="51" t="n">
        <v>71</v>
      </c>
      <c r="G735" s="51" t="n">
        <v>304</v>
      </c>
      <c r="H735" s="51"/>
      <c r="I735" s="51"/>
      <c r="J735" s="51"/>
      <c r="K735" s="51"/>
      <c r="L735" s="51"/>
    </row>
    <row r="736" customFormat="false" ht="15" hidden="false" customHeight="false" outlineLevel="0" collapsed="false">
      <c r="A736" s="52"/>
      <c r="B736" s="51"/>
      <c r="C736" s="51" t="n">
        <v>0</v>
      </c>
      <c r="D736" s="51" t="n">
        <v>0</v>
      </c>
      <c r="E736" s="51"/>
      <c r="F736" s="51" t="n">
        <v>71</v>
      </c>
      <c r="G736" s="51" t="n">
        <v>0</v>
      </c>
      <c r="H736" s="51"/>
      <c r="I736" s="51"/>
      <c r="J736" s="51"/>
      <c r="K736" s="51"/>
      <c r="L736" s="51"/>
    </row>
    <row r="737" customFormat="false" ht="15" hidden="false" customHeight="false" outlineLevel="0" collapsed="false">
      <c r="A737" s="52"/>
      <c r="B737" s="51"/>
      <c r="C737" s="51" t="n">
        <v>0</v>
      </c>
      <c r="D737" s="51" t="n">
        <v>0</v>
      </c>
      <c r="E737" s="51"/>
      <c r="F737" s="51" t="n">
        <v>70</v>
      </c>
      <c r="G737" s="51" t="n">
        <v>117</v>
      </c>
      <c r="H737" s="51"/>
      <c r="I737" s="51"/>
      <c r="J737" s="51"/>
      <c r="K737" s="51"/>
      <c r="L737" s="51"/>
    </row>
    <row r="738" customFormat="false" ht="15" hidden="false" customHeight="false" outlineLevel="0" collapsed="false">
      <c r="A738" s="52"/>
      <c r="B738" s="51"/>
      <c r="C738" s="51" t="n">
        <v>0</v>
      </c>
      <c r="D738" s="51" t="n">
        <v>0</v>
      </c>
      <c r="E738" s="51"/>
      <c r="F738" s="51" t="n">
        <v>70</v>
      </c>
      <c r="G738" s="51" t="n">
        <v>0</v>
      </c>
      <c r="H738" s="51"/>
      <c r="I738" s="51"/>
      <c r="J738" s="51"/>
      <c r="K738" s="51"/>
      <c r="L738" s="51"/>
    </row>
    <row r="739" customFormat="false" ht="15" hidden="false" customHeight="false" outlineLevel="0" collapsed="false">
      <c r="A739" s="52"/>
      <c r="B739" s="51"/>
      <c r="C739" s="51" t="n">
        <v>0</v>
      </c>
      <c r="D739" s="51" t="n">
        <v>0</v>
      </c>
      <c r="E739" s="51"/>
      <c r="F739" s="51" t="n">
        <v>69</v>
      </c>
      <c r="G739" s="51" t="n">
        <v>0</v>
      </c>
      <c r="H739" s="51"/>
      <c r="I739" s="51"/>
      <c r="J739" s="51"/>
      <c r="K739" s="51"/>
      <c r="L739" s="51"/>
    </row>
    <row r="740" customFormat="false" ht="15" hidden="false" customHeight="false" outlineLevel="0" collapsed="false">
      <c r="A740" s="52"/>
      <c r="B740" s="51"/>
      <c r="C740" s="51" t="n">
        <v>0</v>
      </c>
      <c r="D740" s="51" t="n">
        <v>0</v>
      </c>
      <c r="E740" s="51"/>
      <c r="F740" s="51" t="n">
        <v>68</v>
      </c>
      <c r="G740" s="51" t="n">
        <v>47</v>
      </c>
      <c r="H740" s="51"/>
      <c r="I740" s="51"/>
      <c r="J740" s="51"/>
      <c r="K740" s="51"/>
      <c r="L740" s="51"/>
    </row>
    <row r="741" customFormat="false" ht="15" hidden="false" customHeight="false" outlineLevel="0" collapsed="false">
      <c r="A741" s="52"/>
      <c r="B741" s="51"/>
      <c r="C741" s="51" t="n">
        <v>0</v>
      </c>
      <c r="D741" s="51" t="n">
        <v>0</v>
      </c>
      <c r="E741" s="51"/>
      <c r="F741" s="51" t="n">
        <v>67</v>
      </c>
      <c r="G741" s="51" t="n">
        <v>0</v>
      </c>
      <c r="H741" s="51"/>
      <c r="I741" s="51"/>
      <c r="J741" s="51"/>
      <c r="K741" s="51"/>
      <c r="L741" s="51"/>
    </row>
    <row r="742" customFormat="false" ht="15" hidden="false" customHeight="false" outlineLevel="0" collapsed="false">
      <c r="A742" s="52"/>
      <c r="B742" s="51"/>
      <c r="C742" s="51" t="n">
        <v>0</v>
      </c>
      <c r="D742" s="51" t="n">
        <v>0</v>
      </c>
      <c r="E742" s="51"/>
      <c r="F742" s="51" t="n">
        <v>66</v>
      </c>
      <c r="G742" s="51" t="n">
        <v>0</v>
      </c>
      <c r="H742" s="51"/>
      <c r="I742" s="51"/>
      <c r="J742" s="51"/>
      <c r="K742" s="51"/>
      <c r="L742" s="51"/>
    </row>
    <row r="743" customFormat="false" ht="15" hidden="false" customHeight="false" outlineLevel="0" collapsed="false">
      <c r="A743" s="52"/>
      <c r="B743" s="51"/>
      <c r="C743" s="51" t="n">
        <v>0</v>
      </c>
      <c r="D743" s="51" t="n">
        <v>0</v>
      </c>
      <c r="E743" s="51"/>
      <c r="F743" s="51" t="n">
        <v>64</v>
      </c>
      <c r="G743" s="51" t="n">
        <v>0</v>
      </c>
      <c r="H743" s="51"/>
      <c r="I743" s="51"/>
      <c r="J743" s="51"/>
      <c r="K743" s="51"/>
      <c r="L743" s="51"/>
    </row>
    <row r="744" customFormat="false" ht="15" hidden="false" customHeight="false" outlineLevel="0" collapsed="false">
      <c r="A744" s="52"/>
      <c r="B744" s="51"/>
      <c r="C744" s="51" t="n">
        <v>0</v>
      </c>
      <c r="D744" s="51" t="n">
        <v>0</v>
      </c>
      <c r="E744" s="51"/>
      <c r="F744" s="51" t="n">
        <v>63</v>
      </c>
      <c r="G744" s="51" t="n">
        <v>0</v>
      </c>
      <c r="H744" s="51"/>
      <c r="I744" s="51"/>
      <c r="J744" s="51"/>
      <c r="K744" s="51"/>
      <c r="L744" s="51"/>
    </row>
    <row r="745" customFormat="false" ht="15" hidden="false" customHeight="false" outlineLevel="0" collapsed="false">
      <c r="A745" s="52"/>
      <c r="B745" s="51"/>
      <c r="C745" s="51" t="n">
        <v>0</v>
      </c>
      <c r="D745" s="51" t="n">
        <v>0</v>
      </c>
      <c r="E745" s="51"/>
      <c r="F745" s="51" t="n">
        <v>62</v>
      </c>
      <c r="G745" s="51" t="n">
        <v>0</v>
      </c>
      <c r="H745" s="51"/>
      <c r="I745" s="51"/>
      <c r="J745" s="51"/>
      <c r="K745" s="51"/>
      <c r="L745" s="51"/>
    </row>
    <row r="746" customFormat="false" ht="15" hidden="false" customHeight="false" outlineLevel="0" collapsed="false">
      <c r="A746" s="52"/>
      <c r="B746" s="51"/>
      <c r="C746" s="51" t="n">
        <v>0</v>
      </c>
      <c r="D746" s="51" t="n">
        <v>0</v>
      </c>
      <c r="E746" s="51"/>
      <c r="F746" s="51" t="n">
        <v>62</v>
      </c>
      <c r="G746" s="51" t="n">
        <v>0</v>
      </c>
      <c r="H746" s="51"/>
      <c r="I746" s="51"/>
      <c r="J746" s="51"/>
      <c r="K746" s="51"/>
      <c r="L746" s="51"/>
    </row>
    <row r="747" customFormat="false" ht="15" hidden="false" customHeight="false" outlineLevel="0" collapsed="false">
      <c r="A747" s="52"/>
      <c r="B747" s="51"/>
      <c r="C747" s="51" t="n">
        <v>0</v>
      </c>
      <c r="D747" s="51" t="n">
        <v>0</v>
      </c>
      <c r="E747" s="51"/>
      <c r="F747" s="51" t="n">
        <v>62</v>
      </c>
      <c r="G747" s="51" t="n">
        <v>0</v>
      </c>
      <c r="H747" s="51"/>
      <c r="I747" s="51"/>
      <c r="J747" s="51"/>
      <c r="K747" s="51"/>
      <c r="L747" s="51"/>
    </row>
    <row r="748" customFormat="false" ht="15" hidden="false" customHeight="false" outlineLevel="0" collapsed="false">
      <c r="A748" s="52"/>
      <c r="B748" s="51"/>
      <c r="C748" s="51" t="n">
        <v>0</v>
      </c>
      <c r="D748" s="51" t="n">
        <v>0</v>
      </c>
      <c r="E748" s="51"/>
      <c r="F748" s="51" t="n">
        <v>61</v>
      </c>
      <c r="G748" s="51" t="n">
        <v>0</v>
      </c>
      <c r="H748" s="51"/>
      <c r="I748" s="51"/>
      <c r="J748" s="51"/>
      <c r="K748" s="51"/>
      <c r="L748" s="51"/>
    </row>
    <row r="749" customFormat="false" ht="15" hidden="false" customHeight="false" outlineLevel="0" collapsed="false">
      <c r="A749" s="52"/>
      <c r="B749" s="51"/>
      <c r="C749" s="51" t="n">
        <v>0</v>
      </c>
      <c r="D749" s="51" t="n">
        <v>0</v>
      </c>
      <c r="E749" s="51"/>
      <c r="F749" s="51" t="n">
        <v>60</v>
      </c>
      <c r="G749" s="51" t="n">
        <v>0</v>
      </c>
      <c r="H749" s="51"/>
      <c r="I749" s="51"/>
      <c r="J749" s="51"/>
      <c r="K749" s="51"/>
      <c r="L749" s="51"/>
    </row>
    <row r="750" customFormat="false" ht="15" hidden="false" customHeight="false" outlineLevel="0" collapsed="false">
      <c r="A750" s="52"/>
      <c r="B750" s="51"/>
      <c r="C750" s="51" t="n">
        <v>0</v>
      </c>
      <c r="D750" s="51" t="n">
        <v>0</v>
      </c>
      <c r="E750" s="51"/>
      <c r="F750" s="51" t="n">
        <v>60</v>
      </c>
      <c r="G750" s="51" t="n">
        <v>497</v>
      </c>
      <c r="H750" s="51"/>
      <c r="I750" s="51"/>
      <c r="J750" s="51"/>
      <c r="K750" s="51"/>
      <c r="L750" s="51"/>
    </row>
    <row r="751" customFormat="false" ht="15" hidden="false" customHeight="false" outlineLevel="0" collapsed="false">
      <c r="A751" s="52"/>
      <c r="B751" s="51"/>
      <c r="C751" s="51" t="n">
        <v>0</v>
      </c>
      <c r="D751" s="51" t="n">
        <v>0</v>
      </c>
      <c r="E751" s="51"/>
      <c r="F751" s="51" t="n">
        <v>59</v>
      </c>
      <c r="G751" s="51" t="n">
        <v>128</v>
      </c>
      <c r="H751" s="51"/>
      <c r="I751" s="51"/>
      <c r="J751" s="51"/>
      <c r="K751" s="51"/>
      <c r="L751" s="51"/>
    </row>
    <row r="752" customFormat="false" ht="15" hidden="false" customHeight="false" outlineLevel="0" collapsed="false">
      <c r="A752" s="52"/>
      <c r="B752" s="51"/>
      <c r="C752" s="51" t="n">
        <v>0</v>
      </c>
      <c r="D752" s="51" t="n">
        <v>0</v>
      </c>
      <c r="E752" s="51"/>
      <c r="F752" s="51" t="n">
        <v>59</v>
      </c>
      <c r="G752" s="51" t="n">
        <v>0</v>
      </c>
      <c r="H752" s="51"/>
      <c r="I752" s="51"/>
      <c r="J752" s="51"/>
      <c r="K752" s="51"/>
      <c r="L752" s="51"/>
    </row>
    <row r="753" customFormat="false" ht="15" hidden="false" customHeight="false" outlineLevel="0" collapsed="false">
      <c r="A753" s="52"/>
      <c r="B753" s="51"/>
      <c r="C753" s="51" t="n">
        <v>0</v>
      </c>
      <c r="D753" s="51" t="n">
        <v>0</v>
      </c>
      <c r="E753" s="51"/>
      <c r="F753" s="51" t="n">
        <v>59</v>
      </c>
      <c r="G753" s="51" t="n">
        <v>0</v>
      </c>
      <c r="H753" s="51"/>
      <c r="I753" s="51"/>
      <c r="J753" s="51"/>
      <c r="K753" s="51"/>
      <c r="L753" s="51"/>
    </row>
    <row r="754" customFormat="false" ht="15" hidden="false" customHeight="false" outlineLevel="0" collapsed="false">
      <c r="A754" s="52"/>
      <c r="B754" s="51"/>
      <c r="C754" s="51" t="n">
        <v>0</v>
      </c>
      <c r="D754" s="51" t="n">
        <v>0</v>
      </c>
      <c r="E754" s="51"/>
      <c r="F754" s="51" t="n">
        <v>58</v>
      </c>
      <c r="G754" s="51" t="n">
        <v>0</v>
      </c>
      <c r="H754" s="51"/>
      <c r="I754" s="51"/>
      <c r="J754" s="51"/>
      <c r="K754" s="51"/>
      <c r="L754" s="51"/>
    </row>
    <row r="755" customFormat="false" ht="15" hidden="false" customHeight="false" outlineLevel="0" collapsed="false">
      <c r="A755" s="52"/>
      <c r="B755" s="51"/>
      <c r="C755" s="51" t="n">
        <v>0</v>
      </c>
      <c r="D755" s="51" t="n">
        <v>0</v>
      </c>
      <c r="E755" s="51"/>
      <c r="F755" s="51" t="n">
        <v>58</v>
      </c>
      <c r="G755" s="51" t="n">
        <v>0</v>
      </c>
      <c r="H755" s="51"/>
      <c r="I755" s="51"/>
      <c r="J755" s="51"/>
      <c r="K755" s="51"/>
      <c r="L755" s="51"/>
    </row>
    <row r="756" customFormat="false" ht="15" hidden="false" customHeight="false" outlineLevel="0" collapsed="false">
      <c r="A756" s="52"/>
      <c r="B756" s="51"/>
      <c r="C756" s="51" t="n">
        <v>0</v>
      </c>
      <c r="D756" s="51" t="n">
        <v>1</v>
      </c>
      <c r="E756" s="51"/>
      <c r="F756" s="51" t="n">
        <v>58</v>
      </c>
      <c r="G756" s="51" t="n">
        <v>25</v>
      </c>
      <c r="H756" s="51"/>
      <c r="I756" s="51"/>
      <c r="J756" s="51"/>
      <c r="K756" s="51"/>
      <c r="L756" s="51"/>
    </row>
    <row r="757" customFormat="false" ht="15" hidden="false" customHeight="false" outlineLevel="0" collapsed="false">
      <c r="A757" s="52"/>
      <c r="B757" s="51"/>
      <c r="C757" s="51" t="n">
        <v>0</v>
      </c>
      <c r="D757" s="51" t="n">
        <v>0</v>
      </c>
      <c r="E757" s="51"/>
      <c r="F757" s="51" t="n">
        <v>58</v>
      </c>
      <c r="G757" s="51" t="n">
        <v>0</v>
      </c>
      <c r="H757" s="51"/>
      <c r="I757" s="51"/>
      <c r="J757" s="51"/>
      <c r="K757" s="51"/>
      <c r="L757" s="51"/>
    </row>
    <row r="758" customFormat="false" ht="15" hidden="false" customHeight="false" outlineLevel="0" collapsed="false">
      <c r="A758" s="52"/>
      <c r="B758" s="51"/>
      <c r="C758" s="51" t="n">
        <v>0</v>
      </c>
      <c r="D758" s="51" t="n">
        <v>0</v>
      </c>
      <c r="E758" s="51"/>
      <c r="F758" s="51" t="n">
        <v>57</v>
      </c>
      <c r="G758" s="51" t="n">
        <v>20</v>
      </c>
      <c r="H758" s="51"/>
      <c r="I758" s="51"/>
      <c r="J758" s="51"/>
      <c r="K758" s="51"/>
      <c r="L758" s="51"/>
    </row>
    <row r="759" customFormat="false" ht="15" hidden="false" customHeight="false" outlineLevel="0" collapsed="false">
      <c r="A759" s="52"/>
      <c r="B759" s="51"/>
      <c r="C759" s="51" t="n">
        <v>0</v>
      </c>
      <c r="D759" s="51" t="n">
        <v>0</v>
      </c>
      <c r="E759" s="51"/>
      <c r="F759" s="51" t="n">
        <v>57</v>
      </c>
      <c r="G759" s="51" t="n">
        <v>22</v>
      </c>
      <c r="H759" s="51"/>
      <c r="I759" s="51"/>
      <c r="J759" s="51"/>
      <c r="K759" s="51"/>
      <c r="L759" s="51"/>
    </row>
    <row r="760" customFormat="false" ht="15" hidden="false" customHeight="false" outlineLevel="0" collapsed="false">
      <c r="A760" s="52"/>
      <c r="B760" s="51"/>
      <c r="C760" s="51" t="n">
        <v>0</v>
      </c>
      <c r="D760" s="51" t="n">
        <v>0</v>
      </c>
      <c r="E760" s="51"/>
      <c r="F760" s="51" t="n">
        <v>57</v>
      </c>
      <c r="G760" s="51" t="n">
        <v>0</v>
      </c>
      <c r="H760" s="51"/>
      <c r="I760" s="51"/>
      <c r="J760" s="51"/>
      <c r="K760" s="51"/>
      <c r="L760" s="51"/>
    </row>
    <row r="761" customFormat="false" ht="15" hidden="false" customHeight="false" outlineLevel="0" collapsed="false">
      <c r="A761" s="52"/>
      <c r="B761" s="51"/>
      <c r="C761" s="51" t="n">
        <v>0</v>
      </c>
      <c r="D761" s="51" t="n">
        <v>0</v>
      </c>
      <c r="E761" s="51"/>
      <c r="F761" s="51" t="n">
        <v>55</v>
      </c>
      <c r="G761" s="51" t="n">
        <v>32</v>
      </c>
      <c r="H761" s="51"/>
      <c r="I761" s="51"/>
      <c r="J761" s="51"/>
      <c r="K761" s="51"/>
      <c r="L761" s="51"/>
    </row>
    <row r="762" customFormat="false" ht="15" hidden="false" customHeight="false" outlineLevel="0" collapsed="false">
      <c r="A762" s="52"/>
      <c r="B762" s="51"/>
      <c r="C762" s="51" t="n">
        <v>0</v>
      </c>
      <c r="D762" s="51" t="n">
        <v>0</v>
      </c>
      <c r="E762" s="51"/>
      <c r="F762" s="51" t="n">
        <v>55</v>
      </c>
      <c r="G762" s="51" t="n">
        <v>0</v>
      </c>
      <c r="H762" s="51"/>
      <c r="I762" s="51"/>
      <c r="J762" s="51"/>
      <c r="K762" s="51"/>
      <c r="L762" s="51"/>
    </row>
    <row r="763" customFormat="false" ht="15" hidden="false" customHeight="false" outlineLevel="0" collapsed="false">
      <c r="A763" s="52"/>
      <c r="B763" s="51"/>
      <c r="C763" s="51" t="n">
        <v>0</v>
      </c>
      <c r="D763" s="51" t="n">
        <v>0</v>
      </c>
      <c r="E763" s="51"/>
      <c r="F763" s="51" t="n">
        <v>55</v>
      </c>
      <c r="G763" s="51" t="n">
        <v>16</v>
      </c>
      <c r="H763" s="51"/>
      <c r="I763" s="51"/>
      <c r="J763" s="51"/>
      <c r="K763" s="51"/>
      <c r="L763" s="51"/>
    </row>
    <row r="764" customFormat="false" ht="15" hidden="false" customHeight="false" outlineLevel="0" collapsed="false">
      <c r="A764" s="52"/>
      <c r="B764" s="51"/>
      <c r="C764" s="51" t="n">
        <v>0</v>
      </c>
      <c r="D764" s="51" t="n">
        <v>0</v>
      </c>
      <c r="E764" s="51"/>
      <c r="F764" s="51" t="n">
        <v>55</v>
      </c>
      <c r="G764" s="51" t="n">
        <v>0</v>
      </c>
      <c r="H764" s="51"/>
      <c r="I764" s="51"/>
      <c r="J764" s="51"/>
      <c r="K764" s="51"/>
      <c r="L764" s="51"/>
    </row>
    <row r="765" customFormat="false" ht="15" hidden="false" customHeight="false" outlineLevel="0" collapsed="false">
      <c r="A765" s="52"/>
      <c r="B765" s="51"/>
      <c r="C765" s="51" t="n">
        <v>0</v>
      </c>
      <c r="D765" s="51" t="n">
        <v>0</v>
      </c>
      <c r="E765" s="51"/>
      <c r="F765" s="51" t="n">
        <v>54</v>
      </c>
      <c r="G765" s="51" t="n">
        <v>0</v>
      </c>
      <c r="H765" s="51"/>
      <c r="I765" s="51"/>
      <c r="J765" s="51"/>
      <c r="K765" s="51"/>
      <c r="L765" s="51"/>
    </row>
    <row r="766" customFormat="false" ht="15" hidden="false" customHeight="false" outlineLevel="0" collapsed="false">
      <c r="A766" s="52"/>
      <c r="B766" s="51"/>
      <c r="C766" s="51" t="n">
        <v>0</v>
      </c>
      <c r="D766" s="51" t="n">
        <v>0</v>
      </c>
      <c r="E766" s="51"/>
      <c r="F766" s="51" t="n">
        <v>53</v>
      </c>
      <c r="G766" s="51" t="n">
        <v>20</v>
      </c>
      <c r="H766" s="51"/>
      <c r="I766" s="51"/>
      <c r="J766" s="51"/>
      <c r="K766" s="51"/>
      <c r="L766" s="51"/>
    </row>
    <row r="767" customFormat="false" ht="15" hidden="false" customHeight="false" outlineLevel="0" collapsed="false">
      <c r="A767" s="52"/>
      <c r="B767" s="51"/>
      <c r="C767" s="51" t="n">
        <v>0</v>
      </c>
      <c r="D767" s="51" t="n">
        <v>0</v>
      </c>
      <c r="E767" s="51"/>
      <c r="F767" s="51" t="n">
        <v>53</v>
      </c>
      <c r="G767" s="51" t="n">
        <v>0</v>
      </c>
      <c r="H767" s="51"/>
      <c r="I767" s="51"/>
      <c r="J767" s="51"/>
      <c r="K767" s="51"/>
      <c r="L767" s="51"/>
    </row>
    <row r="768" customFormat="false" ht="15" hidden="false" customHeight="false" outlineLevel="0" collapsed="false">
      <c r="A768" s="52"/>
      <c r="B768" s="51"/>
      <c r="C768" s="51" t="n">
        <v>0</v>
      </c>
      <c r="D768" s="51" t="n">
        <v>0</v>
      </c>
      <c r="E768" s="51"/>
      <c r="F768" s="51" t="n">
        <v>53</v>
      </c>
      <c r="G768" s="51" t="n">
        <v>0</v>
      </c>
      <c r="H768" s="51"/>
      <c r="I768" s="51"/>
      <c r="J768" s="51"/>
      <c r="K768" s="51"/>
      <c r="L768" s="51"/>
    </row>
    <row r="769" customFormat="false" ht="15" hidden="false" customHeight="false" outlineLevel="0" collapsed="false">
      <c r="A769" s="52"/>
      <c r="B769" s="51"/>
      <c r="C769" s="51" t="n">
        <v>0</v>
      </c>
      <c r="D769" s="51" t="n">
        <v>0</v>
      </c>
      <c r="E769" s="51"/>
      <c r="F769" s="51" t="n">
        <v>53</v>
      </c>
      <c r="G769" s="51" t="n">
        <v>0</v>
      </c>
      <c r="H769" s="51"/>
      <c r="I769" s="51"/>
      <c r="J769" s="51"/>
      <c r="K769" s="51"/>
      <c r="L769" s="51"/>
    </row>
    <row r="770" customFormat="false" ht="15" hidden="false" customHeight="false" outlineLevel="0" collapsed="false">
      <c r="A770" s="52"/>
      <c r="B770" s="51"/>
      <c r="C770" s="51" t="n">
        <v>0</v>
      </c>
      <c r="D770" s="51" t="n">
        <v>0</v>
      </c>
      <c r="E770" s="51"/>
      <c r="F770" s="51" t="n">
        <v>52</v>
      </c>
      <c r="G770" s="51" t="n">
        <v>0</v>
      </c>
      <c r="H770" s="51"/>
      <c r="I770" s="51"/>
      <c r="J770" s="51"/>
      <c r="K770" s="51"/>
      <c r="L770" s="51"/>
    </row>
    <row r="771" customFormat="false" ht="15" hidden="false" customHeight="false" outlineLevel="0" collapsed="false">
      <c r="A771" s="52"/>
      <c r="B771" s="51"/>
      <c r="C771" s="51" t="n">
        <v>0</v>
      </c>
      <c r="D771" s="51" t="n">
        <v>0</v>
      </c>
      <c r="E771" s="51"/>
      <c r="F771" s="51" t="n">
        <v>51</v>
      </c>
      <c r="G771" s="51" t="n">
        <v>0</v>
      </c>
      <c r="H771" s="51"/>
      <c r="I771" s="51"/>
      <c r="J771" s="51"/>
      <c r="K771" s="51"/>
      <c r="L771" s="51"/>
    </row>
    <row r="772" customFormat="false" ht="15" hidden="false" customHeight="false" outlineLevel="0" collapsed="false">
      <c r="A772" s="52"/>
      <c r="B772" s="51"/>
      <c r="C772" s="51" t="n">
        <v>0</v>
      </c>
      <c r="D772" s="51" t="n">
        <v>1</v>
      </c>
      <c r="E772" s="51"/>
      <c r="F772" s="51" t="n">
        <v>51</v>
      </c>
      <c r="G772" s="51" t="n">
        <v>6</v>
      </c>
      <c r="H772" s="51"/>
      <c r="I772" s="51"/>
      <c r="J772" s="51"/>
      <c r="K772" s="51"/>
      <c r="L772" s="51"/>
    </row>
    <row r="773" customFormat="false" ht="15" hidden="false" customHeight="false" outlineLevel="0" collapsed="false">
      <c r="A773" s="52"/>
      <c r="B773" s="51"/>
      <c r="C773" s="51" t="n">
        <v>0</v>
      </c>
      <c r="D773" s="51" t="n">
        <v>0</v>
      </c>
      <c r="E773" s="51"/>
      <c r="F773" s="51" t="n">
        <v>51</v>
      </c>
      <c r="G773" s="51" t="n">
        <v>0</v>
      </c>
      <c r="H773" s="51"/>
      <c r="I773" s="51"/>
      <c r="J773" s="51"/>
      <c r="K773" s="51"/>
      <c r="L773" s="51"/>
    </row>
    <row r="774" customFormat="false" ht="15" hidden="false" customHeight="false" outlineLevel="0" collapsed="false">
      <c r="A774" s="52"/>
      <c r="B774" s="51"/>
      <c r="C774" s="51" t="n">
        <v>0</v>
      </c>
      <c r="D774" s="51" t="n">
        <v>0</v>
      </c>
      <c r="E774" s="51"/>
      <c r="F774" s="51" t="n">
        <v>50</v>
      </c>
      <c r="G774" s="51" t="n">
        <v>0</v>
      </c>
      <c r="H774" s="51"/>
      <c r="I774" s="51"/>
      <c r="J774" s="51"/>
      <c r="K774" s="51"/>
      <c r="L774" s="51"/>
    </row>
    <row r="775" customFormat="false" ht="15" hidden="false" customHeight="false" outlineLevel="0" collapsed="false">
      <c r="A775" s="52"/>
      <c r="B775" s="51"/>
      <c r="C775" s="51" t="n">
        <v>0</v>
      </c>
      <c r="D775" s="51" t="n">
        <v>0</v>
      </c>
      <c r="E775" s="51"/>
      <c r="F775" s="51" t="n">
        <v>50</v>
      </c>
      <c r="G775" s="51" t="n">
        <v>0</v>
      </c>
      <c r="H775" s="51"/>
      <c r="I775" s="51"/>
      <c r="J775" s="51"/>
      <c r="K775" s="51"/>
      <c r="L775" s="51"/>
    </row>
    <row r="776" customFormat="false" ht="15" hidden="false" customHeight="false" outlineLevel="0" collapsed="false">
      <c r="A776" s="52"/>
      <c r="B776" s="51"/>
      <c r="C776" s="51" t="n">
        <v>0</v>
      </c>
      <c r="D776" s="51" t="n">
        <v>0</v>
      </c>
      <c r="E776" s="51"/>
      <c r="F776" s="51" t="n">
        <v>50</v>
      </c>
      <c r="G776" s="51" t="n">
        <v>0</v>
      </c>
      <c r="H776" s="51"/>
      <c r="I776" s="51"/>
      <c r="J776" s="51"/>
      <c r="K776" s="51"/>
      <c r="L776" s="51"/>
    </row>
    <row r="777" customFormat="false" ht="15" hidden="false" customHeight="false" outlineLevel="0" collapsed="false">
      <c r="A777" s="52"/>
      <c r="B777" s="51"/>
      <c r="C777" s="51" t="n">
        <v>0</v>
      </c>
      <c r="D777" s="51" t="n">
        <v>0</v>
      </c>
      <c r="E777" s="51"/>
      <c r="F777" s="51" t="n">
        <v>49</v>
      </c>
      <c r="G777" s="51" t="n">
        <v>0</v>
      </c>
      <c r="H777" s="51"/>
      <c r="I777" s="51"/>
      <c r="J777" s="51"/>
      <c r="K777" s="51"/>
      <c r="L777" s="51"/>
    </row>
    <row r="778" customFormat="false" ht="15" hidden="false" customHeight="false" outlineLevel="0" collapsed="false">
      <c r="A778" s="52"/>
      <c r="B778" s="51"/>
      <c r="C778" s="51" t="n">
        <v>0</v>
      </c>
      <c r="D778" s="51" t="n">
        <v>0</v>
      </c>
      <c r="E778" s="51"/>
      <c r="F778" s="51" t="n">
        <v>49</v>
      </c>
      <c r="G778" s="51" t="n">
        <v>7</v>
      </c>
      <c r="H778" s="51"/>
      <c r="I778" s="51"/>
      <c r="J778" s="51"/>
      <c r="K778" s="51"/>
      <c r="L778" s="51"/>
    </row>
    <row r="779" customFormat="false" ht="15" hidden="false" customHeight="false" outlineLevel="0" collapsed="false">
      <c r="A779" s="46"/>
      <c r="B779" s="49" t="s">
        <v>6556</v>
      </c>
      <c r="C779" s="48" t="n">
        <v>0</v>
      </c>
      <c r="D779" s="48" t="n">
        <v>0</v>
      </c>
      <c r="E779" s="48" t="n">
        <f aca="false">C779-D779</f>
        <v>0</v>
      </c>
      <c r="F779" s="48" t="n">
        <v>49</v>
      </c>
      <c r="G779" s="48" t="n">
        <v>12</v>
      </c>
      <c r="H779" s="48" t="n">
        <f aca="false">F779-G779</f>
        <v>37</v>
      </c>
      <c r="I779" s="51"/>
      <c r="J779" s="51"/>
      <c r="K779" s="51"/>
      <c r="L779" s="51"/>
    </row>
    <row r="780" customFormat="false" ht="15" hidden="false" customHeight="false" outlineLevel="0" collapsed="false">
      <c r="A780" s="52"/>
      <c r="B780" s="51"/>
      <c r="C780" s="51" t="n">
        <v>0</v>
      </c>
      <c r="D780" s="51" t="n">
        <v>0</v>
      </c>
      <c r="E780" s="51"/>
      <c r="F780" s="51" t="n">
        <v>48</v>
      </c>
      <c r="G780" s="51" t="n">
        <v>199</v>
      </c>
      <c r="H780" s="51"/>
      <c r="I780" s="51"/>
      <c r="J780" s="51"/>
      <c r="K780" s="51"/>
      <c r="L780" s="51"/>
    </row>
    <row r="781" customFormat="false" ht="15" hidden="false" customHeight="false" outlineLevel="0" collapsed="false">
      <c r="A781" s="52"/>
      <c r="B781" s="51"/>
      <c r="C781" s="51" t="n">
        <v>0</v>
      </c>
      <c r="D781" s="51" t="n">
        <v>0</v>
      </c>
      <c r="E781" s="51"/>
      <c r="F781" s="51" t="n">
        <v>48</v>
      </c>
      <c r="G781" s="51" t="n">
        <v>0</v>
      </c>
      <c r="H781" s="51"/>
      <c r="I781" s="51"/>
      <c r="J781" s="51"/>
      <c r="K781" s="51"/>
      <c r="L781" s="51"/>
    </row>
    <row r="782" customFormat="false" ht="15" hidden="false" customHeight="false" outlineLevel="0" collapsed="false">
      <c r="A782" s="52"/>
      <c r="B782" s="51"/>
      <c r="C782" s="51" t="n">
        <v>0</v>
      </c>
      <c r="D782" s="51" t="n">
        <v>1</v>
      </c>
      <c r="E782" s="51"/>
      <c r="F782" s="51" t="n">
        <v>48</v>
      </c>
      <c r="G782" s="51" t="n">
        <v>105</v>
      </c>
      <c r="H782" s="51"/>
      <c r="I782" s="51"/>
      <c r="J782" s="51"/>
      <c r="K782" s="51"/>
      <c r="L782" s="51"/>
    </row>
    <row r="783" customFormat="false" ht="15" hidden="false" customHeight="false" outlineLevel="0" collapsed="false">
      <c r="A783" s="52"/>
      <c r="B783" s="51"/>
      <c r="C783" s="51" t="n">
        <v>0</v>
      </c>
      <c r="D783" s="51" t="n">
        <v>0</v>
      </c>
      <c r="E783" s="51"/>
      <c r="F783" s="51" t="n">
        <v>48</v>
      </c>
      <c r="G783" s="51" t="n">
        <v>0</v>
      </c>
      <c r="H783" s="51"/>
      <c r="I783" s="51"/>
      <c r="J783" s="51"/>
      <c r="K783" s="51"/>
      <c r="L783" s="51"/>
    </row>
    <row r="784" customFormat="false" ht="15" hidden="false" customHeight="false" outlineLevel="0" collapsed="false">
      <c r="A784" s="52"/>
      <c r="B784" s="51"/>
      <c r="C784" s="51" t="n">
        <v>0</v>
      </c>
      <c r="D784" s="51" t="n">
        <v>0</v>
      </c>
      <c r="E784" s="51"/>
      <c r="F784" s="51" t="n">
        <v>47</v>
      </c>
      <c r="G784" s="51" t="n">
        <v>0</v>
      </c>
      <c r="H784" s="51"/>
      <c r="I784" s="51"/>
      <c r="J784" s="51"/>
      <c r="K784" s="51"/>
      <c r="L784" s="51"/>
    </row>
    <row r="785" customFormat="false" ht="15" hidden="false" customHeight="false" outlineLevel="0" collapsed="false">
      <c r="A785" s="52"/>
      <c r="B785" s="51"/>
      <c r="C785" s="51" t="n">
        <v>0</v>
      </c>
      <c r="D785" s="51" t="n">
        <v>1</v>
      </c>
      <c r="E785" s="51"/>
      <c r="F785" s="51" t="n">
        <v>47</v>
      </c>
      <c r="G785" s="51" t="n">
        <v>189</v>
      </c>
      <c r="H785" s="51"/>
      <c r="I785" s="51"/>
      <c r="J785" s="51"/>
      <c r="K785" s="51"/>
      <c r="L785" s="51"/>
    </row>
    <row r="786" customFormat="false" ht="15" hidden="false" customHeight="false" outlineLevel="0" collapsed="false">
      <c r="A786" s="52"/>
      <c r="B786" s="51"/>
      <c r="C786" s="51" t="n">
        <v>0</v>
      </c>
      <c r="D786" s="51" t="n">
        <v>0</v>
      </c>
      <c r="E786" s="51"/>
      <c r="F786" s="51" t="n">
        <v>47</v>
      </c>
      <c r="G786" s="51" t="n">
        <v>0</v>
      </c>
      <c r="H786" s="51"/>
      <c r="I786" s="51"/>
      <c r="J786" s="51"/>
      <c r="K786" s="51"/>
      <c r="L786" s="51"/>
    </row>
    <row r="787" customFormat="false" ht="15" hidden="false" customHeight="false" outlineLevel="0" collapsed="false">
      <c r="A787" s="52"/>
      <c r="B787" s="51"/>
      <c r="C787" s="51" t="n">
        <v>0</v>
      </c>
      <c r="D787" s="51" t="n">
        <v>0</v>
      </c>
      <c r="E787" s="51"/>
      <c r="F787" s="51" t="n">
        <v>47</v>
      </c>
      <c r="G787" s="51" t="n">
        <v>0</v>
      </c>
      <c r="H787" s="51"/>
      <c r="I787" s="51"/>
      <c r="J787" s="51"/>
      <c r="K787" s="51"/>
      <c r="L787" s="51"/>
    </row>
    <row r="788" customFormat="false" ht="15" hidden="false" customHeight="false" outlineLevel="0" collapsed="false">
      <c r="A788" s="52"/>
      <c r="B788" s="51"/>
      <c r="C788" s="51" t="n">
        <v>0</v>
      </c>
      <c r="D788" s="51" t="n">
        <v>0</v>
      </c>
      <c r="E788" s="51"/>
      <c r="F788" s="51" t="n">
        <v>47</v>
      </c>
      <c r="G788" s="51" t="n">
        <v>0</v>
      </c>
      <c r="H788" s="51"/>
      <c r="I788" s="51"/>
      <c r="J788" s="51"/>
      <c r="K788" s="51"/>
      <c r="L788" s="51"/>
    </row>
    <row r="789" customFormat="false" ht="15" hidden="false" customHeight="false" outlineLevel="0" collapsed="false">
      <c r="A789" s="52"/>
      <c r="B789" s="51"/>
      <c r="C789" s="51" t="n">
        <v>0</v>
      </c>
      <c r="D789" s="51" t="n">
        <v>0</v>
      </c>
      <c r="E789" s="51"/>
      <c r="F789" s="51" t="n">
        <v>47</v>
      </c>
      <c r="G789" s="51" t="n">
        <v>0</v>
      </c>
      <c r="H789" s="51"/>
      <c r="I789" s="51"/>
      <c r="J789" s="51"/>
      <c r="K789" s="51"/>
      <c r="L789" s="51"/>
    </row>
    <row r="790" customFormat="false" ht="15" hidden="false" customHeight="false" outlineLevel="0" collapsed="false">
      <c r="A790" s="52"/>
      <c r="B790" s="51"/>
      <c r="C790" s="51" t="n">
        <v>0</v>
      </c>
      <c r="D790" s="51" t="n">
        <v>0</v>
      </c>
      <c r="E790" s="51"/>
      <c r="F790" s="51" t="n">
        <v>46</v>
      </c>
      <c r="G790" s="51" t="n">
        <v>0</v>
      </c>
      <c r="H790" s="51"/>
      <c r="I790" s="51"/>
      <c r="J790" s="51"/>
      <c r="K790" s="51"/>
      <c r="L790" s="51"/>
    </row>
    <row r="791" customFormat="false" ht="15" hidden="false" customHeight="false" outlineLevel="0" collapsed="false">
      <c r="A791" s="52"/>
      <c r="B791" s="51"/>
      <c r="C791" s="51" t="n">
        <v>0</v>
      </c>
      <c r="D791" s="51" t="n">
        <v>0</v>
      </c>
      <c r="E791" s="51"/>
      <c r="F791" s="51" t="n">
        <v>46</v>
      </c>
      <c r="G791" s="51" t="n">
        <v>0</v>
      </c>
      <c r="H791" s="51"/>
      <c r="I791" s="51"/>
      <c r="J791" s="51"/>
      <c r="K791" s="51"/>
      <c r="L791" s="51"/>
    </row>
    <row r="792" customFormat="false" ht="15" hidden="false" customHeight="false" outlineLevel="0" collapsed="false">
      <c r="A792" s="52"/>
      <c r="B792" s="51"/>
      <c r="C792" s="51" t="n">
        <v>0</v>
      </c>
      <c r="D792" s="51" t="n">
        <v>0</v>
      </c>
      <c r="E792" s="51"/>
      <c r="F792" s="51" t="n">
        <v>45</v>
      </c>
      <c r="G792" s="51" t="n">
        <v>24</v>
      </c>
      <c r="H792" s="51"/>
      <c r="I792" s="51"/>
      <c r="J792" s="51"/>
      <c r="K792" s="51"/>
      <c r="L792" s="51"/>
    </row>
    <row r="793" customFormat="false" ht="15" hidden="false" customHeight="false" outlineLevel="0" collapsed="false">
      <c r="A793" s="52"/>
      <c r="B793" s="51"/>
      <c r="C793" s="51" t="n">
        <v>0</v>
      </c>
      <c r="D793" s="51" t="n">
        <v>0</v>
      </c>
      <c r="E793" s="51"/>
      <c r="F793" s="51" t="n">
        <v>45</v>
      </c>
      <c r="G793" s="51" t="n">
        <v>0</v>
      </c>
      <c r="H793" s="51"/>
      <c r="I793" s="51"/>
      <c r="J793" s="51"/>
      <c r="K793" s="51"/>
      <c r="L793" s="51"/>
    </row>
    <row r="794" customFormat="false" ht="15" hidden="false" customHeight="false" outlineLevel="0" collapsed="false">
      <c r="A794" s="52"/>
      <c r="B794" s="51"/>
      <c r="C794" s="51" t="n">
        <v>0</v>
      </c>
      <c r="D794" s="51" t="n">
        <v>0</v>
      </c>
      <c r="E794" s="51"/>
      <c r="F794" s="51" t="n">
        <v>45</v>
      </c>
      <c r="G794" s="51" t="n">
        <v>0</v>
      </c>
      <c r="H794" s="51"/>
      <c r="I794" s="51"/>
      <c r="J794" s="51"/>
      <c r="K794" s="51"/>
      <c r="L794" s="51"/>
    </row>
    <row r="795" customFormat="false" ht="15" hidden="false" customHeight="false" outlineLevel="0" collapsed="false">
      <c r="A795" s="52"/>
      <c r="B795" s="51"/>
      <c r="C795" s="51" t="n">
        <v>0</v>
      </c>
      <c r="D795" s="51" t="n">
        <v>0</v>
      </c>
      <c r="E795" s="51"/>
      <c r="F795" s="51" t="n">
        <v>44</v>
      </c>
      <c r="G795" s="51" t="n">
        <v>0</v>
      </c>
      <c r="H795" s="51"/>
      <c r="I795" s="51"/>
      <c r="J795" s="51"/>
      <c r="K795" s="51"/>
      <c r="L795" s="51"/>
    </row>
    <row r="796" customFormat="false" ht="15" hidden="false" customHeight="false" outlineLevel="0" collapsed="false">
      <c r="A796" s="52"/>
      <c r="B796" s="51"/>
      <c r="C796" s="51" t="n">
        <v>0</v>
      </c>
      <c r="D796" s="51" t="n">
        <v>1</v>
      </c>
      <c r="E796" s="51"/>
      <c r="F796" s="51" t="n">
        <v>44</v>
      </c>
      <c r="G796" s="51" t="n">
        <v>7</v>
      </c>
      <c r="H796" s="51"/>
      <c r="I796" s="51"/>
      <c r="J796" s="51"/>
      <c r="K796" s="51"/>
      <c r="L796" s="51"/>
    </row>
    <row r="797" customFormat="false" ht="15" hidden="false" customHeight="false" outlineLevel="0" collapsed="false">
      <c r="A797" s="52"/>
      <c r="B797" s="51"/>
      <c r="C797" s="51" t="n">
        <v>0</v>
      </c>
      <c r="D797" s="51" t="n">
        <v>2</v>
      </c>
      <c r="E797" s="51"/>
      <c r="F797" s="51" t="n">
        <v>44</v>
      </c>
      <c r="G797" s="51" t="n">
        <v>244</v>
      </c>
      <c r="H797" s="51"/>
      <c r="I797" s="51"/>
      <c r="J797" s="51"/>
      <c r="K797" s="51"/>
      <c r="L797" s="51"/>
    </row>
    <row r="798" customFormat="false" ht="15" hidden="false" customHeight="false" outlineLevel="0" collapsed="false">
      <c r="A798" s="52"/>
      <c r="B798" s="51"/>
      <c r="C798" s="51" t="n">
        <v>0</v>
      </c>
      <c r="D798" s="51" t="n">
        <v>0</v>
      </c>
      <c r="E798" s="51"/>
      <c r="F798" s="51" t="n">
        <v>44</v>
      </c>
      <c r="G798" s="51" t="n">
        <v>0</v>
      </c>
      <c r="H798" s="51"/>
      <c r="I798" s="51"/>
      <c r="J798" s="51"/>
      <c r="K798" s="51"/>
      <c r="L798" s="51"/>
    </row>
    <row r="799" customFormat="false" ht="15" hidden="false" customHeight="false" outlineLevel="0" collapsed="false">
      <c r="A799" s="52"/>
      <c r="B799" s="51"/>
      <c r="C799" s="51" t="n">
        <v>0</v>
      </c>
      <c r="D799" s="51" t="n">
        <v>0</v>
      </c>
      <c r="E799" s="51"/>
      <c r="F799" s="51" t="n">
        <v>44</v>
      </c>
      <c r="G799" s="51" t="n">
        <v>0</v>
      </c>
      <c r="H799" s="51"/>
      <c r="I799" s="51"/>
      <c r="J799" s="51"/>
      <c r="K799" s="51"/>
      <c r="L799" s="51"/>
    </row>
    <row r="800" customFormat="false" ht="15" hidden="false" customHeight="false" outlineLevel="0" collapsed="false">
      <c r="A800" s="52"/>
      <c r="B800" s="51"/>
      <c r="C800" s="51" t="n">
        <v>0</v>
      </c>
      <c r="D800" s="51" t="n">
        <v>0</v>
      </c>
      <c r="E800" s="51"/>
      <c r="F800" s="51" t="n">
        <v>43</v>
      </c>
      <c r="G800" s="51" t="n">
        <v>0</v>
      </c>
      <c r="H800" s="51"/>
      <c r="I800" s="51"/>
      <c r="J800" s="51"/>
      <c r="K800" s="51"/>
      <c r="L800" s="51"/>
    </row>
    <row r="801" customFormat="false" ht="15" hidden="false" customHeight="false" outlineLevel="0" collapsed="false">
      <c r="A801" s="52"/>
      <c r="B801" s="51"/>
      <c r="C801" s="51" t="n">
        <v>0</v>
      </c>
      <c r="D801" s="51" t="n">
        <v>0</v>
      </c>
      <c r="E801" s="51"/>
      <c r="F801" s="51" t="n">
        <v>42</v>
      </c>
      <c r="G801" s="51" t="n">
        <v>0</v>
      </c>
      <c r="H801" s="51"/>
      <c r="I801" s="51"/>
      <c r="J801" s="51"/>
      <c r="K801" s="51"/>
      <c r="L801" s="51"/>
    </row>
    <row r="802" customFormat="false" ht="15" hidden="false" customHeight="false" outlineLevel="0" collapsed="false">
      <c r="A802" s="52"/>
      <c r="B802" s="51"/>
      <c r="C802" s="51" t="n">
        <v>0</v>
      </c>
      <c r="D802" s="51" t="n">
        <v>0</v>
      </c>
      <c r="E802" s="51"/>
      <c r="F802" s="51" t="n">
        <v>42</v>
      </c>
      <c r="G802" s="51" t="n">
        <v>0</v>
      </c>
      <c r="H802" s="51"/>
      <c r="I802" s="51"/>
      <c r="J802" s="51"/>
      <c r="K802" s="51"/>
      <c r="L802" s="51"/>
    </row>
    <row r="803" customFormat="false" ht="15" hidden="false" customHeight="false" outlineLevel="0" collapsed="false">
      <c r="A803" s="52"/>
      <c r="B803" s="51"/>
      <c r="C803" s="51" t="n">
        <v>0</v>
      </c>
      <c r="D803" s="51" t="n">
        <v>0</v>
      </c>
      <c r="E803" s="51"/>
      <c r="F803" s="51" t="n">
        <v>42</v>
      </c>
      <c r="G803" s="51" t="n">
        <v>0</v>
      </c>
      <c r="H803" s="51"/>
      <c r="I803" s="51"/>
      <c r="J803" s="51"/>
      <c r="K803" s="51"/>
      <c r="L803" s="51"/>
    </row>
    <row r="804" customFormat="false" ht="15" hidden="false" customHeight="false" outlineLevel="0" collapsed="false">
      <c r="A804" s="52"/>
      <c r="B804" s="51"/>
      <c r="C804" s="51" t="n">
        <v>0</v>
      </c>
      <c r="D804" s="51" t="n">
        <v>1</v>
      </c>
      <c r="E804" s="51"/>
      <c r="F804" s="51" t="n">
        <v>41</v>
      </c>
      <c r="G804" s="51" t="n">
        <v>44</v>
      </c>
      <c r="H804" s="51"/>
      <c r="I804" s="51"/>
      <c r="J804" s="51"/>
      <c r="K804" s="51"/>
      <c r="L804" s="51"/>
    </row>
    <row r="805" customFormat="false" ht="15" hidden="false" customHeight="false" outlineLevel="0" collapsed="false">
      <c r="A805" s="52"/>
      <c r="B805" s="51"/>
      <c r="C805" s="51" t="n">
        <v>0</v>
      </c>
      <c r="D805" s="51" t="n">
        <v>0</v>
      </c>
      <c r="E805" s="51"/>
      <c r="F805" s="51" t="n">
        <v>41</v>
      </c>
      <c r="G805" s="51" t="n">
        <v>0</v>
      </c>
      <c r="H805" s="51"/>
      <c r="I805" s="51"/>
      <c r="J805" s="51"/>
      <c r="K805" s="51"/>
      <c r="L805" s="51"/>
    </row>
    <row r="806" customFormat="false" ht="15" hidden="false" customHeight="false" outlineLevel="0" collapsed="false">
      <c r="A806" s="52"/>
      <c r="B806" s="51"/>
      <c r="C806" s="51" t="n">
        <v>0</v>
      </c>
      <c r="D806" s="51" t="n">
        <v>0</v>
      </c>
      <c r="E806" s="51"/>
      <c r="F806" s="51" t="n">
        <v>40</v>
      </c>
      <c r="G806" s="51" t="n">
        <v>0</v>
      </c>
      <c r="H806" s="51"/>
      <c r="I806" s="51"/>
      <c r="J806" s="51"/>
      <c r="K806" s="51"/>
      <c r="L806" s="51"/>
    </row>
    <row r="807" customFormat="false" ht="15" hidden="false" customHeight="false" outlineLevel="0" collapsed="false">
      <c r="A807" s="52"/>
      <c r="B807" s="51"/>
      <c r="C807" s="51" t="n">
        <v>0</v>
      </c>
      <c r="D807" s="51" t="n">
        <v>0</v>
      </c>
      <c r="E807" s="51"/>
      <c r="F807" s="51" t="n">
        <v>40</v>
      </c>
      <c r="G807" s="51" t="n">
        <v>0</v>
      </c>
      <c r="H807" s="51"/>
      <c r="I807" s="51"/>
      <c r="J807" s="51"/>
      <c r="K807" s="51"/>
      <c r="L807" s="51"/>
    </row>
    <row r="808" customFormat="false" ht="15" hidden="false" customHeight="false" outlineLevel="0" collapsed="false">
      <c r="A808" s="52"/>
      <c r="B808" s="51"/>
      <c r="C808" s="51" t="n">
        <v>0</v>
      </c>
      <c r="D808" s="51" t="n">
        <v>0</v>
      </c>
      <c r="E808" s="51"/>
      <c r="F808" s="51" t="n">
        <v>40</v>
      </c>
      <c r="G808" s="51" t="n">
        <v>0</v>
      </c>
      <c r="H808" s="51"/>
      <c r="I808" s="51"/>
      <c r="J808" s="51"/>
      <c r="K808" s="51"/>
      <c r="L808" s="51"/>
    </row>
    <row r="809" customFormat="false" ht="15" hidden="false" customHeight="false" outlineLevel="0" collapsed="false">
      <c r="A809" s="52"/>
      <c r="B809" s="51"/>
      <c r="C809" s="51" t="n">
        <v>0</v>
      </c>
      <c r="D809" s="51" t="n">
        <v>0</v>
      </c>
      <c r="E809" s="51"/>
      <c r="F809" s="51" t="n">
        <v>39</v>
      </c>
      <c r="G809" s="51" t="n">
        <v>0</v>
      </c>
      <c r="H809" s="51"/>
      <c r="I809" s="51"/>
      <c r="J809" s="51"/>
      <c r="K809" s="51"/>
      <c r="L809" s="51"/>
    </row>
    <row r="810" customFormat="false" ht="15" hidden="false" customHeight="false" outlineLevel="0" collapsed="false">
      <c r="A810" s="46"/>
      <c r="B810" s="49" t="s">
        <v>6557</v>
      </c>
      <c r="C810" s="48" t="n">
        <v>0</v>
      </c>
      <c r="D810" s="48" t="n">
        <v>0</v>
      </c>
      <c r="E810" s="48" t="n">
        <f aca="false">C810-D810</f>
        <v>0</v>
      </c>
      <c r="F810" s="48" t="n">
        <v>39</v>
      </c>
      <c r="G810" s="48" t="n">
        <v>329</v>
      </c>
      <c r="H810" s="48" t="n">
        <f aca="false">F810-G810</f>
        <v>-290</v>
      </c>
      <c r="I810" s="51"/>
      <c r="J810" s="51"/>
      <c r="K810" s="51"/>
      <c r="L810" s="51"/>
    </row>
    <row r="811" customFormat="false" ht="15" hidden="false" customHeight="false" outlineLevel="0" collapsed="false">
      <c r="A811" s="52"/>
      <c r="B811" s="51"/>
      <c r="C811" s="51" t="n">
        <v>0</v>
      </c>
      <c r="D811" s="51" t="n">
        <v>0</v>
      </c>
      <c r="E811" s="51"/>
      <c r="F811" s="51" t="n">
        <v>38</v>
      </c>
      <c r="G811" s="51" t="n">
        <v>0</v>
      </c>
      <c r="H811" s="51"/>
      <c r="I811" s="51"/>
      <c r="J811" s="51"/>
      <c r="K811" s="51"/>
      <c r="L811" s="51"/>
    </row>
    <row r="812" customFormat="false" ht="15" hidden="false" customHeight="false" outlineLevel="0" collapsed="false">
      <c r="A812" s="52"/>
      <c r="B812" s="51"/>
      <c r="C812" s="51" t="n">
        <v>0</v>
      </c>
      <c r="D812" s="51" t="n">
        <v>0</v>
      </c>
      <c r="E812" s="51"/>
      <c r="F812" s="51" t="n">
        <v>37</v>
      </c>
      <c r="G812" s="51" t="n">
        <v>0</v>
      </c>
      <c r="H812" s="51"/>
      <c r="I812" s="51"/>
      <c r="J812" s="51"/>
      <c r="K812" s="51"/>
      <c r="L812" s="51"/>
    </row>
    <row r="813" customFormat="false" ht="15" hidden="false" customHeight="false" outlineLevel="0" collapsed="false">
      <c r="A813" s="52"/>
      <c r="B813" s="51"/>
      <c r="C813" s="51" t="n">
        <v>0</v>
      </c>
      <c r="D813" s="51" t="n">
        <v>0</v>
      </c>
      <c r="E813" s="51"/>
      <c r="F813" s="51" t="n">
        <v>36</v>
      </c>
      <c r="G813" s="51" t="n">
        <v>0</v>
      </c>
      <c r="H813" s="51"/>
      <c r="I813" s="51"/>
      <c r="J813" s="51"/>
      <c r="K813" s="51"/>
      <c r="L813" s="51"/>
    </row>
    <row r="814" customFormat="false" ht="15" hidden="false" customHeight="false" outlineLevel="0" collapsed="false">
      <c r="A814" s="52"/>
      <c r="B814" s="51"/>
      <c r="C814" s="51" t="n">
        <v>0</v>
      </c>
      <c r="D814" s="51" t="n">
        <v>0</v>
      </c>
      <c r="E814" s="51"/>
      <c r="F814" s="51" t="n">
        <v>36</v>
      </c>
      <c r="G814" s="51" t="n">
        <v>5</v>
      </c>
      <c r="H814" s="51"/>
      <c r="I814" s="51"/>
      <c r="J814" s="51"/>
      <c r="K814" s="51"/>
      <c r="L814" s="51"/>
    </row>
    <row r="815" customFormat="false" ht="15" hidden="false" customHeight="false" outlineLevel="0" collapsed="false">
      <c r="A815" s="52"/>
      <c r="B815" s="51"/>
      <c r="C815" s="51" t="n">
        <v>0</v>
      </c>
      <c r="D815" s="51" t="n">
        <v>1</v>
      </c>
      <c r="E815" s="51"/>
      <c r="F815" s="51" t="n">
        <v>36</v>
      </c>
      <c r="G815" s="51" t="n">
        <v>77</v>
      </c>
      <c r="H815" s="51"/>
      <c r="I815" s="51"/>
      <c r="J815" s="51"/>
      <c r="K815" s="51"/>
      <c r="L815" s="51"/>
    </row>
    <row r="816" customFormat="false" ht="15" hidden="false" customHeight="false" outlineLevel="0" collapsed="false">
      <c r="A816" s="52"/>
      <c r="B816" s="51"/>
      <c r="C816" s="51" t="n">
        <v>0</v>
      </c>
      <c r="D816" s="51" t="n">
        <v>0</v>
      </c>
      <c r="E816" s="51"/>
      <c r="F816" s="51" t="n">
        <v>36</v>
      </c>
      <c r="G816" s="51" t="n">
        <v>164</v>
      </c>
      <c r="H816" s="51"/>
      <c r="I816" s="51"/>
      <c r="J816" s="51"/>
      <c r="K816" s="51"/>
      <c r="L816" s="51"/>
    </row>
    <row r="817" customFormat="false" ht="15" hidden="false" customHeight="false" outlineLevel="0" collapsed="false">
      <c r="A817" s="52"/>
      <c r="B817" s="51"/>
      <c r="C817" s="51" t="n">
        <v>0</v>
      </c>
      <c r="D817" s="51" t="n">
        <v>0</v>
      </c>
      <c r="E817" s="51"/>
      <c r="F817" s="51" t="n">
        <v>36</v>
      </c>
      <c r="G817" s="51" t="n">
        <v>0</v>
      </c>
      <c r="H817" s="51"/>
      <c r="I817" s="51"/>
      <c r="J817" s="51"/>
      <c r="K817" s="51"/>
      <c r="L817" s="51"/>
    </row>
    <row r="818" customFormat="false" ht="15" hidden="false" customHeight="false" outlineLevel="0" collapsed="false">
      <c r="A818" s="46"/>
      <c r="B818" s="49" t="s">
        <v>6558</v>
      </c>
      <c r="C818" s="48" t="n">
        <v>0</v>
      </c>
      <c r="D818" s="48" t="n">
        <v>0</v>
      </c>
      <c r="E818" s="48" t="n">
        <f aca="false">C818-D818</f>
        <v>0</v>
      </c>
      <c r="F818" s="48" t="n">
        <v>36</v>
      </c>
      <c r="G818" s="48" t="n">
        <v>5</v>
      </c>
      <c r="H818" s="48" t="n">
        <f aca="false">F818-G818</f>
        <v>31</v>
      </c>
      <c r="I818" s="51"/>
      <c r="J818" s="51"/>
      <c r="K818" s="51"/>
      <c r="L818" s="51"/>
    </row>
    <row r="819" customFormat="false" ht="15" hidden="false" customHeight="false" outlineLevel="0" collapsed="false">
      <c r="A819" s="52"/>
      <c r="B819" s="51"/>
      <c r="C819" s="51" t="n">
        <v>0</v>
      </c>
      <c r="D819" s="51" t="n">
        <v>0</v>
      </c>
      <c r="E819" s="51"/>
      <c r="F819" s="51" t="n">
        <v>35</v>
      </c>
      <c r="G819" s="51" t="n">
        <v>0</v>
      </c>
      <c r="H819" s="51"/>
      <c r="I819" s="51"/>
      <c r="J819" s="51"/>
      <c r="K819" s="51"/>
      <c r="L819" s="51"/>
    </row>
    <row r="820" customFormat="false" ht="15" hidden="false" customHeight="false" outlineLevel="0" collapsed="false">
      <c r="A820" s="52"/>
      <c r="B820" s="51"/>
      <c r="C820" s="51" t="n">
        <v>0</v>
      </c>
      <c r="D820" s="51" t="n">
        <v>2</v>
      </c>
      <c r="E820" s="51"/>
      <c r="F820" s="51" t="n">
        <v>35</v>
      </c>
      <c r="G820" s="51" t="n">
        <v>27</v>
      </c>
      <c r="H820" s="51"/>
      <c r="I820" s="51"/>
      <c r="J820" s="51"/>
      <c r="K820" s="51"/>
      <c r="L820" s="51"/>
    </row>
    <row r="821" customFormat="false" ht="15" hidden="false" customHeight="false" outlineLevel="0" collapsed="false">
      <c r="A821" s="52"/>
      <c r="B821" s="51"/>
      <c r="C821" s="51" t="n">
        <v>0</v>
      </c>
      <c r="D821" s="51" t="n">
        <v>0</v>
      </c>
      <c r="E821" s="51"/>
      <c r="F821" s="51" t="n">
        <v>35</v>
      </c>
      <c r="G821" s="51" t="n">
        <v>0</v>
      </c>
      <c r="H821" s="51"/>
      <c r="I821" s="51"/>
      <c r="J821" s="51"/>
      <c r="K821" s="51"/>
      <c r="L821" s="51"/>
    </row>
    <row r="822" customFormat="false" ht="15" hidden="false" customHeight="false" outlineLevel="0" collapsed="false">
      <c r="A822" s="52"/>
      <c r="B822" s="51"/>
      <c r="C822" s="51" t="n">
        <v>0</v>
      </c>
      <c r="D822" s="51" t="n">
        <v>0</v>
      </c>
      <c r="E822" s="51"/>
      <c r="F822" s="51" t="n">
        <v>35</v>
      </c>
      <c r="G822" s="51" t="n">
        <v>0</v>
      </c>
      <c r="H822" s="51"/>
      <c r="I822" s="51"/>
      <c r="J822" s="51"/>
      <c r="K822" s="51"/>
      <c r="L822" s="51"/>
    </row>
    <row r="823" customFormat="false" ht="15" hidden="false" customHeight="false" outlineLevel="0" collapsed="false">
      <c r="A823" s="52"/>
      <c r="B823" s="51"/>
      <c r="C823" s="51" t="n">
        <v>0</v>
      </c>
      <c r="D823" s="51" t="n">
        <v>0</v>
      </c>
      <c r="E823" s="51"/>
      <c r="F823" s="51" t="n">
        <v>34</v>
      </c>
      <c r="G823" s="51" t="n">
        <v>0</v>
      </c>
      <c r="H823" s="51"/>
      <c r="I823" s="51"/>
      <c r="J823" s="51"/>
      <c r="K823" s="51"/>
      <c r="L823" s="51"/>
    </row>
    <row r="824" customFormat="false" ht="15" hidden="false" customHeight="false" outlineLevel="0" collapsed="false">
      <c r="A824" s="52"/>
      <c r="B824" s="51"/>
      <c r="C824" s="51" t="n">
        <v>0</v>
      </c>
      <c r="D824" s="51" t="n">
        <v>0</v>
      </c>
      <c r="E824" s="51"/>
      <c r="F824" s="51" t="n">
        <v>34</v>
      </c>
      <c r="G824" s="51" t="n">
        <v>0</v>
      </c>
      <c r="H824" s="51"/>
      <c r="I824" s="51"/>
      <c r="J824" s="51"/>
      <c r="K824" s="51"/>
      <c r="L824" s="51"/>
    </row>
    <row r="825" customFormat="false" ht="15" hidden="false" customHeight="false" outlineLevel="0" collapsed="false">
      <c r="A825" s="52"/>
      <c r="B825" s="51"/>
      <c r="C825" s="51" t="n">
        <v>0</v>
      </c>
      <c r="D825" s="51" t="n">
        <v>0</v>
      </c>
      <c r="E825" s="51"/>
      <c r="F825" s="51" t="n">
        <v>34</v>
      </c>
      <c r="G825" s="51" t="n">
        <v>0</v>
      </c>
      <c r="H825" s="51"/>
      <c r="I825" s="51"/>
      <c r="J825" s="51"/>
      <c r="K825" s="51"/>
      <c r="L825" s="51"/>
    </row>
    <row r="826" customFormat="false" ht="15" hidden="false" customHeight="false" outlineLevel="0" collapsed="false">
      <c r="A826" s="52"/>
      <c r="B826" s="51"/>
      <c r="C826" s="51" t="n">
        <v>0</v>
      </c>
      <c r="D826" s="51" t="n">
        <v>0</v>
      </c>
      <c r="E826" s="51"/>
      <c r="F826" s="51" t="n">
        <v>34</v>
      </c>
      <c r="G826" s="51" t="n">
        <v>0</v>
      </c>
      <c r="H826" s="51"/>
      <c r="I826" s="51"/>
      <c r="J826" s="51"/>
      <c r="K826" s="51"/>
      <c r="L826" s="51"/>
    </row>
    <row r="827" customFormat="false" ht="15" hidden="false" customHeight="false" outlineLevel="0" collapsed="false">
      <c r="A827" s="52"/>
      <c r="B827" s="51"/>
      <c r="C827" s="51" t="n">
        <v>0</v>
      </c>
      <c r="D827" s="51" t="n">
        <v>0</v>
      </c>
      <c r="E827" s="51"/>
      <c r="F827" s="51" t="n">
        <v>33</v>
      </c>
      <c r="G827" s="51" t="n">
        <v>0</v>
      </c>
      <c r="H827" s="51"/>
      <c r="I827" s="51"/>
      <c r="J827" s="51"/>
      <c r="K827" s="51"/>
      <c r="L827" s="51"/>
    </row>
    <row r="828" customFormat="false" ht="15" hidden="false" customHeight="false" outlineLevel="0" collapsed="false">
      <c r="A828" s="52"/>
      <c r="B828" s="51"/>
      <c r="C828" s="51" t="n">
        <v>0</v>
      </c>
      <c r="D828" s="51" t="n">
        <v>0</v>
      </c>
      <c r="E828" s="51"/>
      <c r="F828" s="51" t="n">
        <v>33</v>
      </c>
      <c r="G828" s="51" t="n">
        <v>0</v>
      </c>
      <c r="H828" s="51"/>
      <c r="I828" s="51"/>
      <c r="J828" s="51"/>
      <c r="K828" s="51"/>
      <c r="L828" s="51"/>
    </row>
    <row r="829" customFormat="false" ht="15" hidden="false" customHeight="false" outlineLevel="0" collapsed="false">
      <c r="A829" s="52"/>
      <c r="B829" s="51"/>
      <c r="C829" s="51" t="n">
        <v>0</v>
      </c>
      <c r="D829" s="51" t="n">
        <v>0</v>
      </c>
      <c r="E829" s="51"/>
      <c r="F829" s="51" t="n">
        <v>33</v>
      </c>
      <c r="G829" s="51" t="n">
        <v>2</v>
      </c>
      <c r="H829" s="51"/>
      <c r="I829" s="51"/>
      <c r="J829" s="51"/>
      <c r="K829" s="51"/>
      <c r="L829" s="51"/>
    </row>
    <row r="830" customFormat="false" ht="15" hidden="false" customHeight="false" outlineLevel="0" collapsed="false">
      <c r="A830" s="52"/>
      <c r="B830" s="51"/>
      <c r="C830" s="51" t="n">
        <v>0</v>
      </c>
      <c r="D830" s="51" t="n">
        <v>0</v>
      </c>
      <c r="E830" s="51"/>
      <c r="F830" s="51" t="n">
        <v>33</v>
      </c>
      <c r="G830" s="51" t="n">
        <v>4</v>
      </c>
      <c r="H830" s="51"/>
      <c r="I830" s="51"/>
      <c r="J830" s="51"/>
      <c r="K830" s="51"/>
      <c r="L830" s="51"/>
    </row>
    <row r="831" customFormat="false" ht="15" hidden="false" customHeight="false" outlineLevel="0" collapsed="false">
      <c r="A831" s="52"/>
      <c r="B831" s="51"/>
      <c r="C831" s="51" t="n">
        <v>0</v>
      </c>
      <c r="D831" s="51" t="n">
        <v>0</v>
      </c>
      <c r="E831" s="51"/>
      <c r="F831" s="51" t="n">
        <v>32</v>
      </c>
      <c r="G831" s="51" t="n">
        <v>0</v>
      </c>
      <c r="H831" s="51"/>
      <c r="I831" s="51"/>
      <c r="J831" s="51"/>
      <c r="K831" s="51"/>
      <c r="L831" s="51"/>
    </row>
    <row r="832" customFormat="false" ht="15" hidden="false" customHeight="false" outlineLevel="0" collapsed="false">
      <c r="A832" s="52"/>
      <c r="B832" s="51"/>
      <c r="C832" s="51" t="n">
        <v>0</v>
      </c>
      <c r="D832" s="51" t="n">
        <v>0</v>
      </c>
      <c r="E832" s="51"/>
      <c r="F832" s="51" t="n">
        <v>32</v>
      </c>
      <c r="G832" s="51" t="n">
        <v>0</v>
      </c>
      <c r="H832" s="51"/>
      <c r="I832" s="51"/>
      <c r="J832" s="51"/>
      <c r="K832" s="51"/>
      <c r="L832" s="51"/>
    </row>
    <row r="833" customFormat="false" ht="15" hidden="false" customHeight="false" outlineLevel="0" collapsed="false">
      <c r="A833" s="52"/>
      <c r="B833" s="51"/>
      <c r="C833" s="51" t="n">
        <v>0</v>
      </c>
      <c r="D833" s="51" t="n">
        <v>0</v>
      </c>
      <c r="E833" s="51"/>
      <c r="F833" s="51" t="n">
        <v>32</v>
      </c>
      <c r="G833" s="51" t="n">
        <v>0</v>
      </c>
      <c r="H833" s="51"/>
      <c r="I833" s="51"/>
      <c r="J833" s="51"/>
      <c r="K833" s="51"/>
      <c r="L833" s="51"/>
    </row>
    <row r="834" customFormat="false" ht="15" hidden="false" customHeight="false" outlineLevel="0" collapsed="false">
      <c r="A834" s="52"/>
      <c r="B834" s="51"/>
      <c r="C834" s="51" t="n">
        <v>0</v>
      </c>
      <c r="D834" s="51" t="n">
        <v>0</v>
      </c>
      <c r="E834" s="51"/>
      <c r="F834" s="51" t="n">
        <v>32</v>
      </c>
      <c r="G834" s="51" t="n">
        <v>0</v>
      </c>
      <c r="H834" s="51"/>
      <c r="I834" s="51"/>
      <c r="J834" s="51"/>
      <c r="K834" s="51"/>
      <c r="L834" s="51"/>
    </row>
    <row r="835" customFormat="false" ht="15" hidden="false" customHeight="false" outlineLevel="0" collapsed="false">
      <c r="A835" s="52"/>
      <c r="B835" s="51"/>
      <c r="C835" s="51" t="n">
        <v>0</v>
      </c>
      <c r="D835" s="51" t="n">
        <v>0</v>
      </c>
      <c r="E835" s="51"/>
      <c r="F835" s="51" t="n">
        <v>32</v>
      </c>
      <c r="G835" s="51" t="n">
        <v>0</v>
      </c>
      <c r="H835" s="51"/>
      <c r="I835" s="51"/>
      <c r="J835" s="51"/>
      <c r="K835" s="51"/>
      <c r="L835" s="51"/>
    </row>
    <row r="836" customFormat="false" ht="15" hidden="false" customHeight="false" outlineLevel="0" collapsed="false">
      <c r="A836" s="52"/>
      <c r="B836" s="51"/>
      <c r="C836" s="51" t="n">
        <v>0</v>
      </c>
      <c r="D836" s="51" t="n">
        <v>0</v>
      </c>
      <c r="E836" s="51"/>
      <c r="F836" s="51" t="n">
        <v>31</v>
      </c>
      <c r="G836" s="51" t="n">
        <v>0</v>
      </c>
      <c r="H836" s="51"/>
      <c r="I836" s="51"/>
      <c r="J836" s="51"/>
      <c r="K836" s="51"/>
      <c r="L836" s="51"/>
    </row>
    <row r="837" customFormat="false" ht="15" hidden="false" customHeight="false" outlineLevel="0" collapsed="false">
      <c r="A837" s="52"/>
      <c r="B837" s="51"/>
      <c r="C837" s="51" t="n">
        <v>0</v>
      </c>
      <c r="D837" s="51" t="n">
        <v>0</v>
      </c>
      <c r="E837" s="51"/>
      <c r="F837" s="51" t="n">
        <v>31</v>
      </c>
      <c r="G837" s="51" t="n">
        <v>57</v>
      </c>
      <c r="H837" s="51"/>
      <c r="I837" s="51"/>
      <c r="J837" s="51"/>
      <c r="K837" s="51"/>
      <c r="L837" s="51"/>
    </row>
    <row r="838" customFormat="false" ht="15" hidden="false" customHeight="false" outlineLevel="0" collapsed="false">
      <c r="A838" s="52"/>
      <c r="B838" s="51"/>
      <c r="C838" s="51" t="n">
        <v>0</v>
      </c>
      <c r="D838" s="51" t="n">
        <v>0</v>
      </c>
      <c r="E838" s="51"/>
      <c r="F838" s="51" t="n">
        <v>31</v>
      </c>
      <c r="G838" s="51" t="n">
        <v>71</v>
      </c>
      <c r="H838" s="51"/>
      <c r="I838" s="51"/>
      <c r="J838" s="51"/>
      <c r="K838" s="51"/>
      <c r="L838" s="51"/>
    </row>
    <row r="839" customFormat="false" ht="15" hidden="false" customHeight="false" outlineLevel="0" collapsed="false">
      <c r="A839" s="52"/>
      <c r="B839" s="51"/>
      <c r="C839" s="51" t="n">
        <v>0</v>
      </c>
      <c r="D839" s="51" t="n">
        <v>0</v>
      </c>
      <c r="E839" s="51"/>
      <c r="F839" s="51" t="n">
        <v>31</v>
      </c>
      <c r="G839" s="51" t="n">
        <v>0</v>
      </c>
      <c r="H839" s="51"/>
      <c r="I839" s="51"/>
      <c r="J839" s="51"/>
      <c r="K839" s="51"/>
      <c r="L839" s="51"/>
    </row>
    <row r="840" customFormat="false" ht="15" hidden="false" customHeight="false" outlineLevel="0" collapsed="false">
      <c r="A840" s="52"/>
      <c r="B840" s="51"/>
      <c r="C840" s="51" t="n">
        <v>0</v>
      </c>
      <c r="D840" s="51" t="n">
        <v>0</v>
      </c>
      <c r="E840" s="51"/>
      <c r="F840" s="51" t="n">
        <v>31</v>
      </c>
      <c r="G840" s="51" t="n">
        <v>0</v>
      </c>
      <c r="H840" s="51"/>
      <c r="I840" s="51"/>
      <c r="J840" s="51"/>
      <c r="K840" s="51"/>
      <c r="L840" s="51"/>
    </row>
    <row r="841" customFormat="false" ht="15" hidden="false" customHeight="false" outlineLevel="0" collapsed="false">
      <c r="A841" s="52"/>
      <c r="B841" s="51"/>
      <c r="C841" s="51" t="n">
        <v>0</v>
      </c>
      <c r="D841" s="51" t="n">
        <v>0</v>
      </c>
      <c r="E841" s="51"/>
      <c r="F841" s="51" t="n">
        <v>31</v>
      </c>
      <c r="G841" s="51" t="n">
        <v>1</v>
      </c>
      <c r="H841" s="51"/>
      <c r="I841" s="51"/>
      <c r="J841" s="51"/>
      <c r="K841" s="51"/>
      <c r="L841" s="51"/>
    </row>
    <row r="842" customFormat="false" ht="15" hidden="false" customHeight="false" outlineLevel="0" collapsed="false">
      <c r="A842" s="52"/>
      <c r="B842" s="51"/>
      <c r="C842" s="51" t="n">
        <v>0</v>
      </c>
      <c r="D842" s="51" t="n">
        <v>0</v>
      </c>
      <c r="E842" s="51"/>
      <c r="F842" s="51" t="n">
        <v>30</v>
      </c>
      <c r="G842" s="51" t="n">
        <v>0</v>
      </c>
      <c r="H842" s="51"/>
      <c r="I842" s="51"/>
      <c r="J842" s="51"/>
      <c r="K842" s="51"/>
      <c r="L842" s="51"/>
    </row>
    <row r="843" customFormat="false" ht="15" hidden="false" customHeight="false" outlineLevel="0" collapsed="false">
      <c r="A843" s="52"/>
      <c r="B843" s="51"/>
      <c r="C843" s="51" t="n">
        <v>0</v>
      </c>
      <c r="D843" s="51" t="n">
        <v>0</v>
      </c>
      <c r="E843" s="51"/>
      <c r="F843" s="51" t="n">
        <v>30</v>
      </c>
      <c r="G843" s="51" t="n">
        <v>0</v>
      </c>
      <c r="H843" s="51"/>
      <c r="I843" s="51"/>
      <c r="J843" s="51"/>
      <c r="K843" s="51"/>
      <c r="L843" s="51"/>
    </row>
    <row r="844" customFormat="false" ht="15" hidden="false" customHeight="false" outlineLevel="0" collapsed="false">
      <c r="A844" s="52"/>
      <c r="B844" s="51"/>
      <c r="C844" s="51" t="n">
        <v>0</v>
      </c>
      <c r="D844" s="51" t="n">
        <v>0</v>
      </c>
      <c r="E844" s="51"/>
      <c r="F844" s="51" t="n">
        <v>30</v>
      </c>
      <c r="G844" s="51" t="n">
        <v>0</v>
      </c>
      <c r="H844" s="51"/>
      <c r="I844" s="51"/>
      <c r="J844" s="51"/>
      <c r="K844" s="51"/>
      <c r="L844" s="51"/>
    </row>
    <row r="845" customFormat="false" ht="15" hidden="false" customHeight="false" outlineLevel="0" collapsed="false">
      <c r="A845" s="52"/>
      <c r="B845" s="51"/>
      <c r="C845" s="51" t="n">
        <v>0</v>
      </c>
      <c r="D845" s="51" t="n">
        <v>0</v>
      </c>
      <c r="E845" s="51"/>
      <c r="F845" s="51" t="n">
        <v>29</v>
      </c>
      <c r="G845" s="51" t="n">
        <v>17</v>
      </c>
      <c r="H845" s="51"/>
      <c r="I845" s="51"/>
      <c r="J845" s="51"/>
      <c r="K845" s="51"/>
      <c r="L845" s="51"/>
    </row>
    <row r="846" customFormat="false" ht="15" hidden="false" customHeight="false" outlineLevel="0" collapsed="false">
      <c r="A846" s="52"/>
      <c r="B846" s="51"/>
      <c r="C846" s="51" t="n">
        <v>0</v>
      </c>
      <c r="D846" s="51" t="n">
        <v>0</v>
      </c>
      <c r="E846" s="51"/>
      <c r="F846" s="51" t="n">
        <v>29</v>
      </c>
      <c r="G846" s="51" t="n">
        <v>0</v>
      </c>
      <c r="H846" s="51"/>
      <c r="I846" s="51"/>
      <c r="J846" s="51"/>
      <c r="K846" s="51"/>
      <c r="L846" s="51"/>
    </row>
    <row r="847" customFormat="false" ht="15" hidden="false" customHeight="false" outlineLevel="0" collapsed="false">
      <c r="A847" s="52"/>
      <c r="B847" s="51"/>
      <c r="C847" s="51" t="n">
        <v>0</v>
      </c>
      <c r="D847" s="51" t="n">
        <v>1</v>
      </c>
      <c r="E847" s="51"/>
      <c r="F847" s="51" t="n">
        <v>29</v>
      </c>
      <c r="G847" s="51" t="n">
        <v>73</v>
      </c>
      <c r="H847" s="51"/>
      <c r="I847" s="51"/>
      <c r="J847" s="51"/>
      <c r="K847" s="51"/>
      <c r="L847" s="51"/>
    </row>
    <row r="848" customFormat="false" ht="15" hidden="false" customHeight="false" outlineLevel="0" collapsed="false">
      <c r="A848" s="52"/>
      <c r="B848" s="51"/>
      <c r="C848" s="51" t="n">
        <v>0</v>
      </c>
      <c r="D848" s="51" t="n">
        <v>0</v>
      </c>
      <c r="E848" s="51"/>
      <c r="F848" s="51" t="n">
        <v>28</v>
      </c>
      <c r="G848" s="51" t="n">
        <v>0</v>
      </c>
      <c r="H848" s="51"/>
      <c r="I848" s="51"/>
      <c r="J848" s="51"/>
      <c r="K848" s="51"/>
      <c r="L848" s="51"/>
    </row>
    <row r="849" customFormat="false" ht="15" hidden="false" customHeight="false" outlineLevel="0" collapsed="false">
      <c r="A849" s="52"/>
      <c r="B849" s="51"/>
      <c r="C849" s="51" t="n">
        <v>0</v>
      </c>
      <c r="D849" s="51" t="n">
        <v>0</v>
      </c>
      <c r="E849" s="51"/>
      <c r="F849" s="51" t="n">
        <v>28</v>
      </c>
      <c r="G849" s="51" t="n">
        <v>163</v>
      </c>
      <c r="H849" s="51"/>
      <c r="I849" s="51"/>
      <c r="J849" s="51"/>
      <c r="K849" s="51"/>
      <c r="L849" s="51"/>
    </row>
    <row r="850" customFormat="false" ht="15" hidden="false" customHeight="false" outlineLevel="0" collapsed="false">
      <c r="A850" s="52"/>
      <c r="B850" s="51"/>
      <c r="C850" s="51" t="n">
        <v>0</v>
      </c>
      <c r="D850" s="51" t="n">
        <v>0</v>
      </c>
      <c r="E850" s="51"/>
      <c r="F850" s="51" t="n">
        <v>28</v>
      </c>
      <c r="G850" s="51" t="n">
        <v>0</v>
      </c>
      <c r="H850" s="51"/>
      <c r="I850" s="51"/>
      <c r="J850" s="51"/>
      <c r="K850" s="51"/>
      <c r="L850" s="51"/>
    </row>
    <row r="851" customFormat="false" ht="15" hidden="false" customHeight="false" outlineLevel="0" collapsed="false">
      <c r="A851" s="52"/>
      <c r="B851" s="51"/>
      <c r="C851" s="51" t="n">
        <v>0</v>
      </c>
      <c r="D851" s="51" t="n">
        <v>0</v>
      </c>
      <c r="E851" s="51"/>
      <c r="F851" s="51" t="n">
        <v>28</v>
      </c>
      <c r="G851" s="51" t="n">
        <v>7</v>
      </c>
      <c r="H851" s="51"/>
      <c r="I851" s="51"/>
      <c r="J851" s="51"/>
      <c r="K851" s="51"/>
      <c r="L851" s="51"/>
    </row>
    <row r="852" customFormat="false" ht="15" hidden="false" customHeight="false" outlineLevel="0" collapsed="false">
      <c r="A852" s="52"/>
      <c r="B852" s="51"/>
      <c r="C852" s="51" t="n">
        <v>0</v>
      </c>
      <c r="D852" s="51" t="n">
        <v>0</v>
      </c>
      <c r="E852" s="51"/>
      <c r="F852" s="51" t="n">
        <v>28</v>
      </c>
      <c r="G852" s="51" t="n">
        <v>0</v>
      </c>
      <c r="H852" s="51"/>
      <c r="I852" s="51"/>
      <c r="J852" s="51"/>
      <c r="K852" s="51"/>
      <c r="L852" s="51"/>
    </row>
    <row r="853" customFormat="false" ht="15" hidden="false" customHeight="false" outlineLevel="0" collapsed="false">
      <c r="A853" s="52"/>
      <c r="B853" s="51"/>
      <c r="C853" s="51" t="n">
        <v>0</v>
      </c>
      <c r="D853" s="51" t="n">
        <v>0</v>
      </c>
      <c r="E853" s="51"/>
      <c r="F853" s="51" t="n">
        <v>28</v>
      </c>
      <c r="G853" s="51" t="n">
        <v>0</v>
      </c>
      <c r="H853" s="51"/>
      <c r="I853" s="51"/>
      <c r="J853" s="51"/>
      <c r="K853" s="51"/>
      <c r="L853" s="51"/>
    </row>
    <row r="854" customFormat="false" ht="15" hidden="false" customHeight="false" outlineLevel="0" collapsed="false">
      <c r="A854" s="52"/>
      <c r="B854" s="51"/>
      <c r="C854" s="51" t="n">
        <v>0</v>
      </c>
      <c r="D854" s="51" t="n">
        <v>0</v>
      </c>
      <c r="E854" s="51"/>
      <c r="F854" s="51" t="n">
        <v>28</v>
      </c>
      <c r="G854" s="51" t="n">
        <v>0</v>
      </c>
      <c r="H854" s="51"/>
      <c r="I854" s="51"/>
      <c r="J854" s="51"/>
      <c r="K854" s="51"/>
      <c r="L854" s="51"/>
    </row>
    <row r="855" customFormat="false" ht="15" hidden="false" customHeight="false" outlineLevel="0" collapsed="false">
      <c r="A855" s="52"/>
      <c r="B855" s="51"/>
      <c r="C855" s="51" t="n">
        <v>0</v>
      </c>
      <c r="D855" s="51" t="n">
        <v>0</v>
      </c>
      <c r="E855" s="51"/>
      <c r="F855" s="51" t="n">
        <v>28</v>
      </c>
      <c r="G855" s="51" t="n">
        <v>0</v>
      </c>
      <c r="H855" s="51"/>
      <c r="I855" s="51"/>
      <c r="J855" s="51"/>
      <c r="K855" s="51"/>
      <c r="L855" s="51"/>
    </row>
    <row r="856" customFormat="false" ht="15" hidden="false" customHeight="false" outlineLevel="0" collapsed="false">
      <c r="A856" s="52"/>
      <c r="B856" s="51"/>
      <c r="C856" s="51" t="n">
        <v>0</v>
      </c>
      <c r="D856" s="51" t="n">
        <v>0</v>
      </c>
      <c r="E856" s="51"/>
      <c r="F856" s="51" t="n">
        <v>27</v>
      </c>
      <c r="G856" s="51" t="n">
        <v>55</v>
      </c>
      <c r="H856" s="51"/>
      <c r="I856" s="51"/>
      <c r="J856" s="51"/>
      <c r="K856" s="51"/>
      <c r="L856" s="51"/>
    </row>
    <row r="857" customFormat="false" ht="15" hidden="false" customHeight="false" outlineLevel="0" collapsed="false">
      <c r="A857" s="52"/>
      <c r="B857" s="51"/>
      <c r="C857" s="51" t="n">
        <v>0</v>
      </c>
      <c r="D857" s="51" t="n">
        <v>0</v>
      </c>
      <c r="E857" s="51"/>
      <c r="F857" s="51" t="n">
        <v>27</v>
      </c>
      <c r="G857" s="51" t="n">
        <v>6</v>
      </c>
      <c r="H857" s="51"/>
      <c r="I857" s="51"/>
      <c r="J857" s="51"/>
      <c r="K857" s="51"/>
      <c r="L857" s="51"/>
    </row>
    <row r="858" customFormat="false" ht="15" hidden="false" customHeight="false" outlineLevel="0" collapsed="false">
      <c r="A858" s="52"/>
      <c r="B858" s="51"/>
      <c r="C858" s="51" t="n">
        <v>0</v>
      </c>
      <c r="D858" s="51" t="n">
        <v>0</v>
      </c>
      <c r="E858" s="51"/>
      <c r="F858" s="51" t="n">
        <v>27</v>
      </c>
      <c r="G858" s="51" t="n">
        <v>12</v>
      </c>
      <c r="H858" s="51"/>
      <c r="I858" s="51"/>
      <c r="J858" s="51"/>
      <c r="K858" s="51"/>
      <c r="L858" s="51"/>
    </row>
    <row r="859" customFormat="false" ht="15" hidden="false" customHeight="false" outlineLevel="0" collapsed="false">
      <c r="A859" s="52"/>
      <c r="B859" s="51"/>
      <c r="C859" s="51" t="n">
        <v>0</v>
      </c>
      <c r="D859" s="51" t="n">
        <v>5</v>
      </c>
      <c r="E859" s="51"/>
      <c r="F859" s="51" t="n">
        <v>27</v>
      </c>
      <c r="G859" s="51" t="n">
        <v>29</v>
      </c>
      <c r="H859" s="51"/>
      <c r="I859" s="51"/>
      <c r="J859" s="51"/>
      <c r="K859" s="51"/>
      <c r="L859" s="51"/>
    </row>
    <row r="860" customFormat="false" ht="15" hidden="false" customHeight="false" outlineLevel="0" collapsed="false">
      <c r="A860" s="52"/>
      <c r="B860" s="51"/>
      <c r="C860" s="51" t="n">
        <v>0</v>
      </c>
      <c r="D860" s="51" t="n">
        <v>0</v>
      </c>
      <c r="E860" s="51"/>
      <c r="F860" s="51" t="n">
        <v>27</v>
      </c>
      <c r="G860" s="51" t="n">
        <v>0</v>
      </c>
      <c r="H860" s="51"/>
      <c r="I860" s="51"/>
      <c r="J860" s="51"/>
      <c r="K860" s="51"/>
      <c r="L860" s="51"/>
    </row>
    <row r="861" customFormat="false" ht="15" hidden="false" customHeight="false" outlineLevel="0" collapsed="false">
      <c r="A861" s="52"/>
      <c r="B861" s="51"/>
      <c r="C861" s="51" t="n">
        <v>0</v>
      </c>
      <c r="D861" s="51" t="n">
        <v>0</v>
      </c>
      <c r="E861" s="51"/>
      <c r="F861" s="51" t="n">
        <v>27</v>
      </c>
      <c r="G861" s="51" t="n">
        <v>0</v>
      </c>
      <c r="H861" s="51"/>
      <c r="I861" s="51"/>
      <c r="J861" s="51"/>
      <c r="K861" s="51"/>
      <c r="L861" s="51"/>
    </row>
    <row r="862" customFormat="false" ht="15" hidden="false" customHeight="false" outlineLevel="0" collapsed="false">
      <c r="A862" s="52"/>
      <c r="B862" s="51"/>
      <c r="C862" s="51" t="n">
        <v>0</v>
      </c>
      <c r="D862" s="51" t="n">
        <v>0</v>
      </c>
      <c r="E862" s="51"/>
      <c r="F862" s="51" t="n">
        <v>27</v>
      </c>
      <c r="G862" s="51" t="n">
        <v>0</v>
      </c>
      <c r="H862" s="51"/>
      <c r="I862" s="51"/>
      <c r="J862" s="51"/>
      <c r="K862" s="51"/>
      <c r="L862" s="51"/>
    </row>
    <row r="863" customFormat="false" ht="15" hidden="false" customHeight="false" outlineLevel="0" collapsed="false">
      <c r="A863" s="52"/>
      <c r="B863" s="51"/>
      <c r="C863" s="51" t="n">
        <v>0</v>
      </c>
      <c r="D863" s="51" t="n">
        <v>1</v>
      </c>
      <c r="E863" s="51"/>
      <c r="F863" s="51" t="n">
        <v>26</v>
      </c>
      <c r="G863" s="51" t="n">
        <v>28</v>
      </c>
      <c r="H863" s="51"/>
      <c r="I863" s="51"/>
      <c r="J863" s="51"/>
      <c r="K863" s="51"/>
      <c r="L863" s="51"/>
    </row>
    <row r="864" customFormat="false" ht="15" hidden="false" customHeight="false" outlineLevel="0" collapsed="false">
      <c r="A864" s="52"/>
      <c r="B864" s="51"/>
      <c r="C864" s="51" t="n">
        <v>0</v>
      </c>
      <c r="D864" s="51" t="n">
        <v>0</v>
      </c>
      <c r="E864" s="51"/>
      <c r="F864" s="51" t="n">
        <v>26</v>
      </c>
      <c r="G864" s="51" t="n">
        <v>0</v>
      </c>
      <c r="H864" s="51"/>
      <c r="I864" s="51"/>
      <c r="J864" s="51"/>
      <c r="K864" s="51"/>
      <c r="L864" s="51"/>
    </row>
    <row r="865" customFormat="false" ht="15" hidden="false" customHeight="false" outlineLevel="0" collapsed="false">
      <c r="A865" s="52"/>
      <c r="B865" s="51"/>
      <c r="C865" s="51" t="n">
        <v>0</v>
      </c>
      <c r="D865" s="51" t="n">
        <v>0</v>
      </c>
      <c r="E865" s="51"/>
      <c r="F865" s="51" t="n">
        <v>26</v>
      </c>
      <c r="G865" s="51" t="n">
        <v>0</v>
      </c>
      <c r="H865" s="51"/>
      <c r="I865" s="51"/>
      <c r="J865" s="51"/>
      <c r="K865" s="51"/>
      <c r="L865" s="51"/>
    </row>
    <row r="866" customFormat="false" ht="15" hidden="false" customHeight="false" outlineLevel="0" collapsed="false">
      <c r="A866" s="52"/>
      <c r="B866" s="51"/>
      <c r="C866" s="51" t="n">
        <v>0</v>
      </c>
      <c r="D866" s="51" t="n">
        <v>0</v>
      </c>
      <c r="E866" s="51"/>
      <c r="F866" s="51" t="n">
        <v>26</v>
      </c>
      <c r="G866" s="51" t="n">
        <v>65</v>
      </c>
      <c r="H866" s="51"/>
      <c r="I866" s="51"/>
      <c r="J866" s="51"/>
      <c r="K866" s="51"/>
      <c r="L866" s="51"/>
    </row>
    <row r="867" customFormat="false" ht="15" hidden="false" customHeight="false" outlineLevel="0" collapsed="false">
      <c r="A867" s="52"/>
      <c r="B867" s="51"/>
      <c r="C867" s="51" t="n">
        <v>0</v>
      </c>
      <c r="D867" s="51" t="n">
        <v>0</v>
      </c>
      <c r="E867" s="51"/>
      <c r="F867" s="51" t="n">
        <v>26</v>
      </c>
      <c r="G867" s="51" t="n">
        <v>0</v>
      </c>
      <c r="H867" s="51"/>
      <c r="I867" s="51"/>
      <c r="J867" s="51"/>
      <c r="K867" s="51"/>
      <c r="L867" s="51"/>
    </row>
    <row r="868" customFormat="false" ht="15" hidden="false" customHeight="false" outlineLevel="0" collapsed="false">
      <c r="A868" s="52"/>
      <c r="B868" s="51"/>
      <c r="C868" s="51" t="n">
        <v>0</v>
      </c>
      <c r="D868" s="51" t="n">
        <v>0</v>
      </c>
      <c r="E868" s="51"/>
      <c r="F868" s="51" t="n">
        <v>26</v>
      </c>
      <c r="G868" s="51" t="n">
        <v>34</v>
      </c>
      <c r="H868" s="51"/>
      <c r="I868" s="51"/>
      <c r="J868" s="51"/>
      <c r="K868" s="51"/>
      <c r="L868" s="51"/>
    </row>
    <row r="869" customFormat="false" ht="15" hidden="false" customHeight="false" outlineLevel="0" collapsed="false">
      <c r="A869" s="52"/>
      <c r="B869" s="51"/>
      <c r="C869" s="51" t="n">
        <v>0</v>
      </c>
      <c r="D869" s="51" t="n">
        <v>0</v>
      </c>
      <c r="E869" s="51"/>
      <c r="F869" s="51" t="n">
        <v>25</v>
      </c>
      <c r="G869" s="51" t="n">
        <v>0</v>
      </c>
      <c r="H869" s="51"/>
      <c r="I869" s="51"/>
      <c r="J869" s="51"/>
      <c r="K869" s="51"/>
      <c r="L869" s="51"/>
    </row>
    <row r="870" customFormat="false" ht="15" hidden="false" customHeight="false" outlineLevel="0" collapsed="false">
      <c r="A870" s="52"/>
      <c r="B870" s="51"/>
      <c r="C870" s="51" t="n">
        <v>0</v>
      </c>
      <c r="D870" s="51" t="n">
        <v>0</v>
      </c>
      <c r="E870" s="51"/>
      <c r="F870" s="51" t="n">
        <v>25</v>
      </c>
      <c r="G870" s="51" t="n">
        <v>0</v>
      </c>
      <c r="H870" s="51"/>
      <c r="I870" s="51"/>
      <c r="J870" s="51"/>
      <c r="K870" s="51"/>
      <c r="L870" s="51"/>
    </row>
    <row r="871" customFormat="false" ht="15" hidden="false" customHeight="false" outlineLevel="0" collapsed="false">
      <c r="A871" s="52"/>
      <c r="B871" s="51"/>
      <c r="C871" s="51" t="n">
        <v>0</v>
      </c>
      <c r="D871" s="51" t="n">
        <v>0</v>
      </c>
      <c r="E871" s="51"/>
      <c r="F871" s="51" t="n">
        <v>25</v>
      </c>
      <c r="G871" s="51" t="n">
        <v>0</v>
      </c>
      <c r="H871" s="51"/>
      <c r="I871" s="51"/>
      <c r="J871" s="51"/>
      <c r="K871" s="51"/>
      <c r="L871" s="51"/>
    </row>
    <row r="872" customFormat="false" ht="15" hidden="false" customHeight="false" outlineLevel="0" collapsed="false">
      <c r="A872" s="52"/>
      <c r="B872" s="51"/>
      <c r="C872" s="51" t="n">
        <v>0</v>
      </c>
      <c r="D872" s="51" t="n">
        <v>0</v>
      </c>
      <c r="E872" s="51"/>
      <c r="F872" s="51" t="n">
        <v>25</v>
      </c>
      <c r="G872" s="51" t="n">
        <v>0</v>
      </c>
      <c r="H872" s="51"/>
      <c r="I872" s="51"/>
      <c r="J872" s="51"/>
      <c r="K872" s="51"/>
      <c r="L872" s="51"/>
    </row>
    <row r="873" customFormat="false" ht="15" hidden="false" customHeight="false" outlineLevel="0" collapsed="false">
      <c r="A873" s="52"/>
      <c r="B873" s="51"/>
      <c r="C873" s="51" t="n">
        <v>0</v>
      </c>
      <c r="D873" s="51" t="n">
        <v>0</v>
      </c>
      <c r="E873" s="51"/>
      <c r="F873" s="51" t="n">
        <v>25</v>
      </c>
      <c r="G873" s="51" t="n">
        <v>0</v>
      </c>
      <c r="H873" s="51"/>
      <c r="I873" s="51"/>
      <c r="J873" s="51"/>
      <c r="K873" s="51"/>
      <c r="L873" s="51"/>
    </row>
    <row r="874" customFormat="false" ht="15" hidden="false" customHeight="false" outlineLevel="0" collapsed="false">
      <c r="A874" s="52"/>
      <c r="B874" s="51"/>
      <c r="C874" s="51" t="n">
        <v>0</v>
      </c>
      <c r="D874" s="51" t="n">
        <v>0</v>
      </c>
      <c r="E874" s="51"/>
      <c r="F874" s="51" t="n">
        <v>24</v>
      </c>
      <c r="G874" s="51" t="n">
        <v>0</v>
      </c>
      <c r="H874" s="51"/>
      <c r="I874" s="51"/>
      <c r="J874" s="51"/>
      <c r="K874" s="51"/>
      <c r="L874" s="51"/>
    </row>
    <row r="875" customFormat="false" ht="15" hidden="false" customHeight="false" outlineLevel="0" collapsed="false">
      <c r="A875" s="52"/>
      <c r="B875" s="51"/>
      <c r="C875" s="51" t="n">
        <v>0</v>
      </c>
      <c r="D875" s="51" t="n">
        <v>0</v>
      </c>
      <c r="E875" s="51"/>
      <c r="F875" s="51" t="n">
        <v>24</v>
      </c>
      <c r="G875" s="51" t="n">
        <v>0</v>
      </c>
      <c r="H875" s="51"/>
      <c r="I875" s="51"/>
      <c r="J875" s="51"/>
      <c r="K875" s="51"/>
      <c r="L875" s="51"/>
    </row>
    <row r="876" customFormat="false" ht="15" hidden="false" customHeight="false" outlineLevel="0" collapsed="false">
      <c r="A876" s="52"/>
      <c r="B876" s="51"/>
      <c r="C876" s="51" t="n">
        <v>0</v>
      </c>
      <c r="D876" s="51" t="n">
        <v>0</v>
      </c>
      <c r="E876" s="51"/>
      <c r="F876" s="51" t="n">
        <v>24</v>
      </c>
      <c r="G876" s="51" t="n">
        <v>0</v>
      </c>
      <c r="H876" s="51"/>
      <c r="I876" s="51"/>
      <c r="J876" s="51"/>
      <c r="K876" s="51"/>
      <c r="L876" s="51"/>
    </row>
    <row r="877" customFormat="false" ht="15" hidden="false" customHeight="false" outlineLevel="0" collapsed="false">
      <c r="A877" s="52"/>
      <c r="B877" s="51"/>
      <c r="C877" s="51" t="n">
        <v>0</v>
      </c>
      <c r="D877" s="51" t="n">
        <v>0</v>
      </c>
      <c r="E877" s="51"/>
      <c r="F877" s="51" t="n">
        <v>24</v>
      </c>
      <c r="G877" s="51" t="n">
        <v>0</v>
      </c>
      <c r="H877" s="51"/>
      <c r="I877" s="51"/>
      <c r="J877" s="51"/>
      <c r="K877" s="51"/>
      <c r="L877" s="51"/>
    </row>
    <row r="878" customFormat="false" ht="15" hidden="false" customHeight="false" outlineLevel="0" collapsed="false">
      <c r="A878" s="52"/>
      <c r="B878" s="51"/>
      <c r="C878" s="51" t="n">
        <v>0</v>
      </c>
      <c r="D878" s="51" t="n">
        <v>0</v>
      </c>
      <c r="E878" s="51"/>
      <c r="F878" s="51" t="n">
        <v>23</v>
      </c>
      <c r="G878" s="51" t="n">
        <v>0</v>
      </c>
      <c r="H878" s="51"/>
      <c r="I878" s="51"/>
      <c r="J878" s="51"/>
      <c r="K878" s="51"/>
      <c r="L878" s="51"/>
    </row>
    <row r="879" customFormat="false" ht="15" hidden="false" customHeight="false" outlineLevel="0" collapsed="false">
      <c r="A879" s="52"/>
      <c r="B879" s="51"/>
      <c r="C879" s="51" t="n">
        <v>0</v>
      </c>
      <c r="D879" s="51" t="n">
        <v>0</v>
      </c>
      <c r="E879" s="51"/>
      <c r="F879" s="51" t="n">
        <v>23</v>
      </c>
      <c r="G879" s="51" t="n">
        <v>0</v>
      </c>
      <c r="H879" s="51"/>
      <c r="I879" s="51"/>
      <c r="J879" s="51"/>
      <c r="K879" s="51"/>
      <c r="L879" s="51"/>
    </row>
    <row r="880" customFormat="false" ht="15" hidden="false" customHeight="false" outlineLevel="0" collapsed="false">
      <c r="A880" s="52"/>
      <c r="B880" s="51"/>
      <c r="C880" s="51" t="n">
        <v>0</v>
      </c>
      <c r="D880" s="51" t="n">
        <v>0</v>
      </c>
      <c r="E880" s="51"/>
      <c r="F880" s="51" t="n">
        <v>23</v>
      </c>
      <c r="G880" s="51" t="n">
        <v>0</v>
      </c>
      <c r="H880" s="51"/>
      <c r="I880" s="51"/>
      <c r="J880" s="51"/>
      <c r="K880" s="51"/>
      <c r="L880" s="51"/>
    </row>
    <row r="881" customFormat="false" ht="15" hidden="false" customHeight="false" outlineLevel="0" collapsed="false">
      <c r="A881" s="52"/>
      <c r="B881" s="51"/>
      <c r="C881" s="51" t="n">
        <v>0</v>
      </c>
      <c r="D881" s="51" t="n">
        <v>0</v>
      </c>
      <c r="E881" s="51"/>
      <c r="F881" s="51" t="n">
        <v>23</v>
      </c>
      <c r="G881" s="51" t="n">
        <v>0</v>
      </c>
      <c r="H881" s="51"/>
      <c r="I881" s="51"/>
      <c r="J881" s="51"/>
      <c r="K881" s="51"/>
      <c r="L881" s="51"/>
    </row>
    <row r="882" customFormat="false" ht="15" hidden="false" customHeight="false" outlineLevel="0" collapsed="false">
      <c r="A882" s="52"/>
      <c r="B882" s="51"/>
      <c r="C882" s="51" t="n">
        <v>0</v>
      </c>
      <c r="D882" s="51" t="n">
        <v>0</v>
      </c>
      <c r="E882" s="51"/>
      <c r="F882" s="51" t="n">
        <v>22</v>
      </c>
      <c r="G882" s="51" t="n">
        <v>0</v>
      </c>
      <c r="H882" s="51"/>
      <c r="I882" s="51"/>
      <c r="J882" s="51"/>
      <c r="K882" s="51"/>
      <c r="L882" s="51"/>
    </row>
    <row r="883" customFormat="false" ht="15" hidden="false" customHeight="false" outlineLevel="0" collapsed="false">
      <c r="A883" s="52"/>
      <c r="B883" s="51"/>
      <c r="C883" s="51" t="n">
        <v>0</v>
      </c>
      <c r="D883" s="51" t="n">
        <v>0</v>
      </c>
      <c r="E883" s="51"/>
      <c r="F883" s="51" t="n">
        <v>22</v>
      </c>
      <c r="G883" s="51" t="n">
        <v>231</v>
      </c>
      <c r="H883" s="51"/>
      <c r="I883" s="51"/>
      <c r="J883" s="51"/>
      <c r="K883" s="51"/>
      <c r="L883" s="51"/>
    </row>
    <row r="884" customFormat="false" ht="15" hidden="false" customHeight="false" outlineLevel="0" collapsed="false">
      <c r="A884" s="52"/>
      <c r="B884" s="51"/>
      <c r="C884" s="51" t="n">
        <v>0</v>
      </c>
      <c r="D884" s="51" t="n">
        <v>0</v>
      </c>
      <c r="E884" s="51"/>
      <c r="F884" s="51" t="n">
        <v>22</v>
      </c>
      <c r="G884" s="51" t="n">
        <v>0</v>
      </c>
      <c r="H884" s="51"/>
      <c r="I884" s="51"/>
      <c r="J884" s="51"/>
      <c r="K884" s="51"/>
      <c r="L884" s="51"/>
    </row>
    <row r="885" customFormat="false" ht="15" hidden="false" customHeight="false" outlineLevel="0" collapsed="false">
      <c r="A885" s="52"/>
      <c r="B885" s="51"/>
      <c r="C885" s="51" t="n">
        <v>0</v>
      </c>
      <c r="D885" s="51" t="n">
        <v>0</v>
      </c>
      <c r="E885" s="51"/>
      <c r="F885" s="51" t="n">
        <v>22</v>
      </c>
      <c r="G885" s="51" t="n">
        <v>0</v>
      </c>
      <c r="H885" s="51"/>
      <c r="I885" s="51"/>
      <c r="J885" s="51"/>
      <c r="K885" s="51"/>
      <c r="L885" s="51"/>
    </row>
    <row r="886" customFormat="false" ht="15" hidden="false" customHeight="false" outlineLevel="0" collapsed="false">
      <c r="A886" s="52"/>
      <c r="B886" s="51"/>
      <c r="C886" s="51" t="n">
        <v>0</v>
      </c>
      <c r="D886" s="51" t="n">
        <v>0</v>
      </c>
      <c r="E886" s="51"/>
      <c r="F886" s="51" t="n">
        <v>22</v>
      </c>
      <c r="G886" s="51" t="n">
        <v>2</v>
      </c>
      <c r="H886" s="51"/>
      <c r="I886" s="51"/>
      <c r="J886" s="51"/>
      <c r="K886" s="51"/>
      <c r="L886" s="51"/>
    </row>
    <row r="887" customFormat="false" ht="15" hidden="false" customHeight="false" outlineLevel="0" collapsed="false">
      <c r="A887" s="52"/>
      <c r="B887" s="51"/>
      <c r="C887" s="51" t="n">
        <v>0</v>
      </c>
      <c r="D887" s="51" t="n">
        <v>0</v>
      </c>
      <c r="E887" s="51"/>
      <c r="F887" s="51" t="n">
        <v>22</v>
      </c>
      <c r="G887" s="51" t="n">
        <v>0</v>
      </c>
      <c r="H887" s="51"/>
      <c r="I887" s="51"/>
      <c r="J887" s="51"/>
      <c r="K887" s="51"/>
      <c r="L887" s="51"/>
    </row>
    <row r="888" customFormat="false" ht="15" hidden="false" customHeight="false" outlineLevel="0" collapsed="false">
      <c r="A888" s="52"/>
      <c r="B888" s="51"/>
      <c r="C888" s="51" t="n">
        <v>0</v>
      </c>
      <c r="D888" s="51" t="n">
        <v>0</v>
      </c>
      <c r="E888" s="51"/>
      <c r="F888" s="51" t="n">
        <v>22</v>
      </c>
      <c r="G888" s="51" t="n">
        <v>0</v>
      </c>
      <c r="H888" s="51"/>
      <c r="I888" s="51"/>
      <c r="J888" s="51"/>
      <c r="K888" s="51"/>
      <c r="L888" s="51"/>
    </row>
    <row r="889" customFormat="false" ht="15" hidden="false" customHeight="false" outlineLevel="0" collapsed="false">
      <c r="A889" s="52"/>
      <c r="B889" s="51"/>
      <c r="C889" s="51" t="n">
        <v>0</v>
      </c>
      <c r="D889" s="51" t="n">
        <v>0</v>
      </c>
      <c r="E889" s="51"/>
      <c r="F889" s="51" t="n">
        <v>21</v>
      </c>
      <c r="G889" s="51" t="n">
        <v>0</v>
      </c>
      <c r="H889" s="51"/>
      <c r="I889" s="51"/>
      <c r="J889" s="51"/>
      <c r="K889" s="51"/>
      <c r="L889" s="51"/>
    </row>
    <row r="890" customFormat="false" ht="15" hidden="false" customHeight="false" outlineLevel="0" collapsed="false">
      <c r="A890" s="52"/>
      <c r="B890" s="51"/>
      <c r="C890" s="51" t="n">
        <v>0</v>
      </c>
      <c r="D890" s="51" t="n">
        <v>0</v>
      </c>
      <c r="E890" s="51"/>
      <c r="F890" s="51" t="n">
        <v>21</v>
      </c>
      <c r="G890" s="51" t="n">
        <v>16</v>
      </c>
      <c r="H890" s="51"/>
      <c r="I890" s="51"/>
      <c r="J890" s="51"/>
      <c r="K890" s="51"/>
      <c r="L890" s="51"/>
    </row>
    <row r="891" customFormat="false" ht="15" hidden="false" customHeight="false" outlineLevel="0" collapsed="false">
      <c r="A891" s="52"/>
      <c r="B891" s="51"/>
      <c r="C891" s="51" t="n">
        <v>0</v>
      </c>
      <c r="D891" s="51" t="n">
        <v>0</v>
      </c>
      <c r="E891" s="51"/>
      <c r="F891" s="51" t="n">
        <v>21</v>
      </c>
      <c r="G891" s="51" t="n">
        <v>0</v>
      </c>
      <c r="H891" s="51"/>
      <c r="I891" s="51"/>
      <c r="J891" s="51"/>
      <c r="K891" s="51"/>
      <c r="L891" s="51"/>
    </row>
    <row r="892" customFormat="false" ht="15" hidden="false" customHeight="false" outlineLevel="0" collapsed="false">
      <c r="A892" s="52"/>
      <c r="B892" s="51"/>
      <c r="C892" s="51" t="n">
        <v>0</v>
      </c>
      <c r="D892" s="51" t="n">
        <v>0</v>
      </c>
      <c r="E892" s="51"/>
      <c r="F892" s="51" t="n">
        <v>21</v>
      </c>
      <c r="G892" s="51" t="n">
        <v>33</v>
      </c>
      <c r="H892" s="51"/>
      <c r="I892" s="51"/>
      <c r="J892" s="51"/>
      <c r="K892" s="51"/>
      <c r="L892" s="51"/>
    </row>
    <row r="893" customFormat="false" ht="15" hidden="false" customHeight="false" outlineLevel="0" collapsed="false">
      <c r="A893" s="52"/>
      <c r="B893" s="51"/>
      <c r="C893" s="51" t="n">
        <v>0</v>
      </c>
      <c r="D893" s="51" t="n">
        <v>0</v>
      </c>
      <c r="E893" s="51"/>
      <c r="F893" s="51" t="n">
        <v>21</v>
      </c>
      <c r="G893" s="51" t="n">
        <v>56</v>
      </c>
      <c r="H893" s="51"/>
      <c r="I893" s="51"/>
      <c r="J893" s="51"/>
      <c r="K893" s="51"/>
      <c r="L893" s="51"/>
    </row>
    <row r="894" customFormat="false" ht="15" hidden="false" customHeight="false" outlineLevel="0" collapsed="false">
      <c r="A894" s="52"/>
      <c r="B894" s="51"/>
      <c r="C894" s="51" t="n">
        <v>0</v>
      </c>
      <c r="D894" s="51" t="n">
        <v>0</v>
      </c>
      <c r="E894" s="51"/>
      <c r="F894" s="51" t="n">
        <v>21</v>
      </c>
      <c r="G894" s="51" t="n">
        <v>46</v>
      </c>
      <c r="H894" s="51"/>
      <c r="I894" s="51"/>
      <c r="J894" s="51"/>
      <c r="K894" s="51"/>
      <c r="L894" s="51"/>
    </row>
    <row r="895" customFormat="false" ht="15" hidden="false" customHeight="false" outlineLevel="0" collapsed="false">
      <c r="A895" s="52"/>
      <c r="B895" s="51"/>
      <c r="C895" s="51" t="n">
        <v>0</v>
      </c>
      <c r="D895" s="51" t="n">
        <v>0</v>
      </c>
      <c r="E895" s="51"/>
      <c r="F895" s="51" t="n">
        <v>20</v>
      </c>
      <c r="G895" s="51" t="n">
        <v>17</v>
      </c>
      <c r="H895" s="51"/>
      <c r="I895" s="51"/>
      <c r="J895" s="51"/>
      <c r="K895" s="51"/>
      <c r="L895" s="51"/>
    </row>
    <row r="896" customFormat="false" ht="15" hidden="false" customHeight="false" outlineLevel="0" collapsed="false">
      <c r="A896" s="52"/>
      <c r="B896" s="51"/>
      <c r="C896" s="51" t="n">
        <v>0</v>
      </c>
      <c r="D896" s="51" t="n">
        <v>0</v>
      </c>
      <c r="E896" s="51"/>
      <c r="F896" s="51" t="n">
        <v>20</v>
      </c>
      <c r="G896" s="51" t="n">
        <v>23</v>
      </c>
      <c r="H896" s="51"/>
      <c r="I896" s="51"/>
      <c r="J896" s="51"/>
      <c r="K896" s="51"/>
      <c r="L896" s="51"/>
    </row>
    <row r="897" customFormat="false" ht="15" hidden="false" customHeight="false" outlineLevel="0" collapsed="false">
      <c r="A897" s="52"/>
      <c r="B897" s="51"/>
      <c r="C897" s="51" t="n">
        <v>0</v>
      </c>
      <c r="D897" s="51" t="n">
        <v>0</v>
      </c>
      <c r="E897" s="51"/>
      <c r="F897" s="51" t="n">
        <v>20</v>
      </c>
      <c r="G897" s="51" t="n">
        <v>0</v>
      </c>
      <c r="H897" s="51"/>
      <c r="I897" s="51"/>
      <c r="J897" s="51"/>
      <c r="K897" s="51"/>
      <c r="L897" s="51"/>
    </row>
    <row r="898" customFormat="false" ht="15" hidden="false" customHeight="false" outlineLevel="0" collapsed="false">
      <c r="A898" s="52"/>
      <c r="B898" s="51"/>
      <c r="C898" s="51" t="n">
        <v>0</v>
      </c>
      <c r="D898" s="51" t="n">
        <v>0</v>
      </c>
      <c r="E898" s="51"/>
      <c r="F898" s="51" t="n">
        <v>20</v>
      </c>
      <c r="G898" s="51" t="n">
        <v>0</v>
      </c>
      <c r="H898" s="51"/>
      <c r="I898" s="51"/>
      <c r="J898" s="51"/>
      <c r="K898" s="51"/>
      <c r="L898" s="51"/>
    </row>
    <row r="899" customFormat="false" ht="15" hidden="false" customHeight="false" outlineLevel="0" collapsed="false">
      <c r="A899" s="52"/>
      <c r="B899" s="51"/>
      <c r="C899" s="51" t="n">
        <v>0</v>
      </c>
      <c r="D899" s="51" t="n">
        <v>0</v>
      </c>
      <c r="E899" s="51"/>
      <c r="F899" s="51" t="n">
        <v>20</v>
      </c>
      <c r="G899" s="51" t="n">
        <v>0</v>
      </c>
      <c r="H899" s="51"/>
      <c r="I899" s="51"/>
      <c r="J899" s="51"/>
      <c r="K899" s="51"/>
      <c r="L899" s="51"/>
    </row>
    <row r="900" customFormat="false" ht="15" hidden="false" customHeight="false" outlineLevel="0" collapsed="false">
      <c r="A900" s="52"/>
      <c r="B900" s="51"/>
      <c r="C900" s="51" t="n">
        <v>0</v>
      </c>
      <c r="D900" s="51" t="n">
        <v>0</v>
      </c>
      <c r="E900" s="51"/>
      <c r="F900" s="51" t="n">
        <v>19</v>
      </c>
      <c r="G900" s="51" t="n">
        <v>0</v>
      </c>
      <c r="H900" s="51"/>
      <c r="I900" s="51"/>
      <c r="J900" s="51"/>
      <c r="K900" s="51"/>
      <c r="L900" s="51"/>
    </row>
    <row r="901" customFormat="false" ht="15" hidden="false" customHeight="false" outlineLevel="0" collapsed="false">
      <c r="A901" s="52"/>
      <c r="B901" s="51"/>
      <c r="C901" s="51" t="n">
        <v>0</v>
      </c>
      <c r="D901" s="51" t="n">
        <v>0</v>
      </c>
      <c r="E901" s="51"/>
      <c r="F901" s="51" t="n">
        <v>19</v>
      </c>
      <c r="G901" s="51" t="n">
        <v>0</v>
      </c>
      <c r="H901" s="51"/>
      <c r="I901" s="51"/>
      <c r="J901" s="51"/>
      <c r="K901" s="51"/>
      <c r="L901" s="51"/>
    </row>
    <row r="902" customFormat="false" ht="15" hidden="false" customHeight="false" outlineLevel="0" collapsed="false">
      <c r="A902" s="52"/>
      <c r="B902" s="51"/>
      <c r="C902" s="51" t="n">
        <v>0</v>
      </c>
      <c r="D902" s="51" t="n">
        <v>0</v>
      </c>
      <c r="E902" s="51"/>
      <c r="F902" s="51" t="n">
        <v>19</v>
      </c>
      <c r="G902" s="51" t="n">
        <v>0</v>
      </c>
      <c r="H902" s="51"/>
      <c r="I902" s="51"/>
      <c r="J902" s="51"/>
      <c r="K902" s="51"/>
      <c r="L902" s="51"/>
    </row>
    <row r="903" customFormat="false" ht="15" hidden="false" customHeight="false" outlineLevel="0" collapsed="false">
      <c r="A903" s="52"/>
      <c r="B903" s="51"/>
      <c r="C903" s="51" t="n">
        <v>0</v>
      </c>
      <c r="D903" s="51" t="n">
        <v>0</v>
      </c>
      <c r="E903" s="51"/>
      <c r="F903" s="51" t="n">
        <v>19</v>
      </c>
      <c r="G903" s="51" t="n">
        <v>0</v>
      </c>
      <c r="H903" s="51"/>
      <c r="I903" s="51"/>
      <c r="J903" s="51"/>
      <c r="K903" s="51"/>
      <c r="L903" s="51"/>
    </row>
    <row r="904" customFormat="false" ht="15" hidden="false" customHeight="false" outlineLevel="0" collapsed="false">
      <c r="A904" s="52"/>
      <c r="B904" s="51"/>
      <c r="C904" s="51" t="n">
        <v>0</v>
      </c>
      <c r="D904" s="51" t="n">
        <v>0</v>
      </c>
      <c r="E904" s="51"/>
      <c r="F904" s="51" t="n">
        <v>19</v>
      </c>
      <c r="G904" s="51" t="n">
        <v>0</v>
      </c>
      <c r="H904" s="51"/>
      <c r="I904" s="51"/>
      <c r="J904" s="51"/>
      <c r="K904" s="51"/>
      <c r="L904" s="51"/>
    </row>
    <row r="905" customFormat="false" ht="15" hidden="false" customHeight="false" outlineLevel="0" collapsed="false">
      <c r="A905" s="52"/>
      <c r="B905" s="51"/>
      <c r="C905" s="51" t="n">
        <v>0</v>
      </c>
      <c r="D905" s="51" t="n">
        <v>0</v>
      </c>
      <c r="E905" s="51"/>
      <c r="F905" s="51" t="n">
        <v>18</v>
      </c>
      <c r="G905" s="51" t="n">
        <v>0</v>
      </c>
      <c r="H905" s="51"/>
      <c r="I905" s="51"/>
      <c r="J905" s="51"/>
      <c r="K905" s="51"/>
      <c r="L905" s="51"/>
    </row>
    <row r="906" customFormat="false" ht="15" hidden="false" customHeight="false" outlineLevel="0" collapsed="false">
      <c r="A906" s="52"/>
      <c r="B906" s="51"/>
      <c r="C906" s="51" t="n">
        <v>0</v>
      </c>
      <c r="D906" s="51" t="n">
        <v>1</v>
      </c>
      <c r="E906" s="51"/>
      <c r="F906" s="51" t="n">
        <v>18</v>
      </c>
      <c r="G906" s="51" t="n">
        <v>40</v>
      </c>
      <c r="H906" s="51"/>
      <c r="I906" s="51"/>
      <c r="J906" s="51"/>
      <c r="K906" s="51"/>
      <c r="L906" s="51"/>
    </row>
    <row r="907" customFormat="false" ht="15" hidden="false" customHeight="false" outlineLevel="0" collapsed="false">
      <c r="A907" s="52"/>
      <c r="B907" s="51"/>
      <c r="C907" s="51" t="n">
        <v>0</v>
      </c>
      <c r="D907" s="51" t="n">
        <v>0</v>
      </c>
      <c r="E907" s="51"/>
      <c r="F907" s="51" t="n">
        <v>18</v>
      </c>
      <c r="G907" s="51" t="n">
        <v>54</v>
      </c>
      <c r="H907" s="51"/>
      <c r="I907" s="51"/>
      <c r="J907" s="51"/>
      <c r="K907" s="51"/>
      <c r="L907" s="51"/>
    </row>
    <row r="908" customFormat="false" ht="15" hidden="false" customHeight="false" outlineLevel="0" collapsed="false">
      <c r="A908" s="52"/>
      <c r="B908" s="51"/>
      <c r="C908" s="51" t="n">
        <v>0</v>
      </c>
      <c r="D908" s="51" t="n">
        <v>0</v>
      </c>
      <c r="E908" s="51"/>
      <c r="F908" s="51" t="n">
        <v>18</v>
      </c>
      <c r="G908" s="51" t="n">
        <v>0</v>
      </c>
      <c r="H908" s="51"/>
      <c r="I908" s="51"/>
      <c r="J908" s="51"/>
      <c r="K908" s="51"/>
      <c r="L908" s="51"/>
    </row>
    <row r="909" customFormat="false" ht="15" hidden="false" customHeight="false" outlineLevel="0" collapsed="false">
      <c r="A909" s="52"/>
      <c r="B909" s="51"/>
      <c r="C909" s="51" t="n">
        <v>0</v>
      </c>
      <c r="D909" s="51" t="n">
        <v>0</v>
      </c>
      <c r="E909" s="51"/>
      <c r="F909" s="51" t="n">
        <v>18</v>
      </c>
      <c r="G909" s="51" t="n">
        <v>0</v>
      </c>
      <c r="H909" s="51"/>
      <c r="I909" s="51"/>
      <c r="J909" s="51"/>
      <c r="K909" s="51"/>
      <c r="L909" s="51"/>
    </row>
    <row r="910" customFormat="false" ht="15" hidden="false" customHeight="false" outlineLevel="0" collapsed="false">
      <c r="A910" s="46"/>
      <c r="B910" s="49" t="s">
        <v>6559</v>
      </c>
      <c r="C910" s="48" t="n">
        <v>0</v>
      </c>
      <c r="D910" s="48" t="n">
        <v>0</v>
      </c>
      <c r="E910" s="48" t="n">
        <f aca="false">C910-D910</f>
        <v>0</v>
      </c>
      <c r="F910" s="48" t="n">
        <v>17</v>
      </c>
      <c r="G910" s="48" t="n">
        <v>21</v>
      </c>
      <c r="H910" s="48" t="n">
        <f aca="false">F910-G910</f>
        <v>-4</v>
      </c>
      <c r="I910" s="51"/>
      <c r="J910" s="51"/>
      <c r="K910" s="51"/>
      <c r="L910" s="51"/>
    </row>
    <row r="911" customFormat="false" ht="15" hidden="false" customHeight="false" outlineLevel="0" collapsed="false">
      <c r="A911" s="52"/>
      <c r="B911" s="51"/>
      <c r="C911" s="51" t="n">
        <v>0</v>
      </c>
      <c r="D911" s="51" t="n">
        <v>0</v>
      </c>
      <c r="E911" s="51"/>
      <c r="F911" s="51" t="n">
        <v>17</v>
      </c>
      <c r="G911" s="51" t="n">
        <v>0</v>
      </c>
      <c r="H911" s="51"/>
      <c r="I911" s="51"/>
      <c r="J911" s="51"/>
      <c r="K911" s="51"/>
      <c r="L911" s="51"/>
    </row>
    <row r="912" customFormat="false" ht="15" hidden="false" customHeight="false" outlineLevel="0" collapsed="false">
      <c r="A912" s="52"/>
      <c r="B912" s="51"/>
      <c r="C912" s="51" t="n">
        <v>0</v>
      </c>
      <c r="D912" s="51" t="n">
        <v>0</v>
      </c>
      <c r="E912" s="51"/>
      <c r="F912" s="51" t="n">
        <v>17</v>
      </c>
      <c r="G912" s="51" t="n">
        <v>0</v>
      </c>
      <c r="H912" s="51"/>
      <c r="I912" s="51"/>
      <c r="J912" s="51"/>
      <c r="K912" s="51"/>
      <c r="L912" s="51"/>
    </row>
    <row r="913" customFormat="false" ht="15" hidden="false" customHeight="false" outlineLevel="0" collapsed="false">
      <c r="A913" s="46"/>
      <c r="B913" s="49" t="s">
        <v>6560</v>
      </c>
      <c r="C913" s="48" t="n">
        <v>0</v>
      </c>
      <c r="D913" s="48" t="n">
        <v>0</v>
      </c>
      <c r="E913" s="48" t="n">
        <f aca="false">C913-D913</f>
        <v>0</v>
      </c>
      <c r="F913" s="48" t="n">
        <v>17</v>
      </c>
      <c r="G913" s="48" t="n">
        <v>8</v>
      </c>
      <c r="H913" s="48" t="n">
        <f aca="false">F913-G913</f>
        <v>9</v>
      </c>
      <c r="I913" s="51"/>
      <c r="J913" s="51"/>
      <c r="K913" s="51"/>
      <c r="L913" s="51"/>
    </row>
    <row r="914" customFormat="false" ht="15" hidden="false" customHeight="false" outlineLevel="0" collapsed="false">
      <c r="A914" s="46"/>
      <c r="B914" s="49" t="s">
        <v>6561</v>
      </c>
      <c r="C914" s="48" t="n">
        <v>0</v>
      </c>
      <c r="D914" s="48" t="n">
        <v>0</v>
      </c>
      <c r="E914" s="48" t="n">
        <f aca="false">C914-D914</f>
        <v>0</v>
      </c>
      <c r="F914" s="48" t="n">
        <v>16</v>
      </c>
      <c r="G914" s="48" t="n">
        <v>6</v>
      </c>
      <c r="H914" s="48" t="n">
        <f aca="false">F914-G914</f>
        <v>10</v>
      </c>
      <c r="I914" s="51"/>
      <c r="J914" s="51"/>
      <c r="K914" s="51"/>
      <c r="L914" s="51"/>
    </row>
    <row r="915" customFormat="false" ht="15" hidden="false" customHeight="false" outlineLevel="0" collapsed="false">
      <c r="A915" s="52"/>
      <c r="B915" s="51"/>
      <c r="C915" s="51" t="n">
        <v>0</v>
      </c>
      <c r="D915" s="51" t="n">
        <v>0</v>
      </c>
      <c r="E915" s="51"/>
      <c r="F915" s="51" t="n">
        <v>16</v>
      </c>
      <c r="G915" s="51" t="n">
        <v>6</v>
      </c>
      <c r="H915" s="51"/>
      <c r="I915" s="51"/>
      <c r="J915" s="51"/>
      <c r="K915" s="51"/>
      <c r="L915" s="51"/>
    </row>
    <row r="916" customFormat="false" ht="15" hidden="false" customHeight="false" outlineLevel="0" collapsed="false">
      <c r="A916" s="52"/>
      <c r="B916" s="51"/>
      <c r="C916" s="51" t="n">
        <v>0</v>
      </c>
      <c r="D916" s="51" t="n">
        <v>0</v>
      </c>
      <c r="E916" s="51"/>
      <c r="F916" s="51" t="n">
        <v>16</v>
      </c>
      <c r="G916" s="51" t="n">
        <v>0</v>
      </c>
      <c r="H916" s="51"/>
      <c r="I916" s="51"/>
      <c r="J916" s="51"/>
      <c r="K916" s="51"/>
      <c r="L916" s="51"/>
    </row>
    <row r="917" customFormat="false" ht="15" hidden="false" customHeight="false" outlineLevel="0" collapsed="false">
      <c r="A917" s="52"/>
      <c r="B917" s="51"/>
      <c r="C917" s="51" t="n">
        <v>0</v>
      </c>
      <c r="D917" s="51" t="n">
        <v>0</v>
      </c>
      <c r="E917" s="51"/>
      <c r="F917" s="51" t="n">
        <v>16</v>
      </c>
      <c r="G917" s="51" t="n">
        <v>0</v>
      </c>
      <c r="H917" s="51"/>
      <c r="I917" s="51"/>
      <c r="J917" s="51"/>
      <c r="K917" s="51"/>
      <c r="L917" s="51"/>
    </row>
    <row r="918" customFormat="false" ht="15" hidden="false" customHeight="false" outlineLevel="0" collapsed="false">
      <c r="A918" s="52"/>
      <c r="B918" s="51"/>
      <c r="C918" s="51" t="n">
        <v>0</v>
      </c>
      <c r="D918" s="51" t="n">
        <v>1</v>
      </c>
      <c r="E918" s="51"/>
      <c r="F918" s="51" t="n">
        <v>16</v>
      </c>
      <c r="G918" s="51" t="n">
        <v>91</v>
      </c>
      <c r="H918" s="51"/>
      <c r="I918" s="51"/>
      <c r="J918" s="51"/>
      <c r="K918" s="51"/>
      <c r="L918" s="51"/>
    </row>
    <row r="919" customFormat="false" ht="15" hidden="false" customHeight="false" outlineLevel="0" collapsed="false">
      <c r="A919" s="52"/>
      <c r="B919" s="51"/>
      <c r="C919" s="51" t="n">
        <v>0</v>
      </c>
      <c r="D919" s="51" t="n">
        <v>0</v>
      </c>
      <c r="E919" s="51"/>
      <c r="F919" s="51" t="n">
        <v>16</v>
      </c>
      <c r="G919" s="51" t="n">
        <v>15</v>
      </c>
      <c r="H919" s="51"/>
      <c r="I919" s="51"/>
      <c r="J919" s="51"/>
      <c r="K919" s="51"/>
      <c r="L919" s="51"/>
    </row>
    <row r="920" customFormat="false" ht="15" hidden="false" customHeight="false" outlineLevel="0" collapsed="false">
      <c r="A920" s="52"/>
      <c r="B920" s="51"/>
      <c r="C920" s="51" t="n">
        <v>0</v>
      </c>
      <c r="D920" s="51" t="n">
        <v>0</v>
      </c>
      <c r="E920" s="51"/>
      <c r="F920" s="51" t="n">
        <v>16</v>
      </c>
      <c r="G920" s="51" t="n">
        <v>0</v>
      </c>
      <c r="H920" s="51"/>
      <c r="I920" s="51"/>
      <c r="J920" s="51"/>
      <c r="K920" s="51"/>
      <c r="L920" s="51"/>
    </row>
    <row r="921" customFormat="false" ht="15" hidden="false" customHeight="false" outlineLevel="0" collapsed="false">
      <c r="A921" s="52"/>
      <c r="B921" s="51"/>
      <c r="C921" s="51" t="n">
        <v>0</v>
      </c>
      <c r="D921" s="51" t="n">
        <v>0</v>
      </c>
      <c r="E921" s="51"/>
      <c r="F921" s="51" t="n">
        <v>16</v>
      </c>
      <c r="G921" s="51" t="n">
        <v>0</v>
      </c>
      <c r="H921" s="51"/>
      <c r="I921" s="51"/>
      <c r="J921" s="51"/>
      <c r="K921" s="51"/>
      <c r="L921" s="51"/>
    </row>
    <row r="922" customFormat="false" ht="15" hidden="false" customHeight="false" outlineLevel="0" collapsed="false">
      <c r="A922" s="52"/>
      <c r="B922" s="51"/>
      <c r="C922" s="51" t="n">
        <v>0</v>
      </c>
      <c r="D922" s="51" t="n">
        <v>0</v>
      </c>
      <c r="E922" s="51"/>
      <c r="F922" s="51" t="n">
        <v>16</v>
      </c>
      <c r="G922" s="51" t="n">
        <v>177</v>
      </c>
      <c r="H922" s="51"/>
      <c r="I922" s="51"/>
      <c r="J922" s="51"/>
      <c r="K922" s="51"/>
      <c r="L922" s="51"/>
    </row>
    <row r="923" customFormat="false" ht="15" hidden="false" customHeight="false" outlineLevel="0" collapsed="false">
      <c r="A923" s="52"/>
      <c r="B923" s="51"/>
      <c r="C923" s="51" t="n">
        <v>0</v>
      </c>
      <c r="D923" s="51" t="n">
        <v>0</v>
      </c>
      <c r="E923" s="51"/>
      <c r="F923" s="51" t="n">
        <v>15</v>
      </c>
      <c r="G923" s="51" t="n">
        <v>49</v>
      </c>
      <c r="H923" s="51"/>
      <c r="I923" s="51"/>
      <c r="J923" s="51"/>
      <c r="K923" s="51"/>
      <c r="L923" s="51"/>
    </row>
    <row r="924" customFormat="false" ht="15" hidden="false" customHeight="false" outlineLevel="0" collapsed="false">
      <c r="A924" s="52"/>
      <c r="B924" s="51"/>
      <c r="C924" s="51" t="n">
        <v>0</v>
      </c>
      <c r="D924" s="51" t="n">
        <v>0</v>
      </c>
      <c r="E924" s="51"/>
      <c r="F924" s="51" t="n">
        <v>15</v>
      </c>
      <c r="G924" s="51" t="n">
        <v>0</v>
      </c>
      <c r="H924" s="51"/>
      <c r="I924" s="51"/>
      <c r="J924" s="51"/>
      <c r="K924" s="51"/>
      <c r="L924" s="51"/>
    </row>
    <row r="925" customFormat="false" ht="15" hidden="false" customHeight="false" outlineLevel="0" collapsed="false">
      <c r="A925" s="52"/>
      <c r="B925" s="51"/>
      <c r="C925" s="51" t="n">
        <v>0</v>
      </c>
      <c r="D925" s="51" t="n">
        <v>0</v>
      </c>
      <c r="E925" s="51"/>
      <c r="F925" s="51" t="n">
        <v>15</v>
      </c>
      <c r="G925" s="51" t="n">
        <v>0</v>
      </c>
      <c r="H925" s="51"/>
      <c r="I925" s="51"/>
      <c r="J925" s="51"/>
      <c r="K925" s="51"/>
      <c r="L925" s="51"/>
    </row>
    <row r="926" customFormat="false" ht="15" hidden="false" customHeight="false" outlineLevel="0" collapsed="false">
      <c r="A926" s="52"/>
      <c r="B926" s="51"/>
      <c r="C926" s="51" t="n">
        <v>0</v>
      </c>
      <c r="D926" s="51" t="n">
        <v>0</v>
      </c>
      <c r="E926" s="51"/>
      <c r="F926" s="51" t="n">
        <v>15</v>
      </c>
      <c r="G926" s="51" t="n">
        <v>15</v>
      </c>
      <c r="H926" s="51"/>
      <c r="I926" s="51"/>
      <c r="J926" s="51"/>
      <c r="K926" s="51"/>
      <c r="L926" s="51"/>
    </row>
    <row r="927" customFormat="false" ht="15" hidden="false" customHeight="false" outlineLevel="0" collapsed="false">
      <c r="A927" s="52"/>
      <c r="B927" s="51"/>
      <c r="C927" s="51" t="n">
        <v>0</v>
      </c>
      <c r="D927" s="51" t="n">
        <v>0</v>
      </c>
      <c r="E927" s="51"/>
      <c r="F927" s="51" t="n">
        <v>15</v>
      </c>
      <c r="G927" s="51" t="n">
        <v>0</v>
      </c>
      <c r="H927" s="51"/>
      <c r="I927" s="51"/>
      <c r="J927" s="51"/>
      <c r="K927" s="51"/>
      <c r="L927" s="51"/>
    </row>
    <row r="928" customFormat="false" ht="15" hidden="false" customHeight="false" outlineLevel="0" collapsed="false">
      <c r="A928" s="52"/>
      <c r="B928" s="51"/>
      <c r="C928" s="51" t="n">
        <v>0</v>
      </c>
      <c r="D928" s="51" t="n">
        <v>0</v>
      </c>
      <c r="E928" s="51"/>
      <c r="F928" s="51" t="n">
        <v>15</v>
      </c>
      <c r="G928" s="51" t="n">
        <v>0</v>
      </c>
      <c r="H928" s="51"/>
      <c r="I928" s="51"/>
      <c r="J928" s="51"/>
      <c r="K928" s="51"/>
      <c r="L928" s="51"/>
    </row>
    <row r="929" customFormat="false" ht="15" hidden="false" customHeight="false" outlineLevel="0" collapsed="false">
      <c r="A929" s="52"/>
      <c r="B929" s="51"/>
      <c r="C929" s="51" t="n">
        <v>0</v>
      </c>
      <c r="D929" s="51" t="n">
        <v>0</v>
      </c>
      <c r="E929" s="51"/>
      <c r="F929" s="51" t="n">
        <v>15</v>
      </c>
      <c r="G929" s="51" t="n">
        <v>0</v>
      </c>
      <c r="H929" s="51"/>
      <c r="I929" s="51"/>
      <c r="J929" s="51"/>
      <c r="K929" s="51"/>
      <c r="L929" s="51"/>
    </row>
    <row r="930" customFormat="false" ht="15" hidden="false" customHeight="false" outlineLevel="0" collapsed="false">
      <c r="A930" s="52"/>
      <c r="B930" s="51"/>
      <c r="C930" s="51" t="n">
        <v>0</v>
      </c>
      <c r="D930" s="51" t="n">
        <v>0</v>
      </c>
      <c r="E930" s="51"/>
      <c r="F930" s="51" t="n">
        <v>15</v>
      </c>
      <c r="G930" s="51" t="n">
        <v>0</v>
      </c>
      <c r="H930" s="51"/>
      <c r="I930" s="51"/>
      <c r="J930" s="51"/>
      <c r="K930" s="51"/>
      <c r="L930" s="51"/>
    </row>
    <row r="931" customFormat="false" ht="15" hidden="false" customHeight="false" outlineLevel="0" collapsed="false">
      <c r="A931" s="52"/>
      <c r="B931" s="51"/>
      <c r="C931" s="51" t="n">
        <v>0</v>
      </c>
      <c r="D931" s="51" t="n">
        <v>0</v>
      </c>
      <c r="E931" s="51"/>
      <c r="F931" s="51" t="n">
        <v>15</v>
      </c>
      <c r="G931" s="51" t="n">
        <v>5</v>
      </c>
      <c r="H931" s="51"/>
      <c r="I931" s="51"/>
      <c r="J931" s="51"/>
      <c r="K931" s="51"/>
      <c r="L931" s="51"/>
    </row>
    <row r="932" customFormat="false" ht="15" hidden="false" customHeight="false" outlineLevel="0" collapsed="false">
      <c r="A932" s="52"/>
      <c r="B932" s="51"/>
      <c r="C932" s="51" t="n">
        <v>0</v>
      </c>
      <c r="D932" s="51" t="n">
        <v>0</v>
      </c>
      <c r="E932" s="51"/>
      <c r="F932" s="51" t="n">
        <v>15</v>
      </c>
      <c r="G932" s="51" t="n">
        <v>0</v>
      </c>
      <c r="H932" s="51"/>
      <c r="I932" s="51"/>
      <c r="J932" s="51"/>
      <c r="K932" s="51"/>
      <c r="L932" s="51"/>
    </row>
    <row r="933" customFormat="false" ht="15" hidden="false" customHeight="false" outlineLevel="0" collapsed="false">
      <c r="A933" s="46"/>
      <c r="B933" s="49" t="s">
        <v>6562</v>
      </c>
      <c r="C933" s="48" t="n">
        <v>0</v>
      </c>
      <c r="D933" s="48" t="n">
        <v>0</v>
      </c>
      <c r="E933" s="48" t="n">
        <f aca="false">C933-D933</f>
        <v>0</v>
      </c>
      <c r="F933" s="48" t="n">
        <v>15</v>
      </c>
      <c r="G933" s="48" t="n">
        <v>6</v>
      </c>
      <c r="H933" s="48" t="n">
        <f aca="false">F933-G933</f>
        <v>9</v>
      </c>
      <c r="I933" s="51"/>
      <c r="J933" s="51"/>
      <c r="K933" s="51"/>
      <c r="L933" s="51"/>
    </row>
    <row r="934" customFormat="false" ht="15" hidden="false" customHeight="false" outlineLevel="0" collapsed="false">
      <c r="A934" s="52"/>
      <c r="B934" s="51"/>
      <c r="C934" s="51" t="n">
        <v>0</v>
      </c>
      <c r="D934" s="51" t="n">
        <v>0</v>
      </c>
      <c r="E934" s="51"/>
      <c r="F934" s="51" t="n">
        <v>14</v>
      </c>
      <c r="G934" s="51" t="n">
        <v>7</v>
      </c>
      <c r="H934" s="51"/>
      <c r="I934" s="51"/>
      <c r="J934" s="51"/>
      <c r="K934" s="51"/>
      <c r="L934" s="51"/>
    </row>
    <row r="935" customFormat="false" ht="15" hidden="false" customHeight="false" outlineLevel="0" collapsed="false">
      <c r="A935" s="46"/>
      <c r="B935" s="49" t="s">
        <v>6563</v>
      </c>
      <c r="C935" s="48" t="n">
        <v>0</v>
      </c>
      <c r="D935" s="48" t="n">
        <v>0</v>
      </c>
      <c r="E935" s="48" t="n">
        <f aca="false">C935-D935</f>
        <v>0</v>
      </c>
      <c r="F935" s="48" t="n">
        <v>14</v>
      </c>
      <c r="G935" s="48" t="n">
        <v>25</v>
      </c>
      <c r="H935" s="48" t="n">
        <f aca="false">F935-G935</f>
        <v>-11</v>
      </c>
      <c r="I935" s="51"/>
      <c r="J935" s="51"/>
      <c r="K935" s="51"/>
      <c r="L935" s="51"/>
    </row>
    <row r="936" customFormat="false" ht="15" hidden="false" customHeight="false" outlineLevel="0" collapsed="false">
      <c r="A936" s="52"/>
      <c r="B936" s="51"/>
      <c r="C936" s="51" t="n">
        <v>0</v>
      </c>
      <c r="D936" s="51" t="n">
        <v>0</v>
      </c>
      <c r="E936" s="51"/>
      <c r="F936" s="51" t="n">
        <v>14</v>
      </c>
      <c r="G936" s="51" t="n">
        <v>0</v>
      </c>
      <c r="H936" s="51"/>
      <c r="I936" s="51"/>
      <c r="J936" s="51"/>
      <c r="K936" s="51"/>
      <c r="L936" s="51"/>
    </row>
    <row r="937" customFormat="false" ht="15" hidden="false" customHeight="false" outlineLevel="0" collapsed="false">
      <c r="A937" s="52"/>
      <c r="B937" s="51"/>
      <c r="C937" s="51" t="n">
        <v>0</v>
      </c>
      <c r="D937" s="51" t="n">
        <v>0</v>
      </c>
      <c r="E937" s="51"/>
      <c r="F937" s="51" t="n">
        <v>14</v>
      </c>
      <c r="G937" s="51" t="n">
        <v>0</v>
      </c>
      <c r="H937" s="51"/>
      <c r="I937" s="51"/>
      <c r="J937" s="51"/>
      <c r="K937" s="51"/>
      <c r="L937" s="51"/>
    </row>
    <row r="938" customFormat="false" ht="15" hidden="false" customHeight="false" outlineLevel="0" collapsed="false">
      <c r="A938" s="52"/>
      <c r="B938" s="51"/>
      <c r="C938" s="51" t="n">
        <v>0</v>
      </c>
      <c r="D938" s="51" t="n">
        <v>0</v>
      </c>
      <c r="E938" s="51"/>
      <c r="F938" s="51" t="n">
        <v>14</v>
      </c>
      <c r="G938" s="51" t="n">
        <v>0</v>
      </c>
      <c r="H938" s="51"/>
      <c r="I938" s="51"/>
      <c r="J938" s="51"/>
      <c r="K938" s="51"/>
      <c r="L938" s="51"/>
    </row>
    <row r="939" customFormat="false" ht="15" hidden="false" customHeight="false" outlineLevel="0" collapsed="false">
      <c r="A939" s="52"/>
      <c r="B939" s="51"/>
      <c r="C939" s="51" t="n">
        <v>0</v>
      </c>
      <c r="D939" s="51" t="n">
        <v>0</v>
      </c>
      <c r="E939" s="51"/>
      <c r="F939" s="51" t="n">
        <v>13</v>
      </c>
      <c r="G939" s="51" t="n">
        <v>0</v>
      </c>
      <c r="H939" s="51"/>
      <c r="I939" s="51"/>
      <c r="J939" s="51"/>
      <c r="K939" s="51"/>
      <c r="L939" s="51"/>
    </row>
    <row r="940" customFormat="false" ht="15" hidden="false" customHeight="false" outlineLevel="0" collapsed="false">
      <c r="A940" s="52"/>
      <c r="B940" s="51"/>
      <c r="C940" s="51" t="n">
        <v>0</v>
      </c>
      <c r="D940" s="51" t="n">
        <v>0</v>
      </c>
      <c r="E940" s="51"/>
      <c r="F940" s="51" t="n">
        <v>13</v>
      </c>
      <c r="G940" s="51" t="n">
        <v>0</v>
      </c>
      <c r="H940" s="51"/>
      <c r="I940" s="51"/>
      <c r="J940" s="51"/>
      <c r="K940" s="51"/>
      <c r="L940" s="51"/>
    </row>
    <row r="941" customFormat="false" ht="15" hidden="false" customHeight="false" outlineLevel="0" collapsed="false">
      <c r="A941" s="52"/>
      <c r="B941" s="51"/>
      <c r="C941" s="51" t="n">
        <v>0</v>
      </c>
      <c r="D941" s="51" t="n">
        <v>0</v>
      </c>
      <c r="E941" s="51"/>
      <c r="F941" s="51" t="n">
        <v>13</v>
      </c>
      <c r="G941" s="51" t="n">
        <v>8</v>
      </c>
      <c r="H941" s="51"/>
      <c r="I941" s="51"/>
      <c r="J941" s="51"/>
      <c r="K941" s="51"/>
      <c r="L941" s="51"/>
    </row>
    <row r="942" customFormat="false" ht="15" hidden="false" customHeight="false" outlineLevel="0" collapsed="false">
      <c r="A942" s="52"/>
      <c r="B942" s="51"/>
      <c r="C942" s="51" t="n">
        <v>0</v>
      </c>
      <c r="D942" s="51" t="n">
        <v>0</v>
      </c>
      <c r="E942" s="51"/>
      <c r="F942" s="51" t="n">
        <v>13</v>
      </c>
      <c r="G942" s="51" t="n">
        <v>0</v>
      </c>
      <c r="H942" s="51"/>
      <c r="I942" s="51"/>
      <c r="J942" s="51"/>
      <c r="K942" s="51"/>
      <c r="L942" s="51"/>
    </row>
    <row r="943" customFormat="false" ht="15" hidden="false" customHeight="false" outlineLevel="0" collapsed="false">
      <c r="A943" s="52"/>
      <c r="B943" s="51"/>
      <c r="C943" s="51" t="n">
        <v>0</v>
      </c>
      <c r="D943" s="51" t="n">
        <v>0</v>
      </c>
      <c r="E943" s="51"/>
      <c r="F943" s="51" t="n">
        <v>13</v>
      </c>
      <c r="G943" s="51" t="n">
        <v>0</v>
      </c>
      <c r="H943" s="51"/>
      <c r="I943" s="51"/>
      <c r="J943" s="51"/>
      <c r="K943" s="51"/>
      <c r="L943" s="51"/>
    </row>
    <row r="944" customFormat="false" ht="15" hidden="false" customHeight="false" outlineLevel="0" collapsed="false">
      <c r="A944" s="52"/>
      <c r="B944" s="51"/>
      <c r="C944" s="51" t="n">
        <v>0</v>
      </c>
      <c r="D944" s="51" t="n">
        <v>0</v>
      </c>
      <c r="E944" s="51"/>
      <c r="F944" s="51" t="n">
        <v>13</v>
      </c>
      <c r="G944" s="51" t="n">
        <v>0</v>
      </c>
      <c r="H944" s="51"/>
      <c r="I944" s="51"/>
      <c r="J944" s="51"/>
      <c r="K944" s="51"/>
      <c r="L944" s="51"/>
    </row>
    <row r="945" customFormat="false" ht="15" hidden="false" customHeight="false" outlineLevel="0" collapsed="false">
      <c r="A945" s="52"/>
      <c r="B945" s="51"/>
      <c r="C945" s="51" t="n">
        <v>0</v>
      </c>
      <c r="D945" s="51" t="n">
        <v>0</v>
      </c>
      <c r="E945" s="51"/>
      <c r="F945" s="51" t="n">
        <v>13</v>
      </c>
      <c r="G945" s="51" t="n">
        <v>0</v>
      </c>
      <c r="H945" s="51"/>
      <c r="I945" s="51"/>
      <c r="J945" s="51"/>
      <c r="K945" s="51"/>
      <c r="L945" s="51"/>
    </row>
    <row r="946" customFormat="false" ht="15" hidden="false" customHeight="false" outlineLevel="0" collapsed="false">
      <c r="A946" s="52"/>
      <c r="B946" s="51"/>
      <c r="C946" s="51" t="n">
        <v>0</v>
      </c>
      <c r="D946" s="51" t="n">
        <v>0</v>
      </c>
      <c r="E946" s="51"/>
      <c r="F946" s="51" t="n">
        <v>12</v>
      </c>
      <c r="G946" s="51" t="n">
        <v>11</v>
      </c>
      <c r="H946" s="51"/>
      <c r="I946" s="51"/>
      <c r="J946" s="51"/>
      <c r="K946" s="51"/>
      <c r="L946" s="51"/>
    </row>
    <row r="947" customFormat="false" ht="15" hidden="false" customHeight="false" outlineLevel="0" collapsed="false">
      <c r="A947" s="52"/>
      <c r="B947" s="51"/>
      <c r="C947" s="51" t="n">
        <v>0</v>
      </c>
      <c r="D947" s="51" t="n">
        <v>0</v>
      </c>
      <c r="E947" s="51"/>
      <c r="F947" s="51" t="n">
        <v>12</v>
      </c>
      <c r="G947" s="51" t="n">
        <v>0</v>
      </c>
      <c r="H947" s="51"/>
      <c r="I947" s="51"/>
      <c r="J947" s="51"/>
      <c r="K947" s="51"/>
      <c r="L947" s="51"/>
    </row>
    <row r="948" customFormat="false" ht="15" hidden="false" customHeight="false" outlineLevel="0" collapsed="false">
      <c r="A948" s="52"/>
      <c r="B948" s="51"/>
      <c r="C948" s="51" t="n">
        <v>0</v>
      </c>
      <c r="D948" s="51" t="n">
        <v>0</v>
      </c>
      <c r="E948" s="51"/>
      <c r="F948" s="51" t="n">
        <v>12</v>
      </c>
      <c r="G948" s="51" t="n">
        <v>0</v>
      </c>
      <c r="H948" s="51"/>
      <c r="I948" s="51"/>
      <c r="J948" s="51"/>
      <c r="K948" s="51"/>
      <c r="L948" s="51"/>
    </row>
    <row r="949" customFormat="false" ht="15" hidden="false" customHeight="false" outlineLevel="0" collapsed="false">
      <c r="A949" s="52"/>
      <c r="B949" s="51"/>
      <c r="C949" s="51" t="n">
        <v>0</v>
      </c>
      <c r="D949" s="51" t="n">
        <v>0</v>
      </c>
      <c r="E949" s="51"/>
      <c r="F949" s="51" t="n">
        <v>12</v>
      </c>
      <c r="G949" s="51" t="n">
        <v>0</v>
      </c>
      <c r="H949" s="51"/>
      <c r="I949" s="51"/>
      <c r="J949" s="51"/>
      <c r="K949" s="51"/>
      <c r="L949" s="51"/>
    </row>
    <row r="950" customFormat="false" ht="15" hidden="false" customHeight="false" outlineLevel="0" collapsed="false">
      <c r="A950" s="52"/>
      <c r="B950" s="51"/>
      <c r="C950" s="51" t="n">
        <v>0</v>
      </c>
      <c r="D950" s="51" t="n">
        <v>0</v>
      </c>
      <c r="E950" s="51"/>
      <c r="F950" s="51" t="n">
        <v>12</v>
      </c>
      <c r="G950" s="51" t="n">
        <v>5</v>
      </c>
      <c r="H950" s="51"/>
      <c r="I950" s="51"/>
      <c r="J950" s="51"/>
      <c r="K950" s="51"/>
      <c r="L950" s="51"/>
    </row>
    <row r="951" customFormat="false" ht="15" hidden="false" customHeight="false" outlineLevel="0" collapsed="false">
      <c r="A951" s="52"/>
      <c r="B951" s="51"/>
      <c r="C951" s="51" t="n">
        <v>0</v>
      </c>
      <c r="D951" s="51" t="n">
        <v>0</v>
      </c>
      <c r="E951" s="51"/>
      <c r="F951" s="51" t="n">
        <v>12</v>
      </c>
      <c r="G951" s="51" t="n">
        <v>0</v>
      </c>
      <c r="H951" s="51"/>
      <c r="I951" s="51"/>
      <c r="J951" s="51"/>
      <c r="K951" s="51"/>
      <c r="L951" s="51"/>
    </row>
    <row r="952" customFormat="false" ht="15" hidden="false" customHeight="false" outlineLevel="0" collapsed="false">
      <c r="A952" s="52"/>
      <c r="B952" s="51"/>
      <c r="C952" s="51" t="n">
        <v>0</v>
      </c>
      <c r="D952" s="51" t="n">
        <v>0</v>
      </c>
      <c r="E952" s="51"/>
      <c r="F952" s="51" t="n">
        <v>12</v>
      </c>
      <c r="G952" s="51" t="n">
        <v>0</v>
      </c>
      <c r="H952" s="51"/>
      <c r="I952" s="51"/>
      <c r="J952" s="51"/>
      <c r="K952" s="51"/>
      <c r="L952" s="51"/>
    </row>
    <row r="953" customFormat="false" ht="15" hidden="false" customHeight="false" outlineLevel="0" collapsed="false">
      <c r="A953" s="52"/>
      <c r="B953" s="51"/>
      <c r="C953" s="51" t="n">
        <v>0</v>
      </c>
      <c r="D953" s="51" t="n">
        <v>0</v>
      </c>
      <c r="E953" s="51"/>
      <c r="F953" s="51" t="n">
        <v>12</v>
      </c>
      <c r="G953" s="51" t="n">
        <v>0</v>
      </c>
      <c r="H953" s="51"/>
      <c r="I953" s="51"/>
      <c r="J953" s="51"/>
      <c r="K953" s="51"/>
      <c r="L953" s="51"/>
    </row>
    <row r="954" customFormat="false" ht="15" hidden="false" customHeight="false" outlineLevel="0" collapsed="false">
      <c r="A954" s="52"/>
      <c r="B954" s="51"/>
      <c r="C954" s="51" t="n">
        <v>0</v>
      </c>
      <c r="D954" s="51" t="n">
        <v>0</v>
      </c>
      <c r="E954" s="51"/>
      <c r="F954" s="51" t="n">
        <v>12</v>
      </c>
      <c r="G954" s="51" t="n">
        <v>0</v>
      </c>
      <c r="H954" s="51"/>
      <c r="I954" s="51"/>
      <c r="J954" s="51"/>
      <c r="K954" s="51"/>
      <c r="L954" s="51"/>
    </row>
    <row r="955" customFormat="false" ht="15" hidden="false" customHeight="false" outlineLevel="0" collapsed="false">
      <c r="A955" s="52"/>
      <c r="B955" s="51"/>
      <c r="C955" s="51" t="n">
        <v>0</v>
      </c>
      <c r="D955" s="51" t="n">
        <v>0</v>
      </c>
      <c r="E955" s="51"/>
      <c r="F955" s="51" t="n">
        <v>12</v>
      </c>
      <c r="G955" s="51" t="n">
        <v>0</v>
      </c>
      <c r="H955" s="51"/>
      <c r="I955" s="51"/>
      <c r="J955" s="51"/>
      <c r="K955" s="51"/>
      <c r="L955" s="51"/>
    </row>
    <row r="956" customFormat="false" ht="15" hidden="false" customHeight="false" outlineLevel="0" collapsed="false">
      <c r="A956" s="46"/>
      <c r="B956" s="49" t="s">
        <v>6564</v>
      </c>
      <c r="C956" s="48" t="n">
        <v>0</v>
      </c>
      <c r="D956" s="48" t="n">
        <v>0</v>
      </c>
      <c r="E956" s="48" t="n">
        <f aca="false">C956-D956</f>
        <v>0</v>
      </c>
      <c r="F956" s="48" t="n">
        <v>11</v>
      </c>
      <c r="G956" s="48" t="n">
        <v>24</v>
      </c>
      <c r="H956" s="48" t="n">
        <f aca="false">F956-G956</f>
        <v>-13</v>
      </c>
      <c r="I956" s="51"/>
      <c r="J956" s="51"/>
      <c r="K956" s="51"/>
      <c r="L956" s="51"/>
    </row>
    <row r="957" customFormat="false" ht="15" hidden="false" customHeight="false" outlineLevel="0" collapsed="false">
      <c r="A957" s="52"/>
      <c r="B957" s="51"/>
      <c r="C957" s="51" t="n">
        <v>0</v>
      </c>
      <c r="D957" s="51" t="n">
        <v>0</v>
      </c>
      <c r="E957" s="51"/>
      <c r="F957" s="51" t="n">
        <v>11</v>
      </c>
      <c r="G957" s="51" t="n">
        <v>0</v>
      </c>
      <c r="H957" s="51"/>
      <c r="I957" s="51"/>
      <c r="J957" s="51"/>
      <c r="K957" s="51"/>
      <c r="L957" s="51"/>
    </row>
    <row r="958" customFormat="false" ht="15" hidden="false" customHeight="false" outlineLevel="0" collapsed="false">
      <c r="A958" s="52"/>
      <c r="B958" s="51"/>
      <c r="C958" s="51" t="n">
        <v>0</v>
      </c>
      <c r="D958" s="51" t="n">
        <v>0</v>
      </c>
      <c r="E958" s="51"/>
      <c r="F958" s="51" t="n">
        <v>11</v>
      </c>
      <c r="G958" s="51" t="n">
        <v>0</v>
      </c>
      <c r="H958" s="51"/>
      <c r="I958" s="51"/>
      <c r="J958" s="51"/>
      <c r="K958" s="51"/>
      <c r="L958" s="51"/>
    </row>
    <row r="959" customFormat="false" ht="15" hidden="false" customHeight="false" outlineLevel="0" collapsed="false">
      <c r="A959" s="52"/>
      <c r="B959" s="51"/>
      <c r="C959" s="51" t="n">
        <v>0</v>
      </c>
      <c r="D959" s="51" t="n">
        <v>0</v>
      </c>
      <c r="E959" s="51"/>
      <c r="F959" s="51" t="n">
        <v>11</v>
      </c>
      <c r="G959" s="51" t="n">
        <v>0</v>
      </c>
      <c r="H959" s="51"/>
      <c r="I959" s="51"/>
      <c r="J959" s="51"/>
      <c r="K959" s="51"/>
      <c r="L959" s="51"/>
    </row>
    <row r="960" customFormat="false" ht="15" hidden="false" customHeight="false" outlineLevel="0" collapsed="false">
      <c r="A960" s="52"/>
      <c r="B960" s="51"/>
      <c r="C960" s="51" t="n">
        <v>0</v>
      </c>
      <c r="D960" s="51" t="n">
        <v>0</v>
      </c>
      <c r="E960" s="51"/>
      <c r="F960" s="51" t="n">
        <v>11</v>
      </c>
      <c r="G960" s="51" t="n">
        <v>0</v>
      </c>
      <c r="H960" s="51"/>
      <c r="I960" s="51"/>
      <c r="J960" s="51"/>
      <c r="K960" s="51"/>
      <c r="L960" s="51"/>
    </row>
    <row r="961" customFormat="false" ht="15" hidden="false" customHeight="false" outlineLevel="0" collapsed="false">
      <c r="A961" s="52"/>
      <c r="B961" s="51"/>
      <c r="C961" s="51" t="n">
        <v>0</v>
      </c>
      <c r="D961" s="51" t="n">
        <v>0</v>
      </c>
      <c r="E961" s="51"/>
      <c r="F961" s="51" t="n">
        <v>11</v>
      </c>
      <c r="G961" s="51" t="n">
        <v>11</v>
      </c>
      <c r="H961" s="51"/>
      <c r="I961" s="51"/>
      <c r="J961" s="51"/>
      <c r="K961" s="51"/>
      <c r="L961" s="51"/>
    </row>
    <row r="962" customFormat="false" ht="15" hidden="false" customHeight="false" outlineLevel="0" collapsed="false">
      <c r="A962" s="52"/>
      <c r="B962" s="51"/>
      <c r="C962" s="51" t="n">
        <v>0</v>
      </c>
      <c r="D962" s="51" t="n">
        <v>0</v>
      </c>
      <c r="E962" s="51"/>
      <c r="F962" s="51" t="n">
        <v>11</v>
      </c>
      <c r="G962" s="51" t="n">
        <v>14</v>
      </c>
      <c r="H962" s="51"/>
      <c r="I962" s="51"/>
      <c r="J962" s="51"/>
      <c r="K962" s="51"/>
      <c r="L962" s="51"/>
    </row>
    <row r="963" customFormat="false" ht="15" hidden="false" customHeight="false" outlineLevel="0" collapsed="false">
      <c r="A963" s="52"/>
      <c r="B963" s="51"/>
      <c r="C963" s="51" t="n">
        <v>0</v>
      </c>
      <c r="D963" s="51" t="n">
        <v>0</v>
      </c>
      <c r="E963" s="51"/>
      <c r="F963" s="51" t="n">
        <v>11</v>
      </c>
      <c r="G963" s="51" t="n">
        <v>0</v>
      </c>
      <c r="H963" s="51"/>
      <c r="I963" s="51"/>
      <c r="J963" s="51"/>
      <c r="K963" s="51"/>
      <c r="L963" s="51"/>
    </row>
    <row r="964" customFormat="false" ht="15" hidden="false" customHeight="false" outlineLevel="0" collapsed="false">
      <c r="A964" s="52"/>
      <c r="B964" s="51"/>
      <c r="C964" s="51" t="n">
        <v>0</v>
      </c>
      <c r="D964" s="51" t="n">
        <v>0</v>
      </c>
      <c r="E964" s="51"/>
      <c r="F964" s="51" t="n">
        <v>11</v>
      </c>
      <c r="G964" s="51" t="n">
        <v>0</v>
      </c>
      <c r="H964" s="51"/>
      <c r="I964" s="51"/>
      <c r="J964" s="51"/>
      <c r="K964" s="51"/>
      <c r="L964" s="51"/>
    </row>
    <row r="965" customFormat="false" ht="15" hidden="false" customHeight="false" outlineLevel="0" collapsed="false">
      <c r="A965" s="52"/>
      <c r="B965" s="51"/>
      <c r="C965" s="51" t="n">
        <v>0</v>
      </c>
      <c r="D965" s="51" t="n">
        <v>0</v>
      </c>
      <c r="E965" s="51"/>
      <c r="F965" s="51" t="n">
        <v>11</v>
      </c>
      <c r="G965" s="51" t="n">
        <v>0</v>
      </c>
      <c r="H965" s="51"/>
      <c r="I965" s="51"/>
      <c r="J965" s="51"/>
      <c r="K965" s="51"/>
      <c r="L965" s="51"/>
    </row>
    <row r="966" customFormat="false" ht="15" hidden="false" customHeight="false" outlineLevel="0" collapsed="false">
      <c r="A966" s="46"/>
      <c r="B966" s="49" t="s">
        <v>6565</v>
      </c>
      <c r="C966" s="48" t="n">
        <v>0</v>
      </c>
      <c r="D966" s="48" t="n">
        <v>0</v>
      </c>
      <c r="E966" s="48" t="n">
        <f aca="false">C966-D966</f>
        <v>0</v>
      </c>
      <c r="F966" s="48" t="n">
        <v>11</v>
      </c>
      <c r="G966" s="48" t="n">
        <v>19</v>
      </c>
      <c r="H966" s="48" t="n">
        <f aca="false">F966-G966</f>
        <v>-8</v>
      </c>
      <c r="I966" s="51"/>
      <c r="J966" s="51"/>
      <c r="K966" s="51"/>
      <c r="L966" s="51"/>
    </row>
    <row r="967" customFormat="false" ht="15" hidden="false" customHeight="false" outlineLevel="0" collapsed="false">
      <c r="A967" s="46"/>
      <c r="B967" s="49" t="s">
        <v>6566</v>
      </c>
      <c r="C967" s="48" t="n">
        <v>0</v>
      </c>
      <c r="D967" s="48" t="n">
        <v>0</v>
      </c>
      <c r="E967" s="48" t="n">
        <f aca="false">C967-D967</f>
        <v>0</v>
      </c>
      <c r="F967" s="48" t="n">
        <v>11</v>
      </c>
      <c r="G967" s="48" t="n">
        <v>4</v>
      </c>
      <c r="H967" s="48" t="n">
        <f aca="false">F967-G967</f>
        <v>7</v>
      </c>
      <c r="I967" s="51"/>
      <c r="J967" s="51"/>
      <c r="K967" s="51"/>
      <c r="L967" s="51"/>
    </row>
    <row r="968" customFormat="false" ht="15" hidden="false" customHeight="false" outlineLevel="0" collapsed="false">
      <c r="A968" s="52"/>
      <c r="B968" s="51"/>
      <c r="C968" s="51" t="n">
        <v>0</v>
      </c>
      <c r="D968" s="51" t="n">
        <v>0</v>
      </c>
      <c r="E968" s="51"/>
      <c r="F968" s="51" t="n">
        <v>10</v>
      </c>
      <c r="G968" s="51" t="n">
        <v>0</v>
      </c>
      <c r="H968" s="51"/>
      <c r="I968" s="51"/>
      <c r="J968" s="51"/>
      <c r="K968" s="51"/>
      <c r="L968" s="51"/>
    </row>
    <row r="969" customFormat="false" ht="15" hidden="false" customHeight="false" outlineLevel="0" collapsed="false">
      <c r="A969" s="52"/>
      <c r="B969" s="51"/>
      <c r="C969" s="51" t="n">
        <v>0</v>
      </c>
      <c r="D969" s="51" t="n">
        <v>0</v>
      </c>
      <c r="E969" s="51"/>
      <c r="F969" s="51" t="n">
        <v>10</v>
      </c>
      <c r="G969" s="51" t="n">
        <v>13</v>
      </c>
      <c r="H969" s="51"/>
      <c r="I969" s="51"/>
      <c r="J969" s="51"/>
      <c r="K969" s="51"/>
      <c r="L969" s="51"/>
    </row>
    <row r="970" customFormat="false" ht="15" hidden="false" customHeight="false" outlineLevel="0" collapsed="false">
      <c r="A970" s="52"/>
      <c r="B970" s="51"/>
      <c r="C970" s="51" t="n">
        <v>0</v>
      </c>
      <c r="D970" s="51" t="n">
        <v>0</v>
      </c>
      <c r="E970" s="51"/>
      <c r="F970" s="51" t="n">
        <v>10</v>
      </c>
      <c r="G970" s="51" t="n">
        <v>3</v>
      </c>
      <c r="H970" s="51"/>
      <c r="I970" s="51"/>
      <c r="J970" s="51"/>
      <c r="K970" s="51"/>
      <c r="L970" s="51"/>
    </row>
    <row r="971" customFormat="false" ht="15" hidden="false" customHeight="false" outlineLevel="0" collapsed="false">
      <c r="A971" s="52"/>
      <c r="B971" s="51"/>
      <c r="C971" s="51" t="n">
        <v>0</v>
      </c>
      <c r="D971" s="51" t="n">
        <v>0</v>
      </c>
      <c r="E971" s="51"/>
      <c r="F971" s="51" t="n">
        <v>10</v>
      </c>
      <c r="G971" s="51" t="n">
        <v>0</v>
      </c>
      <c r="H971" s="51"/>
      <c r="I971" s="51"/>
      <c r="J971" s="51"/>
      <c r="K971" s="51"/>
      <c r="L971" s="51"/>
    </row>
    <row r="972" customFormat="false" ht="15" hidden="false" customHeight="false" outlineLevel="0" collapsed="false">
      <c r="A972" s="52"/>
      <c r="B972" s="51"/>
      <c r="C972" s="51" t="n">
        <v>0</v>
      </c>
      <c r="D972" s="51" t="n">
        <v>0</v>
      </c>
      <c r="E972" s="51"/>
      <c r="F972" s="51" t="n">
        <v>10</v>
      </c>
      <c r="G972" s="51" t="n">
        <v>0</v>
      </c>
      <c r="H972" s="51"/>
      <c r="I972" s="51"/>
      <c r="J972" s="51"/>
      <c r="K972" s="51"/>
      <c r="L972" s="51"/>
    </row>
    <row r="973" customFormat="false" ht="15" hidden="false" customHeight="false" outlineLevel="0" collapsed="false">
      <c r="A973" s="52"/>
      <c r="B973" s="51"/>
      <c r="C973" s="51" t="n">
        <v>0</v>
      </c>
      <c r="D973" s="51" t="n">
        <v>0</v>
      </c>
      <c r="E973" s="51"/>
      <c r="F973" s="51" t="n">
        <v>10</v>
      </c>
      <c r="G973" s="51" t="n">
        <v>8</v>
      </c>
      <c r="H973" s="51"/>
      <c r="I973" s="51"/>
      <c r="J973" s="51"/>
      <c r="K973" s="51"/>
      <c r="L973" s="51"/>
    </row>
    <row r="974" customFormat="false" ht="15" hidden="false" customHeight="false" outlineLevel="0" collapsed="false">
      <c r="A974" s="52"/>
      <c r="B974" s="51"/>
      <c r="C974" s="51" t="n">
        <v>0</v>
      </c>
      <c r="D974" s="51" t="n">
        <v>0</v>
      </c>
      <c r="E974" s="51"/>
      <c r="F974" s="51" t="n">
        <v>10</v>
      </c>
      <c r="G974" s="51" t="n">
        <v>0</v>
      </c>
      <c r="H974" s="51"/>
      <c r="I974" s="51"/>
      <c r="J974" s="51"/>
      <c r="K974" s="51"/>
      <c r="L974" s="51"/>
    </row>
    <row r="975" customFormat="false" ht="15" hidden="false" customHeight="false" outlineLevel="0" collapsed="false">
      <c r="A975" s="52"/>
      <c r="B975" s="51"/>
      <c r="C975" s="51" t="n">
        <v>0</v>
      </c>
      <c r="D975" s="51" t="n">
        <v>0</v>
      </c>
      <c r="E975" s="51"/>
      <c r="F975" s="51" t="n">
        <v>10</v>
      </c>
      <c r="G975" s="51" t="n">
        <v>0</v>
      </c>
      <c r="H975" s="51"/>
      <c r="I975" s="51"/>
      <c r="J975" s="51"/>
      <c r="K975" s="51"/>
      <c r="L975" s="51"/>
    </row>
    <row r="976" customFormat="false" ht="15" hidden="false" customHeight="false" outlineLevel="0" collapsed="false">
      <c r="A976" s="52"/>
      <c r="B976" s="51"/>
      <c r="C976" s="51" t="n">
        <v>0</v>
      </c>
      <c r="D976" s="51" t="n">
        <v>0</v>
      </c>
      <c r="E976" s="51"/>
      <c r="F976" s="51" t="n">
        <v>10</v>
      </c>
      <c r="G976" s="51" t="n">
        <v>0</v>
      </c>
      <c r="H976" s="51"/>
      <c r="I976" s="51"/>
      <c r="J976" s="51"/>
      <c r="K976" s="51"/>
      <c r="L976" s="51"/>
    </row>
    <row r="977" customFormat="false" ht="15" hidden="false" customHeight="false" outlineLevel="0" collapsed="false">
      <c r="A977" s="52"/>
      <c r="B977" s="51"/>
      <c r="C977" s="51" t="n">
        <v>0</v>
      </c>
      <c r="D977" s="51" t="n">
        <v>0</v>
      </c>
      <c r="E977" s="51"/>
      <c r="F977" s="51" t="n">
        <v>10</v>
      </c>
      <c r="G977" s="51" t="n">
        <v>1</v>
      </c>
      <c r="H977" s="51"/>
      <c r="I977" s="51"/>
      <c r="J977" s="51"/>
      <c r="K977" s="51"/>
      <c r="L977" s="51"/>
    </row>
    <row r="978" customFormat="false" ht="15" hidden="false" customHeight="false" outlineLevel="0" collapsed="false">
      <c r="A978" s="46"/>
      <c r="B978" s="49" t="s">
        <v>6567</v>
      </c>
      <c r="C978" s="48" t="n">
        <v>0</v>
      </c>
      <c r="D978" s="48" t="n">
        <v>0</v>
      </c>
      <c r="E978" s="48" t="n">
        <f aca="false">C978-D978</f>
        <v>0</v>
      </c>
      <c r="F978" s="48" t="n">
        <v>10</v>
      </c>
      <c r="G978" s="48" t="n">
        <v>0</v>
      </c>
      <c r="H978" s="48" t="n">
        <f aca="false">F978-G978</f>
        <v>10</v>
      </c>
      <c r="I978" s="51"/>
      <c r="J978" s="51"/>
      <c r="K978" s="51"/>
      <c r="L978" s="51"/>
    </row>
    <row r="979" customFormat="false" ht="15" hidden="false" customHeight="false" outlineLevel="0" collapsed="false">
      <c r="A979" s="52"/>
      <c r="B979" s="51"/>
      <c r="C979" s="51" t="n">
        <v>0</v>
      </c>
      <c r="D979" s="51" t="n">
        <v>0</v>
      </c>
      <c r="E979" s="51"/>
      <c r="F979" s="51" t="n">
        <v>10</v>
      </c>
      <c r="G979" s="51" t="n">
        <v>0</v>
      </c>
      <c r="H979" s="51"/>
      <c r="I979" s="51"/>
      <c r="J979" s="51"/>
      <c r="K979" s="51"/>
      <c r="L979" s="51"/>
    </row>
    <row r="980" customFormat="false" ht="15" hidden="false" customHeight="false" outlineLevel="0" collapsed="false">
      <c r="A980" s="46"/>
      <c r="B980" s="49" t="s">
        <v>6568</v>
      </c>
      <c r="C980" s="48" t="n">
        <v>0</v>
      </c>
      <c r="D980" s="48" t="n">
        <v>0</v>
      </c>
      <c r="E980" s="48" t="n">
        <f aca="false">C980-D980</f>
        <v>0</v>
      </c>
      <c r="F980" s="48" t="n">
        <v>9</v>
      </c>
      <c r="G980" s="48" t="n">
        <v>0</v>
      </c>
      <c r="H980" s="48" t="n">
        <f aca="false">F980-G980</f>
        <v>9</v>
      </c>
      <c r="I980" s="51"/>
      <c r="J980" s="51"/>
      <c r="K980" s="51"/>
      <c r="L980" s="51"/>
    </row>
    <row r="981" customFormat="false" ht="15" hidden="false" customHeight="false" outlineLevel="0" collapsed="false">
      <c r="A981" s="52"/>
      <c r="B981" s="51"/>
      <c r="C981" s="51" t="n">
        <v>0</v>
      </c>
      <c r="D981" s="51" t="n">
        <v>0</v>
      </c>
      <c r="E981" s="51"/>
      <c r="F981" s="51" t="n">
        <v>9</v>
      </c>
      <c r="G981" s="51" t="n">
        <v>5</v>
      </c>
      <c r="H981" s="51"/>
      <c r="I981" s="51"/>
      <c r="J981" s="51"/>
      <c r="K981" s="51"/>
      <c r="L981" s="51"/>
    </row>
    <row r="982" customFormat="false" ht="15" hidden="false" customHeight="false" outlineLevel="0" collapsed="false">
      <c r="A982" s="52"/>
      <c r="B982" s="51"/>
      <c r="C982" s="51" t="n">
        <v>0</v>
      </c>
      <c r="D982" s="51" t="n">
        <v>0</v>
      </c>
      <c r="E982" s="51"/>
      <c r="F982" s="51" t="n">
        <v>9</v>
      </c>
      <c r="G982" s="51" t="n">
        <v>0</v>
      </c>
      <c r="H982" s="51"/>
      <c r="I982" s="51"/>
      <c r="J982" s="51"/>
      <c r="K982" s="51"/>
      <c r="L982" s="51"/>
    </row>
    <row r="983" customFormat="false" ht="15" hidden="false" customHeight="false" outlineLevel="0" collapsed="false">
      <c r="A983" s="52"/>
      <c r="B983" s="51"/>
      <c r="C983" s="51" t="n">
        <v>0</v>
      </c>
      <c r="D983" s="51" t="n">
        <v>0</v>
      </c>
      <c r="E983" s="51"/>
      <c r="F983" s="51" t="n">
        <v>9</v>
      </c>
      <c r="G983" s="51" t="n">
        <v>5</v>
      </c>
      <c r="H983" s="51"/>
      <c r="I983" s="51"/>
      <c r="J983" s="51"/>
      <c r="K983" s="51"/>
      <c r="L983" s="51"/>
    </row>
    <row r="984" customFormat="false" ht="15" hidden="false" customHeight="false" outlineLevel="0" collapsed="false">
      <c r="A984" s="52"/>
      <c r="B984" s="51"/>
      <c r="C984" s="51" t="n">
        <v>0</v>
      </c>
      <c r="D984" s="51" t="n">
        <v>0</v>
      </c>
      <c r="E984" s="51"/>
      <c r="F984" s="51" t="n">
        <v>9</v>
      </c>
      <c r="G984" s="51" t="n">
        <v>0</v>
      </c>
      <c r="H984" s="51"/>
      <c r="I984" s="51"/>
      <c r="J984" s="51"/>
      <c r="K984" s="51"/>
      <c r="L984" s="51"/>
    </row>
    <row r="985" customFormat="false" ht="15" hidden="false" customHeight="false" outlineLevel="0" collapsed="false">
      <c r="A985" s="52"/>
      <c r="B985" s="51"/>
      <c r="C985" s="51" t="n">
        <v>0</v>
      </c>
      <c r="D985" s="51" t="n">
        <v>0</v>
      </c>
      <c r="E985" s="51"/>
      <c r="F985" s="51" t="n">
        <v>9</v>
      </c>
      <c r="G985" s="51" t="n">
        <v>8</v>
      </c>
      <c r="H985" s="51"/>
      <c r="I985" s="51"/>
      <c r="J985" s="51"/>
      <c r="K985" s="51"/>
      <c r="L985" s="51"/>
    </row>
    <row r="986" customFormat="false" ht="15" hidden="false" customHeight="false" outlineLevel="0" collapsed="false">
      <c r="A986" s="46"/>
      <c r="B986" s="49" t="s">
        <v>6569</v>
      </c>
      <c r="C986" s="48" t="n">
        <v>0</v>
      </c>
      <c r="D986" s="48" t="n">
        <v>0</v>
      </c>
      <c r="E986" s="48" t="n">
        <f aca="false">C986-D986</f>
        <v>0</v>
      </c>
      <c r="F986" s="48" t="n">
        <v>9</v>
      </c>
      <c r="G986" s="48" t="n">
        <v>41</v>
      </c>
      <c r="H986" s="48" t="n">
        <f aca="false">F986-G986</f>
        <v>-32</v>
      </c>
      <c r="I986" s="51"/>
      <c r="J986" s="51"/>
      <c r="K986" s="51"/>
      <c r="L986" s="51"/>
    </row>
    <row r="987" customFormat="false" ht="15" hidden="false" customHeight="false" outlineLevel="0" collapsed="false">
      <c r="A987" s="52"/>
      <c r="B987" s="51"/>
      <c r="C987" s="51" t="n">
        <v>0</v>
      </c>
      <c r="D987" s="51" t="n">
        <v>0</v>
      </c>
      <c r="E987" s="51"/>
      <c r="F987" s="51" t="n">
        <v>9</v>
      </c>
      <c r="G987" s="51" t="n">
        <v>0</v>
      </c>
      <c r="H987" s="51"/>
      <c r="I987" s="51"/>
      <c r="J987" s="51"/>
      <c r="K987" s="51"/>
      <c r="L987" s="51"/>
    </row>
    <row r="988" customFormat="false" ht="15" hidden="false" customHeight="false" outlineLevel="0" collapsed="false">
      <c r="A988" s="52"/>
      <c r="B988" s="51"/>
      <c r="C988" s="51" t="n">
        <v>0</v>
      </c>
      <c r="D988" s="51" t="n">
        <v>0</v>
      </c>
      <c r="E988" s="51"/>
      <c r="F988" s="51" t="n">
        <v>9</v>
      </c>
      <c r="G988" s="51" t="n">
        <v>0</v>
      </c>
      <c r="H988" s="51"/>
      <c r="I988" s="51"/>
      <c r="J988" s="51"/>
      <c r="K988" s="51"/>
      <c r="L988" s="51"/>
    </row>
    <row r="989" customFormat="false" ht="15" hidden="false" customHeight="false" outlineLevel="0" collapsed="false">
      <c r="A989" s="52"/>
      <c r="B989" s="51"/>
      <c r="C989" s="51" t="n">
        <v>0</v>
      </c>
      <c r="D989" s="51" t="n">
        <v>0</v>
      </c>
      <c r="E989" s="51"/>
      <c r="F989" s="51" t="n">
        <v>9</v>
      </c>
      <c r="G989" s="51" t="n">
        <v>0</v>
      </c>
      <c r="H989" s="51"/>
      <c r="I989" s="51"/>
      <c r="J989" s="51"/>
      <c r="K989" s="51"/>
      <c r="L989" s="51"/>
    </row>
    <row r="990" customFormat="false" ht="15" hidden="false" customHeight="false" outlineLevel="0" collapsed="false">
      <c r="A990" s="52"/>
      <c r="B990" s="51"/>
      <c r="C990" s="51" t="n">
        <v>0</v>
      </c>
      <c r="D990" s="51" t="n">
        <v>0</v>
      </c>
      <c r="E990" s="51"/>
      <c r="F990" s="51" t="n">
        <v>9</v>
      </c>
      <c r="G990" s="51" t="n">
        <v>0</v>
      </c>
      <c r="H990" s="51"/>
      <c r="I990" s="51"/>
      <c r="J990" s="51"/>
      <c r="K990" s="51"/>
      <c r="L990" s="51"/>
    </row>
    <row r="991" customFormat="false" ht="15" hidden="false" customHeight="false" outlineLevel="0" collapsed="false">
      <c r="A991" s="52"/>
      <c r="B991" s="51"/>
      <c r="C991" s="51" t="n">
        <v>0</v>
      </c>
      <c r="D991" s="51" t="n">
        <v>0</v>
      </c>
      <c r="E991" s="51"/>
      <c r="F991" s="51" t="n">
        <v>9</v>
      </c>
      <c r="G991" s="51" t="n">
        <v>0</v>
      </c>
      <c r="H991" s="51"/>
      <c r="I991" s="51"/>
      <c r="J991" s="51"/>
      <c r="K991" s="51"/>
      <c r="L991" s="51"/>
    </row>
    <row r="992" customFormat="false" ht="15" hidden="false" customHeight="false" outlineLevel="0" collapsed="false">
      <c r="A992" s="52"/>
      <c r="B992" s="51"/>
      <c r="C992" s="51" t="n">
        <v>0</v>
      </c>
      <c r="D992" s="51" t="n">
        <v>0</v>
      </c>
      <c r="E992" s="51"/>
      <c r="F992" s="51" t="n">
        <v>9</v>
      </c>
      <c r="G992" s="51" t="n">
        <v>0</v>
      </c>
      <c r="H992" s="51"/>
      <c r="I992" s="51"/>
      <c r="J992" s="51"/>
      <c r="K992" s="51"/>
      <c r="L992" s="51"/>
    </row>
    <row r="993" customFormat="false" ht="15" hidden="false" customHeight="false" outlineLevel="0" collapsed="false">
      <c r="A993" s="46"/>
      <c r="B993" s="49" t="s">
        <v>6570</v>
      </c>
      <c r="C993" s="48" t="n">
        <v>0</v>
      </c>
      <c r="D993" s="48" t="n">
        <v>0</v>
      </c>
      <c r="E993" s="48" t="n">
        <f aca="false">C993-D993</f>
        <v>0</v>
      </c>
      <c r="F993" s="48" t="n">
        <v>8</v>
      </c>
      <c r="G993" s="48" t="n">
        <v>12</v>
      </c>
      <c r="H993" s="48" t="n">
        <f aca="false">F993-G993</f>
        <v>-4</v>
      </c>
      <c r="I993" s="51"/>
      <c r="J993" s="51"/>
      <c r="K993" s="51"/>
      <c r="L993" s="51"/>
    </row>
    <row r="994" customFormat="false" ht="15" hidden="false" customHeight="false" outlineLevel="0" collapsed="false">
      <c r="A994" s="52"/>
      <c r="B994" s="51"/>
      <c r="C994" s="51" t="n">
        <v>0</v>
      </c>
      <c r="D994" s="51" t="n">
        <v>0</v>
      </c>
      <c r="E994" s="51"/>
      <c r="F994" s="51" t="n">
        <v>8</v>
      </c>
      <c r="G994" s="51" t="n">
        <v>0</v>
      </c>
      <c r="H994" s="51"/>
      <c r="I994" s="51"/>
      <c r="J994" s="51"/>
      <c r="K994" s="51"/>
      <c r="L994" s="51"/>
    </row>
    <row r="995" customFormat="false" ht="15" hidden="false" customHeight="false" outlineLevel="0" collapsed="false">
      <c r="A995" s="52"/>
      <c r="B995" s="51"/>
      <c r="C995" s="51" t="n">
        <v>0</v>
      </c>
      <c r="D995" s="51" t="n">
        <v>0</v>
      </c>
      <c r="E995" s="51"/>
      <c r="F995" s="51" t="n">
        <v>8</v>
      </c>
      <c r="G995" s="51" t="n">
        <v>0</v>
      </c>
      <c r="H995" s="51"/>
      <c r="I995" s="51"/>
      <c r="J995" s="51"/>
      <c r="K995" s="51"/>
      <c r="L995" s="51"/>
    </row>
    <row r="996" customFormat="false" ht="15" hidden="false" customHeight="false" outlineLevel="0" collapsed="false">
      <c r="A996" s="52"/>
      <c r="B996" s="51"/>
      <c r="C996" s="51" t="n">
        <v>0</v>
      </c>
      <c r="D996" s="51" t="n">
        <v>0</v>
      </c>
      <c r="E996" s="51"/>
      <c r="F996" s="51" t="n">
        <v>8</v>
      </c>
      <c r="G996" s="51" t="n">
        <v>0</v>
      </c>
      <c r="H996" s="51"/>
      <c r="I996" s="51"/>
      <c r="J996" s="51"/>
      <c r="K996" s="51"/>
      <c r="L996" s="51"/>
    </row>
    <row r="997" customFormat="false" ht="15" hidden="false" customHeight="false" outlineLevel="0" collapsed="false">
      <c r="A997" s="52"/>
      <c r="B997" s="51"/>
      <c r="C997" s="51" t="n">
        <v>0</v>
      </c>
      <c r="D997" s="51" t="n">
        <v>0</v>
      </c>
      <c r="E997" s="51"/>
      <c r="F997" s="51" t="n">
        <v>8</v>
      </c>
      <c r="G997" s="51" t="n">
        <v>0</v>
      </c>
      <c r="H997" s="51"/>
      <c r="I997" s="51"/>
      <c r="J997" s="51"/>
      <c r="K997" s="51"/>
      <c r="L997" s="51"/>
    </row>
    <row r="998" customFormat="false" ht="15" hidden="false" customHeight="false" outlineLevel="0" collapsed="false">
      <c r="A998" s="52"/>
      <c r="B998" s="51"/>
      <c r="C998" s="51" t="n">
        <v>0</v>
      </c>
      <c r="D998" s="51" t="n">
        <v>0</v>
      </c>
      <c r="E998" s="51"/>
      <c r="F998" s="51" t="n">
        <v>8</v>
      </c>
      <c r="G998" s="51" t="n">
        <v>0</v>
      </c>
      <c r="H998" s="51"/>
      <c r="I998" s="51"/>
      <c r="J998" s="51"/>
      <c r="K998" s="51"/>
      <c r="L998" s="51"/>
    </row>
    <row r="999" customFormat="false" ht="15" hidden="false" customHeight="false" outlineLevel="0" collapsed="false">
      <c r="A999" s="46"/>
      <c r="B999" s="49" t="s">
        <v>6571</v>
      </c>
      <c r="C999" s="48" t="n">
        <v>0</v>
      </c>
      <c r="D999" s="48" t="n">
        <v>0</v>
      </c>
      <c r="E999" s="48" t="n">
        <f aca="false">C999-D999</f>
        <v>0</v>
      </c>
      <c r="F999" s="48" t="n">
        <v>8</v>
      </c>
      <c r="G999" s="48" t="n">
        <v>14</v>
      </c>
      <c r="H999" s="48" t="n">
        <f aca="false">F999-G999</f>
        <v>-6</v>
      </c>
      <c r="I999" s="51"/>
      <c r="J999" s="51"/>
      <c r="K999" s="51"/>
      <c r="L999" s="51"/>
    </row>
    <row r="1000" customFormat="false" ht="15" hidden="false" customHeight="false" outlineLevel="0" collapsed="false">
      <c r="A1000" s="52"/>
      <c r="B1000" s="51"/>
      <c r="C1000" s="51" t="n">
        <v>0</v>
      </c>
      <c r="D1000" s="51" t="n">
        <v>0</v>
      </c>
      <c r="E1000" s="51"/>
      <c r="F1000" s="51" t="n">
        <v>8</v>
      </c>
      <c r="G1000" s="51" t="n">
        <v>0</v>
      </c>
      <c r="H1000" s="51"/>
      <c r="I1000" s="51"/>
      <c r="J1000" s="51"/>
      <c r="K1000" s="51"/>
      <c r="L1000" s="51"/>
    </row>
    <row r="1001" customFormat="false" ht="15" hidden="false" customHeight="false" outlineLevel="0" collapsed="false">
      <c r="A1001" s="52"/>
      <c r="B1001" s="51"/>
      <c r="C1001" s="51" t="n">
        <v>0</v>
      </c>
      <c r="D1001" s="51" t="n">
        <v>0</v>
      </c>
      <c r="E1001" s="51"/>
      <c r="F1001" s="51" t="n">
        <v>8</v>
      </c>
      <c r="G1001" s="51" t="n">
        <v>0</v>
      </c>
      <c r="H1001" s="51"/>
      <c r="I1001" s="51"/>
      <c r="J1001" s="51"/>
      <c r="K1001" s="51"/>
      <c r="L1001" s="51"/>
    </row>
    <row r="1002" customFormat="false" ht="15" hidden="false" customHeight="false" outlineLevel="0" collapsed="false">
      <c r="A1002" s="46"/>
      <c r="B1002" s="49" t="s">
        <v>6572</v>
      </c>
      <c r="C1002" s="48" t="n">
        <v>0</v>
      </c>
      <c r="D1002" s="48" t="n">
        <v>0</v>
      </c>
      <c r="E1002" s="48" t="n">
        <f aca="false">C1002-D1002</f>
        <v>0</v>
      </c>
      <c r="F1002" s="48" t="n">
        <v>8</v>
      </c>
      <c r="G1002" s="48" t="n">
        <v>4</v>
      </c>
      <c r="H1002" s="48" t="n">
        <f aca="false">F1002-G1002</f>
        <v>4</v>
      </c>
      <c r="I1002" s="51"/>
      <c r="J1002" s="51"/>
      <c r="K1002" s="51"/>
      <c r="L1002" s="51"/>
    </row>
    <row r="1003" customFormat="false" ht="15" hidden="false" customHeight="false" outlineLevel="0" collapsed="false">
      <c r="A1003" s="52"/>
      <c r="B1003" s="51"/>
      <c r="C1003" s="51" t="n">
        <v>0</v>
      </c>
      <c r="D1003" s="51" t="n">
        <v>0</v>
      </c>
      <c r="E1003" s="51"/>
      <c r="F1003" s="51" t="n">
        <v>8</v>
      </c>
      <c r="G1003" s="51" t="n">
        <v>0</v>
      </c>
      <c r="H1003" s="51"/>
      <c r="I1003" s="51"/>
      <c r="J1003" s="51"/>
      <c r="K1003" s="51"/>
      <c r="L1003" s="51"/>
    </row>
    <row r="1004" customFormat="false" ht="15" hidden="false" customHeight="false" outlineLevel="0" collapsed="false">
      <c r="A1004" s="52"/>
      <c r="B1004" s="51"/>
      <c r="C1004" s="51" t="n">
        <v>0</v>
      </c>
      <c r="D1004" s="51" t="n">
        <v>0</v>
      </c>
      <c r="E1004" s="51"/>
      <c r="F1004" s="51" t="n">
        <v>8</v>
      </c>
      <c r="G1004" s="51" t="n">
        <v>0</v>
      </c>
      <c r="H1004" s="51"/>
      <c r="I1004" s="51"/>
      <c r="J1004" s="51"/>
      <c r="K1004" s="51"/>
      <c r="L1004" s="51"/>
    </row>
    <row r="1005" customFormat="false" ht="15" hidden="false" customHeight="false" outlineLevel="0" collapsed="false">
      <c r="A1005" s="52"/>
      <c r="B1005" s="51"/>
      <c r="C1005" s="51" t="n">
        <v>0</v>
      </c>
      <c r="D1005" s="51" t="n">
        <v>0</v>
      </c>
      <c r="E1005" s="51"/>
      <c r="F1005" s="51" t="n">
        <v>8</v>
      </c>
      <c r="G1005" s="51" t="n">
        <v>0</v>
      </c>
      <c r="H1005" s="51"/>
      <c r="I1005" s="51"/>
      <c r="J1005" s="51"/>
      <c r="K1005" s="51"/>
      <c r="L1005" s="51"/>
    </row>
    <row r="1006" customFormat="false" ht="15" hidden="false" customHeight="false" outlineLevel="0" collapsed="false">
      <c r="A1006" s="52"/>
      <c r="B1006" s="51"/>
      <c r="C1006" s="51" t="n">
        <v>0</v>
      </c>
      <c r="D1006" s="51" t="n">
        <v>1</v>
      </c>
      <c r="E1006" s="51"/>
      <c r="F1006" s="51" t="n">
        <v>7</v>
      </c>
      <c r="G1006" s="51" t="n">
        <v>244</v>
      </c>
      <c r="H1006" s="51"/>
      <c r="I1006" s="51"/>
      <c r="J1006" s="51"/>
      <c r="K1006" s="51"/>
      <c r="L1006" s="51"/>
    </row>
    <row r="1007" customFormat="false" ht="15" hidden="false" customHeight="false" outlineLevel="0" collapsed="false">
      <c r="A1007" s="52"/>
      <c r="B1007" s="51"/>
      <c r="C1007" s="51" t="n">
        <v>0</v>
      </c>
      <c r="D1007" s="51" t="n">
        <v>1</v>
      </c>
      <c r="E1007" s="51"/>
      <c r="F1007" s="51" t="n">
        <v>6</v>
      </c>
      <c r="G1007" s="51" t="n">
        <v>172</v>
      </c>
      <c r="H1007" s="51"/>
      <c r="I1007" s="51"/>
      <c r="J1007" s="51"/>
      <c r="K1007" s="51"/>
      <c r="L1007" s="51"/>
    </row>
    <row r="1008" customFormat="false" ht="15" hidden="false" customHeight="false" outlineLevel="0" collapsed="false">
      <c r="A1008" s="46"/>
      <c r="B1008" s="49" t="s">
        <v>6573</v>
      </c>
      <c r="C1008" s="48" t="n">
        <v>0</v>
      </c>
      <c r="D1008" s="48" t="n">
        <v>1</v>
      </c>
      <c r="E1008" s="48" t="n">
        <f aca="false">C1008-D1008</f>
        <v>-1</v>
      </c>
      <c r="F1008" s="48" t="n">
        <v>6</v>
      </c>
      <c r="G1008" s="48" t="n">
        <v>62</v>
      </c>
      <c r="H1008" s="48" t="n">
        <f aca="false">F1008-G1008</f>
        <v>-56</v>
      </c>
      <c r="I1008" s="51"/>
      <c r="J1008" s="51"/>
      <c r="K1008" s="51"/>
      <c r="L1008" s="51"/>
    </row>
    <row r="1009" customFormat="false" ht="15" hidden="false" customHeight="false" outlineLevel="0" collapsed="false">
      <c r="A1009" s="46"/>
      <c r="B1009" s="49" t="s">
        <v>6574</v>
      </c>
      <c r="C1009" s="48" t="n">
        <v>0</v>
      </c>
      <c r="D1009" s="48" t="n">
        <v>1</v>
      </c>
      <c r="E1009" s="48" t="n">
        <f aca="false">C1009-D1009</f>
        <v>-1</v>
      </c>
      <c r="F1009" s="48" t="n">
        <v>0</v>
      </c>
      <c r="G1009" s="48" t="n">
        <v>60</v>
      </c>
      <c r="H1009" s="48" t="n">
        <f aca="false">F1009-G1009</f>
        <v>-60</v>
      </c>
      <c r="I1009" s="51"/>
      <c r="J1009" s="51"/>
      <c r="K1009" s="51"/>
      <c r="L1009" s="51"/>
    </row>
    <row r="1010" customFormat="false" ht="15" hidden="false" customHeight="false" outlineLevel="0" collapsed="false">
      <c r="A1010" s="52"/>
      <c r="B1010" s="51"/>
      <c r="C1010" s="51" t="n">
        <v>0</v>
      </c>
      <c r="D1010" s="51" t="n">
        <v>1</v>
      </c>
      <c r="E1010" s="51"/>
      <c r="F1010" s="51" t="n">
        <v>4</v>
      </c>
      <c r="G1010" s="51" t="n">
        <v>47</v>
      </c>
      <c r="H1010" s="51"/>
      <c r="I1010" s="51"/>
      <c r="J1010" s="51"/>
      <c r="K1010" s="51"/>
      <c r="L1010" s="51"/>
    </row>
    <row r="1011" customFormat="false" ht="15" hidden="false" customHeight="false" outlineLevel="0" collapsed="false">
      <c r="A1011" s="46"/>
      <c r="B1011" s="49" t="s">
        <v>6575</v>
      </c>
      <c r="C1011" s="48" t="n">
        <v>0</v>
      </c>
      <c r="D1011" s="48" t="n">
        <v>0</v>
      </c>
      <c r="E1011" s="48" t="n">
        <f aca="false">C1011-D1011</f>
        <v>0</v>
      </c>
      <c r="F1011" s="48" t="n">
        <v>4</v>
      </c>
      <c r="G1011" s="48" t="n">
        <v>4135</v>
      </c>
      <c r="H1011" s="48" t="n">
        <f aca="false">F1011-G1011</f>
        <v>-4131</v>
      </c>
      <c r="I1011" s="51"/>
      <c r="J1011" s="51"/>
      <c r="K1011" s="51"/>
      <c r="L1011" s="51"/>
    </row>
    <row r="1012" customFormat="false" ht="15" hidden="false" customHeight="false" outlineLevel="0" collapsed="false">
      <c r="A1012" s="52"/>
      <c r="B1012" s="51"/>
      <c r="C1012" s="51" t="n">
        <v>0</v>
      </c>
      <c r="D1012" s="51" t="n">
        <v>0</v>
      </c>
      <c r="E1012" s="51"/>
      <c r="F1012" s="51" t="n">
        <v>2</v>
      </c>
      <c r="G1012" s="51" t="n">
        <v>333</v>
      </c>
      <c r="H1012" s="51"/>
      <c r="I1012" s="51"/>
      <c r="J1012" s="51"/>
      <c r="K1012" s="51"/>
      <c r="L1012" s="51"/>
    </row>
    <row r="1013" customFormat="false" ht="15" hidden="false" customHeight="false" outlineLevel="0" collapsed="false">
      <c r="A1013" s="52"/>
      <c r="B1013" s="51"/>
      <c r="C1013" s="51" t="n">
        <v>0</v>
      </c>
      <c r="D1013" s="51" t="n">
        <v>0</v>
      </c>
      <c r="E1013" s="51"/>
      <c r="F1013" s="51" t="n">
        <v>0</v>
      </c>
      <c r="G1013" s="51" t="n">
        <v>238</v>
      </c>
      <c r="H1013" s="51"/>
      <c r="I1013" s="51"/>
      <c r="J1013" s="51"/>
      <c r="K1013" s="51"/>
      <c r="L1013" s="51"/>
    </row>
    <row r="1014" customFormat="false" ht="15" hidden="false" customHeight="false" outlineLevel="0" collapsed="false">
      <c r="A1014" s="52"/>
      <c r="B1014" s="51"/>
      <c r="C1014" s="51" t="n">
        <v>0</v>
      </c>
      <c r="D1014" s="51" t="n">
        <v>0</v>
      </c>
      <c r="E1014" s="51"/>
      <c r="F1014" s="51" t="n">
        <v>0</v>
      </c>
      <c r="G1014" s="51" t="n">
        <v>165</v>
      </c>
      <c r="H1014" s="51"/>
      <c r="I1014" s="51"/>
      <c r="J1014" s="51"/>
      <c r="K1014" s="51"/>
      <c r="L1014" s="51"/>
    </row>
    <row r="1015" customFormat="false" ht="15" hidden="false" customHeight="false" outlineLevel="0" collapsed="false">
      <c r="A1015" s="52"/>
      <c r="B1015" s="51"/>
      <c r="C1015" s="51" t="n">
        <v>0</v>
      </c>
      <c r="D1015" s="51" t="n">
        <v>0</v>
      </c>
      <c r="E1015" s="51"/>
      <c r="F1015" s="51" t="n">
        <v>3</v>
      </c>
      <c r="G1015" s="51" t="n">
        <v>162</v>
      </c>
      <c r="H1015" s="51"/>
      <c r="I1015" s="51"/>
      <c r="J1015" s="51"/>
      <c r="K1015" s="51"/>
      <c r="L1015" s="51"/>
    </row>
    <row r="1016" customFormat="false" ht="15" hidden="false" customHeight="false" outlineLevel="0" collapsed="false">
      <c r="A1016" s="52"/>
      <c r="B1016" s="51"/>
      <c r="C1016" s="51" t="n">
        <v>0</v>
      </c>
      <c r="D1016" s="51" t="n">
        <v>0</v>
      </c>
      <c r="E1016" s="51"/>
      <c r="F1016" s="51" t="n">
        <v>0</v>
      </c>
      <c r="G1016" s="51" t="n">
        <v>144</v>
      </c>
      <c r="H1016" s="51"/>
      <c r="I1016" s="51"/>
      <c r="J1016" s="51"/>
      <c r="K1016" s="51"/>
      <c r="L1016" s="51"/>
    </row>
    <row r="1017" customFormat="false" ht="15" hidden="false" customHeight="false" outlineLevel="0" collapsed="false">
      <c r="A1017" s="52"/>
      <c r="B1017" s="51"/>
      <c r="C1017" s="51" t="n">
        <v>0</v>
      </c>
      <c r="D1017" s="51" t="n">
        <v>0</v>
      </c>
      <c r="E1017" s="51"/>
      <c r="F1017" s="51" t="n">
        <v>1</v>
      </c>
      <c r="G1017" s="51" t="n">
        <v>130</v>
      </c>
      <c r="H1017" s="51"/>
      <c r="I1017" s="51"/>
      <c r="J1017" s="51"/>
      <c r="K1017" s="51"/>
      <c r="L1017" s="51"/>
    </row>
    <row r="1018" customFormat="false" ht="15" hidden="false" customHeight="false" outlineLevel="0" collapsed="false">
      <c r="A1018" s="52"/>
      <c r="B1018" s="51"/>
      <c r="C1018" s="51" t="n">
        <v>0</v>
      </c>
      <c r="D1018" s="51" t="n">
        <v>0</v>
      </c>
      <c r="E1018" s="51"/>
      <c r="F1018" s="51" t="n">
        <v>2</v>
      </c>
      <c r="G1018" s="51" t="n">
        <v>67</v>
      </c>
      <c r="H1018" s="51"/>
      <c r="I1018" s="51"/>
      <c r="J1018" s="51"/>
      <c r="K1018" s="51"/>
      <c r="L1018" s="51"/>
    </row>
    <row r="1019" customFormat="false" ht="15" hidden="false" customHeight="false" outlineLevel="0" collapsed="false">
      <c r="A1019" s="52"/>
      <c r="B1019" s="51"/>
      <c r="C1019" s="51" t="n">
        <v>0</v>
      </c>
      <c r="D1019" s="51" t="n">
        <v>0</v>
      </c>
      <c r="E1019" s="51"/>
      <c r="F1019" s="51" t="n">
        <v>2</v>
      </c>
      <c r="G1019" s="51" t="n">
        <v>57</v>
      </c>
      <c r="H1019" s="51"/>
      <c r="I1019" s="51"/>
      <c r="J1019" s="51"/>
      <c r="K1019" s="51"/>
      <c r="L1019" s="51"/>
    </row>
    <row r="1020" customFormat="false" ht="15" hidden="false" customHeight="false" outlineLevel="0" collapsed="false">
      <c r="A1020" s="52"/>
      <c r="B1020" s="51"/>
      <c r="C1020" s="51" t="n">
        <v>0</v>
      </c>
      <c r="D1020" s="51" t="n">
        <v>0</v>
      </c>
      <c r="E1020" s="51"/>
      <c r="F1020" s="51" t="n">
        <v>6</v>
      </c>
      <c r="G1020" s="51" t="n">
        <v>57</v>
      </c>
      <c r="H1020" s="51"/>
      <c r="I1020" s="51"/>
      <c r="J1020" s="51"/>
      <c r="K1020" s="51"/>
      <c r="L1020" s="51"/>
    </row>
    <row r="1021" customFormat="false" ht="15" hidden="false" customHeight="false" outlineLevel="0" collapsed="false">
      <c r="A1021" s="52"/>
      <c r="B1021" s="51"/>
      <c r="C1021" s="51" t="n">
        <v>0</v>
      </c>
      <c r="D1021" s="51" t="n">
        <v>0</v>
      </c>
      <c r="E1021" s="51"/>
      <c r="F1021" s="51" t="n">
        <v>6</v>
      </c>
      <c r="G1021" s="51" t="n">
        <v>46</v>
      </c>
      <c r="H1021" s="51"/>
      <c r="I1021" s="51"/>
      <c r="J1021" s="51"/>
      <c r="K1021" s="51"/>
      <c r="L1021" s="51"/>
    </row>
    <row r="1022" customFormat="false" ht="15" hidden="false" customHeight="false" outlineLevel="0" collapsed="false">
      <c r="A1022" s="52"/>
      <c r="B1022" s="51"/>
      <c r="C1022" s="51" t="n">
        <v>0</v>
      </c>
      <c r="D1022" s="51" t="n">
        <v>0</v>
      </c>
      <c r="E1022" s="51"/>
      <c r="F1022" s="51" t="n">
        <v>4</v>
      </c>
      <c r="G1022" s="51" t="n">
        <v>41</v>
      </c>
      <c r="H1022" s="51"/>
      <c r="I1022" s="51"/>
      <c r="J1022" s="51"/>
      <c r="K1022" s="51"/>
      <c r="L1022" s="51"/>
    </row>
    <row r="1023" customFormat="false" ht="15" hidden="false" customHeight="false" outlineLevel="0" collapsed="false">
      <c r="A1023" s="52"/>
      <c r="B1023" s="51"/>
      <c r="C1023" s="51" t="n">
        <v>0</v>
      </c>
      <c r="D1023" s="51" t="n">
        <v>0</v>
      </c>
      <c r="E1023" s="51"/>
      <c r="F1023" s="51" t="n">
        <v>4</v>
      </c>
      <c r="G1023" s="51" t="n">
        <v>30</v>
      </c>
      <c r="H1023" s="51"/>
      <c r="I1023" s="51"/>
      <c r="J1023" s="51"/>
      <c r="K1023" s="51"/>
      <c r="L1023" s="51"/>
    </row>
    <row r="1024" customFormat="false" ht="15" hidden="false" customHeight="false" outlineLevel="0" collapsed="false">
      <c r="A1024" s="46"/>
      <c r="B1024" s="49" t="s">
        <v>6576</v>
      </c>
      <c r="C1024" s="48" t="n">
        <v>0</v>
      </c>
      <c r="D1024" s="48" t="n">
        <v>0</v>
      </c>
      <c r="E1024" s="48" t="n">
        <f aca="false">C1024-D1024</f>
        <v>0</v>
      </c>
      <c r="F1024" s="48" t="n">
        <v>3</v>
      </c>
      <c r="G1024" s="48" t="n">
        <v>27</v>
      </c>
      <c r="H1024" s="48" t="n">
        <f aca="false">F1024-G1024</f>
        <v>-24</v>
      </c>
      <c r="I1024" s="51"/>
      <c r="J1024" s="51"/>
      <c r="K1024" s="51"/>
      <c r="L1024" s="51"/>
    </row>
    <row r="1025" customFormat="false" ht="15" hidden="false" customHeight="false" outlineLevel="0" collapsed="false">
      <c r="A1025" s="46"/>
      <c r="B1025" s="49" t="s">
        <v>6577</v>
      </c>
      <c r="C1025" s="48" t="n">
        <v>0</v>
      </c>
      <c r="D1025" s="48" t="n">
        <v>0</v>
      </c>
      <c r="E1025" s="48" t="n">
        <f aca="false">C1025-D1025</f>
        <v>0</v>
      </c>
      <c r="F1025" s="48" t="n">
        <v>2</v>
      </c>
      <c r="G1025" s="48" t="n">
        <v>26</v>
      </c>
      <c r="H1025" s="48" t="n">
        <f aca="false">F1025-G1025</f>
        <v>-24</v>
      </c>
      <c r="I1025" s="51"/>
      <c r="J1025" s="51"/>
      <c r="K1025" s="51"/>
      <c r="L1025" s="51"/>
    </row>
    <row r="1026" customFormat="false" ht="15" hidden="false" customHeight="false" outlineLevel="0" collapsed="false">
      <c r="A1026" s="46"/>
      <c r="B1026" s="49" t="s">
        <v>6578</v>
      </c>
      <c r="C1026" s="48" t="n">
        <v>0</v>
      </c>
      <c r="D1026" s="48" t="n">
        <v>0</v>
      </c>
      <c r="E1026" s="48" t="n">
        <f aca="false">C1026-D1026</f>
        <v>0</v>
      </c>
      <c r="F1026" s="48" t="n">
        <v>2</v>
      </c>
      <c r="G1026" s="48" t="n">
        <v>25</v>
      </c>
      <c r="H1026" s="48" t="n">
        <f aca="false">F1026-G1026</f>
        <v>-23</v>
      </c>
      <c r="I1026" s="51"/>
      <c r="J1026" s="51"/>
      <c r="K1026" s="51"/>
      <c r="L1026" s="51"/>
    </row>
    <row r="1027" customFormat="false" ht="15" hidden="false" customHeight="false" outlineLevel="0" collapsed="false">
      <c r="A1027" s="52"/>
      <c r="B1027" s="51"/>
      <c r="C1027" s="51" t="n">
        <v>0</v>
      </c>
      <c r="D1027" s="51" t="n">
        <v>0</v>
      </c>
      <c r="E1027" s="51"/>
      <c r="F1027" s="51" t="n">
        <v>5</v>
      </c>
      <c r="G1027" s="51" t="n">
        <v>22</v>
      </c>
      <c r="H1027" s="51"/>
      <c r="I1027" s="51"/>
      <c r="J1027" s="51"/>
      <c r="K1027" s="51"/>
      <c r="L1027" s="51"/>
    </row>
    <row r="1028" customFormat="false" ht="15" hidden="false" customHeight="false" outlineLevel="0" collapsed="false">
      <c r="A1028" s="52"/>
      <c r="B1028" s="51"/>
      <c r="C1028" s="51" t="n">
        <v>0</v>
      </c>
      <c r="D1028" s="51" t="n">
        <v>0</v>
      </c>
      <c r="E1028" s="51"/>
      <c r="F1028" s="51" t="n">
        <v>5</v>
      </c>
      <c r="G1028" s="51" t="n">
        <v>21</v>
      </c>
      <c r="H1028" s="51"/>
      <c r="I1028" s="51"/>
      <c r="J1028" s="51"/>
      <c r="K1028" s="51"/>
      <c r="L1028" s="51"/>
    </row>
    <row r="1029" customFormat="false" ht="15" hidden="false" customHeight="false" outlineLevel="0" collapsed="false">
      <c r="A1029" s="52"/>
      <c r="B1029" s="51"/>
      <c r="C1029" s="51" t="n">
        <v>0</v>
      </c>
      <c r="D1029" s="51" t="n">
        <v>0</v>
      </c>
      <c r="E1029" s="51"/>
      <c r="F1029" s="51" t="n">
        <v>6</v>
      </c>
      <c r="G1029" s="51" t="n">
        <v>18</v>
      </c>
      <c r="H1029" s="51"/>
      <c r="I1029" s="51"/>
      <c r="J1029" s="51"/>
      <c r="K1029" s="51"/>
      <c r="L1029" s="51"/>
    </row>
    <row r="1030" customFormat="false" ht="15" hidden="false" customHeight="false" outlineLevel="0" collapsed="false">
      <c r="A1030" s="52"/>
      <c r="B1030" s="51"/>
      <c r="C1030" s="51" t="n">
        <v>0</v>
      </c>
      <c r="D1030" s="51" t="n">
        <v>0</v>
      </c>
      <c r="E1030" s="51"/>
      <c r="F1030" s="51" t="n">
        <v>6</v>
      </c>
      <c r="G1030" s="51" t="n">
        <v>17</v>
      </c>
      <c r="H1030" s="51"/>
      <c r="I1030" s="51"/>
      <c r="J1030" s="51"/>
      <c r="K1030" s="51"/>
      <c r="L1030" s="51"/>
    </row>
    <row r="1031" customFormat="false" ht="15" hidden="false" customHeight="false" outlineLevel="0" collapsed="false">
      <c r="A1031" s="52"/>
      <c r="B1031" s="51"/>
      <c r="C1031" s="51" t="n">
        <v>0</v>
      </c>
      <c r="D1031" s="51" t="n">
        <v>0</v>
      </c>
      <c r="E1031" s="51"/>
      <c r="F1031" s="51" t="n">
        <v>5</v>
      </c>
      <c r="G1031" s="51" t="n">
        <v>17</v>
      </c>
      <c r="H1031" s="51"/>
      <c r="I1031" s="51"/>
      <c r="J1031" s="51"/>
      <c r="K1031" s="51"/>
      <c r="L1031" s="51"/>
    </row>
    <row r="1032" customFormat="false" ht="15" hidden="false" customHeight="false" outlineLevel="0" collapsed="false">
      <c r="A1032" s="52"/>
      <c r="B1032" s="51"/>
      <c r="C1032" s="51" t="n">
        <v>0</v>
      </c>
      <c r="D1032" s="51" t="n">
        <v>0</v>
      </c>
      <c r="E1032" s="51"/>
      <c r="F1032" s="51" t="n">
        <v>2</v>
      </c>
      <c r="G1032" s="51" t="n">
        <v>16</v>
      </c>
      <c r="H1032" s="51"/>
      <c r="I1032" s="51"/>
      <c r="J1032" s="51"/>
      <c r="K1032" s="51"/>
      <c r="L1032" s="51"/>
    </row>
    <row r="1033" customFormat="false" ht="15" hidden="false" customHeight="false" outlineLevel="0" collapsed="false">
      <c r="A1033" s="46"/>
      <c r="B1033" s="49" t="s">
        <v>6579</v>
      </c>
      <c r="C1033" s="48" t="n">
        <v>0</v>
      </c>
      <c r="D1033" s="48" t="n">
        <v>0</v>
      </c>
      <c r="E1033" s="48" t="n">
        <f aca="false">C1033-D1033</f>
        <v>0</v>
      </c>
      <c r="F1033" s="48" t="n">
        <v>6</v>
      </c>
      <c r="G1033" s="48" t="n">
        <v>15</v>
      </c>
      <c r="H1033" s="48" t="n">
        <f aca="false">F1033-G1033</f>
        <v>-9</v>
      </c>
      <c r="I1033" s="51"/>
      <c r="J1033" s="51"/>
      <c r="K1033" s="51"/>
      <c r="L1033" s="51"/>
    </row>
    <row r="1034" customFormat="false" ht="15" hidden="false" customHeight="false" outlineLevel="0" collapsed="false">
      <c r="A1034" s="52"/>
      <c r="B1034" s="51"/>
      <c r="C1034" s="51" t="n">
        <v>0</v>
      </c>
      <c r="D1034" s="51" t="n">
        <v>0</v>
      </c>
      <c r="E1034" s="51"/>
      <c r="F1034" s="51" t="n">
        <v>5</v>
      </c>
      <c r="G1034" s="51" t="n">
        <v>12</v>
      </c>
      <c r="H1034" s="51"/>
      <c r="I1034" s="51"/>
      <c r="J1034" s="51"/>
      <c r="K1034" s="51"/>
      <c r="L1034" s="51"/>
    </row>
    <row r="1035" customFormat="false" ht="15" hidden="false" customHeight="false" outlineLevel="0" collapsed="false">
      <c r="A1035" s="46"/>
      <c r="B1035" s="49" t="s">
        <v>6580</v>
      </c>
      <c r="C1035" s="48" t="n">
        <v>0</v>
      </c>
      <c r="D1035" s="48" t="n">
        <v>0</v>
      </c>
      <c r="E1035" s="48" t="n">
        <f aca="false">C1035-D1035</f>
        <v>0</v>
      </c>
      <c r="F1035" s="48" t="n">
        <v>3</v>
      </c>
      <c r="G1035" s="48" t="n">
        <v>10</v>
      </c>
      <c r="H1035" s="48" t="n">
        <f aca="false">F1035-G1035</f>
        <v>-7</v>
      </c>
      <c r="I1035" s="51"/>
      <c r="J1035" s="51"/>
      <c r="K1035" s="51"/>
      <c r="L1035" s="51"/>
    </row>
    <row r="1036" customFormat="false" ht="15" hidden="false" customHeight="false" outlineLevel="0" collapsed="false">
      <c r="A1036" s="46"/>
      <c r="B1036" s="49" t="s">
        <v>6581</v>
      </c>
      <c r="C1036" s="48" t="n">
        <v>0</v>
      </c>
      <c r="D1036" s="48" t="n">
        <v>0</v>
      </c>
      <c r="E1036" s="48" t="n">
        <f aca="false">C1036-D1036</f>
        <v>0</v>
      </c>
      <c r="F1036" s="48" t="n">
        <v>3</v>
      </c>
      <c r="G1036" s="48" t="n">
        <v>9</v>
      </c>
      <c r="H1036" s="48" t="n">
        <f aca="false">F1036-G1036</f>
        <v>-6</v>
      </c>
      <c r="I1036" s="51"/>
      <c r="J1036" s="51"/>
      <c r="K1036" s="51"/>
      <c r="L1036" s="51"/>
    </row>
    <row r="1037" customFormat="false" ht="15" hidden="false" customHeight="false" outlineLevel="0" collapsed="false">
      <c r="A1037" s="52"/>
      <c r="B1037" s="51"/>
      <c r="C1037" s="51" t="n">
        <v>0</v>
      </c>
      <c r="D1037" s="51" t="n">
        <v>0</v>
      </c>
      <c r="E1037" s="51"/>
      <c r="F1037" s="51" t="n">
        <v>7</v>
      </c>
      <c r="G1037" s="51" t="n">
        <v>8</v>
      </c>
      <c r="H1037" s="51"/>
      <c r="I1037" s="51"/>
      <c r="J1037" s="51"/>
      <c r="K1037" s="51"/>
      <c r="L1037" s="51"/>
    </row>
    <row r="1038" customFormat="false" ht="15" hidden="false" customHeight="false" outlineLevel="0" collapsed="false">
      <c r="A1038" s="46"/>
      <c r="B1038" s="49" t="s">
        <v>6582</v>
      </c>
      <c r="C1038" s="48" t="n">
        <v>0</v>
      </c>
      <c r="D1038" s="48" t="n">
        <v>0</v>
      </c>
      <c r="E1038" s="48" t="n">
        <f aca="false">C1038-D1038</f>
        <v>0</v>
      </c>
      <c r="F1038" s="48" t="n">
        <v>1</v>
      </c>
      <c r="G1038" s="48" t="n">
        <v>8</v>
      </c>
      <c r="H1038" s="48" t="n">
        <f aca="false">F1038-G1038</f>
        <v>-7</v>
      </c>
      <c r="I1038" s="51"/>
      <c r="J1038" s="51"/>
      <c r="K1038" s="51"/>
      <c r="L1038" s="51"/>
    </row>
    <row r="1039" customFormat="false" ht="15" hidden="false" customHeight="false" outlineLevel="0" collapsed="false">
      <c r="A1039" s="52"/>
      <c r="B1039" s="51"/>
      <c r="C1039" s="51" t="n">
        <v>0</v>
      </c>
      <c r="D1039" s="51" t="n">
        <v>0</v>
      </c>
      <c r="E1039" s="51"/>
      <c r="F1039" s="51" t="n">
        <v>5</v>
      </c>
      <c r="G1039" s="51" t="n">
        <v>7</v>
      </c>
      <c r="H1039" s="51"/>
      <c r="I1039" s="51"/>
      <c r="J1039" s="51"/>
      <c r="K1039" s="51"/>
      <c r="L1039" s="51"/>
    </row>
    <row r="1040" customFormat="false" ht="15" hidden="false" customHeight="false" outlineLevel="0" collapsed="false">
      <c r="A1040" s="52"/>
      <c r="B1040" s="51"/>
      <c r="C1040" s="51" t="n">
        <v>0</v>
      </c>
      <c r="D1040" s="51" t="n">
        <v>0</v>
      </c>
      <c r="E1040" s="51"/>
      <c r="F1040" s="51" t="n">
        <v>0</v>
      </c>
      <c r="G1040" s="51" t="n">
        <v>7</v>
      </c>
      <c r="H1040" s="51"/>
      <c r="I1040" s="51"/>
      <c r="J1040" s="51"/>
      <c r="K1040" s="51"/>
      <c r="L1040" s="51"/>
    </row>
    <row r="1041" customFormat="false" ht="15" hidden="false" customHeight="false" outlineLevel="0" collapsed="false">
      <c r="A1041" s="46"/>
      <c r="B1041" s="49" t="s">
        <v>6583</v>
      </c>
      <c r="C1041" s="48" t="n">
        <v>0</v>
      </c>
      <c r="D1041" s="48" t="n">
        <v>0</v>
      </c>
      <c r="E1041" s="48" t="n">
        <f aca="false">C1041-D1041</f>
        <v>0</v>
      </c>
      <c r="F1041" s="48" t="n">
        <v>3</v>
      </c>
      <c r="G1041" s="48" t="n">
        <v>6</v>
      </c>
      <c r="H1041" s="48" t="n">
        <f aca="false">F1041-G1041</f>
        <v>-3</v>
      </c>
      <c r="I1041" s="51"/>
      <c r="J1041" s="51"/>
      <c r="K1041" s="51"/>
      <c r="L1041" s="51"/>
    </row>
    <row r="1042" customFormat="false" ht="15" hidden="false" customHeight="false" outlineLevel="0" collapsed="false">
      <c r="A1042" s="46"/>
      <c r="B1042" s="49" t="s">
        <v>6584</v>
      </c>
      <c r="C1042" s="48" t="n">
        <v>0</v>
      </c>
      <c r="D1042" s="48" t="n">
        <v>0</v>
      </c>
      <c r="E1042" s="48" t="n">
        <f aca="false">C1042-D1042</f>
        <v>0</v>
      </c>
      <c r="F1042" s="48" t="n">
        <v>3</v>
      </c>
      <c r="G1042" s="48" t="n">
        <v>6</v>
      </c>
      <c r="H1042" s="48" t="n">
        <f aca="false">F1042-G1042</f>
        <v>-3</v>
      </c>
      <c r="I1042" s="51"/>
      <c r="J1042" s="51"/>
      <c r="K1042" s="51"/>
      <c r="L1042" s="51"/>
    </row>
    <row r="1043" customFormat="false" ht="15" hidden="false" customHeight="false" outlineLevel="0" collapsed="false">
      <c r="A1043" s="52"/>
      <c r="B1043" s="51"/>
      <c r="C1043" s="51" t="n">
        <v>0</v>
      </c>
      <c r="D1043" s="51" t="n">
        <v>0</v>
      </c>
      <c r="E1043" s="51"/>
      <c r="F1043" s="51" t="n">
        <v>7</v>
      </c>
      <c r="G1043" s="51" t="n">
        <v>5</v>
      </c>
      <c r="H1043" s="51"/>
      <c r="I1043" s="51"/>
      <c r="J1043" s="51"/>
      <c r="K1043" s="51"/>
      <c r="L1043" s="51"/>
    </row>
    <row r="1044" customFormat="false" ht="15" hidden="false" customHeight="false" outlineLevel="0" collapsed="false">
      <c r="A1044" s="46"/>
      <c r="B1044" s="49" t="s">
        <v>6585</v>
      </c>
      <c r="C1044" s="48" t="n">
        <v>0</v>
      </c>
      <c r="D1044" s="48" t="n">
        <v>0</v>
      </c>
      <c r="E1044" s="48" t="n">
        <f aca="false">C1044-D1044</f>
        <v>0</v>
      </c>
      <c r="F1044" s="48" t="n">
        <v>0</v>
      </c>
      <c r="G1044" s="48" t="n">
        <v>4</v>
      </c>
      <c r="H1044" s="48" t="n">
        <f aca="false">F1044-G1044</f>
        <v>-4</v>
      </c>
      <c r="I1044" s="51"/>
      <c r="J1044" s="51"/>
      <c r="K1044" s="51"/>
      <c r="L1044" s="51"/>
    </row>
    <row r="1045" customFormat="false" ht="15" hidden="false" customHeight="false" outlineLevel="0" collapsed="false">
      <c r="A1045" s="46"/>
      <c r="B1045" s="49" t="s">
        <v>6586</v>
      </c>
      <c r="C1045" s="48" t="n">
        <v>0</v>
      </c>
      <c r="D1045" s="48" t="n">
        <v>0</v>
      </c>
      <c r="E1045" s="48" t="n">
        <f aca="false">C1045-D1045</f>
        <v>0</v>
      </c>
      <c r="F1045" s="48" t="n">
        <v>0</v>
      </c>
      <c r="G1045" s="48" t="n">
        <v>4</v>
      </c>
      <c r="H1045" s="48" t="n">
        <f aca="false">F1045-G1045</f>
        <v>-4</v>
      </c>
      <c r="I1045" s="51"/>
      <c r="J1045" s="51"/>
      <c r="K1045" s="51"/>
      <c r="L1045" s="51"/>
    </row>
    <row r="1046" customFormat="false" ht="15" hidden="false" customHeight="false" outlineLevel="0" collapsed="false">
      <c r="A1046" s="46"/>
      <c r="B1046" s="49" t="s">
        <v>6587</v>
      </c>
      <c r="C1046" s="48" t="n">
        <v>0</v>
      </c>
      <c r="D1046" s="48" t="n">
        <v>0</v>
      </c>
      <c r="E1046" s="48" t="n">
        <f aca="false">C1046-D1046</f>
        <v>0</v>
      </c>
      <c r="F1046" s="48" t="n">
        <v>1</v>
      </c>
      <c r="G1046" s="48" t="n">
        <v>4</v>
      </c>
      <c r="H1046" s="48" t="n">
        <f aca="false">F1046-G1046</f>
        <v>-3</v>
      </c>
      <c r="I1046" s="51"/>
      <c r="J1046" s="51"/>
      <c r="K1046" s="51"/>
      <c r="L1046" s="51"/>
    </row>
    <row r="1047" customFormat="false" ht="15" hidden="false" customHeight="false" outlineLevel="0" collapsed="false">
      <c r="A1047" s="52"/>
      <c r="B1047" s="51"/>
      <c r="C1047" s="51" t="n">
        <v>0</v>
      </c>
      <c r="D1047" s="51" t="n">
        <v>0</v>
      </c>
      <c r="E1047" s="51"/>
      <c r="F1047" s="51" t="n">
        <v>4</v>
      </c>
      <c r="G1047" s="51" t="n">
        <v>4</v>
      </c>
      <c r="H1047" s="51"/>
      <c r="I1047" s="51"/>
      <c r="J1047" s="51"/>
      <c r="K1047" s="51"/>
      <c r="L1047" s="51"/>
    </row>
    <row r="1048" customFormat="false" ht="15" hidden="false" customHeight="false" outlineLevel="0" collapsed="false">
      <c r="A1048" s="52"/>
      <c r="B1048" s="51"/>
      <c r="C1048" s="51" t="n">
        <v>0</v>
      </c>
      <c r="D1048" s="51" t="n">
        <v>0</v>
      </c>
      <c r="E1048" s="51"/>
      <c r="F1048" s="51" t="n">
        <v>0</v>
      </c>
      <c r="G1048" s="51" t="n">
        <v>4</v>
      </c>
      <c r="H1048" s="51"/>
      <c r="I1048" s="51"/>
      <c r="J1048" s="51"/>
      <c r="K1048" s="51"/>
      <c r="L1048" s="51"/>
    </row>
    <row r="1049" customFormat="false" ht="15" hidden="false" customHeight="false" outlineLevel="0" collapsed="false">
      <c r="A1049" s="52"/>
      <c r="B1049" s="51"/>
      <c r="C1049" s="51" t="n">
        <v>0</v>
      </c>
      <c r="D1049" s="51" t="n">
        <v>0</v>
      </c>
      <c r="E1049" s="51"/>
      <c r="F1049" s="51" t="n">
        <v>1</v>
      </c>
      <c r="G1049" s="51" t="n">
        <v>4</v>
      </c>
      <c r="H1049" s="51"/>
      <c r="I1049" s="51"/>
      <c r="J1049" s="51"/>
      <c r="K1049" s="51"/>
      <c r="L1049" s="51"/>
    </row>
    <row r="1050" customFormat="false" ht="15" hidden="false" customHeight="false" outlineLevel="0" collapsed="false">
      <c r="A1050" s="52"/>
      <c r="B1050" s="51"/>
      <c r="C1050" s="51" t="n">
        <v>0</v>
      </c>
      <c r="D1050" s="51" t="n">
        <v>0</v>
      </c>
      <c r="E1050" s="51"/>
      <c r="F1050" s="51" t="n">
        <v>5</v>
      </c>
      <c r="G1050" s="51" t="n">
        <v>4</v>
      </c>
      <c r="H1050" s="51"/>
      <c r="I1050" s="51"/>
      <c r="J1050" s="51"/>
      <c r="K1050" s="51"/>
      <c r="L1050" s="51"/>
    </row>
    <row r="1051" customFormat="false" ht="15" hidden="false" customHeight="false" outlineLevel="0" collapsed="false">
      <c r="A1051" s="46"/>
      <c r="B1051" s="49" t="s">
        <v>6588</v>
      </c>
      <c r="C1051" s="48" t="n">
        <v>0</v>
      </c>
      <c r="D1051" s="48" t="n">
        <v>0</v>
      </c>
      <c r="E1051" s="48" t="n">
        <f aca="false">C1051-D1051</f>
        <v>0</v>
      </c>
      <c r="F1051" s="48" t="n">
        <v>6</v>
      </c>
      <c r="G1051" s="48" t="n">
        <v>4</v>
      </c>
      <c r="H1051" s="48" t="n">
        <f aca="false">F1051-G1051</f>
        <v>2</v>
      </c>
      <c r="I1051" s="51"/>
      <c r="J1051" s="51"/>
      <c r="K1051" s="51"/>
      <c r="L1051" s="51"/>
    </row>
    <row r="1052" customFormat="false" ht="15" hidden="false" customHeight="false" outlineLevel="0" collapsed="false">
      <c r="A1052" s="46"/>
      <c r="B1052" s="49" t="s">
        <v>6589</v>
      </c>
      <c r="C1052" s="48" t="n">
        <v>0</v>
      </c>
      <c r="D1052" s="48" t="n">
        <v>0</v>
      </c>
      <c r="E1052" s="48" t="n">
        <f aca="false">C1052-D1052</f>
        <v>0</v>
      </c>
      <c r="F1052" s="48" t="n">
        <v>0</v>
      </c>
      <c r="G1052" s="48" t="n">
        <v>3</v>
      </c>
      <c r="H1052" s="48" t="n">
        <f aca="false">F1052-G1052</f>
        <v>-3</v>
      </c>
      <c r="I1052" s="51"/>
      <c r="J1052" s="51"/>
      <c r="K1052" s="51"/>
      <c r="L1052" s="51"/>
    </row>
    <row r="1053" customFormat="false" ht="15" hidden="false" customHeight="false" outlineLevel="0" collapsed="false">
      <c r="A1053" s="46"/>
      <c r="B1053" s="49" t="s">
        <v>6590</v>
      </c>
      <c r="C1053" s="48" t="n">
        <v>0</v>
      </c>
      <c r="D1053" s="48" t="n">
        <v>0</v>
      </c>
      <c r="E1053" s="48" t="n">
        <f aca="false">C1053-D1053</f>
        <v>0</v>
      </c>
      <c r="F1053" s="48" t="n">
        <v>0</v>
      </c>
      <c r="G1053" s="48" t="n">
        <v>3</v>
      </c>
      <c r="H1053" s="48" t="n">
        <f aca="false">F1053-G1053</f>
        <v>-3</v>
      </c>
      <c r="I1053" s="51"/>
      <c r="J1053" s="51"/>
      <c r="K1053" s="51"/>
      <c r="L1053" s="51"/>
    </row>
    <row r="1054" customFormat="false" ht="15" hidden="false" customHeight="false" outlineLevel="0" collapsed="false">
      <c r="A1054" s="52"/>
      <c r="B1054" s="51"/>
      <c r="C1054" s="51" t="n">
        <v>0</v>
      </c>
      <c r="D1054" s="51" t="n">
        <v>0</v>
      </c>
      <c r="E1054" s="51"/>
      <c r="F1054" s="51" t="n">
        <v>0</v>
      </c>
      <c r="G1054" s="51" t="n">
        <v>3</v>
      </c>
      <c r="H1054" s="51"/>
      <c r="I1054" s="51"/>
      <c r="J1054" s="51"/>
      <c r="K1054" s="51"/>
      <c r="L1054" s="51"/>
    </row>
    <row r="1055" customFormat="false" ht="15" hidden="false" customHeight="false" outlineLevel="0" collapsed="false">
      <c r="A1055" s="52"/>
      <c r="B1055" s="51"/>
      <c r="C1055" s="51" t="n">
        <v>0</v>
      </c>
      <c r="D1055" s="51" t="n">
        <v>0</v>
      </c>
      <c r="E1055" s="51"/>
      <c r="F1055" s="51" t="n">
        <v>2</v>
      </c>
      <c r="G1055" s="51" t="n">
        <v>3</v>
      </c>
      <c r="H1055" s="51"/>
      <c r="I1055" s="51"/>
      <c r="J1055" s="51"/>
      <c r="K1055" s="51"/>
      <c r="L1055" s="51"/>
    </row>
    <row r="1056" customFormat="false" ht="15" hidden="false" customHeight="false" outlineLevel="0" collapsed="false">
      <c r="A1056" s="52"/>
      <c r="B1056" s="51"/>
      <c r="C1056" s="51" t="n">
        <v>0</v>
      </c>
      <c r="D1056" s="51" t="n">
        <v>0</v>
      </c>
      <c r="E1056" s="51"/>
      <c r="F1056" s="51" t="n">
        <v>1</v>
      </c>
      <c r="G1056" s="51" t="n">
        <v>3</v>
      </c>
      <c r="H1056" s="51"/>
      <c r="I1056" s="51"/>
      <c r="J1056" s="51"/>
      <c r="K1056" s="51"/>
      <c r="L1056" s="51"/>
    </row>
    <row r="1057" customFormat="false" ht="15" hidden="false" customHeight="false" outlineLevel="0" collapsed="false">
      <c r="A1057" s="52"/>
      <c r="B1057" s="51"/>
      <c r="C1057" s="51" t="n">
        <v>0</v>
      </c>
      <c r="D1057" s="51" t="n">
        <v>0</v>
      </c>
      <c r="E1057" s="51"/>
      <c r="F1057" s="51" t="n">
        <v>1</v>
      </c>
      <c r="G1057" s="51" t="n">
        <v>3</v>
      </c>
      <c r="H1057" s="51"/>
      <c r="I1057" s="51"/>
      <c r="J1057" s="51"/>
      <c r="K1057" s="51"/>
      <c r="L1057" s="51"/>
    </row>
    <row r="1058" customFormat="false" ht="15" hidden="false" customHeight="false" outlineLevel="0" collapsed="false">
      <c r="A1058" s="46"/>
      <c r="B1058" s="49" t="s">
        <v>6591</v>
      </c>
      <c r="C1058" s="48" t="n">
        <v>0</v>
      </c>
      <c r="D1058" s="48" t="n">
        <v>0</v>
      </c>
      <c r="E1058" s="48" t="n">
        <f aca="false">C1058-D1058</f>
        <v>0</v>
      </c>
      <c r="F1058" s="48" t="n">
        <v>3</v>
      </c>
      <c r="G1058" s="48" t="n">
        <v>3</v>
      </c>
      <c r="H1058" s="48" t="n">
        <f aca="false">F1058-G1058</f>
        <v>0</v>
      </c>
      <c r="I1058" s="51"/>
      <c r="J1058" s="51"/>
      <c r="K1058" s="51"/>
      <c r="L1058" s="51"/>
    </row>
    <row r="1059" customFormat="false" ht="15" hidden="false" customHeight="false" outlineLevel="0" collapsed="false">
      <c r="A1059" s="46"/>
      <c r="B1059" s="49" t="s">
        <v>6592</v>
      </c>
      <c r="C1059" s="48" t="n">
        <v>0</v>
      </c>
      <c r="D1059" s="48" t="n">
        <v>0</v>
      </c>
      <c r="E1059" s="48" t="n">
        <f aca="false">C1059-D1059</f>
        <v>0</v>
      </c>
      <c r="F1059" s="48" t="n">
        <v>0</v>
      </c>
      <c r="G1059" s="48" t="n">
        <v>2</v>
      </c>
      <c r="H1059" s="48" t="n">
        <f aca="false">F1059-G1059</f>
        <v>-2</v>
      </c>
      <c r="I1059" s="51"/>
      <c r="J1059" s="51"/>
      <c r="K1059" s="51"/>
      <c r="L1059" s="51"/>
    </row>
    <row r="1060" customFormat="false" ht="15" hidden="false" customHeight="false" outlineLevel="0" collapsed="false">
      <c r="A1060" s="52"/>
      <c r="B1060" s="51"/>
      <c r="C1060" s="51" t="n">
        <v>0</v>
      </c>
      <c r="D1060" s="51" t="n">
        <v>0</v>
      </c>
      <c r="E1060" s="51"/>
      <c r="F1060" s="51" t="n">
        <v>1</v>
      </c>
      <c r="G1060" s="51" t="n">
        <v>2</v>
      </c>
      <c r="H1060" s="51"/>
      <c r="I1060" s="51"/>
      <c r="J1060" s="51"/>
      <c r="K1060" s="51"/>
      <c r="L1060" s="51"/>
    </row>
    <row r="1061" customFormat="false" ht="15" hidden="false" customHeight="false" outlineLevel="0" collapsed="false">
      <c r="A1061" s="52"/>
      <c r="B1061" s="51"/>
      <c r="C1061" s="51" t="n">
        <v>0</v>
      </c>
      <c r="D1061" s="51" t="n">
        <v>0</v>
      </c>
      <c r="E1061" s="51"/>
      <c r="F1061" s="51" t="n">
        <v>0</v>
      </c>
      <c r="G1061" s="51" t="n">
        <v>2</v>
      </c>
      <c r="H1061" s="51"/>
      <c r="I1061" s="51"/>
      <c r="J1061" s="51"/>
      <c r="K1061" s="51"/>
      <c r="L1061" s="51"/>
    </row>
    <row r="1062" customFormat="false" ht="15" hidden="false" customHeight="false" outlineLevel="0" collapsed="false">
      <c r="A1062" s="46"/>
      <c r="B1062" s="49" t="s">
        <v>6593</v>
      </c>
      <c r="C1062" s="48" t="n">
        <v>0</v>
      </c>
      <c r="D1062" s="48" t="n">
        <v>0</v>
      </c>
      <c r="E1062" s="48" t="n">
        <f aca="false">C1062-D1062</f>
        <v>0</v>
      </c>
      <c r="F1062" s="48" t="n">
        <v>0</v>
      </c>
      <c r="G1062" s="48" t="n">
        <v>2</v>
      </c>
      <c r="H1062" s="48" t="n">
        <f aca="false">F1062-G1062</f>
        <v>-2</v>
      </c>
      <c r="I1062" s="51"/>
      <c r="J1062" s="51"/>
      <c r="K1062" s="51"/>
      <c r="L1062" s="51"/>
    </row>
    <row r="1063" customFormat="false" ht="15" hidden="false" customHeight="false" outlineLevel="0" collapsed="false">
      <c r="A1063" s="46"/>
      <c r="B1063" s="49" t="s">
        <v>6594</v>
      </c>
      <c r="C1063" s="48" t="n">
        <v>0</v>
      </c>
      <c r="D1063" s="48" t="n">
        <v>0</v>
      </c>
      <c r="E1063" s="48" t="n">
        <f aca="false">C1063-D1063</f>
        <v>0</v>
      </c>
      <c r="F1063" s="48" t="n">
        <v>2</v>
      </c>
      <c r="G1063" s="48" t="n">
        <v>2</v>
      </c>
      <c r="H1063" s="48" t="n">
        <f aca="false">F1063-G1063</f>
        <v>0</v>
      </c>
      <c r="I1063" s="51"/>
      <c r="J1063" s="51"/>
      <c r="K1063" s="51"/>
      <c r="L1063" s="51"/>
    </row>
    <row r="1064" customFormat="false" ht="15" hidden="false" customHeight="false" outlineLevel="0" collapsed="false">
      <c r="A1064" s="46"/>
      <c r="B1064" s="49" t="s">
        <v>6595</v>
      </c>
      <c r="C1064" s="48" t="n">
        <v>0</v>
      </c>
      <c r="D1064" s="48" t="n">
        <v>0</v>
      </c>
      <c r="E1064" s="48" t="n">
        <f aca="false">C1064-D1064</f>
        <v>0</v>
      </c>
      <c r="F1064" s="48" t="n">
        <v>7</v>
      </c>
      <c r="G1064" s="48" t="n">
        <v>2</v>
      </c>
      <c r="H1064" s="48" t="n">
        <f aca="false">F1064-G1064</f>
        <v>5</v>
      </c>
      <c r="I1064" s="51"/>
      <c r="J1064" s="51"/>
      <c r="K1064" s="51"/>
      <c r="L1064" s="51"/>
    </row>
    <row r="1065" customFormat="false" ht="15" hidden="false" customHeight="false" outlineLevel="0" collapsed="false">
      <c r="A1065" s="52"/>
      <c r="B1065" s="51"/>
      <c r="C1065" s="51" t="n">
        <v>0</v>
      </c>
      <c r="D1065" s="51" t="n">
        <v>0</v>
      </c>
      <c r="E1065" s="51"/>
      <c r="F1065" s="51" t="n">
        <v>4</v>
      </c>
      <c r="G1065" s="51" t="n">
        <v>2</v>
      </c>
      <c r="H1065" s="51"/>
      <c r="I1065" s="51"/>
      <c r="J1065" s="51"/>
      <c r="K1065" s="51"/>
      <c r="L1065" s="51"/>
    </row>
    <row r="1066" customFormat="false" ht="15" hidden="false" customHeight="false" outlineLevel="0" collapsed="false">
      <c r="A1066" s="46"/>
      <c r="B1066" s="49" t="s">
        <v>6596</v>
      </c>
      <c r="C1066" s="48" t="n">
        <v>0</v>
      </c>
      <c r="D1066" s="48" t="n">
        <v>0</v>
      </c>
      <c r="E1066" s="48" t="n">
        <f aca="false">C1066-D1066</f>
        <v>0</v>
      </c>
      <c r="F1066" s="48" t="n">
        <v>1</v>
      </c>
      <c r="G1066" s="48" t="n">
        <v>2</v>
      </c>
      <c r="H1066" s="48" t="n">
        <f aca="false">F1066-G1066</f>
        <v>-1</v>
      </c>
      <c r="I1066" s="51"/>
      <c r="J1066" s="51"/>
      <c r="K1066" s="51"/>
      <c r="L1066" s="51"/>
    </row>
    <row r="1067" customFormat="false" ht="15" hidden="false" customHeight="false" outlineLevel="0" collapsed="false">
      <c r="A1067" s="52"/>
      <c r="B1067" s="51"/>
      <c r="C1067" s="51" t="n">
        <v>0</v>
      </c>
      <c r="D1067" s="51" t="n">
        <v>0</v>
      </c>
      <c r="E1067" s="51"/>
      <c r="F1067" s="51" t="n">
        <v>1</v>
      </c>
      <c r="G1067" s="51" t="n">
        <v>2</v>
      </c>
      <c r="H1067" s="51"/>
      <c r="I1067" s="51"/>
      <c r="J1067" s="51"/>
      <c r="K1067" s="51"/>
      <c r="L1067" s="51"/>
    </row>
    <row r="1068" customFormat="false" ht="15" hidden="false" customHeight="false" outlineLevel="0" collapsed="false">
      <c r="A1068" s="46"/>
      <c r="B1068" s="49" t="s">
        <v>6597</v>
      </c>
      <c r="C1068" s="48" t="n">
        <v>0</v>
      </c>
      <c r="D1068" s="48" t="n">
        <v>0</v>
      </c>
      <c r="E1068" s="48" t="n">
        <f aca="false">C1068-D1068</f>
        <v>0</v>
      </c>
      <c r="F1068" s="48" t="n">
        <v>4</v>
      </c>
      <c r="G1068" s="48" t="n">
        <v>2</v>
      </c>
      <c r="H1068" s="48" t="n">
        <f aca="false">F1068-G1068</f>
        <v>2</v>
      </c>
      <c r="I1068" s="51"/>
      <c r="J1068" s="51"/>
      <c r="K1068" s="51"/>
      <c r="L1068" s="51"/>
    </row>
    <row r="1069" customFormat="false" ht="15" hidden="false" customHeight="false" outlineLevel="0" collapsed="false">
      <c r="A1069" s="52"/>
      <c r="B1069" s="51"/>
      <c r="C1069" s="51" t="n">
        <v>0</v>
      </c>
      <c r="D1069" s="51" t="n">
        <v>0</v>
      </c>
      <c r="E1069" s="51"/>
      <c r="F1069" s="51" t="n">
        <v>0</v>
      </c>
      <c r="G1069" s="51" t="n">
        <v>2</v>
      </c>
      <c r="H1069" s="51"/>
      <c r="I1069" s="51"/>
      <c r="J1069" s="51"/>
      <c r="K1069" s="51"/>
      <c r="L1069" s="51"/>
    </row>
    <row r="1070" customFormat="false" ht="15" hidden="false" customHeight="false" outlineLevel="0" collapsed="false">
      <c r="A1070" s="46"/>
      <c r="B1070" s="49" t="s">
        <v>6598</v>
      </c>
      <c r="C1070" s="48" t="n">
        <v>0</v>
      </c>
      <c r="D1070" s="48" t="n">
        <v>0</v>
      </c>
      <c r="E1070" s="48" t="n">
        <f aca="false">C1070-D1070</f>
        <v>0</v>
      </c>
      <c r="F1070" s="48" t="n">
        <v>7</v>
      </c>
      <c r="G1070" s="48" t="n">
        <v>2</v>
      </c>
      <c r="H1070" s="48" t="n">
        <f aca="false">F1070-G1070</f>
        <v>5</v>
      </c>
      <c r="I1070" s="51"/>
      <c r="J1070" s="51"/>
      <c r="K1070" s="51"/>
      <c r="L1070" s="51"/>
    </row>
    <row r="1071" customFormat="false" ht="15" hidden="false" customHeight="false" outlineLevel="0" collapsed="false">
      <c r="A1071" s="46"/>
      <c r="B1071" s="49" t="s">
        <v>6599</v>
      </c>
      <c r="C1071" s="48" t="n">
        <v>0</v>
      </c>
      <c r="D1071" s="48" t="n">
        <v>0</v>
      </c>
      <c r="E1071" s="48" t="n">
        <f aca="false">C1071-D1071</f>
        <v>0</v>
      </c>
      <c r="F1071" s="48" t="n">
        <v>0</v>
      </c>
      <c r="G1071" s="48" t="n">
        <v>2</v>
      </c>
      <c r="H1071" s="48" t="n">
        <f aca="false">F1071-G1071</f>
        <v>-2</v>
      </c>
      <c r="I1071" s="51"/>
      <c r="J1071" s="51"/>
      <c r="K1071" s="51"/>
      <c r="L1071" s="51"/>
    </row>
    <row r="1072" customFormat="false" ht="15" hidden="false" customHeight="false" outlineLevel="0" collapsed="false">
      <c r="A1072" s="52"/>
      <c r="B1072" s="51"/>
      <c r="C1072" s="51" t="n">
        <v>0</v>
      </c>
      <c r="D1072" s="51" t="n">
        <v>0</v>
      </c>
      <c r="E1072" s="51"/>
      <c r="F1072" s="51" t="n">
        <v>0</v>
      </c>
      <c r="G1072" s="51" t="n">
        <v>2</v>
      </c>
      <c r="H1072" s="51"/>
      <c r="I1072" s="51"/>
      <c r="J1072" s="51"/>
      <c r="K1072" s="51"/>
      <c r="L1072" s="51"/>
    </row>
    <row r="1073" customFormat="false" ht="15" hidden="false" customHeight="false" outlineLevel="0" collapsed="false">
      <c r="A1073" s="52"/>
      <c r="B1073" s="51"/>
      <c r="C1073" s="51" t="n">
        <v>0</v>
      </c>
      <c r="D1073" s="51" t="n">
        <v>0</v>
      </c>
      <c r="E1073" s="51"/>
      <c r="F1073" s="51" t="n">
        <v>3</v>
      </c>
      <c r="G1073" s="51" t="n">
        <v>2</v>
      </c>
      <c r="H1073" s="51"/>
      <c r="I1073" s="51"/>
      <c r="J1073" s="51"/>
      <c r="K1073" s="51"/>
      <c r="L1073" s="51"/>
    </row>
    <row r="1074" customFormat="false" ht="15" hidden="false" customHeight="false" outlineLevel="0" collapsed="false">
      <c r="A1074" s="52"/>
      <c r="B1074" s="51"/>
      <c r="C1074" s="51" t="n">
        <v>0</v>
      </c>
      <c r="D1074" s="51" t="n">
        <v>0</v>
      </c>
      <c r="E1074" s="51"/>
      <c r="F1074" s="51" t="n">
        <v>0</v>
      </c>
      <c r="G1074" s="51" t="n">
        <v>2</v>
      </c>
      <c r="H1074" s="51"/>
      <c r="I1074" s="51"/>
      <c r="J1074" s="51"/>
      <c r="K1074" s="51"/>
      <c r="L1074" s="51"/>
    </row>
    <row r="1075" customFormat="false" ht="15" hidden="false" customHeight="false" outlineLevel="0" collapsed="false">
      <c r="A1075" s="52"/>
      <c r="B1075" s="51"/>
      <c r="C1075" s="51" t="n">
        <v>0</v>
      </c>
      <c r="D1075" s="51" t="n">
        <v>0</v>
      </c>
      <c r="E1075" s="51"/>
      <c r="F1075" s="51" t="n">
        <v>0</v>
      </c>
      <c r="G1075" s="51" t="n">
        <v>2</v>
      </c>
      <c r="H1075" s="51"/>
      <c r="I1075" s="51"/>
      <c r="J1075" s="51"/>
      <c r="K1075" s="51"/>
      <c r="L1075" s="51"/>
    </row>
    <row r="1076" customFormat="false" ht="15" hidden="false" customHeight="false" outlineLevel="0" collapsed="false">
      <c r="A1076" s="52"/>
      <c r="B1076" s="51"/>
      <c r="C1076" s="51" t="n">
        <v>0</v>
      </c>
      <c r="D1076" s="51" t="n">
        <v>0</v>
      </c>
      <c r="E1076" s="51"/>
      <c r="F1076" s="51" t="n">
        <v>0</v>
      </c>
      <c r="G1076" s="51" t="n">
        <v>2</v>
      </c>
      <c r="H1076" s="51"/>
      <c r="I1076" s="51"/>
      <c r="J1076" s="51"/>
      <c r="K1076" s="51"/>
      <c r="L1076" s="51"/>
    </row>
    <row r="1077" customFormat="false" ht="15" hidden="false" customHeight="false" outlineLevel="0" collapsed="false">
      <c r="A1077" s="46"/>
      <c r="B1077" s="49" t="s">
        <v>6600</v>
      </c>
      <c r="C1077" s="48" t="n">
        <v>0</v>
      </c>
      <c r="D1077" s="48" t="n">
        <v>0</v>
      </c>
      <c r="E1077" s="48" t="n">
        <f aca="false">C1077-D1077</f>
        <v>0</v>
      </c>
      <c r="F1077" s="48" t="n">
        <v>0</v>
      </c>
      <c r="G1077" s="48" t="n">
        <v>1</v>
      </c>
      <c r="H1077" s="48" t="n">
        <f aca="false">F1077-G1077</f>
        <v>-1</v>
      </c>
      <c r="I1077" s="51"/>
      <c r="J1077" s="51"/>
      <c r="K1077" s="51"/>
      <c r="L1077" s="51"/>
    </row>
    <row r="1078" customFormat="false" ht="15" hidden="false" customHeight="false" outlineLevel="0" collapsed="false">
      <c r="A1078" s="46"/>
      <c r="B1078" s="49" t="s">
        <v>6601</v>
      </c>
      <c r="C1078" s="48" t="n">
        <v>0</v>
      </c>
      <c r="D1078" s="48" t="n">
        <v>0</v>
      </c>
      <c r="E1078" s="48" t="n">
        <f aca="false">C1078-D1078</f>
        <v>0</v>
      </c>
      <c r="F1078" s="48" t="n">
        <v>0</v>
      </c>
      <c r="G1078" s="48" t="n">
        <v>1</v>
      </c>
      <c r="H1078" s="48" t="n">
        <f aca="false">F1078-G1078</f>
        <v>-1</v>
      </c>
      <c r="I1078" s="51"/>
      <c r="J1078" s="51"/>
      <c r="K1078" s="51"/>
      <c r="L1078" s="51"/>
    </row>
    <row r="1079" customFormat="false" ht="15" hidden="false" customHeight="false" outlineLevel="0" collapsed="false">
      <c r="A1079" s="46"/>
      <c r="B1079" s="49" t="s">
        <v>6602</v>
      </c>
      <c r="C1079" s="48" t="n">
        <v>0</v>
      </c>
      <c r="D1079" s="48" t="n">
        <v>0</v>
      </c>
      <c r="E1079" s="48" t="n">
        <f aca="false">C1079-D1079</f>
        <v>0</v>
      </c>
      <c r="F1079" s="48" t="n">
        <v>0</v>
      </c>
      <c r="G1079" s="48" t="n">
        <v>1</v>
      </c>
      <c r="H1079" s="48" t="n">
        <f aca="false">F1079-G1079</f>
        <v>-1</v>
      </c>
      <c r="I1079" s="51"/>
      <c r="J1079" s="51"/>
      <c r="K1079" s="51"/>
      <c r="L1079" s="51"/>
    </row>
    <row r="1080" customFormat="false" ht="15" hidden="false" customHeight="false" outlineLevel="0" collapsed="false">
      <c r="A1080" s="52"/>
      <c r="B1080" s="51"/>
      <c r="C1080" s="51" t="n">
        <v>0</v>
      </c>
      <c r="D1080" s="51" t="n">
        <v>0</v>
      </c>
      <c r="E1080" s="51"/>
      <c r="F1080" s="51" t="n">
        <v>2</v>
      </c>
      <c r="G1080" s="51" t="n">
        <v>1</v>
      </c>
      <c r="H1080" s="51"/>
      <c r="I1080" s="51"/>
      <c r="J1080" s="51"/>
      <c r="K1080" s="51"/>
      <c r="L1080" s="51"/>
    </row>
    <row r="1081" customFormat="false" ht="15" hidden="false" customHeight="false" outlineLevel="0" collapsed="false">
      <c r="A1081" s="52"/>
      <c r="B1081" s="51"/>
      <c r="C1081" s="51" t="n">
        <v>0</v>
      </c>
      <c r="D1081" s="51" t="n">
        <v>0</v>
      </c>
      <c r="E1081" s="51"/>
      <c r="F1081" s="51" t="n">
        <v>2</v>
      </c>
      <c r="G1081" s="51" t="n">
        <v>1</v>
      </c>
      <c r="H1081" s="51"/>
      <c r="I1081" s="51"/>
      <c r="J1081" s="51"/>
      <c r="K1081" s="51"/>
      <c r="L1081" s="51"/>
    </row>
    <row r="1082" customFormat="false" ht="15" hidden="false" customHeight="false" outlineLevel="0" collapsed="false">
      <c r="A1082" s="46"/>
      <c r="B1082" s="49" t="s">
        <v>6603</v>
      </c>
      <c r="C1082" s="48" t="n">
        <v>0</v>
      </c>
      <c r="D1082" s="48" t="n">
        <v>0</v>
      </c>
      <c r="E1082" s="48" t="n">
        <f aca="false">C1082-D1082</f>
        <v>0</v>
      </c>
      <c r="F1082" s="48" t="n">
        <v>0</v>
      </c>
      <c r="G1082" s="48" t="n">
        <v>1</v>
      </c>
      <c r="H1082" s="48" t="n">
        <f aca="false">F1082-G1082</f>
        <v>-1</v>
      </c>
      <c r="I1082" s="51"/>
      <c r="J1082" s="51"/>
      <c r="K1082" s="51"/>
      <c r="L1082" s="51"/>
    </row>
    <row r="1083" customFormat="false" ht="15" hidden="false" customHeight="false" outlineLevel="0" collapsed="false">
      <c r="A1083" s="46"/>
      <c r="B1083" s="49" t="s">
        <v>6604</v>
      </c>
      <c r="C1083" s="48" t="n">
        <v>0</v>
      </c>
      <c r="D1083" s="48" t="n">
        <v>0</v>
      </c>
      <c r="E1083" s="48" t="n">
        <f aca="false">C1083-D1083</f>
        <v>0</v>
      </c>
      <c r="F1083" s="48" t="n">
        <v>4</v>
      </c>
      <c r="G1083" s="48" t="n">
        <v>1</v>
      </c>
      <c r="H1083" s="48" t="n">
        <f aca="false">F1083-G1083</f>
        <v>3</v>
      </c>
      <c r="I1083" s="51"/>
      <c r="J1083" s="51"/>
      <c r="K1083" s="51"/>
      <c r="L1083" s="51"/>
    </row>
    <row r="1084" customFormat="false" ht="15" hidden="false" customHeight="false" outlineLevel="0" collapsed="false">
      <c r="A1084" s="46"/>
      <c r="B1084" s="49" t="s">
        <v>6605</v>
      </c>
      <c r="C1084" s="48" t="n">
        <v>0</v>
      </c>
      <c r="D1084" s="48" t="n">
        <v>0</v>
      </c>
      <c r="E1084" s="48" t="n">
        <f aca="false">C1084-D1084</f>
        <v>0</v>
      </c>
      <c r="F1084" s="48" t="n">
        <v>0</v>
      </c>
      <c r="G1084" s="48" t="n">
        <v>1</v>
      </c>
      <c r="H1084" s="48" t="n">
        <f aca="false">F1084-G1084</f>
        <v>-1</v>
      </c>
      <c r="I1084" s="51"/>
      <c r="J1084" s="51"/>
      <c r="K1084" s="51"/>
      <c r="L1084" s="51"/>
    </row>
    <row r="1085" customFormat="false" ht="15" hidden="false" customHeight="false" outlineLevel="0" collapsed="false">
      <c r="A1085" s="46"/>
      <c r="B1085" s="49" t="s">
        <v>6606</v>
      </c>
      <c r="C1085" s="48" t="n">
        <v>0</v>
      </c>
      <c r="D1085" s="48" t="n">
        <v>0</v>
      </c>
      <c r="E1085" s="48" t="n">
        <f aca="false">C1085-D1085</f>
        <v>0</v>
      </c>
      <c r="F1085" s="48" t="n">
        <v>0</v>
      </c>
      <c r="G1085" s="48" t="n">
        <v>1</v>
      </c>
      <c r="H1085" s="48" t="n">
        <f aca="false">F1085-G1085</f>
        <v>-1</v>
      </c>
      <c r="I1085" s="51"/>
      <c r="J1085" s="51"/>
      <c r="K1085" s="51"/>
      <c r="L1085" s="51"/>
    </row>
    <row r="1086" customFormat="false" ht="15" hidden="false" customHeight="false" outlineLevel="0" collapsed="false">
      <c r="A1086" s="52"/>
      <c r="B1086" s="51"/>
      <c r="C1086" s="51" t="n">
        <v>0</v>
      </c>
      <c r="D1086" s="51" t="n">
        <v>0</v>
      </c>
      <c r="E1086" s="51"/>
      <c r="F1086" s="51" t="n">
        <v>0</v>
      </c>
      <c r="G1086" s="51" t="n">
        <v>1</v>
      </c>
      <c r="H1086" s="51"/>
      <c r="I1086" s="51"/>
      <c r="J1086" s="51"/>
      <c r="K1086" s="51"/>
      <c r="L1086" s="51"/>
    </row>
    <row r="1087" customFormat="false" ht="15" hidden="false" customHeight="false" outlineLevel="0" collapsed="false">
      <c r="A1087" s="46"/>
      <c r="B1087" s="49" t="s">
        <v>6607</v>
      </c>
      <c r="C1087" s="48" t="n">
        <v>0</v>
      </c>
      <c r="D1087" s="48" t="n">
        <v>0</v>
      </c>
      <c r="E1087" s="48" t="n">
        <f aca="false">C1087-D1087</f>
        <v>0</v>
      </c>
      <c r="F1087" s="48" t="n">
        <v>0</v>
      </c>
      <c r="G1087" s="48" t="n">
        <v>1</v>
      </c>
      <c r="H1087" s="48" t="n">
        <f aca="false">F1087-G1087</f>
        <v>-1</v>
      </c>
      <c r="I1087" s="51"/>
      <c r="J1087" s="51"/>
      <c r="K1087" s="51"/>
      <c r="L1087" s="51"/>
    </row>
    <row r="1088" customFormat="false" ht="15" hidden="false" customHeight="false" outlineLevel="0" collapsed="false">
      <c r="A1088" s="52"/>
      <c r="B1088" s="51"/>
      <c r="C1088" s="51" t="n">
        <v>0</v>
      </c>
      <c r="D1088" s="51" t="n">
        <v>0</v>
      </c>
      <c r="E1088" s="51"/>
      <c r="F1088" s="51" t="n">
        <v>5</v>
      </c>
      <c r="G1088" s="51" t="n">
        <v>1</v>
      </c>
      <c r="H1088" s="51"/>
      <c r="I1088" s="51"/>
      <c r="J1088" s="51"/>
      <c r="K1088" s="51"/>
      <c r="L1088" s="51"/>
    </row>
    <row r="1089" customFormat="false" ht="15" hidden="false" customHeight="false" outlineLevel="0" collapsed="false">
      <c r="A1089" s="46"/>
      <c r="B1089" s="49" t="s">
        <v>6608</v>
      </c>
      <c r="C1089" s="48" t="n">
        <v>0</v>
      </c>
      <c r="D1089" s="48" t="n">
        <v>0</v>
      </c>
      <c r="E1089" s="48" t="n">
        <f aca="false">C1089-D1089</f>
        <v>0</v>
      </c>
      <c r="F1089" s="48" t="n">
        <v>0</v>
      </c>
      <c r="G1089" s="48" t="n">
        <v>1</v>
      </c>
      <c r="H1089" s="48" t="n">
        <f aca="false">F1089-G1089</f>
        <v>-1</v>
      </c>
      <c r="I1089" s="51"/>
      <c r="J1089" s="51"/>
      <c r="K1089" s="51"/>
      <c r="L1089" s="51"/>
    </row>
    <row r="1090" customFormat="false" ht="15" hidden="false" customHeight="false" outlineLevel="0" collapsed="false">
      <c r="A1090" s="46"/>
      <c r="B1090" s="49" t="s">
        <v>6609</v>
      </c>
      <c r="C1090" s="48" t="n">
        <v>0</v>
      </c>
      <c r="D1090" s="48" t="n">
        <v>0</v>
      </c>
      <c r="E1090" s="48" t="n">
        <f aca="false">C1090-D1090</f>
        <v>0</v>
      </c>
      <c r="F1090" s="48" t="n">
        <v>2</v>
      </c>
      <c r="G1090" s="48" t="n">
        <v>1</v>
      </c>
      <c r="H1090" s="48" t="n">
        <f aca="false">F1090-G1090</f>
        <v>1</v>
      </c>
      <c r="I1090" s="51"/>
      <c r="J1090" s="51"/>
      <c r="K1090" s="51"/>
      <c r="L1090" s="51"/>
    </row>
    <row r="1091" customFormat="false" ht="15" hidden="false" customHeight="false" outlineLevel="0" collapsed="false">
      <c r="A1091" s="52"/>
      <c r="B1091" s="52"/>
      <c r="C1091" s="52" t="n">
        <v>0</v>
      </c>
      <c r="D1091" s="52" t="n">
        <v>0</v>
      </c>
      <c r="E1091" s="52"/>
      <c r="F1091" s="52" t="n">
        <v>8</v>
      </c>
      <c r="G1091" s="52" t="n">
        <v>1</v>
      </c>
      <c r="H1091" s="52"/>
    </row>
    <row r="1092" customFormat="false" ht="15" hidden="false" customHeight="false" outlineLevel="0" collapsed="false">
      <c r="A1092" s="52"/>
      <c r="B1092" s="52"/>
      <c r="C1092" s="52" t="n">
        <v>0</v>
      </c>
      <c r="D1092" s="52" t="n">
        <v>0</v>
      </c>
      <c r="E1092" s="52"/>
      <c r="F1092" s="52" t="n">
        <v>5</v>
      </c>
      <c r="G1092" s="52" t="n">
        <v>1</v>
      </c>
      <c r="H1092" s="52"/>
    </row>
    <row r="1093" customFormat="false" ht="15" hidden="false" customHeight="false" outlineLevel="0" collapsed="false">
      <c r="A1093" s="52"/>
      <c r="B1093" s="52"/>
      <c r="C1093" s="52" t="n">
        <v>0</v>
      </c>
      <c r="D1093" s="52" t="n">
        <v>0</v>
      </c>
      <c r="E1093" s="52"/>
      <c r="F1093" s="52" t="n">
        <v>1</v>
      </c>
      <c r="G1093" s="52" t="n">
        <v>1</v>
      </c>
      <c r="H1093" s="52"/>
    </row>
    <row r="1094" customFormat="false" ht="15" hidden="false" customHeight="false" outlineLevel="0" collapsed="false">
      <c r="A1094" s="52"/>
      <c r="B1094" s="52"/>
      <c r="C1094" s="52" t="n">
        <v>0</v>
      </c>
      <c r="D1094" s="52" t="n">
        <v>0</v>
      </c>
      <c r="E1094" s="52"/>
      <c r="F1094" s="52" t="n">
        <v>0</v>
      </c>
      <c r="G1094" s="52" t="n">
        <v>1</v>
      </c>
      <c r="H1094" s="52"/>
    </row>
    <row r="1095" customFormat="false" ht="15" hidden="false" customHeight="false" outlineLevel="0" collapsed="false">
      <c r="A1095" s="52"/>
      <c r="B1095" s="52"/>
      <c r="C1095" s="52" t="n">
        <v>0</v>
      </c>
      <c r="D1095" s="52" t="n">
        <v>0</v>
      </c>
      <c r="E1095" s="52"/>
      <c r="F1095" s="52" t="n">
        <v>0</v>
      </c>
      <c r="G1095" s="52" t="n">
        <v>1</v>
      </c>
      <c r="H1095" s="52"/>
    </row>
    <row r="1096" customFormat="false" ht="15" hidden="false" customHeight="false" outlineLevel="0" collapsed="false">
      <c r="A1096" s="52"/>
      <c r="B1096" s="52"/>
      <c r="C1096" s="52" t="n">
        <v>0</v>
      </c>
      <c r="D1096" s="52" t="n">
        <v>0</v>
      </c>
      <c r="E1096" s="52"/>
      <c r="F1096" s="52" t="n">
        <v>1</v>
      </c>
      <c r="G1096" s="52" t="n">
        <v>1</v>
      </c>
      <c r="H1096" s="52"/>
    </row>
    <row r="1097" customFormat="false" ht="15" hidden="false" customHeight="false" outlineLevel="0" collapsed="false">
      <c r="A1097" s="52"/>
      <c r="B1097" s="52"/>
      <c r="C1097" s="52" t="n">
        <v>0</v>
      </c>
      <c r="D1097" s="52" t="n">
        <v>0</v>
      </c>
      <c r="E1097" s="52"/>
      <c r="F1097" s="52" t="n">
        <v>0</v>
      </c>
      <c r="G1097" s="52" t="n">
        <v>1</v>
      </c>
      <c r="H1097" s="52"/>
    </row>
    <row r="1098" customFormat="false" ht="15" hidden="false" customHeight="false" outlineLevel="0" collapsed="false">
      <c r="A1098" s="52"/>
      <c r="B1098" s="52"/>
      <c r="C1098" s="52" t="n">
        <v>0</v>
      </c>
      <c r="D1098" s="52" t="n">
        <v>0</v>
      </c>
      <c r="E1098" s="52"/>
      <c r="F1098" s="52" t="n">
        <v>0</v>
      </c>
      <c r="G1098" s="52" t="n">
        <v>1</v>
      </c>
      <c r="H1098" s="52"/>
    </row>
    <row r="1099" customFormat="false" ht="15" hidden="false" customHeight="false" outlineLevel="0" collapsed="false">
      <c r="A1099" s="52"/>
      <c r="B1099" s="52"/>
      <c r="C1099" s="52" t="n">
        <v>0</v>
      </c>
      <c r="D1099" s="52" t="n">
        <v>0</v>
      </c>
      <c r="E1099" s="52"/>
      <c r="F1099" s="52" t="n">
        <v>0</v>
      </c>
      <c r="G1099" s="52" t="n">
        <v>1</v>
      </c>
      <c r="H1099" s="52"/>
    </row>
    <row r="1100" customFormat="false" ht="15" hidden="false" customHeight="false" outlineLevel="0" collapsed="false">
      <c r="A1100" s="52"/>
      <c r="B1100" s="52"/>
      <c r="C1100" s="52" t="n">
        <v>0</v>
      </c>
      <c r="D1100" s="52" t="n">
        <v>0</v>
      </c>
      <c r="E1100" s="52"/>
      <c r="F1100" s="52" t="n">
        <v>0</v>
      </c>
      <c r="G1100" s="52" t="n">
        <v>1</v>
      </c>
      <c r="H1100" s="5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K2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1" style="0" width="22"/>
  </cols>
  <sheetData>
    <row r="1" customFormat="false" ht="15" hidden="false" customHeight="false" outlineLevel="0" collapsed="false">
      <c r="A1" s="52" t="s">
        <v>6610</v>
      </c>
      <c r="B1" s="52" t="s">
        <v>6365</v>
      </c>
      <c r="C1" s="52" t="s">
        <v>6366</v>
      </c>
      <c r="D1" s="52" t="s">
        <v>6368</v>
      </c>
      <c r="E1" s="52" t="s">
        <v>6369</v>
      </c>
      <c r="F1" s="52" t="s">
        <v>6611</v>
      </c>
      <c r="G1" s="52" t="s">
        <v>6612</v>
      </c>
      <c r="H1" s="52" t="s">
        <v>6613</v>
      </c>
      <c r="I1" s="52" t="s">
        <v>6614</v>
      </c>
      <c r="K1" s="26" t="str">
        <f aca="false">HYPERLINK("#'Master Overview'!A1","&lt;&lt; Master Overview")</f>
        <v>&lt;&lt; Master Overview</v>
      </c>
    </row>
    <row r="2" customFormat="false" ht="15" hidden="false" customHeight="false" outlineLevel="0" collapsed="false">
      <c r="A2" s="52" t="s">
        <v>6615</v>
      </c>
      <c r="B2" s="52" t="n">
        <v>4302</v>
      </c>
      <c r="C2" s="52" t="n">
        <v>10359</v>
      </c>
      <c r="D2" s="52" t="n">
        <v>1087843</v>
      </c>
      <c r="E2" s="52" t="n">
        <v>1748564</v>
      </c>
      <c r="F2" s="53" t="n">
        <v>0.004</v>
      </c>
      <c r="G2" s="53" t="n">
        <v>0.0059</v>
      </c>
      <c r="H2" s="52" t="n">
        <v>13.55</v>
      </c>
      <c r="I2" s="52" t="n">
        <v>11.95</v>
      </c>
      <c r="K2" s="2" t="s">
        <v>6616</v>
      </c>
    </row>
    <row r="3" customFormat="false" ht="15" hidden="false" customHeight="false" outlineLevel="0" collapsed="false">
      <c r="A3" s="52" t="s">
        <v>6617</v>
      </c>
      <c r="B3" s="52" t="n">
        <v>625</v>
      </c>
      <c r="C3" s="52" t="n">
        <v>1050</v>
      </c>
      <c r="D3" s="52" t="n">
        <v>131857</v>
      </c>
      <c r="E3" s="52" t="n">
        <v>120419</v>
      </c>
      <c r="F3" s="53" t="n">
        <v>0.0047</v>
      </c>
      <c r="G3" s="53" t="n">
        <v>0.0087</v>
      </c>
      <c r="H3" s="52" t="n">
        <v>14.93</v>
      </c>
      <c r="I3" s="52" t="n">
        <v>15.07</v>
      </c>
    </row>
    <row r="4" customFormat="false" ht="15" hidden="false" customHeight="false" outlineLevel="0" collapsed="false">
      <c r="A4" s="52" t="s">
        <v>6618</v>
      </c>
      <c r="B4" s="52" t="n">
        <v>262</v>
      </c>
      <c r="C4" s="52" t="n">
        <v>525</v>
      </c>
      <c r="D4" s="52" t="n">
        <v>108616</v>
      </c>
      <c r="E4" s="52" t="n">
        <v>129549</v>
      </c>
      <c r="F4" s="53" t="n">
        <v>0.0024</v>
      </c>
      <c r="G4" s="53" t="n">
        <v>0.0041</v>
      </c>
      <c r="H4" s="52" t="n">
        <v>18.83</v>
      </c>
      <c r="I4" s="52" t="n">
        <v>18.73</v>
      </c>
    </row>
    <row r="5" customFormat="false" ht="15" hidden="false" customHeight="false" outlineLevel="0" collapsed="false">
      <c r="A5" s="52" t="s">
        <v>6619</v>
      </c>
      <c r="B5" s="52" t="n">
        <v>195</v>
      </c>
      <c r="C5" s="52" t="n">
        <v>300</v>
      </c>
      <c r="D5" s="52" t="n">
        <v>46767</v>
      </c>
      <c r="E5" s="52" t="n">
        <v>62536</v>
      </c>
      <c r="F5" s="53" t="n">
        <v>0.0042</v>
      </c>
      <c r="G5" s="53" t="n">
        <v>0.0048</v>
      </c>
      <c r="H5" s="52" t="n">
        <v>26.81</v>
      </c>
      <c r="I5" s="52" t="n">
        <v>22.3</v>
      </c>
    </row>
    <row r="6" customFormat="false" ht="15" hidden="false" customHeight="false" outlineLevel="0" collapsed="false">
      <c r="A6" s="52" t="s">
        <v>6620</v>
      </c>
      <c r="B6" s="52" t="n">
        <v>62</v>
      </c>
      <c r="C6" s="52" t="n">
        <v>41</v>
      </c>
      <c r="D6" s="52" t="n">
        <v>42187</v>
      </c>
      <c r="E6" s="52" t="n">
        <v>63779</v>
      </c>
      <c r="F6" s="53" t="n">
        <v>0.0015</v>
      </c>
      <c r="G6" s="53" t="n">
        <v>0.0006</v>
      </c>
      <c r="H6" s="52" t="n">
        <v>14.62</v>
      </c>
      <c r="I6" s="52" t="n">
        <v>12.21</v>
      </c>
    </row>
    <row r="7" customFormat="false" ht="15" hidden="false" customHeight="false" outlineLevel="0" collapsed="false">
      <c r="A7" s="52" t="s">
        <v>6621</v>
      </c>
      <c r="B7" s="52" t="n">
        <v>58</v>
      </c>
      <c r="C7" s="52" t="n">
        <v>38</v>
      </c>
      <c r="D7" s="52" t="n">
        <v>32578</v>
      </c>
      <c r="E7" s="52" t="n">
        <v>36144</v>
      </c>
      <c r="F7" s="53" t="n">
        <v>0.0018</v>
      </c>
      <c r="G7" s="53" t="n">
        <v>0.0011</v>
      </c>
      <c r="H7" s="52" t="n">
        <v>14.14</v>
      </c>
      <c r="I7" s="52" t="n">
        <v>11.9</v>
      </c>
    </row>
    <row r="8" customFormat="false" ht="15" hidden="false" customHeight="false" outlineLevel="0" collapsed="false">
      <c r="A8" s="52" t="s">
        <v>6622</v>
      </c>
      <c r="B8" s="52" t="n">
        <v>44</v>
      </c>
      <c r="C8" s="52" t="n">
        <v>85</v>
      </c>
      <c r="D8" s="52" t="n">
        <v>29574</v>
      </c>
      <c r="E8" s="52" t="n">
        <v>28355</v>
      </c>
      <c r="F8" s="53" t="n">
        <v>0.0015</v>
      </c>
      <c r="G8" s="53" t="n">
        <v>0.003</v>
      </c>
      <c r="H8" s="52" t="n">
        <v>25.98</v>
      </c>
      <c r="I8" s="52" t="n">
        <v>24.85</v>
      </c>
    </row>
    <row r="9" customFormat="false" ht="15" hidden="false" customHeight="false" outlineLevel="0" collapsed="false">
      <c r="A9" s="52" t="s">
        <v>6623</v>
      </c>
      <c r="B9" s="52" t="n">
        <v>41</v>
      </c>
      <c r="C9" s="52" t="n">
        <v>95</v>
      </c>
      <c r="D9" s="52" t="n">
        <v>4205</v>
      </c>
      <c r="E9" s="52" t="n">
        <v>12086</v>
      </c>
      <c r="F9" s="53" t="n">
        <v>0.0098</v>
      </c>
      <c r="G9" s="53" t="n">
        <v>0.0079</v>
      </c>
      <c r="H9" s="52" t="n">
        <v>10.79</v>
      </c>
      <c r="I9" s="52" t="n">
        <v>10.34</v>
      </c>
    </row>
    <row r="10" customFormat="false" ht="15" hidden="false" customHeight="false" outlineLevel="0" collapsed="false">
      <c r="A10" s="52" t="s">
        <v>6624</v>
      </c>
      <c r="B10" s="52" t="n">
        <v>36</v>
      </c>
      <c r="C10" s="52" t="n">
        <v>22</v>
      </c>
      <c r="D10" s="52" t="n">
        <v>22996</v>
      </c>
      <c r="E10" s="52" t="n">
        <v>30872</v>
      </c>
      <c r="F10" s="53" t="n">
        <v>0.0016</v>
      </c>
      <c r="G10" s="53" t="n">
        <v>0.0007</v>
      </c>
      <c r="H10" s="52" t="n">
        <v>11.08</v>
      </c>
      <c r="I10" s="52" t="n">
        <v>11.42</v>
      </c>
    </row>
    <row r="11" customFormat="false" ht="15" hidden="false" customHeight="false" outlineLevel="0" collapsed="false">
      <c r="A11" s="52" t="s">
        <v>6625</v>
      </c>
      <c r="B11" s="52" t="n">
        <v>36</v>
      </c>
      <c r="C11" s="52" t="n">
        <v>61</v>
      </c>
      <c r="D11" s="52" t="n">
        <v>20066</v>
      </c>
      <c r="E11" s="52" t="n">
        <v>38329</v>
      </c>
      <c r="F11" s="53" t="n">
        <v>0.0018</v>
      </c>
      <c r="G11" s="53" t="n">
        <v>0.0016</v>
      </c>
      <c r="H11" s="52" t="n">
        <v>36.22</v>
      </c>
      <c r="I11" s="52" t="n">
        <v>25.91</v>
      </c>
    </row>
    <row r="12" customFormat="false" ht="15" hidden="false" customHeight="false" outlineLevel="0" collapsed="false">
      <c r="A12" s="52" t="s">
        <v>6626</v>
      </c>
      <c r="B12" s="52" t="n">
        <v>30</v>
      </c>
      <c r="C12" s="52" t="n">
        <v>52</v>
      </c>
      <c r="D12" s="52" t="n">
        <v>41892</v>
      </c>
      <c r="E12" s="52" t="n">
        <v>63793</v>
      </c>
      <c r="F12" s="53" t="n">
        <v>0.0007</v>
      </c>
      <c r="G12" s="53" t="n">
        <v>0.0008</v>
      </c>
      <c r="H12" s="52" t="n">
        <v>25.5</v>
      </c>
      <c r="I12" s="52" t="n">
        <v>21.02</v>
      </c>
    </row>
    <row r="13" customFormat="false" ht="15" hidden="false" customHeight="false" outlineLevel="0" collapsed="false">
      <c r="A13" s="52" t="s">
        <v>6627</v>
      </c>
      <c r="B13" s="52" t="n">
        <v>29</v>
      </c>
      <c r="C13" s="52" t="n">
        <v>10</v>
      </c>
      <c r="D13" s="52" t="n">
        <v>3960</v>
      </c>
      <c r="E13" s="52" t="n">
        <v>2515</v>
      </c>
      <c r="F13" s="53" t="n">
        <v>0.0073</v>
      </c>
      <c r="G13" s="53" t="n">
        <v>0.004</v>
      </c>
      <c r="H13" s="52" t="n">
        <v>11.97</v>
      </c>
      <c r="I13" s="52" t="n">
        <v>12.77</v>
      </c>
    </row>
    <row r="14" customFormat="false" ht="15" hidden="false" customHeight="false" outlineLevel="0" collapsed="false">
      <c r="A14" s="52" t="s">
        <v>6628</v>
      </c>
      <c r="B14" s="52" t="n">
        <v>28</v>
      </c>
      <c r="C14" s="52" t="n">
        <v>35</v>
      </c>
      <c r="D14" s="52" t="n">
        <v>11419</v>
      </c>
      <c r="E14" s="52" t="n">
        <v>12323</v>
      </c>
      <c r="F14" s="53" t="n">
        <v>0.0025</v>
      </c>
      <c r="G14" s="53" t="n">
        <v>0.0028</v>
      </c>
      <c r="H14" s="52" t="n">
        <v>11.65</v>
      </c>
      <c r="I14" s="52" t="n">
        <v>11.01</v>
      </c>
    </row>
    <row r="15" customFormat="false" ht="15" hidden="false" customHeight="false" outlineLevel="0" collapsed="false">
      <c r="A15" s="52" t="s">
        <v>6629</v>
      </c>
      <c r="B15" s="52" t="n">
        <v>24</v>
      </c>
      <c r="C15" s="52" t="n">
        <v>115</v>
      </c>
      <c r="D15" s="52" t="n">
        <v>4375</v>
      </c>
      <c r="E15" s="52" t="n">
        <v>10761</v>
      </c>
      <c r="F15" s="53" t="n">
        <v>0.0055</v>
      </c>
      <c r="G15" s="53" t="n">
        <v>0.0107</v>
      </c>
      <c r="H15" s="52" t="n">
        <v>16.79</v>
      </c>
      <c r="I15" s="52" t="n">
        <v>13.26</v>
      </c>
    </row>
    <row r="16" customFormat="false" ht="15" hidden="false" customHeight="false" outlineLevel="0" collapsed="false">
      <c r="A16" s="52" t="s">
        <v>6630</v>
      </c>
      <c r="B16" s="52" t="n">
        <v>22</v>
      </c>
      <c r="C16" s="52" t="n">
        <v>8</v>
      </c>
      <c r="D16" s="52" t="n">
        <v>14837</v>
      </c>
      <c r="E16" s="52" t="n">
        <v>16035</v>
      </c>
      <c r="F16" s="53" t="n">
        <v>0.0015</v>
      </c>
      <c r="G16" s="53" t="n">
        <v>0.0005</v>
      </c>
      <c r="H16" s="52" t="n">
        <v>10.14</v>
      </c>
      <c r="I16" s="52" t="n">
        <v>10.88</v>
      </c>
    </row>
    <row r="17" customFormat="false" ht="15" hidden="false" customHeight="false" outlineLevel="0" collapsed="false">
      <c r="A17" s="52" t="s">
        <v>6631</v>
      </c>
      <c r="B17" s="52" t="n">
        <v>20</v>
      </c>
      <c r="C17" s="52" t="n">
        <v>2</v>
      </c>
      <c r="D17" s="52" t="n">
        <v>6958</v>
      </c>
      <c r="E17" s="52" t="n">
        <v>10135</v>
      </c>
      <c r="F17" s="53" t="n">
        <v>0.0029</v>
      </c>
      <c r="G17" s="53" t="n">
        <v>0.0002</v>
      </c>
      <c r="H17" s="52" t="n">
        <v>9.17</v>
      </c>
      <c r="I17" s="52" t="n">
        <v>9.84</v>
      </c>
    </row>
    <row r="18" customFormat="false" ht="15" hidden="false" customHeight="false" outlineLevel="0" collapsed="false">
      <c r="A18" s="52" t="s">
        <v>6632</v>
      </c>
      <c r="B18" s="52" t="n">
        <v>18</v>
      </c>
      <c r="C18" s="52" t="n">
        <v>18</v>
      </c>
      <c r="D18" s="52" t="n">
        <v>11483</v>
      </c>
      <c r="E18" s="52" t="n">
        <v>23769</v>
      </c>
      <c r="F18" s="53" t="n">
        <v>0.0016</v>
      </c>
      <c r="G18" s="53" t="n">
        <v>0.0008</v>
      </c>
      <c r="H18" s="52" t="n">
        <v>11.81</v>
      </c>
      <c r="I18" s="52" t="n">
        <v>11.18</v>
      </c>
    </row>
    <row r="19" customFormat="false" ht="15" hidden="false" customHeight="false" outlineLevel="0" collapsed="false">
      <c r="A19" s="52" t="s">
        <v>6633</v>
      </c>
      <c r="B19" s="52" t="n">
        <v>18</v>
      </c>
      <c r="C19" s="52" t="n">
        <v>22</v>
      </c>
      <c r="D19" s="52" t="n">
        <v>4888</v>
      </c>
      <c r="E19" s="52" t="n">
        <v>5710</v>
      </c>
      <c r="F19" s="53" t="n">
        <v>0.0037</v>
      </c>
      <c r="G19" s="53" t="n">
        <v>0.0039</v>
      </c>
      <c r="H19" s="52" t="n">
        <v>15.99</v>
      </c>
      <c r="I19" s="52" t="n">
        <v>20.28</v>
      </c>
    </row>
    <row r="20" customFormat="false" ht="15" hidden="false" customHeight="false" outlineLevel="0" collapsed="false">
      <c r="A20" s="52" t="s">
        <v>6634</v>
      </c>
      <c r="B20" s="52" t="n">
        <v>18</v>
      </c>
      <c r="C20" s="52" t="n">
        <v>22</v>
      </c>
      <c r="D20" s="52" t="n">
        <v>4363</v>
      </c>
      <c r="E20" s="52" t="n">
        <v>6978</v>
      </c>
      <c r="F20" s="53" t="n">
        <v>0.0041</v>
      </c>
      <c r="G20" s="53" t="n">
        <v>0.0032</v>
      </c>
      <c r="H20" s="52" t="n">
        <v>24.16</v>
      </c>
      <c r="I20" s="52" t="n">
        <v>22.13</v>
      </c>
    </row>
    <row r="21" customFormat="false" ht="15" hidden="false" customHeight="false" outlineLevel="0" collapsed="false">
      <c r="A21" s="52" t="s">
        <v>6635</v>
      </c>
      <c r="B21" s="52" t="n">
        <v>17</v>
      </c>
      <c r="C21" s="52" t="n">
        <v>74</v>
      </c>
      <c r="D21" s="52" t="n">
        <v>71450</v>
      </c>
      <c r="E21" s="52" t="n">
        <v>85991</v>
      </c>
      <c r="F21" s="53" t="n">
        <v>0.0002</v>
      </c>
      <c r="G21" s="53" t="n">
        <v>0.0009</v>
      </c>
      <c r="H21" s="52" t="n">
        <v>11.45</v>
      </c>
      <c r="I21" s="52" t="n">
        <v>11.24</v>
      </c>
    </row>
    <row r="22" customFormat="false" ht="15" hidden="false" customHeight="false" outlineLevel="0" collapsed="false">
      <c r="A22" s="52" t="s">
        <v>6636</v>
      </c>
      <c r="B22" s="52" t="n">
        <v>15</v>
      </c>
      <c r="C22" s="52" t="n">
        <v>12</v>
      </c>
      <c r="D22" s="52" t="n">
        <v>10478</v>
      </c>
      <c r="E22" s="52" t="n">
        <v>13273</v>
      </c>
      <c r="F22" s="53" t="n">
        <v>0.0014</v>
      </c>
      <c r="G22" s="53" t="n">
        <v>0.0009</v>
      </c>
      <c r="H22" s="52" t="n">
        <v>8.78</v>
      </c>
      <c r="I22" s="52" t="n">
        <v>10.22</v>
      </c>
    </row>
    <row r="23" customFormat="false" ht="15" hidden="false" customHeight="false" outlineLevel="0" collapsed="false">
      <c r="A23" s="52" t="s">
        <v>6637</v>
      </c>
      <c r="B23" s="52" t="n">
        <v>14</v>
      </c>
      <c r="C23" s="52" t="n">
        <v>39</v>
      </c>
      <c r="D23" s="52" t="n">
        <v>8614</v>
      </c>
      <c r="E23" s="52" t="n">
        <v>23836</v>
      </c>
      <c r="F23" s="53" t="n">
        <v>0.0016</v>
      </c>
      <c r="G23" s="53" t="n">
        <v>0.0016</v>
      </c>
      <c r="H23" s="52" t="n">
        <v>12.39</v>
      </c>
      <c r="I23" s="52" t="n">
        <v>11.44</v>
      </c>
    </row>
    <row r="24" customFormat="false" ht="15" hidden="false" customHeight="false" outlineLevel="0" collapsed="false">
      <c r="A24" s="52" t="s">
        <v>6638</v>
      </c>
      <c r="B24" s="52" t="n">
        <v>12</v>
      </c>
      <c r="C24" s="52" t="n">
        <v>50</v>
      </c>
      <c r="D24" s="52" t="n">
        <v>18379</v>
      </c>
      <c r="E24" s="52" t="n">
        <v>27185</v>
      </c>
      <c r="F24" s="53" t="n">
        <v>0.0007</v>
      </c>
      <c r="G24" s="53" t="n">
        <v>0.0018</v>
      </c>
      <c r="H24" s="52" t="n">
        <v>36.12</v>
      </c>
      <c r="I24" s="52" t="n">
        <v>29.6</v>
      </c>
    </row>
    <row r="25" customFormat="false" ht="15" hidden="false" customHeight="false" outlineLevel="0" collapsed="false">
      <c r="A25" s="52" t="s">
        <v>6639</v>
      </c>
      <c r="B25" s="52" t="n">
        <v>12</v>
      </c>
      <c r="C25" s="52" t="n">
        <v>41</v>
      </c>
      <c r="D25" s="52" t="n">
        <v>6813</v>
      </c>
      <c r="E25" s="52" t="n">
        <v>15669</v>
      </c>
      <c r="F25" s="53" t="n">
        <v>0.0018</v>
      </c>
      <c r="G25" s="53" t="n">
        <v>0.0026</v>
      </c>
      <c r="H25" s="52" t="n">
        <v>14.48</v>
      </c>
      <c r="I25" s="52" t="n">
        <v>13.23</v>
      </c>
    </row>
    <row r="26" customFormat="false" ht="15" hidden="false" customHeight="false" outlineLevel="0" collapsed="false">
      <c r="A26" s="52" t="s">
        <v>6640</v>
      </c>
      <c r="B26" s="52" t="n">
        <v>12</v>
      </c>
      <c r="C26" s="52" t="n">
        <v>22</v>
      </c>
      <c r="D26" s="52" t="n">
        <v>3694</v>
      </c>
      <c r="E26" s="52" t="n">
        <v>4676</v>
      </c>
      <c r="F26" s="53" t="n">
        <v>0.0032</v>
      </c>
      <c r="G26" s="53" t="n">
        <v>0.0047</v>
      </c>
      <c r="H26" s="52" t="n">
        <v>22.11</v>
      </c>
      <c r="I26" s="52" t="n">
        <v>13.89</v>
      </c>
    </row>
    <row r="27" customFormat="false" ht="15" hidden="false" customHeight="false" outlineLevel="0" collapsed="false">
      <c r="A27" s="52" t="s">
        <v>6641</v>
      </c>
      <c r="B27" s="52" t="n">
        <v>10</v>
      </c>
      <c r="C27" s="52" t="n">
        <v>2</v>
      </c>
      <c r="D27" s="52" t="n">
        <v>3520</v>
      </c>
      <c r="E27" s="52" t="n">
        <v>1808</v>
      </c>
      <c r="F27" s="53" t="n">
        <v>0.0028</v>
      </c>
      <c r="G27" s="53" t="n">
        <v>0.0011</v>
      </c>
      <c r="H27" s="52" t="n">
        <v>7.22</v>
      </c>
      <c r="I27" s="52" t="n">
        <v>7</v>
      </c>
    </row>
    <row r="28" customFormat="false" ht="15" hidden="false" customHeight="false" outlineLevel="0" collapsed="false">
      <c r="A28" s="52" t="s">
        <v>6642</v>
      </c>
      <c r="B28" s="52" t="n">
        <v>9</v>
      </c>
      <c r="C28" s="52" t="n">
        <v>10</v>
      </c>
      <c r="D28" s="52" t="n">
        <v>7506</v>
      </c>
      <c r="E28" s="52" t="n">
        <v>16327</v>
      </c>
      <c r="F28" s="53" t="n">
        <v>0.0012</v>
      </c>
      <c r="G28" s="53" t="n">
        <v>0.0006</v>
      </c>
      <c r="H28" s="52" t="n">
        <v>11.66</v>
      </c>
      <c r="I28" s="52" t="n">
        <v>9.62</v>
      </c>
    </row>
    <row r="29" customFormat="false" ht="15" hidden="false" customHeight="false" outlineLevel="0" collapsed="false">
      <c r="A29" s="52" t="s">
        <v>6643</v>
      </c>
      <c r="B29" s="52" t="n">
        <v>9</v>
      </c>
      <c r="C29" s="52" t="n">
        <v>28</v>
      </c>
      <c r="D29" s="52" t="n">
        <v>680</v>
      </c>
      <c r="E29" s="52" t="n">
        <v>1571</v>
      </c>
      <c r="F29" s="53" t="n">
        <v>0.0132</v>
      </c>
      <c r="G29" s="53" t="n">
        <v>0.0178</v>
      </c>
      <c r="H29" s="52" t="n">
        <v>16.3</v>
      </c>
      <c r="I29" s="52" t="n">
        <v>13.89</v>
      </c>
    </row>
    <row r="30" customFormat="false" ht="15" hidden="false" customHeight="false" outlineLevel="0" collapsed="false">
      <c r="A30" s="52" t="s">
        <v>6644</v>
      </c>
      <c r="B30" s="52" t="n">
        <v>8</v>
      </c>
      <c r="C30" s="52" t="n">
        <v>11</v>
      </c>
      <c r="D30" s="52" t="n">
        <v>3451</v>
      </c>
      <c r="E30" s="52" t="n">
        <v>5213</v>
      </c>
      <c r="F30" s="53" t="n">
        <v>0.0023</v>
      </c>
      <c r="G30" s="53" t="n">
        <v>0.0021</v>
      </c>
      <c r="H30" s="52" t="n">
        <v>8.9</v>
      </c>
      <c r="I30" s="52" t="n">
        <v>9.31</v>
      </c>
    </row>
    <row r="31" customFormat="false" ht="15" hidden="false" customHeight="false" outlineLevel="0" collapsed="false">
      <c r="A31" s="52" t="s">
        <v>6645</v>
      </c>
      <c r="B31" s="52" t="n">
        <v>8</v>
      </c>
      <c r="C31" s="52" t="n">
        <v>11</v>
      </c>
      <c r="D31" s="52" t="n">
        <v>2376</v>
      </c>
      <c r="E31" s="52" t="n">
        <v>5494</v>
      </c>
      <c r="F31" s="53" t="n">
        <v>0.0034</v>
      </c>
      <c r="G31" s="53" t="n">
        <v>0.002</v>
      </c>
      <c r="H31" s="52" t="n">
        <v>13.46</v>
      </c>
      <c r="I31" s="52" t="n">
        <v>13.55</v>
      </c>
    </row>
    <row r="32" customFormat="false" ht="15" hidden="false" customHeight="false" outlineLevel="0" collapsed="false">
      <c r="A32" s="52" t="s">
        <v>6646</v>
      </c>
      <c r="B32" s="52" t="n">
        <v>7</v>
      </c>
      <c r="C32" s="52" t="n">
        <v>13</v>
      </c>
      <c r="D32" s="52" t="n">
        <v>2985</v>
      </c>
      <c r="E32" s="52" t="n">
        <v>2790</v>
      </c>
      <c r="F32" s="53" t="n">
        <v>0.0023</v>
      </c>
      <c r="G32" s="53" t="n">
        <v>0.0047</v>
      </c>
      <c r="H32" s="52" t="n">
        <v>13.97</v>
      </c>
      <c r="I32" s="52" t="n">
        <v>13.58</v>
      </c>
    </row>
    <row r="33" customFormat="false" ht="15" hidden="false" customHeight="false" outlineLevel="0" collapsed="false">
      <c r="A33" s="52" t="s">
        <v>6647</v>
      </c>
      <c r="B33" s="52" t="n">
        <v>7</v>
      </c>
      <c r="C33" s="52" t="n">
        <v>11</v>
      </c>
      <c r="D33" s="52" t="n">
        <v>2727</v>
      </c>
      <c r="E33" s="52" t="n">
        <v>4685</v>
      </c>
      <c r="F33" s="53" t="n">
        <v>0.0026</v>
      </c>
      <c r="G33" s="53" t="n">
        <v>0.0023</v>
      </c>
      <c r="H33" s="52" t="n">
        <v>15.34</v>
      </c>
      <c r="I33" s="52" t="n">
        <v>13.81</v>
      </c>
    </row>
    <row r="34" customFormat="false" ht="15" hidden="false" customHeight="false" outlineLevel="0" collapsed="false">
      <c r="A34" s="52" t="s">
        <v>6648</v>
      </c>
      <c r="B34" s="52" t="n">
        <v>7</v>
      </c>
      <c r="C34" s="52" t="n">
        <v>3</v>
      </c>
      <c r="D34" s="52" t="n">
        <v>1957</v>
      </c>
      <c r="E34" s="52" t="n">
        <v>2912</v>
      </c>
      <c r="F34" s="53" t="n">
        <v>0.0036</v>
      </c>
      <c r="G34" s="53" t="n">
        <v>0.001</v>
      </c>
      <c r="H34" s="52" t="n">
        <v>14.58</v>
      </c>
      <c r="I34" s="52" t="n">
        <v>10.84</v>
      </c>
    </row>
    <row r="35" customFormat="false" ht="15" hidden="false" customHeight="false" outlineLevel="0" collapsed="false">
      <c r="A35" s="52" t="s">
        <v>6649</v>
      </c>
      <c r="B35" s="52" t="n">
        <v>6</v>
      </c>
      <c r="C35" s="52" t="n">
        <v>67</v>
      </c>
      <c r="D35" s="52" t="n">
        <v>9285</v>
      </c>
      <c r="E35" s="52" t="n">
        <v>60267</v>
      </c>
      <c r="F35" s="53" t="n">
        <v>0.0006</v>
      </c>
      <c r="G35" s="53" t="n">
        <v>0.0011</v>
      </c>
      <c r="H35" s="52" t="n">
        <v>10.87</v>
      </c>
      <c r="I35" s="52" t="n">
        <v>6.96</v>
      </c>
    </row>
    <row r="36" customFormat="false" ht="15" hidden="false" customHeight="false" outlineLevel="0" collapsed="false">
      <c r="A36" s="52" t="s">
        <v>6650</v>
      </c>
      <c r="B36" s="52" t="n">
        <v>6</v>
      </c>
      <c r="C36" s="52" t="n">
        <v>1</v>
      </c>
      <c r="D36" s="52" t="n">
        <v>242</v>
      </c>
      <c r="E36" s="52" t="n">
        <v>246</v>
      </c>
      <c r="F36" s="53" t="n">
        <v>0.0248</v>
      </c>
      <c r="G36" s="53" t="n">
        <v>0.0041</v>
      </c>
      <c r="H36" s="52" t="n">
        <v>17.85</v>
      </c>
      <c r="I36" s="52" t="n">
        <v>11.37</v>
      </c>
    </row>
    <row r="37" customFormat="false" ht="15" hidden="false" customHeight="false" outlineLevel="0" collapsed="false">
      <c r="A37" s="52" t="s">
        <v>6651</v>
      </c>
      <c r="B37" s="52" t="n">
        <v>5</v>
      </c>
      <c r="C37" s="52" t="n">
        <v>5</v>
      </c>
      <c r="D37" s="52" t="n">
        <v>15094</v>
      </c>
      <c r="E37" s="52" t="n">
        <v>22925</v>
      </c>
      <c r="F37" s="53" t="n">
        <v>0.0003</v>
      </c>
      <c r="G37" s="53" t="n">
        <v>0.0002</v>
      </c>
      <c r="H37" s="52" t="n">
        <v>38.78</v>
      </c>
      <c r="I37" s="52" t="n">
        <v>33.31</v>
      </c>
    </row>
    <row r="38" customFormat="false" ht="15" hidden="false" customHeight="false" outlineLevel="0" collapsed="false">
      <c r="A38" s="52" t="s">
        <v>6652</v>
      </c>
      <c r="B38" s="52" t="n">
        <v>5</v>
      </c>
      <c r="C38" s="52" t="n">
        <v>13</v>
      </c>
      <c r="D38" s="52" t="n">
        <v>5653</v>
      </c>
      <c r="E38" s="52" t="n">
        <v>8413</v>
      </c>
      <c r="F38" s="53" t="n">
        <v>0.0009</v>
      </c>
      <c r="G38" s="53" t="n">
        <v>0.0015</v>
      </c>
      <c r="H38" s="52" t="n">
        <v>10.18</v>
      </c>
      <c r="I38" s="52" t="n">
        <v>10.99</v>
      </c>
    </row>
    <row r="39" customFormat="false" ht="15" hidden="false" customHeight="false" outlineLevel="0" collapsed="false">
      <c r="A39" s="52" t="s">
        <v>6653</v>
      </c>
      <c r="B39" s="52" t="n">
        <v>5</v>
      </c>
      <c r="C39" s="52" t="n">
        <v>17</v>
      </c>
      <c r="D39" s="52" t="n">
        <v>2184</v>
      </c>
      <c r="E39" s="52" t="n">
        <v>5264</v>
      </c>
      <c r="F39" s="53" t="n">
        <v>0.0023</v>
      </c>
      <c r="G39" s="53" t="n">
        <v>0.0032</v>
      </c>
      <c r="H39" s="52" t="n">
        <v>19.89</v>
      </c>
      <c r="I39" s="52" t="n">
        <v>21.22</v>
      </c>
    </row>
    <row r="40" customFormat="false" ht="15" hidden="false" customHeight="false" outlineLevel="0" collapsed="false">
      <c r="A40" s="52" t="s">
        <v>6654</v>
      </c>
      <c r="B40" s="52" t="n">
        <v>5</v>
      </c>
      <c r="C40" s="52" t="n">
        <v>9</v>
      </c>
      <c r="D40" s="52" t="n">
        <v>1618</v>
      </c>
      <c r="E40" s="52" t="n">
        <v>2043</v>
      </c>
      <c r="F40" s="53" t="n">
        <v>0.0031</v>
      </c>
      <c r="G40" s="53" t="n">
        <v>0.0044</v>
      </c>
      <c r="H40" s="52" t="n">
        <v>15.7</v>
      </c>
      <c r="I40" s="52" t="n">
        <v>10.73</v>
      </c>
    </row>
    <row r="41" customFormat="false" ht="15" hidden="false" customHeight="false" outlineLevel="0" collapsed="false">
      <c r="A41" s="52" t="s">
        <v>6655</v>
      </c>
      <c r="B41" s="52" t="n">
        <v>5</v>
      </c>
      <c r="C41" s="52" t="n">
        <v>5</v>
      </c>
      <c r="D41" s="52" t="n">
        <v>931</v>
      </c>
      <c r="E41" s="52" t="n">
        <v>1959</v>
      </c>
      <c r="F41" s="53" t="n">
        <v>0.0054</v>
      </c>
      <c r="G41" s="53" t="n">
        <v>0.0026</v>
      </c>
      <c r="H41" s="52" t="n">
        <v>25.21</v>
      </c>
      <c r="I41" s="52" t="n">
        <v>21.58</v>
      </c>
    </row>
    <row r="42" customFormat="false" ht="15" hidden="false" customHeight="false" outlineLevel="0" collapsed="false">
      <c r="A42" s="52" t="s">
        <v>6656</v>
      </c>
      <c r="B42" s="52" t="n">
        <v>5</v>
      </c>
      <c r="C42" s="52" t="n">
        <v>13</v>
      </c>
      <c r="D42" s="52" t="n">
        <v>620</v>
      </c>
      <c r="E42" s="52" t="n">
        <v>1381</v>
      </c>
      <c r="F42" s="53" t="n">
        <v>0.0081</v>
      </c>
      <c r="G42" s="53" t="n">
        <v>0.0094</v>
      </c>
      <c r="H42" s="52" t="n">
        <v>11.96</v>
      </c>
      <c r="I42" s="52" t="n">
        <v>10.64</v>
      </c>
    </row>
    <row r="43" customFormat="false" ht="15" hidden="false" customHeight="false" outlineLevel="0" collapsed="false">
      <c r="A43" s="52" t="s">
        <v>6657</v>
      </c>
      <c r="B43" s="52" t="n">
        <v>5</v>
      </c>
      <c r="C43" s="52" t="n">
        <v>0</v>
      </c>
      <c r="D43" s="52" t="n">
        <v>450</v>
      </c>
      <c r="E43" s="52" t="n">
        <v>768</v>
      </c>
      <c r="F43" s="53" t="n">
        <v>0.0111</v>
      </c>
      <c r="G43" s="54" t="n">
        <v>0</v>
      </c>
      <c r="H43" s="52" t="n">
        <v>12.78</v>
      </c>
      <c r="I43" s="52" t="n">
        <v>11.87</v>
      </c>
    </row>
    <row r="44" customFormat="false" ht="15" hidden="false" customHeight="false" outlineLevel="0" collapsed="false">
      <c r="A44" s="52" t="s">
        <v>6658</v>
      </c>
      <c r="B44" s="52" t="n">
        <v>4</v>
      </c>
      <c r="C44" s="52" t="n">
        <v>6</v>
      </c>
      <c r="D44" s="52" t="n">
        <v>4352</v>
      </c>
      <c r="E44" s="52" t="n">
        <v>5938</v>
      </c>
      <c r="F44" s="53" t="n">
        <v>0.0009</v>
      </c>
      <c r="G44" s="53" t="n">
        <v>0.001</v>
      </c>
      <c r="H44" s="52" t="n">
        <v>11.58</v>
      </c>
      <c r="I44" s="52" t="n">
        <v>10.25</v>
      </c>
    </row>
    <row r="45" customFormat="false" ht="15" hidden="false" customHeight="false" outlineLevel="0" collapsed="false">
      <c r="A45" s="52" t="s">
        <v>6659</v>
      </c>
      <c r="B45" s="52" t="n">
        <v>4</v>
      </c>
      <c r="C45" s="52" t="n">
        <v>12</v>
      </c>
      <c r="D45" s="52" t="n">
        <v>2065</v>
      </c>
      <c r="E45" s="52" t="n">
        <v>4315</v>
      </c>
      <c r="F45" s="53" t="n">
        <v>0.0019</v>
      </c>
      <c r="G45" s="53" t="n">
        <v>0.0028</v>
      </c>
      <c r="H45" s="52" t="n">
        <v>13.22</v>
      </c>
      <c r="I45" s="52" t="n">
        <v>14.62</v>
      </c>
    </row>
    <row r="46" customFormat="false" ht="15" hidden="false" customHeight="false" outlineLevel="0" collapsed="false">
      <c r="A46" s="52" t="s">
        <v>6660</v>
      </c>
      <c r="B46" s="52" t="n">
        <v>4</v>
      </c>
      <c r="C46" s="52" t="n">
        <v>6</v>
      </c>
      <c r="D46" s="52" t="n">
        <v>1088</v>
      </c>
      <c r="E46" s="52" t="n">
        <v>3856</v>
      </c>
      <c r="F46" s="53" t="n">
        <v>0.0037</v>
      </c>
      <c r="G46" s="53" t="n">
        <v>0.0016</v>
      </c>
      <c r="H46" s="52" t="n">
        <v>12.89</v>
      </c>
      <c r="I46" s="52" t="n">
        <v>11.75</v>
      </c>
    </row>
    <row r="47" customFormat="false" ht="15" hidden="false" customHeight="false" outlineLevel="0" collapsed="false">
      <c r="A47" s="52" t="s">
        <v>6661</v>
      </c>
      <c r="B47" s="52" t="n">
        <v>3</v>
      </c>
      <c r="C47" s="52" t="n">
        <v>1</v>
      </c>
      <c r="D47" s="52" t="n">
        <v>3712</v>
      </c>
      <c r="E47" s="52" t="n">
        <v>4683</v>
      </c>
      <c r="F47" s="53" t="n">
        <v>0.0008</v>
      </c>
      <c r="G47" s="53" t="n">
        <v>0.0002</v>
      </c>
      <c r="H47" s="52" t="n">
        <v>10.26</v>
      </c>
      <c r="I47" s="52" t="n">
        <v>9.08</v>
      </c>
    </row>
    <row r="48" customFormat="false" ht="15" hidden="false" customHeight="false" outlineLevel="0" collapsed="false">
      <c r="A48" s="52" t="s">
        <v>6662</v>
      </c>
      <c r="B48" s="52" t="n">
        <v>3</v>
      </c>
      <c r="C48" s="52" t="n">
        <v>18</v>
      </c>
      <c r="D48" s="52" t="n">
        <v>3298</v>
      </c>
      <c r="E48" s="52" t="n">
        <v>5287</v>
      </c>
      <c r="F48" s="53" t="n">
        <v>0.0009</v>
      </c>
      <c r="G48" s="53" t="n">
        <v>0.0034</v>
      </c>
      <c r="H48" s="52" t="n">
        <v>22.41</v>
      </c>
      <c r="I48" s="52" t="n">
        <v>17.87</v>
      </c>
    </row>
    <row r="49" customFormat="false" ht="15" hidden="false" customHeight="false" outlineLevel="0" collapsed="false">
      <c r="A49" s="52" t="s">
        <v>6663</v>
      </c>
      <c r="B49" s="52" t="n">
        <v>3</v>
      </c>
      <c r="C49" s="52" t="n">
        <v>6</v>
      </c>
      <c r="D49" s="52" t="n">
        <v>2816</v>
      </c>
      <c r="E49" s="52" t="n">
        <v>4161</v>
      </c>
      <c r="F49" s="53" t="n">
        <v>0.0011</v>
      </c>
      <c r="G49" s="53" t="n">
        <v>0.0014</v>
      </c>
      <c r="H49" s="52" t="n">
        <v>9.75</v>
      </c>
      <c r="I49" s="52" t="n">
        <v>9.45</v>
      </c>
    </row>
    <row r="50" customFormat="false" ht="15" hidden="false" customHeight="false" outlineLevel="0" collapsed="false">
      <c r="A50" s="52" t="s">
        <v>6664</v>
      </c>
      <c r="B50" s="52" t="n">
        <v>3</v>
      </c>
      <c r="C50" s="52" t="n">
        <v>8</v>
      </c>
      <c r="D50" s="52" t="n">
        <v>2204</v>
      </c>
      <c r="E50" s="52" t="n">
        <v>4511</v>
      </c>
      <c r="F50" s="53" t="n">
        <v>0.0014</v>
      </c>
      <c r="G50" s="53" t="n">
        <v>0.0018</v>
      </c>
      <c r="H50" s="52" t="n">
        <v>27.08</v>
      </c>
      <c r="I50" s="52" t="n">
        <v>22.02</v>
      </c>
    </row>
    <row r="51" customFormat="false" ht="15" hidden="false" customHeight="false" outlineLevel="0" collapsed="false">
      <c r="A51" s="52" t="s">
        <v>6665</v>
      </c>
      <c r="B51" s="52" t="n">
        <v>3</v>
      </c>
      <c r="C51" s="52" t="n">
        <v>7</v>
      </c>
      <c r="D51" s="52" t="n">
        <v>1015</v>
      </c>
      <c r="E51" s="52" t="n">
        <v>3312</v>
      </c>
      <c r="F51" s="53" t="n">
        <v>0.003</v>
      </c>
      <c r="G51" s="53" t="n">
        <v>0.0021</v>
      </c>
      <c r="H51" s="52" t="n">
        <v>19.32</v>
      </c>
      <c r="I51" s="52" t="n">
        <v>15.32</v>
      </c>
    </row>
    <row r="52" customFormat="false" ht="15" hidden="false" customHeight="false" outlineLevel="0" collapsed="false">
      <c r="A52" s="52" t="s">
        <v>6666</v>
      </c>
      <c r="B52" s="52" t="n">
        <v>3</v>
      </c>
      <c r="C52" s="52" t="n">
        <v>3</v>
      </c>
      <c r="D52" s="52" t="n">
        <v>953</v>
      </c>
      <c r="E52" s="52" t="n">
        <v>3178</v>
      </c>
      <c r="F52" s="53" t="n">
        <v>0.0031</v>
      </c>
      <c r="G52" s="53" t="n">
        <v>0.0009</v>
      </c>
      <c r="H52" s="52" t="n">
        <v>15.35</v>
      </c>
      <c r="I52" s="52" t="n">
        <v>10.94</v>
      </c>
    </row>
    <row r="53" customFormat="false" ht="15" hidden="false" customHeight="false" outlineLevel="0" collapsed="false">
      <c r="A53" s="52" t="s">
        <v>6667</v>
      </c>
      <c r="B53" s="52" t="n">
        <v>3</v>
      </c>
      <c r="C53" s="52" t="n">
        <v>2</v>
      </c>
      <c r="D53" s="52" t="n">
        <v>924</v>
      </c>
      <c r="E53" s="52" t="n">
        <v>2414</v>
      </c>
      <c r="F53" s="53" t="n">
        <v>0.0032</v>
      </c>
      <c r="G53" s="53" t="n">
        <v>0.0008</v>
      </c>
      <c r="H53" s="52" t="n">
        <v>17.34</v>
      </c>
      <c r="I53" s="52" t="n">
        <v>11.66</v>
      </c>
    </row>
    <row r="54" customFormat="false" ht="15" hidden="false" customHeight="false" outlineLevel="0" collapsed="false">
      <c r="A54" s="52" t="s">
        <v>6668</v>
      </c>
      <c r="B54" s="52" t="n">
        <v>3</v>
      </c>
      <c r="C54" s="52" t="n">
        <v>0</v>
      </c>
      <c r="D54" s="52" t="n">
        <v>547</v>
      </c>
      <c r="E54" s="52" t="n">
        <v>525</v>
      </c>
      <c r="F54" s="53" t="n">
        <v>0.0055</v>
      </c>
      <c r="G54" s="54" t="n">
        <v>0</v>
      </c>
      <c r="H54" s="52" t="n">
        <v>9.74</v>
      </c>
      <c r="I54" s="52" t="n">
        <v>9.07</v>
      </c>
    </row>
    <row r="55" customFormat="false" ht="15" hidden="false" customHeight="false" outlineLevel="0" collapsed="false">
      <c r="A55" s="52" t="s">
        <v>6669</v>
      </c>
      <c r="B55" s="52" t="n">
        <v>2</v>
      </c>
      <c r="C55" s="52" t="n">
        <v>26</v>
      </c>
      <c r="D55" s="52" t="n">
        <v>4411</v>
      </c>
      <c r="E55" s="52" t="n">
        <v>8243</v>
      </c>
      <c r="F55" s="53" t="n">
        <v>0.0005</v>
      </c>
      <c r="G55" s="53" t="n">
        <v>0.0032</v>
      </c>
      <c r="H55" s="52" t="n">
        <v>16.71</v>
      </c>
      <c r="I55" s="52" t="n">
        <v>13.37</v>
      </c>
    </row>
    <row r="56" customFormat="false" ht="15" hidden="false" customHeight="false" outlineLevel="0" collapsed="false">
      <c r="A56" s="52" t="s">
        <v>6670</v>
      </c>
      <c r="B56" s="52" t="n">
        <v>2</v>
      </c>
      <c r="C56" s="52" t="n">
        <v>6</v>
      </c>
      <c r="D56" s="52" t="n">
        <v>3499</v>
      </c>
      <c r="E56" s="52" t="n">
        <v>4556</v>
      </c>
      <c r="F56" s="53" t="n">
        <v>0.0006</v>
      </c>
      <c r="G56" s="53" t="n">
        <v>0.0013</v>
      </c>
      <c r="H56" s="52" t="n">
        <v>11.5</v>
      </c>
      <c r="I56" s="52" t="n">
        <v>15.19</v>
      </c>
    </row>
    <row r="57" customFormat="false" ht="15" hidden="false" customHeight="false" outlineLevel="0" collapsed="false">
      <c r="A57" s="52" t="s">
        <v>6671</v>
      </c>
      <c r="B57" s="52" t="n">
        <v>2</v>
      </c>
      <c r="C57" s="52" t="n">
        <v>0</v>
      </c>
      <c r="D57" s="52" t="n">
        <v>2091</v>
      </c>
      <c r="E57" s="52" t="n">
        <v>3008</v>
      </c>
      <c r="F57" s="53" t="n">
        <v>0.001</v>
      </c>
      <c r="G57" s="54" t="n">
        <v>0</v>
      </c>
      <c r="H57" s="52" t="n">
        <v>9.47</v>
      </c>
      <c r="I57" s="52" t="n">
        <v>8.39</v>
      </c>
    </row>
    <row r="58" customFormat="false" ht="15" hidden="false" customHeight="false" outlineLevel="0" collapsed="false">
      <c r="A58" s="52" t="s">
        <v>6672</v>
      </c>
      <c r="B58" s="52" t="n">
        <v>2</v>
      </c>
      <c r="C58" s="52" t="n">
        <v>8</v>
      </c>
      <c r="D58" s="52" t="n">
        <v>1687</v>
      </c>
      <c r="E58" s="52" t="n">
        <v>2672</v>
      </c>
      <c r="F58" s="53" t="n">
        <v>0.0012</v>
      </c>
      <c r="G58" s="53" t="n">
        <v>0.003</v>
      </c>
      <c r="H58" s="52" t="n">
        <v>17.19</v>
      </c>
      <c r="I58" s="52" t="n">
        <v>17.01</v>
      </c>
    </row>
    <row r="59" customFormat="false" ht="15" hidden="false" customHeight="false" outlineLevel="0" collapsed="false">
      <c r="A59" s="52" t="s">
        <v>6673</v>
      </c>
      <c r="B59" s="52" t="n">
        <v>2</v>
      </c>
      <c r="C59" s="52" t="n">
        <v>29</v>
      </c>
      <c r="D59" s="52" t="n">
        <v>1677</v>
      </c>
      <c r="E59" s="52" t="n">
        <v>16177</v>
      </c>
      <c r="F59" s="53" t="n">
        <v>0.0012</v>
      </c>
      <c r="G59" s="53" t="n">
        <v>0.0018</v>
      </c>
      <c r="H59" s="52" t="n">
        <v>14.36</v>
      </c>
      <c r="I59" s="52" t="n">
        <v>11.2</v>
      </c>
    </row>
    <row r="60" customFormat="false" ht="15" hidden="false" customHeight="false" outlineLevel="0" collapsed="false">
      <c r="A60" s="52" t="s">
        <v>6674</v>
      </c>
      <c r="B60" s="52" t="n">
        <v>2</v>
      </c>
      <c r="C60" s="52" t="n">
        <v>6</v>
      </c>
      <c r="D60" s="52" t="n">
        <v>1414</v>
      </c>
      <c r="E60" s="52" t="n">
        <v>1895</v>
      </c>
      <c r="F60" s="53" t="n">
        <v>0.0014</v>
      </c>
      <c r="G60" s="53" t="n">
        <v>0.0032</v>
      </c>
      <c r="H60" s="52" t="n">
        <v>20.09</v>
      </c>
      <c r="I60" s="52" t="n">
        <v>16.47</v>
      </c>
    </row>
    <row r="61" customFormat="false" ht="15" hidden="false" customHeight="false" outlineLevel="0" collapsed="false">
      <c r="A61" s="52" t="s">
        <v>6675</v>
      </c>
      <c r="B61" s="52" t="n">
        <v>2</v>
      </c>
      <c r="C61" s="52" t="n">
        <v>7</v>
      </c>
      <c r="D61" s="52" t="n">
        <v>1106</v>
      </c>
      <c r="E61" s="52" t="n">
        <v>2436</v>
      </c>
      <c r="F61" s="53" t="n">
        <v>0.0018</v>
      </c>
      <c r="G61" s="53" t="n">
        <v>0.0029</v>
      </c>
      <c r="H61" s="52" t="n">
        <v>17.78</v>
      </c>
      <c r="I61" s="52" t="n">
        <v>20.1</v>
      </c>
    </row>
    <row r="62" customFormat="false" ht="15" hidden="false" customHeight="false" outlineLevel="0" collapsed="false">
      <c r="A62" s="52" t="s">
        <v>6676</v>
      </c>
      <c r="B62" s="52" t="n">
        <v>2</v>
      </c>
      <c r="C62" s="52" t="n">
        <v>6</v>
      </c>
      <c r="D62" s="52" t="n">
        <v>1012</v>
      </c>
      <c r="E62" s="52" t="n">
        <v>1728</v>
      </c>
      <c r="F62" s="53" t="n">
        <v>0.002</v>
      </c>
      <c r="G62" s="53" t="n">
        <v>0.0035</v>
      </c>
      <c r="H62" s="52" t="n">
        <v>19.79</v>
      </c>
      <c r="I62" s="52" t="n">
        <v>11.01</v>
      </c>
    </row>
    <row r="63" customFormat="false" ht="15" hidden="false" customHeight="false" outlineLevel="0" collapsed="false">
      <c r="A63" s="52" t="s">
        <v>6677</v>
      </c>
      <c r="B63" s="52" t="n">
        <v>2</v>
      </c>
      <c r="C63" s="52" t="n">
        <v>1</v>
      </c>
      <c r="D63" s="52" t="n">
        <v>1002</v>
      </c>
      <c r="E63" s="52" t="n">
        <v>597</v>
      </c>
      <c r="F63" s="53" t="n">
        <v>0.002</v>
      </c>
      <c r="G63" s="53" t="n">
        <v>0.0017</v>
      </c>
      <c r="H63" s="52" t="n">
        <v>12.64</v>
      </c>
      <c r="I63" s="52" t="n">
        <v>10.37</v>
      </c>
    </row>
    <row r="64" customFormat="false" ht="15" hidden="false" customHeight="false" outlineLevel="0" collapsed="false">
      <c r="A64" s="52" t="s">
        <v>6678</v>
      </c>
      <c r="B64" s="52" t="n">
        <v>2</v>
      </c>
      <c r="C64" s="52" t="n">
        <v>10</v>
      </c>
      <c r="D64" s="52" t="n">
        <v>520</v>
      </c>
      <c r="E64" s="52" t="n">
        <v>2333</v>
      </c>
      <c r="F64" s="53" t="n">
        <v>0.0038</v>
      </c>
      <c r="G64" s="53" t="n">
        <v>0.0043</v>
      </c>
      <c r="H64" s="52" t="n">
        <v>12.92</v>
      </c>
      <c r="I64" s="52" t="n">
        <v>9.59</v>
      </c>
    </row>
    <row r="65" customFormat="false" ht="15" hidden="false" customHeight="false" outlineLevel="0" collapsed="false">
      <c r="A65" s="52" t="s">
        <v>6679</v>
      </c>
      <c r="B65" s="52" t="n">
        <v>2</v>
      </c>
      <c r="C65" s="52" t="n">
        <v>0</v>
      </c>
      <c r="D65" s="52" t="n">
        <v>313</v>
      </c>
      <c r="E65" s="52" t="n">
        <v>40</v>
      </c>
      <c r="F65" s="53" t="n">
        <v>0.0064</v>
      </c>
      <c r="G65" s="54" t="n">
        <v>0</v>
      </c>
      <c r="H65" s="52" t="n">
        <v>8.53</v>
      </c>
      <c r="I65" s="52" t="n">
        <v>10.68</v>
      </c>
    </row>
    <row r="66" customFormat="false" ht="15" hidden="false" customHeight="false" outlineLevel="0" collapsed="false">
      <c r="A66" s="52" t="s">
        <v>6680</v>
      </c>
      <c r="B66" s="52" t="n">
        <v>2</v>
      </c>
      <c r="C66" s="52" t="n">
        <v>2</v>
      </c>
      <c r="D66" s="52" t="n">
        <v>167</v>
      </c>
      <c r="E66" s="52" t="n">
        <v>564</v>
      </c>
      <c r="F66" s="53" t="n">
        <v>0.012</v>
      </c>
      <c r="G66" s="53" t="n">
        <v>0.0035</v>
      </c>
      <c r="H66" s="52" t="n">
        <v>14.89</v>
      </c>
      <c r="I66" s="52" t="n">
        <v>12.99</v>
      </c>
    </row>
    <row r="67" customFormat="false" ht="15" hidden="false" customHeight="false" outlineLevel="0" collapsed="false">
      <c r="A67" s="52" t="s">
        <v>6681</v>
      </c>
      <c r="B67" s="52" t="n">
        <v>2</v>
      </c>
      <c r="C67" s="52" t="n">
        <v>0</v>
      </c>
      <c r="D67" s="52" t="n">
        <v>137</v>
      </c>
      <c r="E67" s="52" t="n">
        <v>184</v>
      </c>
      <c r="F67" s="53" t="n">
        <v>0.0146</v>
      </c>
      <c r="G67" s="54" t="n">
        <v>0</v>
      </c>
      <c r="H67" s="52" t="n">
        <v>21.19</v>
      </c>
      <c r="I67" s="52" t="n">
        <v>18.52</v>
      </c>
    </row>
    <row r="68" customFormat="false" ht="15" hidden="false" customHeight="false" outlineLevel="0" collapsed="false">
      <c r="A68" s="52" t="s">
        <v>6682</v>
      </c>
      <c r="B68" s="52" t="n">
        <v>2</v>
      </c>
      <c r="C68" s="52" t="n">
        <v>1</v>
      </c>
      <c r="D68" s="52" t="n">
        <v>113</v>
      </c>
      <c r="E68" s="52" t="n">
        <v>120</v>
      </c>
      <c r="F68" s="53" t="n">
        <v>0.0177</v>
      </c>
      <c r="G68" s="53" t="n">
        <v>0.0083</v>
      </c>
      <c r="H68" s="52" t="n">
        <v>8.66</v>
      </c>
      <c r="I68" s="52" t="n">
        <v>7.32</v>
      </c>
    </row>
    <row r="69" customFormat="false" ht="15" hidden="false" customHeight="false" outlineLevel="0" collapsed="false">
      <c r="A69" s="52" t="s">
        <v>6683</v>
      </c>
      <c r="B69" s="52" t="n">
        <v>1</v>
      </c>
      <c r="C69" s="52" t="n">
        <v>2</v>
      </c>
      <c r="D69" s="52" t="n">
        <v>3117</v>
      </c>
      <c r="E69" s="52" t="n">
        <v>4124</v>
      </c>
      <c r="F69" s="53" t="n">
        <v>0.0003</v>
      </c>
      <c r="G69" s="53" t="n">
        <v>0.0005</v>
      </c>
      <c r="H69" s="52" t="n">
        <v>8.78</v>
      </c>
      <c r="I69" s="52" t="n">
        <v>9.02</v>
      </c>
    </row>
    <row r="70" customFormat="false" ht="15" hidden="false" customHeight="false" outlineLevel="0" collapsed="false">
      <c r="A70" s="52" t="s">
        <v>6684</v>
      </c>
      <c r="B70" s="52" t="n">
        <v>1</v>
      </c>
      <c r="C70" s="52" t="n">
        <v>0</v>
      </c>
      <c r="D70" s="52" t="n">
        <v>1674</v>
      </c>
      <c r="E70" s="52" t="n">
        <v>4077</v>
      </c>
      <c r="F70" s="53" t="n">
        <v>0.0006</v>
      </c>
      <c r="G70" s="54" t="n">
        <v>0</v>
      </c>
      <c r="H70" s="52" t="n">
        <v>8.83</v>
      </c>
      <c r="I70" s="52" t="n">
        <v>8.64</v>
      </c>
    </row>
    <row r="71" customFormat="false" ht="15" hidden="false" customHeight="false" outlineLevel="0" collapsed="false">
      <c r="A71" s="52" t="s">
        <v>6685</v>
      </c>
      <c r="B71" s="52" t="n">
        <v>1</v>
      </c>
      <c r="C71" s="52" t="n">
        <v>10</v>
      </c>
      <c r="D71" s="52" t="n">
        <v>1515</v>
      </c>
      <c r="E71" s="52" t="n">
        <v>6055</v>
      </c>
      <c r="F71" s="53" t="n">
        <v>0.0007</v>
      </c>
      <c r="G71" s="53" t="n">
        <v>0.0017</v>
      </c>
      <c r="H71" s="52" t="n">
        <v>15.89</v>
      </c>
      <c r="I71" s="52" t="n">
        <v>13.19</v>
      </c>
    </row>
    <row r="72" customFormat="false" ht="15" hidden="false" customHeight="false" outlineLevel="0" collapsed="false">
      <c r="A72" s="52" t="s">
        <v>6686</v>
      </c>
      <c r="B72" s="52" t="n">
        <v>1</v>
      </c>
      <c r="C72" s="52" t="n">
        <v>2</v>
      </c>
      <c r="D72" s="52" t="n">
        <v>1237</v>
      </c>
      <c r="E72" s="52" t="n">
        <v>1906</v>
      </c>
      <c r="F72" s="53" t="n">
        <v>0.0008</v>
      </c>
      <c r="G72" s="53" t="n">
        <v>0.001</v>
      </c>
      <c r="H72" s="52" t="n">
        <v>7.39</v>
      </c>
      <c r="I72" s="52" t="n">
        <v>8.62</v>
      </c>
    </row>
    <row r="73" customFormat="false" ht="15" hidden="false" customHeight="false" outlineLevel="0" collapsed="false">
      <c r="A73" s="52" t="s">
        <v>6687</v>
      </c>
      <c r="B73" s="52" t="n">
        <v>1</v>
      </c>
      <c r="C73" s="52" t="n">
        <v>5</v>
      </c>
      <c r="D73" s="52" t="n">
        <v>930</v>
      </c>
      <c r="E73" s="52" t="n">
        <v>1710</v>
      </c>
      <c r="F73" s="53" t="n">
        <v>0.0011</v>
      </c>
      <c r="G73" s="53" t="n">
        <v>0.0029</v>
      </c>
      <c r="H73" s="52" t="n">
        <v>12.93</v>
      </c>
      <c r="I73" s="52" t="n">
        <v>15</v>
      </c>
    </row>
    <row r="74" customFormat="false" ht="15" hidden="false" customHeight="false" outlineLevel="0" collapsed="false">
      <c r="A74" s="52" t="s">
        <v>6688</v>
      </c>
      <c r="B74" s="52" t="n">
        <v>1</v>
      </c>
      <c r="C74" s="52" t="n">
        <v>2</v>
      </c>
      <c r="D74" s="52" t="n">
        <v>655</v>
      </c>
      <c r="E74" s="52" t="n">
        <v>1162</v>
      </c>
      <c r="F74" s="53" t="n">
        <v>0.0015</v>
      </c>
      <c r="G74" s="53" t="n">
        <v>0.0017</v>
      </c>
      <c r="H74" s="52" t="n">
        <v>10.23</v>
      </c>
      <c r="I74" s="52" t="n">
        <v>9.5</v>
      </c>
    </row>
    <row r="75" customFormat="false" ht="15" hidden="false" customHeight="false" outlineLevel="0" collapsed="false">
      <c r="A75" s="52" t="s">
        <v>6689</v>
      </c>
      <c r="B75" s="52" t="n">
        <v>1</v>
      </c>
      <c r="C75" s="52" t="n">
        <v>6</v>
      </c>
      <c r="D75" s="52" t="n">
        <v>637</v>
      </c>
      <c r="E75" s="52" t="n">
        <v>1787</v>
      </c>
      <c r="F75" s="53" t="n">
        <v>0.0016</v>
      </c>
      <c r="G75" s="53" t="n">
        <v>0.0034</v>
      </c>
      <c r="H75" s="52" t="n">
        <v>16.26</v>
      </c>
      <c r="I75" s="52" t="n">
        <v>12.62</v>
      </c>
    </row>
    <row r="76" customFormat="false" ht="15" hidden="false" customHeight="false" outlineLevel="0" collapsed="false">
      <c r="A76" s="52" t="s">
        <v>6690</v>
      </c>
      <c r="B76" s="52" t="n">
        <v>1</v>
      </c>
      <c r="C76" s="52" t="n">
        <v>6</v>
      </c>
      <c r="D76" s="52" t="n">
        <v>623</v>
      </c>
      <c r="E76" s="52" t="n">
        <v>1022</v>
      </c>
      <c r="F76" s="53" t="n">
        <v>0.0016</v>
      </c>
      <c r="G76" s="53" t="n">
        <v>0.0059</v>
      </c>
      <c r="H76" s="52" t="n">
        <v>9.1</v>
      </c>
      <c r="I76" s="52" t="n">
        <v>9.96</v>
      </c>
    </row>
    <row r="77" customFormat="false" ht="15" hidden="false" customHeight="false" outlineLevel="0" collapsed="false">
      <c r="A77" s="52" t="s">
        <v>6691</v>
      </c>
      <c r="B77" s="52" t="n">
        <v>1</v>
      </c>
      <c r="C77" s="52" t="n">
        <v>2</v>
      </c>
      <c r="D77" s="52" t="n">
        <v>512</v>
      </c>
      <c r="E77" s="52" t="n">
        <v>3510</v>
      </c>
      <c r="F77" s="53" t="n">
        <v>0.002</v>
      </c>
      <c r="G77" s="53" t="n">
        <v>0.0006</v>
      </c>
      <c r="H77" s="52" t="n">
        <v>11.9</v>
      </c>
      <c r="I77" s="52" t="n">
        <v>9.72</v>
      </c>
    </row>
    <row r="78" customFormat="false" ht="15" hidden="false" customHeight="false" outlineLevel="0" collapsed="false">
      <c r="A78" s="52" t="s">
        <v>6692</v>
      </c>
      <c r="B78" s="52" t="n">
        <v>1</v>
      </c>
      <c r="C78" s="52" t="n">
        <v>0</v>
      </c>
      <c r="D78" s="52" t="n">
        <v>460</v>
      </c>
      <c r="E78" s="52" t="n">
        <v>2302</v>
      </c>
      <c r="F78" s="53" t="n">
        <v>0.0022</v>
      </c>
      <c r="G78" s="54" t="n">
        <v>0</v>
      </c>
      <c r="H78" s="52" t="n">
        <v>12.73</v>
      </c>
      <c r="I78" s="52" t="n">
        <v>19.06</v>
      </c>
    </row>
    <row r="79" customFormat="false" ht="15" hidden="false" customHeight="false" outlineLevel="0" collapsed="false">
      <c r="A79" s="52" t="s">
        <v>6693</v>
      </c>
      <c r="B79" s="52" t="n">
        <v>1</v>
      </c>
      <c r="C79" s="52" t="n">
        <v>6</v>
      </c>
      <c r="D79" s="52" t="n">
        <v>458</v>
      </c>
      <c r="E79" s="52" t="n">
        <v>967</v>
      </c>
      <c r="F79" s="53" t="n">
        <v>0.0022</v>
      </c>
      <c r="G79" s="53" t="n">
        <v>0.0062</v>
      </c>
      <c r="H79" s="52" t="n">
        <v>16.69</v>
      </c>
      <c r="I79" s="52" t="n">
        <v>10.92</v>
      </c>
    </row>
    <row r="80" customFormat="false" ht="15" hidden="false" customHeight="false" outlineLevel="0" collapsed="false">
      <c r="A80" s="52" t="s">
        <v>6694</v>
      </c>
      <c r="B80" s="52" t="n">
        <v>1</v>
      </c>
      <c r="C80" s="52" t="n">
        <v>1</v>
      </c>
      <c r="D80" s="52" t="n">
        <v>450</v>
      </c>
      <c r="E80" s="52" t="n">
        <v>1319</v>
      </c>
      <c r="F80" s="53" t="n">
        <v>0.0022</v>
      </c>
      <c r="G80" s="53" t="n">
        <v>0.0008</v>
      </c>
      <c r="H80" s="52" t="n">
        <v>8.18</v>
      </c>
      <c r="I80" s="52" t="n">
        <v>7.8</v>
      </c>
    </row>
    <row r="81" customFormat="false" ht="15" hidden="false" customHeight="false" outlineLevel="0" collapsed="false">
      <c r="A81" s="52" t="s">
        <v>6695</v>
      </c>
      <c r="B81" s="52" t="n">
        <v>1</v>
      </c>
      <c r="C81" s="52" t="n">
        <v>0</v>
      </c>
      <c r="D81" s="52" t="n">
        <v>406</v>
      </c>
      <c r="E81" s="52" t="n">
        <v>1278</v>
      </c>
      <c r="F81" s="53" t="n">
        <v>0.0025</v>
      </c>
      <c r="G81" s="54" t="n">
        <v>0</v>
      </c>
      <c r="H81" s="52" t="n">
        <v>13.56</v>
      </c>
      <c r="I81" s="52" t="n">
        <v>7.06</v>
      </c>
    </row>
    <row r="82" customFormat="false" ht="15" hidden="false" customHeight="false" outlineLevel="0" collapsed="false">
      <c r="A82" s="52" t="s">
        <v>6696</v>
      </c>
      <c r="B82" s="52" t="n">
        <v>1</v>
      </c>
      <c r="C82" s="52" t="n">
        <v>5</v>
      </c>
      <c r="D82" s="52" t="n">
        <v>368</v>
      </c>
      <c r="E82" s="52" t="n">
        <v>1472</v>
      </c>
      <c r="F82" s="53" t="n">
        <v>0.0027</v>
      </c>
      <c r="G82" s="53" t="n">
        <v>0.0034</v>
      </c>
      <c r="H82" s="52" t="n">
        <v>14.53</v>
      </c>
      <c r="I82" s="52" t="n">
        <v>9.04</v>
      </c>
    </row>
    <row r="83" customFormat="false" ht="15" hidden="false" customHeight="false" outlineLevel="0" collapsed="false">
      <c r="A83" s="52" t="s">
        <v>6697</v>
      </c>
      <c r="B83" s="52" t="n">
        <v>1</v>
      </c>
      <c r="C83" s="52" t="n">
        <v>4</v>
      </c>
      <c r="D83" s="52" t="n">
        <v>334</v>
      </c>
      <c r="E83" s="52" t="n">
        <v>944</v>
      </c>
      <c r="F83" s="53" t="n">
        <v>0.003</v>
      </c>
      <c r="G83" s="53" t="n">
        <v>0.0042</v>
      </c>
      <c r="H83" s="52" t="n">
        <v>14.8</v>
      </c>
      <c r="I83" s="52" t="n">
        <v>12.4</v>
      </c>
    </row>
    <row r="84" customFormat="false" ht="15" hidden="false" customHeight="false" outlineLevel="0" collapsed="false">
      <c r="A84" s="52" t="s">
        <v>6698</v>
      </c>
      <c r="B84" s="52" t="n">
        <v>1</v>
      </c>
      <c r="C84" s="52" t="n">
        <v>2</v>
      </c>
      <c r="D84" s="52" t="n">
        <v>331</v>
      </c>
      <c r="E84" s="52" t="n">
        <v>686</v>
      </c>
      <c r="F84" s="53" t="n">
        <v>0.003</v>
      </c>
      <c r="G84" s="53" t="n">
        <v>0.0029</v>
      </c>
      <c r="H84" s="52" t="n">
        <v>9.11</v>
      </c>
      <c r="I84" s="52" t="n">
        <v>8.64</v>
      </c>
    </row>
    <row r="85" customFormat="false" ht="15" hidden="false" customHeight="false" outlineLevel="0" collapsed="false">
      <c r="A85" s="52" t="s">
        <v>6699</v>
      </c>
      <c r="B85" s="52" t="n">
        <v>1</v>
      </c>
      <c r="C85" s="52" t="n">
        <v>1</v>
      </c>
      <c r="D85" s="52" t="n">
        <v>323</v>
      </c>
      <c r="E85" s="52" t="n">
        <v>1051</v>
      </c>
      <c r="F85" s="53" t="n">
        <v>0.0031</v>
      </c>
      <c r="G85" s="53" t="n">
        <v>0.001</v>
      </c>
      <c r="H85" s="52" t="n">
        <v>18.6</v>
      </c>
      <c r="I85" s="52" t="n">
        <v>12.5</v>
      </c>
    </row>
    <row r="86" customFormat="false" ht="15" hidden="false" customHeight="false" outlineLevel="0" collapsed="false">
      <c r="A86" s="52" t="s">
        <v>6700</v>
      </c>
      <c r="B86" s="52" t="n">
        <v>1</v>
      </c>
      <c r="C86" s="52" t="n">
        <v>1</v>
      </c>
      <c r="D86" s="52" t="n">
        <v>317</v>
      </c>
      <c r="E86" s="52" t="n">
        <v>720</v>
      </c>
      <c r="F86" s="53" t="n">
        <v>0.0032</v>
      </c>
      <c r="G86" s="53" t="n">
        <v>0.0014</v>
      </c>
      <c r="H86" s="52" t="n">
        <v>12.07</v>
      </c>
      <c r="I86" s="52" t="n">
        <v>9.97</v>
      </c>
    </row>
    <row r="87" customFormat="false" ht="15" hidden="false" customHeight="false" outlineLevel="0" collapsed="false">
      <c r="A87" s="52" t="s">
        <v>6701</v>
      </c>
      <c r="B87" s="52" t="n">
        <v>1</v>
      </c>
      <c r="C87" s="52" t="n">
        <v>6</v>
      </c>
      <c r="D87" s="52" t="n">
        <v>259</v>
      </c>
      <c r="E87" s="52" t="n">
        <v>645</v>
      </c>
      <c r="F87" s="53" t="n">
        <v>0.0039</v>
      </c>
      <c r="G87" s="53" t="n">
        <v>0.0093</v>
      </c>
      <c r="H87" s="52" t="n">
        <v>13.51</v>
      </c>
      <c r="I87" s="52" t="n">
        <v>12.56</v>
      </c>
    </row>
    <row r="88" customFormat="false" ht="15" hidden="false" customHeight="false" outlineLevel="0" collapsed="false">
      <c r="A88" s="52" t="s">
        <v>6702</v>
      </c>
      <c r="B88" s="52" t="n">
        <v>1</v>
      </c>
      <c r="C88" s="52" t="n">
        <v>2</v>
      </c>
      <c r="D88" s="52" t="n">
        <v>258</v>
      </c>
      <c r="E88" s="52" t="n">
        <v>789</v>
      </c>
      <c r="F88" s="53" t="n">
        <v>0.0039</v>
      </c>
      <c r="G88" s="53" t="n">
        <v>0.0025</v>
      </c>
      <c r="H88" s="52" t="n">
        <v>10.38</v>
      </c>
      <c r="I88" s="52" t="n">
        <v>14.32</v>
      </c>
    </row>
    <row r="89" customFormat="false" ht="15" hidden="false" customHeight="false" outlineLevel="0" collapsed="false">
      <c r="A89" s="52" t="s">
        <v>6703</v>
      </c>
      <c r="B89" s="52" t="n">
        <v>1</v>
      </c>
      <c r="C89" s="52" t="n">
        <v>1</v>
      </c>
      <c r="D89" s="52" t="n">
        <v>252</v>
      </c>
      <c r="E89" s="52" t="n">
        <v>805</v>
      </c>
      <c r="F89" s="53" t="n">
        <v>0.004</v>
      </c>
      <c r="G89" s="53" t="n">
        <v>0.0012</v>
      </c>
      <c r="H89" s="52" t="n">
        <v>10.7</v>
      </c>
      <c r="I89" s="52" t="n">
        <v>9.84</v>
      </c>
    </row>
    <row r="90" customFormat="false" ht="15" hidden="false" customHeight="false" outlineLevel="0" collapsed="false">
      <c r="A90" s="52" t="s">
        <v>6704</v>
      </c>
      <c r="B90" s="52" t="n">
        <v>1</v>
      </c>
      <c r="C90" s="52" t="n">
        <v>7</v>
      </c>
      <c r="D90" s="52" t="n">
        <v>250</v>
      </c>
      <c r="E90" s="52" t="n">
        <v>550</v>
      </c>
      <c r="F90" s="53" t="n">
        <v>0.004</v>
      </c>
      <c r="G90" s="53" t="n">
        <v>0.0127</v>
      </c>
      <c r="H90" s="52" t="n">
        <v>21.11</v>
      </c>
      <c r="I90" s="52" t="n">
        <v>19.22</v>
      </c>
    </row>
    <row r="91" customFormat="false" ht="15" hidden="false" customHeight="false" outlineLevel="0" collapsed="false">
      <c r="A91" s="52" t="s">
        <v>6705</v>
      </c>
      <c r="B91" s="52" t="n">
        <v>1</v>
      </c>
      <c r="C91" s="52" t="n">
        <v>3</v>
      </c>
      <c r="D91" s="52" t="n">
        <v>209</v>
      </c>
      <c r="E91" s="52" t="n">
        <v>380</v>
      </c>
      <c r="F91" s="53" t="n">
        <v>0.0048</v>
      </c>
      <c r="G91" s="53" t="n">
        <v>0.0079</v>
      </c>
      <c r="H91" s="52" t="n">
        <v>29.89</v>
      </c>
      <c r="I91" s="52" t="n">
        <v>14.52</v>
      </c>
    </row>
    <row r="92" customFormat="false" ht="15" hidden="false" customHeight="false" outlineLevel="0" collapsed="false">
      <c r="A92" s="52" t="s">
        <v>6706</v>
      </c>
      <c r="B92" s="52" t="n">
        <v>1</v>
      </c>
      <c r="C92" s="52" t="n">
        <v>1</v>
      </c>
      <c r="D92" s="52" t="n">
        <v>204</v>
      </c>
      <c r="E92" s="52" t="n">
        <v>441</v>
      </c>
      <c r="F92" s="53" t="n">
        <v>0.0049</v>
      </c>
      <c r="G92" s="53" t="n">
        <v>0.0023</v>
      </c>
      <c r="H92" s="52" t="n">
        <v>10.49</v>
      </c>
      <c r="I92" s="52" t="n">
        <v>9.23</v>
      </c>
    </row>
    <row r="93" customFormat="false" ht="15" hidden="false" customHeight="false" outlineLevel="0" collapsed="false">
      <c r="A93" s="52" t="s">
        <v>6707</v>
      </c>
      <c r="B93" s="52" t="n">
        <v>1</v>
      </c>
      <c r="C93" s="52" t="n">
        <v>1</v>
      </c>
      <c r="D93" s="52" t="n">
        <v>197</v>
      </c>
      <c r="E93" s="52" t="n">
        <v>962</v>
      </c>
      <c r="F93" s="53" t="n">
        <v>0.0051</v>
      </c>
      <c r="G93" s="53" t="n">
        <v>0.001</v>
      </c>
      <c r="H93" s="52" t="n">
        <v>11.52</v>
      </c>
      <c r="I93" s="52" t="n">
        <v>12.09</v>
      </c>
    </row>
    <row r="94" customFormat="false" ht="15" hidden="false" customHeight="false" outlineLevel="0" collapsed="false">
      <c r="A94" s="52" t="s">
        <v>6708</v>
      </c>
      <c r="B94" s="52" t="n">
        <v>1</v>
      </c>
      <c r="C94" s="52" t="n">
        <v>3</v>
      </c>
      <c r="D94" s="52" t="n">
        <v>176</v>
      </c>
      <c r="E94" s="52" t="n">
        <v>441</v>
      </c>
      <c r="F94" s="53" t="n">
        <v>0.0057</v>
      </c>
      <c r="G94" s="53" t="n">
        <v>0.0068</v>
      </c>
      <c r="H94" s="52" t="n">
        <v>14.01</v>
      </c>
      <c r="I94" s="52" t="n">
        <v>13.46</v>
      </c>
    </row>
    <row r="95" customFormat="false" ht="15" hidden="false" customHeight="false" outlineLevel="0" collapsed="false">
      <c r="A95" s="52" t="s">
        <v>6709</v>
      </c>
      <c r="B95" s="52" t="n">
        <v>1</v>
      </c>
      <c r="C95" s="52" t="n">
        <v>2</v>
      </c>
      <c r="D95" s="52" t="n">
        <v>155</v>
      </c>
      <c r="E95" s="52" t="n">
        <v>470</v>
      </c>
      <c r="F95" s="53" t="n">
        <v>0.0065</v>
      </c>
      <c r="G95" s="53" t="n">
        <v>0.0043</v>
      </c>
      <c r="H95" s="52" t="n">
        <v>11.73</v>
      </c>
      <c r="I95" s="52" t="n">
        <v>9.51</v>
      </c>
    </row>
    <row r="96" customFormat="false" ht="15" hidden="false" customHeight="false" outlineLevel="0" collapsed="false">
      <c r="A96" s="52" t="s">
        <v>6710</v>
      </c>
      <c r="B96" s="52" t="n">
        <v>1</v>
      </c>
      <c r="C96" s="52" t="n">
        <v>6</v>
      </c>
      <c r="D96" s="52" t="n">
        <v>129</v>
      </c>
      <c r="E96" s="52" t="n">
        <v>345</v>
      </c>
      <c r="F96" s="53" t="n">
        <v>0.0078</v>
      </c>
      <c r="G96" s="53" t="n">
        <v>0.0174</v>
      </c>
      <c r="H96" s="52" t="n">
        <v>8.64</v>
      </c>
      <c r="I96" s="52" t="n">
        <v>9.71</v>
      </c>
    </row>
    <row r="97" customFormat="false" ht="15" hidden="false" customHeight="false" outlineLevel="0" collapsed="false">
      <c r="A97" s="52" t="s">
        <v>6711</v>
      </c>
      <c r="B97" s="52" t="n">
        <v>1</v>
      </c>
      <c r="C97" s="52" t="n">
        <v>0</v>
      </c>
      <c r="D97" s="52" t="n">
        <v>110</v>
      </c>
      <c r="E97" s="52" t="n">
        <v>376</v>
      </c>
      <c r="F97" s="53" t="n">
        <v>0.0091</v>
      </c>
      <c r="G97" s="54" t="n">
        <v>0</v>
      </c>
      <c r="H97" s="52" t="n">
        <v>9.23</v>
      </c>
      <c r="I97" s="52" t="n">
        <v>7.96</v>
      </c>
    </row>
    <row r="98" customFormat="false" ht="15" hidden="false" customHeight="false" outlineLevel="0" collapsed="false">
      <c r="A98" s="52" t="s">
        <v>6712</v>
      </c>
      <c r="B98" s="52" t="n">
        <v>1</v>
      </c>
      <c r="C98" s="52" t="n">
        <v>2</v>
      </c>
      <c r="D98" s="52" t="n">
        <v>105</v>
      </c>
      <c r="E98" s="52" t="n">
        <v>329</v>
      </c>
      <c r="F98" s="53" t="n">
        <v>0.0095</v>
      </c>
      <c r="G98" s="53" t="n">
        <v>0.0061</v>
      </c>
      <c r="H98" s="52" t="n">
        <v>6.5</v>
      </c>
      <c r="I98" s="52" t="n">
        <v>6.81</v>
      </c>
    </row>
    <row r="99" customFormat="false" ht="15" hidden="false" customHeight="false" outlineLevel="0" collapsed="false">
      <c r="A99" s="52" t="s">
        <v>6713</v>
      </c>
      <c r="B99" s="52" t="n">
        <v>1</v>
      </c>
      <c r="C99" s="52" t="n">
        <v>0</v>
      </c>
      <c r="D99" s="52" t="n">
        <v>101</v>
      </c>
      <c r="E99" s="52" t="n">
        <v>116</v>
      </c>
      <c r="F99" s="53" t="n">
        <v>0.0099</v>
      </c>
      <c r="G99" s="54" t="n">
        <v>0</v>
      </c>
      <c r="H99" s="52" t="n">
        <v>8.13</v>
      </c>
      <c r="I99" s="52" t="n">
        <v>6.86</v>
      </c>
    </row>
    <row r="100" customFormat="false" ht="15" hidden="false" customHeight="false" outlineLevel="0" collapsed="false">
      <c r="A100" s="52" t="s">
        <v>6714</v>
      </c>
      <c r="B100" s="52" t="n">
        <v>1</v>
      </c>
      <c r="C100" s="52" t="n">
        <v>0</v>
      </c>
      <c r="D100" s="52" t="n">
        <v>100</v>
      </c>
      <c r="E100" s="52" t="n">
        <v>327</v>
      </c>
      <c r="F100" s="54" t="n">
        <v>0.01</v>
      </c>
      <c r="G100" s="54" t="n">
        <v>0</v>
      </c>
      <c r="H100" s="52" t="n">
        <v>9.47</v>
      </c>
      <c r="I100" s="52" t="n">
        <v>9.16</v>
      </c>
    </row>
    <row r="101" customFormat="false" ht="15" hidden="false" customHeight="false" outlineLevel="0" collapsed="false">
      <c r="A101" s="52" t="s">
        <v>6715</v>
      </c>
      <c r="B101" s="52" t="n">
        <v>1</v>
      </c>
      <c r="C101" s="52" t="n">
        <v>1</v>
      </c>
      <c r="D101" s="52" t="n">
        <v>81</v>
      </c>
      <c r="E101" s="52" t="n">
        <v>303</v>
      </c>
      <c r="F101" s="53" t="n">
        <v>0.0123</v>
      </c>
      <c r="G101" s="53" t="n">
        <v>0.0033</v>
      </c>
      <c r="H101" s="52" t="n">
        <v>10.19</v>
      </c>
      <c r="I101" s="52" t="n">
        <v>7.71</v>
      </c>
    </row>
    <row r="102" customFormat="false" ht="15" hidden="false" customHeight="false" outlineLevel="0" collapsed="false">
      <c r="A102" s="52" t="s">
        <v>6716</v>
      </c>
      <c r="B102" s="52" t="n">
        <v>1</v>
      </c>
      <c r="C102" s="52" t="n">
        <v>0</v>
      </c>
      <c r="D102" s="52" t="n">
        <v>66</v>
      </c>
      <c r="E102" s="52" t="n">
        <v>158</v>
      </c>
      <c r="F102" s="53" t="n">
        <v>0.0152</v>
      </c>
      <c r="G102" s="54" t="n">
        <v>0</v>
      </c>
      <c r="H102" s="52" t="n">
        <v>11.39</v>
      </c>
      <c r="I102" s="52" t="n">
        <v>11.13</v>
      </c>
    </row>
    <row r="103" customFormat="false" ht="15" hidden="false" customHeight="false" outlineLevel="0" collapsed="false">
      <c r="A103" s="52" t="s">
        <v>6717</v>
      </c>
      <c r="B103" s="52" t="n">
        <v>1</v>
      </c>
      <c r="C103" s="52" t="n">
        <v>0</v>
      </c>
      <c r="D103" s="52" t="n">
        <v>36</v>
      </c>
      <c r="E103" s="52" t="n">
        <v>59</v>
      </c>
      <c r="F103" s="53" t="n">
        <v>0.0278</v>
      </c>
      <c r="G103" s="54" t="n">
        <v>0</v>
      </c>
      <c r="H103" s="52" t="n">
        <v>8.14</v>
      </c>
      <c r="I103" s="52" t="n">
        <v>7.42</v>
      </c>
    </row>
    <row r="104" customFormat="false" ht="15" hidden="false" customHeight="false" outlineLevel="0" collapsed="false">
      <c r="A104" s="52" t="s">
        <v>6718</v>
      </c>
      <c r="B104" s="52" t="n">
        <v>1</v>
      </c>
      <c r="C104" s="52" t="n">
        <v>0</v>
      </c>
      <c r="D104" s="52" t="n">
        <v>30</v>
      </c>
      <c r="E104" s="52" t="n">
        <v>147</v>
      </c>
      <c r="F104" s="53" t="n">
        <v>0.0333</v>
      </c>
      <c r="G104" s="54" t="n">
        <v>0</v>
      </c>
      <c r="H104" s="52" t="n">
        <v>8.17</v>
      </c>
      <c r="I104" s="52" t="n">
        <v>8.7</v>
      </c>
    </row>
    <row r="105" customFormat="false" ht="15" hidden="false" customHeight="false" outlineLevel="0" collapsed="false">
      <c r="A105" s="52" t="s">
        <v>6719</v>
      </c>
      <c r="B105" s="52" t="n">
        <v>1</v>
      </c>
      <c r="C105" s="52" t="n">
        <v>0</v>
      </c>
      <c r="D105" s="52" t="n">
        <v>27</v>
      </c>
      <c r="E105" s="52" t="n">
        <v>30</v>
      </c>
      <c r="F105" s="53" t="n">
        <v>0.037</v>
      </c>
      <c r="G105" s="54" t="n">
        <v>0</v>
      </c>
      <c r="H105" s="52" t="n">
        <v>12.67</v>
      </c>
      <c r="I105" s="52" t="n">
        <v>7</v>
      </c>
    </row>
    <row r="106" customFormat="false" ht="15" hidden="false" customHeight="false" outlineLevel="0" collapsed="false">
      <c r="A106" s="52" t="s">
        <v>6720</v>
      </c>
      <c r="B106" s="52" t="n">
        <v>1</v>
      </c>
      <c r="C106" s="52" t="n">
        <v>0</v>
      </c>
      <c r="D106" s="52" t="n">
        <v>26</v>
      </c>
      <c r="E106" s="52" t="n">
        <v>37</v>
      </c>
      <c r="F106" s="53" t="n">
        <v>0.0385</v>
      </c>
      <c r="G106" s="54" t="n">
        <v>0</v>
      </c>
      <c r="H106" s="52" t="n">
        <v>14.58</v>
      </c>
      <c r="I106" s="52" t="n">
        <v>23.86</v>
      </c>
    </row>
    <row r="107" customFormat="false" ht="15" hidden="false" customHeight="false" outlineLevel="0" collapsed="false">
      <c r="A107" s="52" t="s">
        <v>6721</v>
      </c>
      <c r="B107" s="52" t="n">
        <v>1</v>
      </c>
      <c r="C107" s="52" t="n">
        <v>0</v>
      </c>
      <c r="D107" s="52" t="n">
        <v>20</v>
      </c>
      <c r="E107" s="52" t="n">
        <v>40</v>
      </c>
      <c r="F107" s="54" t="n">
        <v>0.05</v>
      </c>
      <c r="G107" s="54" t="n">
        <v>0</v>
      </c>
      <c r="H107" s="52" t="n">
        <v>9.3</v>
      </c>
      <c r="I107" s="52" t="n">
        <v>13.53</v>
      </c>
    </row>
    <row r="108" customFormat="false" ht="15" hidden="false" customHeight="false" outlineLevel="0" collapsed="false">
      <c r="A108" s="52" t="s">
        <v>6722</v>
      </c>
      <c r="B108" s="52" t="n">
        <v>1</v>
      </c>
      <c r="C108" s="52" t="n">
        <v>2</v>
      </c>
      <c r="D108" s="52" t="n">
        <v>18</v>
      </c>
      <c r="E108" s="52" t="n">
        <v>257</v>
      </c>
      <c r="F108" s="53" t="n">
        <v>0.0556</v>
      </c>
      <c r="G108" s="53" t="n">
        <v>0.0078</v>
      </c>
      <c r="H108" s="52" t="n">
        <v>7.67</v>
      </c>
      <c r="I108" s="52" t="n">
        <v>8.57</v>
      </c>
    </row>
    <row r="109" customFormat="false" ht="15" hidden="false" customHeight="false" outlineLevel="0" collapsed="false">
      <c r="A109" s="52" t="s">
        <v>6723</v>
      </c>
      <c r="B109" s="52" t="n">
        <v>1</v>
      </c>
      <c r="C109" s="52" t="n">
        <v>0</v>
      </c>
      <c r="D109" s="52" t="n">
        <v>12</v>
      </c>
      <c r="E109" s="52" t="n">
        <v>43</v>
      </c>
      <c r="F109" s="53" t="n">
        <v>0.0833</v>
      </c>
      <c r="G109" s="54" t="n">
        <v>0</v>
      </c>
      <c r="H109" s="52" t="n">
        <v>9.75</v>
      </c>
      <c r="I109" s="52" t="n">
        <v>6.7</v>
      </c>
    </row>
    <row r="110" customFormat="false" ht="15" hidden="false" customHeight="false" outlineLevel="0" collapsed="false">
      <c r="A110" s="52" t="s">
        <v>6724</v>
      </c>
      <c r="B110" s="52" t="n">
        <v>1</v>
      </c>
      <c r="C110" s="52" t="n">
        <v>0</v>
      </c>
      <c r="D110" s="52" t="n">
        <v>10</v>
      </c>
      <c r="E110" s="52" t="n">
        <v>13</v>
      </c>
      <c r="F110" s="54" t="n">
        <v>0.1</v>
      </c>
      <c r="G110" s="54" t="n">
        <v>0</v>
      </c>
      <c r="H110" s="52" t="n">
        <v>15.9</v>
      </c>
      <c r="I110" s="52" t="n">
        <v>23.08</v>
      </c>
    </row>
    <row r="111" customFormat="false" ht="15" hidden="false" customHeight="false" outlineLevel="0" collapsed="false">
      <c r="A111" s="52" t="s">
        <v>6725</v>
      </c>
      <c r="B111" s="52" t="n">
        <v>0</v>
      </c>
      <c r="C111" s="52" t="n">
        <v>3</v>
      </c>
      <c r="D111" s="52" t="n">
        <v>1184</v>
      </c>
      <c r="E111" s="52" t="n">
        <v>589</v>
      </c>
      <c r="F111" s="54" t="n">
        <v>0</v>
      </c>
      <c r="G111" s="53" t="n">
        <v>0.0051</v>
      </c>
      <c r="H111" s="52" t="n">
        <v>12.14</v>
      </c>
      <c r="I111" s="52" t="n">
        <v>14.89</v>
      </c>
    </row>
    <row r="112" customFormat="false" ht="15" hidden="false" customHeight="false" outlineLevel="0" collapsed="false">
      <c r="A112" s="52" t="s">
        <v>6726</v>
      </c>
      <c r="B112" s="52" t="n">
        <v>0</v>
      </c>
      <c r="C112" s="52" t="n">
        <v>6</v>
      </c>
      <c r="D112" s="52" t="n">
        <v>682</v>
      </c>
      <c r="E112" s="52" t="n">
        <v>2460</v>
      </c>
      <c r="F112" s="54" t="n">
        <v>0</v>
      </c>
      <c r="G112" s="53" t="n">
        <v>0.0024</v>
      </c>
      <c r="H112" s="52" t="n">
        <v>11.3</v>
      </c>
      <c r="I112" s="52" t="n">
        <v>11.76</v>
      </c>
    </row>
    <row r="113" customFormat="false" ht="15" hidden="false" customHeight="false" outlineLevel="0" collapsed="false">
      <c r="A113" s="52" t="s">
        <v>6727</v>
      </c>
      <c r="B113" s="52" t="n">
        <v>0</v>
      </c>
      <c r="C113" s="52" t="n">
        <v>1</v>
      </c>
      <c r="D113" s="52" t="n">
        <v>552</v>
      </c>
      <c r="E113" s="52" t="n">
        <v>1898</v>
      </c>
      <c r="F113" s="54" t="n">
        <v>0</v>
      </c>
      <c r="G113" s="53" t="n">
        <v>0.0005</v>
      </c>
      <c r="H113" s="52" t="n">
        <v>22.61</v>
      </c>
      <c r="I113" s="52" t="n">
        <v>15.3</v>
      </c>
    </row>
    <row r="114" customFormat="false" ht="15" hidden="false" customHeight="false" outlineLevel="0" collapsed="false">
      <c r="A114" s="52" t="s">
        <v>6728</v>
      </c>
      <c r="B114" s="52" t="n">
        <v>0</v>
      </c>
      <c r="C114" s="52" t="n">
        <v>3</v>
      </c>
      <c r="D114" s="52" t="n">
        <v>482</v>
      </c>
      <c r="E114" s="52" t="n">
        <v>1131</v>
      </c>
      <c r="F114" s="54" t="n">
        <v>0</v>
      </c>
      <c r="G114" s="53" t="n">
        <v>0.0027</v>
      </c>
      <c r="H114" s="52" t="n">
        <v>7.63</v>
      </c>
      <c r="I114" s="52" t="n">
        <v>8.33</v>
      </c>
    </row>
    <row r="115" customFormat="false" ht="15" hidden="false" customHeight="false" outlineLevel="0" collapsed="false">
      <c r="A115" s="52" t="s">
        <v>6729</v>
      </c>
      <c r="B115" s="52" t="n">
        <v>0</v>
      </c>
      <c r="C115" s="52" t="n">
        <v>8</v>
      </c>
      <c r="D115" s="52" t="n">
        <v>469</v>
      </c>
      <c r="E115" s="52" t="n">
        <v>1444</v>
      </c>
      <c r="F115" s="54" t="n">
        <v>0</v>
      </c>
      <c r="G115" s="53" t="n">
        <v>0.0055</v>
      </c>
      <c r="H115" s="52" t="n">
        <v>19.05</v>
      </c>
      <c r="I115" s="52" t="n">
        <v>15.33</v>
      </c>
    </row>
    <row r="116" customFormat="false" ht="15" hidden="false" customHeight="false" outlineLevel="0" collapsed="false">
      <c r="A116" s="52" t="s">
        <v>6730</v>
      </c>
      <c r="B116" s="52" t="n">
        <v>0</v>
      </c>
      <c r="C116" s="52" t="n">
        <v>0</v>
      </c>
      <c r="D116" s="52" t="n">
        <v>379</v>
      </c>
      <c r="E116" s="52" t="n">
        <v>37</v>
      </c>
      <c r="F116" s="54" t="n">
        <v>0</v>
      </c>
      <c r="G116" s="54" t="n">
        <v>0</v>
      </c>
      <c r="H116" s="52" t="n">
        <v>24.65</v>
      </c>
      <c r="I116" s="52" t="n">
        <v>17.16</v>
      </c>
    </row>
    <row r="117" customFormat="false" ht="15" hidden="false" customHeight="false" outlineLevel="0" collapsed="false">
      <c r="A117" s="52" t="s">
        <v>6731</v>
      </c>
      <c r="B117" s="52" t="n">
        <v>0</v>
      </c>
      <c r="C117" s="52" t="n">
        <v>4</v>
      </c>
      <c r="D117" s="52" t="n">
        <v>330</v>
      </c>
      <c r="E117" s="52" t="n">
        <v>1613</v>
      </c>
      <c r="F117" s="54" t="n">
        <v>0</v>
      </c>
      <c r="G117" s="53" t="n">
        <v>0.0025</v>
      </c>
      <c r="H117" s="52" t="n">
        <v>14.77</v>
      </c>
      <c r="I117" s="52" t="n">
        <v>18.47</v>
      </c>
    </row>
    <row r="118" customFormat="false" ht="15" hidden="false" customHeight="false" outlineLevel="0" collapsed="false">
      <c r="A118" s="52" t="s">
        <v>6732</v>
      </c>
      <c r="B118" s="52" t="n">
        <v>0</v>
      </c>
      <c r="C118" s="52" t="n">
        <v>4</v>
      </c>
      <c r="D118" s="52" t="n">
        <v>322</v>
      </c>
      <c r="E118" s="52" t="n">
        <v>1063</v>
      </c>
      <c r="F118" s="54" t="n">
        <v>0</v>
      </c>
      <c r="G118" s="53" t="n">
        <v>0.0038</v>
      </c>
      <c r="H118" s="52" t="n">
        <v>15.23</v>
      </c>
      <c r="I118" s="52" t="n">
        <v>10.63</v>
      </c>
    </row>
    <row r="119" customFormat="false" ht="15" hidden="false" customHeight="false" outlineLevel="0" collapsed="false">
      <c r="A119" s="52" t="s">
        <v>6733</v>
      </c>
      <c r="B119" s="52" t="n">
        <v>0</v>
      </c>
      <c r="C119" s="52" t="n">
        <v>2</v>
      </c>
      <c r="D119" s="52" t="n">
        <v>301</v>
      </c>
      <c r="E119" s="52" t="n">
        <v>843</v>
      </c>
      <c r="F119" s="54" t="n">
        <v>0</v>
      </c>
      <c r="G119" s="53" t="n">
        <v>0.0024</v>
      </c>
      <c r="H119" s="52" t="n">
        <v>10.91</v>
      </c>
      <c r="I119" s="52" t="n">
        <v>9.76</v>
      </c>
    </row>
    <row r="120" customFormat="false" ht="15" hidden="false" customHeight="false" outlineLevel="0" collapsed="false">
      <c r="A120" s="52" t="s">
        <v>6734</v>
      </c>
      <c r="B120" s="52" t="n">
        <v>0</v>
      </c>
      <c r="C120" s="52" t="n">
        <v>1</v>
      </c>
      <c r="D120" s="52" t="n">
        <v>266</v>
      </c>
      <c r="E120" s="52" t="n">
        <v>614</v>
      </c>
      <c r="F120" s="54" t="n">
        <v>0</v>
      </c>
      <c r="G120" s="53" t="n">
        <v>0.0016</v>
      </c>
      <c r="H120" s="52" t="n">
        <v>9.65</v>
      </c>
      <c r="I120" s="52" t="n">
        <v>9.98</v>
      </c>
    </row>
    <row r="121" customFormat="false" ht="15" hidden="false" customHeight="false" outlineLevel="0" collapsed="false">
      <c r="A121" s="52" t="s">
        <v>6735</v>
      </c>
      <c r="B121" s="52" t="n">
        <v>0</v>
      </c>
      <c r="C121" s="52" t="n">
        <v>5</v>
      </c>
      <c r="D121" s="52" t="n">
        <v>264</v>
      </c>
      <c r="E121" s="52" t="n">
        <v>573</v>
      </c>
      <c r="F121" s="54" t="n">
        <v>0</v>
      </c>
      <c r="G121" s="53" t="n">
        <v>0.0087</v>
      </c>
      <c r="H121" s="52" t="n">
        <v>10.66</v>
      </c>
      <c r="I121" s="52" t="n">
        <v>10.57</v>
      </c>
    </row>
    <row r="122" customFormat="false" ht="15" hidden="false" customHeight="false" outlineLevel="0" collapsed="false">
      <c r="A122" s="52" t="s">
        <v>6736</v>
      </c>
      <c r="B122" s="52" t="n">
        <v>0</v>
      </c>
      <c r="C122" s="52" t="n">
        <v>0</v>
      </c>
      <c r="D122" s="52" t="n">
        <v>259</v>
      </c>
      <c r="E122" s="52" t="n">
        <v>468</v>
      </c>
      <c r="F122" s="54" t="n">
        <v>0</v>
      </c>
      <c r="G122" s="54" t="n">
        <v>0</v>
      </c>
      <c r="H122" s="52" t="n">
        <v>9.62</v>
      </c>
      <c r="I122" s="52" t="n">
        <v>9.35</v>
      </c>
    </row>
    <row r="123" customFormat="false" ht="15" hidden="false" customHeight="false" outlineLevel="0" collapsed="false">
      <c r="A123" s="52" t="s">
        <v>6737</v>
      </c>
      <c r="B123" s="52" t="n">
        <v>0</v>
      </c>
      <c r="C123" s="52" t="n">
        <v>0</v>
      </c>
      <c r="D123" s="52" t="n">
        <v>259</v>
      </c>
      <c r="E123" s="52" t="n">
        <v>294</v>
      </c>
      <c r="F123" s="54" t="n">
        <v>0</v>
      </c>
      <c r="G123" s="54" t="n">
        <v>0</v>
      </c>
      <c r="H123" s="52" t="n">
        <v>12.14</v>
      </c>
      <c r="I123" s="52" t="n">
        <v>9.2</v>
      </c>
    </row>
    <row r="124" customFormat="false" ht="15" hidden="false" customHeight="false" outlineLevel="0" collapsed="false">
      <c r="A124" s="52" t="s">
        <v>6738</v>
      </c>
      <c r="B124" s="52" t="n">
        <v>0</v>
      </c>
      <c r="C124" s="52" t="n">
        <v>1</v>
      </c>
      <c r="D124" s="52" t="n">
        <v>253</v>
      </c>
      <c r="E124" s="52" t="n">
        <v>1112</v>
      </c>
      <c r="F124" s="54" t="n">
        <v>0</v>
      </c>
      <c r="G124" s="53" t="n">
        <v>0.0009</v>
      </c>
      <c r="H124" s="52" t="n">
        <v>9.88</v>
      </c>
      <c r="I124" s="52" t="n">
        <v>11.75</v>
      </c>
    </row>
    <row r="125" customFormat="false" ht="15" hidden="false" customHeight="false" outlineLevel="0" collapsed="false">
      <c r="A125" s="52" t="s">
        <v>6739</v>
      </c>
      <c r="B125" s="52" t="n">
        <v>0</v>
      </c>
      <c r="C125" s="52" t="n">
        <v>2</v>
      </c>
      <c r="D125" s="52" t="n">
        <v>251</v>
      </c>
      <c r="E125" s="52" t="n">
        <v>833</v>
      </c>
      <c r="F125" s="54" t="n">
        <v>0</v>
      </c>
      <c r="G125" s="53" t="n">
        <v>0.0024</v>
      </c>
      <c r="H125" s="52" t="n">
        <v>12.12</v>
      </c>
      <c r="I125" s="52" t="n">
        <v>10.34</v>
      </c>
    </row>
    <row r="126" customFormat="false" ht="15" hidden="false" customHeight="false" outlineLevel="0" collapsed="false">
      <c r="A126" s="52" t="s">
        <v>6740</v>
      </c>
      <c r="B126" s="52" t="n">
        <v>0</v>
      </c>
      <c r="C126" s="52" t="n">
        <v>3</v>
      </c>
      <c r="D126" s="52" t="n">
        <v>251</v>
      </c>
      <c r="E126" s="52" t="n">
        <v>804</v>
      </c>
      <c r="F126" s="54" t="n">
        <v>0</v>
      </c>
      <c r="G126" s="53" t="n">
        <v>0.0037</v>
      </c>
      <c r="H126" s="52" t="n">
        <v>12.42</v>
      </c>
      <c r="I126" s="52" t="n">
        <v>11.01</v>
      </c>
    </row>
    <row r="127" customFormat="false" ht="15" hidden="false" customHeight="false" outlineLevel="0" collapsed="false">
      <c r="A127" s="52" t="s">
        <v>6741</v>
      </c>
      <c r="B127" s="52" t="n">
        <v>0</v>
      </c>
      <c r="C127" s="52" t="n">
        <v>0</v>
      </c>
      <c r="D127" s="52" t="n">
        <v>249</v>
      </c>
      <c r="E127" s="52" t="n">
        <v>849</v>
      </c>
      <c r="F127" s="54" t="n">
        <v>0</v>
      </c>
      <c r="G127" s="54" t="n">
        <v>0</v>
      </c>
      <c r="H127" s="52" t="n">
        <v>18.46</v>
      </c>
      <c r="I127" s="52" t="n">
        <v>19.38</v>
      </c>
    </row>
    <row r="128" customFormat="false" ht="15" hidden="false" customHeight="false" outlineLevel="0" collapsed="false">
      <c r="A128" s="52" t="s">
        <v>6742</v>
      </c>
      <c r="B128" s="52" t="n">
        <v>0</v>
      </c>
      <c r="C128" s="52" t="n">
        <v>2</v>
      </c>
      <c r="D128" s="52" t="n">
        <v>240</v>
      </c>
      <c r="E128" s="52" t="n">
        <v>195</v>
      </c>
      <c r="F128" s="54" t="n">
        <v>0</v>
      </c>
      <c r="G128" s="53" t="n">
        <v>0.0103</v>
      </c>
      <c r="H128" s="52" t="n">
        <v>13.65</v>
      </c>
      <c r="I128" s="52" t="n">
        <v>16.39</v>
      </c>
    </row>
    <row r="129" customFormat="false" ht="15" hidden="false" customHeight="false" outlineLevel="0" collapsed="false">
      <c r="A129" s="52" t="s">
        <v>6743</v>
      </c>
      <c r="B129" s="52" t="n">
        <v>0</v>
      </c>
      <c r="C129" s="52" t="n">
        <v>0</v>
      </c>
      <c r="D129" s="52" t="n">
        <v>218</v>
      </c>
      <c r="E129" s="52" t="n">
        <v>142</v>
      </c>
      <c r="F129" s="54" t="n">
        <v>0</v>
      </c>
      <c r="G129" s="54" t="n">
        <v>0</v>
      </c>
      <c r="H129" s="52" t="n">
        <v>12.5</v>
      </c>
      <c r="I129" s="52" t="n">
        <v>8.51</v>
      </c>
    </row>
    <row r="130" customFormat="false" ht="15" hidden="false" customHeight="false" outlineLevel="0" collapsed="false">
      <c r="A130" s="52" t="s">
        <v>6744</v>
      </c>
      <c r="B130" s="52" t="n">
        <v>0</v>
      </c>
      <c r="C130" s="52" t="n">
        <v>4</v>
      </c>
      <c r="D130" s="52" t="n">
        <v>217</v>
      </c>
      <c r="E130" s="52" t="n">
        <v>726</v>
      </c>
      <c r="F130" s="54" t="n">
        <v>0</v>
      </c>
      <c r="G130" s="53" t="n">
        <v>0.0055</v>
      </c>
      <c r="H130" s="52" t="n">
        <v>13.53</v>
      </c>
      <c r="I130" s="52" t="n">
        <v>11.96</v>
      </c>
    </row>
    <row r="131" customFormat="false" ht="15" hidden="false" customHeight="false" outlineLevel="0" collapsed="false">
      <c r="A131" s="52" t="s">
        <v>6745</v>
      </c>
      <c r="B131" s="52" t="n">
        <v>0</v>
      </c>
      <c r="C131" s="52" t="n">
        <v>0</v>
      </c>
      <c r="D131" s="52" t="n">
        <v>214</v>
      </c>
      <c r="E131" s="52" t="n">
        <v>571</v>
      </c>
      <c r="F131" s="54" t="n">
        <v>0</v>
      </c>
      <c r="G131" s="54" t="n">
        <v>0</v>
      </c>
      <c r="H131" s="52" t="n">
        <v>14.13</v>
      </c>
      <c r="I131" s="52" t="n">
        <v>15.34</v>
      </c>
    </row>
    <row r="132" customFormat="false" ht="15" hidden="false" customHeight="false" outlineLevel="0" collapsed="false">
      <c r="A132" s="52" t="s">
        <v>6746</v>
      </c>
      <c r="B132" s="52" t="n">
        <v>0</v>
      </c>
      <c r="C132" s="52" t="n">
        <v>6</v>
      </c>
      <c r="D132" s="52" t="n">
        <v>209</v>
      </c>
      <c r="E132" s="52" t="n">
        <v>1095</v>
      </c>
      <c r="F132" s="54" t="n">
        <v>0</v>
      </c>
      <c r="G132" s="53" t="n">
        <v>0.0055</v>
      </c>
      <c r="H132" s="52" t="n">
        <v>15.26</v>
      </c>
      <c r="I132" s="52" t="n">
        <v>12.2</v>
      </c>
    </row>
    <row r="133" customFormat="false" ht="15" hidden="false" customHeight="false" outlineLevel="0" collapsed="false">
      <c r="A133" s="52" t="s">
        <v>6747</v>
      </c>
      <c r="B133" s="52" t="n">
        <v>0</v>
      </c>
      <c r="C133" s="52" t="n">
        <v>0</v>
      </c>
      <c r="D133" s="52" t="n">
        <v>198</v>
      </c>
      <c r="E133" s="52" t="n">
        <v>540</v>
      </c>
      <c r="F133" s="54" t="n">
        <v>0</v>
      </c>
      <c r="G133" s="54" t="n">
        <v>0</v>
      </c>
      <c r="H133" s="52" t="n">
        <v>14.36</v>
      </c>
      <c r="I133" s="52" t="n">
        <v>12.21</v>
      </c>
    </row>
    <row r="134" customFormat="false" ht="15" hidden="false" customHeight="false" outlineLevel="0" collapsed="false">
      <c r="A134" s="52" t="s">
        <v>6748</v>
      </c>
      <c r="B134" s="52" t="n">
        <v>0</v>
      </c>
      <c r="C134" s="52" t="n">
        <v>0</v>
      </c>
      <c r="D134" s="52" t="n">
        <v>197</v>
      </c>
      <c r="E134" s="52" t="n">
        <v>616</v>
      </c>
      <c r="F134" s="54" t="n">
        <v>0</v>
      </c>
      <c r="G134" s="54" t="n">
        <v>0</v>
      </c>
      <c r="H134" s="52" t="n">
        <v>12.5</v>
      </c>
      <c r="I134" s="52" t="n">
        <v>11.55</v>
      </c>
    </row>
    <row r="135" customFormat="false" ht="15" hidden="false" customHeight="false" outlineLevel="0" collapsed="false">
      <c r="A135" s="52" t="s">
        <v>6749</v>
      </c>
      <c r="B135" s="52" t="n">
        <v>0</v>
      </c>
      <c r="C135" s="52" t="n">
        <v>3</v>
      </c>
      <c r="D135" s="52" t="n">
        <v>192</v>
      </c>
      <c r="E135" s="52" t="n">
        <v>547</v>
      </c>
      <c r="F135" s="54" t="n">
        <v>0</v>
      </c>
      <c r="G135" s="53" t="n">
        <v>0.0055</v>
      </c>
      <c r="H135" s="52" t="n">
        <v>16.24</v>
      </c>
      <c r="I135" s="52" t="n">
        <v>9.86</v>
      </c>
    </row>
    <row r="136" customFormat="false" ht="15" hidden="false" customHeight="false" outlineLevel="0" collapsed="false">
      <c r="A136" s="52" t="s">
        <v>6750</v>
      </c>
      <c r="B136" s="52" t="n">
        <v>0</v>
      </c>
      <c r="C136" s="52" t="n">
        <v>0</v>
      </c>
      <c r="D136" s="52" t="n">
        <v>164</v>
      </c>
      <c r="E136" s="52" t="n">
        <v>186</v>
      </c>
      <c r="F136" s="54" t="n">
        <v>0</v>
      </c>
      <c r="G136" s="54" t="n">
        <v>0</v>
      </c>
      <c r="H136" s="52" t="n">
        <v>16.7</v>
      </c>
      <c r="I136" s="52" t="n">
        <v>14.65</v>
      </c>
    </row>
    <row r="137" customFormat="false" ht="15" hidden="false" customHeight="false" outlineLevel="0" collapsed="false">
      <c r="A137" s="52" t="s">
        <v>6751</v>
      </c>
      <c r="B137" s="52" t="n">
        <v>0</v>
      </c>
      <c r="C137" s="52" t="n">
        <v>2</v>
      </c>
      <c r="D137" s="52" t="n">
        <v>154</v>
      </c>
      <c r="E137" s="52" t="n">
        <v>296</v>
      </c>
      <c r="F137" s="54" t="n">
        <v>0</v>
      </c>
      <c r="G137" s="53" t="n">
        <v>0.0068</v>
      </c>
      <c r="H137" s="52" t="n">
        <v>21.14</v>
      </c>
      <c r="I137" s="52" t="n">
        <v>15.84</v>
      </c>
    </row>
    <row r="138" customFormat="false" ht="15" hidden="false" customHeight="false" outlineLevel="0" collapsed="false">
      <c r="A138" s="52" t="s">
        <v>6752</v>
      </c>
      <c r="B138" s="52" t="n">
        <v>0</v>
      </c>
      <c r="C138" s="52" t="n">
        <v>0</v>
      </c>
      <c r="D138" s="52" t="n">
        <v>148</v>
      </c>
      <c r="E138" s="52" t="n">
        <v>454</v>
      </c>
      <c r="F138" s="54" t="n">
        <v>0</v>
      </c>
      <c r="G138" s="54" t="n">
        <v>0</v>
      </c>
      <c r="H138" s="52" t="n">
        <v>13.11</v>
      </c>
      <c r="I138" s="52" t="n">
        <v>15.73</v>
      </c>
    </row>
    <row r="139" customFormat="false" ht="15" hidden="false" customHeight="false" outlineLevel="0" collapsed="false">
      <c r="A139" s="52" t="s">
        <v>6753</v>
      </c>
      <c r="B139" s="52" t="n">
        <v>0</v>
      </c>
      <c r="C139" s="52" t="n">
        <v>0</v>
      </c>
      <c r="D139" s="52" t="n">
        <v>146</v>
      </c>
      <c r="E139" s="52" t="n">
        <v>90</v>
      </c>
      <c r="F139" s="54" t="n">
        <v>0</v>
      </c>
      <c r="G139" s="54" t="n">
        <v>0</v>
      </c>
      <c r="H139" s="52" t="n">
        <v>13.4</v>
      </c>
      <c r="I139" s="52" t="n">
        <v>11.43</v>
      </c>
    </row>
    <row r="140" customFormat="false" ht="15" hidden="false" customHeight="false" outlineLevel="0" collapsed="false">
      <c r="A140" s="52" t="s">
        <v>6754</v>
      </c>
      <c r="B140" s="52" t="n">
        <v>0</v>
      </c>
      <c r="C140" s="52" t="n">
        <v>1</v>
      </c>
      <c r="D140" s="52" t="n">
        <v>137</v>
      </c>
      <c r="E140" s="52" t="n">
        <v>300</v>
      </c>
      <c r="F140" s="54" t="n">
        <v>0</v>
      </c>
      <c r="G140" s="53" t="n">
        <v>0.0033</v>
      </c>
      <c r="H140" s="52" t="n">
        <v>10.33</v>
      </c>
      <c r="I140" s="52" t="n">
        <v>9.53</v>
      </c>
    </row>
    <row r="141" customFormat="false" ht="15" hidden="false" customHeight="false" outlineLevel="0" collapsed="false">
      <c r="A141" s="52" t="s">
        <v>6755</v>
      </c>
      <c r="B141" s="52" t="n">
        <v>0</v>
      </c>
      <c r="C141" s="52" t="n">
        <v>0</v>
      </c>
      <c r="D141" s="52" t="n">
        <v>136</v>
      </c>
      <c r="E141" s="52" t="n">
        <v>279</v>
      </c>
      <c r="F141" s="54" t="n">
        <v>0</v>
      </c>
      <c r="G141" s="54" t="n">
        <v>0</v>
      </c>
      <c r="H141" s="52" t="n">
        <v>8.4</v>
      </c>
      <c r="I141" s="52" t="n">
        <v>8.13</v>
      </c>
    </row>
    <row r="142" customFormat="false" ht="15" hidden="false" customHeight="false" outlineLevel="0" collapsed="false">
      <c r="A142" s="52" t="s">
        <v>6756</v>
      </c>
      <c r="B142" s="52" t="n">
        <v>0</v>
      </c>
      <c r="C142" s="52" t="n">
        <v>3</v>
      </c>
      <c r="D142" s="52" t="n">
        <v>131</v>
      </c>
      <c r="E142" s="52" t="n">
        <v>93</v>
      </c>
      <c r="F142" s="54" t="n">
        <v>0</v>
      </c>
      <c r="G142" s="53" t="n">
        <v>0.0323</v>
      </c>
      <c r="H142" s="52" t="n">
        <v>9.08</v>
      </c>
      <c r="I142" s="52" t="n">
        <v>8.3</v>
      </c>
    </row>
    <row r="143" customFormat="false" ht="15" hidden="false" customHeight="false" outlineLevel="0" collapsed="false">
      <c r="A143" s="52" t="s">
        <v>6757</v>
      </c>
      <c r="B143" s="52" t="n">
        <v>0</v>
      </c>
      <c r="C143" s="52" t="n">
        <v>1</v>
      </c>
      <c r="D143" s="52" t="n">
        <v>123</v>
      </c>
      <c r="E143" s="52" t="n">
        <v>219</v>
      </c>
      <c r="F143" s="54" t="n">
        <v>0</v>
      </c>
      <c r="G143" s="53" t="n">
        <v>0.0046</v>
      </c>
      <c r="H143" s="52" t="n">
        <v>15.67</v>
      </c>
      <c r="I143" s="52" t="n">
        <v>10.84</v>
      </c>
    </row>
    <row r="144" customFormat="false" ht="15" hidden="false" customHeight="false" outlineLevel="0" collapsed="false">
      <c r="A144" s="52" t="s">
        <v>6758</v>
      </c>
      <c r="B144" s="52" t="n">
        <v>0</v>
      </c>
      <c r="C144" s="52" t="n">
        <v>1</v>
      </c>
      <c r="D144" s="52" t="n">
        <v>120</v>
      </c>
      <c r="E144" s="52" t="n">
        <v>528</v>
      </c>
      <c r="F144" s="54" t="n">
        <v>0</v>
      </c>
      <c r="G144" s="53" t="n">
        <v>0.0019</v>
      </c>
      <c r="H144" s="52" t="n">
        <v>8.58</v>
      </c>
      <c r="I144" s="52" t="n">
        <v>10.58</v>
      </c>
    </row>
    <row r="145" customFormat="false" ht="15" hidden="false" customHeight="false" outlineLevel="0" collapsed="false">
      <c r="A145" s="52" t="s">
        <v>6759</v>
      </c>
      <c r="B145" s="52" t="n">
        <v>0</v>
      </c>
      <c r="C145" s="52" t="n">
        <v>1</v>
      </c>
      <c r="D145" s="52" t="n">
        <v>120</v>
      </c>
      <c r="E145" s="52" t="n">
        <v>149</v>
      </c>
      <c r="F145" s="54" t="n">
        <v>0</v>
      </c>
      <c r="G145" s="53" t="n">
        <v>0.0067</v>
      </c>
      <c r="H145" s="52" t="n">
        <v>17.53</v>
      </c>
      <c r="I145" s="52" t="n">
        <v>14.21</v>
      </c>
    </row>
    <row r="146" customFormat="false" ht="15" hidden="false" customHeight="false" outlineLevel="0" collapsed="false">
      <c r="A146" s="52" t="s">
        <v>6760</v>
      </c>
      <c r="B146" s="52" t="n">
        <v>0</v>
      </c>
      <c r="C146" s="52" t="n">
        <v>0</v>
      </c>
      <c r="D146" s="52" t="n">
        <v>113</v>
      </c>
      <c r="E146" s="52" t="n">
        <v>378</v>
      </c>
      <c r="F146" s="54" t="n">
        <v>0</v>
      </c>
      <c r="G146" s="54" t="n">
        <v>0</v>
      </c>
      <c r="H146" s="52" t="n">
        <v>12.83</v>
      </c>
      <c r="I146" s="52" t="n">
        <v>17.1</v>
      </c>
    </row>
    <row r="147" customFormat="false" ht="15" hidden="false" customHeight="false" outlineLevel="0" collapsed="false">
      <c r="A147" s="52" t="s">
        <v>6761</v>
      </c>
      <c r="B147" s="52" t="n">
        <v>0</v>
      </c>
      <c r="C147" s="52" t="n">
        <v>1</v>
      </c>
      <c r="D147" s="52" t="n">
        <v>110</v>
      </c>
      <c r="E147" s="52" t="n">
        <v>231</v>
      </c>
      <c r="F147" s="54" t="n">
        <v>0</v>
      </c>
      <c r="G147" s="53" t="n">
        <v>0.0043</v>
      </c>
      <c r="H147" s="52" t="n">
        <v>10.19</v>
      </c>
      <c r="I147" s="52" t="n">
        <v>8.37</v>
      </c>
    </row>
    <row r="148" customFormat="false" ht="15" hidden="false" customHeight="false" outlineLevel="0" collapsed="false">
      <c r="A148" s="52" t="s">
        <v>6762</v>
      </c>
      <c r="B148" s="52" t="n">
        <v>0</v>
      </c>
      <c r="C148" s="52" t="n">
        <v>0</v>
      </c>
      <c r="D148" s="52" t="n">
        <v>107</v>
      </c>
      <c r="E148" s="52" t="n">
        <v>236</v>
      </c>
      <c r="F148" s="54" t="n">
        <v>0</v>
      </c>
      <c r="G148" s="54" t="n">
        <v>0</v>
      </c>
      <c r="H148" s="52" t="n">
        <v>13.97</v>
      </c>
      <c r="I148" s="52" t="n">
        <v>8.39</v>
      </c>
    </row>
    <row r="149" customFormat="false" ht="15" hidden="false" customHeight="false" outlineLevel="0" collapsed="false">
      <c r="A149" s="52" t="s">
        <v>6763</v>
      </c>
      <c r="B149" s="52" t="n">
        <v>0</v>
      </c>
      <c r="C149" s="52" t="n">
        <v>2</v>
      </c>
      <c r="D149" s="52" t="n">
        <v>105</v>
      </c>
      <c r="E149" s="52" t="n">
        <v>503</v>
      </c>
      <c r="F149" s="54" t="n">
        <v>0</v>
      </c>
      <c r="G149" s="53" t="n">
        <v>0.004</v>
      </c>
      <c r="H149" s="52" t="n">
        <v>10.12</v>
      </c>
      <c r="I149" s="52" t="n">
        <v>7.89</v>
      </c>
    </row>
    <row r="150" customFormat="false" ht="15" hidden="false" customHeight="false" outlineLevel="0" collapsed="false">
      <c r="A150" s="52" t="s">
        <v>6764</v>
      </c>
      <c r="B150" s="52" t="n">
        <v>0</v>
      </c>
      <c r="C150" s="52" t="n">
        <v>0</v>
      </c>
      <c r="D150" s="52" t="n">
        <v>105</v>
      </c>
      <c r="E150" s="52" t="n">
        <v>198</v>
      </c>
      <c r="F150" s="54" t="n">
        <v>0</v>
      </c>
      <c r="G150" s="54" t="n">
        <v>0</v>
      </c>
      <c r="H150" s="52" t="n">
        <v>12.45</v>
      </c>
      <c r="I150" s="52" t="n">
        <v>11.47</v>
      </c>
    </row>
    <row r="151" customFormat="false" ht="15" hidden="false" customHeight="false" outlineLevel="0" collapsed="false">
      <c r="A151" s="52" t="s">
        <v>6765</v>
      </c>
      <c r="B151" s="52" t="n">
        <v>0</v>
      </c>
      <c r="C151" s="52" t="n">
        <v>0</v>
      </c>
      <c r="D151" s="52" t="n">
        <v>103</v>
      </c>
      <c r="E151" s="52" t="n">
        <v>96</v>
      </c>
      <c r="F151" s="54" t="n">
        <v>0</v>
      </c>
      <c r="G151" s="54" t="n">
        <v>0</v>
      </c>
      <c r="H151" s="52" t="n">
        <v>10.3</v>
      </c>
      <c r="I151" s="52" t="n">
        <v>7.47</v>
      </c>
    </row>
    <row r="152" customFormat="false" ht="15" hidden="false" customHeight="false" outlineLevel="0" collapsed="false">
      <c r="A152" s="52" t="s">
        <v>6766</v>
      </c>
      <c r="B152" s="52" t="n">
        <v>0</v>
      </c>
      <c r="C152" s="52" t="n">
        <v>4</v>
      </c>
      <c r="D152" s="52" t="n">
        <v>99</v>
      </c>
      <c r="E152" s="52" t="n">
        <v>472</v>
      </c>
      <c r="F152" s="54" t="n">
        <v>0</v>
      </c>
      <c r="G152" s="53" t="n">
        <v>0.0085</v>
      </c>
      <c r="H152" s="52" t="n">
        <v>8.48</v>
      </c>
      <c r="I152" s="52" t="n">
        <v>8.05</v>
      </c>
    </row>
    <row r="153" customFormat="false" ht="15" hidden="false" customHeight="false" outlineLevel="0" collapsed="false">
      <c r="A153" s="52" t="s">
        <v>6767</v>
      </c>
      <c r="B153" s="52" t="n">
        <v>0</v>
      </c>
      <c r="C153" s="52" t="n">
        <v>1</v>
      </c>
      <c r="D153" s="52" t="n">
        <v>81</v>
      </c>
      <c r="E153" s="52" t="n">
        <v>254</v>
      </c>
      <c r="F153" s="54" t="n">
        <v>0</v>
      </c>
      <c r="G153" s="53" t="n">
        <v>0.0039</v>
      </c>
      <c r="H153" s="52" t="n">
        <v>18.48</v>
      </c>
      <c r="I153" s="52" t="n">
        <v>13.22</v>
      </c>
    </row>
    <row r="154" customFormat="false" ht="15" hidden="false" customHeight="false" outlineLevel="0" collapsed="false">
      <c r="A154" s="52" t="s">
        <v>6768</v>
      </c>
      <c r="B154" s="52" t="n">
        <v>0</v>
      </c>
      <c r="C154" s="52" t="n">
        <v>0</v>
      </c>
      <c r="D154" s="52" t="n">
        <v>80</v>
      </c>
      <c r="E154" s="52" t="n">
        <v>126</v>
      </c>
      <c r="F154" s="54" t="n">
        <v>0</v>
      </c>
      <c r="G154" s="54" t="n">
        <v>0</v>
      </c>
      <c r="H154" s="52" t="n">
        <v>11.4</v>
      </c>
      <c r="I154" s="52" t="n">
        <v>11.27</v>
      </c>
    </row>
    <row r="155" customFormat="false" ht="15" hidden="false" customHeight="false" outlineLevel="0" collapsed="false">
      <c r="A155" s="52" t="s">
        <v>6769</v>
      </c>
      <c r="B155" s="52" t="n">
        <v>0</v>
      </c>
      <c r="C155" s="52" t="n">
        <v>0</v>
      </c>
      <c r="D155" s="52" t="n">
        <v>80</v>
      </c>
      <c r="E155" s="52" t="n">
        <v>178</v>
      </c>
      <c r="F155" s="54" t="n">
        <v>0</v>
      </c>
      <c r="G155" s="54" t="n">
        <v>0</v>
      </c>
      <c r="H155" s="52" t="n">
        <v>13.05</v>
      </c>
      <c r="I155" s="52" t="n">
        <v>9.21</v>
      </c>
    </row>
    <row r="156" customFormat="false" ht="15" hidden="false" customHeight="false" outlineLevel="0" collapsed="false">
      <c r="A156" s="52" t="s">
        <v>6770</v>
      </c>
      <c r="B156" s="52" t="n">
        <v>0</v>
      </c>
      <c r="C156" s="52" t="n">
        <v>1</v>
      </c>
      <c r="D156" s="52" t="n">
        <v>75</v>
      </c>
      <c r="E156" s="52" t="n">
        <v>247</v>
      </c>
      <c r="F156" s="54" t="n">
        <v>0</v>
      </c>
      <c r="G156" s="53" t="n">
        <v>0.004</v>
      </c>
      <c r="H156" s="52" t="n">
        <v>8.59</v>
      </c>
      <c r="I156" s="52" t="n">
        <v>7.28</v>
      </c>
    </row>
    <row r="157" customFormat="false" ht="15" hidden="false" customHeight="false" outlineLevel="0" collapsed="false">
      <c r="A157" s="52" t="s">
        <v>6771</v>
      </c>
      <c r="B157" s="52" t="n">
        <v>0</v>
      </c>
      <c r="C157" s="52" t="n">
        <v>0</v>
      </c>
      <c r="D157" s="52" t="n">
        <v>73</v>
      </c>
      <c r="E157" s="52" t="n">
        <v>122</v>
      </c>
      <c r="F157" s="54" t="n">
        <v>0</v>
      </c>
      <c r="G157" s="54" t="n">
        <v>0</v>
      </c>
      <c r="H157" s="52" t="n">
        <v>9.07</v>
      </c>
      <c r="I157" s="52" t="n">
        <v>7.2</v>
      </c>
    </row>
    <row r="158" customFormat="false" ht="15" hidden="false" customHeight="false" outlineLevel="0" collapsed="false">
      <c r="A158" s="52" t="s">
        <v>6772</v>
      </c>
      <c r="B158" s="52" t="n">
        <v>0</v>
      </c>
      <c r="C158" s="52" t="n">
        <v>1</v>
      </c>
      <c r="D158" s="52" t="n">
        <v>72</v>
      </c>
      <c r="E158" s="52" t="n">
        <v>271</v>
      </c>
      <c r="F158" s="54" t="n">
        <v>0</v>
      </c>
      <c r="G158" s="53" t="n">
        <v>0.0037</v>
      </c>
      <c r="H158" s="52" t="n">
        <v>6.99</v>
      </c>
      <c r="I158" s="52" t="n">
        <v>7.61</v>
      </c>
    </row>
    <row r="159" customFormat="false" ht="15" hidden="false" customHeight="false" outlineLevel="0" collapsed="false">
      <c r="A159" s="52" t="s">
        <v>6773</v>
      </c>
      <c r="B159" s="52" t="n">
        <v>0</v>
      </c>
      <c r="C159" s="52" t="n">
        <v>0</v>
      </c>
      <c r="D159" s="52" t="n">
        <v>66</v>
      </c>
      <c r="E159" s="52" t="n">
        <v>205</v>
      </c>
      <c r="F159" s="54" t="n">
        <v>0</v>
      </c>
      <c r="G159" s="54" t="n">
        <v>0</v>
      </c>
      <c r="H159" s="52" t="n">
        <v>7.55</v>
      </c>
      <c r="I159" s="52" t="n">
        <v>7.32</v>
      </c>
    </row>
    <row r="160" customFormat="false" ht="15" hidden="false" customHeight="false" outlineLevel="0" collapsed="false">
      <c r="A160" s="52" t="s">
        <v>6774</v>
      </c>
      <c r="B160" s="52" t="n">
        <v>0</v>
      </c>
      <c r="C160" s="52" t="n">
        <v>0</v>
      </c>
      <c r="D160" s="52" t="n">
        <v>64</v>
      </c>
      <c r="E160" s="52" t="n">
        <v>312</v>
      </c>
      <c r="F160" s="54" t="n">
        <v>0</v>
      </c>
      <c r="G160" s="54" t="n">
        <v>0</v>
      </c>
      <c r="H160" s="52" t="n">
        <v>19.53</v>
      </c>
      <c r="I160" s="52" t="n">
        <v>12.12</v>
      </c>
    </row>
    <row r="161" customFormat="false" ht="15" hidden="false" customHeight="false" outlineLevel="0" collapsed="false">
      <c r="A161" s="52" t="s">
        <v>6775</v>
      </c>
      <c r="B161" s="52" t="n">
        <v>0</v>
      </c>
      <c r="C161" s="52" t="n">
        <v>0</v>
      </c>
      <c r="D161" s="52" t="n">
        <v>62</v>
      </c>
      <c r="E161" s="52" t="n">
        <v>58</v>
      </c>
      <c r="F161" s="54" t="n">
        <v>0</v>
      </c>
      <c r="G161" s="54" t="n">
        <v>0</v>
      </c>
      <c r="H161" s="52" t="n">
        <v>9.63</v>
      </c>
      <c r="I161" s="52" t="n">
        <v>8.81</v>
      </c>
    </row>
    <row r="162" customFormat="false" ht="15" hidden="false" customHeight="false" outlineLevel="0" collapsed="false">
      <c r="A162" s="52" t="s">
        <v>6776</v>
      </c>
      <c r="B162" s="52" t="n">
        <v>0</v>
      </c>
      <c r="C162" s="52" t="n">
        <v>0</v>
      </c>
      <c r="D162" s="52" t="n">
        <v>61</v>
      </c>
      <c r="E162" s="52" t="n">
        <v>209</v>
      </c>
      <c r="F162" s="54" t="n">
        <v>0</v>
      </c>
      <c r="G162" s="54" t="n">
        <v>0</v>
      </c>
      <c r="H162" s="52" t="n">
        <v>10.18</v>
      </c>
      <c r="I162" s="52" t="n">
        <v>9.88</v>
      </c>
    </row>
    <row r="163" customFormat="false" ht="15" hidden="false" customHeight="false" outlineLevel="0" collapsed="false">
      <c r="A163" s="52" t="s">
        <v>6777</v>
      </c>
      <c r="B163" s="52" t="n">
        <v>0</v>
      </c>
      <c r="C163" s="52" t="n">
        <v>0</v>
      </c>
      <c r="D163" s="52" t="n">
        <v>57</v>
      </c>
      <c r="E163" s="52" t="n">
        <v>55</v>
      </c>
      <c r="F163" s="54" t="n">
        <v>0</v>
      </c>
      <c r="G163" s="54" t="n">
        <v>0</v>
      </c>
      <c r="H163" s="52" t="n">
        <v>13.89</v>
      </c>
      <c r="I163" s="52" t="n">
        <v>16.96</v>
      </c>
    </row>
    <row r="164" customFormat="false" ht="15" hidden="false" customHeight="false" outlineLevel="0" collapsed="false">
      <c r="A164" s="52" t="s">
        <v>6778</v>
      </c>
      <c r="B164" s="52" t="n">
        <v>0</v>
      </c>
      <c r="C164" s="52" t="n">
        <v>1</v>
      </c>
      <c r="D164" s="52" t="n">
        <v>56</v>
      </c>
      <c r="E164" s="52" t="n">
        <v>225</v>
      </c>
      <c r="F164" s="54" t="n">
        <v>0</v>
      </c>
      <c r="G164" s="53" t="n">
        <v>0.0044</v>
      </c>
      <c r="H164" s="52" t="n">
        <v>16.14</v>
      </c>
      <c r="I164" s="52" t="n">
        <v>12.08</v>
      </c>
    </row>
    <row r="165" customFormat="false" ht="15" hidden="false" customHeight="false" outlineLevel="0" collapsed="false">
      <c r="A165" s="52" t="s">
        <v>6779</v>
      </c>
      <c r="B165" s="52" t="n">
        <v>0</v>
      </c>
      <c r="C165" s="52" t="n">
        <v>0</v>
      </c>
      <c r="D165" s="52" t="n">
        <v>54</v>
      </c>
      <c r="E165" s="52" t="n">
        <v>118</v>
      </c>
      <c r="F165" s="54" t="n">
        <v>0</v>
      </c>
      <c r="G165" s="54" t="n">
        <v>0</v>
      </c>
      <c r="H165" s="52" t="n">
        <v>7.46</v>
      </c>
      <c r="I165" s="52" t="n">
        <v>7.19</v>
      </c>
    </row>
    <row r="166" customFormat="false" ht="15" hidden="false" customHeight="false" outlineLevel="0" collapsed="false">
      <c r="A166" s="52" t="s">
        <v>6780</v>
      </c>
      <c r="B166" s="52" t="n">
        <v>0</v>
      </c>
      <c r="C166" s="52" t="n">
        <v>0</v>
      </c>
      <c r="D166" s="52" t="n">
        <v>51</v>
      </c>
      <c r="E166" s="52" t="n">
        <v>92</v>
      </c>
      <c r="F166" s="54" t="n">
        <v>0</v>
      </c>
      <c r="G166" s="54" t="n">
        <v>0</v>
      </c>
      <c r="H166" s="52" t="n">
        <v>8.02</v>
      </c>
      <c r="I166" s="52" t="n">
        <v>7.37</v>
      </c>
    </row>
    <row r="167" customFormat="false" ht="15" hidden="false" customHeight="false" outlineLevel="0" collapsed="false">
      <c r="A167" s="52" t="s">
        <v>6781</v>
      </c>
      <c r="B167" s="52" t="n">
        <v>0</v>
      </c>
      <c r="C167" s="52" t="n">
        <v>0</v>
      </c>
      <c r="D167" s="52" t="n">
        <v>50</v>
      </c>
      <c r="E167" s="52" t="n">
        <v>90</v>
      </c>
      <c r="F167" s="54" t="n">
        <v>0</v>
      </c>
      <c r="G167" s="54" t="n">
        <v>0</v>
      </c>
      <c r="H167" s="52" t="n">
        <v>7.1</v>
      </c>
      <c r="I167" s="52" t="n">
        <v>7.28</v>
      </c>
    </row>
    <row r="168" customFormat="false" ht="15" hidden="false" customHeight="false" outlineLevel="0" collapsed="false">
      <c r="A168" s="52" t="s">
        <v>6782</v>
      </c>
      <c r="B168" s="52" t="n">
        <v>0</v>
      </c>
      <c r="C168" s="52" t="n">
        <v>0</v>
      </c>
      <c r="D168" s="52" t="n">
        <v>47</v>
      </c>
      <c r="E168" s="52" t="n">
        <v>61</v>
      </c>
      <c r="F168" s="54" t="n">
        <v>0</v>
      </c>
      <c r="G168" s="54" t="n">
        <v>0</v>
      </c>
      <c r="H168" s="52" t="n">
        <v>12.55</v>
      </c>
      <c r="I168" s="52" t="n">
        <v>14.62</v>
      </c>
    </row>
    <row r="169" customFormat="false" ht="15" hidden="false" customHeight="false" outlineLevel="0" collapsed="false">
      <c r="A169" s="52" t="s">
        <v>6783</v>
      </c>
      <c r="B169" s="52" t="n">
        <v>0</v>
      </c>
      <c r="C169" s="52" t="n">
        <v>0</v>
      </c>
      <c r="D169" s="52" t="n">
        <v>47</v>
      </c>
      <c r="E169" s="52" t="n">
        <v>70</v>
      </c>
      <c r="F169" s="54" t="n">
        <v>0</v>
      </c>
      <c r="G169" s="54" t="n">
        <v>0</v>
      </c>
      <c r="H169" s="52" t="n">
        <v>15.04</v>
      </c>
      <c r="I169" s="52" t="n">
        <v>12.8</v>
      </c>
    </row>
    <row r="170" customFormat="false" ht="15" hidden="false" customHeight="false" outlineLevel="0" collapsed="false">
      <c r="A170" s="52" t="s">
        <v>6784</v>
      </c>
      <c r="B170" s="52" t="n">
        <v>0</v>
      </c>
      <c r="C170" s="52" t="n">
        <v>0</v>
      </c>
      <c r="D170" s="52" t="n">
        <v>47</v>
      </c>
      <c r="E170" s="52" t="n">
        <v>120</v>
      </c>
      <c r="F170" s="54" t="n">
        <v>0</v>
      </c>
      <c r="G170" s="54" t="n">
        <v>0</v>
      </c>
      <c r="H170" s="52" t="n">
        <v>18.15</v>
      </c>
      <c r="I170" s="52" t="n">
        <v>13.81</v>
      </c>
    </row>
    <row r="171" customFormat="false" ht="15" hidden="false" customHeight="false" outlineLevel="0" collapsed="false">
      <c r="A171" s="52" t="s">
        <v>6785</v>
      </c>
      <c r="B171" s="52" t="n">
        <v>0</v>
      </c>
      <c r="C171" s="52" t="n">
        <v>2</v>
      </c>
      <c r="D171" s="52" t="n">
        <v>43</v>
      </c>
      <c r="E171" s="52" t="n">
        <v>112</v>
      </c>
      <c r="F171" s="54" t="n">
        <v>0</v>
      </c>
      <c r="G171" s="53" t="n">
        <v>0.0179</v>
      </c>
      <c r="H171" s="52" t="n">
        <v>10.86</v>
      </c>
      <c r="I171" s="52" t="n">
        <v>9.75</v>
      </c>
    </row>
    <row r="172" customFormat="false" ht="15" hidden="false" customHeight="false" outlineLevel="0" collapsed="false">
      <c r="A172" s="52" t="s">
        <v>6786</v>
      </c>
      <c r="B172" s="52" t="n">
        <v>0</v>
      </c>
      <c r="C172" s="52" t="n">
        <v>1</v>
      </c>
      <c r="D172" s="52" t="n">
        <v>40</v>
      </c>
      <c r="E172" s="52" t="n">
        <v>38</v>
      </c>
      <c r="F172" s="54" t="n">
        <v>0</v>
      </c>
      <c r="G172" s="53" t="n">
        <v>0.0263</v>
      </c>
      <c r="H172" s="52" t="n">
        <v>8.9</v>
      </c>
      <c r="I172" s="52" t="n">
        <v>5.37</v>
      </c>
    </row>
    <row r="173" customFormat="false" ht="15" hidden="false" customHeight="false" outlineLevel="0" collapsed="false">
      <c r="A173" s="52" t="s">
        <v>6787</v>
      </c>
      <c r="B173" s="52" t="n">
        <v>0</v>
      </c>
      <c r="C173" s="52" t="n">
        <v>1</v>
      </c>
      <c r="D173" s="52" t="n">
        <v>39</v>
      </c>
      <c r="E173" s="52" t="n">
        <v>101</v>
      </c>
      <c r="F173" s="54" t="n">
        <v>0</v>
      </c>
      <c r="G173" s="53" t="n">
        <v>0.0099</v>
      </c>
      <c r="H173" s="52" t="n">
        <v>7.38</v>
      </c>
      <c r="I173" s="52" t="n">
        <v>10.54</v>
      </c>
    </row>
    <row r="174" customFormat="false" ht="15" hidden="false" customHeight="false" outlineLevel="0" collapsed="false">
      <c r="A174" s="52" t="s">
        <v>6788</v>
      </c>
      <c r="B174" s="52" t="n">
        <v>0</v>
      </c>
      <c r="C174" s="52" t="n">
        <v>0</v>
      </c>
      <c r="D174" s="52" t="n">
        <v>38</v>
      </c>
      <c r="E174" s="52" t="n">
        <v>45</v>
      </c>
      <c r="F174" s="54" t="n">
        <v>0</v>
      </c>
      <c r="G174" s="54" t="n">
        <v>0</v>
      </c>
      <c r="H174" s="52" t="n">
        <v>13.76</v>
      </c>
      <c r="I174" s="52" t="n">
        <v>10.98</v>
      </c>
    </row>
    <row r="175" customFormat="false" ht="15" hidden="false" customHeight="false" outlineLevel="0" collapsed="false">
      <c r="A175" s="52" t="s">
        <v>6789</v>
      </c>
      <c r="B175" s="52" t="n">
        <v>0</v>
      </c>
      <c r="C175" s="52" t="n">
        <v>0</v>
      </c>
      <c r="D175" s="52" t="n">
        <v>36</v>
      </c>
      <c r="E175" s="52" t="n">
        <v>55</v>
      </c>
      <c r="F175" s="54" t="n">
        <v>0</v>
      </c>
      <c r="G175" s="54" t="n">
        <v>0</v>
      </c>
      <c r="H175" s="52" t="n">
        <v>8.08</v>
      </c>
      <c r="I175" s="52" t="n">
        <v>9.27</v>
      </c>
    </row>
    <row r="176" customFormat="false" ht="15" hidden="false" customHeight="false" outlineLevel="0" collapsed="false">
      <c r="A176" s="52" t="s">
        <v>6790</v>
      </c>
      <c r="B176" s="52" t="n">
        <v>0</v>
      </c>
      <c r="C176" s="52" t="n">
        <v>0</v>
      </c>
      <c r="D176" s="52" t="n">
        <v>33</v>
      </c>
      <c r="E176" s="52" t="n">
        <v>85</v>
      </c>
      <c r="F176" s="54" t="n">
        <v>0</v>
      </c>
      <c r="G176" s="54" t="n">
        <v>0</v>
      </c>
      <c r="H176" s="52" t="n">
        <v>21.73</v>
      </c>
      <c r="I176" s="52" t="n">
        <v>11</v>
      </c>
    </row>
    <row r="177" customFormat="false" ht="15" hidden="false" customHeight="false" outlineLevel="0" collapsed="false">
      <c r="A177" s="52" t="s">
        <v>6791</v>
      </c>
      <c r="B177" s="52" t="n">
        <v>0</v>
      </c>
      <c r="C177" s="52" t="n">
        <v>0</v>
      </c>
      <c r="D177" s="52" t="n">
        <v>32</v>
      </c>
      <c r="E177" s="52" t="n">
        <v>93</v>
      </c>
      <c r="F177" s="54" t="n">
        <v>0</v>
      </c>
      <c r="G177" s="54" t="n">
        <v>0</v>
      </c>
      <c r="H177" s="52" t="n">
        <v>8.03</v>
      </c>
      <c r="I177" s="52" t="n">
        <v>8</v>
      </c>
    </row>
    <row r="178" customFormat="false" ht="15" hidden="false" customHeight="false" outlineLevel="0" collapsed="false">
      <c r="A178" s="52" t="s">
        <v>6792</v>
      </c>
      <c r="B178" s="52" t="n">
        <v>0</v>
      </c>
      <c r="C178" s="52" t="n">
        <v>1</v>
      </c>
      <c r="D178" s="52" t="n">
        <v>29</v>
      </c>
      <c r="E178" s="52" t="n">
        <v>261</v>
      </c>
      <c r="F178" s="54" t="n">
        <v>0</v>
      </c>
      <c r="G178" s="53" t="n">
        <v>0.0038</v>
      </c>
      <c r="H178" s="52" t="n">
        <v>6.93</v>
      </c>
      <c r="I178" s="52" t="n">
        <v>6.07</v>
      </c>
    </row>
    <row r="179" customFormat="false" ht="15" hidden="false" customHeight="false" outlineLevel="0" collapsed="false">
      <c r="A179" s="52" t="s">
        <v>6793</v>
      </c>
      <c r="B179" s="52" t="n">
        <v>0</v>
      </c>
      <c r="C179" s="52" t="n">
        <v>0</v>
      </c>
      <c r="D179" s="52" t="n">
        <v>28</v>
      </c>
      <c r="E179" s="52" t="n">
        <v>39</v>
      </c>
      <c r="F179" s="54" t="n">
        <v>0</v>
      </c>
      <c r="G179" s="54" t="n">
        <v>0</v>
      </c>
      <c r="H179" s="52" t="n">
        <v>9.29</v>
      </c>
      <c r="I179" s="52" t="n">
        <v>7.82</v>
      </c>
    </row>
    <row r="180" customFormat="false" ht="15" hidden="false" customHeight="false" outlineLevel="0" collapsed="false">
      <c r="A180" s="52" t="s">
        <v>6794</v>
      </c>
      <c r="B180" s="52" t="n">
        <v>0</v>
      </c>
      <c r="C180" s="52" t="n">
        <v>1</v>
      </c>
      <c r="D180" s="52" t="n">
        <v>27</v>
      </c>
      <c r="E180" s="52" t="n">
        <v>21</v>
      </c>
      <c r="F180" s="54" t="n">
        <v>0</v>
      </c>
      <c r="G180" s="53" t="n">
        <v>0.0476</v>
      </c>
      <c r="H180" s="52" t="n">
        <v>10.78</v>
      </c>
      <c r="I180" s="52" t="n">
        <v>6.57</v>
      </c>
    </row>
    <row r="181" customFormat="false" ht="15" hidden="false" customHeight="false" outlineLevel="0" collapsed="false">
      <c r="A181" s="52" t="s">
        <v>6795</v>
      </c>
      <c r="B181" s="52" t="n">
        <v>0</v>
      </c>
      <c r="C181" s="52" t="n">
        <v>0</v>
      </c>
      <c r="D181" s="52" t="n">
        <v>26</v>
      </c>
      <c r="E181" s="52" t="n">
        <v>20</v>
      </c>
      <c r="F181" s="54" t="n">
        <v>0</v>
      </c>
      <c r="G181" s="54" t="n">
        <v>0</v>
      </c>
      <c r="H181" s="52" t="n">
        <v>6.19</v>
      </c>
      <c r="I181" s="52" t="n">
        <v>7.35</v>
      </c>
    </row>
    <row r="182" customFormat="false" ht="15" hidden="false" customHeight="false" outlineLevel="0" collapsed="false">
      <c r="A182" s="52" t="s">
        <v>6796</v>
      </c>
      <c r="B182" s="52" t="n">
        <v>0</v>
      </c>
      <c r="C182" s="52" t="n">
        <v>1</v>
      </c>
      <c r="D182" s="52" t="n">
        <v>26</v>
      </c>
      <c r="E182" s="52" t="n">
        <v>54</v>
      </c>
      <c r="F182" s="54" t="n">
        <v>0</v>
      </c>
      <c r="G182" s="53" t="n">
        <v>0.0185</v>
      </c>
      <c r="H182" s="52" t="n">
        <v>9.96</v>
      </c>
      <c r="I182" s="52" t="n">
        <v>7.67</v>
      </c>
    </row>
    <row r="183" customFormat="false" ht="15" hidden="false" customHeight="false" outlineLevel="0" collapsed="false">
      <c r="A183" s="52" t="s">
        <v>6797</v>
      </c>
      <c r="B183" s="52" t="n">
        <v>0</v>
      </c>
      <c r="C183" s="52" t="n">
        <v>0</v>
      </c>
      <c r="D183" s="52" t="n">
        <v>20</v>
      </c>
      <c r="E183" s="52" t="n">
        <v>60</v>
      </c>
      <c r="F183" s="54" t="n">
        <v>0</v>
      </c>
      <c r="G183" s="54" t="n">
        <v>0</v>
      </c>
      <c r="H183" s="52" t="n">
        <v>10.45</v>
      </c>
      <c r="I183" s="52" t="n">
        <v>8.47</v>
      </c>
    </row>
    <row r="184" customFormat="false" ht="15" hidden="false" customHeight="false" outlineLevel="0" collapsed="false">
      <c r="A184" s="52" t="s">
        <v>6798</v>
      </c>
      <c r="B184" s="52" t="n">
        <v>0</v>
      </c>
      <c r="C184" s="52" t="n">
        <v>0</v>
      </c>
      <c r="D184" s="52" t="n">
        <v>20</v>
      </c>
      <c r="E184" s="52" t="n">
        <v>61</v>
      </c>
      <c r="F184" s="54" t="n">
        <v>0</v>
      </c>
      <c r="G184" s="54" t="n">
        <v>0</v>
      </c>
      <c r="H184" s="52" t="n">
        <v>11.05</v>
      </c>
      <c r="I184" s="52" t="n">
        <v>6.98</v>
      </c>
    </row>
    <row r="185" customFormat="false" ht="15" hidden="false" customHeight="false" outlineLevel="0" collapsed="false">
      <c r="A185" s="52" t="s">
        <v>6799</v>
      </c>
      <c r="B185" s="52" t="n">
        <v>0</v>
      </c>
      <c r="C185" s="52" t="n">
        <v>0</v>
      </c>
      <c r="D185" s="52" t="n">
        <v>20</v>
      </c>
      <c r="E185" s="52" t="n">
        <v>59</v>
      </c>
      <c r="F185" s="54" t="n">
        <v>0</v>
      </c>
      <c r="G185" s="54" t="n">
        <v>0</v>
      </c>
      <c r="H185" s="52" t="n">
        <v>16.7</v>
      </c>
      <c r="I185" s="52" t="n">
        <v>12.2</v>
      </c>
    </row>
    <row r="186" customFormat="false" ht="15" hidden="false" customHeight="false" outlineLevel="0" collapsed="false">
      <c r="A186" s="52" t="s">
        <v>6800</v>
      </c>
      <c r="B186" s="52" t="n">
        <v>0</v>
      </c>
      <c r="C186" s="52" t="n">
        <v>0</v>
      </c>
      <c r="D186" s="52" t="n">
        <v>17</v>
      </c>
      <c r="E186" s="52" t="n">
        <v>24</v>
      </c>
      <c r="F186" s="54" t="n">
        <v>0</v>
      </c>
      <c r="G186" s="54" t="n">
        <v>0</v>
      </c>
      <c r="H186" s="52" t="n">
        <v>6.06</v>
      </c>
      <c r="I186" s="52" t="n">
        <v>7.88</v>
      </c>
    </row>
    <row r="187" customFormat="false" ht="15" hidden="false" customHeight="false" outlineLevel="0" collapsed="false">
      <c r="A187" s="52" t="s">
        <v>6801</v>
      </c>
      <c r="B187" s="52" t="n">
        <v>0</v>
      </c>
      <c r="C187" s="52" t="n">
        <v>0</v>
      </c>
      <c r="D187" s="52" t="n">
        <v>17</v>
      </c>
      <c r="E187" s="52" t="n">
        <v>57</v>
      </c>
      <c r="F187" s="54" t="n">
        <v>0</v>
      </c>
      <c r="G187" s="54" t="n">
        <v>0</v>
      </c>
      <c r="H187" s="52" t="n">
        <v>8.65</v>
      </c>
      <c r="I187" s="52" t="n">
        <v>7.79</v>
      </c>
    </row>
    <row r="188" customFormat="false" ht="15" hidden="false" customHeight="false" outlineLevel="0" collapsed="false">
      <c r="A188" s="52" t="s">
        <v>6802</v>
      </c>
      <c r="B188" s="52" t="n">
        <v>0</v>
      </c>
      <c r="C188" s="52" t="n">
        <v>0</v>
      </c>
      <c r="D188" s="52" t="n">
        <v>16</v>
      </c>
      <c r="E188" s="52" t="n">
        <v>103</v>
      </c>
      <c r="F188" s="54" t="n">
        <v>0</v>
      </c>
      <c r="G188" s="54" t="n">
        <v>0</v>
      </c>
      <c r="H188" s="52" t="n">
        <v>9.81</v>
      </c>
      <c r="I188" s="52" t="n">
        <v>9.38</v>
      </c>
    </row>
    <row r="189" customFormat="false" ht="15" hidden="false" customHeight="false" outlineLevel="0" collapsed="false">
      <c r="A189" s="52" t="s">
        <v>6803</v>
      </c>
      <c r="B189" s="52" t="n">
        <v>0</v>
      </c>
      <c r="C189" s="52" t="n">
        <v>0</v>
      </c>
      <c r="D189" s="52" t="n">
        <v>16</v>
      </c>
      <c r="E189" s="52" t="n">
        <v>33</v>
      </c>
      <c r="F189" s="54" t="n">
        <v>0</v>
      </c>
      <c r="G189" s="54" t="n">
        <v>0</v>
      </c>
      <c r="H189" s="52" t="n">
        <v>9.94</v>
      </c>
      <c r="I189" s="52" t="n">
        <v>8.64</v>
      </c>
    </row>
    <row r="190" customFormat="false" ht="15" hidden="false" customHeight="false" outlineLevel="0" collapsed="false">
      <c r="A190" s="52" t="s">
        <v>6804</v>
      </c>
      <c r="B190" s="52" t="n">
        <v>0</v>
      </c>
      <c r="C190" s="52" t="n">
        <v>1</v>
      </c>
      <c r="D190" s="52" t="n">
        <v>16</v>
      </c>
      <c r="E190" s="52" t="n">
        <v>153</v>
      </c>
      <c r="F190" s="54" t="n">
        <v>0</v>
      </c>
      <c r="G190" s="53" t="n">
        <v>0.0065</v>
      </c>
      <c r="H190" s="52" t="n">
        <v>10.19</v>
      </c>
      <c r="I190" s="52" t="n">
        <v>8.15</v>
      </c>
    </row>
    <row r="191" customFormat="false" ht="15" hidden="false" customHeight="false" outlineLevel="0" collapsed="false">
      <c r="A191" s="52" t="s">
        <v>6805</v>
      </c>
      <c r="B191" s="52" t="n">
        <v>0</v>
      </c>
      <c r="C191" s="52" t="n">
        <v>0</v>
      </c>
      <c r="D191" s="52" t="n">
        <v>15</v>
      </c>
      <c r="E191" s="52" t="n">
        <v>40</v>
      </c>
      <c r="F191" s="54" t="n">
        <v>0</v>
      </c>
      <c r="G191" s="54" t="n">
        <v>0</v>
      </c>
      <c r="H191" s="52" t="n">
        <v>7.53</v>
      </c>
      <c r="I191" s="52" t="n">
        <v>7.25</v>
      </c>
    </row>
    <row r="192" customFormat="false" ht="15" hidden="false" customHeight="false" outlineLevel="0" collapsed="false">
      <c r="A192" s="52" t="s">
        <v>6806</v>
      </c>
      <c r="B192" s="52" t="n">
        <v>0</v>
      </c>
      <c r="C192" s="52" t="n">
        <v>0</v>
      </c>
      <c r="D192" s="52" t="n">
        <v>15</v>
      </c>
      <c r="E192" s="52" t="n">
        <v>18</v>
      </c>
      <c r="F192" s="54" t="n">
        <v>0</v>
      </c>
      <c r="G192" s="54" t="n">
        <v>0</v>
      </c>
      <c r="H192" s="52" t="n">
        <v>8.67</v>
      </c>
      <c r="I192" s="52" t="n">
        <v>6.83</v>
      </c>
    </row>
    <row r="193" customFormat="false" ht="15" hidden="false" customHeight="false" outlineLevel="0" collapsed="false">
      <c r="A193" s="52" t="s">
        <v>6807</v>
      </c>
      <c r="B193" s="52" t="n">
        <v>0</v>
      </c>
      <c r="C193" s="52" t="n">
        <v>1</v>
      </c>
      <c r="D193" s="52" t="n">
        <v>15</v>
      </c>
      <c r="E193" s="52" t="n">
        <v>60</v>
      </c>
      <c r="F193" s="54" t="n">
        <v>0</v>
      </c>
      <c r="G193" s="53" t="n">
        <v>0.0167</v>
      </c>
      <c r="H193" s="52" t="n">
        <v>10.67</v>
      </c>
      <c r="I193" s="52" t="n">
        <v>7.73</v>
      </c>
    </row>
    <row r="194" customFormat="false" ht="15" hidden="false" customHeight="false" outlineLevel="0" collapsed="false">
      <c r="A194" s="52" t="s">
        <v>6808</v>
      </c>
      <c r="B194" s="52" t="n">
        <v>0</v>
      </c>
      <c r="C194" s="52" t="n">
        <v>0</v>
      </c>
      <c r="D194" s="52" t="n">
        <v>14</v>
      </c>
      <c r="E194" s="52" t="n">
        <v>57</v>
      </c>
      <c r="F194" s="54" t="n">
        <v>0</v>
      </c>
      <c r="G194" s="54" t="n">
        <v>0</v>
      </c>
      <c r="H194" s="52" t="n">
        <v>5.36</v>
      </c>
      <c r="I194" s="52" t="n">
        <v>3.72</v>
      </c>
    </row>
    <row r="195" customFormat="false" ht="15" hidden="false" customHeight="false" outlineLevel="0" collapsed="false">
      <c r="A195" s="52" t="s">
        <v>6809</v>
      </c>
      <c r="B195" s="52" t="n">
        <v>0</v>
      </c>
      <c r="C195" s="52" t="n">
        <v>0</v>
      </c>
      <c r="D195" s="52" t="n">
        <v>13</v>
      </c>
      <c r="E195" s="52" t="n">
        <v>16</v>
      </c>
      <c r="F195" s="54" t="n">
        <v>0</v>
      </c>
      <c r="G195" s="54" t="n">
        <v>0</v>
      </c>
      <c r="H195" s="52" t="n">
        <v>11.62</v>
      </c>
      <c r="I195" s="52" t="n">
        <v>8.12</v>
      </c>
    </row>
    <row r="196" customFormat="false" ht="15" hidden="false" customHeight="false" outlineLevel="0" collapsed="false">
      <c r="A196" s="52" t="s">
        <v>6810</v>
      </c>
      <c r="B196" s="52" t="n">
        <v>0</v>
      </c>
      <c r="C196" s="52" t="n">
        <v>0</v>
      </c>
      <c r="D196" s="52" t="n">
        <v>13</v>
      </c>
      <c r="E196" s="52" t="n">
        <v>10</v>
      </c>
      <c r="F196" s="54" t="n">
        <v>0</v>
      </c>
      <c r="G196" s="54" t="n">
        <v>0</v>
      </c>
      <c r="H196" s="52" t="n">
        <v>12.54</v>
      </c>
      <c r="I196" s="52" t="n">
        <v>15.8</v>
      </c>
    </row>
    <row r="197" customFormat="false" ht="15" hidden="false" customHeight="false" outlineLevel="0" collapsed="false">
      <c r="A197" s="52" t="s">
        <v>6811</v>
      </c>
      <c r="B197" s="52" t="n">
        <v>0</v>
      </c>
      <c r="C197" s="52" t="n">
        <v>0</v>
      </c>
      <c r="D197" s="52" t="n">
        <v>12</v>
      </c>
      <c r="E197" s="52" t="n">
        <v>26</v>
      </c>
      <c r="F197" s="54" t="n">
        <v>0</v>
      </c>
      <c r="G197" s="54" t="n">
        <v>0</v>
      </c>
      <c r="H197" s="52" t="n">
        <v>12.25</v>
      </c>
      <c r="I197" s="52" t="n">
        <v>7.54</v>
      </c>
    </row>
    <row r="198" customFormat="false" ht="15" hidden="false" customHeight="false" outlineLevel="0" collapsed="false">
      <c r="A198" s="52" t="s">
        <v>6812</v>
      </c>
      <c r="B198" s="52" t="n">
        <v>0</v>
      </c>
      <c r="C198" s="52" t="n">
        <v>0</v>
      </c>
      <c r="D198" s="52" t="n">
        <v>11</v>
      </c>
      <c r="E198" s="52" t="n">
        <v>10</v>
      </c>
      <c r="F198" s="54" t="n">
        <v>0</v>
      </c>
      <c r="G198" s="54" t="n">
        <v>0</v>
      </c>
      <c r="H198" s="52" t="n">
        <v>6.09</v>
      </c>
      <c r="I198" s="52" t="n">
        <v>6</v>
      </c>
    </row>
    <row r="199" customFormat="false" ht="15" hidden="false" customHeight="false" outlineLevel="0" collapsed="false">
      <c r="A199" s="52" t="s">
        <v>6813</v>
      </c>
      <c r="B199" s="52" t="n">
        <v>0</v>
      </c>
      <c r="C199" s="52" t="n">
        <v>1</v>
      </c>
      <c r="D199" s="52" t="n">
        <v>11</v>
      </c>
      <c r="E199" s="52" t="n">
        <v>7</v>
      </c>
      <c r="F199" s="54" t="n">
        <v>0</v>
      </c>
      <c r="G199" s="53" t="n">
        <v>0.1429</v>
      </c>
      <c r="H199" s="52" t="n">
        <v>7.91</v>
      </c>
      <c r="I199" s="52" t="n">
        <v>9.43</v>
      </c>
    </row>
    <row r="200" customFormat="false" ht="15" hidden="false" customHeight="false" outlineLevel="0" collapsed="false">
      <c r="A200" s="52" t="s">
        <v>6814</v>
      </c>
      <c r="B200" s="52" t="n">
        <v>0</v>
      </c>
      <c r="C200" s="52" t="n">
        <v>0</v>
      </c>
      <c r="D200" s="52" t="n">
        <v>11</v>
      </c>
      <c r="E200" s="52" t="n">
        <v>1</v>
      </c>
      <c r="F200" s="54" t="n">
        <v>0</v>
      </c>
      <c r="G200" s="54" t="n">
        <v>0</v>
      </c>
      <c r="H200" s="52" t="n">
        <v>12</v>
      </c>
      <c r="I200" s="52" t="n">
        <v>6</v>
      </c>
    </row>
    <row r="201" customFormat="false" ht="15" hidden="false" customHeight="false" outlineLevel="0" collapsed="false">
      <c r="A201" s="52" t="s">
        <v>6815</v>
      </c>
      <c r="B201" s="52" t="n">
        <v>0</v>
      </c>
      <c r="C201" s="52" t="n">
        <v>0</v>
      </c>
      <c r="D201" s="52" t="n">
        <v>11</v>
      </c>
      <c r="E201" s="52" t="n">
        <v>7</v>
      </c>
      <c r="F201" s="54" t="n">
        <v>0</v>
      </c>
      <c r="G201" s="54" t="n">
        <v>0</v>
      </c>
      <c r="H201" s="52" t="n">
        <v>36</v>
      </c>
      <c r="I201" s="52" t="n">
        <v>24</v>
      </c>
    </row>
    <row r="202" customFormat="false" ht="15" hidden="false" customHeight="false" outlineLevel="0" collapsed="false">
      <c r="A202" s="52" t="s">
        <v>6816</v>
      </c>
      <c r="B202" s="52" t="n">
        <v>0</v>
      </c>
      <c r="C202" s="52" t="n">
        <v>0</v>
      </c>
      <c r="D202" s="52" t="n">
        <v>10</v>
      </c>
      <c r="E202" s="52" t="n">
        <v>13</v>
      </c>
      <c r="F202" s="54" t="n">
        <v>0</v>
      </c>
      <c r="G202" s="54" t="n">
        <v>0</v>
      </c>
      <c r="H202" s="52" t="n">
        <v>11.4</v>
      </c>
      <c r="I202" s="52" t="n">
        <v>14.46</v>
      </c>
    </row>
    <row r="203" customFormat="false" ht="15" hidden="false" customHeight="false" outlineLevel="0" collapsed="false">
      <c r="A203" s="52" t="s">
        <v>6817</v>
      </c>
      <c r="B203" s="52" t="n">
        <v>0</v>
      </c>
      <c r="C203" s="52" t="n">
        <v>0</v>
      </c>
      <c r="D203" s="52" t="n">
        <v>10</v>
      </c>
      <c r="E203" s="52" t="n">
        <v>21</v>
      </c>
      <c r="F203" s="54" t="n">
        <v>0</v>
      </c>
      <c r="G203" s="54" t="n">
        <v>0</v>
      </c>
      <c r="H203" s="52" t="n">
        <v>11.7</v>
      </c>
      <c r="I203" s="52" t="n">
        <v>8.33</v>
      </c>
    </row>
    <row r="204" customFormat="false" ht="15" hidden="false" customHeight="false" outlineLevel="0" collapsed="false">
      <c r="A204" s="52" t="s">
        <v>6818</v>
      </c>
      <c r="B204" s="52" t="n">
        <v>0</v>
      </c>
      <c r="C204" s="52" t="n">
        <v>1</v>
      </c>
      <c r="D204" s="52" t="n">
        <v>9</v>
      </c>
      <c r="E204" s="52" t="n">
        <v>48</v>
      </c>
      <c r="F204" s="54" t="n">
        <v>0</v>
      </c>
      <c r="G204" s="53" t="n">
        <v>0.0208</v>
      </c>
      <c r="H204" s="52" t="n">
        <v>6.67</v>
      </c>
      <c r="I204" s="52" t="n">
        <v>7.58</v>
      </c>
    </row>
    <row r="205" customFormat="false" ht="15" hidden="false" customHeight="false" outlineLevel="0" collapsed="false">
      <c r="A205" s="52" t="s">
        <v>6819</v>
      </c>
      <c r="B205" s="52" t="n">
        <v>0</v>
      </c>
      <c r="C205" s="52" t="n">
        <v>1</v>
      </c>
      <c r="D205" s="52" t="n">
        <v>9</v>
      </c>
      <c r="E205" s="52" t="n">
        <v>52</v>
      </c>
      <c r="F205" s="54" t="n">
        <v>0</v>
      </c>
      <c r="G205" s="53" t="n">
        <v>0.0192</v>
      </c>
      <c r="H205" s="52" t="n">
        <v>6.78</v>
      </c>
      <c r="I205" s="52" t="n">
        <v>7.44</v>
      </c>
    </row>
    <row r="206" customFormat="false" ht="15" hidden="false" customHeight="false" outlineLevel="0" collapsed="false">
      <c r="A206" s="52" t="s">
        <v>6820</v>
      </c>
      <c r="B206" s="52" t="n">
        <v>0</v>
      </c>
      <c r="C206" s="52" t="n">
        <v>0</v>
      </c>
      <c r="D206" s="52" t="n">
        <v>9</v>
      </c>
      <c r="E206" s="52" t="n">
        <v>4</v>
      </c>
      <c r="F206" s="54" t="n">
        <v>0</v>
      </c>
      <c r="G206" s="54" t="n">
        <v>0</v>
      </c>
      <c r="H206" s="52" t="n">
        <v>16.11</v>
      </c>
      <c r="I206" s="52" t="n">
        <v>8.5</v>
      </c>
    </row>
    <row r="207" customFormat="false" ht="15" hidden="false" customHeight="false" outlineLevel="0" collapsed="false">
      <c r="A207" s="52" t="s">
        <v>6821</v>
      </c>
      <c r="B207" s="52" t="n">
        <v>0</v>
      </c>
      <c r="C207" s="52" t="n">
        <v>0</v>
      </c>
      <c r="D207" s="52" t="n">
        <v>8</v>
      </c>
      <c r="E207" s="52" t="n">
        <v>15</v>
      </c>
      <c r="F207" s="54" t="n">
        <v>0</v>
      </c>
      <c r="G207" s="54" t="n">
        <v>0</v>
      </c>
      <c r="H207" s="52" t="n">
        <v>9.12</v>
      </c>
      <c r="I207" s="52" t="n">
        <v>8.27</v>
      </c>
    </row>
    <row r="208" customFormat="false" ht="15" hidden="false" customHeight="false" outlineLevel="0" collapsed="false">
      <c r="A208" s="52" t="s">
        <v>6822</v>
      </c>
      <c r="B208" s="52" t="n">
        <v>0</v>
      </c>
      <c r="C208" s="52" t="n">
        <v>0</v>
      </c>
      <c r="D208" s="52" t="n">
        <v>8</v>
      </c>
      <c r="E208" s="52" t="n">
        <v>13</v>
      </c>
      <c r="F208" s="54" t="n">
        <v>0</v>
      </c>
      <c r="G208" s="54" t="n">
        <v>0</v>
      </c>
      <c r="H208" s="52" t="n">
        <v>9.12</v>
      </c>
      <c r="I208" s="52" t="n">
        <v>11.69</v>
      </c>
    </row>
    <row r="209" customFormat="false" ht="15" hidden="false" customHeight="false" outlineLevel="0" collapsed="false">
      <c r="A209" s="52" t="s">
        <v>6823</v>
      </c>
      <c r="B209" s="52" t="n">
        <v>0</v>
      </c>
      <c r="C209" s="52" t="n">
        <v>0</v>
      </c>
      <c r="D209" s="52" t="n">
        <v>8</v>
      </c>
      <c r="E209" s="52" t="n">
        <v>2</v>
      </c>
      <c r="F209" s="54" t="n">
        <v>0</v>
      </c>
      <c r="G209" s="54" t="n">
        <v>0</v>
      </c>
      <c r="H209" s="52" t="n">
        <v>9.38</v>
      </c>
      <c r="I209" s="52" t="n">
        <v>6.5</v>
      </c>
    </row>
    <row r="210" customFormat="false" ht="15" hidden="false" customHeight="false" outlineLevel="0" collapsed="false">
      <c r="A210" s="52" t="s">
        <v>6824</v>
      </c>
      <c r="B210" s="52" t="n">
        <v>0</v>
      </c>
      <c r="C210" s="52" t="n">
        <v>0</v>
      </c>
      <c r="D210" s="52" t="n">
        <v>8</v>
      </c>
      <c r="E210" s="52" t="n">
        <v>12</v>
      </c>
      <c r="F210" s="54" t="n">
        <v>0</v>
      </c>
      <c r="G210" s="54" t="n">
        <v>0</v>
      </c>
      <c r="H210" s="52" t="n">
        <v>16.75</v>
      </c>
      <c r="I210" s="52" t="n">
        <v>10.42</v>
      </c>
    </row>
    <row r="211" customFormat="false" ht="15" hidden="false" customHeight="false" outlineLevel="0" collapsed="false">
      <c r="A211" s="52" t="s">
        <v>6825</v>
      </c>
      <c r="B211" s="52" t="n">
        <v>0</v>
      </c>
      <c r="C211" s="52" t="n">
        <v>0</v>
      </c>
      <c r="D211" s="52" t="n">
        <v>7</v>
      </c>
      <c r="E211" s="52" t="n">
        <v>26</v>
      </c>
      <c r="F211" s="54" t="n">
        <v>0</v>
      </c>
      <c r="G211" s="54" t="n">
        <v>0</v>
      </c>
      <c r="H211" s="52" t="n">
        <v>6.43</v>
      </c>
      <c r="I211" s="52" t="n">
        <v>7.19</v>
      </c>
    </row>
    <row r="212" customFormat="false" ht="15" hidden="false" customHeight="false" outlineLevel="0" collapsed="false">
      <c r="A212" s="52" t="s">
        <v>6826</v>
      </c>
      <c r="B212" s="52" t="n">
        <v>0</v>
      </c>
      <c r="C212" s="52" t="n">
        <v>0</v>
      </c>
      <c r="D212" s="52" t="n">
        <v>6</v>
      </c>
      <c r="E212" s="52" t="n">
        <v>21</v>
      </c>
      <c r="F212" s="54" t="n">
        <v>0</v>
      </c>
      <c r="G212" s="54" t="n">
        <v>0</v>
      </c>
      <c r="H212" s="52" t="n">
        <v>7.17</v>
      </c>
      <c r="I212" s="52" t="n">
        <v>5.43</v>
      </c>
    </row>
    <row r="213" customFormat="false" ht="15" hidden="false" customHeight="false" outlineLevel="0" collapsed="false">
      <c r="A213" s="52" t="s">
        <v>6827</v>
      </c>
      <c r="B213" s="52" t="n">
        <v>0</v>
      </c>
      <c r="C213" s="52" t="n">
        <v>0</v>
      </c>
      <c r="D213" s="52" t="n">
        <v>6</v>
      </c>
      <c r="E213" s="52" t="n">
        <v>11</v>
      </c>
      <c r="F213" s="54" t="n">
        <v>0</v>
      </c>
      <c r="G213" s="54" t="n">
        <v>0</v>
      </c>
      <c r="H213" s="52" t="n">
        <v>19.33</v>
      </c>
      <c r="I213" s="52" t="n">
        <v>15.64</v>
      </c>
    </row>
    <row r="214" customFormat="false" ht="15" hidden="false" customHeight="false" outlineLevel="0" collapsed="false">
      <c r="A214" s="52" t="s">
        <v>6828</v>
      </c>
      <c r="B214" s="52" t="n">
        <v>0</v>
      </c>
      <c r="C214" s="52" t="n">
        <v>0</v>
      </c>
      <c r="D214" s="52" t="n">
        <v>5</v>
      </c>
      <c r="E214" s="52" t="n">
        <v>3</v>
      </c>
      <c r="F214" s="54" t="n">
        <v>0</v>
      </c>
      <c r="G214" s="54" t="n">
        <v>0</v>
      </c>
      <c r="H214" s="52" t="n">
        <v>6.6</v>
      </c>
      <c r="I214" s="52" t="n">
        <v>9.33</v>
      </c>
    </row>
    <row r="215" customFormat="false" ht="15" hidden="false" customHeight="false" outlineLevel="0" collapsed="false">
      <c r="A215" s="52" t="s">
        <v>6829</v>
      </c>
      <c r="B215" s="52" t="n">
        <v>0</v>
      </c>
      <c r="C215" s="52" t="n">
        <v>0</v>
      </c>
      <c r="D215" s="52" t="n">
        <v>5</v>
      </c>
      <c r="E215" s="52" t="n">
        <v>1</v>
      </c>
      <c r="F215" s="54" t="n">
        <v>0</v>
      </c>
      <c r="G215" s="54" t="n">
        <v>0</v>
      </c>
      <c r="H215" s="52" t="n">
        <v>8.6</v>
      </c>
      <c r="I215" s="52" t="n">
        <v>11</v>
      </c>
    </row>
    <row r="216" customFormat="false" ht="15" hidden="false" customHeight="false" outlineLevel="0" collapsed="false">
      <c r="A216" s="52" t="s">
        <v>6830</v>
      </c>
      <c r="B216" s="52" t="n">
        <v>0</v>
      </c>
      <c r="C216" s="52" t="n">
        <v>0</v>
      </c>
      <c r="D216" s="52" t="n">
        <v>5</v>
      </c>
      <c r="E216" s="52" t="n">
        <v>4</v>
      </c>
      <c r="F216" s="54" t="n">
        <v>0</v>
      </c>
      <c r="G216" s="54" t="n">
        <v>0</v>
      </c>
      <c r="H216" s="52" t="n">
        <v>8.8</v>
      </c>
      <c r="I216" s="52" t="n">
        <v>7.25</v>
      </c>
    </row>
    <row r="217" customFormat="false" ht="15" hidden="false" customHeight="false" outlineLevel="0" collapsed="false">
      <c r="A217" s="52" t="s">
        <v>6831</v>
      </c>
      <c r="B217" s="52" t="n">
        <v>0</v>
      </c>
      <c r="C217" s="52" t="n">
        <v>0</v>
      </c>
      <c r="D217" s="52" t="n">
        <v>4</v>
      </c>
      <c r="E217" s="52" t="n">
        <v>14</v>
      </c>
      <c r="F217" s="54" t="n">
        <v>0</v>
      </c>
      <c r="G217" s="54" t="n">
        <v>0</v>
      </c>
      <c r="H217" s="52" t="n">
        <v>6.75</v>
      </c>
      <c r="I217" s="52" t="n">
        <v>7.71</v>
      </c>
    </row>
    <row r="218" customFormat="false" ht="15" hidden="false" customHeight="false" outlineLevel="0" collapsed="false">
      <c r="A218" s="52" t="s">
        <v>6832</v>
      </c>
      <c r="B218" s="52" t="n">
        <v>0</v>
      </c>
      <c r="C218" s="52" t="n">
        <v>0</v>
      </c>
      <c r="D218" s="52" t="n">
        <v>3</v>
      </c>
      <c r="E218" s="52" t="n">
        <v>10</v>
      </c>
      <c r="F218" s="54" t="n">
        <v>0</v>
      </c>
      <c r="G218" s="54" t="n">
        <v>0</v>
      </c>
      <c r="H218" s="52" t="n">
        <v>9</v>
      </c>
      <c r="I218" s="52" t="n">
        <v>8.8</v>
      </c>
    </row>
    <row r="219" customFormat="false" ht="15" hidden="false" customHeight="false" outlineLevel="0" collapsed="false">
      <c r="A219" s="52" t="s">
        <v>6833</v>
      </c>
      <c r="B219" s="52" t="n">
        <v>0</v>
      </c>
      <c r="C219" s="52" t="n">
        <v>0</v>
      </c>
      <c r="D219" s="52" t="n">
        <v>3</v>
      </c>
      <c r="E219" s="52" t="n">
        <v>9</v>
      </c>
      <c r="F219" s="54" t="n">
        <v>0</v>
      </c>
      <c r="G219" s="54" t="n">
        <v>0</v>
      </c>
      <c r="H219" s="52" t="n">
        <v>12</v>
      </c>
      <c r="I219" s="52" t="n">
        <v>10.78</v>
      </c>
    </row>
    <row r="220" customFormat="false" ht="15" hidden="false" customHeight="false" outlineLevel="0" collapsed="false">
      <c r="A220" s="52" t="s">
        <v>6834</v>
      </c>
      <c r="B220" s="52" t="n">
        <v>0</v>
      </c>
      <c r="C220" s="52" t="n">
        <v>0</v>
      </c>
      <c r="D220" s="52" t="n">
        <v>3</v>
      </c>
      <c r="E220" s="52" t="n">
        <v>4</v>
      </c>
      <c r="F220" s="54" t="n">
        <v>0</v>
      </c>
      <c r="G220" s="54" t="n">
        <v>0</v>
      </c>
      <c r="H220" s="52" t="n">
        <v>15.33</v>
      </c>
      <c r="I220" s="52" t="n">
        <v>29.75</v>
      </c>
    </row>
    <row r="221" customFormat="false" ht="15" hidden="false" customHeight="false" outlineLevel="0" collapsed="false">
      <c r="A221" s="52" t="s">
        <v>6835</v>
      </c>
      <c r="B221" s="52" t="n">
        <v>0</v>
      </c>
      <c r="C221" s="52" t="n">
        <v>0</v>
      </c>
      <c r="D221" s="52" t="n">
        <v>3</v>
      </c>
      <c r="E221" s="52" t="n">
        <v>12</v>
      </c>
      <c r="F221" s="54" t="n">
        <v>0</v>
      </c>
      <c r="G221" s="54" t="n">
        <v>0</v>
      </c>
      <c r="H221" s="52" t="n">
        <v>45.67</v>
      </c>
      <c r="I221" s="52" t="n">
        <v>20.08</v>
      </c>
    </row>
    <row r="222" customFormat="false" ht="15" hidden="false" customHeight="false" outlineLevel="0" collapsed="false">
      <c r="A222" s="52" t="s">
        <v>6836</v>
      </c>
      <c r="B222" s="52" t="n">
        <v>0</v>
      </c>
      <c r="C222" s="52" t="n">
        <v>0</v>
      </c>
      <c r="D222" s="52" t="n">
        <v>2</v>
      </c>
      <c r="E222" s="52" t="n">
        <v>11</v>
      </c>
      <c r="F222" s="54" t="n">
        <v>0</v>
      </c>
      <c r="G222" s="54" t="n">
        <v>0</v>
      </c>
      <c r="H222" s="52" t="n">
        <v>5</v>
      </c>
      <c r="I222" s="52" t="n">
        <v>5.45</v>
      </c>
    </row>
    <row r="223" customFormat="false" ht="15" hidden="false" customHeight="false" outlineLevel="0" collapsed="false">
      <c r="A223" s="52" t="s">
        <v>6837</v>
      </c>
      <c r="B223" s="52" t="n">
        <v>0</v>
      </c>
      <c r="C223" s="52" t="n">
        <v>0</v>
      </c>
      <c r="D223" s="52" t="n">
        <v>2</v>
      </c>
      <c r="E223" s="52" t="n">
        <v>7</v>
      </c>
      <c r="F223" s="54" t="n">
        <v>0</v>
      </c>
      <c r="G223" s="54" t="n">
        <v>0</v>
      </c>
      <c r="H223" s="52" t="n">
        <v>8.5</v>
      </c>
      <c r="I223" s="52" t="n">
        <v>4</v>
      </c>
    </row>
    <row r="224" customFormat="false" ht="15" hidden="false" customHeight="false" outlineLevel="0" collapsed="false">
      <c r="A224" s="52" t="s">
        <v>6838</v>
      </c>
      <c r="B224" s="52" t="n">
        <v>0</v>
      </c>
      <c r="C224" s="52" t="n">
        <v>0</v>
      </c>
      <c r="D224" s="52" t="n">
        <v>2</v>
      </c>
      <c r="E224" s="52" t="n">
        <v>14</v>
      </c>
      <c r="F224" s="54" t="n">
        <v>0</v>
      </c>
      <c r="G224" s="54" t="n">
        <v>0</v>
      </c>
      <c r="H224" s="52" t="n">
        <v>11</v>
      </c>
      <c r="I224" s="52" t="n">
        <v>8.14</v>
      </c>
    </row>
    <row r="225" customFormat="false" ht="15" hidden="false" customHeight="false" outlineLevel="0" collapsed="false">
      <c r="A225" s="52" t="s">
        <v>6839</v>
      </c>
      <c r="B225" s="52" t="n">
        <v>0</v>
      </c>
      <c r="C225" s="52" t="n">
        <v>0</v>
      </c>
      <c r="D225" s="52" t="n">
        <v>1</v>
      </c>
      <c r="E225" s="52" t="n">
        <v>11</v>
      </c>
      <c r="F225" s="54" t="n">
        <v>0</v>
      </c>
      <c r="G225" s="54" t="n">
        <v>0</v>
      </c>
      <c r="H225" s="52" t="n">
        <v>4</v>
      </c>
      <c r="I225" s="52" t="n">
        <v>10.09</v>
      </c>
    </row>
    <row r="226" customFormat="false" ht="15" hidden="false" customHeight="false" outlineLevel="0" collapsed="false">
      <c r="A226" s="52" t="s">
        <v>6840</v>
      </c>
      <c r="B226" s="52" t="n">
        <v>0</v>
      </c>
      <c r="C226" s="52" t="n">
        <v>0</v>
      </c>
      <c r="D226" s="52" t="n">
        <v>1</v>
      </c>
      <c r="E226" s="52" t="n">
        <v>0</v>
      </c>
      <c r="F226" s="54" t="n">
        <v>0</v>
      </c>
      <c r="G226" s="54" t="n">
        <v>0</v>
      </c>
      <c r="H226" s="52" t="n">
        <v>8</v>
      </c>
      <c r="I226" s="52" t="n">
        <v>0</v>
      </c>
    </row>
    <row r="227" customFormat="false" ht="15" hidden="false" customHeight="false" outlineLevel="0" collapsed="false">
      <c r="A227" s="52" t="s">
        <v>6841</v>
      </c>
      <c r="B227" s="52" t="n">
        <v>0</v>
      </c>
      <c r="C227" s="52" t="n">
        <v>0</v>
      </c>
      <c r="D227" s="52" t="n">
        <v>1</v>
      </c>
      <c r="E227" s="52" t="n">
        <v>3</v>
      </c>
      <c r="F227" s="54" t="n">
        <v>0</v>
      </c>
      <c r="G227" s="54" t="n">
        <v>0</v>
      </c>
      <c r="H227" s="52" t="n">
        <v>8</v>
      </c>
      <c r="I227" s="52" t="n">
        <v>8.67</v>
      </c>
    </row>
    <row r="228" customFormat="false" ht="15" hidden="false" customHeight="false" outlineLevel="0" collapsed="false">
      <c r="A228" s="52" t="s">
        <v>6842</v>
      </c>
      <c r="B228" s="52" t="n">
        <v>0</v>
      </c>
      <c r="C228" s="52" t="n">
        <v>0</v>
      </c>
      <c r="D228" s="52" t="n">
        <v>1</v>
      </c>
      <c r="E228" s="52" t="n">
        <v>0</v>
      </c>
      <c r="F228" s="54" t="n">
        <v>0</v>
      </c>
      <c r="G228" s="54" t="n">
        <v>0</v>
      </c>
      <c r="H228" s="52" t="n">
        <v>11</v>
      </c>
      <c r="I228" s="52" t="n">
        <v>0</v>
      </c>
    </row>
    <row r="229" customFormat="false" ht="15" hidden="false" customHeight="false" outlineLevel="0" collapsed="false">
      <c r="A229" s="52" t="s">
        <v>6843</v>
      </c>
      <c r="B229" s="52" t="n">
        <v>0</v>
      </c>
      <c r="C229" s="52" t="n">
        <v>0</v>
      </c>
      <c r="D229" s="52" t="n">
        <v>1</v>
      </c>
      <c r="E229" s="52" t="n">
        <v>1</v>
      </c>
      <c r="F229" s="54" t="n">
        <v>0</v>
      </c>
      <c r="G229" s="54" t="n">
        <v>0</v>
      </c>
      <c r="H229" s="52" t="n">
        <v>11</v>
      </c>
      <c r="I229" s="52" t="n">
        <v>9</v>
      </c>
    </row>
    <row r="230" customFormat="false" ht="15" hidden="false" customHeight="false" outlineLevel="0" collapsed="false">
      <c r="A230" s="52" t="s">
        <v>6844</v>
      </c>
      <c r="B230" s="52" t="n">
        <v>0</v>
      </c>
      <c r="C230" s="52" t="n">
        <v>0</v>
      </c>
      <c r="D230" s="52" t="n">
        <v>1</v>
      </c>
      <c r="E230" s="52" t="n">
        <v>2</v>
      </c>
      <c r="F230" s="54" t="n">
        <v>0</v>
      </c>
      <c r="G230" s="54" t="n">
        <v>0</v>
      </c>
      <c r="H230" s="52" t="n">
        <v>12</v>
      </c>
      <c r="I230" s="52" t="n">
        <v>5.5</v>
      </c>
    </row>
    <row r="231" customFormat="false" ht="15" hidden="false" customHeight="false" outlineLevel="0" collapsed="false">
      <c r="A231" s="52" t="s">
        <v>6845</v>
      </c>
      <c r="B231" s="52" t="n">
        <v>0</v>
      </c>
      <c r="C231" s="52" t="n">
        <v>0</v>
      </c>
      <c r="D231" s="52" t="n">
        <v>0</v>
      </c>
      <c r="E231" s="52" t="n">
        <v>5</v>
      </c>
      <c r="F231" s="54" t="n">
        <v>0</v>
      </c>
      <c r="G231" s="54" t="n">
        <v>0</v>
      </c>
      <c r="H231" s="52" t="n">
        <v>0</v>
      </c>
      <c r="I231" s="52" t="n">
        <v>6.6</v>
      </c>
    </row>
    <row r="232" customFormat="false" ht="15" hidden="false" customHeight="false" outlineLevel="0" collapsed="false">
      <c r="A232" s="52" t="s">
        <v>6846</v>
      </c>
      <c r="B232" s="52" t="n">
        <v>0</v>
      </c>
      <c r="C232" s="52" t="n">
        <v>0</v>
      </c>
      <c r="D232" s="52" t="n">
        <v>0</v>
      </c>
      <c r="E232" s="52" t="n">
        <v>5</v>
      </c>
      <c r="F232" s="54" t="n">
        <v>0</v>
      </c>
      <c r="G232" s="54" t="n">
        <v>0</v>
      </c>
      <c r="H232" s="52" t="n">
        <v>0</v>
      </c>
      <c r="I232" s="52" t="n">
        <v>12</v>
      </c>
    </row>
    <row r="233" customFormat="false" ht="15" hidden="false" customHeight="false" outlineLevel="0" collapsed="false">
      <c r="A233" s="52" t="s">
        <v>6847</v>
      </c>
      <c r="B233" s="52" t="n">
        <v>0</v>
      </c>
      <c r="C233" s="52" t="n">
        <v>0</v>
      </c>
      <c r="D233" s="52" t="n">
        <v>0</v>
      </c>
      <c r="E233" s="52" t="n">
        <v>3</v>
      </c>
      <c r="F233" s="54" t="n">
        <v>0</v>
      </c>
      <c r="G233" s="54" t="n">
        <v>0</v>
      </c>
      <c r="H233" s="52" t="n">
        <v>0</v>
      </c>
      <c r="I233" s="52" t="n">
        <v>11</v>
      </c>
    </row>
    <row r="234" customFormat="false" ht="15" hidden="false" customHeight="false" outlineLevel="0" collapsed="false">
      <c r="A234" s="52" t="s">
        <v>6848</v>
      </c>
      <c r="B234" s="52" t="n">
        <v>0</v>
      </c>
      <c r="C234" s="52" t="n">
        <v>0</v>
      </c>
      <c r="D234" s="52" t="n">
        <v>0</v>
      </c>
      <c r="E234" s="52" t="n">
        <v>1</v>
      </c>
      <c r="F234" s="54" t="n">
        <v>0</v>
      </c>
      <c r="G234" s="54" t="n">
        <v>0</v>
      </c>
      <c r="H234" s="52" t="n">
        <v>0</v>
      </c>
      <c r="I234" s="52" t="n">
        <v>2</v>
      </c>
    </row>
    <row r="235" customFormat="false" ht="15" hidden="false" customHeight="false" outlineLevel="0" collapsed="false">
      <c r="A235" s="52" t="s">
        <v>6849</v>
      </c>
      <c r="B235" s="52" t="n">
        <v>0</v>
      </c>
      <c r="C235" s="52" t="n">
        <v>0</v>
      </c>
      <c r="D235" s="52" t="n">
        <v>0</v>
      </c>
      <c r="E235" s="52" t="n">
        <v>1</v>
      </c>
      <c r="F235" s="54" t="n">
        <v>0</v>
      </c>
      <c r="G235" s="54" t="n">
        <v>0</v>
      </c>
      <c r="H235" s="52" t="n">
        <v>0</v>
      </c>
      <c r="I235" s="52" t="n">
        <v>10</v>
      </c>
    </row>
    <row r="236" customFormat="false" ht="15" hidden="false" customHeight="false" outlineLevel="0" collapsed="false">
      <c r="A236" s="52" t="s">
        <v>6850</v>
      </c>
      <c r="B236" s="52" t="n">
        <v>0</v>
      </c>
      <c r="C236" s="52" t="n">
        <v>0</v>
      </c>
      <c r="D236" s="52" t="n">
        <v>0</v>
      </c>
      <c r="E236" s="52" t="n">
        <v>1</v>
      </c>
      <c r="F236" s="54" t="n">
        <v>0</v>
      </c>
      <c r="G236" s="54" t="n">
        <v>0</v>
      </c>
      <c r="H236" s="52" t="n">
        <v>0</v>
      </c>
      <c r="I236" s="52" t="n">
        <v>11</v>
      </c>
    </row>
    <row r="237" customFormat="false" ht="15" hidden="false" customHeight="false" outlineLevel="0" collapsed="false">
      <c r="A237" s="52" t="s">
        <v>6851</v>
      </c>
      <c r="B237" s="52" t="n">
        <v>0</v>
      </c>
      <c r="C237" s="52" t="n">
        <v>0</v>
      </c>
      <c r="D237" s="52" t="n">
        <v>0</v>
      </c>
      <c r="E237" s="52" t="n">
        <v>1</v>
      </c>
      <c r="F237" s="54" t="n">
        <v>0</v>
      </c>
      <c r="G237" s="54" t="n">
        <v>0</v>
      </c>
      <c r="H237" s="52" t="n">
        <v>0</v>
      </c>
      <c r="I237" s="52" t="n">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4" style="0" width="22"/>
  </cols>
  <sheetData>
    <row r="1" customFormat="false" ht="15" hidden="false" customHeight="false" outlineLevel="0" collapsed="false">
      <c r="A1" s="52" t="s">
        <v>6852</v>
      </c>
      <c r="B1" s="52" t="s">
        <v>6853</v>
      </c>
      <c r="D1" s="26" t="str">
        <f aca="false">HYPERLINK("#'Master Overview'!A1","&lt;&lt; Master Overview")</f>
        <v>&lt;&lt; Master Overview</v>
      </c>
    </row>
    <row r="2" customFormat="false" ht="15" hidden="false" customHeight="false" outlineLevel="0" collapsed="false">
      <c r="A2" s="52" t="s">
        <v>6854</v>
      </c>
      <c r="B2" s="52" t="s">
        <v>6855</v>
      </c>
      <c r="D2" s="2" t="s">
        <v>6856</v>
      </c>
    </row>
    <row r="3" customFormat="false" ht="15" hidden="false" customHeight="false" outlineLevel="0" collapsed="false">
      <c r="A3" s="52" t="s">
        <v>6857</v>
      </c>
      <c r="B3" s="52" t="s">
        <v>6858</v>
      </c>
    </row>
    <row r="4" customFormat="false" ht="15" hidden="false" customHeight="false" outlineLevel="0" collapsed="false">
      <c r="A4" s="52" t="s">
        <v>6859</v>
      </c>
      <c r="B4" s="52" t="s">
        <v>6860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A1:I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1.13"/>
    <col collapsed="false" customWidth="true" hidden="false" outlineLevel="0" max="3" min="3" style="0" width="20.51"/>
    <col collapsed="false" customWidth="true" hidden="false" outlineLevel="0" max="4" min="4" style="0" width="46"/>
    <col collapsed="false" customWidth="true" hidden="false" outlineLevel="0" max="5" min="5" style="0" width="20.51"/>
    <col collapsed="false" customWidth="true" hidden="false" outlineLevel="0" max="9" min="9" style="0" width="22"/>
  </cols>
  <sheetData>
    <row r="1" customFormat="false" ht="15" hidden="false" customHeight="false" outlineLevel="0" collapsed="false">
      <c r="A1" s="55"/>
      <c r="B1" s="56"/>
      <c r="C1" s="55"/>
      <c r="D1" s="56"/>
      <c r="E1" s="55"/>
      <c r="F1" s="56"/>
      <c r="G1" s="57"/>
      <c r="I1" s="26" t="str">
        <f aca="false">HYPERLINK("#'Master Overview'!A1","&lt;&lt; Master Overview")</f>
        <v>&lt;&lt; Master Overview</v>
      </c>
    </row>
    <row r="2" customFormat="false" ht="15" hidden="false" customHeight="false" outlineLevel="0" collapsed="false">
      <c r="A2" s="55"/>
      <c r="B2" s="56"/>
      <c r="C2" s="55"/>
      <c r="D2" s="56"/>
      <c r="E2" s="55"/>
      <c r="F2" s="56"/>
      <c r="G2" s="57"/>
      <c r="I2" s="2" t="s">
        <v>6861</v>
      </c>
    </row>
    <row r="3" customFormat="false" ht="20.9" hidden="false" customHeight="false" outlineLevel="0" collapsed="false">
      <c r="A3" s="58" t="s">
        <v>6862</v>
      </c>
      <c r="B3" s="58"/>
      <c r="C3" s="58"/>
      <c r="D3" s="58"/>
      <c r="E3" s="58"/>
      <c r="F3" s="58"/>
      <c r="G3" s="58"/>
    </row>
    <row r="4" customFormat="false" ht="15" hidden="false" customHeight="false" outlineLevel="0" collapsed="false">
      <c r="A4" s="59" t="s">
        <v>6863</v>
      </c>
      <c r="B4" s="60" t="s">
        <v>6864</v>
      </c>
      <c r="C4" s="59" t="s">
        <v>6865</v>
      </c>
      <c r="D4" s="60" t="s">
        <v>6866</v>
      </c>
      <c r="E4" s="59" t="s">
        <v>6867</v>
      </c>
      <c r="F4" s="60" t="s">
        <v>6868</v>
      </c>
      <c r="G4" s="61" t="s">
        <v>81</v>
      </c>
    </row>
    <row r="5" customFormat="false" ht="15" hidden="false" customHeight="false" outlineLevel="0" collapsed="false">
      <c r="A5" s="38" t="n">
        <v>1</v>
      </c>
      <c r="B5" s="37" t="s">
        <v>6869</v>
      </c>
      <c r="C5" s="38" t="n">
        <v>200</v>
      </c>
      <c r="D5" s="37" t="s">
        <v>6870</v>
      </c>
      <c r="E5" s="38" t="n">
        <v>406</v>
      </c>
      <c r="F5" s="37" t="s">
        <v>6871</v>
      </c>
      <c r="G5" s="28"/>
    </row>
    <row r="6" customFormat="false" ht="15" hidden="false" customHeight="false" outlineLevel="0" collapsed="false">
      <c r="A6" s="38" t="n">
        <v>2</v>
      </c>
      <c r="B6" s="37" t="s">
        <v>6872</v>
      </c>
      <c r="C6" s="38" t="n">
        <v>200</v>
      </c>
      <c r="D6" s="37" t="s">
        <v>6873</v>
      </c>
      <c r="E6" s="38" t="n">
        <v>406</v>
      </c>
      <c r="F6" s="37" t="s">
        <v>6871</v>
      </c>
      <c r="G6" s="28"/>
    </row>
    <row r="7" customFormat="false" ht="15" hidden="false" customHeight="false" outlineLevel="0" collapsed="false">
      <c r="A7" s="38" t="n">
        <v>3</v>
      </c>
      <c r="B7" s="37" t="s">
        <v>6874</v>
      </c>
      <c r="C7" s="38" t="n">
        <v>200</v>
      </c>
      <c r="D7" s="37" t="s">
        <v>6875</v>
      </c>
      <c r="E7" s="38" t="n">
        <v>406</v>
      </c>
      <c r="F7" s="37" t="s">
        <v>6871</v>
      </c>
      <c r="G7" s="28"/>
    </row>
    <row r="8" customFormat="false" ht="15" hidden="false" customHeight="false" outlineLevel="0" collapsed="false">
      <c r="A8" s="38" t="n">
        <v>4</v>
      </c>
      <c r="B8" s="37" t="s">
        <v>6876</v>
      </c>
      <c r="C8" s="38" t="n">
        <v>200</v>
      </c>
      <c r="D8" s="37" t="s">
        <v>6877</v>
      </c>
      <c r="E8" s="38" t="n">
        <v>406</v>
      </c>
      <c r="F8" s="37" t="s">
        <v>6871</v>
      </c>
      <c r="G8" s="28"/>
    </row>
    <row r="9" customFormat="false" ht="15" hidden="false" customHeight="false" outlineLevel="0" collapsed="false">
      <c r="A9" s="38" t="n">
        <v>5</v>
      </c>
      <c r="B9" s="37" t="s">
        <v>6878</v>
      </c>
      <c r="C9" s="38" t="n">
        <v>200</v>
      </c>
      <c r="D9" s="37" t="s">
        <v>6879</v>
      </c>
      <c r="E9" s="38" t="n">
        <v>406</v>
      </c>
      <c r="F9" s="37" t="s">
        <v>6871</v>
      </c>
      <c r="G9" s="28"/>
    </row>
    <row r="10" customFormat="false" ht="15" hidden="false" customHeight="false" outlineLevel="0" collapsed="false">
      <c r="A10" s="38" t="n">
        <v>6</v>
      </c>
      <c r="B10" s="37" t="s">
        <v>6880</v>
      </c>
      <c r="C10" s="38" t="n">
        <v>200</v>
      </c>
      <c r="D10" s="37" t="s">
        <v>6881</v>
      </c>
      <c r="E10" s="38" t="n">
        <v>406</v>
      </c>
      <c r="F10" s="37" t="s">
        <v>6871</v>
      </c>
      <c r="G10" s="28"/>
    </row>
    <row r="11" customFormat="false" ht="15" hidden="false" customHeight="false" outlineLevel="0" collapsed="false">
      <c r="A11" s="38" t="n">
        <v>7</v>
      </c>
      <c r="B11" s="37" t="s">
        <v>6882</v>
      </c>
      <c r="C11" s="38" t="n">
        <v>200</v>
      </c>
      <c r="D11" s="37" t="s">
        <v>6883</v>
      </c>
      <c r="E11" s="38" t="n">
        <v>406</v>
      </c>
      <c r="F11" s="37" t="s">
        <v>6871</v>
      </c>
      <c r="G11" s="28"/>
    </row>
    <row r="12" customFormat="false" ht="15" hidden="false" customHeight="false" outlineLevel="0" collapsed="false">
      <c r="A12" s="38" t="n">
        <v>8</v>
      </c>
      <c r="B12" s="37" t="s">
        <v>6884</v>
      </c>
      <c r="C12" s="38" t="n">
        <v>200</v>
      </c>
      <c r="D12" s="37" t="s">
        <v>6885</v>
      </c>
      <c r="E12" s="38" t="n">
        <v>406</v>
      </c>
      <c r="F12" s="37" t="s">
        <v>6871</v>
      </c>
      <c r="G12" s="28"/>
    </row>
    <row r="13" customFormat="false" ht="15" hidden="false" customHeight="false" outlineLevel="0" collapsed="false">
      <c r="A13" s="38" t="n">
        <v>9</v>
      </c>
      <c r="B13" s="37" t="s">
        <v>6886</v>
      </c>
      <c r="C13" s="38" t="n">
        <v>200</v>
      </c>
      <c r="D13" s="37" t="s">
        <v>6887</v>
      </c>
      <c r="E13" s="38" t="n">
        <v>406</v>
      </c>
      <c r="F13" s="37" t="s">
        <v>6871</v>
      </c>
      <c r="G13" s="28"/>
    </row>
    <row r="14" customFormat="false" ht="15" hidden="false" customHeight="false" outlineLevel="0" collapsed="false">
      <c r="A14" s="38" t="n">
        <v>10</v>
      </c>
      <c r="B14" s="37" t="s">
        <v>6888</v>
      </c>
      <c r="C14" s="38" t="n">
        <v>200</v>
      </c>
      <c r="D14" s="37" t="s">
        <v>6889</v>
      </c>
      <c r="E14" s="38" t="n">
        <v>406</v>
      </c>
      <c r="F14" s="37" t="s">
        <v>6871</v>
      </c>
      <c r="G14" s="28"/>
    </row>
    <row r="15" customFormat="false" ht="15" hidden="false" customHeight="false" outlineLevel="0" collapsed="false">
      <c r="A15" s="38" t="n">
        <v>11</v>
      </c>
      <c r="B15" s="37" t="s">
        <v>6890</v>
      </c>
      <c r="C15" s="38" t="n">
        <v>200</v>
      </c>
      <c r="D15" s="37" t="s">
        <v>6891</v>
      </c>
      <c r="E15" s="38" t="n">
        <v>406</v>
      </c>
      <c r="F15" s="37" t="s">
        <v>6871</v>
      </c>
      <c r="G15" s="28"/>
    </row>
    <row r="16" customFormat="false" ht="15" hidden="false" customHeight="false" outlineLevel="0" collapsed="false">
      <c r="A16" s="38" t="n">
        <v>12</v>
      </c>
      <c r="B16" s="37" t="s">
        <v>6892</v>
      </c>
      <c r="C16" s="38" t="n">
        <v>200</v>
      </c>
      <c r="D16" s="37" t="s">
        <v>6893</v>
      </c>
      <c r="E16" s="38" t="n">
        <v>406</v>
      </c>
      <c r="F16" s="37" t="s">
        <v>6871</v>
      </c>
      <c r="G16" s="28"/>
    </row>
    <row r="17" customFormat="false" ht="15" hidden="false" customHeight="false" outlineLevel="0" collapsed="false">
      <c r="A17" s="38" t="n">
        <v>13</v>
      </c>
      <c r="B17" s="37" t="s">
        <v>6894</v>
      </c>
      <c r="C17" s="38" t="n">
        <v>200</v>
      </c>
      <c r="D17" s="37" t="s">
        <v>6895</v>
      </c>
      <c r="E17" s="38" t="n">
        <v>406</v>
      </c>
      <c r="F17" s="37" t="s">
        <v>6871</v>
      </c>
      <c r="G17" s="28"/>
    </row>
    <row r="18" customFormat="false" ht="15" hidden="false" customHeight="false" outlineLevel="0" collapsed="false">
      <c r="A18" s="38" t="n">
        <v>14</v>
      </c>
      <c r="B18" s="37" t="s">
        <v>6896</v>
      </c>
      <c r="C18" s="38" t="n">
        <v>200</v>
      </c>
      <c r="D18" s="37" t="s">
        <v>6897</v>
      </c>
      <c r="E18" s="38" t="n">
        <v>406</v>
      </c>
      <c r="F18" s="37" t="s">
        <v>6871</v>
      </c>
      <c r="G18" s="28"/>
    </row>
    <row r="19" customFormat="false" ht="15" hidden="false" customHeight="false" outlineLevel="0" collapsed="false">
      <c r="A19" s="38" t="n">
        <v>15</v>
      </c>
      <c r="B19" s="37" t="s">
        <v>6898</v>
      </c>
      <c r="C19" s="38" t="n">
        <v>200</v>
      </c>
      <c r="D19" s="37" t="s">
        <v>6899</v>
      </c>
      <c r="E19" s="38" t="n">
        <v>406</v>
      </c>
      <c r="F19" s="37" t="s">
        <v>6871</v>
      </c>
      <c r="G19" s="28"/>
    </row>
    <row r="20" customFormat="false" ht="15" hidden="false" customHeight="false" outlineLevel="0" collapsed="false">
      <c r="A20" s="38" t="n">
        <v>16</v>
      </c>
      <c r="B20" s="37" t="s">
        <v>6900</v>
      </c>
      <c r="C20" s="38" t="n">
        <v>200</v>
      </c>
      <c r="D20" s="37" t="s">
        <v>6901</v>
      </c>
      <c r="E20" s="38" t="n">
        <v>406</v>
      </c>
      <c r="F20" s="37" t="s">
        <v>6871</v>
      </c>
      <c r="G20" s="28"/>
    </row>
    <row r="21" customFormat="false" ht="15" hidden="false" customHeight="false" outlineLevel="0" collapsed="false">
      <c r="A21" s="38" t="n">
        <v>17</v>
      </c>
      <c r="B21" s="37" t="s">
        <v>6902</v>
      </c>
      <c r="C21" s="38" t="n">
        <v>200</v>
      </c>
      <c r="D21" s="37" t="s">
        <v>6903</v>
      </c>
      <c r="E21" s="38" t="n">
        <v>406</v>
      </c>
      <c r="F21" s="37" t="s">
        <v>6871</v>
      </c>
      <c r="G21" s="28"/>
    </row>
    <row r="22" customFormat="false" ht="15" hidden="false" customHeight="false" outlineLevel="0" collapsed="false">
      <c r="A22" s="38" t="n">
        <v>18</v>
      </c>
      <c r="B22" s="37" t="s">
        <v>6904</v>
      </c>
      <c r="C22" s="38" t="n">
        <v>200</v>
      </c>
      <c r="D22" s="37" t="s">
        <v>6905</v>
      </c>
      <c r="E22" s="38" t="n">
        <v>406</v>
      </c>
      <c r="F22" s="37" t="s">
        <v>6871</v>
      </c>
      <c r="G22" s="28"/>
    </row>
    <row r="23" customFormat="false" ht="15" hidden="false" customHeight="false" outlineLevel="0" collapsed="false">
      <c r="A23" s="38" t="n">
        <v>19</v>
      </c>
      <c r="B23" s="37" t="s">
        <v>6906</v>
      </c>
      <c r="C23" s="38" t="n">
        <v>200</v>
      </c>
      <c r="D23" s="37" t="s">
        <v>6907</v>
      </c>
      <c r="E23" s="38" t="n">
        <v>406</v>
      </c>
      <c r="F23" s="37" t="s">
        <v>6871</v>
      </c>
      <c r="G23" s="28"/>
    </row>
    <row r="24" customFormat="false" ht="15" hidden="false" customHeight="false" outlineLevel="0" collapsed="false">
      <c r="A24" s="38" t="n">
        <v>20</v>
      </c>
      <c r="B24" s="37" t="s">
        <v>6908</v>
      </c>
      <c r="C24" s="38" t="n">
        <v>200</v>
      </c>
      <c r="D24" s="37" t="s">
        <v>6909</v>
      </c>
      <c r="E24" s="38" t="n">
        <v>406</v>
      </c>
      <c r="F24" s="37" t="s">
        <v>6871</v>
      </c>
      <c r="G24" s="28"/>
    </row>
    <row r="25" customFormat="false" ht="15" hidden="false" customHeight="false" outlineLevel="0" collapsed="false">
      <c r="A25" s="38" t="n">
        <v>21</v>
      </c>
      <c r="B25" s="37" t="s">
        <v>6910</v>
      </c>
      <c r="C25" s="38" t="n">
        <v>200</v>
      </c>
      <c r="D25" s="37" t="s">
        <v>6911</v>
      </c>
      <c r="E25" s="38" t="n">
        <v>406</v>
      </c>
      <c r="F25" s="37" t="s">
        <v>6871</v>
      </c>
      <c r="G25" s="28"/>
    </row>
    <row r="26" customFormat="false" ht="15" hidden="false" customHeight="false" outlineLevel="0" collapsed="false">
      <c r="A26" s="38" t="n">
        <v>22</v>
      </c>
      <c r="B26" s="37" t="s">
        <v>6912</v>
      </c>
      <c r="C26" s="38" t="n">
        <v>200</v>
      </c>
      <c r="D26" s="37" t="s">
        <v>6913</v>
      </c>
      <c r="E26" s="38" t="n">
        <v>406</v>
      </c>
      <c r="F26" s="37" t="s">
        <v>6871</v>
      </c>
      <c r="G26" s="28"/>
    </row>
    <row r="27" customFormat="false" ht="15" hidden="false" customHeight="false" outlineLevel="0" collapsed="false">
      <c r="A27" s="38" t="n">
        <v>23</v>
      </c>
      <c r="B27" s="37" t="s">
        <v>6914</v>
      </c>
      <c r="C27" s="38" t="n">
        <v>200</v>
      </c>
      <c r="D27" s="37" t="s">
        <v>6915</v>
      </c>
      <c r="E27" s="38" t="n">
        <v>406</v>
      </c>
      <c r="F27" s="37" t="s">
        <v>6871</v>
      </c>
      <c r="G27" s="28"/>
    </row>
    <row r="28" customFormat="false" ht="15" hidden="false" customHeight="false" outlineLevel="0" collapsed="false">
      <c r="A28" s="38" t="n">
        <v>24</v>
      </c>
      <c r="B28" s="37" t="s">
        <v>6916</v>
      </c>
      <c r="C28" s="38" t="n">
        <v>200</v>
      </c>
      <c r="D28" s="37" t="s">
        <v>6917</v>
      </c>
      <c r="E28" s="38" t="n">
        <v>406</v>
      </c>
      <c r="F28" s="37" t="s">
        <v>6871</v>
      </c>
      <c r="G28" s="28"/>
    </row>
    <row r="29" customFormat="false" ht="15" hidden="false" customHeight="false" outlineLevel="0" collapsed="false">
      <c r="A29" s="38" t="n">
        <v>25</v>
      </c>
      <c r="B29" s="37" t="s">
        <v>6918</v>
      </c>
      <c r="C29" s="38" t="n">
        <v>200</v>
      </c>
      <c r="D29" s="37" t="s">
        <v>6919</v>
      </c>
      <c r="E29" s="38" t="n">
        <v>406</v>
      </c>
      <c r="F29" s="37" t="s">
        <v>6871</v>
      </c>
      <c r="G29" s="28"/>
    </row>
    <row r="30" customFormat="false" ht="15" hidden="false" customHeight="false" outlineLevel="0" collapsed="false">
      <c r="A30" s="38" t="n">
        <v>26</v>
      </c>
      <c r="B30" s="37" t="s">
        <v>6920</v>
      </c>
      <c r="C30" s="38" t="n">
        <v>200</v>
      </c>
      <c r="D30" s="37" t="s">
        <v>6921</v>
      </c>
      <c r="E30" s="38" t="n">
        <v>406</v>
      </c>
      <c r="F30" s="37" t="s">
        <v>6871</v>
      </c>
      <c r="G30" s="28"/>
    </row>
    <row r="31" customFormat="false" ht="15" hidden="false" customHeight="false" outlineLevel="0" collapsed="false">
      <c r="A31" s="38" t="n">
        <v>27</v>
      </c>
      <c r="B31" s="37" t="s">
        <v>6922</v>
      </c>
      <c r="C31" s="38" t="n">
        <v>200</v>
      </c>
      <c r="D31" s="37" t="s">
        <v>6923</v>
      </c>
      <c r="E31" s="38" t="n">
        <v>406</v>
      </c>
      <c r="F31" s="37" t="s">
        <v>6871</v>
      </c>
      <c r="G31" s="28"/>
    </row>
    <row r="32" customFormat="false" ht="15" hidden="false" customHeight="false" outlineLevel="0" collapsed="false">
      <c r="A32" s="38" t="n">
        <v>28</v>
      </c>
      <c r="B32" s="37" t="s">
        <v>6924</v>
      </c>
      <c r="C32" s="38" t="n">
        <v>200</v>
      </c>
      <c r="D32" s="37" t="s">
        <v>6925</v>
      </c>
      <c r="E32" s="38" t="n">
        <v>406</v>
      </c>
      <c r="F32" s="37" t="s">
        <v>6871</v>
      </c>
      <c r="G32" s="28"/>
    </row>
    <row r="33" customFormat="false" ht="15" hidden="false" customHeight="false" outlineLevel="0" collapsed="false">
      <c r="A33" s="38" t="n">
        <v>29</v>
      </c>
      <c r="B33" s="37" t="s">
        <v>6926</v>
      </c>
      <c r="C33" s="38" t="n">
        <v>200</v>
      </c>
      <c r="D33" s="37" t="s">
        <v>6927</v>
      </c>
      <c r="E33" s="38" t="n">
        <v>406</v>
      </c>
      <c r="F33" s="37" t="s">
        <v>6871</v>
      </c>
      <c r="G33" s="28"/>
    </row>
    <row r="34" customFormat="false" ht="15" hidden="false" customHeight="false" outlineLevel="0" collapsed="false">
      <c r="A34" s="38" t="n">
        <v>30</v>
      </c>
      <c r="B34" s="37" t="s">
        <v>6928</v>
      </c>
      <c r="C34" s="38" t="n">
        <v>200</v>
      </c>
      <c r="D34" s="37" t="s">
        <v>6929</v>
      </c>
      <c r="E34" s="38" t="n">
        <v>406</v>
      </c>
      <c r="F34" s="37" t="s">
        <v>6871</v>
      </c>
      <c r="G34" s="28"/>
    </row>
    <row r="35" customFormat="false" ht="15" hidden="false" customHeight="false" outlineLevel="0" collapsed="false">
      <c r="A35" s="38" t="n">
        <v>31</v>
      </c>
      <c r="B35" s="37" t="s">
        <v>6930</v>
      </c>
      <c r="C35" s="38" t="n">
        <v>200</v>
      </c>
      <c r="D35" s="37" t="s">
        <v>6931</v>
      </c>
      <c r="E35" s="38" t="n">
        <v>406</v>
      </c>
      <c r="F35" s="37" t="s">
        <v>6871</v>
      </c>
      <c r="G35" s="28"/>
    </row>
    <row r="36" customFormat="false" ht="15" hidden="false" customHeight="false" outlineLevel="0" collapsed="false">
      <c r="A36" s="38" t="n">
        <v>32</v>
      </c>
      <c r="B36" s="37" t="s">
        <v>6932</v>
      </c>
      <c r="C36" s="38" t="n">
        <v>200</v>
      </c>
      <c r="D36" s="37" t="s">
        <v>6933</v>
      </c>
      <c r="E36" s="38" t="n">
        <v>406</v>
      </c>
      <c r="F36" s="37" t="s">
        <v>6871</v>
      </c>
      <c r="G36" s="28"/>
    </row>
    <row r="37" customFormat="false" ht="15" hidden="false" customHeight="false" outlineLevel="0" collapsed="false">
      <c r="A37" s="38" t="n">
        <v>33</v>
      </c>
      <c r="B37" s="37" t="s">
        <v>6934</v>
      </c>
      <c r="C37" s="38" t="n">
        <v>200</v>
      </c>
      <c r="D37" s="37" t="s">
        <v>6935</v>
      </c>
      <c r="E37" s="38" t="n">
        <v>406</v>
      </c>
      <c r="F37" s="37" t="s">
        <v>6871</v>
      </c>
      <c r="G37" s="28"/>
    </row>
    <row r="38" customFormat="false" ht="15" hidden="false" customHeight="false" outlineLevel="0" collapsed="false">
      <c r="A38" s="38" t="n">
        <v>34</v>
      </c>
      <c r="B38" s="37" t="s">
        <v>6936</v>
      </c>
      <c r="C38" s="38" t="n">
        <v>200</v>
      </c>
      <c r="D38" s="37" t="s">
        <v>6937</v>
      </c>
      <c r="E38" s="38" t="n">
        <v>406</v>
      </c>
      <c r="F38" s="37" t="s">
        <v>6871</v>
      </c>
      <c r="G38" s="28"/>
    </row>
    <row r="39" customFormat="false" ht="15" hidden="false" customHeight="false" outlineLevel="0" collapsed="false">
      <c r="A39" s="38" t="n">
        <v>35</v>
      </c>
      <c r="B39" s="37" t="s">
        <v>6938</v>
      </c>
      <c r="C39" s="38" t="n">
        <v>200</v>
      </c>
      <c r="D39" s="37" t="s">
        <v>6939</v>
      </c>
      <c r="E39" s="38" t="n">
        <v>406</v>
      </c>
      <c r="F39" s="37" t="s">
        <v>6871</v>
      </c>
      <c r="G39" s="28"/>
    </row>
    <row r="40" customFormat="false" ht="15" hidden="false" customHeight="false" outlineLevel="0" collapsed="false">
      <c r="A40" s="38" t="n">
        <v>36</v>
      </c>
      <c r="B40" s="37" t="s">
        <v>6940</v>
      </c>
      <c r="C40" s="38" t="n">
        <v>200</v>
      </c>
      <c r="D40" s="37" t="s">
        <v>6941</v>
      </c>
      <c r="E40" s="38" t="n">
        <v>406</v>
      </c>
      <c r="F40" s="37" t="s">
        <v>6871</v>
      </c>
      <c r="G40" s="28"/>
    </row>
    <row r="41" customFormat="false" ht="15" hidden="false" customHeight="false" outlineLevel="0" collapsed="false">
      <c r="A41" s="38" t="n">
        <v>37</v>
      </c>
      <c r="B41" s="37" t="s">
        <v>6942</v>
      </c>
      <c r="C41" s="38" t="n">
        <v>200</v>
      </c>
      <c r="D41" s="37" t="s">
        <v>6943</v>
      </c>
      <c r="E41" s="38" t="n">
        <v>406</v>
      </c>
      <c r="F41" s="37" t="s">
        <v>6871</v>
      </c>
      <c r="G41" s="28"/>
    </row>
    <row r="42" customFormat="false" ht="15" hidden="false" customHeight="false" outlineLevel="0" collapsed="false">
      <c r="A42" s="38" t="n">
        <v>38</v>
      </c>
      <c r="B42" s="37" t="s">
        <v>6944</v>
      </c>
      <c r="C42" s="38" t="n">
        <v>200</v>
      </c>
      <c r="D42" s="37" t="s">
        <v>6945</v>
      </c>
      <c r="E42" s="38" t="n">
        <v>406</v>
      </c>
      <c r="F42" s="37" t="s">
        <v>6871</v>
      </c>
      <c r="G42" s="28"/>
    </row>
    <row r="43" customFormat="false" ht="15" hidden="false" customHeight="false" outlineLevel="0" collapsed="false">
      <c r="A43" s="38" t="n">
        <v>39</v>
      </c>
      <c r="B43" s="37" t="s">
        <v>6946</v>
      </c>
      <c r="C43" s="38" t="n">
        <v>200</v>
      </c>
      <c r="D43" s="37" t="s">
        <v>6947</v>
      </c>
      <c r="E43" s="38" t="n">
        <v>406</v>
      </c>
      <c r="F43" s="37" t="s">
        <v>6871</v>
      </c>
      <c r="G43" s="28"/>
    </row>
    <row r="44" customFormat="false" ht="15" hidden="false" customHeight="false" outlineLevel="0" collapsed="false">
      <c r="A44" s="38" t="n">
        <v>40</v>
      </c>
      <c r="B44" s="37" t="s">
        <v>6948</v>
      </c>
      <c r="C44" s="38" t="n">
        <v>200</v>
      </c>
      <c r="D44" s="37" t="s">
        <v>6949</v>
      </c>
      <c r="E44" s="38" t="n">
        <v>406</v>
      </c>
      <c r="F44" s="37" t="s">
        <v>6871</v>
      </c>
      <c r="G44" s="28"/>
    </row>
    <row r="45" customFormat="false" ht="15" hidden="false" customHeight="false" outlineLevel="0" collapsed="false">
      <c r="A45" s="38" t="n">
        <v>41</v>
      </c>
      <c r="B45" s="37" t="s">
        <v>6950</v>
      </c>
      <c r="C45" s="38" t="n">
        <v>200</v>
      </c>
      <c r="D45" s="37" t="s">
        <v>6951</v>
      </c>
      <c r="E45" s="38" t="n">
        <v>406</v>
      </c>
      <c r="F45" s="37" t="s">
        <v>6871</v>
      </c>
      <c r="G45" s="28"/>
    </row>
    <row r="46" customFormat="false" ht="15" hidden="false" customHeight="false" outlineLevel="0" collapsed="false">
      <c r="A46" s="38" t="n">
        <v>42</v>
      </c>
      <c r="B46" s="37" t="s">
        <v>6952</v>
      </c>
      <c r="C46" s="38" t="n">
        <v>200</v>
      </c>
      <c r="D46" s="37" t="s">
        <v>6953</v>
      </c>
      <c r="E46" s="38" t="n">
        <v>406</v>
      </c>
      <c r="F46" s="37" t="s">
        <v>6871</v>
      </c>
      <c r="G46" s="28"/>
    </row>
    <row r="47" customFormat="false" ht="15" hidden="false" customHeight="false" outlineLevel="0" collapsed="false">
      <c r="A47" s="38" t="n">
        <v>43</v>
      </c>
      <c r="B47" s="37" t="s">
        <v>6954</v>
      </c>
      <c r="C47" s="38" t="n">
        <v>200</v>
      </c>
      <c r="D47" s="37" t="s">
        <v>6955</v>
      </c>
      <c r="E47" s="38" t="n">
        <v>406</v>
      </c>
      <c r="F47" s="37" t="s">
        <v>6871</v>
      </c>
      <c r="G47" s="28"/>
    </row>
    <row r="48" customFormat="false" ht="15" hidden="false" customHeight="false" outlineLevel="0" collapsed="false">
      <c r="A48" s="38" t="n">
        <v>44</v>
      </c>
      <c r="B48" s="37" t="s">
        <v>6956</v>
      </c>
      <c r="C48" s="38" t="n">
        <v>200</v>
      </c>
      <c r="D48" s="37" t="s">
        <v>6957</v>
      </c>
      <c r="E48" s="38" t="n">
        <v>406</v>
      </c>
      <c r="F48" s="37" t="s">
        <v>6871</v>
      </c>
      <c r="G48" s="28"/>
    </row>
    <row r="49" customFormat="false" ht="15" hidden="false" customHeight="false" outlineLevel="0" collapsed="false">
      <c r="A49" s="38" t="n">
        <v>45</v>
      </c>
      <c r="B49" s="37" t="s">
        <v>6958</v>
      </c>
      <c r="C49" s="38" t="n">
        <v>200</v>
      </c>
      <c r="D49" s="37" t="s">
        <v>6959</v>
      </c>
      <c r="E49" s="38" t="n">
        <v>406</v>
      </c>
      <c r="F49" s="37" t="s">
        <v>6871</v>
      </c>
      <c r="G49" s="28"/>
    </row>
    <row r="50" customFormat="false" ht="15" hidden="false" customHeight="false" outlineLevel="0" collapsed="false">
      <c r="A50" s="38" t="n">
        <v>46</v>
      </c>
      <c r="B50" s="37" t="s">
        <v>6960</v>
      </c>
      <c r="C50" s="38" t="n">
        <v>200</v>
      </c>
      <c r="D50" s="37" t="s">
        <v>6961</v>
      </c>
      <c r="E50" s="38" t="n">
        <v>406</v>
      </c>
      <c r="F50" s="37" t="s">
        <v>6871</v>
      </c>
      <c r="G50" s="28"/>
    </row>
    <row r="51" customFormat="false" ht="15" hidden="false" customHeight="false" outlineLevel="0" collapsed="false">
      <c r="A51" s="38" t="n">
        <v>47</v>
      </c>
      <c r="B51" s="37" t="s">
        <v>6962</v>
      </c>
      <c r="C51" s="38" t="n">
        <v>200</v>
      </c>
      <c r="D51" s="37" t="s">
        <v>6963</v>
      </c>
      <c r="E51" s="38" t="n">
        <v>406</v>
      </c>
      <c r="F51" s="37" t="s">
        <v>6871</v>
      </c>
      <c r="G51" s="28"/>
    </row>
    <row r="52" customFormat="false" ht="15" hidden="false" customHeight="false" outlineLevel="0" collapsed="false">
      <c r="A52" s="38" t="n">
        <v>48</v>
      </c>
      <c r="B52" s="37" t="s">
        <v>6964</v>
      </c>
      <c r="C52" s="38" t="n">
        <v>200</v>
      </c>
      <c r="D52" s="37" t="s">
        <v>6965</v>
      </c>
      <c r="E52" s="38" t="n">
        <v>406</v>
      </c>
      <c r="F52" s="37" t="s">
        <v>6871</v>
      </c>
      <c r="G52" s="28"/>
    </row>
    <row r="53" customFormat="false" ht="15" hidden="false" customHeight="false" outlineLevel="0" collapsed="false">
      <c r="A53" s="38" t="n">
        <v>49</v>
      </c>
      <c r="B53" s="37" t="s">
        <v>6966</v>
      </c>
      <c r="C53" s="38" t="n">
        <v>200</v>
      </c>
      <c r="D53" s="37" t="s">
        <v>6967</v>
      </c>
      <c r="E53" s="38" t="n">
        <v>406</v>
      </c>
      <c r="F53" s="37" t="s">
        <v>6871</v>
      </c>
      <c r="G53" s="28"/>
    </row>
    <row r="54" customFormat="false" ht="15" hidden="false" customHeight="false" outlineLevel="0" collapsed="false">
      <c r="A54" s="38" t="n">
        <v>50</v>
      </c>
      <c r="B54" s="37" t="s">
        <v>6968</v>
      </c>
      <c r="C54" s="38" t="n">
        <v>200</v>
      </c>
      <c r="D54" s="37" t="s">
        <v>6969</v>
      </c>
      <c r="E54" s="38" t="n">
        <v>406</v>
      </c>
      <c r="F54" s="37" t="s">
        <v>6871</v>
      </c>
      <c r="G54" s="28"/>
    </row>
    <row r="55" customFormat="false" ht="15" hidden="false" customHeight="false" outlineLevel="0" collapsed="false">
      <c r="A55" s="38" t="n">
        <v>51</v>
      </c>
      <c r="B55" s="37" t="s">
        <v>6970</v>
      </c>
      <c r="C55" s="38" t="n">
        <v>200</v>
      </c>
      <c r="D55" s="37" t="s">
        <v>6971</v>
      </c>
      <c r="E55" s="38" t="n">
        <v>406</v>
      </c>
      <c r="F55" s="37" t="s">
        <v>6871</v>
      </c>
      <c r="G55" s="28"/>
    </row>
    <row r="56" customFormat="false" ht="15" hidden="false" customHeight="false" outlineLevel="0" collapsed="false">
      <c r="A56" s="38" t="n">
        <v>52</v>
      </c>
      <c r="B56" s="37" t="s">
        <v>6972</v>
      </c>
      <c r="C56" s="38" t="n">
        <v>200</v>
      </c>
      <c r="D56" s="37" t="s">
        <v>6973</v>
      </c>
      <c r="E56" s="38" t="n">
        <v>406</v>
      </c>
      <c r="F56" s="37" t="s">
        <v>6871</v>
      </c>
      <c r="G56" s="28"/>
    </row>
    <row r="57" customFormat="false" ht="15" hidden="false" customHeight="false" outlineLevel="0" collapsed="false">
      <c r="A57" s="38" t="n">
        <v>53</v>
      </c>
      <c r="B57" s="37" t="s">
        <v>6974</v>
      </c>
      <c r="C57" s="38" t="n">
        <v>200</v>
      </c>
      <c r="D57" s="37" t="s">
        <v>6975</v>
      </c>
      <c r="E57" s="38" t="n">
        <v>406</v>
      </c>
      <c r="F57" s="37" t="s">
        <v>6871</v>
      </c>
      <c r="G57" s="28"/>
    </row>
    <row r="58" customFormat="false" ht="15" hidden="false" customHeight="false" outlineLevel="0" collapsed="false">
      <c r="A58" s="38" t="n">
        <v>54</v>
      </c>
      <c r="B58" s="37" t="s">
        <v>6976</v>
      </c>
      <c r="C58" s="38" t="n">
        <v>200</v>
      </c>
      <c r="D58" s="37" t="s">
        <v>6977</v>
      </c>
      <c r="E58" s="38" t="n">
        <v>406</v>
      </c>
      <c r="F58" s="37" t="s">
        <v>6871</v>
      </c>
      <c r="G58" s="28"/>
    </row>
    <row r="59" customFormat="false" ht="15" hidden="false" customHeight="false" outlineLevel="0" collapsed="false">
      <c r="A59" s="38" t="n">
        <v>55</v>
      </c>
      <c r="B59" s="37" t="s">
        <v>6978</v>
      </c>
      <c r="C59" s="38" t="n">
        <v>200</v>
      </c>
      <c r="D59" s="37" t="s">
        <v>6979</v>
      </c>
      <c r="E59" s="38" t="n">
        <v>406</v>
      </c>
      <c r="F59" s="37" t="s">
        <v>6871</v>
      </c>
      <c r="G59" s="28"/>
    </row>
    <row r="60" customFormat="false" ht="15" hidden="false" customHeight="false" outlineLevel="0" collapsed="false">
      <c r="A60" s="38" t="n">
        <v>56</v>
      </c>
      <c r="B60" s="37" t="s">
        <v>6980</v>
      </c>
      <c r="C60" s="38" t="n">
        <v>200</v>
      </c>
      <c r="D60" s="37" t="s">
        <v>6981</v>
      </c>
      <c r="E60" s="38" t="n">
        <v>406</v>
      </c>
      <c r="F60" s="37" t="s">
        <v>6871</v>
      </c>
      <c r="G60" s="28"/>
    </row>
    <row r="61" customFormat="false" ht="15" hidden="false" customHeight="false" outlineLevel="0" collapsed="false">
      <c r="A61" s="38" t="n">
        <v>57</v>
      </c>
      <c r="B61" s="37" t="s">
        <v>6982</v>
      </c>
      <c r="C61" s="38" t="n">
        <v>200</v>
      </c>
      <c r="D61" s="37" t="s">
        <v>6983</v>
      </c>
      <c r="E61" s="38" t="n">
        <v>406</v>
      </c>
      <c r="F61" s="37" t="s">
        <v>6871</v>
      </c>
      <c r="G61" s="28"/>
    </row>
    <row r="62" customFormat="false" ht="15" hidden="false" customHeight="false" outlineLevel="0" collapsed="false">
      <c r="A62" s="38" t="n">
        <v>58</v>
      </c>
      <c r="B62" s="37" t="s">
        <v>6984</v>
      </c>
      <c r="C62" s="38" t="n">
        <v>200</v>
      </c>
      <c r="D62" s="37" t="s">
        <v>6985</v>
      </c>
      <c r="E62" s="38" t="n">
        <v>406</v>
      </c>
      <c r="F62" s="37" t="s">
        <v>6871</v>
      </c>
      <c r="G62" s="28"/>
    </row>
    <row r="63" customFormat="false" ht="15" hidden="false" customHeight="false" outlineLevel="0" collapsed="false">
      <c r="A63" s="38" t="n">
        <v>59</v>
      </c>
      <c r="B63" s="37" t="s">
        <v>6986</v>
      </c>
      <c r="C63" s="38" t="n">
        <v>200</v>
      </c>
      <c r="D63" s="37" t="s">
        <v>6987</v>
      </c>
      <c r="E63" s="38" t="n">
        <v>406</v>
      </c>
      <c r="F63" s="37" t="s">
        <v>6871</v>
      </c>
      <c r="G63" s="28"/>
    </row>
    <row r="64" customFormat="false" ht="15" hidden="false" customHeight="false" outlineLevel="0" collapsed="false">
      <c r="A64" s="38" t="n">
        <v>60</v>
      </c>
      <c r="B64" s="37" t="s">
        <v>6988</v>
      </c>
      <c r="C64" s="38" t="n">
        <v>200</v>
      </c>
      <c r="D64" s="37" t="s">
        <v>6989</v>
      </c>
      <c r="E64" s="38" t="n">
        <v>406</v>
      </c>
      <c r="F64" s="37" t="s">
        <v>6871</v>
      </c>
      <c r="G64" s="28"/>
    </row>
    <row r="65" customFormat="false" ht="15" hidden="false" customHeight="false" outlineLevel="0" collapsed="false">
      <c r="A65" s="38" t="n">
        <v>61</v>
      </c>
      <c r="B65" s="37" t="s">
        <v>6990</v>
      </c>
      <c r="C65" s="38" t="n">
        <v>200</v>
      </c>
      <c r="D65" s="37" t="s">
        <v>6991</v>
      </c>
      <c r="E65" s="38" t="n">
        <v>406</v>
      </c>
      <c r="F65" s="37" t="s">
        <v>6871</v>
      </c>
      <c r="G65" s="28"/>
    </row>
    <row r="66" customFormat="false" ht="15" hidden="false" customHeight="false" outlineLevel="0" collapsed="false">
      <c r="A66" s="38" t="n">
        <v>62</v>
      </c>
      <c r="B66" s="37" t="s">
        <v>6992</v>
      </c>
      <c r="C66" s="38" t="n">
        <v>200</v>
      </c>
      <c r="D66" s="37" t="s">
        <v>6993</v>
      </c>
      <c r="E66" s="38" t="n">
        <v>406</v>
      </c>
      <c r="F66" s="37" t="s">
        <v>6871</v>
      </c>
      <c r="G66" s="28"/>
    </row>
    <row r="67" customFormat="false" ht="15" hidden="false" customHeight="false" outlineLevel="0" collapsed="false">
      <c r="A67" s="38" t="n">
        <v>63</v>
      </c>
      <c r="B67" s="37" t="s">
        <v>6994</v>
      </c>
      <c r="C67" s="38" t="n">
        <v>200</v>
      </c>
      <c r="D67" s="37" t="s">
        <v>6995</v>
      </c>
      <c r="E67" s="38" t="n">
        <v>406</v>
      </c>
      <c r="F67" s="37" t="s">
        <v>6871</v>
      </c>
      <c r="G67" s="28"/>
    </row>
    <row r="68" customFormat="false" ht="15" hidden="false" customHeight="false" outlineLevel="0" collapsed="false">
      <c r="A68" s="38" t="n">
        <v>64</v>
      </c>
      <c r="B68" s="37" t="s">
        <v>6996</v>
      </c>
      <c r="C68" s="38" t="n">
        <v>200</v>
      </c>
      <c r="D68" s="37" t="s">
        <v>6997</v>
      </c>
      <c r="E68" s="38" t="n">
        <v>406</v>
      </c>
      <c r="F68" s="37" t="s">
        <v>6871</v>
      </c>
      <c r="G68" s="28"/>
    </row>
    <row r="69" customFormat="false" ht="15" hidden="false" customHeight="false" outlineLevel="0" collapsed="false">
      <c r="A69" s="38" t="n">
        <v>65</v>
      </c>
      <c r="B69" s="37" t="s">
        <v>6998</v>
      </c>
      <c r="C69" s="38" t="n">
        <v>200</v>
      </c>
      <c r="D69" s="37" t="s">
        <v>6999</v>
      </c>
      <c r="E69" s="38" t="n">
        <v>406</v>
      </c>
      <c r="F69" s="37" t="s">
        <v>6871</v>
      </c>
      <c r="G69" s="28"/>
    </row>
    <row r="70" customFormat="false" ht="15" hidden="false" customHeight="false" outlineLevel="0" collapsed="false">
      <c r="A70" s="38" t="n">
        <v>66</v>
      </c>
      <c r="B70" s="37" t="s">
        <v>7000</v>
      </c>
      <c r="C70" s="38" t="n">
        <v>200</v>
      </c>
      <c r="D70" s="37" t="s">
        <v>7001</v>
      </c>
      <c r="E70" s="38" t="n">
        <v>406</v>
      </c>
      <c r="F70" s="37" t="s">
        <v>6871</v>
      </c>
      <c r="G70" s="28"/>
    </row>
    <row r="71" customFormat="false" ht="15" hidden="false" customHeight="false" outlineLevel="0" collapsed="false">
      <c r="A71" s="38" t="n">
        <v>67</v>
      </c>
      <c r="B71" s="37" t="s">
        <v>7002</v>
      </c>
      <c r="C71" s="38" t="n">
        <v>200</v>
      </c>
      <c r="D71" s="37" t="s">
        <v>7003</v>
      </c>
      <c r="E71" s="38" t="n">
        <v>406</v>
      </c>
      <c r="F71" s="37" t="s">
        <v>6871</v>
      </c>
      <c r="G71" s="28"/>
    </row>
    <row r="72" customFormat="false" ht="15" hidden="false" customHeight="false" outlineLevel="0" collapsed="false">
      <c r="A72" s="38" t="n">
        <v>68</v>
      </c>
      <c r="B72" s="37" t="s">
        <v>7004</v>
      </c>
      <c r="C72" s="38" t="n">
        <v>200</v>
      </c>
      <c r="D72" s="37" t="s">
        <v>7005</v>
      </c>
      <c r="E72" s="38" t="n">
        <v>406</v>
      </c>
      <c r="F72" s="37" t="s">
        <v>6871</v>
      </c>
      <c r="G72" s="28"/>
    </row>
    <row r="73" customFormat="false" ht="15" hidden="false" customHeight="false" outlineLevel="0" collapsed="false">
      <c r="A73" s="38" t="n">
        <v>69</v>
      </c>
      <c r="B73" s="37" t="s">
        <v>7006</v>
      </c>
      <c r="C73" s="38" t="n">
        <v>200</v>
      </c>
      <c r="D73" s="37" t="s">
        <v>7007</v>
      </c>
      <c r="E73" s="38" t="n">
        <v>406</v>
      </c>
      <c r="F73" s="37" t="s">
        <v>6871</v>
      </c>
      <c r="G73" s="28"/>
    </row>
    <row r="74" customFormat="false" ht="15" hidden="false" customHeight="false" outlineLevel="0" collapsed="false">
      <c r="A74" s="38" t="n">
        <v>70</v>
      </c>
      <c r="B74" s="37" t="s">
        <v>7008</v>
      </c>
      <c r="C74" s="38" t="n">
        <v>200</v>
      </c>
      <c r="D74" s="37" t="s">
        <v>7009</v>
      </c>
      <c r="E74" s="38" t="n">
        <v>406</v>
      </c>
      <c r="F74" s="37" t="s">
        <v>6871</v>
      </c>
      <c r="G74" s="28"/>
    </row>
    <row r="75" customFormat="false" ht="15" hidden="false" customHeight="false" outlineLevel="0" collapsed="false">
      <c r="A75" s="38" t="n">
        <v>71</v>
      </c>
      <c r="B75" s="37" t="s">
        <v>7010</v>
      </c>
      <c r="C75" s="38" t="n">
        <v>200</v>
      </c>
      <c r="D75" s="37" t="s">
        <v>7011</v>
      </c>
      <c r="E75" s="38" t="n">
        <v>406</v>
      </c>
      <c r="F75" s="37" t="s">
        <v>6871</v>
      </c>
      <c r="G75" s="28"/>
    </row>
    <row r="76" customFormat="false" ht="15" hidden="false" customHeight="false" outlineLevel="0" collapsed="false">
      <c r="A76" s="38" t="n">
        <v>72</v>
      </c>
      <c r="B76" s="37" t="s">
        <v>7012</v>
      </c>
      <c r="C76" s="38" t="n">
        <v>200</v>
      </c>
      <c r="D76" s="37" t="s">
        <v>7013</v>
      </c>
      <c r="E76" s="38" t="n">
        <v>406</v>
      </c>
      <c r="F76" s="37" t="s">
        <v>6871</v>
      </c>
      <c r="G76" s="28"/>
    </row>
    <row r="77" customFormat="false" ht="15" hidden="false" customHeight="false" outlineLevel="0" collapsed="false">
      <c r="A77" s="38" t="n">
        <v>73</v>
      </c>
      <c r="B77" s="37" t="s">
        <v>7014</v>
      </c>
      <c r="C77" s="38" t="n">
        <v>200</v>
      </c>
      <c r="D77" s="37" t="s">
        <v>7015</v>
      </c>
      <c r="E77" s="38" t="n">
        <v>406</v>
      </c>
      <c r="F77" s="37" t="s">
        <v>6871</v>
      </c>
      <c r="G77" s="28"/>
    </row>
    <row r="78" customFormat="false" ht="15" hidden="false" customHeight="false" outlineLevel="0" collapsed="false">
      <c r="A78" s="38" t="n">
        <v>74</v>
      </c>
      <c r="B78" s="37" t="s">
        <v>7016</v>
      </c>
      <c r="C78" s="38" t="n">
        <v>200</v>
      </c>
      <c r="D78" s="37" t="s">
        <v>7017</v>
      </c>
      <c r="E78" s="38" t="n">
        <v>406</v>
      </c>
      <c r="F78" s="37" t="s">
        <v>6871</v>
      </c>
      <c r="G78" s="28"/>
    </row>
    <row r="79" customFormat="false" ht="15" hidden="false" customHeight="false" outlineLevel="0" collapsed="false">
      <c r="A79" s="38" t="n">
        <v>75</v>
      </c>
      <c r="B79" s="37" t="s">
        <v>7018</v>
      </c>
      <c r="C79" s="38" t="n">
        <v>200</v>
      </c>
      <c r="D79" s="37" t="s">
        <v>7019</v>
      </c>
      <c r="E79" s="38" t="n">
        <v>406</v>
      </c>
      <c r="F79" s="37" t="s">
        <v>6871</v>
      </c>
      <c r="G79" s="28"/>
    </row>
    <row r="80" customFormat="false" ht="15" hidden="false" customHeight="false" outlineLevel="0" collapsed="false">
      <c r="A80" s="38" t="n">
        <v>76</v>
      </c>
      <c r="B80" s="37" t="s">
        <v>7020</v>
      </c>
      <c r="C80" s="38" t="n">
        <v>200</v>
      </c>
      <c r="D80" s="37" t="s">
        <v>7021</v>
      </c>
      <c r="E80" s="38" t="n">
        <v>406</v>
      </c>
      <c r="F80" s="37" t="s">
        <v>6871</v>
      </c>
      <c r="G80" s="28"/>
    </row>
    <row r="81" customFormat="false" ht="15" hidden="false" customHeight="false" outlineLevel="0" collapsed="false">
      <c r="A81" s="38" t="n">
        <v>77</v>
      </c>
      <c r="B81" s="37" t="s">
        <v>7022</v>
      </c>
      <c r="C81" s="38" t="n">
        <v>200</v>
      </c>
      <c r="D81" s="37" t="s">
        <v>7023</v>
      </c>
      <c r="E81" s="38" t="n">
        <v>406</v>
      </c>
      <c r="F81" s="37" t="s">
        <v>6871</v>
      </c>
      <c r="G81" s="28"/>
    </row>
    <row r="82" customFormat="false" ht="15" hidden="false" customHeight="false" outlineLevel="0" collapsed="false">
      <c r="A82" s="38" t="n">
        <v>78</v>
      </c>
      <c r="B82" s="37" t="s">
        <v>7024</v>
      </c>
      <c r="C82" s="38" t="n">
        <v>200</v>
      </c>
      <c r="D82" s="37" t="s">
        <v>7025</v>
      </c>
      <c r="E82" s="38" t="n">
        <v>406</v>
      </c>
      <c r="F82" s="37" t="s">
        <v>6871</v>
      </c>
      <c r="G82" s="28"/>
    </row>
    <row r="83" customFormat="false" ht="15" hidden="false" customHeight="false" outlineLevel="0" collapsed="false">
      <c r="A83" s="38" t="n">
        <v>79</v>
      </c>
      <c r="B83" s="37" t="s">
        <v>7026</v>
      </c>
      <c r="C83" s="38" t="n">
        <v>200</v>
      </c>
      <c r="D83" s="37" t="s">
        <v>7027</v>
      </c>
      <c r="E83" s="38" t="n">
        <v>406</v>
      </c>
      <c r="F83" s="37" t="s">
        <v>6871</v>
      </c>
      <c r="G83" s="28"/>
    </row>
    <row r="84" customFormat="false" ht="15" hidden="false" customHeight="false" outlineLevel="0" collapsed="false">
      <c r="A84" s="38" t="n">
        <v>80</v>
      </c>
      <c r="B84" s="37" t="s">
        <v>7028</v>
      </c>
      <c r="C84" s="38" t="n">
        <v>200</v>
      </c>
      <c r="D84" s="37" t="s">
        <v>7029</v>
      </c>
      <c r="E84" s="38" t="n">
        <v>406</v>
      </c>
      <c r="F84" s="37" t="s">
        <v>6871</v>
      </c>
      <c r="G84" s="28"/>
    </row>
    <row r="85" customFormat="false" ht="15" hidden="false" customHeight="false" outlineLevel="0" collapsed="false">
      <c r="A85" s="38" t="n">
        <v>81</v>
      </c>
      <c r="B85" s="37" t="s">
        <v>7030</v>
      </c>
      <c r="C85" s="38" t="n">
        <v>200</v>
      </c>
      <c r="D85" s="37" t="s">
        <v>7031</v>
      </c>
      <c r="E85" s="38" t="n">
        <v>406</v>
      </c>
      <c r="F85" s="37" t="s">
        <v>6871</v>
      </c>
      <c r="G85" s="28"/>
    </row>
  </sheetData>
  <mergeCells count="1">
    <mergeCell ref="A3:G3"/>
  </mergeCells>
  <hyperlinks>
    <hyperlink ref="B5" r:id="rId1" display="https://striking-viking.com/products/striking-viking-hybrid-beard-growth-bundle-with-sandalwood-unscented-beard-oils-and-derma-roller"/>
    <hyperlink ref="D5" r:id="rId2" display="https://account.striking-viking.com/?locale=en&amp;buyer_flags=eyJhbGciOiJIUzI1NiJ9.eyJpc3MiOiJzdHJpa2luZy12aWtpbmcubXlzaG9waWZ5LmNvbSIsImZsYWdzIjpbXSwiZXhwIjoxNzkxMjkzMDA1LCJuYmYiOjE3OTA2ODgyMDV9.ekRgv3Rn4dJGKJKXV0HPH6qN8mfdRQsvmnxv_GsNPOQ"/>
    <hyperlink ref="B6" r:id="rId3" display="https://striking-viking.com/products/charlemagne-carbon-wide-tooth-comb-for-men-heat-resistant-carbon-fiber-hair-comb"/>
    <hyperlink ref="D6" r:id="rId4" display="https://account.striking-viking.com/?locale=en&amp;buyer_flags=eyJhbGciOiJIUzI1NiJ9.eyJpc3MiOiJzdHJpa2luZy12aWtpbmcubXlzaG9waWZ5LmNvbSIsImZsYWdzIjpbXSwiZXhwIjoxNzkxMjkyNTU3LCJuYmYiOjE3OTA2ODc3NTd9.AuzQ5WktWnMKf0rqSUIlmpQ8aNTqxQgV3bP3dg8iYrU"/>
    <hyperlink ref="B7" r:id="rId5" display="https://striking-viking.com/products/shipping-protection"/>
    <hyperlink ref="D7" r:id="rId6" display="https://account.striking-viking.com/?locale=en&amp;buyer_flags=eyJhbGciOiJIUzI1NiJ9.eyJpc3MiOiJzdHJpa2luZy12aWtpbmcubXlzaG9waWZ5LmNvbSIsImZsYWdzIjpbXSwiZXhwIjoxNzkxMjkyNzY3LCJuYmYiOjE3OTA2ODc5Njd9.QZ1__YzzSDI4MgTpeCVO_jRprB2AFk0lWxdG3VFBKRk"/>
    <hyperlink ref="B8" r:id="rId7" display="https://striking-viking.com/products/gift-wrapping"/>
    <hyperlink ref="D8" r:id="rId8" display="https://account.striking-viking.com/?locale=en&amp;buyer_flags=eyJhbGciOiJIUzI1NiJ9.eyJpc3MiOiJzdHJpa2luZy12aWtpbmcubXlzaG9waWZ5LmNvbSIsImZsYWdzIjpbXSwiZXhwIjoxNzkxMjkyNzM1LCJuYmYiOjE3OTA2ODc5MzV9.uHZaFad2ROSZt8QKOQgsV1moHcoUmAgLhu2E28GNXBI"/>
    <hyperlink ref="B9" r:id="rId9" display="https://striking-viking.com/products/ontaki-hair-thinning-shears-kit-7-inch-professional-hair-cutting-texturizing-set"/>
    <hyperlink ref="D9" r:id="rId10" display="https://account.striking-viking.com/?locale=en&amp;buyer_flags=eyJhbGciOiJIUzI1NiJ9.eyJpc3MiOiJzdHJpa2luZy12aWtpbmcubXlzaG9waWZ5LmNvbSIsImZsYWdzIjpbXSwiZXhwIjoxNzkxMjkyMTY1LCJuYmYiOjE3OTA2ODczNjV9.gXiAFPzHSDRucSMV_UA_hPSdDlnTCiSPXfvkcsgzLeM"/>
    <hyperlink ref="B10" r:id="rId11" display="https://striking-viking.com/products/striking-viking-blue-ocean-beard-oil-for-men-natural-beard-growth-oil-with-argan-jojoba"/>
    <hyperlink ref="D10" r:id="rId12" display="https://account.striking-viking.com/?locale=en&amp;buyer_flags=eyJhbGciOiJIUzI1NiJ9.eyJpc3MiOiJzdHJpa2luZy12aWtpbmcubXlzaG9waWZ5LmNvbSIsImZsYWdzIjpbXSwiZXhwIjoxNzkxMjkyMzc1LCJuYmYiOjE3OTA2ODc1NzV9.GTAuVtfBTUYi0xI_OohkoUPCIhbtZt9vJJOHK2tIWls"/>
    <hyperlink ref="B11" r:id="rId13" display="https://striking-viking.com/products/striking-viking-beard-oil-variety-4-pack-citrus-vanilla-cedarwood-sandalwood"/>
    <hyperlink ref="D11" r:id="rId14" display="https://account.striking-viking.com/?locale=en&amp;buyer_flags=eyJhbGciOiJIUzI1NiJ9.eyJpc3MiOiJzdHJpa2luZy12aWtpbmcubXlzaG9waWZ5LmNvbSIsImZsYWdzIjpbXSwiZXhwIjoxNzkxMjkxMzg1LCJuYmYiOjE3OTA2ODY1ODV9.DY84dwmJuY18KPeqicT0qbvqeZ422HDfMbFvUxKf2LM"/>
    <hyperlink ref="B12" r:id="rId15" display="https://striking-viking.com/products/striking-viking-vanilla-beard-growth-kit-with-biotin-oil-0-25mm-derma-roller"/>
    <hyperlink ref="D12" r:id="rId16" display="https://account.striking-viking.com/?locale=en&amp;buyer_flags=eyJhbGciOiJIUzI1NiJ9.eyJpc3MiOiJzdHJpa2luZy12aWtpbmcubXlzaG9waWZ5LmNvbSIsImZsYWdzIjpbXSwiZXhwIjoxNzkxMjkzMjQ1LCJuYmYiOjE3OTA2ODg0NDV9.-lSCQZQFHe_PyDYdQYofF7-jjwR8zLNNTPf9Zzz80jg"/>
    <hyperlink ref="B13" r:id="rId17" display="https://striking-viking.com/products/striking-viking-sandalwood-beard-shampoo-for-clean-healthy-soft-beard-care-for-men"/>
    <hyperlink ref="D13" r:id="rId18" display="https://account.striking-viking.com/?locale=en&amp;buyer_flags=eyJhbGciOiJIUzI1NiJ9.eyJpc3MiOiJzdHJpa2luZy12aWtpbmcubXlzaG9waWZ5LmNvbSIsImZsYWdzIjpbXSwiZXhwIjoxNzkxMjkzNDg2LCJuYmYiOjE3OTA2ODg2ODZ9.mpPvaj-Xi1DKC4TqFU-hxsHNGg_b0bpQuSVMKwhahwE"/>
    <hyperlink ref="B14" r:id="rId19" display="https://striking-viking.com/products/striking-viking-vanilla-beard-balm-2-pack-with-natural-organic-ingredients-for-beard-styling"/>
    <hyperlink ref="D14" r:id="rId20" display="https://account.striking-viking.com/?locale=en&amp;buyer_flags=eyJhbGciOiJIUzI1NiJ9.eyJpc3MiOiJzdHJpa2luZy12aWtpbmcubXlzaG9waWZ5LmNvbSIsImZsYWdzIjpbXSwiZXhwIjoxNzkxMjkzMTU1LCJuYmYiOjE3OTA2ODgzNTV9.GYvHjVcAIZWYN9ZNrzhtH5L9MlK825xpTNADCnuQfgI"/>
    <hyperlink ref="B15" r:id="rId21" display="https://striking-viking.com/products/striking-viking-bergamot-thunder-beard-balm-for-men-natural-beard-balm-with-shea-butter"/>
    <hyperlink ref="D15" r:id="rId22" display="https://account.striking-viking.com/?locale=en&amp;buyer_flags=eyJhbGciOiJIUzI1NiJ9.eyJpc3MiOiJzdHJpa2luZy12aWtpbmcubXlzaG9waWZ5LmNvbSIsImZsYWdzIjpbXSwiZXhwIjoxNzkxMjkyNDA2LCJuYmYiOjE3OTA2ODc2MDZ9.5w8Kx2GzJtt38gy4iEkREyH8Id9rTzOh4so_-Li6s_8"/>
    <hyperlink ref="B16" r:id="rId23" display="https://striking-viking.com/products/ontaki-professional-thinning-texturizing-scissors-set-6-5-inch-japanese-alloy-steel"/>
    <hyperlink ref="D16" r:id="rId24" display="https://account.striking-viking.com/?locale=en&amp;buyer_flags=eyJhbGciOiJIUzI1NiJ9.eyJpc3MiOiJzdHJpa2luZy12aWtpbmcubXlzaG9waWZ5LmNvbSIsImZsYWdzIjpbXSwiZXhwIjoxNzkxMjkxODk1LCJuYmYiOjE3OTA2ODcwOTV9.1qoG6NVao39HmrSQk9gfHXdGZhuXwhYUypkxeUmBhkc"/>
    <hyperlink ref="B17" r:id="rId25" display="https://striking-viking.com/products/striking-viking-unscented-beard-oil-and-balm-kit-natural-beard-grooming-set-for-men"/>
    <hyperlink ref="D17" r:id="rId26" display="https://account.striking-viking.com/?locale=en&amp;buyer_flags=eyJhbGciOiJIUzI1NiJ9.eyJpc3MiOiJzdHJpa2luZy12aWtpbmcubXlzaG9waWZ5LmNvbSIsImZsYWdzIjpbXSwiZXhwIjoxNzkxMjkxODM1LCJuYmYiOjE3OTA2ODcwMzV9.3BaaYejcHhF0FJVQnxFLjZ8FqUyi2fvaZVmSmXNLXpc"/>
    <hyperlink ref="B18" r:id="rId27" display="https://striking-viking.com/products/striking-viking-bergamot-thunder-beard-oil-for-men-natural-beard-growth-oil-with-argan-jojoba"/>
    <hyperlink ref="D18" r:id="rId28" display="https://account.striking-viking.com/?locale=en&amp;buyer_flags=eyJhbGciOiJIUzI1NiJ9.eyJpc3MiOiJzdHJpa2luZy12aWtpbmcubXlzaG9waWZ5LmNvbSIsImZsYWdzIjpbXSwiZXhwIjoxNzkxMjkyMzE2LCJuYmYiOjE3OTA2ODc1MTZ9.gmehvdLxxIoYfoPGgBUobI_pQAF5DgTKjFGweW3IKq4"/>
    <hyperlink ref="B19" r:id="rId29" display="https://striking-viking.com/products/ontaki-curved-fabric-scissors-6-5-inch-german-stainless-steel-embroidery-scissors"/>
    <hyperlink ref="D19" r:id="rId30" display="https://account.striking-viking.com/?locale=en&amp;buyer_flags=eyJhbGciOiJIUzI1NiJ9.eyJpc3MiOiJzdHJpa2luZy12aWtpbmcubXlzaG9waWZ5LmNvbSIsImZsYWdzIjpbXSwiZXhwIjoxNzkxMjkyMTk2LCJuYmYiOjE3OTA2ODczOTZ9.p6yzuvXVlsg0u5NPlIl-lCuileLgmXAJ7igQnv7L6DY"/>
    <hyperlink ref="B20" r:id="rId31" display="https://striking-viking.com/products/charlemagne-carbon-hair-comb-for-men-professional-heat-resistant-styling-detangling-comb"/>
    <hyperlink ref="D20" r:id="rId32" display="https://account.striking-viking.com/?locale=en&amp;buyer_flags=eyJhbGciOiJIUzI1NiJ9.eyJpc3MiOiJzdHJpa2luZy12aWtpbmcubXlzaG9waWZ5LmNvbSIsImZsYWdzIjpbXSwiZXhwIjoxNzkxMjkyNTI2LCJuYmYiOjE3OTA2ODc3MjZ9.cuxTZ6UFvSEfg5nXfhPpQOLNFnmEysl96v26Fiw7Nw0"/>
    <hyperlink ref="B21" r:id="rId33" display="https://striking-viking.com/products/striking-viking-beard-filler-pen-2-pack-dual-tip-waterproof-beard-pen-for-natural-beard-filling"/>
    <hyperlink ref="D21" r:id="rId34" display="https://account.striking-viking.com/?locale=en&amp;buyer_flags=eyJhbGciOiJIUzI1NiJ9.eyJpc3MiOiJzdHJpa2luZy12aWtpbmcubXlzaG9waWZ5LmNvbSIsImZsYWdzIjpbXSwiZXhwIjoxNzkxMjkyODg2LCJuYmYiOjE3OTA2ODgwODZ9.X4GigN0yiyX6uZACoOqZP7OjSUR_b9N_p5vZH1Q4W7c"/>
    <hyperlink ref="B22" r:id="rId35" display="https://striking-viking.com/products/striking-viking-blue-ocean-beard-balm-for-men-natural-beard-balm-with-shea-butter-jojoba"/>
    <hyperlink ref="D22" r:id="rId36" display="https://account.striking-viking.com/?locale=en&amp;buyer_flags=eyJhbGciOiJIUzI1NiJ9.eyJpc3MiOiJzdHJpa2luZy12aWtpbmcubXlzaG9waWZ5LmNvbSIsImZsYWdzIjpbXSwiZXhwIjoxNzkxMjkyNDY2LCJuYmYiOjE3OTA2ODc2NjZ9.YkBJoiWDyOmxie9KNOk2FBjTXec7trzgeMTG2HvNl9E"/>
    <hyperlink ref="B23" r:id="rId37" display="https://striking-viking.com/products/striking-viking-boar-bristle-beard-brush-for-men-natural-beech-wood-grooming-brush"/>
    <hyperlink ref="D23" r:id="rId38" display="https://account.striking-viking.com/?locale=en&amp;buyer_flags=eyJhbGciOiJIUzI1NiJ9.eyJpc3MiOiJzdHJpa2luZy12aWtpbmcubXlzaG9waWZ5LmNvbSIsImZsYWdzIjpbXSwiZXhwIjoxNzkxMjkxODY1LCJuYmYiOjE3OTA2ODcwNjV9.WBu0I1lAAAXw8rjzUrMvKQsNI2leaK-wHuPPFoBkzTY"/>
    <hyperlink ref="B24" r:id="rId39" display="https://striking-viking.com/products/striking-viking-beard-kit-caddy-complete-beard-grooming-kit"/>
    <hyperlink ref="D24" r:id="rId40" display="https://account.striking-viking.com/?locale=en&amp;buyer_flags=eyJhbGciOiJIUzI1NiJ9.eyJpc3MiOiJzdHJpa2luZy12aWtpbmcubXlzaG9waWZ5LmNvbSIsImZsYWdzIjpbXSwiZXhwIjoxNzkxMjkxNjg1LCJuYmYiOjE3OTA2ODY4ODV9.85vNsWNGS_vDqaD0lJxHf9LoEF4PJ6vkvgO9eiMB968"/>
    <hyperlink ref="B25" r:id="rId41" display="https://striking-viking.com/products/striking-viking-beard-filler-pen-2-pack-waterproof-beard-pen-for-filling-gaps-covering-patches"/>
    <hyperlink ref="D25" r:id="rId42" display="https://account.striking-viking.com/?locale=en&amp;buyer_flags=eyJhbGciOiJIUzI1NiJ9.eyJpc3MiOiJzdHJpa2luZy12aWtpbmcubXlzaG9waWZ5LmNvbSIsImZsYWdzIjpbXSwiZXhwIjoxNzkxMjkxNzE2LCJuYmYiOjE3OTA2ODY5MTZ9.wIg36f7sz89qTVVuy6nPhn4mJsNsPLlk_1btL_BLLGw"/>
    <hyperlink ref="B26" r:id="rId43" display="https://striking-viking.com/products/striking-viking-vanilla-beard-balm"/>
    <hyperlink ref="D26" r:id="rId44" display="https://account.striking-viking.com/?locale=en&amp;buyer_flags=eyJhbGciOiJIUzI1NiJ9.eyJpc3MiOiJzdHJpa2luZy12aWtpbmcubXlzaG9waWZ5LmNvbSIsImZsYWdzIjpbXSwiZXhwIjoxNzkxMjkxNjU1LCJuYmYiOjE3OTA2ODY4NTV9.JY20aj28j3N0cX607j0n3BcyeviDzpOKnp96GW7q4tQ"/>
    <hyperlink ref="B27" r:id="rId45" display="https://striking-viking.com/products/striking-viking-vanilla-beard-oil-balm-kit-for-soft-healthy-beard-care-for-men"/>
    <hyperlink ref="D27" r:id="rId46" display="https://account.striking-viking.com/?locale=en&amp;buyer_flags=eyJhbGciOiJIUzI1NiJ9.eyJpc3MiOiJzdHJpa2luZy12aWtpbmcubXlzaG9waWZ5LmNvbSIsImZsYWdzIjpbXSwiZXhwIjoxNzkxMjkzMzA1LCJuYmYiOjE3OTA2ODg1MDV9.m9_hSIBLjIJ-snETAff5RxOdTePUSj8xMx-_MyRGMoc"/>
    <hyperlink ref="B28" r:id="rId47" display="https://striking-viking.com/products/striking-viking-sandalwood-beard-butter-for-soft-hydrated-healthy-beard-care-for-men"/>
    <hyperlink ref="D28" r:id="rId48" display="https://account.striking-viking.com/?locale=en&amp;buyer_flags=eyJhbGciOiJIUzI1NiJ9.eyJpc3MiOiJzdHJpa2luZy12aWtpbmcubXlzaG9waWZ5LmNvbSIsImZsYWdzIjpbXSwiZXhwIjoxNzkxMjkzMzk1LCJuYmYiOjE3OTA2ODg1OTV9.Owx4oKJBb3ejKj9gKy3IXlSSYBg237ogk4zUNBGYq3M"/>
    <hyperlink ref="B29" r:id="rId49" display="https://striking-viking.com/products/striking-viking-unscented-beard-balm-natural-beard-styling-conditioning"/>
    <hyperlink ref="D29" r:id="rId50" display="https://account.striking-viking.com/?locale=en&amp;buyer_flags=eyJhbGciOiJIUzI1NiJ9.eyJpc3MiOiJzdHJpa2luZy12aWtpbmcubXlzaG9waWZ5LmNvbSIsImZsYWdzIjpbXSwiZXhwIjoxNzkxMjkxMjk1LCJuYmYiOjE3OTA2ODY0OTV9.6mdrSF8inolIo33DUL7L7OO7TqKeKSAlnojt7HaVs_4"/>
    <hyperlink ref="B30" r:id="rId51" display="https://striking-viking.com/products/striking-viking-tea-tree-biotin-beard-wash-cologne-for-clean-fresh-healthy-beard-care"/>
    <hyperlink ref="D30" r:id="rId52" display="https://account.striking-viking.com/?locale=en&amp;buyer_flags=eyJhbGciOiJIUzI1NiJ9.eyJpc3MiOiJzdHJpa2luZy12aWtpbmcubXlzaG9waWZ5LmNvbSIsImZsYWdzIjpbXSwiZXhwIjoxNzkxMjkzNDI1LCJuYmYiOjE3OTA2ODg2MjV9.DYXMYF_SA6uKAvJsI0mmSIcEZLoMex2qaQ5qUyPJv_Y"/>
    <hyperlink ref="B31" r:id="rId53" display="https://striking-viking.com/products/striking-viking-folding-wooden-comb-sandalwood-beard-hair-comb"/>
    <hyperlink ref="D31" r:id="rId54" display="https://account.striking-viking.com/?locale=en&amp;buyer_flags=eyJhbGciOiJIUzI1NiJ9.eyJpc3MiOiJzdHJpa2luZy12aWtpbmcubXlzaG9waWZ5LmNvbSIsImZsYWdzIjpbXSwiZXhwIjoxNzkxMjkxMzI1LCJuYmYiOjE3OTA2ODY1MjV9.1iXlXgZMkrpBrdfU3KYwaX5ahJc_1_VVGhH9Rok_ZRs"/>
    <hyperlink ref="B32" r:id="rId55" display="https://striking-viking.com/products/striking-viking-beard-balm-variety-4-pack-citrus-vanilla-cedarwood-sandalwood"/>
    <hyperlink ref="D32" r:id="rId56" display="https://account.striking-viking.com/?locale=en&amp;buyer_flags=eyJhbGciOiJIUzI1NiJ9.eyJpc3MiOiJzdHJpa2luZy12aWtpbmcubXlzaG9waWZ5LmNvbSIsImZsYWdzIjpbXSwiZXhwIjoxNzkxMjkxMDg1LCJuYmYiOjE3OTA2ODYyODV9.LxXHjJlYpymFzNrCECnmxd2Xoojlo6zDlz6Tg9BpgKI"/>
    <hyperlink ref="B33" r:id="rId57" display="https://striking-viking.com/products/carbon-wide-tooth-comb"/>
    <hyperlink ref="D33" r:id="rId58" display="https://account.striking-viking.com/?locale=en&amp;buyer_flags=eyJhbGciOiJIUzI1NiJ9.eyJpc3MiOiJzdHJpa2luZy12aWtpbmcubXlzaG9waWZ5LmNvbSIsImZsYWdzIjpbXSwiZXhwIjoxNzkxMjkyMDE1LCJuYmYiOjE3OTA2ODcyMTV9.sAIYACpLTHT2y2NmCTdT-_yL5KMc0pDkQvaQyDr0nQQ"/>
    <hyperlink ref="B34" r:id="rId59" display="https://striking-viking.com/products/gift-card-striking-viking"/>
    <hyperlink ref="D34" r:id="rId60" display="https://account.striking-viking.com/?locale=en&amp;buyer_flags=eyJhbGciOiJIUzI1NiJ9.eyJpc3MiOiJzdHJpa2luZy12aWtpbmcubXlzaG9waWZ5LmNvbSIsImZsYWdzIjpbXSwiZXhwIjoxNzkxMjkyODI2LCJuYmYiOjE3OTA2ODgwMjZ9.9rQwj6A8S7A93k9s8y_UqwiBg4gXbzxnF4aE6nK3cVU"/>
    <hyperlink ref="B35" r:id="rId61" display="https://striking-viking.com/products/ontaki-facial-hair-grooming-scissors-2-pack-precision-beard-nose-mustache-trimming"/>
    <hyperlink ref="D35" r:id="rId62" display="https://account.striking-viking.com/?locale=en&amp;buyer_flags=eyJhbGciOiJIUzI1NiJ9.eyJpc3MiOiJzdHJpa2luZy12aWtpbmcubXlzaG9waWZ5LmNvbSIsImZsYWdzIjpbXSwiZXhwIjoxNzkxMjkyMjI1LCJuYmYiOjE3OTA2ODc0MjV9.E1PdKXry1tBwtE6AaOAH3buglJHgVEvwidsI_Ur5EpM"/>
    <hyperlink ref="B36" r:id="rId63" display="https://striking-viking.com/products/striking-viking-matte-hair-pomade-for-men-linen-scent-water-based-medium-strong-hold"/>
    <hyperlink ref="D36" r:id="rId64" display="https://account.striking-viking.com/?locale=en&amp;buyer_flags=eyJhbGciOiJIUzI1NiJ9.eyJpc3MiOiJzdHJpa2luZy12aWtpbmcubXlzaG9waWZ5LmNvbSIsImZsYWdzIjpbXSwiZXhwIjoxNzkxMjkyNDk1LCJuYmYiOjE3OTA2ODc2OTV9.r6kPqrvrRXtL35bQ7ekXtknPww7bgIZQGejSVAsz7Jg"/>
    <hyperlink ref="B37" r:id="rId65" display="https://striking-viking.com/products/striking-viking-mustache-wax-and-comb-kit"/>
    <hyperlink ref="D37" r:id="rId66" display="https://account.striking-viking.com/?locale=en&amp;buyer_flags=eyJhbGciOiJIUzI1NiJ9.eyJpc3MiOiJzdHJpa2luZy12aWtpbmcubXlzaG9waWZ5LmNvbSIsImZsYWdzIjpbXSwiZXhwIjoxNzkxMjkzMDY1LCJuYmYiOjE3OTA2ODgyNjV9.YwWnnGrRziiuIPFVufW_IuUlS9qp9k-8a2-8U7_Rr9w"/>
    <hyperlink ref="B38" r:id="rId67" display="https://striking-viking.com/products/striking-viking-tea-tree-biotin-beard-shampoo-for-clean-healthy-soft-beard-care-for-men"/>
    <hyperlink ref="D38" r:id="rId68" display="https://account.striking-viking.com/?locale=en&amp;buyer_flags=eyJhbGciOiJIUzI1NiJ9.eyJpc3MiOiJzdHJpa2luZy12aWtpbmcubXlzaG9waWZ5LmNvbSIsImZsYWdzIjpbXSwiZXhwIjoxNzkxMjkzNTE2LCJuYmYiOjE3OTA2ODg3MTZ9.hhCqGu9S64QukTe_A3QZCAFA954dyM820Awokd5kp0s"/>
    <hyperlink ref="B39" r:id="rId69" display="https://striking-viking.com/products/striking-viking-folding-wooden-beard-comb-for-men-anti-static-sandalwood-grooming-comb"/>
    <hyperlink ref="D39" r:id="rId70" display="https://account.striking-viking.com/?locale=en&amp;buyer_flags=eyJhbGciOiJIUzI1NiJ9.eyJpc3MiOiJzdHJpa2luZy12aWtpbmcubXlzaG9waWZ5LmNvbSIsImZsYWdzIjpbXSwiZXhwIjoxNzkxMjkzMTI1LCJuYmYiOjE3OTA2ODgzMjV9.uMksl10ovzh3Xb9NE2szeOoHCFGdiG4OagfLnXXFb48"/>
    <hyperlink ref="B40" r:id="rId71" display="https://striking-viking.com/products/striking-viking-tea-tree-biotin-beard-shampoo-conditioner-set-for-healthy-beard-care"/>
    <hyperlink ref="D40" r:id="rId72" display="https://account.striking-viking.com/?locale=en&amp;buyer_flags=eyJhbGciOiJIUzI1NiJ9.eyJpc3MiOiJzdHJpa2luZy12aWtpbmcubXlzaG9waWZ5LmNvbSIsImZsYWdzIjpbXSwiZXhwIjoxNzkxMjkzNTQ1LCJuYmYiOjE3OTA2ODg3NDV9.jMkbmymvHO1FqzjflUFCmasY5wrxDPvxbL6BnCitudg"/>
    <hyperlink ref="B41" r:id="rId73" display="https://striking-viking.com/products/striking-viking-sandalwood-beard-growth-bundle-with-titanium-derma-roller-beard-growth-serum"/>
    <hyperlink ref="D41" r:id="rId74" display="https://account.striking-viking.com/?locale=en&amp;buyer_flags=eyJhbGciOiJIUzI1NiJ9.eyJpc3MiOiJzdHJpa2luZy12aWtpbmcubXlzaG9waWZ5LmNvbSIsImZsYWdzIjpbXSwiZXhwIjoxNzkxMjkyOTc1LCJuYmYiOjE3OTA2ODgxNzV9.be9EauS_n_Y6njhIjkpuuMDHH8Ve7W7j9JvZBMBg9yM"/>
    <hyperlink ref="B42" r:id="rId75" display="https://striking-viking.com/products/ontaki-german-steel-beard-mustache-scissors-professional-grooming-kit"/>
    <hyperlink ref="D42" r:id="rId76" display="https://account.striking-viking.com/?locale=en&amp;buyer_flags=eyJhbGciOiJIUzI1NiJ9.eyJpc3MiOiJzdHJpa2luZy12aWtpbmcubXlzaG9waWZ5LmNvbSIsImZsYWdzIjpbXSwiZXhwIjoxNzkxMjkyMjU1LCJuYmYiOjE3OTA2ODc0NTV9.a9KZLebuhvyLIGEwhgulvYXkvaA3Qb8Pdy_xiPMT0GE"/>
    <hyperlink ref="B43" r:id="rId77" display="https://striking-viking.com/products/striking-viking-sandalwood-beard-balm"/>
    <hyperlink ref="D43" r:id="rId78" display="https://account.striking-viking.com/?locale=en&amp;buyer_flags=eyJhbGciOiJIUzI1NiJ9.eyJpc3MiOiJzdHJpa2luZy12aWtpbmcubXlzaG9waWZ5LmNvbSIsImZsYWdzIjpbXSwiZXhwIjoxNzkxMjkxNDc1LCJuYmYiOjE3OTA2ODY2NzV9.qU2_YIi_GSQpVn_1sZNiSADngoQXtDx_ejyK7rGud0s"/>
    <hyperlink ref="B44" r:id="rId79" display="https://striking-viking.com/products/charlemagne-round-hair-brush-for-men-professional-styling-brush-for-volume-blow-drying"/>
    <hyperlink ref="D44" r:id="rId80" display="https://account.striking-viking.com/?locale=en&amp;buyer_flags=eyJhbGciOiJIUzI1NiJ9.eyJpc3MiOiJzdHJpa2luZy12aWtpbmcubXlzaG9waWZ5LmNvbSIsImZsYWdzIjpbXSwiZXhwIjoxNzkxMjkyNTg2LCJuYmYiOjE3OTA2ODc3ODZ9.5pdqRTg3EijJXvSOofnt-cOd7upoA8a4Yz91sUjYM-s"/>
    <hyperlink ref="B45" r:id="rId81" display="https://striking-viking.com/products/striking-viking-cedarwood-beard-balm"/>
    <hyperlink ref="D45" r:id="rId82" display="https://account.striking-viking.com/?locale=en&amp;buyer_flags=eyJhbGciOiJIUzI1NiJ9.eyJpc3MiOiJzdHJpa2luZy12aWtpbmcubXlzaG9waWZ5LmNvbSIsImZsYWdzIjpbXSwiZXhwIjoxNzkxMjkxNjI2LCJuYmYiOjE3OTA2ODY4MjZ9.VYUdJDwMvZgJsmbGLtjtngQ54tK_Nr4x-gzrgVvSOSo"/>
    <hyperlink ref="B46" r:id="rId83" display="https://striking-viking.com/products/striking-viking-unscented-beard-shampoo-conditioner-set-natural-beard-care-for-men"/>
    <hyperlink ref="D46" r:id="rId84" display="https://account.striking-viking.com/?locale=en&amp;buyer_flags=eyJhbGciOiJIUzI1NiJ9.eyJpc3MiOiJzdHJpa2luZy12aWtpbmcubXlzaG9waWZ5LmNvbSIsImZsYWdzIjpbXSwiZXhwIjoxNzkxMjkxNzc1LCJuYmYiOjE3OTA2ODY5NzV9.23sbkTLxGvsbmuR_j2xGxJb19bc5iZUeuwAYRhXXRIA"/>
    <hyperlink ref="B47" r:id="rId85" display="https://striking-viking.com/products/ontaki-japanese-steel-rounded-tip-beard-mustache-scissors-4-2-inch-grooming-kit"/>
    <hyperlink ref="D47" r:id="rId86" display="https://account.striking-viking.com/?locale=en&amp;buyer_flags=eyJhbGciOiJIUzI1NiJ9.eyJpc3MiOiJzdHJpa2luZy12aWtpbmcubXlzaG9waWZ5LmNvbSIsImZsYWdzIjpbXSwiZXhwIjoxNzkxMjkyMTM2LCJuYmYiOjE3OTA2ODczMzZ9.oTHKzfDlSAeGhcAXyOg4fGbPFEoB94jsa4JrJg1O0IY"/>
    <hyperlink ref="B48" r:id="rId87" display="https://striking-viking.com/products/striking-viking-beard-shampoo-with-natural-peppermint-eucalyptus-for-refreshing-beard-care"/>
    <hyperlink ref="D48" r:id="rId88" display="https://account.striking-viking.com/?locale=en&amp;buyer_flags=eyJhbGciOiJIUzI1NiJ9.eyJpc3MiOiJzdHJpa2luZy12aWtpbmcubXlzaG9waWZ5LmNvbSIsImZsYWdzIjpbXSwiZXhwIjoxNzkxMjkzNDU1LCJuYmYiOjE3OTA2ODg2NTV9.ltyAF6jdx2HIUYFtRSDh8GtgKsfL00b6tB4ZZMBY-c8"/>
    <hyperlink ref="B49" r:id="rId89" display="https://striking-viking.com/products/striking-viking-beard-growth-mastery-bundle-with-sandalwood-vanilla-biotin-oils-and-derma-roller"/>
    <hyperlink ref="D49" r:id="rId90" display="https://account.striking-viking.com/?locale=en&amp;buyer_flags=eyJhbGciOiJIUzI1NiJ9.eyJpc3MiOiJzdHJpa2luZy12aWtpbmcubXlzaG9waWZ5LmNvbSIsImZsYWdzIjpbXSwiZXhwIjoxNzkxMjkyOTE1LCJuYmYiOjE3OTA2ODgxMTV9.aTuqvRwDXjjdCxxtVLlxzZ_Sd2Pd8ZIKbmFQI4gI6SY"/>
    <hyperlink ref="B50" r:id="rId91" display="https://striking-viking.com/products/striking-viking-beard-grooming-kit-with-toiletry-bag-8-piece-mens-grooming-set"/>
    <hyperlink ref="D50" r:id="rId92" display="https://account.striking-viking.com/?locale=en&amp;buyer_flags=eyJhbGciOiJIUzI1NiJ9.eyJpc3MiOiJzdHJpa2luZy12aWtpbmcubXlzaG9waWZ5LmNvbSIsImZsYWdzIjpbXSwiZXhwIjoxNzkxMjkxMjY1LCJuYmYiOjE3OTA2ODY0NjV9.kpotCW2bip-P1zFYVcrcMrGR9747sJbzRka_azH_TjY"/>
    <hyperlink ref="B51" r:id="rId93" display="https://striking-viking.com/products/striking-viking-beard-rehab-growth-kit-with-sandalwood-beard-care-derma-roller"/>
    <hyperlink ref="D51" r:id="rId94" display="https://account.striking-viking.com/?locale=en&amp;buyer_flags=eyJhbGciOiJIUzI1NiJ9.eyJpc3MiOiJzdHJpa2luZy12aWtpbmcubXlzaG9waWZ5LmNvbSIsImZsYWdzIjpbXSwiZXhwIjoxNzkxMjkyNjE1LCJuYmYiOjE3OTA2ODc4MTV9.2KVX91kE9dkkYaHBwvBPcEcrhBhtj_FLIx6ynIlB1_Q"/>
    <hyperlink ref="B52" r:id="rId95" display="https://striking-viking.com/products/striking-viking-sea-salt-spray-for-men-blue-ocean-natural-texture-volume-hair-spray"/>
    <hyperlink ref="D52" r:id="rId96" display="https://account.striking-viking.com/?locale=en&amp;buyer_flags=eyJhbGciOiJIUzI1NiJ9.eyJpc3MiOiJzdHJpa2luZy12aWtpbmcubXlzaG9waWZ5LmNvbSIsImZsYWdzIjpbXSwiZXhwIjoxNzkxMjkyMDc1LCJuYmYiOjE3OTA2ODcyNzV9.k3kpEmuXf6o-pkaF4ow7rIZw-z3hH7X6qnLV9jIkzyM"/>
    <hyperlink ref="B53" r:id="rId97" display="https://striking-viking.com/products/striking-viking-vanilla-beard-growth-oil-with-biotin-castor-oil-for-fuller-beard-growth"/>
    <hyperlink ref="D53" r:id="rId98" display="https://account.striking-viking.com/?locale=en&amp;buyer_flags=eyJhbGciOiJIUzI1NiJ9.eyJpc3MiOiJzdHJpa2luZy12aWtpbmcubXlzaG9waWZ5LmNvbSIsImZsYWdzIjpbXSwiZXhwIjoxNzkxMjkzMjE1LCJuYmYiOjE3OTA2ODg0MTV9.h1L33sW4j6fhqbg6DvXN20gtr1RG7H6CSN_OrZzscy0"/>
    <hyperlink ref="B54" r:id="rId99" display="https://striking-viking.com/products/striking-viking-sandalwood-beard-oil-balm-kit-for-soft-healthy-beard-care-for-men"/>
    <hyperlink ref="D54" r:id="rId100" display="https://account.striking-viking.com/?locale=en&amp;buyer_flags=eyJhbGciOiJIUzI1NiJ9.eyJpc3MiOiJzdHJpa2luZy12aWtpbmcubXlzaG9waWZ5LmNvbSIsImZsYWdzIjpbXSwiZXhwIjoxNzkxMjkzMzM1LCJuYmYiOjE3OTA2ODg1MzV9.QuoGefUSI4eR4RrRPTBtXScc9czRUk_3KZDoJQ9hIK0"/>
    <hyperlink ref="B55" r:id="rId101" display="https://striking-viking.com/products/striking-viking-beard-shampoo-conditioner-cologne-argan-jojoba-oil"/>
    <hyperlink ref="D55" r:id="rId102" display="https://account.striking-viking.com/?locale=en&amp;buyer_flags=eyJhbGciOiJIUzI1NiJ9.eyJpc3MiOiJzdHJpa2luZy12aWtpbmcubXlzaG9waWZ5LmNvbSIsImZsYWdzIjpbXSwiZXhwIjoxNzkxMjkxMTQ1LCJuYmYiOjE3OTA2ODYzNDV9.JyvMkZgHzNalggS4TUiZoKNUw1Eb3hYTL2Q3ZVsNF58"/>
    <hyperlink ref="B56" r:id="rId103" display="https://striking-viking.com/products/striking-viking-citrus-beard-balm"/>
    <hyperlink ref="D56" r:id="rId104" display="https://account.striking-viking.com/?locale=en&amp;buyer_flags=eyJhbGciOiJIUzI1NiJ9.eyJpc3MiOiJzdHJpa2luZy12aWtpbmcubXlzaG9waWZ5LmNvbSIsImZsYWdzIjpbXSwiZXhwIjoxNzkxMjkxNDQ1LCJuYmYiOjE3OTA2ODY2NDV9.Eh5erg5r2epAhSE8JREdz72BKnaSrpxDl5GNvB-RMbc"/>
    <hyperlink ref="B57" r:id="rId105" display="https://striking-viking.com/products/sandalwood-wooden-beard-comb-black-striking-viking"/>
    <hyperlink ref="D57" r:id="rId106" display="https://account.striking-viking.com/?locale=en&amp;buyer_flags=eyJhbGciOiJIUzI1NiJ9.eyJpc3MiOiJzdHJpa2luZy12aWtpbmcubXlzaG9waWZ5LmNvbSIsImZsYWdzIjpbXSwiZXhwIjoxNzkxMjkxNTY1LCJuYmYiOjE3OTA2ODY3NjV9.Bb1_s7MXZ1Y9ADzsGnoxiadmFXt6v6zgRNEMewxYw2U"/>
    <hyperlink ref="B58" r:id="rId107" display="https://striking-viking.com/products/striking-viking-cedarwood-beard-oil"/>
    <hyperlink ref="D58" r:id="rId108" display="https://account.striking-viking.com/?locale=en&amp;buyer_flags=eyJhbGciOiJIUzI1NiJ9.eyJpc3MiOiJzdHJpa2luZy12aWtpbmcubXlzaG9waWZ5LmNvbSIsImZsYWdzIjpbXSwiZXhwIjoxNzkxMjkxMjA1LCJuYmYiOjE3OTA2ODY0MDV9.bzijYUCYqajhdkrskJinpwf1zOV-Dr_xrXw6IlPnAmU"/>
    <hyperlink ref="B59" r:id="rId109" display="https://striking-viking.com/products/striking-viking-vanilla-beard-growth-bundle-with-biotin-beard-serum-titanium-derma-roller"/>
    <hyperlink ref="D59" r:id="rId110" display="https://account.striking-viking.com/?locale=en&amp;buyer_flags=eyJhbGciOiJIUzI1NiJ9.eyJpc3MiOiJzdHJpa2luZy12aWtpbmcubXlzaG9waWZ5LmNvbSIsImZsYWdzIjpbXSwiZXhwIjoxNzkxMjkyOTQ1LCJuYmYiOjE3OTA2ODgxNDV9.Z_owMO3mFEE9gWn2PGXrbGcTLlXOEyx7TFXmNeFlu2g"/>
    <hyperlink ref="B60" r:id="rId111" display="https://striking-viking.com/products/striking-viking-sandalwood-beard-growth-kit-with-biotin-oil-0-25mm-derma-roller"/>
    <hyperlink ref="D60" r:id="rId112" display="https://account.striking-viking.com/?locale=en&amp;buyer_flags=eyJhbGciOiJIUzI1NiJ9.eyJpc3MiOiJzdHJpa2luZy12aWtpbmcubXlzaG9waWZ5LmNvbSIsImZsYWdzIjpbXSwiZXhwIjoxNzkxMjkzMjc1LCJuYmYiOjE3OTA2ODg0NzV9.XTlJxsv-s22UTtuX61H81VGL2gAYwLZ0BTk1k7XSCcc"/>
    <hyperlink ref="B61" r:id="rId113" display="https://striking-viking.com/products/striking-viking-wooden-beard-care-caddy-board-only"/>
    <hyperlink ref="D61" r:id="rId114" display="https://account.striking-viking.com/?locale=en&amp;buyer_flags=eyJhbGciOiJIUzI1NiJ9.eyJpc3MiOiJzdHJpa2luZy12aWtpbmcubXlzaG9waWZ5LmNvbSIsImZsYWdzIjpbXSwiZXhwIjoxNzkxMjkxNDE1LCJuYmYiOjE3OTA2ODY2MTV9.ruT6yZ3tbrMoYlyud4m6NsAY-2ZMOQySuTVhtm_3E1I"/>
    <hyperlink ref="B62" r:id="rId115" display="https://striking-viking.com/products/striking-viking-unscented-beard-oil-natural-organic-beard-care"/>
    <hyperlink ref="D62" r:id="rId116" display="https://account.striking-viking.com/?locale=en&amp;buyer_flags=eyJhbGciOiJIUzI1NiJ9.eyJpc3MiOiJzdHJpa2luZy12aWtpbmcubXlzaG9waWZ5LmNvbSIsImZsYWdzIjpbXSwiZXhwIjoxNzkxMjkxNTM1LCJuYmYiOjE3OTA2ODY3MzV9.wP2k8eJq69-X03bq90VXJ2zL2MFG8sNn_5KlSaewgAY"/>
    <hyperlink ref="B63" r:id="rId117" display="https://striking-viking.com/products/striking-viking-beard-growth-kit-with-beard-roller-vanilla-unscented-biotin-oils-for-men"/>
    <hyperlink ref="D63" r:id="rId118" display="https://account.striking-viking.com/?locale=en&amp;buyer_flags=eyJhbGciOiJIUzI1NiJ9.eyJpc3MiOiJzdHJpa2luZy12aWtpbmcubXlzaG9waWZ5LmNvbSIsImZsYWdzIjpbXSwiZXhwIjoxNzkxMjkzMDM1LCJuYmYiOjE3OTA2ODgyMzV9.2UljiSmC4FQXpPQcf6csnxtlaCnD8lym4S6_u6d1yoY"/>
    <hyperlink ref="B64" r:id="rId119" display="https://striking-viking.com/products/round-hair-brush"/>
    <hyperlink ref="D64" r:id="rId120" display="https://account.striking-viking.com/?locale=en&amp;buyer_flags=eyJhbGciOiJIUzI1NiJ9.eyJpc3MiOiJzdHJpa2luZy12aWtpbmcubXlzaG9waWZ5LmNvbSIsImZsYWdzIjpbXSwiZXhwIjoxNzkxMjkyMDQ2LCJuYmYiOjE3OTA2ODcyNDZ9.vS3qHhjFws5G2Aock6ooEdrvkbljzc7RRfROIUzfmI0"/>
    <hyperlink ref="B65" r:id="rId121" display="https://striking-viking.com/products/ontaki-duckbill-applique-scissors-4-5-inch-carbon-steel-fabric-thread-cutting-scissors"/>
    <hyperlink ref="D65" r:id="rId122" display="https://account.striking-viking.com/?locale=en&amp;buyer_flags=eyJhbGciOiJIUzI1NiJ9.eyJpc3MiOiJzdHJpa2luZy12aWtpbmcubXlzaG9waWZ5LmNvbSIsImZsYWdzIjpbXSwiZXhwIjoxNzkxMjkyMjg2LCJuYmYiOjE3OTA2ODc0ODZ9.bWCuDI7uxHdjUyiHZoU_Yy_BVlMXPTvqKH2sLIpOhfo"/>
    <hyperlink ref="B66" r:id="rId123" display="https://striking-viking.com/products/striking-viking-vanilla-beard-butter-for-soft-hydrated-healthy-beard-care-for-men"/>
    <hyperlink ref="D66" r:id="rId124" display="https://account.striking-viking.com/?locale=en&amp;buyer_flags=eyJhbGciOiJIUzI1NiJ9.eyJpc3MiOiJzdHJpa2luZy12aWtpbmcubXlzaG9waWZ5LmNvbSIsImZsYWdzIjpbXSwiZXhwIjoxNzkxMjkzMzY1LCJuYmYiOjE3OTA2ODg1NjV9.QdMgodQukXQ7PPyVUlrfeHPisaf2c_K40Qmk0OiIIIg"/>
    <hyperlink ref="B67" r:id="rId125" display="https://striking-viking.com/products/ontaki-beard-mustache-scissors-with-finger-rest-5-inch-german-steel-grooming-kit"/>
    <hyperlink ref="D67" r:id="rId126" display="https://account.striking-viking.com/?locale=en&amp;buyer_flags=eyJhbGciOiJIUzI1NiJ9.eyJpc3MiOiJzdHJpa2luZy12aWtpbmcubXlzaG9waWZ5LmNvbSIsImZsYWdzIjpbXSwiZXhwIjoxNzkxMjkxOTU1LCJuYmYiOjE3OTA2ODcxNTV9.w5zTm-MVzqUz5gbodMZYF9BP9VMh5Q5aD4VTLsMlWiI"/>
    <hyperlink ref="B68" r:id="rId127" display="https://striking-viking.com/products/striking-viking-beard-growth-power-kit-with-biotin-beard-oil-shampoo-derma-roller"/>
    <hyperlink ref="D68" r:id="rId128" display="https://account.striking-viking.com/?locale=en&amp;buyer_flags=eyJhbGciOiJIUzI1NiJ9.eyJpc3MiOiJzdHJpa2luZy12aWtpbmcubXlzaG9waWZ5LmNvbSIsImZsYWdzIjpbXSwiZXhwIjoxNzkxMjkyNjQ1LCJuYmYiOjE3OTA2ODc4NDV9.AVXC7AOU5f1d_pyJz4ai1cf3Hu0TbrVzo-T_Z3Fu_Wc"/>
    <hyperlink ref="B69" r:id="rId129" display="https://striking-viking.com/products/ontaki-japanese-steel-beard-mustache-scissors-5-5-inch-professional-grooming-kit"/>
    <hyperlink ref="D69" r:id="rId130" display="https://account.striking-viking.com/?locale=en&amp;buyer_flags=eyJhbGciOiJIUzI1NiJ9.eyJpc3MiOiJzdHJpa2luZy12aWtpbmcubXlzaG9waWZ5LmNvbSIsImZsYWdzIjpbXSwiZXhwIjoxNzkxMjkyMTA1LCJuYmYiOjE3OTA2ODczMDV9.7YmCb_6ZPfD_HTIMk2f1ZRO2_3IPTNARUSnXDwR5zo0"/>
    <hyperlink ref="B70" r:id="rId131" display="https://striking-viking.com/products/striking-viking-beard-filler-pencil-with-dual-tip-pen-brush-for-natural-beard-styling"/>
    <hyperlink ref="D70" r:id="rId132" display="https://account.striking-viking.com/?locale=en&amp;buyer_flags=eyJhbGciOiJIUzI1NiJ9.eyJpc3MiOiJzdHJpa2luZy12aWtpbmcubXlzaG9waWZ5LmNvbSIsImZsYWdzIjpbXSwiZXhwIjoxNzkxMjkyODU1LCJuYmYiOjE3OTA2ODgwNTV9.nPD6MAhGIbHx0u33OxmsnaWFCwXVDwzoWTpNkVlG6Tk"/>
    <hyperlink ref="B71" r:id="rId133" display="https://striking-viking.com/products/charlemagne-original-hair-pomade-for-men-strong-hold-water-based-styling-pomade-100ml"/>
    <hyperlink ref="D71" r:id="rId134" display="https://account.striking-viking.com/?locale=en&amp;buyer_flags=eyJhbGciOiJIUzI1NiJ9.eyJpc3MiOiJzdHJpa2luZy12aWtpbmcubXlzaG9waWZ5LmNvbSIsImZsYWdzIjpbXSwiZXhwIjoxNzkxMjkyNzA2LCJuYmYiOjE3OTA2ODc5MDZ9.U9FvUTq8s2OUtkvZKxfmfCCXp0UZyIPXZAL0SZ2xVEQ"/>
    <hyperlink ref="B72" r:id="rId135" display="https://striking-viking.com/products/striking-viking-vanilla-beard-oil-with-natural-organic-oils-for-soft-healthy-beard-care"/>
    <hyperlink ref="D72" r:id="rId136" display="https://account.striking-viking.com/?locale=en&amp;buyer_flags=eyJhbGciOiJIUzI1NiJ9.eyJpc3MiOiJzdHJpa2luZy12aWtpbmcubXlzaG9waWZ5LmNvbSIsImZsYWdzIjpbXSwiZXhwIjoxNzkxMjkzMTg1LCJuYmYiOjE3OTA2ODgzODV9.LB2Lqa5OZdNeUOPGTjpRpN1P7twIV9KhVOzqapQtkq8"/>
    <hyperlink ref="B73" r:id="rId137" display="https://striking-viking.com/products/striking-viking-terra-sol-beard-balm-for-men-natural-beard-balm-with-shea-butter-jojoba"/>
    <hyperlink ref="D73" r:id="rId138" display="https://account.striking-viking.com/?locale=en&amp;buyer_flags=eyJhbGciOiJIUzI1NiJ9.eyJpc3MiOiJzdHJpa2luZy12aWtpbmcubXlzaG9waWZ5LmNvbSIsImZsYWdzIjpbXSwiZXhwIjoxNzkxMjkyNDM1LCJuYmYiOjE3OTA2ODc2MzV9.DStYdXUau1586yAaikfQQVYtkIqGcNGZV188z7_hzIQ"/>
    <hyperlink ref="B74" r:id="rId139" display="https://striking-viking.com/"/>
    <hyperlink ref="D74" r:id="rId140" display="https://account.striking-viking.com/?locale=en&amp;buyer_flags=eyJhbGciOiJIUzI1NiJ9.eyJpc3MiOiJzdHJpa2luZy12aWtpbmcubXlzaG9waWZ5LmNvbSIsImZsYWdzIjpbXSwiZXhwIjoxNzkxMjkxMTc1LCJuYmYiOjE3OTA2ODYzNzV9.8pYgduCCwI3cc0SOArgewr4WGZl4QT6CZrEaSNZLb2Y"/>
    <hyperlink ref="B75" r:id="rId141" display="https://striking-viking.com/products/striking-viking-beard-and-mustache-scissors-kit-for-men"/>
    <hyperlink ref="D75" r:id="rId142" display="https://account.striking-viking.com/?locale=en&amp;buyer_flags=eyJhbGciOiJIUzI1NiJ9.eyJpc3MiOiJzdHJpa2luZy12aWtpbmcubXlzaG9waWZ5LmNvbSIsImZsYWdzIjpbXSwiZXhwIjoxNzkxMjkzMDk1LCJuYmYiOjE3OTA2ODgyOTV9.vCh69ORmyvaT8n_iLyTzrC7Ha4zGASUKayZGiR8eS0w"/>
    <hyperlink ref="B76" r:id="rId143" display="https://striking-viking.com/products/striking-viking-beard-growth-oil-with-biotin-sandalwood"/>
    <hyperlink ref="D76" r:id="rId144" display="https://account.striking-viking.com/?locale=en&amp;buyer_flags=eyJhbGciOiJIUzI1NiJ9.eyJpc3MiOiJzdHJpa2luZy12aWtpbmcubXlzaG9waWZ5LmNvbSIsImZsYWdzIjpbXSwiZXhwIjoxNzkxMjkxNzQ1LCJuYmYiOjE3OTA2ODY5NDV9.iTi3DiouQOwTJnouj35IU5tINvOEvDfo5_gnLF0UIm8"/>
    <hyperlink ref="B77" r:id="rId145" display="https://striking-viking.com/products/striking-viking-sandalwood-beard-oil"/>
    <hyperlink ref="D77" r:id="rId146" display="https://account.striking-viking.com/?locale=en&amp;buyer_flags=eyJhbGciOiJIUzI1NiJ9.eyJpc3MiOiJzdHJpa2luZy12aWtpbmcubXlzaG9waWZ5LmNvbSIsImZsYWdzIjpbXSwiZXhwIjoxNzkxMjkxMjM1LCJuYmYiOjE3OTA2ODY0MzV9.GVmj6aOUFoY1XCp6kgsu85mJBh2ZjCTlZXxVSkqY88o"/>
    <hyperlink ref="B78" r:id="rId147" display="https://striking-viking.com/products/striking-viking-biotin-beard-growth-oil-for-men-unscented-beard-growth-serum"/>
    <hyperlink ref="D78" r:id="rId148" display="https://account.striking-viking.com/?locale=en&amp;buyer_flags=eyJhbGciOiJIUzI1NiJ9.eyJpc3MiOiJzdHJpa2luZy12aWtpbmcubXlzaG9waWZ5LmNvbSIsImZsYWdzIjpbXSwiZXhwIjoxNzkxMjkxODA3LCJuYmYiOjE3OTA2ODcwMDd9.h4at2eo6l-IlIgJD8lyy0hkcBeQjeGL0awQu_7rUvhk"/>
    <hyperlink ref="B79" r:id="rId149" display="https://striking-viking.com/products/striking-viking-sandalwood-wooden-beard-comb-brown"/>
    <hyperlink ref="D79" r:id="rId150" display="https://account.striking-viking.com/?locale=en&amp;buyer_flags=eyJhbGciOiJIUzI1NiJ9.eyJpc3MiOiJzdHJpa2luZy12aWtpbmcubXlzaG9waWZ5LmNvbSIsImZsYWdzIjpbXSwiZXhwIjoxNzkxMjkxNTA1LCJuYmYiOjE3OTA2ODY3MDV9.daRO7ldUPMzAhaKQYC2AqRDzkswTVwv4_sRFW0kD5jc"/>
    <hyperlink ref="B80" r:id="rId151" display="https://striking-viking.com/products/striking-viking-terra-sol-beard-oil-for-men-natural-beard-growth-oil-with-argan-jojoba"/>
    <hyperlink ref="D80" r:id="rId152" display="https://account.striking-viking.com/?locale=en&amp;buyer_flags=eyJhbGciOiJIUzI1NiJ9.eyJpc3MiOiJzdHJpa2luZy12aWtpbmcubXlzaG9waWZ5LmNvbSIsImZsYWdzIjpbXSwiZXhwIjoxNzkxMjkyMzQ1LCJuYmYiOjE3OTA2ODc1NDV9.OJ4YECdIu9do10m_9Q_ubjocrpjfcJlaihkslS0i8rM"/>
    <hyperlink ref="B81" r:id="rId153" display="https://striking-viking.com/products/striking-viking-citrus-beard-oil"/>
    <hyperlink ref="D81" r:id="rId154" display="https://account.striking-viking.com/?locale=en&amp;buyer_flags=eyJhbGciOiJIUzI1NiJ9.eyJpc3MiOiJzdHJpa2luZy12aWtpbmcubXlzaG9waWZ5LmNvbSIsImZsYWdzIjpbXSwiZXhwIjoxNzkxMjkxMTE1LCJuYmYiOjE3OTA2ODYzMTV9.uayDTvcoKd-9uTbXM-qhUow2URheNqFrsSMFAmpP-iU"/>
    <hyperlink ref="B82" r:id="rId155" display="https://striking-viking.com/products/striking-viking-unscented-beard-butter-for-moisturizing-softening-daily-beard-care"/>
    <hyperlink ref="D82" r:id="rId156" display="https://account.striking-viking.com/?locale=en&amp;buyer_flags=eyJhbGciOiJIUzI1NiJ9.eyJpc3MiOiJzdHJpa2luZy12aWtpbmcubXlzaG9waWZ5LmNvbSIsImZsYWdzIjpbXSwiZXhwIjoxNzkxMjkyNzk1LCJuYmYiOjE3OTA2ODc5OTV9.66VUJ6zgtNmzay5GYwJMjajCUNYea68xuBu0btu4uAw"/>
    <hyperlink ref="B83" r:id="rId157" display="https://striking-viking.com/products/striking-viking-battle-ready-beard-care-kit-with-beard-oils-balms-beard-filler-pen"/>
    <hyperlink ref="D83" r:id="rId158" display="https://account.striking-viking.com/?locale=en&amp;buyer_flags=eyJhbGciOiJIUzI1NiJ9.eyJpc3MiOiJzdHJpa2luZy12aWtpbmcubXlzaG9waWZ5LmNvbSIsImZsYWdzIjpbXSwiZXhwIjoxNzkxMjkyNjc1LCJuYmYiOjE3OTA2ODc4NzV9.5Q78qo07fWIa-M3SBML5L09MYLlQ2AeFnk5MjKGmRMc"/>
    <hyperlink ref="B84" r:id="rId159" display="https://striking-viking.com/products/carbon-hair-comb"/>
    <hyperlink ref="D84" r:id="rId160" display="https://account.striking-viking.com/?locale=en&amp;buyer_flags=eyJhbGciOiJIUzI1NiJ9.eyJpc3MiOiJzdHJpa2luZy12aWtpbmcubXlzaG9waWZ5LmNvbSIsImZsYWdzIjpbXSwiZXhwIjoxNzkxMjkxOTg1LCJuYmYiOjE3OTA2ODcxODV9.Eb_oVm_KpvmeVan-15ejdTeKuyvwS6TaZMqpck7ZZoI"/>
    <hyperlink ref="B85" r:id="rId161" display="https://striking-viking.com/products/ontaki-japanese-steel-beard-hair-scissors-5-5-inch-professional-grooming-shears"/>
    <hyperlink ref="D85" r:id="rId162" display="https://account.striking-viking.com/?locale=en&amp;buyer_flags=eyJhbGciOiJIUzI1NiJ9.eyJpc3MiOiJzdHJpa2luZy12aWtpbmcubXlzaG9waWZ5LmNvbSIsImZsYWdzIjpbXSwiZXhwIjoxNzkxMjkxOTI1LCJuYmYiOjE3OTA2ODcxMjV9.dgUtVhkwWoUbGmNeE0FNtKnVpxh0RCKkGH3Ui2NNwB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A1:I2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3.63"/>
    <col collapsed="false" customWidth="true" hidden="false" outlineLevel="0" max="2" min="2" style="0" width="18.75"/>
    <col collapsed="false" customWidth="true" hidden="false" outlineLevel="0" max="3" min="3" style="0" width="71.5"/>
    <col collapsed="false" customWidth="true" hidden="false" outlineLevel="0" max="6" min="6" style="0" width="126.75"/>
    <col collapsed="false" customWidth="true" hidden="false" outlineLevel="0" max="7" min="7" style="0" width="18.63"/>
    <col collapsed="false" customWidth="true" hidden="false" outlineLevel="0" max="8" min="8" style="0" width="86.63"/>
    <col collapsed="false" customWidth="true" hidden="false" outlineLevel="0" max="9" min="9" style="0" width="22"/>
  </cols>
  <sheetData>
    <row r="1" customFormat="false" ht="15" hidden="false" customHeight="false" outlineLevel="0" collapsed="false">
      <c r="A1" s="62"/>
      <c r="B1" s="62"/>
      <c r="C1" s="62"/>
      <c r="D1" s="62"/>
      <c r="E1" s="62"/>
      <c r="F1" s="62"/>
      <c r="G1" s="62"/>
      <c r="I1" s="26" t="str">
        <f aca="false">HYPERLINK("#'Master Overview'!A1","&lt;&lt; Master Overview")</f>
        <v>&lt;&lt; Master Overview</v>
      </c>
    </row>
    <row r="2" customFormat="false" ht="15" hidden="false" customHeight="false" outlineLevel="0" collapsed="false">
      <c r="A2" s="62"/>
      <c r="B2" s="62"/>
      <c r="C2" s="62"/>
      <c r="D2" s="62"/>
      <c r="E2" s="62"/>
      <c r="F2" s="62"/>
      <c r="G2" s="62"/>
      <c r="I2" s="2" t="s">
        <v>7032</v>
      </c>
    </row>
    <row r="3" customFormat="false" ht="15" hidden="false" customHeight="false" outlineLevel="0" collapsed="false">
      <c r="A3" s="62"/>
      <c r="B3" s="62"/>
      <c r="C3" s="62"/>
      <c r="D3" s="62"/>
      <c r="E3" s="62"/>
      <c r="F3" s="62"/>
      <c r="G3" s="62"/>
    </row>
    <row r="4" customFormat="false" ht="19.4" hidden="false" customHeight="true" outlineLevel="0" collapsed="false">
      <c r="A4" s="63" t="s">
        <v>133</v>
      </c>
      <c r="B4" s="63"/>
      <c r="C4" s="63"/>
      <c r="D4" s="63"/>
      <c r="E4" s="63"/>
      <c r="F4" s="63"/>
      <c r="G4" s="63"/>
    </row>
    <row r="5" customFormat="false" ht="15" hidden="false" customHeight="false" outlineLevel="0" collapsed="false">
      <c r="A5" s="64" t="s">
        <v>7033</v>
      </c>
      <c r="B5" s="59" t="s">
        <v>6865</v>
      </c>
      <c r="C5" s="60" t="s">
        <v>6866</v>
      </c>
      <c r="D5" s="59" t="s">
        <v>6867</v>
      </c>
      <c r="E5" s="59" t="s">
        <v>6868</v>
      </c>
      <c r="F5" s="64" t="s">
        <v>7034</v>
      </c>
      <c r="G5" s="61" t="s">
        <v>81</v>
      </c>
    </row>
    <row r="6" customFormat="false" ht="15" hidden="false" customHeight="false" outlineLevel="0" collapsed="false">
      <c r="A6" s="39" t="s">
        <v>6910</v>
      </c>
      <c r="B6" s="38" t="n">
        <v>200</v>
      </c>
      <c r="C6" s="37" t="s">
        <v>7035</v>
      </c>
      <c r="D6" s="38" t="n">
        <v>302</v>
      </c>
      <c r="E6" s="38" t="s">
        <v>7036</v>
      </c>
      <c r="F6" s="39" t="s">
        <v>7037</v>
      </c>
      <c r="G6" s="51"/>
    </row>
    <row r="7" customFormat="false" ht="15" hidden="false" customHeight="false" outlineLevel="0" collapsed="false">
      <c r="A7" s="39" t="s">
        <v>7038</v>
      </c>
      <c r="B7" s="38" t="n">
        <v>200</v>
      </c>
      <c r="C7" s="37" t="s">
        <v>7035</v>
      </c>
      <c r="D7" s="38" t="n">
        <v>302</v>
      </c>
      <c r="E7" s="38" t="s">
        <v>7036</v>
      </c>
      <c r="F7" s="39" t="s">
        <v>7037</v>
      </c>
      <c r="G7" s="51"/>
    </row>
    <row r="8" customFormat="false" ht="15" hidden="false" customHeight="false" outlineLevel="0" collapsed="false">
      <c r="A8" s="39" t="s">
        <v>7039</v>
      </c>
      <c r="B8" s="38" t="n">
        <v>200</v>
      </c>
      <c r="C8" s="37" t="s">
        <v>7035</v>
      </c>
      <c r="D8" s="38" t="n">
        <v>302</v>
      </c>
      <c r="E8" s="38" t="s">
        <v>7036</v>
      </c>
      <c r="F8" s="39" t="s">
        <v>7037</v>
      </c>
      <c r="G8" s="51"/>
    </row>
    <row r="9" customFormat="false" ht="15" hidden="false" customHeight="false" outlineLevel="0" collapsed="false">
      <c r="A9" s="39" t="s">
        <v>6896</v>
      </c>
      <c r="B9" s="38" t="n">
        <v>200</v>
      </c>
      <c r="C9" s="37" t="s">
        <v>7035</v>
      </c>
      <c r="D9" s="38" t="n">
        <v>302</v>
      </c>
      <c r="E9" s="38" t="s">
        <v>7036</v>
      </c>
      <c r="F9" s="39" t="s">
        <v>7037</v>
      </c>
      <c r="G9" s="51"/>
    </row>
    <row r="10" customFormat="false" ht="15" hidden="false" customHeight="false" outlineLevel="0" collapsed="false">
      <c r="A10" s="39" t="s">
        <v>7040</v>
      </c>
      <c r="B10" s="38" t="n">
        <v>200</v>
      </c>
      <c r="C10" s="37" t="s">
        <v>7035</v>
      </c>
      <c r="D10" s="38" t="n">
        <v>302</v>
      </c>
      <c r="E10" s="38" t="s">
        <v>7036</v>
      </c>
      <c r="F10" s="39" t="s">
        <v>7037</v>
      </c>
      <c r="G10" s="51"/>
    </row>
    <row r="11" customFormat="false" ht="15" hidden="false" customHeight="false" outlineLevel="0" collapsed="false">
      <c r="A11" s="39" t="s">
        <v>6902</v>
      </c>
      <c r="B11" s="38" t="n">
        <v>200</v>
      </c>
      <c r="C11" s="37" t="s">
        <v>7035</v>
      </c>
      <c r="D11" s="38" t="n">
        <v>302</v>
      </c>
      <c r="E11" s="38" t="s">
        <v>7036</v>
      </c>
      <c r="F11" s="39" t="s">
        <v>7037</v>
      </c>
      <c r="G11" s="51"/>
    </row>
    <row r="12" customFormat="false" ht="15" hidden="false" customHeight="false" outlineLevel="0" collapsed="false">
      <c r="A12" s="39" t="s">
        <v>7041</v>
      </c>
      <c r="B12" s="38" t="n">
        <v>200</v>
      </c>
      <c r="C12" s="37" t="s">
        <v>7035</v>
      </c>
      <c r="D12" s="38" t="n">
        <v>302</v>
      </c>
      <c r="E12" s="38" t="s">
        <v>7036</v>
      </c>
      <c r="F12" s="39" t="s">
        <v>7037</v>
      </c>
      <c r="G12" s="51"/>
    </row>
    <row r="13" customFormat="false" ht="15" hidden="false" customHeight="false" outlineLevel="0" collapsed="false">
      <c r="A13" s="39" t="s">
        <v>7042</v>
      </c>
      <c r="B13" s="38" t="n">
        <v>200</v>
      </c>
      <c r="C13" s="37" t="s">
        <v>7035</v>
      </c>
      <c r="D13" s="38" t="n">
        <v>302</v>
      </c>
      <c r="E13" s="38" t="s">
        <v>7036</v>
      </c>
      <c r="F13" s="39" t="s">
        <v>7037</v>
      </c>
      <c r="G13" s="51"/>
    </row>
    <row r="14" customFormat="false" ht="15" hidden="false" customHeight="false" outlineLevel="0" collapsed="false">
      <c r="A14" s="39" t="s">
        <v>6932</v>
      </c>
      <c r="B14" s="38" t="n">
        <v>200</v>
      </c>
      <c r="C14" s="37" t="s">
        <v>7035</v>
      </c>
      <c r="D14" s="38" t="n">
        <v>302</v>
      </c>
      <c r="E14" s="38" t="s">
        <v>7036</v>
      </c>
      <c r="F14" s="39" t="s">
        <v>7037</v>
      </c>
      <c r="G14" s="51"/>
    </row>
    <row r="15" customFormat="false" ht="15" hidden="false" customHeight="false" outlineLevel="0" collapsed="false">
      <c r="A15" s="39" t="s">
        <v>7043</v>
      </c>
      <c r="B15" s="38" t="n">
        <v>200</v>
      </c>
      <c r="C15" s="37" t="s">
        <v>7035</v>
      </c>
      <c r="D15" s="38" t="n">
        <v>302</v>
      </c>
      <c r="E15" s="38" t="s">
        <v>7036</v>
      </c>
      <c r="F15" s="39" t="s">
        <v>7037</v>
      </c>
      <c r="G15" s="51"/>
    </row>
    <row r="16" customFormat="false" ht="15" hidden="false" customHeight="false" outlineLevel="0" collapsed="false">
      <c r="A16" s="39" t="s">
        <v>7044</v>
      </c>
      <c r="B16" s="38" t="n">
        <v>200</v>
      </c>
      <c r="C16" s="37" t="s">
        <v>7035</v>
      </c>
      <c r="D16" s="38" t="n">
        <v>302</v>
      </c>
      <c r="E16" s="38" t="s">
        <v>7036</v>
      </c>
      <c r="F16" s="39" t="s">
        <v>7037</v>
      </c>
      <c r="G16" s="51"/>
    </row>
    <row r="17" customFormat="false" ht="15" hidden="false" customHeight="false" outlineLevel="0" collapsed="false">
      <c r="A17" s="39" t="s">
        <v>6938</v>
      </c>
      <c r="B17" s="38" t="n">
        <v>200</v>
      </c>
      <c r="C17" s="37" t="s">
        <v>7035</v>
      </c>
      <c r="D17" s="38" t="n">
        <v>302</v>
      </c>
      <c r="E17" s="38" t="s">
        <v>7036</v>
      </c>
      <c r="F17" s="39" t="s">
        <v>7037</v>
      </c>
      <c r="G17" s="51"/>
    </row>
    <row r="18" customFormat="false" ht="15" hidden="false" customHeight="false" outlineLevel="0" collapsed="false">
      <c r="A18" s="39" t="s">
        <v>7045</v>
      </c>
      <c r="B18" s="38" t="n">
        <v>200</v>
      </c>
      <c r="C18" s="37" t="s">
        <v>7035</v>
      </c>
      <c r="D18" s="38" t="n">
        <v>302</v>
      </c>
      <c r="E18" s="38" t="s">
        <v>7036</v>
      </c>
      <c r="F18" s="39" t="s">
        <v>7037</v>
      </c>
      <c r="G18" s="51"/>
    </row>
    <row r="19" customFormat="false" ht="15" hidden="false" customHeight="false" outlineLevel="0" collapsed="false">
      <c r="A19" s="39" t="s">
        <v>6898</v>
      </c>
      <c r="B19" s="38" t="n">
        <v>200</v>
      </c>
      <c r="C19" s="37" t="s">
        <v>7035</v>
      </c>
      <c r="D19" s="38" t="n">
        <v>302</v>
      </c>
      <c r="E19" s="38" t="s">
        <v>7036</v>
      </c>
      <c r="F19" s="39" t="s">
        <v>7037</v>
      </c>
      <c r="G19" s="51"/>
    </row>
    <row r="20" customFormat="false" ht="15" hidden="false" customHeight="false" outlineLevel="0" collapsed="false">
      <c r="A20" s="39" t="s">
        <v>7046</v>
      </c>
      <c r="B20" s="38" t="n">
        <v>200</v>
      </c>
      <c r="C20" s="37" t="s">
        <v>7035</v>
      </c>
      <c r="D20" s="38" t="n">
        <v>302</v>
      </c>
      <c r="E20" s="38" t="s">
        <v>7036</v>
      </c>
      <c r="F20" s="39" t="s">
        <v>7037</v>
      </c>
      <c r="G20" s="51"/>
    </row>
    <row r="21" customFormat="false" ht="15" hidden="false" customHeight="false" outlineLevel="0" collapsed="false">
      <c r="A21" s="39" t="s">
        <v>6892</v>
      </c>
      <c r="B21" s="38" t="n">
        <v>200</v>
      </c>
      <c r="C21" s="37" t="s">
        <v>7035</v>
      </c>
      <c r="D21" s="38" t="n">
        <v>302</v>
      </c>
      <c r="E21" s="38" t="s">
        <v>7036</v>
      </c>
      <c r="F21" s="39" t="s">
        <v>7037</v>
      </c>
      <c r="G21" s="51"/>
    </row>
    <row r="22" customFormat="false" ht="15" hidden="false" customHeight="false" outlineLevel="0" collapsed="false">
      <c r="A22" s="39" t="s">
        <v>7047</v>
      </c>
      <c r="B22" s="38" t="n">
        <v>200</v>
      </c>
      <c r="C22" s="37" t="s">
        <v>7035</v>
      </c>
      <c r="D22" s="38" t="n">
        <v>302</v>
      </c>
      <c r="E22" s="38" t="s">
        <v>7036</v>
      </c>
      <c r="F22" s="39" t="s">
        <v>7037</v>
      </c>
      <c r="G22" s="51"/>
    </row>
    <row r="23" customFormat="false" ht="15" hidden="false" customHeight="false" outlineLevel="0" collapsed="false">
      <c r="A23" s="39" t="s">
        <v>7048</v>
      </c>
      <c r="B23" s="38" t="n">
        <v>200</v>
      </c>
      <c r="C23" s="37" t="s">
        <v>7035</v>
      </c>
      <c r="D23" s="38" t="n">
        <v>302</v>
      </c>
      <c r="E23" s="38" t="s">
        <v>7036</v>
      </c>
      <c r="F23" s="39" t="s">
        <v>7037</v>
      </c>
      <c r="G23" s="51"/>
    </row>
    <row r="24" customFormat="false" ht="15" hidden="false" customHeight="false" outlineLevel="0" collapsed="false">
      <c r="A24" s="39" t="s">
        <v>7049</v>
      </c>
      <c r="B24" s="38" t="n">
        <v>200</v>
      </c>
      <c r="C24" s="37" t="s">
        <v>7035</v>
      </c>
      <c r="D24" s="38" t="n">
        <v>302</v>
      </c>
      <c r="E24" s="38" t="s">
        <v>7036</v>
      </c>
      <c r="F24" s="39" t="s">
        <v>7037</v>
      </c>
      <c r="G24" s="51"/>
    </row>
    <row r="25" customFormat="false" ht="15" hidden="false" customHeight="false" outlineLevel="0" collapsed="false">
      <c r="A25" s="39" t="s">
        <v>6869</v>
      </c>
      <c r="B25" s="38" t="n">
        <v>200</v>
      </c>
      <c r="C25" s="37" t="s">
        <v>7035</v>
      </c>
      <c r="D25" s="38" t="n">
        <v>302</v>
      </c>
      <c r="E25" s="38" t="s">
        <v>7036</v>
      </c>
      <c r="F25" s="39" t="s">
        <v>7037</v>
      </c>
      <c r="G25" s="51"/>
    </row>
    <row r="26" customFormat="false" ht="15" hidden="false" customHeight="false" outlineLevel="0" collapsed="false">
      <c r="A26" s="39" t="s">
        <v>6968</v>
      </c>
      <c r="B26" s="38" t="n">
        <v>200</v>
      </c>
      <c r="C26" s="37" t="s">
        <v>7035</v>
      </c>
      <c r="D26" s="38" t="n">
        <v>302</v>
      </c>
      <c r="E26" s="38" t="s">
        <v>7036</v>
      </c>
      <c r="F26" s="39" t="s">
        <v>7037</v>
      </c>
      <c r="G26" s="51"/>
    </row>
    <row r="27" customFormat="false" ht="15" hidden="false" customHeight="false" outlineLevel="0" collapsed="false">
      <c r="A27" s="39" t="s">
        <v>7012</v>
      </c>
      <c r="B27" s="38" t="n">
        <v>200</v>
      </c>
      <c r="C27" s="37" t="s">
        <v>7035</v>
      </c>
      <c r="D27" s="38" t="n">
        <v>302</v>
      </c>
      <c r="E27" s="38" t="s">
        <v>7036</v>
      </c>
      <c r="F27" s="39" t="s">
        <v>7037</v>
      </c>
      <c r="G27" s="51"/>
    </row>
    <row r="28" customFormat="false" ht="15" hidden="false" customHeight="false" outlineLevel="0" collapsed="false">
      <c r="A28" s="39" t="s">
        <v>6894</v>
      </c>
      <c r="B28" s="38" t="n">
        <v>200</v>
      </c>
      <c r="C28" s="37" t="s">
        <v>7035</v>
      </c>
      <c r="D28" s="38" t="n">
        <v>302</v>
      </c>
      <c r="E28" s="38" t="s">
        <v>7036</v>
      </c>
      <c r="F28" s="39" t="s">
        <v>7037</v>
      </c>
      <c r="G28" s="51"/>
    </row>
    <row r="29" customFormat="false" ht="15" hidden="false" customHeight="false" outlineLevel="0" collapsed="false">
      <c r="A29" s="39" t="s">
        <v>6984</v>
      </c>
      <c r="B29" s="38" t="n">
        <v>200</v>
      </c>
      <c r="C29" s="37" t="s">
        <v>7035</v>
      </c>
      <c r="D29" s="38" t="n">
        <v>302</v>
      </c>
      <c r="E29" s="38" t="s">
        <v>7036</v>
      </c>
      <c r="F29" s="39" t="s">
        <v>7037</v>
      </c>
      <c r="G29" s="51"/>
    </row>
    <row r="30" customFormat="false" ht="15" hidden="false" customHeight="false" outlineLevel="0" collapsed="false">
      <c r="A30" s="39" t="s">
        <v>7050</v>
      </c>
      <c r="B30" s="38" t="n">
        <v>200</v>
      </c>
      <c r="C30" s="37" t="s">
        <v>7035</v>
      </c>
      <c r="D30" s="38" t="n">
        <v>302</v>
      </c>
      <c r="E30" s="38" t="s">
        <v>7036</v>
      </c>
      <c r="F30" s="39" t="s">
        <v>7037</v>
      </c>
      <c r="G30" s="51"/>
    </row>
    <row r="31" customFormat="false" ht="15" hidden="false" customHeight="false" outlineLevel="0" collapsed="false">
      <c r="A31" s="39" t="s">
        <v>6974</v>
      </c>
      <c r="B31" s="38" t="n">
        <v>200</v>
      </c>
      <c r="C31" s="37" t="s">
        <v>7035</v>
      </c>
      <c r="D31" s="38" t="n">
        <v>302</v>
      </c>
      <c r="E31" s="38" t="s">
        <v>7036</v>
      </c>
      <c r="F31" s="39" t="s">
        <v>7037</v>
      </c>
      <c r="G31" s="51"/>
    </row>
    <row r="32" customFormat="false" ht="15" hidden="false" customHeight="false" outlineLevel="0" collapsed="false">
      <c r="A32" s="39" t="s">
        <v>7051</v>
      </c>
      <c r="B32" s="38" t="n">
        <v>200</v>
      </c>
      <c r="C32" s="37" t="s">
        <v>7035</v>
      </c>
      <c r="D32" s="38" t="n">
        <v>302</v>
      </c>
      <c r="E32" s="38" t="s">
        <v>7036</v>
      </c>
      <c r="F32" s="39" t="s">
        <v>7037</v>
      </c>
      <c r="G32" s="51"/>
    </row>
    <row r="33" customFormat="false" ht="15" hidden="false" customHeight="false" outlineLevel="0" collapsed="false">
      <c r="A33" s="39" t="s">
        <v>7052</v>
      </c>
      <c r="B33" s="38" t="n">
        <v>200</v>
      </c>
      <c r="C33" s="37" t="s">
        <v>7035</v>
      </c>
      <c r="D33" s="38" t="n">
        <v>302</v>
      </c>
      <c r="E33" s="38" t="s">
        <v>7036</v>
      </c>
      <c r="F33" s="39" t="s">
        <v>7037</v>
      </c>
      <c r="G33" s="51"/>
    </row>
    <row r="34" customFormat="false" ht="15" hidden="false" customHeight="false" outlineLevel="0" collapsed="false">
      <c r="A34" s="39" t="s">
        <v>6952</v>
      </c>
      <c r="B34" s="38" t="n">
        <v>200</v>
      </c>
      <c r="C34" s="37" t="s">
        <v>7035</v>
      </c>
      <c r="D34" s="38" t="n">
        <v>302</v>
      </c>
      <c r="E34" s="38" t="s">
        <v>7036</v>
      </c>
      <c r="F34" s="39" t="s">
        <v>7037</v>
      </c>
      <c r="G34" s="51"/>
    </row>
    <row r="35" customFormat="false" ht="15" hidden="false" customHeight="false" outlineLevel="0" collapsed="false">
      <c r="A35" s="39" t="s">
        <v>7053</v>
      </c>
      <c r="B35" s="38" t="n">
        <v>200</v>
      </c>
      <c r="C35" s="37" t="s">
        <v>7035</v>
      </c>
      <c r="D35" s="38" t="n">
        <v>302</v>
      </c>
      <c r="E35" s="38" t="s">
        <v>7036</v>
      </c>
      <c r="F35" s="39" t="s">
        <v>7037</v>
      </c>
      <c r="G35" s="51"/>
    </row>
    <row r="36" customFormat="false" ht="15" hidden="false" customHeight="false" outlineLevel="0" collapsed="false">
      <c r="A36" s="39" t="s">
        <v>7054</v>
      </c>
      <c r="B36" s="38" t="n">
        <v>200</v>
      </c>
      <c r="C36" s="37" t="s">
        <v>7035</v>
      </c>
      <c r="D36" s="38" t="n">
        <v>302</v>
      </c>
      <c r="E36" s="38" t="s">
        <v>7036</v>
      </c>
      <c r="F36" s="39" t="s">
        <v>7037</v>
      </c>
      <c r="G36" s="51"/>
    </row>
    <row r="37" customFormat="false" ht="15" hidden="false" customHeight="false" outlineLevel="0" collapsed="false">
      <c r="A37" s="39" t="s">
        <v>7055</v>
      </c>
      <c r="B37" s="38" t="n">
        <v>200</v>
      </c>
      <c r="C37" s="37" t="s">
        <v>7035</v>
      </c>
      <c r="D37" s="38" t="n">
        <v>302</v>
      </c>
      <c r="E37" s="38" t="s">
        <v>7036</v>
      </c>
      <c r="F37" s="39" t="s">
        <v>7037</v>
      </c>
      <c r="G37" s="51"/>
    </row>
    <row r="38" customFormat="false" ht="15" hidden="false" customHeight="false" outlineLevel="0" collapsed="false">
      <c r="A38" s="39" t="s">
        <v>7056</v>
      </c>
      <c r="B38" s="38" t="n">
        <v>200</v>
      </c>
      <c r="C38" s="37" t="s">
        <v>7035</v>
      </c>
      <c r="D38" s="38" t="n">
        <v>302</v>
      </c>
      <c r="E38" s="38" t="s">
        <v>7036</v>
      </c>
      <c r="F38" s="39" t="s">
        <v>7037</v>
      </c>
      <c r="G38" s="51"/>
    </row>
    <row r="39" customFormat="false" ht="15" hidden="false" customHeight="false" outlineLevel="0" collapsed="false">
      <c r="A39" s="39" t="s">
        <v>6992</v>
      </c>
      <c r="B39" s="38" t="n">
        <v>200</v>
      </c>
      <c r="C39" s="37" t="s">
        <v>7035</v>
      </c>
      <c r="D39" s="38" t="n">
        <v>302</v>
      </c>
      <c r="E39" s="38" t="s">
        <v>7036</v>
      </c>
      <c r="F39" s="39" t="s">
        <v>7037</v>
      </c>
      <c r="G39" s="51"/>
    </row>
    <row r="40" customFormat="false" ht="15" hidden="false" customHeight="false" outlineLevel="0" collapsed="false">
      <c r="A40" s="39" t="s">
        <v>7057</v>
      </c>
      <c r="B40" s="38" t="n">
        <v>200</v>
      </c>
      <c r="C40" s="37" t="s">
        <v>7035</v>
      </c>
      <c r="D40" s="38" t="n">
        <v>302</v>
      </c>
      <c r="E40" s="38" t="s">
        <v>7036</v>
      </c>
      <c r="F40" s="39" t="s">
        <v>7037</v>
      </c>
      <c r="G40" s="51"/>
    </row>
    <row r="41" customFormat="false" ht="15" hidden="false" customHeight="false" outlineLevel="0" collapsed="false">
      <c r="A41" s="39" t="s">
        <v>6976</v>
      </c>
      <c r="B41" s="38" t="n">
        <v>200</v>
      </c>
      <c r="C41" s="37" t="s">
        <v>7035</v>
      </c>
      <c r="D41" s="38" t="n">
        <v>302</v>
      </c>
      <c r="E41" s="38" t="s">
        <v>7036</v>
      </c>
      <c r="F41" s="39" t="s">
        <v>7037</v>
      </c>
      <c r="G41" s="51"/>
    </row>
    <row r="42" customFormat="false" ht="15" hidden="false" customHeight="false" outlineLevel="0" collapsed="false">
      <c r="A42" s="39" t="s">
        <v>6936</v>
      </c>
      <c r="B42" s="38" t="n">
        <v>200</v>
      </c>
      <c r="C42" s="37" t="s">
        <v>7035</v>
      </c>
      <c r="D42" s="38" t="n">
        <v>302</v>
      </c>
      <c r="E42" s="38" t="s">
        <v>7036</v>
      </c>
      <c r="F42" s="39" t="s">
        <v>7037</v>
      </c>
      <c r="G42" s="51"/>
    </row>
    <row r="43" customFormat="false" ht="15" hidden="false" customHeight="false" outlineLevel="0" collapsed="false">
      <c r="A43" s="39" t="s">
        <v>7058</v>
      </c>
      <c r="B43" s="38" t="n">
        <v>200</v>
      </c>
      <c r="C43" s="37" t="s">
        <v>7035</v>
      </c>
      <c r="D43" s="38" t="n">
        <v>302</v>
      </c>
      <c r="E43" s="38" t="s">
        <v>7036</v>
      </c>
      <c r="F43" s="39" t="s">
        <v>7037</v>
      </c>
      <c r="G43" s="51"/>
    </row>
    <row r="44" customFormat="false" ht="15" hidden="false" customHeight="false" outlineLevel="0" collapsed="false">
      <c r="A44" s="39" t="s">
        <v>7059</v>
      </c>
      <c r="B44" s="38" t="n">
        <v>200</v>
      </c>
      <c r="C44" s="37" t="s">
        <v>7035</v>
      </c>
      <c r="D44" s="38" t="n">
        <v>302</v>
      </c>
      <c r="E44" s="38" t="s">
        <v>7036</v>
      </c>
      <c r="F44" s="39" t="s">
        <v>7037</v>
      </c>
      <c r="G44" s="51"/>
    </row>
    <row r="45" customFormat="false" ht="15" hidden="false" customHeight="false" outlineLevel="0" collapsed="false">
      <c r="A45" s="39" t="s">
        <v>7020</v>
      </c>
      <c r="B45" s="38" t="n">
        <v>200</v>
      </c>
      <c r="C45" s="37" t="s">
        <v>7035</v>
      </c>
      <c r="D45" s="38" t="n">
        <v>302</v>
      </c>
      <c r="E45" s="38" t="s">
        <v>7036</v>
      </c>
      <c r="F45" s="39" t="s">
        <v>7037</v>
      </c>
      <c r="G45" s="51"/>
    </row>
    <row r="46" customFormat="false" ht="15" hidden="false" customHeight="false" outlineLevel="0" collapsed="false">
      <c r="A46" s="39" t="s">
        <v>7060</v>
      </c>
      <c r="B46" s="38" t="n">
        <v>200</v>
      </c>
      <c r="C46" s="37" t="s">
        <v>7035</v>
      </c>
      <c r="D46" s="38" t="n">
        <v>302</v>
      </c>
      <c r="E46" s="38" t="s">
        <v>7036</v>
      </c>
      <c r="F46" s="39" t="s">
        <v>7037</v>
      </c>
      <c r="G46" s="51"/>
    </row>
    <row r="47" customFormat="false" ht="15" hidden="false" customHeight="false" outlineLevel="0" collapsed="false">
      <c r="A47" s="39" t="s">
        <v>7061</v>
      </c>
      <c r="B47" s="38" t="n">
        <v>200</v>
      </c>
      <c r="C47" s="37" t="s">
        <v>7035</v>
      </c>
      <c r="D47" s="38" t="n">
        <v>302</v>
      </c>
      <c r="E47" s="38" t="s">
        <v>7036</v>
      </c>
      <c r="F47" s="39" t="s">
        <v>7037</v>
      </c>
      <c r="G47" s="51"/>
    </row>
    <row r="48" customFormat="false" ht="15" hidden="false" customHeight="false" outlineLevel="0" collapsed="false">
      <c r="A48" s="39" t="s">
        <v>7062</v>
      </c>
      <c r="B48" s="38" t="n">
        <v>200</v>
      </c>
      <c r="C48" s="37" t="s">
        <v>7035</v>
      </c>
      <c r="D48" s="38" t="n">
        <v>302</v>
      </c>
      <c r="E48" s="38" t="s">
        <v>7036</v>
      </c>
      <c r="F48" s="39" t="s">
        <v>7037</v>
      </c>
      <c r="G48" s="51"/>
    </row>
    <row r="49" customFormat="false" ht="15" hidden="false" customHeight="false" outlineLevel="0" collapsed="false">
      <c r="A49" s="39" t="s">
        <v>7002</v>
      </c>
      <c r="B49" s="38" t="n">
        <v>200</v>
      </c>
      <c r="C49" s="37" t="s">
        <v>7035</v>
      </c>
      <c r="D49" s="38" t="n">
        <v>302</v>
      </c>
      <c r="E49" s="38" t="s">
        <v>7036</v>
      </c>
      <c r="F49" s="39" t="s">
        <v>7037</v>
      </c>
      <c r="G49" s="51"/>
    </row>
    <row r="50" customFormat="false" ht="15" hidden="false" customHeight="false" outlineLevel="0" collapsed="false">
      <c r="A50" s="39" t="s">
        <v>7063</v>
      </c>
      <c r="B50" s="38" t="n">
        <v>200</v>
      </c>
      <c r="C50" s="37" t="s">
        <v>7035</v>
      </c>
      <c r="D50" s="38" t="n">
        <v>302</v>
      </c>
      <c r="E50" s="38" t="s">
        <v>7036</v>
      </c>
      <c r="F50" s="39" t="s">
        <v>7037</v>
      </c>
      <c r="G50" s="51"/>
    </row>
    <row r="51" customFormat="false" ht="15" hidden="false" customHeight="false" outlineLevel="0" collapsed="false">
      <c r="A51" s="39" t="s">
        <v>7064</v>
      </c>
      <c r="B51" s="38" t="n">
        <v>200</v>
      </c>
      <c r="C51" s="37" t="s">
        <v>7035</v>
      </c>
      <c r="D51" s="38" t="n">
        <v>302</v>
      </c>
      <c r="E51" s="38" t="s">
        <v>7036</v>
      </c>
      <c r="F51" s="39" t="s">
        <v>7037</v>
      </c>
      <c r="G51" s="51"/>
    </row>
    <row r="52" customFormat="false" ht="15" hidden="false" customHeight="false" outlineLevel="0" collapsed="false">
      <c r="A52" s="39" t="s">
        <v>7065</v>
      </c>
      <c r="B52" s="38" t="n">
        <v>200</v>
      </c>
      <c r="C52" s="37" t="s">
        <v>7035</v>
      </c>
      <c r="D52" s="38" t="n">
        <v>302</v>
      </c>
      <c r="E52" s="38" t="s">
        <v>7036</v>
      </c>
      <c r="F52" s="39" t="s">
        <v>7037</v>
      </c>
      <c r="G52" s="51"/>
    </row>
    <row r="53" customFormat="false" ht="15" hidden="false" customHeight="false" outlineLevel="0" collapsed="false">
      <c r="A53" s="39" t="s">
        <v>7016</v>
      </c>
      <c r="B53" s="38" t="n">
        <v>200</v>
      </c>
      <c r="C53" s="37" t="s">
        <v>7035</v>
      </c>
      <c r="D53" s="38" t="n">
        <v>302</v>
      </c>
      <c r="E53" s="38" t="s">
        <v>7036</v>
      </c>
      <c r="F53" s="39" t="s">
        <v>7037</v>
      </c>
      <c r="G53" s="51"/>
    </row>
    <row r="54" customFormat="false" ht="15" hidden="false" customHeight="false" outlineLevel="0" collapsed="false">
      <c r="A54" s="39" t="s">
        <v>6876</v>
      </c>
      <c r="B54" s="38" t="n">
        <v>200</v>
      </c>
      <c r="C54" s="37" t="s">
        <v>7035</v>
      </c>
      <c r="D54" s="38" t="n">
        <v>302</v>
      </c>
      <c r="E54" s="38" t="s">
        <v>7036</v>
      </c>
      <c r="F54" s="39" t="s">
        <v>7037</v>
      </c>
      <c r="G54" s="51"/>
    </row>
    <row r="55" customFormat="false" ht="15" hidden="false" customHeight="false" outlineLevel="0" collapsed="false">
      <c r="A55" s="39" t="s">
        <v>7066</v>
      </c>
      <c r="B55" s="38" t="n">
        <v>200</v>
      </c>
      <c r="C55" s="37" t="s">
        <v>7035</v>
      </c>
      <c r="D55" s="38" t="n">
        <v>302</v>
      </c>
      <c r="E55" s="38" t="s">
        <v>7036</v>
      </c>
      <c r="F55" s="39" t="s">
        <v>7037</v>
      </c>
      <c r="G55" s="51"/>
    </row>
    <row r="56" customFormat="false" ht="15" hidden="false" customHeight="false" outlineLevel="0" collapsed="false">
      <c r="A56" s="39" t="s">
        <v>6962</v>
      </c>
      <c r="B56" s="38" t="n">
        <v>200</v>
      </c>
      <c r="C56" s="37" t="s">
        <v>7035</v>
      </c>
      <c r="D56" s="38" t="n">
        <v>302</v>
      </c>
      <c r="E56" s="38" t="s">
        <v>7036</v>
      </c>
      <c r="F56" s="39" t="s">
        <v>7037</v>
      </c>
      <c r="G56" s="51"/>
    </row>
    <row r="57" customFormat="false" ht="15" hidden="false" customHeight="false" outlineLevel="0" collapsed="false">
      <c r="A57" s="39" t="s">
        <v>7010</v>
      </c>
      <c r="B57" s="38" t="n">
        <v>200</v>
      </c>
      <c r="C57" s="37" t="s">
        <v>7035</v>
      </c>
      <c r="D57" s="38" t="n">
        <v>302</v>
      </c>
      <c r="E57" s="38" t="s">
        <v>7036</v>
      </c>
      <c r="F57" s="39" t="s">
        <v>7037</v>
      </c>
      <c r="G57" s="51"/>
    </row>
    <row r="58" customFormat="false" ht="15" hidden="false" customHeight="false" outlineLevel="0" collapsed="false">
      <c r="A58" s="39" t="s">
        <v>7067</v>
      </c>
      <c r="B58" s="38" t="n">
        <v>200</v>
      </c>
      <c r="C58" s="37" t="s">
        <v>7035</v>
      </c>
      <c r="D58" s="38" t="n">
        <v>302</v>
      </c>
      <c r="E58" s="38" t="s">
        <v>7036</v>
      </c>
      <c r="F58" s="39" t="s">
        <v>7037</v>
      </c>
      <c r="G58" s="51"/>
    </row>
    <row r="59" customFormat="false" ht="15" hidden="false" customHeight="false" outlineLevel="0" collapsed="false">
      <c r="A59" s="39" t="s">
        <v>7068</v>
      </c>
      <c r="B59" s="38" t="n">
        <v>200</v>
      </c>
      <c r="C59" s="37" t="s">
        <v>7035</v>
      </c>
      <c r="D59" s="38" t="n">
        <v>302</v>
      </c>
      <c r="E59" s="38" t="s">
        <v>7036</v>
      </c>
      <c r="F59" s="39" t="s">
        <v>7037</v>
      </c>
      <c r="G59" s="51"/>
    </row>
    <row r="60" customFormat="false" ht="15" hidden="false" customHeight="false" outlineLevel="0" collapsed="false">
      <c r="A60" s="39" t="s">
        <v>6908</v>
      </c>
      <c r="B60" s="38" t="n">
        <v>200</v>
      </c>
      <c r="C60" s="37" t="s">
        <v>7035</v>
      </c>
      <c r="D60" s="38" t="n">
        <v>302</v>
      </c>
      <c r="E60" s="38" t="s">
        <v>7036</v>
      </c>
      <c r="F60" s="39" t="s">
        <v>7037</v>
      </c>
      <c r="G60" s="51"/>
    </row>
    <row r="61" customFormat="false" ht="15" hidden="false" customHeight="false" outlineLevel="0" collapsed="false">
      <c r="A61" s="39" t="s">
        <v>7069</v>
      </c>
      <c r="B61" s="38" t="n">
        <v>200</v>
      </c>
      <c r="C61" s="37" t="s">
        <v>7035</v>
      </c>
      <c r="D61" s="38" t="n">
        <v>302</v>
      </c>
      <c r="E61" s="38" t="s">
        <v>7036</v>
      </c>
      <c r="F61" s="39" t="s">
        <v>7037</v>
      </c>
      <c r="G61" s="51"/>
    </row>
    <row r="62" customFormat="false" ht="15" hidden="false" customHeight="false" outlineLevel="0" collapsed="false">
      <c r="A62" s="39" t="s">
        <v>7070</v>
      </c>
      <c r="B62" s="38" t="n">
        <v>200</v>
      </c>
      <c r="C62" s="37" t="s">
        <v>7035</v>
      </c>
      <c r="D62" s="38" t="n">
        <v>302</v>
      </c>
      <c r="E62" s="38" t="s">
        <v>7036</v>
      </c>
      <c r="F62" s="39" t="s">
        <v>7037</v>
      </c>
      <c r="G62" s="51"/>
    </row>
    <row r="63" customFormat="false" ht="15" hidden="false" customHeight="false" outlineLevel="0" collapsed="false">
      <c r="A63" s="39" t="s">
        <v>7071</v>
      </c>
      <c r="B63" s="38" t="n">
        <v>200</v>
      </c>
      <c r="C63" s="37" t="s">
        <v>7035</v>
      </c>
      <c r="D63" s="38" t="n">
        <v>302</v>
      </c>
      <c r="E63" s="38" t="s">
        <v>7036</v>
      </c>
      <c r="F63" s="39" t="s">
        <v>7037</v>
      </c>
      <c r="G63" s="51"/>
    </row>
    <row r="64" customFormat="false" ht="15" hidden="false" customHeight="false" outlineLevel="0" collapsed="false">
      <c r="A64" s="39" t="s">
        <v>6970</v>
      </c>
      <c r="B64" s="38" t="n">
        <v>200</v>
      </c>
      <c r="C64" s="37" t="s">
        <v>7035</v>
      </c>
      <c r="D64" s="38" t="n">
        <v>302</v>
      </c>
      <c r="E64" s="38" t="s">
        <v>7036</v>
      </c>
      <c r="F64" s="39" t="s">
        <v>7037</v>
      </c>
      <c r="G64" s="51"/>
    </row>
    <row r="65" customFormat="false" ht="15" hidden="false" customHeight="false" outlineLevel="0" collapsed="false">
      <c r="A65" s="39" t="s">
        <v>7072</v>
      </c>
      <c r="B65" s="38" t="n">
        <v>200</v>
      </c>
      <c r="C65" s="37" t="s">
        <v>7035</v>
      </c>
      <c r="D65" s="38" t="n">
        <v>302</v>
      </c>
      <c r="E65" s="38" t="s">
        <v>7036</v>
      </c>
      <c r="F65" s="39" t="s">
        <v>7037</v>
      </c>
      <c r="G65" s="51"/>
    </row>
    <row r="66" customFormat="false" ht="15" hidden="false" customHeight="false" outlineLevel="0" collapsed="false">
      <c r="A66" s="39" t="s">
        <v>7073</v>
      </c>
      <c r="B66" s="38" t="n">
        <v>200</v>
      </c>
      <c r="C66" s="37" t="s">
        <v>7035</v>
      </c>
      <c r="D66" s="38" t="n">
        <v>302</v>
      </c>
      <c r="E66" s="38" t="s">
        <v>7036</v>
      </c>
      <c r="F66" s="39" t="s">
        <v>7037</v>
      </c>
      <c r="G66" s="51"/>
    </row>
    <row r="67" customFormat="false" ht="15" hidden="false" customHeight="false" outlineLevel="0" collapsed="false">
      <c r="A67" s="39" t="s">
        <v>6982</v>
      </c>
      <c r="B67" s="38" t="n">
        <v>200</v>
      </c>
      <c r="C67" s="37" t="s">
        <v>7035</v>
      </c>
      <c r="D67" s="38" t="n">
        <v>302</v>
      </c>
      <c r="E67" s="38" t="s">
        <v>7036</v>
      </c>
      <c r="F67" s="39" t="s">
        <v>7037</v>
      </c>
      <c r="G67" s="51"/>
    </row>
    <row r="68" customFormat="false" ht="15" hidden="false" customHeight="false" outlineLevel="0" collapsed="false">
      <c r="A68" s="39" t="s">
        <v>7074</v>
      </c>
      <c r="B68" s="38" t="n">
        <v>200</v>
      </c>
      <c r="C68" s="37" t="s">
        <v>7035</v>
      </c>
      <c r="D68" s="38" t="n">
        <v>302</v>
      </c>
      <c r="E68" s="38" t="s">
        <v>7036</v>
      </c>
      <c r="F68" s="39" t="s">
        <v>7037</v>
      </c>
      <c r="G68" s="51"/>
    </row>
    <row r="69" customFormat="false" ht="15" hidden="false" customHeight="false" outlineLevel="0" collapsed="false">
      <c r="A69" s="39" t="s">
        <v>6966</v>
      </c>
      <c r="B69" s="38" t="n">
        <v>200</v>
      </c>
      <c r="C69" s="37" t="s">
        <v>7035</v>
      </c>
      <c r="D69" s="38" t="n">
        <v>302</v>
      </c>
      <c r="E69" s="38" t="s">
        <v>7036</v>
      </c>
      <c r="F69" s="39" t="s">
        <v>7037</v>
      </c>
      <c r="G69" s="51"/>
    </row>
    <row r="70" customFormat="false" ht="15" hidden="false" customHeight="false" outlineLevel="0" collapsed="false">
      <c r="A70" s="39" t="s">
        <v>7075</v>
      </c>
      <c r="B70" s="38" t="n">
        <v>200</v>
      </c>
      <c r="C70" s="37" t="s">
        <v>7035</v>
      </c>
      <c r="D70" s="38" t="n">
        <v>302</v>
      </c>
      <c r="E70" s="38" t="s">
        <v>7036</v>
      </c>
      <c r="F70" s="39" t="s">
        <v>7037</v>
      </c>
      <c r="G70" s="51"/>
    </row>
    <row r="71" customFormat="false" ht="15" hidden="false" customHeight="false" outlineLevel="0" collapsed="false">
      <c r="A71" s="39" t="s">
        <v>6906</v>
      </c>
      <c r="B71" s="38" t="n">
        <v>200</v>
      </c>
      <c r="C71" s="37" t="s">
        <v>7035</v>
      </c>
      <c r="D71" s="38" t="n">
        <v>302</v>
      </c>
      <c r="E71" s="38" t="s">
        <v>7036</v>
      </c>
      <c r="F71" s="39" t="s">
        <v>7037</v>
      </c>
      <c r="G71" s="51"/>
    </row>
    <row r="72" customFormat="false" ht="15" hidden="false" customHeight="false" outlineLevel="0" collapsed="false">
      <c r="A72" s="39" t="s">
        <v>7076</v>
      </c>
      <c r="B72" s="38" t="n">
        <v>200</v>
      </c>
      <c r="C72" s="37" t="s">
        <v>7035</v>
      </c>
      <c r="D72" s="38" t="n">
        <v>302</v>
      </c>
      <c r="E72" s="38" t="s">
        <v>7036</v>
      </c>
      <c r="F72" s="39" t="s">
        <v>7037</v>
      </c>
      <c r="G72" s="51"/>
    </row>
    <row r="73" customFormat="false" ht="15" hidden="false" customHeight="false" outlineLevel="0" collapsed="false">
      <c r="A73" s="39" t="s">
        <v>7077</v>
      </c>
      <c r="B73" s="38" t="n">
        <v>200</v>
      </c>
      <c r="C73" s="37" t="s">
        <v>7035</v>
      </c>
      <c r="D73" s="38" t="n">
        <v>302</v>
      </c>
      <c r="E73" s="38" t="s">
        <v>7036</v>
      </c>
      <c r="F73" s="39" t="s">
        <v>7037</v>
      </c>
      <c r="G73" s="51"/>
    </row>
    <row r="74" customFormat="false" ht="15" hidden="false" customHeight="false" outlineLevel="0" collapsed="false">
      <c r="A74" s="39" t="s">
        <v>6994</v>
      </c>
      <c r="B74" s="38" t="n">
        <v>200</v>
      </c>
      <c r="C74" s="37" t="s">
        <v>7035</v>
      </c>
      <c r="D74" s="38" t="n">
        <v>302</v>
      </c>
      <c r="E74" s="38" t="s">
        <v>7036</v>
      </c>
      <c r="F74" s="39" t="s">
        <v>7037</v>
      </c>
      <c r="G74" s="51"/>
    </row>
    <row r="75" customFormat="false" ht="15" hidden="false" customHeight="false" outlineLevel="0" collapsed="false">
      <c r="A75" s="39" t="s">
        <v>7024</v>
      </c>
      <c r="B75" s="38" t="n">
        <v>200</v>
      </c>
      <c r="C75" s="37" t="s">
        <v>7035</v>
      </c>
      <c r="D75" s="38" t="n">
        <v>302</v>
      </c>
      <c r="E75" s="38" t="s">
        <v>7036</v>
      </c>
      <c r="F75" s="39" t="s">
        <v>7037</v>
      </c>
      <c r="G75" s="51"/>
    </row>
    <row r="76" customFormat="false" ht="15" hidden="false" customHeight="false" outlineLevel="0" collapsed="false">
      <c r="A76" s="39" t="s">
        <v>6960</v>
      </c>
      <c r="B76" s="38" t="n">
        <v>200</v>
      </c>
      <c r="C76" s="37" t="s">
        <v>7035</v>
      </c>
      <c r="D76" s="38" t="n">
        <v>302</v>
      </c>
      <c r="E76" s="38" t="s">
        <v>7036</v>
      </c>
      <c r="F76" s="39" t="s">
        <v>7037</v>
      </c>
      <c r="G76" s="51"/>
    </row>
    <row r="77" customFormat="false" ht="15" hidden="false" customHeight="false" outlineLevel="0" collapsed="false">
      <c r="A77" s="39" t="s">
        <v>7078</v>
      </c>
      <c r="B77" s="38" t="n">
        <v>200</v>
      </c>
      <c r="C77" s="37" t="s">
        <v>7035</v>
      </c>
      <c r="D77" s="38" t="n">
        <v>302</v>
      </c>
      <c r="E77" s="38" t="s">
        <v>7036</v>
      </c>
      <c r="F77" s="39" t="s">
        <v>7037</v>
      </c>
      <c r="G77" s="51"/>
    </row>
    <row r="78" customFormat="false" ht="15" hidden="false" customHeight="false" outlineLevel="0" collapsed="false">
      <c r="A78" s="39" t="s">
        <v>7079</v>
      </c>
      <c r="B78" s="38" t="n">
        <v>200</v>
      </c>
      <c r="C78" s="37" t="s">
        <v>7035</v>
      </c>
      <c r="D78" s="38" t="n">
        <v>302</v>
      </c>
      <c r="E78" s="38" t="s">
        <v>7036</v>
      </c>
      <c r="F78" s="39" t="s">
        <v>7037</v>
      </c>
      <c r="G78" s="51"/>
    </row>
    <row r="79" customFormat="false" ht="15" hidden="false" customHeight="false" outlineLevel="0" collapsed="false">
      <c r="A79" s="39" t="s">
        <v>7080</v>
      </c>
      <c r="B79" s="38" t="n">
        <v>200</v>
      </c>
      <c r="C79" s="37" t="s">
        <v>7035</v>
      </c>
      <c r="D79" s="38" t="n">
        <v>302</v>
      </c>
      <c r="E79" s="38" t="s">
        <v>7036</v>
      </c>
      <c r="F79" s="39" t="s">
        <v>7037</v>
      </c>
      <c r="G79" s="51"/>
    </row>
    <row r="80" customFormat="false" ht="15" hidden="false" customHeight="false" outlineLevel="0" collapsed="false">
      <c r="A80" s="39" t="s">
        <v>7081</v>
      </c>
      <c r="B80" s="38" t="n">
        <v>200</v>
      </c>
      <c r="C80" s="37" t="s">
        <v>7035</v>
      </c>
      <c r="D80" s="38" t="n">
        <v>302</v>
      </c>
      <c r="E80" s="38" t="s">
        <v>7036</v>
      </c>
      <c r="F80" s="39" t="s">
        <v>7037</v>
      </c>
      <c r="G80" s="51"/>
    </row>
    <row r="81" customFormat="false" ht="15" hidden="false" customHeight="false" outlineLevel="0" collapsed="false">
      <c r="A81" s="39" t="s">
        <v>7082</v>
      </c>
      <c r="B81" s="38" t="n">
        <v>200</v>
      </c>
      <c r="C81" s="37" t="s">
        <v>7035</v>
      </c>
      <c r="D81" s="38" t="n">
        <v>302</v>
      </c>
      <c r="E81" s="38" t="s">
        <v>7036</v>
      </c>
      <c r="F81" s="39" t="s">
        <v>7037</v>
      </c>
      <c r="G81" s="51"/>
    </row>
    <row r="82" customFormat="false" ht="15" hidden="false" customHeight="false" outlineLevel="0" collapsed="false">
      <c r="A82" s="39" t="s">
        <v>6900</v>
      </c>
      <c r="B82" s="38" t="n">
        <v>200</v>
      </c>
      <c r="C82" s="37" t="s">
        <v>7035</v>
      </c>
      <c r="D82" s="38" t="n">
        <v>302</v>
      </c>
      <c r="E82" s="38" t="s">
        <v>7036</v>
      </c>
      <c r="F82" s="39" t="s">
        <v>7037</v>
      </c>
      <c r="G82" s="51"/>
    </row>
    <row r="83" customFormat="false" ht="15" hidden="false" customHeight="false" outlineLevel="0" collapsed="false">
      <c r="A83" s="39" t="s">
        <v>6978</v>
      </c>
      <c r="B83" s="38" t="n">
        <v>200</v>
      </c>
      <c r="C83" s="37" t="s">
        <v>7035</v>
      </c>
      <c r="D83" s="38" t="n">
        <v>302</v>
      </c>
      <c r="E83" s="38" t="s">
        <v>7036</v>
      </c>
      <c r="F83" s="39" t="s">
        <v>7037</v>
      </c>
      <c r="G83" s="51"/>
    </row>
    <row r="84" customFormat="false" ht="15" hidden="false" customHeight="false" outlineLevel="0" collapsed="false">
      <c r="A84" s="39" t="s">
        <v>7083</v>
      </c>
      <c r="B84" s="38" t="n">
        <v>200</v>
      </c>
      <c r="C84" s="37" t="s">
        <v>7035</v>
      </c>
      <c r="D84" s="38" t="n">
        <v>302</v>
      </c>
      <c r="E84" s="38" t="s">
        <v>7036</v>
      </c>
      <c r="F84" s="39" t="s">
        <v>7037</v>
      </c>
      <c r="G84" s="51"/>
    </row>
    <row r="85" customFormat="false" ht="15" hidden="false" customHeight="false" outlineLevel="0" collapsed="false">
      <c r="A85" s="39" t="s">
        <v>7084</v>
      </c>
      <c r="B85" s="38" t="n">
        <v>200</v>
      </c>
      <c r="C85" s="37" t="s">
        <v>7035</v>
      </c>
      <c r="D85" s="38" t="n">
        <v>302</v>
      </c>
      <c r="E85" s="38" t="s">
        <v>7036</v>
      </c>
      <c r="F85" s="39" t="s">
        <v>7037</v>
      </c>
      <c r="G85" s="51"/>
    </row>
    <row r="86" customFormat="false" ht="15" hidden="false" customHeight="false" outlineLevel="0" collapsed="false">
      <c r="A86" s="39" t="s">
        <v>7085</v>
      </c>
      <c r="B86" s="38" t="n">
        <v>200</v>
      </c>
      <c r="C86" s="37" t="s">
        <v>7035</v>
      </c>
      <c r="D86" s="38" t="n">
        <v>302</v>
      </c>
      <c r="E86" s="38" t="s">
        <v>7036</v>
      </c>
      <c r="F86" s="39" t="s">
        <v>7037</v>
      </c>
      <c r="G86" s="51"/>
    </row>
    <row r="87" customFormat="false" ht="15" hidden="false" customHeight="false" outlineLevel="0" collapsed="false">
      <c r="A87" s="39" t="s">
        <v>7086</v>
      </c>
      <c r="B87" s="38" t="n">
        <v>200</v>
      </c>
      <c r="C87" s="37" t="s">
        <v>7035</v>
      </c>
      <c r="D87" s="38" t="n">
        <v>302</v>
      </c>
      <c r="E87" s="38" t="s">
        <v>7036</v>
      </c>
      <c r="F87" s="39" t="s">
        <v>7037</v>
      </c>
      <c r="G87" s="51"/>
    </row>
    <row r="88" customFormat="false" ht="15" hidden="false" customHeight="false" outlineLevel="0" collapsed="false">
      <c r="A88" s="39" t="s">
        <v>7087</v>
      </c>
      <c r="B88" s="38" t="n">
        <v>200</v>
      </c>
      <c r="C88" s="37" t="s">
        <v>7035</v>
      </c>
      <c r="D88" s="38" t="n">
        <v>302</v>
      </c>
      <c r="E88" s="38" t="s">
        <v>7036</v>
      </c>
      <c r="F88" s="39" t="s">
        <v>7037</v>
      </c>
      <c r="G88" s="51"/>
    </row>
    <row r="89" customFormat="false" ht="15" hidden="false" customHeight="false" outlineLevel="0" collapsed="false">
      <c r="A89" s="39" t="s">
        <v>7088</v>
      </c>
      <c r="B89" s="38" t="n">
        <v>200</v>
      </c>
      <c r="C89" s="37" t="s">
        <v>7035</v>
      </c>
      <c r="D89" s="38" t="n">
        <v>302</v>
      </c>
      <c r="E89" s="38" t="s">
        <v>7036</v>
      </c>
      <c r="F89" s="39" t="s">
        <v>7037</v>
      </c>
      <c r="G89" s="51"/>
    </row>
    <row r="90" customFormat="false" ht="15" hidden="false" customHeight="false" outlineLevel="0" collapsed="false">
      <c r="A90" s="39" t="s">
        <v>6904</v>
      </c>
      <c r="B90" s="38" t="n">
        <v>200</v>
      </c>
      <c r="C90" s="37" t="s">
        <v>7035</v>
      </c>
      <c r="D90" s="38" t="n">
        <v>302</v>
      </c>
      <c r="E90" s="38" t="s">
        <v>7036</v>
      </c>
      <c r="F90" s="39" t="s">
        <v>7037</v>
      </c>
      <c r="G90" s="51"/>
    </row>
    <row r="91" customFormat="false" ht="15" hidden="false" customHeight="false" outlineLevel="0" collapsed="false">
      <c r="A91" s="39" t="s">
        <v>7089</v>
      </c>
      <c r="B91" s="38" t="n">
        <v>200</v>
      </c>
      <c r="C91" s="37" t="s">
        <v>7035</v>
      </c>
      <c r="D91" s="38" t="n">
        <v>302</v>
      </c>
      <c r="E91" s="38" t="s">
        <v>7036</v>
      </c>
      <c r="F91" s="39" t="s">
        <v>7037</v>
      </c>
      <c r="G91" s="51"/>
    </row>
    <row r="92" customFormat="false" ht="15" hidden="false" customHeight="false" outlineLevel="0" collapsed="false">
      <c r="A92" s="39" t="s">
        <v>6950</v>
      </c>
      <c r="B92" s="38" t="n">
        <v>200</v>
      </c>
      <c r="C92" s="37" t="s">
        <v>7035</v>
      </c>
      <c r="D92" s="38" t="n">
        <v>302</v>
      </c>
      <c r="E92" s="38" t="s">
        <v>7036</v>
      </c>
      <c r="F92" s="39" t="s">
        <v>7037</v>
      </c>
      <c r="G92" s="51"/>
    </row>
    <row r="93" customFormat="false" ht="15" hidden="false" customHeight="false" outlineLevel="0" collapsed="false">
      <c r="A93" s="39" t="s">
        <v>7090</v>
      </c>
      <c r="B93" s="38" t="n">
        <v>200</v>
      </c>
      <c r="C93" s="37" t="s">
        <v>7035</v>
      </c>
      <c r="D93" s="38" t="n">
        <v>302</v>
      </c>
      <c r="E93" s="38" t="s">
        <v>7036</v>
      </c>
      <c r="F93" s="39" t="s">
        <v>7037</v>
      </c>
      <c r="G93" s="51"/>
    </row>
    <row r="94" customFormat="false" ht="15" hidden="false" customHeight="false" outlineLevel="0" collapsed="false">
      <c r="A94" s="39" t="s">
        <v>6872</v>
      </c>
      <c r="B94" s="38" t="n">
        <v>200</v>
      </c>
      <c r="C94" s="37" t="s">
        <v>7035</v>
      </c>
      <c r="D94" s="38" t="n">
        <v>302</v>
      </c>
      <c r="E94" s="38" t="s">
        <v>7036</v>
      </c>
      <c r="F94" s="39" t="s">
        <v>7037</v>
      </c>
      <c r="G94" s="51"/>
    </row>
    <row r="95" customFormat="false" ht="15" hidden="false" customHeight="false" outlineLevel="0" collapsed="false">
      <c r="A95" s="39" t="s">
        <v>7091</v>
      </c>
      <c r="B95" s="38" t="n">
        <v>200</v>
      </c>
      <c r="C95" s="37" t="s">
        <v>7035</v>
      </c>
      <c r="D95" s="38" t="n">
        <v>302</v>
      </c>
      <c r="E95" s="38" t="s">
        <v>7036</v>
      </c>
      <c r="F95" s="39" t="s">
        <v>7037</v>
      </c>
      <c r="G95" s="51"/>
    </row>
    <row r="96" customFormat="false" ht="15" hidden="false" customHeight="false" outlineLevel="0" collapsed="false">
      <c r="A96" s="39" t="s">
        <v>7092</v>
      </c>
      <c r="B96" s="38" t="n">
        <v>200</v>
      </c>
      <c r="C96" s="37" t="s">
        <v>7035</v>
      </c>
      <c r="D96" s="38" t="n">
        <v>302</v>
      </c>
      <c r="E96" s="38" t="s">
        <v>7036</v>
      </c>
      <c r="F96" s="39" t="s">
        <v>7037</v>
      </c>
      <c r="G96" s="51"/>
    </row>
    <row r="97" customFormat="false" ht="15" hidden="false" customHeight="false" outlineLevel="0" collapsed="false">
      <c r="A97" s="39" t="s">
        <v>7093</v>
      </c>
      <c r="B97" s="38" t="n">
        <v>200</v>
      </c>
      <c r="C97" s="37" t="s">
        <v>7035</v>
      </c>
      <c r="D97" s="38" t="n">
        <v>302</v>
      </c>
      <c r="E97" s="38" t="s">
        <v>7036</v>
      </c>
      <c r="F97" s="39" t="s">
        <v>7037</v>
      </c>
      <c r="G97" s="51"/>
    </row>
    <row r="98" customFormat="false" ht="15" hidden="false" customHeight="false" outlineLevel="0" collapsed="false">
      <c r="A98" s="39" t="s">
        <v>6942</v>
      </c>
      <c r="B98" s="38" t="n">
        <v>200</v>
      </c>
      <c r="C98" s="37" t="s">
        <v>7035</v>
      </c>
      <c r="D98" s="38" t="n">
        <v>302</v>
      </c>
      <c r="E98" s="38" t="s">
        <v>7036</v>
      </c>
      <c r="F98" s="39" t="s">
        <v>7037</v>
      </c>
      <c r="G98" s="51"/>
    </row>
    <row r="99" customFormat="false" ht="15" hidden="false" customHeight="false" outlineLevel="0" collapsed="false">
      <c r="A99" s="39" t="s">
        <v>6916</v>
      </c>
      <c r="B99" s="38" t="n">
        <v>200</v>
      </c>
      <c r="C99" s="37" t="s">
        <v>7035</v>
      </c>
      <c r="D99" s="38" t="n">
        <v>302</v>
      </c>
      <c r="E99" s="38" t="s">
        <v>7036</v>
      </c>
      <c r="F99" s="39" t="s">
        <v>7037</v>
      </c>
      <c r="G99" s="51"/>
    </row>
    <row r="100" customFormat="false" ht="15" hidden="false" customHeight="false" outlineLevel="0" collapsed="false">
      <c r="A100" s="39" t="s">
        <v>6988</v>
      </c>
      <c r="B100" s="38" t="n">
        <v>200</v>
      </c>
      <c r="C100" s="37" t="s">
        <v>7035</v>
      </c>
      <c r="D100" s="38" t="n">
        <v>302</v>
      </c>
      <c r="E100" s="38" t="s">
        <v>7036</v>
      </c>
      <c r="F100" s="39" t="s">
        <v>7037</v>
      </c>
      <c r="G100" s="51"/>
    </row>
    <row r="101" customFormat="false" ht="15" hidden="false" customHeight="false" outlineLevel="0" collapsed="false">
      <c r="A101" s="39" t="s">
        <v>7094</v>
      </c>
      <c r="B101" s="38" t="n">
        <v>200</v>
      </c>
      <c r="C101" s="37" t="s">
        <v>7035</v>
      </c>
      <c r="D101" s="38" t="n">
        <v>302</v>
      </c>
      <c r="E101" s="38" t="s">
        <v>7036</v>
      </c>
      <c r="F101" s="39" t="s">
        <v>7037</v>
      </c>
      <c r="G101" s="51"/>
    </row>
    <row r="102" customFormat="false" ht="15" hidden="false" customHeight="false" outlineLevel="0" collapsed="false">
      <c r="A102" s="39" t="s">
        <v>7095</v>
      </c>
      <c r="B102" s="38" t="n">
        <v>200</v>
      </c>
      <c r="C102" s="37" t="s">
        <v>7035</v>
      </c>
      <c r="D102" s="38" t="n">
        <v>302</v>
      </c>
      <c r="E102" s="38" t="s">
        <v>7036</v>
      </c>
      <c r="F102" s="39" t="s">
        <v>7037</v>
      </c>
      <c r="G102" s="51"/>
    </row>
    <row r="103" customFormat="false" ht="15" hidden="false" customHeight="false" outlineLevel="0" collapsed="false">
      <c r="A103" s="39" t="s">
        <v>7096</v>
      </c>
      <c r="B103" s="38" t="n">
        <v>200</v>
      </c>
      <c r="C103" s="37" t="s">
        <v>7035</v>
      </c>
      <c r="D103" s="38" t="n">
        <v>302</v>
      </c>
      <c r="E103" s="38" t="s">
        <v>7036</v>
      </c>
      <c r="F103" s="39" t="s">
        <v>7037</v>
      </c>
      <c r="G103" s="51"/>
    </row>
    <row r="104" customFormat="false" ht="15" hidden="false" customHeight="false" outlineLevel="0" collapsed="false">
      <c r="A104" s="39" t="s">
        <v>7097</v>
      </c>
      <c r="B104" s="38" t="n">
        <v>200</v>
      </c>
      <c r="C104" s="37" t="s">
        <v>7035</v>
      </c>
      <c r="D104" s="38" t="n">
        <v>302</v>
      </c>
      <c r="E104" s="38" t="s">
        <v>7036</v>
      </c>
      <c r="F104" s="39" t="s">
        <v>7037</v>
      </c>
      <c r="G104" s="51"/>
    </row>
    <row r="105" customFormat="false" ht="15" hidden="false" customHeight="false" outlineLevel="0" collapsed="false">
      <c r="A105" s="39" t="s">
        <v>7098</v>
      </c>
      <c r="B105" s="38" t="n">
        <v>200</v>
      </c>
      <c r="C105" s="37" t="s">
        <v>7035</v>
      </c>
      <c r="D105" s="38" t="n">
        <v>302</v>
      </c>
      <c r="E105" s="38" t="s">
        <v>7036</v>
      </c>
      <c r="F105" s="39" t="s">
        <v>7037</v>
      </c>
      <c r="G105" s="51"/>
    </row>
    <row r="106" customFormat="false" ht="15" hidden="false" customHeight="false" outlineLevel="0" collapsed="false">
      <c r="A106" s="39" t="s">
        <v>7099</v>
      </c>
      <c r="B106" s="38" t="n">
        <v>200</v>
      </c>
      <c r="C106" s="37" t="s">
        <v>7035</v>
      </c>
      <c r="D106" s="38" t="n">
        <v>302</v>
      </c>
      <c r="E106" s="38" t="s">
        <v>7036</v>
      </c>
      <c r="F106" s="39" t="s">
        <v>7037</v>
      </c>
      <c r="G106" s="51"/>
    </row>
    <row r="107" customFormat="false" ht="15" hidden="false" customHeight="false" outlineLevel="0" collapsed="false">
      <c r="A107" s="39" t="s">
        <v>7100</v>
      </c>
      <c r="B107" s="38" t="n">
        <v>200</v>
      </c>
      <c r="C107" s="37" t="s">
        <v>7035</v>
      </c>
      <c r="D107" s="38" t="n">
        <v>302</v>
      </c>
      <c r="E107" s="38" t="s">
        <v>7036</v>
      </c>
      <c r="F107" s="39" t="s">
        <v>7037</v>
      </c>
      <c r="G107" s="51"/>
    </row>
    <row r="108" customFormat="false" ht="15" hidden="false" customHeight="false" outlineLevel="0" collapsed="false">
      <c r="A108" s="39" t="s">
        <v>7101</v>
      </c>
      <c r="B108" s="38" t="n">
        <v>200</v>
      </c>
      <c r="C108" s="37" t="s">
        <v>7035</v>
      </c>
      <c r="D108" s="38" t="n">
        <v>302</v>
      </c>
      <c r="E108" s="38" t="s">
        <v>7036</v>
      </c>
      <c r="F108" s="39" t="s">
        <v>7037</v>
      </c>
      <c r="G108" s="51"/>
    </row>
    <row r="109" customFormat="false" ht="15" hidden="false" customHeight="false" outlineLevel="0" collapsed="false">
      <c r="A109" s="39" t="s">
        <v>7102</v>
      </c>
      <c r="B109" s="38" t="n">
        <v>200</v>
      </c>
      <c r="C109" s="37" t="s">
        <v>7035</v>
      </c>
      <c r="D109" s="38" t="n">
        <v>302</v>
      </c>
      <c r="E109" s="38" t="s">
        <v>7036</v>
      </c>
      <c r="F109" s="39" t="s">
        <v>7037</v>
      </c>
      <c r="G109" s="51"/>
    </row>
    <row r="110" customFormat="false" ht="15" hidden="false" customHeight="false" outlineLevel="0" collapsed="false">
      <c r="A110" s="39" t="s">
        <v>7103</v>
      </c>
      <c r="B110" s="38" t="n">
        <v>200</v>
      </c>
      <c r="C110" s="37" t="s">
        <v>7035</v>
      </c>
      <c r="D110" s="38" t="n">
        <v>302</v>
      </c>
      <c r="E110" s="38" t="s">
        <v>7036</v>
      </c>
      <c r="F110" s="39" t="s">
        <v>7037</v>
      </c>
      <c r="G110" s="51"/>
    </row>
    <row r="111" customFormat="false" ht="15" hidden="false" customHeight="false" outlineLevel="0" collapsed="false">
      <c r="A111" s="39" t="s">
        <v>7104</v>
      </c>
      <c r="B111" s="38" t="n">
        <v>200</v>
      </c>
      <c r="C111" s="37" t="s">
        <v>7035</v>
      </c>
      <c r="D111" s="38" t="n">
        <v>302</v>
      </c>
      <c r="E111" s="38" t="s">
        <v>7036</v>
      </c>
      <c r="F111" s="39" t="s">
        <v>7037</v>
      </c>
      <c r="G111" s="51"/>
    </row>
    <row r="112" customFormat="false" ht="15" hidden="false" customHeight="false" outlineLevel="0" collapsed="false">
      <c r="A112" s="39" t="s">
        <v>6956</v>
      </c>
      <c r="B112" s="38" t="n">
        <v>200</v>
      </c>
      <c r="C112" s="37" t="s">
        <v>7035</v>
      </c>
      <c r="D112" s="38" t="n">
        <v>302</v>
      </c>
      <c r="E112" s="38" t="s">
        <v>7036</v>
      </c>
      <c r="F112" s="39" t="s">
        <v>7037</v>
      </c>
      <c r="G112" s="51"/>
    </row>
    <row r="113" customFormat="false" ht="15" hidden="false" customHeight="false" outlineLevel="0" collapsed="false">
      <c r="A113" s="39" t="s">
        <v>7105</v>
      </c>
      <c r="B113" s="38" t="n">
        <v>200</v>
      </c>
      <c r="C113" s="37" t="s">
        <v>7035</v>
      </c>
      <c r="D113" s="38" t="n">
        <v>302</v>
      </c>
      <c r="E113" s="38" t="s">
        <v>7036</v>
      </c>
      <c r="F113" s="39" t="s">
        <v>7037</v>
      </c>
      <c r="G113" s="51"/>
    </row>
    <row r="114" customFormat="false" ht="15" hidden="false" customHeight="false" outlineLevel="0" collapsed="false">
      <c r="A114" s="39" t="s">
        <v>6890</v>
      </c>
      <c r="B114" s="38" t="n">
        <v>200</v>
      </c>
      <c r="C114" s="37" t="s">
        <v>7035</v>
      </c>
      <c r="D114" s="38" t="n">
        <v>302</v>
      </c>
      <c r="E114" s="38" t="s">
        <v>7036</v>
      </c>
      <c r="F114" s="39" t="s">
        <v>7037</v>
      </c>
      <c r="G114" s="51"/>
    </row>
    <row r="115" customFormat="false" ht="15" hidden="false" customHeight="false" outlineLevel="0" collapsed="false">
      <c r="A115" s="39" t="s">
        <v>6928</v>
      </c>
      <c r="B115" s="38" t="n">
        <v>200</v>
      </c>
      <c r="C115" s="37" t="s">
        <v>7035</v>
      </c>
      <c r="D115" s="38" t="n">
        <v>302</v>
      </c>
      <c r="E115" s="38" t="s">
        <v>7036</v>
      </c>
      <c r="F115" s="39" t="s">
        <v>7037</v>
      </c>
      <c r="G115" s="51"/>
    </row>
    <row r="116" customFormat="false" ht="15" hidden="false" customHeight="false" outlineLevel="0" collapsed="false">
      <c r="A116" s="39" t="s">
        <v>7106</v>
      </c>
      <c r="B116" s="38" t="n">
        <v>200</v>
      </c>
      <c r="C116" s="37" t="s">
        <v>7035</v>
      </c>
      <c r="D116" s="38" t="n">
        <v>302</v>
      </c>
      <c r="E116" s="38" t="s">
        <v>7036</v>
      </c>
      <c r="F116" s="39" t="s">
        <v>7037</v>
      </c>
      <c r="G116" s="51"/>
    </row>
    <row r="117" customFormat="false" ht="15" hidden="false" customHeight="false" outlineLevel="0" collapsed="false">
      <c r="A117" s="39" t="s">
        <v>7107</v>
      </c>
      <c r="B117" s="38" t="n">
        <v>200</v>
      </c>
      <c r="C117" s="37" t="s">
        <v>7035</v>
      </c>
      <c r="D117" s="38" t="n">
        <v>302</v>
      </c>
      <c r="E117" s="38" t="s">
        <v>7036</v>
      </c>
      <c r="F117" s="39" t="s">
        <v>7037</v>
      </c>
      <c r="G117" s="51"/>
    </row>
    <row r="118" customFormat="false" ht="15" hidden="false" customHeight="false" outlineLevel="0" collapsed="false">
      <c r="A118" s="39" t="s">
        <v>7108</v>
      </c>
      <c r="B118" s="38" t="n">
        <v>200</v>
      </c>
      <c r="C118" s="37" t="s">
        <v>7035</v>
      </c>
      <c r="D118" s="38" t="n">
        <v>302</v>
      </c>
      <c r="E118" s="38" t="s">
        <v>7036</v>
      </c>
      <c r="F118" s="39" t="s">
        <v>7037</v>
      </c>
      <c r="G118" s="51"/>
    </row>
    <row r="119" customFormat="false" ht="15" hidden="false" customHeight="false" outlineLevel="0" collapsed="false">
      <c r="A119" s="39" t="s">
        <v>7109</v>
      </c>
      <c r="B119" s="38" t="n">
        <v>200</v>
      </c>
      <c r="C119" s="37" t="s">
        <v>7035</v>
      </c>
      <c r="D119" s="38" t="n">
        <v>302</v>
      </c>
      <c r="E119" s="38" t="s">
        <v>7036</v>
      </c>
      <c r="F119" s="39" t="s">
        <v>7037</v>
      </c>
      <c r="G119" s="51"/>
    </row>
    <row r="120" customFormat="false" ht="15" hidden="false" customHeight="false" outlineLevel="0" collapsed="false">
      <c r="A120" s="39" t="s">
        <v>6996</v>
      </c>
      <c r="B120" s="38" t="n">
        <v>200</v>
      </c>
      <c r="C120" s="37" t="s">
        <v>7035</v>
      </c>
      <c r="D120" s="38" t="n">
        <v>302</v>
      </c>
      <c r="E120" s="38" t="s">
        <v>7036</v>
      </c>
      <c r="F120" s="39" t="s">
        <v>7037</v>
      </c>
      <c r="G120" s="51"/>
    </row>
    <row r="121" customFormat="false" ht="15" hidden="false" customHeight="false" outlineLevel="0" collapsed="false">
      <c r="A121" s="39" t="s">
        <v>7014</v>
      </c>
      <c r="B121" s="38" t="n">
        <v>200</v>
      </c>
      <c r="C121" s="37" t="s">
        <v>7035</v>
      </c>
      <c r="D121" s="38" t="n">
        <v>302</v>
      </c>
      <c r="E121" s="38" t="s">
        <v>7036</v>
      </c>
      <c r="F121" s="39" t="s">
        <v>7037</v>
      </c>
      <c r="G121" s="51"/>
    </row>
    <row r="122" customFormat="false" ht="15" hidden="false" customHeight="false" outlineLevel="0" collapsed="false">
      <c r="A122" s="39" t="s">
        <v>6880</v>
      </c>
      <c r="B122" s="38" t="n">
        <v>200</v>
      </c>
      <c r="C122" s="37" t="s">
        <v>7035</v>
      </c>
      <c r="D122" s="38" t="n">
        <v>302</v>
      </c>
      <c r="E122" s="38" t="s">
        <v>7036</v>
      </c>
      <c r="F122" s="39" t="s">
        <v>7037</v>
      </c>
      <c r="G122" s="51"/>
    </row>
    <row r="123" customFormat="false" ht="15" hidden="false" customHeight="false" outlineLevel="0" collapsed="false">
      <c r="A123" s="39" t="s">
        <v>7110</v>
      </c>
      <c r="B123" s="38" t="n">
        <v>200</v>
      </c>
      <c r="C123" s="37" t="s">
        <v>7035</v>
      </c>
      <c r="D123" s="38" t="n">
        <v>302</v>
      </c>
      <c r="E123" s="38" t="s">
        <v>7036</v>
      </c>
      <c r="F123" s="39" t="s">
        <v>7037</v>
      </c>
      <c r="G123" s="51"/>
    </row>
    <row r="124" customFormat="false" ht="15" hidden="false" customHeight="false" outlineLevel="0" collapsed="false">
      <c r="A124" s="39" t="s">
        <v>7111</v>
      </c>
      <c r="B124" s="38" t="n">
        <v>200</v>
      </c>
      <c r="C124" s="37" t="s">
        <v>7035</v>
      </c>
      <c r="D124" s="38" t="n">
        <v>302</v>
      </c>
      <c r="E124" s="38" t="s">
        <v>7036</v>
      </c>
      <c r="F124" s="39" t="s">
        <v>7037</v>
      </c>
      <c r="G124" s="51"/>
    </row>
    <row r="125" customFormat="false" ht="15" hidden="false" customHeight="false" outlineLevel="0" collapsed="false">
      <c r="A125" s="39" t="s">
        <v>7112</v>
      </c>
      <c r="B125" s="38" t="n">
        <v>200</v>
      </c>
      <c r="C125" s="37" t="s">
        <v>7035</v>
      </c>
      <c r="D125" s="38" t="n">
        <v>302</v>
      </c>
      <c r="E125" s="38" t="s">
        <v>7036</v>
      </c>
      <c r="F125" s="39" t="s">
        <v>7037</v>
      </c>
      <c r="G125" s="51"/>
    </row>
    <row r="126" customFormat="false" ht="15" hidden="false" customHeight="false" outlineLevel="0" collapsed="false">
      <c r="A126" s="39" t="s">
        <v>7113</v>
      </c>
      <c r="B126" s="38" t="n">
        <v>200</v>
      </c>
      <c r="C126" s="37" t="s">
        <v>7035</v>
      </c>
      <c r="D126" s="38" t="n">
        <v>302</v>
      </c>
      <c r="E126" s="38" t="s">
        <v>7036</v>
      </c>
      <c r="F126" s="39" t="s">
        <v>7037</v>
      </c>
      <c r="G126" s="51"/>
    </row>
    <row r="127" customFormat="false" ht="15" hidden="false" customHeight="false" outlineLevel="0" collapsed="false">
      <c r="A127" s="39" t="s">
        <v>7114</v>
      </c>
      <c r="B127" s="38" t="n">
        <v>200</v>
      </c>
      <c r="C127" s="37" t="s">
        <v>7035</v>
      </c>
      <c r="D127" s="38" t="n">
        <v>302</v>
      </c>
      <c r="E127" s="38" t="s">
        <v>7036</v>
      </c>
      <c r="F127" s="39" t="s">
        <v>7037</v>
      </c>
      <c r="G127" s="51"/>
    </row>
    <row r="128" customFormat="false" ht="15" hidden="false" customHeight="false" outlineLevel="0" collapsed="false">
      <c r="A128" s="39" t="s">
        <v>7115</v>
      </c>
      <c r="B128" s="38" t="n">
        <v>200</v>
      </c>
      <c r="C128" s="37" t="s">
        <v>7035</v>
      </c>
      <c r="D128" s="38" t="n">
        <v>302</v>
      </c>
      <c r="E128" s="38" t="s">
        <v>7036</v>
      </c>
      <c r="F128" s="39" t="s">
        <v>7037</v>
      </c>
      <c r="G128" s="51"/>
    </row>
    <row r="129" customFormat="false" ht="15" hidden="false" customHeight="false" outlineLevel="0" collapsed="false">
      <c r="A129" s="39" t="s">
        <v>7116</v>
      </c>
      <c r="B129" s="38" t="n">
        <v>200</v>
      </c>
      <c r="C129" s="37" t="s">
        <v>7035</v>
      </c>
      <c r="D129" s="38" t="n">
        <v>302</v>
      </c>
      <c r="E129" s="38" t="s">
        <v>7036</v>
      </c>
      <c r="F129" s="39" t="s">
        <v>7037</v>
      </c>
      <c r="G129" s="51"/>
    </row>
    <row r="130" customFormat="false" ht="15" hidden="false" customHeight="false" outlineLevel="0" collapsed="false">
      <c r="A130" s="39" t="s">
        <v>7117</v>
      </c>
      <c r="B130" s="38" t="n">
        <v>200</v>
      </c>
      <c r="C130" s="37" t="s">
        <v>7035</v>
      </c>
      <c r="D130" s="38" t="n">
        <v>302</v>
      </c>
      <c r="E130" s="38" t="s">
        <v>7036</v>
      </c>
      <c r="F130" s="39" t="s">
        <v>7037</v>
      </c>
      <c r="G130" s="51"/>
    </row>
    <row r="131" customFormat="false" ht="15" hidden="false" customHeight="false" outlineLevel="0" collapsed="false">
      <c r="A131" s="39" t="s">
        <v>6944</v>
      </c>
      <c r="B131" s="38" t="n">
        <v>200</v>
      </c>
      <c r="C131" s="37" t="s">
        <v>7035</v>
      </c>
      <c r="D131" s="38" t="n">
        <v>302</v>
      </c>
      <c r="E131" s="38" t="s">
        <v>7036</v>
      </c>
      <c r="F131" s="39" t="s">
        <v>7037</v>
      </c>
      <c r="G131" s="51"/>
    </row>
    <row r="132" customFormat="false" ht="15" hidden="false" customHeight="false" outlineLevel="0" collapsed="false">
      <c r="A132" s="39" t="s">
        <v>6980</v>
      </c>
      <c r="B132" s="38" t="n">
        <v>200</v>
      </c>
      <c r="C132" s="37" t="s">
        <v>7035</v>
      </c>
      <c r="D132" s="38" t="n">
        <v>302</v>
      </c>
      <c r="E132" s="38" t="s">
        <v>7036</v>
      </c>
      <c r="F132" s="39" t="s">
        <v>7037</v>
      </c>
      <c r="G132" s="51"/>
    </row>
    <row r="133" customFormat="false" ht="15" hidden="false" customHeight="false" outlineLevel="0" collapsed="false">
      <c r="A133" s="39" t="s">
        <v>7118</v>
      </c>
      <c r="B133" s="38" t="n">
        <v>200</v>
      </c>
      <c r="C133" s="37" t="s">
        <v>7035</v>
      </c>
      <c r="D133" s="38" t="n">
        <v>302</v>
      </c>
      <c r="E133" s="38" t="s">
        <v>7036</v>
      </c>
      <c r="F133" s="39" t="s">
        <v>7037</v>
      </c>
      <c r="G133" s="51"/>
    </row>
    <row r="134" customFormat="false" ht="15" hidden="false" customHeight="false" outlineLevel="0" collapsed="false">
      <c r="A134" s="39" t="s">
        <v>7119</v>
      </c>
      <c r="B134" s="38" t="n">
        <v>200</v>
      </c>
      <c r="C134" s="37" t="s">
        <v>7035</v>
      </c>
      <c r="D134" s="38" t="n">
        <v>302</v>
      </c>
      <c r="E134" s="38" t="s">
        <v>7036</v>
      </c>
      <c r="F134" s="39" t="s">
        <v>7037</v>
      </c>
      <c r="G134" s="51"/>
    </row>
    <row r="135" customFormat="false" ht="15" hidden="false" customHeight="false" outlineLevel="0" collapsed="false">
      <c r="A135" s="39" t="s">
        <v>7120</v>
      </c>
      <c r="B135" s="38" t="n">
        <v>200</v>
      </c>
      <c r="C135" s="37" t="s">
        <v>7035</v>
      </c>
      <c r="D135" s="38" t="n">
        <v>302</v>
      </c>
      <c r="E135" s="38" t="s">
        <v>7036</v>
      </c>
      <c r="F135" s="39" t="s">
        <v>7037</v>
      </c>
      <c r="G135" s="51"/>
    </row>
    <row r="136" customFormat="false" ht="15" hidden="false" customHeight="false" outlineLevel="0" collapsed="false">
      <c r="A136" s="39" t="s">
        <v>6882</v>
      </c>
      <c r="B136" s="38" t="n">
        <v>200</v>
      </c>
      <c r="C136" s="37" t="s">
        <v>7035</v>
      </c>
      <c r="D136" s="38" t="n">
        <v>302</v>
      </c>
      <c r="E136" s="38" t="s">
        <v>7036</v>
      </c>
      <c r="F136" s="39" t="s">
        <v>7037</v>
      </c>
      <c r="G136" s="51"/>
    </row>
    <row r="137" customFormat="false" ht="15" hidden="false" customHeight="false" outlineLevel="0" collapsed="false">
      <c r="A137" s="39" t="s">
        <v>7121</v>
      </c>
      <c r="B137" s="38" t="n">
        <v>200</v>
      </c>
      <c r="C137" s="37" t="s">
        <v>7035</v>
      </c>
      <c r="D137" s="38" t="n">
        <v>302</v>
      </c>
      <c r="E137" s="38" t="s">
        <v>7036</v>
      </c>
      <c r="F137" s="39" t="s">
        <v>7037</v>
      </c>
      <c r="G137" s="51"/>
    </row>
    <row r="138" customFormat="false" ht="15" hidden="false" customHeight="false" outlineLevel="0" collapsed="false">
      <c r="A138" s="39" t="s">
        <v>6914</v>
      </c>
      <c r="B138" s="38" t="n">
        <v>200</v>
      </c>
      <c r="C138" s="37" t="s">
        <v>7035</v>
      </c>
      <c r="D138" s="38" t="n">
        <v>302</v>
      </c>
      <c r="E138" s="38" t="s">
        <v>7036</v>
      </c>
      <c r="F138" s="39" t="s">
        <v>7037</v>
      </c>
      <c r="G138" s="51"/>
    </row>
    <row r="139" customFormat="false" ht="15" hidden="false" customHeight="false" outlineLevel="0" collapsed="false">
      <c r="A139" s="39" t="s">
        <v>7122</v>
      </c>
      <c r="B139" s="38" t="n">
        <v>200</v>
      </c>
      <c r="C139" s="37" t="s">
        <v>7035</v>
      </c>
      <c r="D139" s="38" t="n">
        <v>302</v>
      </c>
      <c r="E139" s="38" t="s">
        <v>7036</v>
      </c>
      <c r="F139" s="39" t="s">
        <v>7037</v>
      </c>
      <c r="G139" s="51"/>
    </row>
    <row r="140" customFormat="false" ht="15" hidden="false" customHeight="false" outlineLevel="0" collapsed="false">
      <c r="A140" s="39" t="s">
        <v>6940</v>
      </c>
      <c r="B140" s="38" t="n">
        <v>200</v>
      </c>
      <c r="C140" s="37" t="s">
        <v>7035</v>
      </c>
      <c r="D140" s="38" t="n">
        <v>302</v>
      </c>
      <c r="E140" s="38" t="s">
        <v>7036</v>
      </c>
      <c r="F140" s="39" t="s">
        <v>7037</v>
      </c>
      <c r="G140" s="51"/>
    </row>
    <row r="141" customFormat="false" ht="15" hidden="false" customHeight="false" outlineLevel="0" collapsed="false">
      <c r="A141" s="39" t="s">
        <v>7008</v>
      </c>
      <c r="B141" s="38" t="n">
        <v>200</v>
      </c>
      <c r="C141" s="37" t="s">
        <v>7035</v>
      </c>
      <c r="D141" s="38" t="n">
        <v>302</v>
      </c>
      <c r="E141" s="38" t="s">
        <v>7036</v>
      </c>
      <c r="F141" s="39" t="s">
        <v>7037</v>
      </c>
      <c r="G141" s="51"/>
    </row>
    <row r="142" customFormat="false" ht="15" hidden="false" customHeight="false" outlineLevel="0" collapsed="false">
      <c r="A142" s="39" t="s">
        <v>7006</v>
      </c>
      <c r="B142" s="38" t="n">
        <v>200</v>
      </c>
      <c r="C142" s="37" t="s">
        <v>7035</v>
      </c>
      <c r="D142" s="38" t="n">
        <v>302</v>
      </c>
      <c r="E142" s="38" t="s">
        <v>7036</v>
      </c>
      <c r="F142" s="39" t="s">
        <v>7037</v>
      </c>
      <c r="G142" s="51"/>
    </row>
    <row r="143" customFormat="false" ht="15" hidden="false" customHeight="false" outlineLevel="0" collapsed="false">
      <c r="A143" s="39" t="s">
        <v>7000</v>
      </c>
      <c r="B143" s="38" t="n">
        <v>200</v>
      </c>
      <c r="C143" s="37" t="s">
        <v>7035</v>
      </c>
      <c r="D143" s="38" t="n">
        <v>302</v>
      </c>
      <c r="E143" s="38" t="s">
        <v>7036</v>
      </c>
      <c r="F143" s="39" t="s">
        <v>7037</v>
      </c>
      <c r="G143" s="51"/>
    </row>
    <row r="144" customFormat="false" ht="15" hidden="false" customHeight="false" outlineLevel="0" collapsed="false">
      <c r="A144" s="39" t="s">
        <v>6878</v>
      </c>
      <c r="B144" s="38" t="n">
        <v>200</v>
      </c>
      <c r="C144" s="37" t="s">
        <v>7035</v>
      </c>
      <c r="D144" s="38" t="n">
        <v>302</v>
      </c>
      <c r="E144" s="38" t="s">
        <v>7036</v>
      </c>
      <c r="F144" s="39" t="s">
        <v>7037</v>
      </c>
      <c r="G144" s="51"/>
    </row>
    <row r="145" customFormat="false" ht="15" hidden="false" customHeight="false" outlineLevel="0" collapsed="false">
      <c r="A145" s="39" t="s">
        <v>7123</v>
      </c>
      <c r="B145" s="38" t="n">
        <v>200</v>
      </c>
      <c r="C145" s="37" t="s">
        <v>7035</v>
      </c>
      <c r="D145" s="38" t="n">
        <v>302</v>
      </c>
      <c r="E145" s="38" t="s">
        <v>7036</v>
      </c>
      <c r="F145" s="39" t="s">
        <v>7037</v>
      </c>
      <c r="G145" s="51"/>
    </row>
    <row r="146" customFormat="false" ht="15" hidden="false" customHeight="false" outlineLevel="0" collapsed="false">
      <c r="A146" s="39" t="s">
        <v>7018</v>
      </c>
      <c r="B146" s="38" t="n">
        <v>200</v>
      </c>
      <c r="C146" s="37" t="s">
        <v>7035</v>
      </c>
      <c r="D146" s="38" t="n">
        <v>302</v>
      </c>
      <c r="E146" s="38" t="s">
        <v>7036</v>
      </c>
      <c r="F146" s="39" t="s">
        <v>7037</v>
      </c>
      <c r="G146" s="51"/>
    </row>
    <row r="147" customFormat="false" ht="15" hidden="false" customHeight="false" outlineLevel="0" collapsed="false">
      <c r="A147" s="39" t="s">
        <v>7124</v>
      </c>
      <c r="B147" s="38" t="n">
        <v>200</v>
      </c>
      <c r="C147" s="37" t="s">
        <v>7035</v>
      </c>
      <c r="D147" s="38" t="n">
        <v>302</v>
      </c>
      <c r="E147" s="38" t="s">
        <v>7036</v>
      </c>
      <c r="F147" s="39" t="s">
        <v>7037</v>
      </c>
      <c r="G147" s="51"/>
    </row>
    <row r="148" customFormat="false" ht="15" hidden="false" customHeight="false" outlineLevel="0" collapsed="false">
      <c r="A148" s="39" t="s">
        <v>7125</v>
      </c>
      <c r="B148" s="38" t="n">
        <v>200</v>
      </c>
      <c r="C148" s="37" t="s">
        <v>7035</v>
      </c>
      <c r="D148" s="38" t="n">
        <v>302</v>
      </c>
      <c r="E148" s="38" t="s">
        <v>7036</v>
      </c>
      <c r="F148" s="39" t="s">
        <v>7037</v>
      </c>
      <c r="G148" s="51"/>
    </row>
    <row r="149" customFormat="false" ht="15" hidden="false" customHeight="false" outlineLevel="0" collapsed="false">
      <c r="A149" s="39" t="s">
        <v>7126</v>
      </c>
      <c r="B149" s="38" t="n">
        <v>200</v>
      </c>
      <c r="C149" s="37" t="s">
        <v>7035</v>
      </c>
      <c r="D149" s="38" t="n">
        <v>302</v>
      </c>
      <c r="E149" s="38" t="s">
        <v>7036</v>
      </c>
      <c r="F149" s="39" t="s">
        <v>7037</v>
      </c>
      <c r="G149" s="51"/>
    </row>
    <row r="150" customFormat="false" ht="15" hidden="false" customHeight="false" outlineLevel="0" collapsed="false">
      <c r="A150" s="39" t="s">
        <v>7127</v>
      </c>
      <c r="B150" s="38" t="n">
        <v>200</v>
      </c>
      <c r="C150" s="37" t="s">
        <v>7035</v>
      </c>
      <c r="D150" s="38" t="n">
        <v>302</v>
      </c>
      <c r="E150" s="38" t="s">
        <v>7036</v>
      </c>
      <c r="F150" s="39" t="s">
        <v>7037</v>
      </c>
      <c r="G150" s="51"/>
    </row>
    <row r="151" customFormat="false" ht="15" hidden="false" customHeight="false" outlineLevel="0" collapsed="false">
      <c r="A151" s="39" t="s">
        <v>7128</v>
      </c>
      <c r="B151" s="38" t="n">
        <v>200</v>
      </c>
      <c r="C151" s="37" t="s">
        <v>7035</v>
      </c>
      <c r="D151" s="38" t="n">
        <v>302</v>
      </c>
      <c r="E151" s="38" t="s">
        <v>7036</v>
      </c>
      <c r="F151" s="39" t="s">
        <v>7037</v>
      </c>
      <c r="G151" s="51"/>
    </row>
    <row r="152" customFormat="false" ht="15" hidden="false" customHeight="false" outlineLevel="0" collapsed="false">
      <c r="A152" s="39" t="s">
        <v>7129</v>
      </c>
      <c r="B152" s="38" t="n">
        <v>200</v>
      </c>
      <c r="C152" s="37" t="s">
        <v>7035</v>
      </c>
      <c r="D152" s="38" t="n">
        <v>302</v>
      </c>
      <c r="E152" s="38" t="s">
        <v>7036</v>
      </c>
      <c r="F152" s="39" t="s">
        <v>7037</v>
      </c>
      <c r="G152" s="51"/>
    </row>
    <row r="153" customFormat="false" ht="15" hidden="false" customHeight="false" outlineLevel="0" collapsed="false">
      <c r="A153" s="39" t="s">
        <v>7130</v>
      </c>
      <c r="B153" s="38" t="n">
        <v>200</v>
      </c>
      <c r="C153" s="37" t="s">
        <v>7035</v>
      </c>
      <c r="D153" s="38" t="n">
        <v>302</v>
      </c>
      <c r="E153" s="38" t="s">
        <v>7036</v>
      </c>
      <c r="F153" s="39" t="s">
        <v>7037</v>
      </c>
      <c r="G153" s="51"/>
    </row>
    <row r="154" customFormat="false" ht="15" hidden="false" customHeight="false" outlineLevel="0" collapsed="false">
      <c r="A154" s="39" t="s">
        <v>7131</v>
      </c>
      <c r="B154" s="38" t="n">
        <v>200</v>
      </c>
      <c r="C154" s="37" t="s">
        <v>7035</v>
      </c>
      <c r="D154" s="38" t="n">
        <v>302</v>
      </c>
      <c r="E154" s="38" t="s">
        <v>7036</v>
      </c>
      <c r="F154" s="39" t="s">
        <v>7037</v>
      </c>
      <c r="G154" s="51"/>
    </row>
    <row r="155" customFormat="false" ht="15" hidden="false" customHeight="false" outlineLevel="0" collapsed="false">
      <c r="A155" s="39" t="s">
        <v>7132</v>
      </c>
      <c r="B155" s="38" t="n">
        <v>200</v>
      </c>
      <c r="C155" s="37" t="s">
        <v>7035</v>
      </c>
      <c r="D155" s="38" t="n">
        <v>302</v>
      </c>
      <c r="E155" s="38" t="s">
        <v>7036</v>
      </c>
      <c r="F155" s="39" t="s">
        <v>7037</v>
      </c>
      <c r="G155" s="51"/>
    </row>
    <row r="156" customFormat="false" ht="15" hidden="false" customHeight="false" outlineLevel="0" collapsed="false">
      <c r="A156" s="39" t="s">
        <v>7133</v>
      </c>
      <c r="B156" s="38" t="n">
        <v>200</v>
      </c>
      <c r="C156" s="37" t="s">
        <v>7035</v>
      </c>
      <c r="D156" s="38" t="n">
        <v>302</v>
      </c>
      <c r="E156" s="38" t="s">
        <v>7036</v>
      </c>
      <c r="F156" s="39" t="s">
        <v>7037</v>
      </c>
      <c r="G156" s="51"/>
    </row>
    <row r="157" customFormat="false" ht="15" hidden="false" customHeight="false" outlineLevel="0" collapsed="false">
      <c r="A157" s="39" t="s">
        <v>7134</v>
      </c>
      <c r="B157" s="38" t="n">
        <v>200</v>
      </c>
      <c r="C157" s="37" t="s">
        <v>7035</v>
      </c>
      <c r="D157" s="38" t="n">
        <v>302</v>
      </c>
      <c r="E157" s="38" t="s">
        <v>7036</v>
      </c>
      <c r="F157" s="39" t="s">
        <v>7037</v>
      </c>
      <c r="G157" s="51"/>
    </row>
    <row r="158" customFormat="false" ht="15" hidden="false" customHeight="false" outlineLevel="0" collapsed="false">
      <c r="A158" s="39" t="s">
        <v>7135</v>
      </c>
      <c r="B158" s="38" t="n">
        <v>200</v>
      </c>
      <c r="C158" s="37" t="s">
        <v>7035</v>
      </c>
      <c r="D158" s="38" t="n">
        <v>302</v>
      </c>
      <c r="E158" s="38" t="s">
        <v>7036</v>
      </c>
      <c r="F158" s="39" t="s">
        <v>7037</v>
      </c>
      <c r="G158" s="51"/>
    </row>
    <row r="159" customFormat="false" ht="15" hidden="false" customHeight="false" outlineLevel="0" collapsed="false">
      <c r="A159" s="39" t="s">
        <v>6946</v>
      </c>
      <c r="B159" s="38" t="n">
        <v>200</v>
      </c>
      <c r="C159" s="37" t="s">
        <v>7035</v>
      </c>
      <c r="D159" s="38" t="n">
        <v>302</v>
      </c>
      <c r="E159" s="38" t="s">
        <v>7036</v>
      </c>
      <c r="F159" s="39" t="s">
        <v>7037</v>
      </c>
      <c r="G159" s="51"/>
    </row>
    <row r="160" customFormat="false" ht="15" hidden="false" customHeight="false" outlineLevel="0" collapsed="false">
      <c r="A160" s="39" t="s">
        <v>7136</v>
      </c>
      <c r="B160" s="38" t="n">
        <v>200</v>
      </c>
      <c r="C160" s="37" t="s">
        <v>7035</v>
      </c>
      <c r="D160" s="38" t="n">
        <v>302</v>
      </c>
      <c r="E160" s="38" t="s">
        <v>7036</v>
      </c>
      <c r="F160" s="39" t="s">
        <v>7037</v>
      </c>
      <c r="G160" s="51"/>
    </row>
    <row r="161" customFormat="false" ht="15" hidden="false" customHeight="false" outlineLevel="0" collapsed="false">
      <c r="A161" s="39" t="s">
        <v>7137</v>
      </c>
      <c r="B161" s="38" t="n">
        <v>200</v>
      </c>
      <c r="C161" s="37" t="s">
        <v>7035</v>
      </c>
      <c r="D161" s="38" t="n">
        <v>302</v>
      </c>
      <c r="E161" s="38" t="s">
        <v>7036</v>
      </c>
      <c r="F161" s="39" t="s">
        <v>7037</v>
      </c>
      <c r="G161" s="51"/>
    </row>
    <row r="162" customFormat="false" ht="15" hidden="false" customHeight="false" outlineLevel="0" collapsed="false">
      <c r="A162" s="39" t="s">
        <v>6948</v>
      </c>
      <c r="B162" s="38" t="n">
        <v>200</v>
      </c>
      <c r="C162" s="37" t="s">
        <v>7035</v>
      </c>
      <c r="D162" s="38" t="n">
        <v>302</v>
      </c>
      <c r="E162" s="38" t="s">
        <v>7036</v>
      </c>
      <c r="F162" s="39" t="s">
        <v>7037</v>
      </c>
      <c r="G162" s="51"/>
    </row>
    <row r="163" customFormat="false" ht="15" hidden="false" customHeight="false" outlineLevel="0" collapsed="false">
      <c r="A163" s="39" t="s">
        <v>6954</v>
      </c>
      <c r="B163" s="38" t="n">
        <v>200</v>
      </c>
      <c r="C163" s="37" t="s">
        <v>7035</v>
      </c>
      <c r="D163" s="38" t="n">
        <v>302</v>
      </c>
      <c r="E163" s="38" t="s">
        <v>7036</v>
      </c>
      <c r="F163" s="39" t="s">
        <v>7037</v>
      </c>
      <c r="G163" s="51"/>
    </row>
    <row r="164" customFormat="false" ht="15" hidden="false" customHeight="false" outlineLevel="0" collapsed="false">
      <c r="A164" s="39" t="s">
        <v>7138</v>
      </c>
      <c r="B164" s="38" t="n">
        <v>200</v>
      </c>
      <c r="C164" s="37" t="s">
        <v>7035</v>
      </c>
      <c r="D164" s="38" t="n">
        <v>302</v>
      </c>
      <c r="E164" s="38" t="s">
        <v>7036</v>
      </c>
      <c r="F164" s="39" t="s">
        <v>7037</v>
      </c>
      <c r="G164" s="51"/>
    </row>
    <row r="165" customFormat="false" ht="15" hidden="false" customHeight="false" outlineLevel="0" collapsed="false">
      <c r="A165" s="39" t="s">
        <v>6998</v>
      </c>
      <c r="B165" s="38" t="n">
        <v>200</v>
      </c>
      <c r="C165" s="37" t="s">
        <v>7035</v>
      </c>
      <c r="D165" s="38" t="n">
        <v>302</v>
      </c>
      <c r="E165" s="38" t="s">
        <v>7036</v>
      </c>
      <c r="F165" s="39" t="s">
        <v>7037</v>
      </c>
      <c r="G165" s="51"/>
    </row>
    <row r="166" customFormat="false" ht="15" hidden="false" customHeight="false" outlineLevel="0" collapsed="false">
      <c r="A166" s="39" t="s">
        <v>7139</v>
      </c>
      <c r="B166" s="38" t="n">
        <v>200</v>
      </c>
      <c r="C166" s="37" t="s">
        <v>7035</v>
      </c>
      <c r="D166" s="38" t="n">
        <v>302</v>
      </c>
      <c r="E166" s="38" t="s">
        <v>7036</v>
      </c>
      <c r="F166" s="39" t="s">
        <v>7037</v>
      </c>
      <c r="G166" s="51"/>
    </row>
    <row r="167" customFormat="false" ht="15" hidden="false" customHeight="false" outlineLevel="0" collapsed="false">
      <c r="A167" s="39" t="s">
        <v>6964</v>
      </c>
      <c r="B167" s="38" t="n">
        <v>200</v>
      </c>
      <c r="C167" s="37" t="s">
        <v>7035</v>
      </c>
      <c r="D167" s="38" t="n">
        <v>302</v>
      </c>
      <c r="E167" s="38" t="s">
        <v>7036</v>
      </c>
      <c r="F167" s="39" t="s">
        <v>7037</v>
      </c>
      <c r="G167" s="51"/>
    </row>
    <row r="168" customFormat="false" ht="15" hidden="false" customHeight="false" outlineLevel="0" collapsed="false">
      <c r="A168" s="39" t="s">
        <v>7140</v>
      </c>
      <c r="B168" s="38" t="n">
        <v>200</v>
      </c>
      <c r="C168" s="37" t="s">
        <v>7035</v>
      </c>
      <c r="D168" s="38" t="n">
        <v>302</v>
      </c>
      <c r="E168" s="38" t="s">
        <v>7036</v>
      </c>
      <c r="F168" s="39" t="s">
        <v>7037</v>
      </c>
      <c r="G168" s="51"/>
    </row>
    <row r="169" customFormat="false" ht="15" hidden="false" customHeight="false" outlineLevel="0" collapsed="false">
      <c r="A169" s="39" t="s">
        <v>6886</v>
      </c>
      <c r="B169" s="38" t="n">
        <v>200</v>
      </c>
      <c r="C169" s="37" t="s">
        <v>7035</v>
      </c>
      <c r="D169" s="38" t="n">
        <v>302</v>
      </c>
      <c r="E169" s="38" t="s">
        <v>7036</v>
      </c>
      <c r="F169" s="39" t="s">
        <v>7037</v>
      </c>
      <c r="G169" s="51"/>
    </row>
    <row r="170" customFormat="false" ht="15" hidden="false" customHeight="false" outlineLevel="0" collapsed="false">
      <c r="A170" s="39" t="s">
        <v>6922</v>
      </c>
      <c r="B170" s="38" t="n">
        <v>200</v>
      </c>
      <c r="C170" s="37" t="s">
        <v>7035</v>
      </c>
      <c r="D170" s="38" t="n">
        <v>302</v>
      </c>
      <c r="E170" s="38" t="s">
        <v>7036</v>
      </c>
      <c r="F170" s="39" t="s">
        <v>7037</v>
      </c>
      <c r="G170" s="51"/>
    </row>
    <row r="171" customFormat="false" ht="15" hidden="false" customHeight="false" outlineLevel="0" collapsed="false">
      <c r="A171" s="39" t="s">
        <v>7141</v>
      </c>
      <c r="B171" s="38" t="n">
        <v>200</v>
      </c>
      <c r="C171" s="37" t="s">
        <v>7035</v>
      </c>
      <c r="D171" s="38" t="n">
        <v>302</v>
      </c>
      <c r="E171" s="38" t="s">
        <v>7036</v>
      </c>
      <c r="F171" s="39" t="s">
        <v>7037</v>
      </c>
      <c r="G171" s="51"/>
    </row>
    <row r="172" customFormat="false" ht="15" hidden="false" customHeight="false" outlineLevel="0" collapsed="false">
      <c r="A172" s="39" t="s">
        <v>7026</v>
      </c>
      <c r="B172" s="38" t="n">
        <v>200</v>
      </c>
      <c r="C172" s="37" t="s">
        <v>7035</v>
      </c>
      <c r="D172" s="38" t="n">
        <v>302</v>
      </c>
      <c r="E172" s="38" t="s">
        <v>7036</v>
      </c>
      <c r="F172" s="39" t="s">
        <v>7037</v>
      </c>
      <c r="G172" s="51"/>
    </row>
    <row r="173" customFormat="false" ht="15" hidden="false" customHeight="false" outlineLevel="0" collapsed="false">
      <c r="A173" s="39" t="s">
        <v>6912</v>
      </c>
      <c r="B173" s="38" t="n">
        <v>200</v>
      </c>
      <c r="C173" s="37" t="s">
        <v>7035</v>
      </c>
      <c r="D173" s="38" t="n">
        <v>302</v>
      </c>
      <c r="E173" s="38" t="s">
        <v>7036</v>
      </c>
      <c r="F173" s="39" t="s">
        <v>7037</v>
      </c>
      <c r="G173" s="51"/>
    </row>
    <row r="174" customFormat="false" ht="15" hidden="false" customHeight="false" outlineLevel="0" collapsed="false">
      <c r="A174" s="39" t="s">
        <v>7022</v>
      </c>
      <c r="B174" s="38" t="n">
        <v>200</v>
      </c>
      <c r="C174" s="37" t="s">
        <v>7035</v>
      </c>
      <c r="D174" s="38" t="n">
        <v>302</v>
      </c>
      <c r="E174" s="38" t="s">
        <v>7036</v>
      </c>
      <c r="F174" s="39" t="s">
        <v>7037</v>
      </c>
      <c r="G174" s="51"/>
    </row>
    <row r="175" customFormat="false" ht="15" hidden="false" customHeight="false" outlineLevel="0" collapsed="false">
      <c r="A175" s="39" t="s">
        <v>7142</v>
      </c>
      <c r="B175" s="38" t="n">
        <v>200</v>
      </c>
      <c r="C175" s="37" t="s">
        <v>7035</v>
      </c>
      <c r="D175" s="38" t="n">
        <v>302</v>
      </c>
      <c r="E175" s="38" t="s">
        <v>7036</v>
      </c>
      <c r="F175" s="39" t="s">
        <v>7037</v>
      </c>
      <c r="G175" s="51"/>
    </row>
    <row r="176" customFormat="false" ht="15" hidden="false" customHeight="false" outlineLevel="0" collapsed="false">
      <c r="A176" s="39" t="s">
        <v>7143</v>
      </c>
      <c r="B176" s="38" t="n">
        <v>200</v>
      </c>
      <c r="C176" s="37" t="s">
        <v>7035</v>
      </c>
      <c r="D176" s="38" t="n">
        <v>302</v>
      </c>
      <c r="E176" s="38" t="s">
        <v>7036</v>
      </c>
      <c r="F176" s="39" t="s">
        <v>7037</v>
      </c>
      <c r="G176" s="51"/>
    </row>
    <row r="177" customFormat="false" ht="15" hidden="false" customHeight="false" outlineLevel="0" collapsed="false">
      <c r="A177" s="39" t="s">
        <v>7144</v>
      </c>
      <c r="B177" s="38" t="n">
        <v>200</v>
      </c>
      <c r="C177" s="37" t="s">
        <v>7035</v>
      </c>
      <c r="D177" s="38" t="n">
        <v>302</v>
      </c>
      <c r="E177" s="38" t="s">
        <v>7036</v>
      </c>
      <c r="F177" s="39" t="s">
        <v>7037</v>
      </c>
      <c r="G177" s="51"/>
    </row>
    <row r="178" customFormat="false" ht="15" hidden="false" customHeight="false" outlineLevel="0" collapsed="false">
      <c r="A178" s="39" t="s">
        <v>7145</v>
      </c>
      <c r="B178" s="38" t="n">
        <v>200</v>
      </c>
      <c r="C178" s="37" t="s">
        <v>7035</v>
      </c>
      <c r="D178" s="38" t="n">
        <v>302</v>
      </c>
      <c r="E178" s="38" t="s">
        <v>7036</v>
      </c>
      <c r="F178" s="39" t="s">
        <v>7037</v>
      </c>
      <c r="G178" s="51"/>
    </row>
    <row r="179" customFormat="false" ht="15" hidden="false" customHeight="false" outlineLevel="0" collapsed="false">
      <c r="A179" s="39" t="s">
        <v>6884</v>
      </c>
      <c r="B179" s="38" t="n">
        <v>200</v>
      </c>
      <c r="C179" s="37" t="s">
        <v>7035</v>
      </c>
      <c r="D179" s="38" t="n">
        <v>302</v>
      </c>
      <c r="E179" s="38" t="s">
        <v>7036</v>
      </c>
      <c r="F179" s="39" t="s">
        <v>7037</v>
      </c>
      <c r="G179" s="51"/>
    </row>
    <row r="180" customFormat="false" ht="15" hidden="false" customHeight="false" outlineLevel="0" collapsed="false">
      <c r="A180" s="39" t="s">
        <v>7146</v>
      </c>
      <c r="B180" s="38" t="n">
        <v>200</v>
      </c>
      <c r="C180" s="37" t="s">
        <v>7035</v>
      </c>
      <c r="D180" s="38" t="n">
        <v>302</v>
      </c>
      <c r="E180" s="38" t="s">
        <v>7036</v>
      </c>
      <c r="F180" s="39" t="s">
        <v>7037</v>
      </c>
      <c r="G180" s="51"/>
    </row>
    <row r="181" customFormat="false" ht="15" hidden="false" customHeight="false" outlineLevel="0" collapsed="false">
      <c r="A181" s="39" t="s">
        <v>7147</v>
      </c>
      <c r="B181" s="38" t="n">
        <v>200</v>
      </c>
      <c r="C181" s="37" t="s">
        <v>7035</v>
      </c>
      <c r="D181" s="38" t="n">
        <v>302</v>
      </c>
      <c r="E181" s="38" t="s">
        <v>7036</v>
      </c>
      <c r="F181" s="39" t="s">
        <v>7037</v>
      </c>
      <c r="G181" s="51"/>
    </row>
    <row r="182" customFormat="false" ht="15" hidden="false" customHeight="false" outlineLevel="0" collapsed="false">
      <c r="A182" s="39" t="s">
        <v>6934</v>
      </c>
      <c r="B182" s="38" t="n">
        <v>200</v>
      </c>
      <c r="C182" s="37" t="s">
        <v>7035</v>
      </c>
      <c r="D182" s="38" t="n">
        <v>302</v>
      </c>
      <c r="E182" s="38" t="s">
        <v>7036</v>
      </c>
      <c r="F182" s="39" t="s">
        <v>7037</v>
      </c>
      <c r="G182" s="51"/>
    </row>
    <row r="183" customFormat="false" ht="15" hidden="false" customHeight="false" outlineLevel="0" collapsed="false">
      <c r="A183" s="39" t="s">
        <v>7148</v>
      </c>
      <c r="B183" s="38" t="n">
        <v>200</v>
      </c>
      <c r="C183" s="37" t="s">
        <v>7035</v>
      </c>
      <c r="D183" s="38" t="n">
        <v>302</v>
      </c>
      <c r="E183" s="38" t="s">
        <v>7036</v>
      </c>
      <c r="F183" s="39" t="s">
        <v>7037</v>
      </c>
      <c r="G183" s="51"/>
    </row>
    <row r="184" customFormat="false" ht="15" hidden="false" customHeight="false" outlineLevel="0" collapsed="false">
      <c r="A184" s="39" t="s">
        <v>7149</v>
      </c>
      <c r="B184" s="38" t="n">
        <v>200</v>
      </c>
      <c r="C184" s="37" t="s">
        <v>7035</v>
      </c>
      <c r="D184" s="38" t="n">
        <v>302</v>
      </c>
      <c r="E184" s="38" t="s">
        <v>7036</v>
      </c>
      <c r="F184" s="39" t="s">
        <v>7037</v>
      </c>
      <c r="G184" s="51"/>
    </row>
    <row r="185" customFormat="false" ht="15" hidden="false" customHeight="false" outlineLevel="0" collapsed="false">
      <c r="A185" s="39" t="s">
        <v>6930</v>
      </c>
      <c r="B185" s="38" t="n">
        <v>200</v>
      </c>
      <c r="C185" s="37" t="s">
        <v>7035</v>
      </c>
      <c r="D185" s="38" t="n">
        <v>302</v>
      </c>
      <c r="E185" s="38" t="s">
        <v>7036</v>
      </c>
      <c r="F185" s="39" t="s">
        <v>7037</v>
      </c>
      <c r="G185" s="51"/>
    </row>
    <row r="186" customFormat="false" ht="15" hidden="false" customHeight="false" outlineLevel="0" collapsed="false">
      <c r="A186" s="39" t="s">
        <v>7150</v>
      </c>
      <c r="B186" s="38" t="n">
        <v>200</v>
      </c>
      <c r="C186" s="37" t="s">
        <v>7035</v>
      </c>
      <c r="D186" s="38" t="n">
        <v>302</v>
      </c>
      <c r="E186" s="38" t="s">
        <v>7036</v>
      </c>
      <c r="F186" s="39" t="s">
        <v>7037</v>
      </c>
      <c r="G186" s="51"/>
    </row>
    <row r="187" customFormat="false" ht="15" hidden="false" customHeight="false" outlineLevel="0" collapsed="false">
      <c r="A187" s="39" t="s">
        <v>7151</v>
      </c>
      <c r="B187" s="38" t="n">
        <v>200</v>
      </c>
      <c r="C187" s="37" t="s">
        <v>7035</v>
      </c>
      <c r="D187" s="38" t="n">
        <v>302</v>
      </c>
      <c r="E187" s="38" t="s">
        <v>7036</v>
      </c>
      <c r="F187" s="39" t="s">
        <v>7037</v>
      </c>
      <c r="G187" s="51"/>
    </row>
    <row r="188" customFormat="false" ht="15" hidden="false" customHeight="false" outlineLevel="0" collapsed="false">
      <c r="A188" s="39" t="s">
        <v>7152</v>
      </c>
      <c r="B188" s="38" t="n">
        <v>200</v>
      </c>
      <c r="C188" s="37" t="s">
        <v>7035</v>
      </c>
      <c r="D188" s="38" t="n">
        <v>302</v>
      </c>
      <c r="E188" s="38" t="s">
        <v>7036</v>
      </c>
      <c r="F188" s="39" t="s">
        <v>7037</v>
      </c>
      <c r="G188" s="51"/>
    </row>
    <row r="189" customFormat="false" ht="15" hidden="false" customHeight="false" outlineLevel="0" collapsed="false">
      <c r="A189" s="39" t="s">
        <v>6972</v>
      </c>
      <c r="B189" s="38" t="n">
        <v>200</v>
      </c>
      <c r="C189" s="37" t="s">
        <v>7035</v>
      </c>
      <c r="D189" s="38" t="n">
        <v>302</v>
      </c>
      <c r="E189" s="38" t="s">
        <v>7036</v>
      </c>
      <c r="F189" s="39" t="s">
        <v>7037</v>
      </c>
      <c r="G189" s="51"/>
    </row>
    <row r="190" customFormat="false" ht="15" hidden="false" customHeight="false" outlineLevel="0" collapsed="false">
      <c r="A190" s="39" t="s">
        <v>6918</v>
      </c>
      <c r="B190" s="38" t="n">
        <v>200</v>
      </c>
      <c r="C190" s="37" t="s">
        <v>7035</v>
      </c>
      <c r="D190" s="38" t="n">
        <v>302</v>
      </c>
      <c r="E190" s="38" t="s">
        <v>7036</v>
      </c>
      <c r="F190" s="39" t="s">
        <v>7037</v>
      </c>
      <c r="G190" s="51"/>
    </row>
    <row r="191" customFormat="false" ht="15" hidden="false" customHeight="false" outlineLevel="0" collapsed="false">
      <c r="A191" s="39" t="s">
        <v>7153</v>
      </c>
      <c r="B191" s="38" t="n">
        <v>200</v>
      </c>
      <c r="C191" s="37" t="s">
        <v>7035</v>
      </c>
      <c r="D191" s="38" t="n">
        <v>302</v>
      </c>
      <c r="E191" s="38" t="s">
        <v>7036</v>
      </c>
      <c r="F191" s="39" t="s">
        <v>7037</v>
      </c>
      <c r="G191" s="51"/>
    </row>
    <row r="192" customFormat="false" ht="15" hidden="false" customHeight="false" outlineLevel="0" collapsed="false">
      <c r="A192" s="39" t="s">
        <v>7154</v>
      </c>
      <c r="B192" s="38" t="n">
        <v>200</v>
      </c>
      <c r="C192" s="37" t="s">
        <v>7035</v>
      </c>
      <c r="D192" s="38" t="n">
        <v>302</v>
      </c>
      <c r="E192" s="38" t="s">
        <v>7036</v>
      </c>
      <c r="F192" s="39" t="s">
        <v>7037</v>
      </c>
      <c r="G192" s="51"/>
    </row>
    <row r="193" customFormat="false" ht="15" hidden="false" customHeight="false" outlineLevel="0" collapsed="false">
      <c r="A193" s="39" t="s">
        <v>7155</v>
      </c>
      <c r="B193" s="38" t="n">
        <v>200</v>
      </c>
      <c r="C193" s="37" t="s">
        <v>7035</v>
      </c>
      <c r="D193" s="38" t="n">
        <v>302</v>
      </c>
      <c r="E193" s="38" t="s">
        <v>7036</v>
      </c>
      <c r="F193" s="39" t="s">
        <v>7037</v>
      </c>
      <c r="G193" s="51"/>
    </row>
    <row r="194" customFormat="false" ht="15" hidden="false" customHeight="false" outlineLevel="0" collapsed="false">
      <c r="A194" s="39" t="s">
        <v>7028</v>
      </c>
      <c r="B194" s="38" t="n">
        <v>200</v>
      </c>
      <c r="C194" s="37" t="s">
        <v>7035</v>
      </c>
      <c r="D194" s="38" t="n">
        <v>302</v>
      </c>
      <c r="E194" s="38" t="s">
        <v>7036</v>
      </c>
      <c r="F194" s="39" t="s">
        <v>7037</v>
      </c>
      <c r="G194" s="51"/>
    </row>
    <row r="195" customFormat="false" ht="15" hidden="false" customHeight="false" outlineLevel="0" collapsed="false">
      <c r="A195" s="39" t="s">
        <v>6874</v>
      </c>
      <c r="B195" s="38" t="n">
        <v>200</v>
      </c>
      <c r="C195" s="37" t="s">
        <v>7035</v>
      </c>
      <c r="D195" s="38" t="n">
        <v>302</v>
      </c>
      <c r="E195" s="38" t="s">
        <v>7036</v>
      </c>
      <c r="F195" s="39" t="s">
        <v>7037</v>
      </c>
      <c r="G195" s="51"/>
    </row>
    <row r="196" customFormat="false" ht="15" hidden="false" customHeight="false" outlineLevel="0" collapsed="false">
      <c r="A196" s="39" t="s">
        <v>7030</v>
      </c>
      <c r="B196" s="38" t="n">
        <v>200</v>
      </c>
      <c r="C196" s="37" t="s">
        <v>7035</v>
      </c>
      <c r="D196" s="38" t="n">
        <v>302</v>
      </c>
      <c r="E196" s="38" t="s">
        <v>7036</v>
      </c>
      <c r="F196" s="39" t="s">
        <v>7037</v>
      </c>
      <c r="G196" s="51"/>
    </row>
    <row r="197" customFormat="false" ht="15" hidden="false" customHeight="false" outlineLevel="0" collapsed="false">
      <c r="A197" s="39" t="s">
        <v>7156</v>
      </c>
      <c r="B197" s="38" t="n">
        <v>200</v>
      </c>
      <c r="C197" s="37" t="s">
        <v>7035</v>
      </c>
      <c r="D197" s="38" t="n">
        <v>302</v>
      </c>
      <c r="E197" s="38" t="s">
        <v>7036</v>
      </c>
      <c r="F197" s="39" t="s">
        <v>7037</v>
      </c>
      <c r="G197" s="51"/>
    </row>
    <row r="198" customFormat="false" ht="15" hidden="false" customHeight="false" outlineLevel="0" collapsed="false">
      <c r="A198" s="39" t="s">
        <v>7157</v>
      </c>
      <c r="B198" s="38" t="n">
        <v>200</v>
      </c>
      <c r="C198" s="37" t="s">
        <v>7035</v>
      </c>
      <c r="D198" s="38" t="n">
        <v>302</v>
      </c>
      <c r="E198" s="38" t="s">
        <v>7036</v>
      </c>
      <c r="F198" s="39" t="s">
        <v>7037</v>
      </c>
      <c r="G198" s="51"/>
    </row>
    <row r="199" customFormat="false" ht="15" hidden="false" customHeight="false" outlineLevel="0" collapsed="false">
      <c r="A199" s="39" t="s">
        <v>7158</v>
      </c>
      <c r="B199" s="38" t="n">
        <v>200</v>
      </c>
      <c r="C199" s="37" t="s">
        <v>7035</v>
      </c>
      <c r="D199" s="38" t="n">
        <v>302</v>
      </c>
      <c r="E199" s="38" t="s">
        <v>7036</v>
      </c>
      <c r="F199" s="39" t="s">
        <v>7037</v>
      </c>
      <c r="G199" s="51"/>
    </row>
    <row r="200" customFormat="false" ht="15" hidden="false" customHeight="false" outlineLevel="0" collapsed="false">
      <c r="A200" s="39" t="s">
        <v>7159</v>
      </c>
      <c r="B200" s="38" t="n">
        <v>200</v>
      </c>
      <c r="C200" s="37" t="s">
        <v>7035</v>
      </c>
      <c r="D200" s="38" t="n">
        <v>302</v>
      </c>
      <c r="E200" s="38" t="s">
        <v>7036</v>
      </c>
      <c r="F200" s="39" t="s">
        <v>7037</v>
      </c>
      <c r="G200" s="51"/>
    </row>
    <row r="201" customFormat="false" ht="15" hidden="false" customHeight="false" outlineLevel="0" collapsed="false">
      <c r="A201" s="39" t="s">
        <v>6888</v>
      </c>
      <c r="B201" s="38" t="n">
        <v>200</v>
      </c>
      <c r="C201" s="37" t="s">
        <v>7035</v>
      </c>
      <c r="D201" s="38" t="n">
        <v>302</v>
      </c>
      <c r="E201" s="38" t="s">
        <v>7036</v>
      </c>
      <c r="F201" s="39" t="s">
        <v>7037</v>
      </c>
      <c r="G201" s="51"/>
    </row>
    <row r="202" customFormat="false" ht="15" hidden="false" customHeight="false" outlineLevel="0" collapsed="false">
      <c r="A202" s="39" t="s">
        <v>7004</v>
      </c>
      <c r="B202" s="38" t="n">
        <v>200</v>
      </c>
      <c r="C202" s="37" t="s">
        <v>7035</v>
      </c>
      <c r="D202" s="38" t="n">
        <v>302</v>
      </c>
      <c r="E202" s="38" t="s">
        <v>7036</v>
      </c>
      <c r="F202" s="39" t="s">
        <v>7037</v>
      </c>
      <c r="G202" s="51"/>
    </row>
    <row r="203" customFormat="false" ht="15" hidden="false" customHeight="false" outlineLevel="0" collapsed="false">
      <c r="A203" s="39" t="s">
        <v>7160</v>
      </c>
      <c r="B203" s="38" t="n">
        <v>200</v>
      </c>
      <c r="C203" s="37" t="s">
        <v>7035</v>
      </c>
      <c r="D203" s="38" t="n">
        <v>302</v>
      </c>
      <c r="E203" s="38" t="s">
        <v>7036</v>
      </c>
      <c r="F203" s="39" t="s">
        <v>7037</v>
      </c>
      <c r="G203" s="51"/>
    </row>
    <row r="204" customFormat="false" ht="15" hidden="false" customHeight="false" outlineLevel="0" collapsed="false">
      <c r="A204" s="39" t="s">
        <v>6924</v>
      </c>
      <c r="B204" s="38" t="n">
        <v>200</v>
      </c>
      <c r="C204" s="37" t="s">
        <v>7035</v>
      </c>
      <c r="D204" s="38" t="n">
        <v>302</v>
      </c>
      <c r="E204" s="38" t="s">
        <v>7036</v>
      </c>
      <c r="F204" s="39" t="s">
        <v>7037</v>
      </c>
      <c r="G204" s="51"/>
    </row>
    <row r="205" customFormat="false" ht="15" hidden="false" customHeight="false" outlineLevel="0" collapsed="false">
      <c r="A205" s="39" t="s">
        <v>6926</v>
      </c>
      <c r="B205" s="38" t="n">
        <v>200</v>
      </c>
      <c r="C205" s="37" t="s">
        <v>7035</v>
      </c>
      <c r="D205" s="38" t="n">
        <v>302</v>
      </c>
      <c r="E205" s="38" t="s">
        <v>7036</v>
      </c>
      <c r="F205" s="39" t="s">
        <v>7037</v>
      </c>
      <c r="G205" s="51"/>
    </row>
    <row r="206" customFormat="false" ht="15" hidden="false" customHeight="false" outlineLevel="0" collapsed="false">
      <c r="A206" s="39" t="s">
        <v>6958</v>
      </c>
      <c r="B206" s="38" t="n">
        <v>200</v>
      </c>
      <c r="C206" s="37" t="s">
        <v>7035</v>
      </c>
      <c r="D206" s="38" t="n">
        <v>302</v>
      </c>
      <c r="E206" s="38" t="s">
        <v>7036</v>
      </c>
      <c r="F206" s="39" t="s">
        <v>7037</v>
      </c>
      <c r="G206" s="51"/>
    </row>
    <row r="207" customFormat="false" ht="15" hidden="false" customHeight="false" outlineLevel="0" collapsed="false">
      <c r="A207" s="39" t="s">
        <v>7161</v>
      </c>
      <c r="B207" s="38" t="n">
        <v>200</v>
      </c>
      <c r="C207" s="37" t="s">
        <v>7035</v>
      </c>
      <c r="D207" s="38" t="n">
        <v>302</v>
      </c>
      <c r="E207" s="38" t="s">
        <v>7036</v>
      </c>
      <c r="F207" s="39" t="s">
        <v>7037</v>
      </c>
      <c r="G207" s="51"/>
    </row>
    <row r="208" customFormat="false" ht="15" hidden="false" customHeight="false" outlineLevel="0" collapsed="false">
      <c r="A208" s="39" t="s">
        <v>7162</v>
      </c>
      <c r="B208" s="38" t="n">
        <v>200</v>
      </c>
      <c r="C208" s="37" t="s">
        <v>7035</v>
      </c>
      <c r="D208" s="38" t="n">
        <v>302</v>
      </c>
      <c r="E208" s="38" t="s">
        <v>7036</v>
      </c>
      <c r="F208" s="39" t="s">
        <v>7037</v>
      </c>
      <c r="G208" s="51"/>
    </row>
    <row r="209" customFormat="false" ht="15" hidden="false" customHeight="false" outlineLevel="0" collapsed="false">
      <c r="A209" s="39" t="s">
        <v>6990</v>
      </c>
      <c r="B209" s="38" t="n">
        <v>200</v>
      </c>
      <c r="C209" s="37" t="s">
        <v>7035</v>
      </c>
      <c r="D209" s="38" t="n">
        <v>302</v>
      </c>
      <c r="E209" s="38" t="s">
        <v>7036</v>
      </c>
      <c r="F209" s="39" t="s">
        <v>7037</v>
      </c>
      <c r="G209" s="51"/>
    </row>
    <row r="210" customFormat="false" ht="15" hidden="false" customHeight="false" outlineLevel="0" collapsed="false">
      <c r="A210" s="39" t="s">
        <v>6986</v>
      </c>
      <c r="B210" s="38" t="n">
        <v>200</v>
      </c>
      <c r="C210" s="37" t="s">
        <v>7035</v>
      </c>
      <c r="D210" s="38" t="n">
        <v>302</v>
      </c>
      <c r="E210" s="38" t="s">
        <v>7036</v>
      </c>
      <c r="F210" s="39" t="s">
        <v>7037</v>
      </c>
      <c r="G210" s="51"/>
    </row>
    <row r="211" customFormat="false" ht="15" hidden="false" customHeight="false" outlineLevel="0" collapsed="false">
      <c r="A211" s="39" t="s">
        <v>6920</v>
      </c>
      <c r="B211" s="38" t="n">
        <v>200</v>
      </c>
      <c r="C211" s="37" t="s">
        <v>7035</v>
      </c>
      <c r="D211" s="38" t="n">
        <v>302</v>
      </c>
      <c r="E211" s="38" t="s">
        <v>7036</v>
      </c>
      <c r="F211" s="39" t="s">
        <v>7037</v>
      </c>
      <c r="G211" s="51"/>
    </row>
    <row r="212" customFormat="false" ht="15" hidden="false" customHeight="false" outlineLevel="0" collapsed="false">
      <c r="A212" s="39" t="s">
        <v>7163</v>
      </c>
      <c r="B212" s="38" t="n">
        <v>200</v>
      </c>
      <c r="C212" s="37" t="s">
        <v>7035</v>
      </c>
      <c r="D212" s="38" t="n">
        <v>302</v>
      </c>
      <c r="E212" s="38" t="s">
        <v>7036</v>
      </c>
      <c r="F212" s="39" t="s">
        <v>7037</v>
      </c>
      <c r="G212" s="51"/>
    </row>
    <row r="213" customFormat="false" ht="15" hidden="false" customHeight="false" outlineLevel="0" collapsed="false">
      <c r="A213" s="39" t="s">
        <v>7164</v>
      </c>
      <c r="B213" s="38" t="n">
        <v>200</v>
      </c>
      <c r="C213" s="37" t="s">
        <v>7035</v>
      </c>
      <c r="D213" s="38" t="n">
        <v>302</v>
      </c>
      <c r="E213" s="38" t="s">
        <v>7036</v>
      </c>
      <c r="F213" s="39" t="s">
        <v>7037</v>
      </c>
      <c r="G213" s="51"/>
    </row>
    <row r="214" customFormat="false" ht="15" hidden="false" customHeight="false" outlineLevel="0" collapsed="false">
      <c r="A214" s="39" t="s">
        <v>7165</v>
      </c>
      <c r="B214" s="38" t="n">
        <v>200</v>
      </c>
      <c r="C214" s="37" t="s">
        <v>7035</v>
      </c>
      <c r="D214" s="38" t="n">
        <v>302</v>
      </c>
      <c r="E214" s="38" t="s">
        <v>7036</v>
      </c>
      <c r="F214" s="39" t="s">
        <v>7037</v>
      </c>
      <c r="G214" s="51"/>
    </row>
    <row r="215" customFormat="false" ht="15" hidden="false" customHeight="false" outlineLevel="0" collapsed="false">
      <c r="A215" s="39" t="s">
        <v>7166</v>
      </c>
      <c r="B215" s="38" t="n">
        <v>200</v>
      </c>
      <c r="C215" s="37" t="s">
        <v>7035</v>
      </c>
      <c r="D215" s="38" t="n">
        <v>302</v>
      </c>
      <c r="E215" s="38" t="s">
        <v>7036</v>
      </c>
      <c r="F215" s="39" t="s">
        <v>7037</v>
      </c>
      <c r="G215" s="51"/>
    </row>
  </sheetData>
  <mergeCells count="1">
    <mergeCell ref="A4:G4"/>
  </mergeCells>
  <hyperlinks>
    <hyperlink ref="A6" r:id="rId1" display="https://striking-viking.com/products/striking-viking-beard-filler-pen-2-pack-waterproof-beard-pen-for-filling-gaps-covering-patches"/>
    <hyperlink ref="C6" r:id="rId2" display="https://striking-viking.com/customer_authentication/redirect?locale=en&amp;region_country=US"/>
    <hyperlink ref="F6" r:id="rId3" display="https://account.striking-viking.com/?buyer_flags=eyJhbGciOiJIUzI1NiJ9.eyJpc3MiOiJzdHJpa2luZy12aWtpbmcubXlzaG9waWZ5LmNvbSIsImZsYWdzIjpbXSwiZXhwIjoxNzkxMzU0NjI4LCJuYmYiOjE3OTA3NDk4Mjh9.W_JgIDP8DFSrhQ1ojmPBXziPlPpbfbt33v3WuNh9GNc&amp;locale=en&amp;region_country=US"/>
    <hyperlink ref="A7" r:id="rId4" display="https://striking-viking.com/blogs/learn/combs-vs-brushes-the-beard-war-and-why-you-might-want-both"/>
    <hyperlink ref="C7" r:id="rId5" display="https://striking-viking.com/customer_authentication/redirect?locale=en&amp;region_country=US"/>
    <hyperlink ref="F7" r:id="rId6" display="https://account.striking-viking.com/?buyer_flags=eyJhbGciOiJIUzI1NiJ9.eyJpc3MiOiJzdHJpa2luZy12aWtpbmcubXlzaG9waWZ5LmNvbSIsImZsYWdzIjpbXSwiZXhwIjoxNzkxMzU0NjI4LCJuYmYiOjE3OTA3NDk4Mjh9.W_JgIDP8DFSrhQ1ojmPBXziPlPpbfbt33v3WuNh9GNc&amp;locale=en&amp;region_country=US"/>
    <hyperlink ref="A8" r:id="rId7" display="https://striking-viking.com/products/beard-growth-balm-with-biotin-2-oz-blue-ocean"/>
    <hyperlink ref="C8" r:id="rId8" display="https://striking-viking.com/customer_authentication/redirect?locale=en&amp;region_country=US"/>
    <hyperlink ref="F8" r:id="rId9" display="https://account.striking-viking.com/?buyer_flags=eyJhbGciOiJIUzI1NiJ9.eyJpc3MiOiJzdHJpa2luZy12aWtpbmcubXlzaG9waWZ5LmNvbSIsImZsYWdzIjpbXSwiZXhwIjoxNzkxMzU0NjI4LCJuYmYiOjE3OTA3NDk4Mjh9.W_JgIDP8DFSrhQ1ojmPBXziPlPpbfbt33v3WuNh9GNc&amp;locale=en&amp;region_country=US"/>
    <hyperlink ref="A9" r:id="rId10" display="https://striking-viking.com/products/striking-viking-bergamot-thunder-beard-oil-for-men-natural-beard-growth-oil-with-argan-jojoba"/>
    <hyperlink ref="C9" r:id="rId11" display="https://striking-viking.com/customer_authentication/redirect?locale=en&amp;region_country=US"/>
    <hyperlink ref="F9" r:id="rId12" display="https://account.striking-viking.com/?buyer_flags=eyJhbGciOiJIUzI1NiJ9.eyJpc3MiOiJzdHJpa2luZy12aWtpbmcubXlzaG9waWZ5LmNvbSIsImZsYWdzIjpbXSwiZXhwIjoxNzkxMzU0NjI4LCJuYmYiOjE3OTA3NDk4Mjh9.W_JgIDP8DFSrhQ1ojmPBXziPlPpbfbt33v3WuNh9GNc&amp;locale=en&amp;region_country=US"/>
    <hyperlink ref="A10" r:id="rId13" display="https://striking-viking.com/collections/bundles"/>
    <hyperlink ref="C10" r:id="rId14" display="https://striking-viking.com/customer_authentication/redirect?locale=en&amp;region_country=US"/>
    <hyperlink ref="F10" r:id="rId15" display="https://account.striking-viking.com/?buyer_flags=eyJhbGciOiJIUzI1NiJ9.eyJpc3MiOiJzdHJpa2luZy12aWtpbmcubXlzaG9waWZ5LmNvbSIsImZsYWdzIjpbXSwiZXhwIjoxNzkxMzU0NjI4LCJuYmYiOjE3OTA3NDk4Mjh9.W_JgIDP8DFSrhQ1ojmPBXziPlPpbfbt33v3WuNh9GNc&amp;locale=en&amp;region_country=US"/>
    <hyperlink ref="A11" r:id="rId16" display="https://striking-viking.com/products/striking-viking-beard-filler-pen-2-pack-dual-tip-waterproof-beard-pen-for-natural-beard-filling"/>
    <hyperlink ref="C11" r:id="rId17" display="https://striking-viking.com/customer_authentication/redirect?locale=en&amp;region_country=US"/>
    <hyperlink ref="F11" r:id="rId18" display="https://account.striking-viking.com/?buyer_flags=eyJhbGciOiJIUzI1NiJ9.eyJpc3MiOiJzdHJpa2luZy12aWtpbmcubXlzaG9waWZ5LmNvbSIsImZsYWdzIjpbXSwiZXhwIjoxNzkxMzU0NjI4LCJuYmYiOjE3OTA3NDk4Mjh9.W_JgIDP8DFSrhQ1ojmPBXziPlPpbfbt33v3WuNh9GNc&amp;locale=en&amp;region_country=US"/>
    <hyperlink ref="A12" r:id="rId19" display="https://striking-viking.com/blogs/learn/46928577-tips-to-protect-your-beard-from-the-cold"/>
    <hyperlink ref="C12" r:id="rId20" display="https://striking-viking.com/customer_authentication/redirect?locale=en&amp;region_country=US"/>
    <hyperlink ref="F12" r:id="rId21" display="https://account.striking-viking.com/?buyer_flags=eyJhbGciOiJIUzI1NiJ9.eyJpc3MiOiJzdHJpa2luZy12aWtpbmcubXlzaG9waWZ5LmNvbSIsImZsYWdzIjpbXSwiZXhwIjoxNzkxMzU0NjI4LCJuYmYiOjE3OTA3NDk4Mjh9.W_JgIDP8DFSrhQ1ojmPBXziPlPpbfbt33v3WuNh9GNc&amp;locale=en&amp;region_country=US"/>
    <hyperlink ref="A13" r:id="rId22" display="https://striking-viking.com/products/beard-butter-bergamot-thunder"/>
    <hyperlink ref="C13" r:id="rId23" display="https://striking-viking.com/customer_authentication/redirect?locale=en&amp;region_country=US"/>
    <hyperlink ref="F13" r:id="rId24" display="https://account.striking-viking.com/?buyer_flags=eyJhbGciOiJIUzI1NiJ9.eyJpc3MiOiJzdHJpa2luZy12aWtpbmcubXlzaG9waWZ5LmNvbSIsImZsYWdzIjpbXSwiZXhwIjoxNzkxMzU0NjI4LCJuYmYiOjE3OTA3NDk4Mjh9.W_JgIDP8DFSrhQ1ojmPBXziPlPpbfbt33v3WuNh9GNc&amp;locale=en&amp;region_country=US"/>
    <hyperlink ref="A14" r:id="rId25" display="https://striking-viking.com/products/striking-viking-matte-hair-pomade-for-men-linen-scent-water-based-medium-strong-hold"/>
    <hyperlink ref="C14" r:id="rId26" display="https://striking-viking.com/customer_authentication/redirect?locale=en&amp;region_country=US"/>
    <hyperlink ref="F14" r:id="rId27" display="https://account.striking-viking.com/?buyer_flags=eyJhbGciOiJIUzI1NiJ9.eyJpc3MiOiJzdHJpa2luZy12aWtpbmcubXlzaG9waWZ5LmNvbSIsImZsYWdzIjpbXSwiZXhwIjoxNzkxMzU0NjI4LCJuYmYiOjE3OTA3NDk4Mjh9.W_JgIDP8DFSrhQ1ojmPBXziPlPpbfbt33v3WuNh9GNc&amp;locale=en&amp;region_country=US"/>
    <hyperlink ref="A15" r:id="rId28" display="https://striking-viking.com/pages/spurit-invoices-cancelled"/>
    <hyperlink ref="C15" r:id="rId29" display="https://striking-viking.com/customer_authentication/redirect?locale=en&amp;region_country=US"/>
    <hyperlink ref="F15" r:id="rId30" display="https://account.striking-viking.com/?buyer_flags=eyJhbGciOiJIUzI1NiJ9.eyJpc3MiOiJzdHJpa2luZy12aWtpbmcubXlzaG9waWZ5LmNvbSIsImZsYWdzIjpbXSwiZXhwIjoxNzkxMzU0NjI4LCJuYmYiOjE3OTA3NDk4Mjh9.W_JgIDP8DFSrhQ1ojmPBXziPlPpbfbt33v3WuNh9GNc&amp;locale=en&amp;region_country=US"/>
    <hyperlink ref="A16" r:id="rId31" display="https://striking-viking.com/collections/face-body"/>
    <hyperlink ref="C16" r:id="rId32" display="https://striking-viking.com/customer_authentication/redirect?locale=en&amp;region_country=US"/>
    <hyperlink ref="F16" r:id="rId33" display="https://account.striking-viking.com/?buyer_flags=eyJhbGciOiJIUzI1NiJ9.eyJpc3MiOiJzdHJpa2luZy12aWtpbmcubXlzaG9waWZ5LmNvbSIsImZsYWdzIjpbXSwiZXhwIjoxNzkxMzU0NjI4LCJuYmYiOjE3OTA3NDk4Mjh9.W_JgIDP8DFSrhQ1ojmPBXziPlPpbfbt33v3WuNh9GNc&amp;locale=en&amp;region_country=US"/>
    <hyperlink ref="A17" r:id="rId34" display="https://striking-viking.com/products/striking-viking-folding-wooden-beard-comb-for-men-anti-static-sandalwood-grooming-comb"/>
    <hyperlink ref="C17" r:id="rId35" display="https://striking-viking.com/customer_authentication/redirect?locale=en&amp;region_country=US"/>
    <hyperlink ref="F17" r:id="rId36" display="https://account.striking-viking.com/?buyer_flags=eyJhbGciOiJIUzI1NiJ9.eyJpc3MiOiJzdHJpa2luZy12aWtpbmcubXlzaG9waWZ5LmNvbSIsImZsYWdzIjpbXSwiZXhwIjoxNzkxMzU0NjI4LCJuYmYiOjE3OTA3NDk4Mjh9.W_JgIDP8DFSrhQ1ojmPBXziPlPpbfbt33v3WuNh9GNc&amp;locale=en&amp;region_country=US"/>
    <hyperlink ref="A18" r:id="rId37" display="https://striking-viking.com/pages/free-moustache-beard-scissors"/>
    <hyperlink ref="C18" r:id="rId38" display="https://striking-viking.com/customer_authentication/redirect?locale=en&amp;region_country=US"/>
    <hyperlink ref="F18" r:id="rId39" display="https://account.striking-viking.com/?buyer_flags=eyJhbGciOiJIUzI1NiJ9.eyJpc3MiOiJzdHJpa2luZy12aWtpbmcubXlzaG9waWZ5LmNvbSIsImZsYWdzIjpbXSwiZXhwIjoxNzkxMzU0NjI4LCJuYmYiOjE3OTA3NDk4Mjh9.W_JgIDP8DFSrhQ1ojmPBXziPlPpbfbt33v3WuNh9GNc&amp;locale=en&amp;region_country=US"/>
    <hyperlink ref="A19" r:id="rId40" display="https://striking-viking.com/products/ontaki-curved-fabric-scissors-6-5-inch-german-stainless-steel-embroidery-scissors"/>
    <hyperlink ref="C19" r:id="rId41" display="https://striking-viking.com/customer_authentication/redirect?locale=en&amp;region_country=US"/>
    <hyperlink ref="F19" r:id="rId42" display="https://account.striking-viking.com/?buyer_flags=eyJhbGciOiJIUzI1NiJ9.eyJpc3MiOiJzdHJpa2luZy12aWtpbmcubXlzaG9waWZ5LmNvbSIsImZsYWdzIjpbXSwiZXhwIjoxNzkxMzU0NjI4LCJuYmYiOjE3OTA3NDk4Mjh9.W_JgIDP8DFSrhQ1ojmPBXziPlPpbfbt33v3WuNh9GNc&amp;locale=en&amp;region_country=US"/>
    <hyperlink ref="A20" r:id="rId43" display="https://striking-viking.com/products/striking-viking-unscented-shaving-cream-for-men-rich-lather-for-a-smooth-comfortable-shave"/>
    <hyperlink ref="C20" r:id="rId44" display="https://striking-viking.com/customer_authentication/redirect?locale=en&amp;region_country=US"/>
    <hyperlink ref="F20" r:id="rId45" display="https://account.striking-viking.com/?buyer_flags=eyJhbGciOiJIUzI1NiJ9.eyJpc3MiOiJzdHJpa2luZy12aWtpbmcubXlzaG9waWZ5LmNvbSIsImZsYWdzIjpbXSwiZXhwIjoxNzkxMzU0NjI4LCJuYmYiOjE3OTA3NDk4Mjh9.W_JgIDP8DFSrhQ1ojmPBXziPlPpbfbt33v3WuNh9GNc&amp;locale=en&amp;region_country=US"/>
    <hyperlink ref="A21" r:id="rId46" display="https://striking-viking.com/products/ontaki-professional-thinning-texturizing-scissors-set-6-5-inch-japanese-alloy-steel"/>
    <hyperlink ref="C21" r:id="rId47" display="https://striking-viking.com/customer_authentication/redirect?locale=en&amp;region_country=US"/>
    <hyperlink ref="F21" r:id="rId48" display="https://account.striking-viking.com/?buyer_flags=eyJhbGciOiJIUzI1NiJ9.eyJpc3MiOiJzdHJpa2luZy12aWtpbmcubXlzaG9waWZ5LmNvbSIsImZsYWdzIjpbXSwiZXhwIjoxNzkxMzU0NjI4LCJuYmYiOjE3OTA3NDk4Mjh9.W_JgIDP8DFSrhQ1ojmPBXziPlPpbfbt33v3WuNh9GNc&amp;locale=en&amp;region_country=US"/>
    <hyperlink ref="A22" r:id="rId49" display="https://striking-viking.com/pages/data-sharing-opt-out"/>
    <hyperlink ref="C22" r:id="rId50" display="https://striking-viking.com/customer_authentication/redirect?locale=en&amp;region_country=US"/>
    <hyperlink ref="F22" r:id="rId51" display="https://account.striking-viking.com/?buyer_flags=eyJhbGciOiJIUzI1NiJ9.eyJpc3MiOiJzdHJpa2luZy12aWtpbmcubXlzaG9waWZ5LmNvbSIsImZsYWdzIjpbXSwiZXhwIjoxNzkxMzU0NjI4LCJuYmYiOjE3OTA3NDk4Mjh9.W_JgIDP8DFSrhQ1ojmPBXziPlPpbfbt33v3WuNh9GNc&amp;locale=en&amp;region_country=US"/>
    <hyperlink ref="A23" r:id="rId52" display="https://striking-viking.com/products/striking-viking-beard-filler-pencil-with-dual-tip-pen-brush-for-natural-beard-styling?variant=52771898851670"/>
    <hyperlink ref="C23" r:id="rId53" display="https://striking-viking.com/customer_authentication/redirect?locale=en&amp;region_country=US"/>
    <hyperlink ref="F23" r:id="rId54" display="https://account.striking-viking.com/?buyer_flags=eyJhbGciOiJIUzI1NiJ9.eyJpc3MiOiJzdHJpa2luZy12aWtpbmcubXlzaG9waWZ5LmNvbSIsImZsYWdzIjpbXSwiZXhwIjoxNzkxMzU0NjI4LCJuYmYiOjE3OTA3NDk4Mjh9.W_JgIDP8DFSrhQ1ojmPBXziPlPpbfbt33v3WuNh9GNc&amp;locale=en&amp;region_country=US"/>
    <hyperlink ref="A24" r:id="rId55" display="https://striking-viking.com/products/beard-growth-balm-with-biotin-2-oz-sandalwood"/>
    <hyperlink ref="C24" r:id="rId56" display="https://striking-viking.com/customer_authentication/redirect?locale=en&amp;region_country=US"/>
    <hyperlink ref="F24" r:id="rId57" display="https://account.striking-viking.com/?buyer_flags=eyJhbGciOiJIUzI1NiJ9.eyJpc3MiOiJzdHJpa2luZy12aWtpbmcubXlzaG9waWZ5LmNvbSIsImZsYWdzIjpbXSwiZXhwIjoxNzkxMzU0NjI4LCJuYmYiOjE3OTA3NDk4Mjh9.W_JgIDP8DFSrhQ1ojmPBXziPlPpbfbt33v3WuNh9GNc&amp;locale=en&amp;region_country=US"/>
    <hyperlink ref="A25" r:id="rId58" display="https://striking-viking.com/products/striking-viking-hybrid-beard-growth-bundle-with-sandalwood-unscented-beard-oils-and-derma-roller"/>
    <hyperlink ref="C25" r:id="rId59" display="https://striking-viking.com/customer_authentication/redirect?locale=en&amp;region_country=US"/>
    <hyperlink ref="F25" r:id="rId60" display="https://account.striking-viking.com/?buyer_flags=eyJhbGciOiJIUzI1NiJ9.eyJpc3MiOiJzdHJpa2luZy12aWtpbmcubXlzaG9waWZ5LmNvbSIsImZsYWdzIjpbXSwiZXhwIjoxNzkxMzU0NjI4LCJuYmYiOjE3OTA3NDk4Mjh9.W_JgIDP8DFSrhQ1ojmPBXziPlPpbfbt33v3WuNh9GNc&amp;locale=en&amp;region_country=US"/>
    <hyperlink ref="A26" r:id="rId61" display="https://striking-viking.com/products/striking-viking-sandalwood-beard-oil-balm-kit-for-soft-healthy-beard-care-for-men"/>
    <hyperlink ref="C26" r:id="rId62" display="https://striking-viking.com/customer_authentication/redirect?locale=en&amp;region_country=US"/>
    <hyperlink ref="F26" r:id="rId63" display="https://account.striking-viking.com/?buyer_flags=eyJhbGciOiJIUzI1NiJ9.eyJpc3MiOiJzdHJpa2luZy12aWtpbmcubXlzaG9waWZ5LmNvbSIsImZsYWdzIjpbXSwiZXhwIjoxNzkxMzU0NjI4LCJuYmYiOjE3OTA3NDk4Mjh9.W_JgIDP8DFSrhQ1ojmPBXziPlPpbfbt33v3WuNh9GNc&amp;locale=en&amp;region_country=US"/>
    <hyperlink ref="A27" r:id="rId64" display="https://striking-viking.com/products/striking-viking-beard-growth-oil-with-biotin-sandalwood"/>
    <hyperlink ref="C27" r:id="rId65" display="https://striking-viking.com/customer_authentication/redirect?locale=en&amp;region_country=US"/>
    <hyperlink ref="F27" r:id="rId66" display="https://account.striking-viking.com/?buyer_flags=eyJhbGciOiJIUzI1NiJ9.eyJpc3MiOiJzdHJpa2luZy12aWtpbmcubXlzaG9waWZ5LmNvbSIsImZsYWdzIjpbXSwiZXhwIjoxNzkxMzU0NjI4LCJuYmYiOjE3OTA3NDk4Mjh9.W_JgIDP8DFSrhQ1ojmPBXziPlPpbfbt33v3WuNh9GNc&amp;locale=en&amp;region_country=US"/>
    <hyperlink ref="A28" r:id="rId67" display="https://striking-viking.com/products/striking-viking-unscented-beard-oil-and-balm-kit-natural-beard-grooming-set-for-men"/>
    <hyperlink ref="C28" r:id="rId68" display="https://striking-viking.com/customer_authentication/redirect?locale=en&amp;region_country=US"/>
    <hyperlink ref="F28" r:id="rId69" display="https://account.striking-viking.com/?buyer_flags=eyJhbGciOiJIUzI1NiJ9.eyJpc3MiOiJzdHJpa2luZy12aWtpbmcubXlzaG9waWZ5LmNvbSIsImZsYWdzIjpbXSwiZXhwIjoxNzkxMzU0NjI4LCJuYmYiOjE3OTA3NDk4Mjh9.W_JgIDP8DFSrhQ1ojmPBXziPlPpbfbt33v3WuNh9GNc&amp;locale=en&amp;region_country=US"/>
    <hyperlink ref="A29" r:id="rId70" display="https://striking-viking.com/products/striking-viking-unscented-beard-oil-natural-organic-beard-care"/>
    <hyperlink ref="C29" r:id="rId71" display="https://striking-viking.com/customer_authentication/redirect?locale=en&amp;region_country=US"/>
    <hyperlink ref="F29" r:id="rId72" display="https://account.striking-viking.com/?buyer_flags=eyJhbGciOiJIUzI1NiJ9.eyJpc3MiOiJzdHJpa2luZy12aWtpbmcubXlzaG9waWZ5LmNvbSIsImZsYWdzIjpbXSwiZXhwIjoxNzkxMzU0NjI4LCJuYmYiOjE3OTA3NDk4Mjh9.W_JgIDP8DFSrhQ1ojmPBXziPlPpbfbt33v3WuNh9GNc&amp;locale=en&amp;region_country=US"/>
    <hyperlink ref="A30" r:id="rId73" display="https://striking-viking.com/blogs/learn/how-to-use-beard-balm-properly-a-complete-guide"/>
    <hyperlink ref="C30" r:id="rId74" display="https://striking-viking.com/customer_authentication/redirect?locale=en&amp;region_country=US"/>
    <hyperlink ref="F30" r:id="rId75" display="https://account.striking-viking.com/?buyer_flags=eyJhbGciOiJIUzI1NiJ9.eyJpc3MiOiJzdHJpa2luZy12aWtpbmcubXlzaG9waWZ5LmNvbSIsImZsYWdzIjpbXSwiZXhwIjoxNzkxMzU0NjI4LCJuYmYiOjE3OTA3NDk4Mjh9.W_JgIDP8DFSrhQ1ojmPBXziPlPpbfbt33v3WuNh9GNc&amp;locale=en&amp;region_country=US"/>
    <hyperlink ref="A31" r:id="rId76" display="https://striking-viking.com/products/sandalwood-wooden-beard-comb-black-striking-viking"/>
    <hyperlink ref="C31" r:id="rId77" display="https://striking-viking.com/customer_authentication/redirect?locale=en&amp;region_country=US"/>
    <hyperlink ref="F31" r:id="rId78" display="https://account.striking-viking.com/?buyer_flags=eyJhbGciOiJIUzI1NiJ9.eyJpc3MiOiJzdHJpa2luZy12aWtpbmcubXlzaG9waWZ5LmNvbSIsImZsYWdzIjpbXSwiZXhwIjoxNzkxMzU0NjI4LCJuYmYiOjE3OTA3NDk4Mjh9.W_JgIDP8DFSrhQ1ojmPBXziPlPpbfbt33v3WuNh9GNc&amp;locale=en&amp;region_country=US"/>
    <hyperlink ref="A32" r:id="rId79" display="https://striking-viking.com/collections/combs"/>
    <hyperlink ref="C32" r:id="rId80" display="https://striking-viking.com/customer_authentication/redirect?locale=en&amp;region_country=US"/>
    <hyperlink ref="F32" r:id="rId81" display="https://account.striking-viking.com/?buyer_flags=eyJhbGciOiJIUzI1NiJ9.eyJpc3MiOiJzdHJpa2luZy12aWtpbmcubXlzaG9waWZ5LmNvbSIsImZsYWdzIjpbXSwiZXhwIjoxNzkxMzU0NjI4LCJuYmYiOjE3OTA3NDk4Mjh9.W_JgIDP8DFSrhQ1ojmPBXziPlPpbfbt33v3WuNh9GNc&amp;locale=en&amp;region_country=US"/>
    <hyperlink ref="A33" r:id="rId82" display="https://striking-viking.com/blogs/learn/spring-style-refresh-how-to-update-your-beard-and-hair-for-warmer-weather"/>
    <hyperlink ref="C33" r:id="rId83" display="https://striking-viking.com/customer_authentication/redirect?locale=en&amp;region_country=US"/>
    <hyperlink ref="F33" r:id="rId84" display="https://account.striking-viking.com/?buyer_flags=eyJhbGciOiJIUzI1NiJ9.eyJpc3MiOiJzdHJpa2luZy12aWtpbmcubXlzaG9waWZ5LmNvbSIsImZsYWdzIjpbXSwiZXhwIjoxNzkxMzU0NjI4LCJuYmYiOjE3OTA3NDk4Mjh9.W_JgIDP8DFSrhQ1ojmPBXziPlPpbfbt33v3WuNh9GNc&amp;locale=en&amp;region_country=US"/>
    <hyperlink ref="A34" r:id="rId85" display="https://striking-viking.com/products/striking-viking-unscented-beard-shampoo-conditioner-set-natural-beard-care-for-men"/>
    <hyperlink ref="C34" r:id="rId86" display="https://striking-viking.com/customer_authentication/redirect?locale=en&amp;region_country=US"/>
    <hyperlink ref="F34" r:id="rId87" display="https://account.striking-viking.com/?buyer_flags=eyJhbGciOiJIUzI1NiJ9.eyJpc3MiOiJzdHJpa2luZy12aWtpbmcubXlzaG9waWZ5LmNvbSIsImZsYWdzIjpbXSwiZXhwIjoxNzkxMzU0NjI4LCJuYmYiOjE3OTA3NDk4Mjh9.W_JgIDP8DFSrhQ1ojmPBXziPlPpbfbt33v3WuNh9GNc&amp;locale=en&amp;region_country=US"/>
    <hyperlink ref="A35" r:id="rId88" display="https://striking-viking.com/collections/beard-butter"/>
    <hyperlink ref="C35" r:id="rId89" display="https://striking-viking.com/customer_authentication/redirect?locale=en&amp;region_country=US"/>
    <hyperlink ref="F35" r:id="rId90" display="https://account.striking-viking.com/?buyer_flags=eyJhbGciOiJIUzI1NiJ9.eyJpc3MiOiJzdHJpa2luZy12aWtpbmcubXlzaG9waWZ5LmNvbSIsImZsYWdzIjpbXSwiZXhwIjoxNzkxMzU0NjI4LCJuYmYiOjE3OTA3NDk4Mjh9.W_JgIDP8DFSrhQ1ojmPBXziPlPpbfbt33v3WuNh9GNc&amp;locale=en&amp;region_country=US"/>
    <hyperlink ref="A36" r:id="rId91" display="https://striking-viking.com/products/striking-viking-beard-filler-pen-2-pack-dual-tip-waterproof-beard-pen-for-natural-beard-filling?variant=52771991257430"/>
    <hyperlink ref="C36" r:id="rId92" display="https://striking-viking.com/customer_authentication/redirect?locale=en&amp;region_country=US"/>
    <hyperlink ref="F36" r:id="rId93" display="https://account.striking-viking.com/?buyer_flags=eyJhbGciOiJIUzI1NiJ9.eyJpc3MiOiJzdHJpa2luZy12aWtpbmcubXlzaG9waWZ5LmNvbSIsImZsYWdzIjpbXSwiZXhwIjoxNzkxMzU0NjI4LCJuYmYiOjE3OTA3NDk4Mjh9.W_JgIDP8DFSrhQ1ojmPBXziPlPpbfbt33v3WuNh9GNc&amp;locale=en&amp;region_country=US"/>
    <hyperlink ref="A37" r:id="rId94" display="https://striking-viking.com/products/striking-viking-hair-styling-powder-for-men-strong-hold-vanilla-volume-texture"/>
    <hyperlink ref="C37" r:id="rId95" display="https://striking-viking.com/customer_authentication/redirect?locale=en&amp;region_country=US"/>
    <hyperlink ref="F37" r:id="rId96" display="https://account.striking-viking.com/?buyer_flags=eyJhbGciOiJIUzI1NiJ9.eyJpc3MiOiJzdHJpa2luZy12aWtpbmcubXlzaG9waWZ5LmNvbSIsImZsYWdzIjpbXSwiZXhwIjoxNzkxMzU0NjI4LCJuYmYiOjE3OTA3NDk4Mjh9.W_JgIDP8DFSrhQ1ojmPBXziPlPpbfbt33v3WuNh9GNc&amp;locale=en&amp;region_country=US"/>
    <hyperlink ref="A38" r:id="rId97" display="https://striking-viking.com/products/striking-viking-beard-filler-pen-2-pack-dual-tip-waterproof-beard-pen-for-natural-beard-filling?variant=52771991191894"/>
    <hyperlink ref="C38" r:id="rId98" display="https://striking-viking.com/customer_authentication/redirect?locale=en&amp;region_country=US"/>
    <hyperlink ref="F38" r:id="rId99" display="https://account.striking-viking.com/?buyer_flags=eyJhbGciOiJIUzI1NiJ9.eyJpc3MiOiJzdHJpa2luZy12aWtpbmcubXlzaG9waWZ5LmNvbSIsImZsYWdzIjpbXSwiZXhwIjoxNzkxMzU0NjI4LCJuYmYiOjE3OTA3NDk4Mjh9.W_JgIDP8DFSrhQ1ojmPBXziPlPpbfbt33v3WuNh9GNc&amp;locale=en&amp;region_country=US"/>
    <hyperlink ref="A39" r:id="rId100" display="https://striking-viking.com/products/striking-viking-vanilla-beard-butter-for-soft-hydrated-healthy-beard-care-for-men"/>
    <hyperlink ref="C39" r:id="rId101" display="https://striking-viking.com/customer_authentication/redirect?locale=en&amp;region_country=US"/>
    <hyperlink ref="F39" r:id="rId102" display="https://account.striking-viking.com/?buyer_flags=eyJhbGciOiJIUzI1NiJ9.eyJpc3MiOiJzdHJpa2luZy12aWtpbmcubXlzaG9waWZ5LmNvbSIsImZsYWdzIjpbXSwiZXhwIjoxNzkxMzU0NjI4LCJuYmYiOjE3OTA3NDk4Mjh9.W_JgIDP8DFSrhQ1ojmPBXziPlPpbfbt33v3WuNh9GNc&amp;locale=en&amp;region_country=US"/>
    <hyperlink ref="A40" r:id="rId103" display="https://striking-viking.com/blogs/learn/pocket-blade-grooming-striking-viking-s-folding-beard-comb"/>
    <hyperlink ref="C40" r:id="rId104" display="https://striking-viking.com/customer_authentication/redirect?locale=en&amp;region_country=US"/>
    <hyperlink ref="F40" r:id="rId105" display="https://account.striking-viking.com/?buyer_flags=eyJhbGciOiJIUzI1NiJ9.eyJpc3MiOiJzdHJpa2luZy12aWtpbmcubXlzaG9waWZ5LmNvbSIsImZsYWdzIjpbXSwiZXhwIjoxNzkxMzU0NjI4LCJuYmYiOjE3OTA3NDk4Mjh9.W_JgIDP8DFSrhQ1ojmPBXziPlPpbfbt33v3WuNh9GNc&amp;locale=en&amp;region_country=US"/>
    <hyperlink ref="A41" r:id="rId106" display="https://striking-viking.com/products/striking-viking-cedarwood-beard-oil"/>
    <hyperlink ref="C41" r:id="rId107" display="https://striking-viking.com/customer_authentication/redirect?locale=en&amp;region_country=US"/>
    <hyperlink ref="F41" r:id="rId108" display="https://account.striking-viking.com/?buyer_flags=eyJhbGciOiJIUzI1NiJ9.eyJpc3MiOiJzdHJpa2luZy12aWtpbmcubXlzaG9waWZ5LmNvbSIsImZsYWdzIjpbXSwiZXhwIjoxNzkxMzU0NjI4LCJuYmYiOjE3OTA3NDk4Mjh9.W_JgIDP8DFSrhQ1ojmPBXziPlPpbfbt33v3WuNh9GNc&amp;locale=en&amp;region_country=US"/>
    <hyperlink ref="A42" r:id="rId109" display="https://striking-viking.com/products/striking-viking-tea-tree-biotin-beard-shampoo-for-clean-healthy-soft-beard-care-for-men"/>
    <hyperlink ref="C42" r:id="rId110" display="https://striking-viking.com/customer_authentication/redirect?locale=en&amp;region_country=US"/>
    <hyperlink ref="F42" r:id="rId111" display="https://account.striking-viking.com/?buyer_flags=eyJhbGciOiJIUzI1NiJ9.eyJpc3MiOiJzdHJpa2luZy12aWtpbmcubXlzaG9waWZ5LmNvbSIsImZsYWdzIjpbXSwiZXhwIjoxNzkxMzU0NjI4LCJuYmYiOjE3OTA3NDk4Mjh9.W_JgIDP8DFSrhQ1ojmPBXziPlPpbfbt33v3WuNh9GNc&amp;locale=en&amp;region_country=US"/>
    <hyperlink ref="A43" r:id="rId112" display="https://striking-viking.com/blogs/learn/unlock-your-beard-s-full-potential-beard-growth-kits-oils"/>
    <hyperlink ref="C43" r:id="rId113" display="https://striking-viking.com/customer_authentication/redirect?locale=en&amp;region_country=US"/>
    <hyperlink ref="F43" r:id="rId114" display="https://account.striking-viking.com/?buyer_flags=eyJhbGciOiJIUzI1NiJ9.eyJpc3MiOiJzdHJpa2luZy12aWtpbmcubXlzaG9waWZ5LmNvbSIsImZsYWdzIjpbXSwiZXhwIjoxNzkxMzU0NjI4LCJuYmYiOjE3OTA3NDk4Mjh9.W_JgIDP8DFSrhQ1ojmPBXziPlPpbfbt33v3WuNh9GNc&amp;locale=en&amp;region_country=US"/>
    <hyperlink ref="A44" r:id="rId115" display="https://striking-viking.com/blogs/learn/how-to-keep-your-tattoos-looking-bold-for-years-the-role-of-tattoo-balms"/>
    <hyperlink ref="C44" r:id="rId116" display="https://striking-viking.com/customer_authentication/redirect?locale=en&amp;region_country=US"/>
    <hyperlink ref="F44" r:id="rId117" display="https://account.striking-viking.com/?buyer_flags=eyJhbGciOiJIUzI1NiJ9.eyJpc3MiOiJzdHJpa2luZy12aWtpbmcubXlzaG9waWZ5LmNvbSIsImZsYWdzIjpbXSwiZXhwIjoxNzkxMzU0NjI4LCJuYmYiOjE3OTA3NDk4Mjh9.W_JgIDP8DFSrhQ1ojmPBXziPlPpbfbt33v3WuNh9GNc&amp;locale=en&amp;region_country=US"/>
    <hyperlink ref="A45" r:id="rId118" display="https://striking-viking.com/products/striking-viking-terra-sol-beard-oil-for-men-natural-beard-growth-oil-with-argan-jojoba"/>
    <hyperlink ref="C45" r:id="rId119" display="https://striking-viking.com/customer_authentication/redirect?locale=en&amp;region_country=US"/>
    <hyperlink ref="F45" r:id="rId120" display="https://account.striking-viking.com/?buyer_flags=eyJhbGciOiJIUzI1NiJ9.eyJpc3MiOiJzdHJpa2luZy12aWtpbmcubXlzaG9waWZ5LmNvbSIsImZsYWdzIjpbXSwiZXhwIjoxNzkxMzU0NjI4LCJuYmYiOjE3OTA3NDk4Mjh9.W_JgIDP8DFSrhQ1ojmPBXziPlPpbfbt33v3WuNh9GNc&amp;locale=en&amp;region_country=US"/>
    <hyperlink ref="A46" r:id="rId121" display="https://striking-viking.com/collections/beard-essentials"/>
    <hyperlink ref="C46" r:id="rId122" display="https://striking-viking.com/customer_authentication/redirect?locale=en&amp;region_country=US"/>
    <hyperlink ref="F46" r:id="rId123" display="https://account.striking-viking.com/?buyer_flags=eyJhbGciOiJIUzI1NiJ9.eyJpc3MiOiJzdHJpa2luZy12aWtpbmcubXlzaG9waWZ5LmNvbSIsImZsYWdzIjpbXSwiZXhwIjoxNzkxMzU0NjI4LCJuYmYiOjE3OTA3NDk4Mjh9.W_JgIDP8DFSrhQ1ojmPBXziPlPpbfbt33v3WuNh9GNc&amp;locale=en&amp;region_country=US"/>
    <hyperlink ref="A47" r:id="rId124" display="https://striking-viking.com/products/hair-fiber-men"/>
    <hyperlink ref="C47" r:id="rId125" display="https://striking-viking.com/customer_authentication/redirect?locale=en&amp;region_country=US"/>
    <hyperlink ref="F47" r:id="rId126" display="https://account.striking-viking.com/?buyer_flags=eyJhbGciOiJIUzI1NiJ9.eyJpc3MiOiJzdHJpa2luZy12aWtpbmcubXlzaG9waWZ5LmNvbSIsImZsYWdzIjpbXSwiZXhwIjoxNzkxMzU0NjI4LCJuYmYiOjE3OTA3NDk4Mjh9.W_JgIDP8DFSrhQ1ojmPBXziPlPpbfbt33v3WuNh9GNc&amp;locale=en&amp;region_country=US"/>
    <hyperlink ref="A48" r:id="rId127" display="https://striking-viking.com/collections/featured-products"/>
    <hyperlink ref="C48" r:id="rId128" display="https://striking-viking.com/customer_authentication/redirect?locale=en&amp;region_country=US"/>
    <hyperlink ref="F48" r:id="rId129" display="https://account.striking-viking.com/?buyer_flags=eyJhbGciOiJIUzI1NiJ9.eyJpc3MiOiJzdHJpa2luZy12aWtpbmcubXlzaG9waWZ5LmNvbSIsImZsYWdzIjpbXSwiZXhwIjoxNzkxMzU0NjI4LCJuYmYiOjE3OTA3NDk4Mjh9.W_JgIDP8DFSrhQ1ojmPBXziPlPpbfbt33v3WuNh9GNc&amp;locale=en&amp;region_country=US"/>
    <hyperlink ref="A49" r:id="rId130" display="https://striking-viking.com/products/charlemagne-original-hair-pomade-for-men-strong-hold-water-based-styling-pomade-100ml"/>
    <hyperlink ref="C49" r:id="rId131" display="https://striking-viking.com/customer_authentication/redirect?locale=en&amp;region_country=US"/>
    <hyperlink ref="F49" r:id="rId132" display="https://account.striking-viking.com/?buyer_flags=eyJhbGciOiJIUzI1NiJ9.eyJpc3MiOiJzdHJpa2luZy12aWtpbmcubXlzaG9waWZ5LmNvbSIsImZsYWdzIjpbXSwiZXhwIjoxNzkxMzU0NjI4LCJuYmYiOjE3OTA3NDk4Mjh9.W_JgIDP8DFSrhQ1ojmPBXziPlPpbfbt33v3WuNh9GNc&amp;locale=en&amp;region_country=US"/>
    <hyperlink ref="A50" r:id="rId133" display="https://striking-viking.com/collections/all"/>
    <hyperlink ref="C50" r:id="rId134" display="https://striking-viking.com/customer_authentication/redirect?locale=en&amp;region_country=US"/>
    <hyperlink ref="F50" r:id="rId135" display="https://account.striking-viking.com/?buyer_flags=eyJhbGciOiJIUzI1NiJ9.eyJpc3MiOiJzdHJpa2luZy12aWtpbmcubXlzaG9waWZ5LmNvbSIsImZsYWdzIjpbXSwiZXhwIjoxNzkxMzU0NjI4LCJuYmYiOjE3OTA3NDk4Mjh9.W_JgIDP8DFSrhQ1ojmPBXziPlPpbfbt33v3WuNh9GNc&amp;locale=en&amp;region_country=US"/>
    <hyperlink ref="A51" r:id="rId136" display="https://striking-viking.com/products/striking-viking-beard-filler-pen-2-pack-waterproof-beard-pen-for-filling-gaps-covering-patches?variant=50685239787862"/>
    <hyperlink ref="C51" r:id="rId137" display="https://striking-viking.com/customer_authentication/redirect?locale=en&amp;region_country=US"/>
    <hyperlink ref="F51" r:id="rId138" display="https://account.striking-viking.com/?buyer_flags=eyJhbGciOiJIUzI1NiJ9.eyJpc3MiOiJzdHJpa2luZy12aWtpbmcubXlzaG9waWZ5LmNvbSIsImZsYWdzIjpbXSwiZXhwIjoxNzkxMzU0NjI4LCJuYmYiOjE3OTA3NDk4Mjh9.W_JgIDP8DFSrhQ1ojmPBXziPlPpbfbt33v3WuNh9GNc&amp;locale=en&amp;region_country=US"/>
    <hyperlink ref="A52" r:id="rId139" display="https://striking-viking.com/collections/beard-filler-pens"/>
    <hyperlink ref="C52" r:id="rId140" display="https://striking-viking.com/customer_authentication/redirect?locale=en&amp;region_country=US"/>
    <hyperlink ref="F52" r:id="rId141" display="https://account.striking-viking.com/?buyer_flags=eyJhbGciOiJIUzI1NiJ9.eyJpc3MiOiJzdHJpa2luZy12aWtpbmcubXlzaG9waWZ5LmNvbSIsImZsYWdzIjpbXSwiZXhwIjoxNzkxMzU0NjI4LCJuYmYiOjE3OTA3NDk4Mjh9.W_JgIDP8DFSrhQ1ojmPBXziPlPpbfbt33v3WuNh9GNc&amp;locale=en&amp;region_country=US"/>
    <hyperlink ref="A53" r:id="rId142" display="https://striking-viking.com/products/striking-viking-biotin-beard-growth-oil-for-men-unscented-beard-growth-serum"/>
    <hyperlink ref="C53" r:id="rId143" display="https://striking-viking.com/customer_authentication/redirect?locale=en&amp;region_country=US"/>
    <hyperlink ref="F53" r:id="rId144" display="https://account.striking-viking.com/?buyer_flags=eyJhbGciOiJIUzI1NiJ9.eyJpc3MiOiJzdHJpa2luZy12aWtpbmcubXlzaG9waWZ5LmNvbSIsImZsYWdzIjpbXSwiZXhwIjoxNzkxMzU0NjI4LCJuYmYiOjE3OTA3NDk4Mjh9.W_JgIDP8DFSrhQ1ojmPBXziPlPpbfbt33v3WuNh9GNc&amp;locale=en&amp;region_country=US"/>
    <hyperlink ref="A54" r:id="rId145" display="https://striking-viking.com/products/gift-wrapping"/>
    <hyperlink ref="C54" r:id="rId146" display="https://striking-viking.com/customer_authentication/redirect?locale=en&amp;region_country=US"/>
    <hyperlink ref="F54" r:id="rId147" display="https://account.striking-viking.com/?buyer_flags=eyJhbGciOiJIUzI1NiJ9.eyJpc3MiOiJzdHJpa2luZy12aWtpbmcubXlzaG9waWZ5LmNvbSIsImZsYWdzIjpbXSwiZXhwIjoxNzkxMzU0NjI4LCJuYmYiOjE3OTA3NDk4Mjh9.W_JgIDP8DFSrhQ1ojmPBXziPlPpbfbt33v3WuNh9GNc&amp;locale=en&amp;region_country=US"/>
    <hyperlink ref="A55" r:id="rId148" display="https://striking-viking.com/pages/ilm2025"/>
    <hyperlink ref="C55" r:id="rId149" display="https://striking-viking.com/customer_authentication/redirect?locale=en&amp;region_country=US"/>
    <hyperlink ref="F55" r:id="rId150" display="https://account.striking-viking.com/?buyer_flags=eyJhbGciOiJIUzI1NiJ9.eyJpc3MiOiJzdHJpa2luZy12aWtpbmcubXlzaG9waWZ5LmNvbSIsImZsYWdzIjpbXSwiZXhwIjoxNzkxMzU0NjI4LCJuYmYiOjE3OTA3NDk4Mjh9.W_JgIDP8DFSrhQ1ojmPBXziPlPpbfbt33v3WuNh9GNc&amp;locale=en&amp;region_country=US"/>
    <hyperlink ref="A56" r:id="rId151" display="https://striking-viking.com/products/striking-viking-beard-rehab-growth-kit-with-sandalwood-beard-care-derma-roller"/>
    <hyperlink ref="C56" r:id="rId152" display="https://striking-viking.com/customer_authentication/redirect?locale=en&amp;region_country=US"/>
    <hyperlink ref="F56" r:id="rId153" display="https://account.striking-viking.com/?buyer_flags=eyJhbGciOiJIUzI1NiJ9.eyJpc3MiOiJzdHJpa2luZy12aWtpbmcubXlzaG9waWZ5LmNvbSIsImZsYWdzIjpbXSwiZXhwIjoxNzkxMzU0NjI4LCJuYmYiOjE3OTA3NDk4Mjh9.W_JgIDP8DFSrhQ1ojmPBXziPlPpbfbt33v3WuNh9GNc&amp;locale=en&amp;region_country=US"/>
    <hyperlink ref="A57" r:id="rId154" display="https://striking-viking.com/products/striking-viking-beard-and-mustache-scissors-kit-for-men"/>
    <hyperlink ref="C57" r:id="rId155" display="https://striking-viking.com/customer_authentication/redirect?locale=en&amp;region_country=US"/>
    <hyperlink ref="F57" r:id="rId156" display="https://account.striking-viking.com/?buyer_flags=eyJhbGciOiJIUzI1NiJ9.eyJpc3MiOiJzdHJpa2luZy12aWtpbmcubXlzaG9waWZ5LmNvbSIsImZsYWdzIjpbXSwiZXhwIjoxNzkxMzU0NjI4LCJuYmYiOjE3OTA3NDk4Mjh9.W_JgIDP8DFSrhQ1ojmPBXziPlPpbfbt33v3WuNh9GNc&amp;locale=en&amp;region_country=US"/>
    <hyperlink ref="A58" r:id="rId157" display="https://striking-viking.com/pages/ilm-2025-sign-up"/>
    <hyperlink ref="C58" r:id="rId158" display="https://striking-viking.com/customer_authentication/redirect?locale=en&amp;region_country=US"/>
    <hyperlink ref="F58" r:id="rId159" display="https://account.striking-viking.com/?buyer_flags=eyJhbGciOiJIUzI1NiJ9.eyJpc3MiOiJzdHJpa2luZy12aWtpbmcubXlzaG9waWZ5LmNvbSIsImZsYWdzIjpbXSwiZXhwIjoxNzkxMzU0NjI4LCJuYmYiOjE3OTA3NDk4Mjh9.W_JgIDP8DFSrhQ1ojmPBXziPlPpbfbt33v3WuNh9GNc&amp;locale=en&amp;region_country=US"/>
    <hyperlink ref="A59" r:id="rId160" display="https://striking-viking.com/products/striking-viking-sandalwood-pre-shave-oil-for-men-smooth-razor-glide-skin-protection"/>
    <hyperlink ref="C59" r:id="rId161" display="https://striking-viking.com/customer_authentication/redirect?locale=en&amp;region_country=US"/>
    <hyperlink ref="F59" r:id="rId162" display="https://account.striking-viking.com/?buyer_flags=eyJhbGciOiJIUzI1NiJ9.eyJpc3MiOiJzdHJpa2luZy12aWtpbmcubXlzaG9waWZ5LmNvbSIsImZsYWdzIjpbXSwiZXhwIjoxNzkxMzU0NjI4LCJuYmYiOjE3OTA3NDk4Mjh9.W_JgIDP8DFSrhQ1ojmPBXziPlPpbfbt33v3WuNh9GNc&amp;locale=en&amp;region_country=US"/>
    <hyperlink ref="A60" r:id="rId163" display="https://striking-viking.com/products/striking-viking-beard-kit-caddy-complete-beard-grooming-kit"/>
    <hyperlink ref="C60" r:id="rId164" display="https://striking-viking.com/customer_authentication/redirect?locale=en&amp;region_country=US"/>
    <hyperlink ref="F60" r:id="rId165" display="https://account.striking-viking.com/?buyer_flags=eyJhbGciOiJIUzI1NiJ9.eyJpc3MiOiJzdHJpa2luZy12aWtpbmcubXlzaG9waWZ5LmNvbSIsImZsYWdzIjpbXSwiZXhwIjoxNzkxMzU0NjI4LCJuYmYiOjE3OTA3NDk4Mjh9.W_JgIDP8DFSrhQ1ojmPBXziPlPpbfbt33v3WuNh9GNc&amp;locale=en&amp;region_country=US"/>
    <hyperlink ref="A61" r:id="rId166" display="https://striking-viking.com/pages/faqs"/>
    <hyperlink ref="C61" r:id="rId167" display="https://striking-viking.com/customer_authentication/redirect?locale=en&amp;region_country=US"/>
    <hyperlink ref="F61" r:id="rId168" display="https://account.striking-viking.com/?buyer_flags=eyJhbGciOiJIUzI1NiJ9.eyJpc3MiOiJzdHJpa2luZy12aWtpbmcubXlzaG9waWZ5LmNvbSIsImZsYWdzIjpbXSwiZXhwIjoxNzkxMzU0NjI4LCJuYmYiOjE3OTA3NDk4Mjh9.W_JgIDP8DFSrhQ1ojmPBXziPlPpbfbt33v3WuNh9GNc&amp;locale=en&amp;region_country=US"/>
    <hyperlink ref="A62" r:id="rId169" display="https://striking-viking.com/collections/trending-now"/>
    <hyperlink ref="C62" r:id="rId170" display="https://striking-viking.com/customer_authentication/redirect?locale=en&amp;region_country=US"/>
    <hyperlink ref="F62" r:id="rId171" display="https://account.striking-viking.com/?buyer_flags=eyJhbGciOiJIUzI1NiJ9.eyJpc3MiOiJzdHJpa2luZy12aWtpbmcubXlzaG9waWZ5LmNvbSIsImZsYWdzIjpbXSwiZXhwIjoxNzkxMzU0NjI4LCJuYmYiOjE3OTA3NDk4Mjh9.W_JgIDP8DFSrhQ1ojmPBXziPlPpbfbt33v3WuNh9GNc&amp;locale=en&amp;region_country=US"/>
    <hyperlink ref="A63" r:id="rId172" display="https://striking-viking.com/blogs/learn/16918829-the-ingredients-and-why-they-matter"/>
    <hyperlink ref="C63" r:id="rId173" display="https://striking-viking.com/customer_authentication/redirect?locale=en&amp;region_country=US"/>
    <hyperlink ref="F63" r:id="rId174" display="https://account.striking-viking.com/?buyer_flags=eyJhbGciOiJIUzI1NiJ9.eyJpc3MiOiJzdHJpa2luZy12aWtpbmcubXlzaG9waWZ5LmNvbSIsImZsYWdzIjpbXSwiZXhwIjoxNzkxMzU0NjI4LCJuYmYiOjE3OTA3NDk4Mjh9.W_JgIDP8DFSrhQ1ojmPBXziPlPpbfbt33v3WuNh9GNc&amp;locale=en&amp;region_country=US"/>
    <hyperlink ref="A64" r:id="rId175" display="https://striking-viking.com/products/striking-viking-beard-shampoo-conditioner-cologne-argan-jojoba-oil"/>
    <hyperlink ref="C64" r:id="rId176" display="https://striking-viking.com/customer_authentication/redirect?locale=en&amp;region_country=US"/>
    <hyperlink ref="F64" r:id="rId177" display="https://account.striking-viking.com/?buyer_flags=eyJhbGciOiJIUzI1NiJ9.eyJpc3MiOiJzdHJpa2luZy12aWtpbmcubXlzaG9waWZ5LmNvbSIsImZsYWdzIjpbXSwiZXhwIjoxNzkxMzU0NjI4LCJuYmYiOjE3OTA3NDk4Mjh9.W_JgIDP8DFSrhQ1ojmPBXziPlPpbfbt33v3WuNh9GNc&amp;locale=en&amp;region_country=US"/>
    <hyperlink ref="A65" r:id="rId178" display="https://striking-viking.com/products/beard-growth-butter-with-biotin-4-oz-vanilla"/>
    <hyperlink ref="C65" r:id="rId179" display="https://striking-viking.com/customer_authentication/redirect?locale=en&amp;region_country=US"/>
    <hyperlink ref="F65" r:id="rId180" display="https://account.striking-viking.com/?buyer_flags=eyJhbGciOiJIUzI1NiJ9.eyJpc3MiOiJzdHJpa2luZy12aWtpbmcubXlzaG9waWZ5LmNvbSIsImZsYWdzIjpbXSwiZXhwIjoxNzkxMzU0NjI4LCJuYmYiOjE3OTA3NDk4Mjh9.W_JgIDP8DFSrhQ1ojmPBXziPlPpbfbt33v3WuNh9GNc&amp;locale=en&amp;region_country=US"/>
    <hyperlink ref="A66" r:id="rId181" display="https://striking-viking.com/pages/striking-viking-affiliate-program"/>
    <hyperlink ref="C66" r:id="rId182" display="https://striking-viking.com/customer_authentication/redirect?locale=en&amp;region_country=US"/>
    <hyperlink ref="F66" r:id="rId183" display="https://account.striking-viking.com/?buyer_flags=eyJhbGciOiJIUzI1NiJ9.eyJpc3MiOiJzdHJpa2luZy12aWtpbmcubXlzaG9waWZ5LmNvbSIsImZsYWdzIjpbXSwiZXhwIjoxNzkxMzU0NjI4LCJuYmYiOjE3OTA3NDk4Mjh9.W_JgIDP8DFSrhQ1ojmPBXziPlPpbfbt33v3WuNh9GNc&amp;locale=en&amp;region_country=US"/>
    <hyperlink ref="A67" r:id="rId184" display="https://striking-viking.com/products/striking-viking-wooden-beard-care-caddy-board-only"/>
    <hyperlink ref="C67" r:id="rId185" display="https://striking-viking.com/customer_authentication/redirect?locale=en&amp;region_country=US"/>
    <hyperlink ref="F67" r:id="rId186" display="https://account.striking-viking.com/?buyer_flags=eyJhbGciOiJIUzI1NiJ9.eyJpc3MiOiJzdHJpa2luZy12aWtpbmcubXlzaG9waWZ5LmNvbSIsImZsYWdzIjpbXSwiZXhwIjoxNzkxMzU0NjI4LCJuYmYiOjE3OTA3NDk4Mjh9.W_JgIDP8DFSrhQ1ojmPBXziPlPpbfbt33v3WuNh9GNc&amp;locale=en&amp;region_country=US"/>
    <hyperlink ref="A68" r:id="rId187" display="https://striking-viking.com/collections/beard-oil"/>
    <hyperlink ref="C68" r:id="rId188" display="https://striking-viking.com/customer_authentication/redirect?locale=en&amp;region_country=US"/>
    <hyperlink ref="F68" r:id="rId189" display="https://account.striking-viking.com/?buyer_flags=eyJhbGciOiJIUzI1NiJ9.eyJpc3MiOiJzdHJpa2luZy12aWtpbmcubXlzaG9waWZ5LmNvbSIsImZsYWdzIjpbXSwiZXhwIjoxNzkxMzU0NjI4LCJuYmYiOjE3OTA3NDk4Mjh9.W_JgIDP8DFSrhQ1ojmPBXziPlPpbfbt33v3WuNh9GNc&amp;locale=en&amp;region_country=US"/>
    <hyperlink ref="A69" r:id="rId190" display="https://striking-viking.com/products/striking-viking-vanilla-beard-growth-oil-with-biotin-castor-oil-for-fuller-beard-growth"/>
    <hyperlink ref="C69" r:id="rId191" display="https://striking-viking.com/customer_authentication/redirect?locale=en&amp;region_country=US"/>
    <hyperlink ref="F69" r:id="rId192" display="https://account.striking-viking.com/?buyer_flags=eyJhbGciOiJIUzI1NiJ9.eyJpc3MiOiJzdHJpa2luZy12aWtpbmcubXlzaG9waWZ5LmNvbSIsImZsYWdzIjpbXSwiZXhwIjoxNzkxMzU0NjI4LCJuYmYiOjE3OTA3NDk4Mjh9.W_JgIDP8DFSrhQ1ojmPBXziPlPpbfbt33v3WuNh9GNc&amp;locale=en&amp;region_country=US"/>
    <hyperlink ref="A70" r:id="rId193" display="https://striking-viking.com/products/striking-viking-peppermint-eucalyptus-beard-shampoo-conditioner-set-for-healthy-beard-care"/>
    <hyperlink ref="C70" r:id="rId194" display="https://striking-viking.com/customer_authentication/redirect?locale=en&amp;region_country=US"/>
    <hyperlink ref="F70" r:id="rId195" display="https://account.striking-viking.com/?buyer_flags=eyJhbGciOiJIUzI1NiJ9.eyJpc3MiOiJzdHJpa2luZy12aWtpbmcubXlzaG9waWZ5LmNvbSIsImZsYWdzIjpbXSwiZXhwIjoxNzkxMzU0NjI4LCJuYmYiOjE3OTA3NDk4Mjh9.W_JgIDP8DFSrhQ1ojmPBXziPlPpbfbt33v3WuNh9GNc&amp;locale=en&amp;region_country=US"/>
    <hyperlink ref="A71" r:id="rId196" display="https://striking-viking.com/products/striking-viking-boar-bristle-beard-brush-for-men-natural-beech-wood-grooming-brush"/>
    <hyperlink ref="C71" r:id="rId197" display="https://striking-viking.com/customer_authentication/redirect?locale=en&amp;region_country=US"/>
    <hyperlink ref="F71" r:id="rId198" display="https://account.striking-viking.com/?buyer_flags=eyJhbGciOiJIUzI1NiJ9.eyJpc3MiOiJzdHJpa2luZy12aWtpbmcubXlzaG9waWZ5LmNvbSIsImZsYWdzIjpbXSwiZXhwIjoxNzkxMzU0NjI4LCJuYmYiOjE3OTA3NDk4Mjh9.W_JgIDP8DFSrhQ1ojmPBXziPlPpbfbt33v3WuNh9GNc&amp;locale=en&amp;region_country=US"/>
    <hyperlink ref="A72" r:id="rId199" display="https://striking-viking.com/blogs/learn/why-your-beard-needs-more-than-just-a-comb"/>
    <hyperlink ref="C72" r:id="rId200" display="https://striking-viking.com/customer_authentication/redirect?locale=en&amp;region_country=US"/>
    <hyperlink ref="F72" r:id="rId201" display="https://account.striking-viking.com/?buyer_flags=eyJhbGciOiJIUzI1NiJ9.eyJpc3MiOiJzdHJpa2luZy12aWtpbmcubXlzaG9waWZ5LmNvbSIsImZsYWdzIjpbXSwiZXhwIjoxNzkxMzU0NjI4LCJuYmYiOjE3OTA3NDk4Mjh9.W_JgIDP8DFSrhQ1ojmPBXziPlPpbfbt33v3WuNh9GNc&amp;locale=en&amp;region_country=US"/>
    <hyperlink ref="A73" r:id="rId202" display="https://striking-viking.com/collections/best-sellers-grooming-kit"/>
    <hyperlink ref="C73" r:id="rId203" display="https://striking-viking.com/customer_authentication/redirect?locale=en&amp;region_country=US"/>
    <hyperlink ref="F73" r:id="rId204" display="https://account.striking-viking.com/?buyer_flags=eyJhbGciOiJIUzI1NiJ9.eyJpc3MiOiJzdHJpa2luZy12aWtpbmcubXlzaG9waWZ5LmNvbSIsImZsYWdzIjpbXSwiZXhwIjoxNzkxMzU0NjI4LCJuYmYiOjE3OTA3NDk4Mjh9.W_JgIDP8DFSrhQ1ojmPBXziPlPpbfbt33v3WuNh9GNc&amp;locale=en&amp;region_country=US"/>
    <hyperlink ref="A74" r:id="rId205" display="https://striking-viking.com/products/ontaki-beard-mustache-scissors-with-finger-rest-5-inch-german-steel-grooming-kit"/>
    <hyperlink ref="C74" r:id="rId206" display="https://striking-viking.com/customer_authentication/redirect?locale=en&amp;region_country=US"/>
    <hyperlink ref="F74" r:id="rId207" display="https://account.striking-viking.com/?buyer_flags=eyJhbGciOiJIUzI1NiJ9.eyJpc3MiOiJzdHJpa2luZy12aWtpbmcubXlzaG9waWZ5LmNvbSIsImZsYWdzIjpbXSwiZXhwIjoxNzkxMzU0NjI4LCJuYmYiOjE3OTA3NDk4Mjh9.W_JgIDP8DFSrhQ1ojmPBXziPlPpbfbt33v3WuNh9GNc&amp;locale=en&amp;region_country=US"/>
    <hyperlink ref="A75" r:id="rId208" display="https://striking-viking.com/products/striking-viking-unscented-beard-butter-for-moisturizing-softening-daily-beard-care"/>
    <hyperlink ref="C75" r:id="rId209" display="https://striking-viking.com/customer_authentication/redirect?locale=en&amp;region_country=US"/>
    <hyperlink ref="F75" r:id="rId210" display="https://account.striking-viking.com/?buyer_flags=eyJhbGciOiJIUzI1NiJ9.eyJpc3MiOiJzdHJpa2luZy12aWtpbmcubXlzaG9waWZ5LmNvbSIsImZsYWdzIjpbXSwiZXhwIjoxNzkxMzU0NjI4LCJuYmYiOjE3OTA3NDk4Mjh9.W_JgIDP8DFSrhQ1ojmPBXziPlPpbfbt33v3WuNh9GNc&amp;locale=en&amp;region_country=US"/>
    <hyperlink ref="A76" r:id="rId211" display="https://striking-viking.com/products/striking-viking-beard-grooming-kit-with-toiletry-bag-8-piece-mens-grooming-set"/>
    <hyperlink ref="C76" r:id="rId212" display="https://striking-viking.com/customer_authentication/redirect?locale=en&amp;region_country=US"/>
    <hyperlink ref="F76" r:id="rId213" display="https://account.striking-viking.com/?buyer_flags=eyJhbGciOiJIUzI1NiJ9.eyJpc3MiOiJzdHJpa2luZy12aWtpbmcubXlzaG9waWZ5LmNvbSIsImZsYWdzIjpbXSwiZXhwIjoxNzkxMzU0NjI4LCJuYmYiOjE3OTA3NDk4Mjh9.W_JgIDP8DFSrhQ1ojmPBXziPlPpbfbt33v3WuNh9GNc&amp;locale=en&amp;region_country=US"/>
    <hyperlink ref="A77" r:id="rId214" display="https://striking-viking.com/blogs/learn/level-up-your-beard-game-the-striking-viking-beard-filler-pen"/>
    <hyperlink ref="C77" r:id="rId215" display="https://striking-viking.com/customer_authentication/redirect?locale=en&amp;region_country=US"/>
    <hyperlink ref="F77" r:id="rId216" display="https://account.striking-viking.com/?buyer_flags=eyJhbGciOiJIUzI1NiJ9.eyJpc3MiOiJzdHJpa2luZy12aWtpbmcubXlzaG9waWZ5LmNvbSIsImZsYWdzIjpbXSwiZXhwIjoxNzkxMzU0NjI4LCJuYmYiOjE3OTA3NDk4Mjh9.W_JgIDP8DFSrhQ1ojmPBXziPlPpbfbt33v3WuNh9GNc&amp;locale=en&amp;region_country=US"/>
    <hyperlink ref="A78" r:id="rId217" display="https://striking-viking.com/blogs/learn/beard-oil-vs-beard-balm-solving-the-modern-problem-for-gentlemen-with-beards"/>
    <hyperlink ref="C78" r:id="rId218" display="https://striking-viking.com/customer_authentication/redirect?locale=en&amp;region_country=US"/>
    <hyperlink ref="F78" r:id="rId219" display="https://account.striking-viking.com/?buyer_flags=eyJhbGciOiJIUzI1NiJ9.eyJpc3MiOiJzdHJpa2luZy12aWtpbmcubXlzaG9waWZ5LmNvbSIsImZsYWdzIjpbXSwiZXhwIjoxNzkxMzU0NjI4LCJuYmYiOjE3OTA3NDk4Mjh9.W_JgIDP8DFSrhQ1ojmPBXziPlPpbfbt33v3WuNh9GNc&amp;locale=en&amp;region_country=US"/>
    <hyperlink ref="A79" r:id="rId220" display="https://striking-viking.com/products/striking-viking-beard-filler-pen-2-pack-waterproof-beard-pen-for-filling-gaps-covering-patches?variant=50685239755094"/>
    <hyperlink ref="C79" r:id="rId221" display="https://striking-viking.com/customer_authentication/redirect?locale=en&amp;region_country=US"/>
    <hyperlink ref="F79" r:id="rId222" display="https://account.striking-viking.com/?buyer_flags=eyJhbGciOiJIUzI1NiJ9.eyJpc3MiOiJzdHJpa2luZy12aWtpbmcubXlzaG9waWZ5LmNvbSIsImZsYWdzIjpbXSwiZXhwIjoxNzkxMzU0NjI4LCJuYmYiOjE3OTA3NDk4Mjh9.W_JgIDP8DFSrhQ1ojmPBXziPlPpbfbt33v3WuNh9GNc&amp;locale=en&amp;region_country=US"/>
    <hyperlink ref="A80" r:id="rId223" display="https://striking-viking.com/products/beard-butter-blue-ocean"/>
    <hyperlink ref="C80" r:id="rId224" display="https://striking-viking.com/customer_authentication/redirect?locale=en&amp;region_country=US"/>
    <hyperlink ref="F80" r:id="rId225" display="https://account.striking-viking.com/?buyer_flags=eyJhbGciOiJIUzI1NiJ9.eyJpc3MiOiJzdHJpa2luZy12aWtpbmcubXlzaG9waWZ5LmNvbSIsImZsYWdzIjpbXSwiZXhwIjoxNzkxMzU0NjI4LCJuYmYiOjE3OTA3NDk4Mjh9.W_JgIDP8DFSrhQ1ojmPBXziPlPpbfbt33v3WuNh9GNc&amp;locale=en&amp;region_country=US"/>
    <hyperlink ref="A81" r:id="rId226" display="https://striking-viking.com/products/striking-viking-beard-filler-pen-2-pack-waterproof-beard-pen-for-filling-gaps-covering-patches?variant=51787893113174"/>
    <hyperlink ref="C81" r:id="rId227" display="https://striking-viking.com/customer_authentication/redirect?locale=en&amp;region_country=US"/>
    <hyperlink ref="F81" r:id="rId228" display="https://account.striking-viking.com/?buyer_flags=eyJhbGciOiJIUzI1NiJ9.eyJpc3MiOiJzdHJpa2luZy12aWtpbmcubXlzaG9waWZ5LmNvbSIsImZsYWdzIjpbXSwiZXhwIjoxNzkxMzU0NjI4LCJuYmYiOjE3OTA3NDk4Mjh9.W_JgIDP8DFSrhQ1ojmPBXziPlPpbfbt33v3WuNh9GNc&amp;locale=en&amp;region_country=US"/>
    <hyperlink ref="A82" r:id="rId229" display="https://striking-viking.com/products/charlemagne-carbon-hair-comb-for-men-professional-heat-resistant-styling-detangling-comb"/>
    <hyperlink ref="C82" r:id="rId230" display="https://striking-viking.com/customer_authentication/redirect?locale=en&amp;region_country=US"/>
    <hyperlink ref="F82" r:id="rId231" display="https://account.striking-viking.com/?buyer_flags=eyJhbGciOiJIUzI1NiJ9.eyJpc3MiOiJzdHJpa2luZy12aWtpbmcubXlzaG9waWZ5LmNvbSIsImZsYWdzIjpbXSwiZXhwIjoxNzkxMzU0NjI4LCJuYmYiOjE3OTA3NDk4Mjh9.W_JgIDP8DFSrhQ1ojmPBXziPlPpbfbt33v3WuNh9GNc&amp;locale=en&amp;region_country=US"/>
    <hyperlink ref="A83" r:id="rId232" display="https://striking-viking.com/products/striking-viking-vanilla-beard-growth-bundle-with-biotin-beard-serum-titanium-derma-roller"/>
    <hyperlink ref="C83" r:id="rId233" display="https://striking-viking.com/customer_authentication/redirect?locale=en&amp;region_country=US"/>
    <hyperlink ref="F83" r:id="rId234" display="https://account.striking-viking.com/?buyer_flags=eyJhbGciOiJIUzI1NiJ9.eyJpc3MiOiJzdHJpa2luZy12aWtpbmcubXlzaG9waWZ5LmNvbSIsImZsYWdzIjpbXSwiZXhwIjoxNzkxMzU0NjI4LCJuYmYiOjE3OTA3NDk4Mjh9.W_JgIDP8DFSrhQ1ojmPBXziPlPpbfbt33v3WuNh9GNc&amp;locale=en&amp;region_country=US"/>
    <hyperlink ref="A84" r:id="rId235" display="https://striking-viking.com/products/striking-viking-beard-filler-pencil-with-dual-tip-pen-brush-for-natural-beard-styling?variant=52771898818902"/>
    <hyperlink ref="C84" r:id="rId236" display="https://striking-viking.com/customer_authentication/redirect?locale=en&amp;region_country=US"/>
    <hyperlink ref="F84" r:id="rId237" display="https://account.striking-viking.com/?buyer_flags=eyJhbGciOiJIUzI1NiJ9.eyJpc3MiOiJzdHJpa2luZy12aWtpbmcubXlzaG9waWZ5LmNvbSIsImZsYWdzIjpbXSwiZXhwIjoxNzkxMzU0NjI4LCJuYmYiOjE3OTA3NDk4Mjh9.W_JgIDP8DFSrhQ1ojmPBXziPlPpbfbt33v3WuNh9GNc&amp;locale=en&amp;region_country=US"/>
    <hyperlink ref="A85" r:id="rId238" display="https://striking-viking.com/collections/after-shave-balm"/>
    <hyperlink ref="C85" r:id="rId239" display="https://striking-viking.com/customer_authentication/redirect?locale=en&amp;region_country=US"/>
    <hyperlink ref="F85" r:id="rId240" display="https://account.striking-viking.com/?buyer_flags=eyJhbGciOiJIUzI1NiJ9.eyJpc3MiOiJzdHJpa2luZy12aWtpbmcubXlzaG9waWZ5LmNvbSIsImZsYWdzIjpbXSwiZXhwIjoxNzkxMzU0NjI4LCJuYmYiOjE3OTA3NDk4Mjh9.W_JgIDP8DFSrhQ1ojmPBXziPlPpbfbt33v3WuNh9GNc&amp;locale=en&amp;region_country=US"/>
    <hyperlink ref="A86" r:id="rId241" display="https://striking-viking.com/blogs/learn/top-10-beard-costumes-for-halloween"/>
    <hyperlink ref="C86" r:id="rId242" display="https://striking-viking.com/customer_authentication/redirect?locale=en&amp;region_country=US"/>
    <hyperlink ref="F86" r:id="rId243" display="https://account.striking-viking.com/?buyer_flags=eyJhbGciOiJIUzI1NiJ9.eyJpc3MiOiJzdHJpa2luZy12aWtpbmcubXlzaG9waWZ5LmNvbSIsImZsYWdzIjpbXSwiZXhwIjoxNzkxMzU0NjI4LCJuYmYiOjE3OTA3NDk4Mjh9.W_JgIDP8DFSrhQ1ojmPBXziPlPpbfbt33v3WuNh9GNc&amp;locale=en&amp;region_country=US"/>
    <hyperlink ref="A87" r:id="rId244" display="https://striking-viking.com/collections/powders"/>
    <hyperlink ref="C87" r:id="rId245" display="https://striking-viking.com/customer_authentication/redirect?locale=en&amp;region_country=US"/>
    <hyperlink ref="F87" r:id="rId246" display="https://account.striking-viking.com/?buyer_flags=eyJhbGciOiJIUzI1NiJ9.eyJpc3MiOiJzdHJpa2luZy12aWtpbmcubXlzaG9waWZ5LmNvbSIsImZsYWdzIjpbXSwiZXhwIjoxNzkxMzU0NjI4LCJuYmYiOjE3OTA3NDk4Mjh9.W_JgIDP8DFSrhQ1ojmPBXziPlPpbfbt33v3WuNh9GNc&amp;locale=en&amp;region_country=US"/>
    <hyperlink ref="A88" r:id="rId247" display="https://striking-viking.com/pages/sign-up"/>
    <hyperlink ref="C88" r:id="rId248" display="https://striking-viking.com/customer_authentication/redirect?locale=en&amp;region_country=US"/>
    <hyperlink ref="F88" r:id="rId249" display="https://account.striking-viking.com/?buyer_flags=eyJhbGciOiJIUzI1NiJ9.eyJpc3MiOiJzdHJpa2luZy12aWtpbmcubXlzaG9waWZ5LmNvbSIsImZsYWdzIjpbXSwiZXhwIjoxNzkxMzU0NjI4LCJuYmYiOjE3OTA3NDk4Mjh9.W_JgIDP8DFSrhQ1ojmPBXziPlPpbfbt33v3WuNh9GNc&amp;locale=en&amp;region_country=US"/>
    <hyperlink ref="A89" r:id="rId250" display="https://striking-viking.com/blogs/learn/ride-the-wave-striking-viking-sea-salt-spray-for-effortless-men-s-style"/>
    <hyperlink ref="C89" r:id="rId251" display="https://striking-viking.com/customer_authentication/redirect?locale=en&amp;region_country=US"/>
    <hyperlink ref="F89" r:id="rId252" display="https://account.striking-viking.com/?buyer_flags=eyJhbGciOiJIUzI1NiJ9.eyJpc3MiOiJzdHJpa2luZy12aWtpbmcubXlzaG9waWZ5LmNvbSIsImZsYWdzIjpbXSwiZXhwIjoxNzkxMzU0NjI4LCJuYmYiOjE3OTA3NDk4Mjh9.W_JgIDP8DFSrhQ1ojmPBXziPlPpbfbt33v3WuNh9GNc&amp;locale=en&amp;region_country=US"/>
    <hyperlink ref="A90" r:id="rId253" display="https://striking-viking.com/products/striking-viking-blue-ocean-beard-balm-for-men-natural-beard-balm-with-shea-butter-jojoba"/>
    <hyperlink ref="C90" r:id="rId254" display="https://striking-viking.com/customer_authentication/redirect?locale=en&amp;region_country=US"/>
    <hyperlink ref="F90" r:id="rId255" display="https://account.striking-viking.com/?buyer_flags=eyJhbGciOiJIUzI1NiJ9.eyJpc3MiOiJzdHJpa2luZy12aWtpbmcubXlzaG9waWZ5LmNvbSIsImZsYWdzIjpbXSwiZXhwIjoxNzkxMzU0NjI4LCJuYmYiOjE3OTA3NDk4Mjh9.W_JgIDP8DFSrhQ1ojmPBXziPlPpbfbt33v3WuNh9GNc&amp;locale=en&amp;region_country=US"/>
    <hyperlink ref="A91" r:id="rId256" display="https://striking-viking.com/blogs/learn/the-ultimate-guide-to-grooming-with-ontaki-scissors"/>
    <hyperlink ref="C91" r:id="rId257" display="https://striking-viking.com/customer_authentication/redirect?locale=en&amp;region_country=US"/>
    <hyperlink ref="F91" r:id="rId258" display="https://account.striking-viking.com/?buyer_flags=eyJhbGciOiJIUzI1NiJ9.eyJpc3MiOiJzdHJpa2luZy12aWtpbmcubXlzaG9waWZ5LmNvbSIsImZsYWdzIjpbXSwiZXhwIjoxNzkxMzU0NjI4LCJuYmYiOjE3OTA3NDk4Mjh9.W_JgIDP8DFSrhQ1ojmPBXziPlPpbfbt33v3WuNh9GNc&amp;locale=en&amp;region_country=US"/>
    <hyperlink ref="A92" r:id="rId259" display="https://striking-viking.com/products/striking-viking-cedarwood-beard-balm"/>
    <hyperlink ref="C92" r:id="rId260" display="https://striking-viking.com/customer_authentication/redirect?locale=en&amp;region_country=US"/>
    <hyperlink ref="F92" r:id="rId261" display="https://account.striking-viking.com/?buyer_flags=eyJhbGciOiJIUzI1NiJ9.eyJpc3MiOiJzdHJpa2luZy12aWtpbmcubXlzaG9waWZ5LmNvbSIsImZsYWdzIjpbXSwiZXhwIjoxNzkxMzU0NjI4LCJuYmYiOjE3OTA3NDk4Mjh9.W_JgIDP8DFSrhQ1ojmPBXziPlPpbfbt33v3WuNh9GNc&amp;locale=en&amp;region_country=US"/>
    <hyperlink ref="A93" r:id="rId262" display="https://striking-viking.com/products/beard-growth-butter-with-biotin-4-oz-blue-ocean"/>
    <hyperlink ref="C93" r:id="rId263" display="https://striking-viking.com/customer_authentication/redirect?locale=en&amp;region_country=US"/>
    <hyperlink ref="F93" r:id="rId264" display="https://account.striking-viking.com/?buyer_flags=eyJhbGciOiJIUzI1NiJ9.eyJpc3MiOiJzdHJpa2luZy12aWtpbmcubXlzaG9waWZ5LmNvbSIsImZsYWdzIjpbXSwiZXhwIjoxNzkxMzU0NjI4LCJuYmYiOjE3OTA3NDk4Mjh9.W_JgIDP8DFSrhQ1ojmPBXziPlPpbfbt33v3WuNh9GNc&amp;locale=en&amp;region_country=US"/>
    <hyperlink ref="A94" r:id="rId265" display="https://striking-viking.com/products/charlemagne-carbon-wide-tooth-comb-for-men-heat-resistant-carbon-fiber-hair-comb"/>
    <hyperlink ref="C94" r:id="rId266" display="https://striking-viking.com/customer_authentication/redirect?locale=en&amp;region_country=US"/>
    <hyperlink ref="F94" r:id="rId267" display="https://account.striking-viking.com/?buyer_flags=eyJhbGciOiJIUzI1NiJ9.eyJpc3MiOiJzdHJpa2luZy12aWtpbmcubXlzaG9waWZ5LmNvbSIsImZsYWdzIjpbXSwiZXhwIjoxNzkxMzU0NjI4LCJuYmYiOjE3OTA3NDk4Mjh9.W_JgIDP8DFSrhQ1ojmPBXziPlPpbfbt33v3WuNh9GNc&amp;locale=en&amp;region_country=US"/>
    <hyperlink ref="A95" r:id="rId268" display="https://striking-viking.com/collections/hair-care"/>
    <hyperlink ref="C95" r:id="rId269" display="https://striking-viking.com/customer_authentication/redirect?locale=en&amp;region_country=US"/>
    <hyperlink ref="F95" r:id="rId270" display="https://account.striking-viking.com/?buyer_flags=eyJhbGciOiJIUzI1NiJ9.eyJpc3MiOiJzdHJpa2luZy12aWtpbmcubXlzaG9waWZ5LmNvbSIsImZsYWdzIjpbXSwiZXhwIjoxNzkxMzU0NjI4LCJuYmYiOjE3OTA3NDk4Mjh9.W_JgIDP8DFSrhQ1ojmPBXziPlPpbfbt33v3WuNh9GNc&amp;locale=en&amp;region_country=US"/>
    <hyperlink ref="A96" r:id="rId271" display="https://striking-viking.com/blogs/learn/heads-shoulders-knees-and-toes-but-why-forget-the-beard"/>
    <hyperlink ref="C96" r:id="rId272" display="https://striking-viking.com/customer_authentication/redirect?locale=en&amp;region_country=US"/>
    <hyperlink ref="F96" r:id="rId273" display="https://account.striking-viking.com/?buyer_flags=eyJhbGciOiJIUzI1NiJ9.eyJpc3MiOiJzdHJpa2luZy12aWtpbmcubXlzaG9waWZ5LmNvbSIsImZsYWdzIjpbXSwiZXhwIjoxNzkxMzU0NjI4LCJuYmYiOjE3OTA3NDk4Mjh9.W_JgIDP8DFSrhQ1ojmPBXziPlPpbfbt33v3WuNh9GNc&amp;locale=en&amp;region_country=US"/>
    <hyperlink ref="A97" r:id="rId274" display="https://striking-viking.com/collections/shaving"/>
    <hyperlink ref="C97" r:id="rId275" display="https://striking-viking.com/customer_authentication/redirect?locale=en&amp;region_country=US"/>
    <hyperlink ref="F97" r:id="rId276" display="https://account.striking-viking.com/?buyer_flags=eyJhbGciOiJIUzI1NiJ9.eyJpc3MiOiJzdHJpa2luZy12aWtpbmcubXlzaG9waWZ5LmNvbSIsImZsYWdzIjpbXSwiZXhwIjoxNzkxMzU0NjI4LCJuYmYiOjE3OTA3NDk4Mjh9.W_JgIDP8DFSrhQ1ojmPBXziPlPpbfbt33v3WuNh9GNc&amp;locale=en&amp;region_country=US"/>
    <hyperlink ref="A98" r:id="rId277" display="https://striking-viking.com/products/striking-viking-sandalwood-beard-growth-bundle-with-titanium-derma-roller-beard-growth-serum"/>
    <hyperlink ref="C98" r:id="rId278" display="https://striking-viking.com/customer_authentication/redirect?locale=en&amp;region_country=US"/>
    <hyperlink ref="F98" r:id="rId279" display="https://account.striking-viking.com/?buyer_flags=eyJhbGciOiJIUzI1NiJ9.eyJpc3MiOiJzdHJpa2luZy12aWtpbmcubXlzaG9waWZ5LmNvbSIsImZsYWdzIjpbXSwiZXhwIjoxNzkxMzU0NjI4LCJuYmYiOjE3OTA3NDk4Mjh9.W_JgIDP8DFSrhQ1ojmPBXziPlPpbfbt33v3WuNh9GNc&amp;locale=en&amp;region_country=US"/>
    <hyperlink ref="A99" r:id="rId280" display="https://striking-viking.com/products/striking-viking-sandalwood-beard-butter-for-soft-hydrated-healthy-beard-care-for-men"/>
    <hyperlink ref="C99" r:id="rId281" display="https://striking-viking.com/customer_authentication/redirect?locale=en&amp;region_country=US"/>
    <hyperlink ref="F99" r:id="rId282" display="https://account.striking-viking.com/?buyer_flags=eyJhbGciOiJIUzI1NiJ9.eyJpc3MiOiJzdHJpa2luZy12aWtpbmcubXlzaG9waWZ5LmNvbSIsImZsYWdzIjpbXSwiZXhwIjoxNzkxMzU0NjI4LCJuYmYiOjE3OTA3NDk4Mjh9.W_JgIDP8DFSrhQ1ojmPBXziPlPpbfbt33v3WuNh9GNc&amp;locale=en&amp;region_country=US"/>
    <hyperlink ref="A100" r:id="rId283" display="https://striking-viking.com/products/round-hair-brush"/>
    <hyperlink ref="C100" r:id="rId284" display="https://striking-viking.com/customer_authentication/redirect?locale=en&amp;region_country=US"/>
    <hyperlink ref="F100" r:id="rId285" display="https://account.striking-viking.com/?buyer_flags=eyJhbGciOiJIUzI1NiJ9.eyJpc3MiOiJzdHJpa2luZy12aWtpbmcubXlzaG9waWZ5LmNvbSIsImZsYWdzIjpbXSwiZXhwIjoxNzkxMzU0NjI4LCJuYmYiOjE3OTA3NDk4Mjh9.W_JgIDP8DFSrhQ1ojmPBXziPlPpbfbt33v3WuNh9GNc&amp;locale=en&amp;region_country=US"/>
    <hyperlink ref="A101" r:id="rId286" display="https://striking-viking.com/products/striking-viking-beard-filler-pencil-with-dual-tip-pen-brush-for-natural-beard-styling?variant=52771898982742"/>
    <hyperlink ref="C101" r:id="rId287" display="https://striking-viking.com/customer_authentication/redirect?locale=en&amp;region_country=US"/>
    <hyperlink ref="F101" r:id="rId288" display="https://account.striking-viking.com/?buyer_flags=eyJhbGciOiJIUzI1NiJ9.eyJpc3MiOiJzdHJpa2luZy12aWtpbmcubXlzaG9waWZ5LmNvbSIsImZsYWdzIjpbXSwiZXhwIjoxNzkxMzU0NjI4LCJuYmYiOjE3OTA3NDk4Mjh9.W_JgIDP8DFSrhQ1ojmPBXziPlPpbfbt33v3WuNh9GNc&amp;locale=en&amp;region_country=US"/>
    <hyperlink ref="A102" r:id="rId289" display="https://striking-viking.com/products/striking-viking-hair-styling-powder-for-men-light-hold-vanilla-natural-volume-texture"/>
    <hyperlink ref="C102" r:id="rId290" display="https://striking-viking.com/customer_authentication/redirect?locale=en&amp;region_country=US"/>
    <hyperlink ref="F102" r:id="rId291" display="https://account.striking-viking.com/?buyer_flags=eyJhbGciOiJIUzI1NiJ9.eyJpc3MiOiJzdHJpa2luZy12aWtpbmcubXlzaG9waWZ5LmNvbSIsImZsYWdzIjpbXSwiZXhwIjoxNzkxMzU0NjI4LCJuYmYiOjE3OTA3NDk4Mjh9.W_JgIDP8DFSrhQ1ojmPBXziPlPpbfbt33v3WuNh9GNc&amp;locale=en&amp;region_country=US"/>
    <hyperlink ref="A103" r:id="rId292" display="https://striking-viking.com/products/striking-viking-beard-filler-pen-2-pack-waterproof-beard-pen-for-filling-gaps-covering-patches?variant=50685199712598"/>
    <hyperlink ref="C103" r:id="rId293" display="https://striking-viking.com/customer_authentication/redirect?locale=en&amp;region_country=US"/>
    <hyperlink ref="F103" r:id="rId294" display="https://account.striking-viking.com/?buyer_flags=eyJhbGciOiJIUzI1NiJ9.eyJpc3MiOiJzdHJpa2luZy12aWtpbmcubXlzaG9waWZ5LmNvbSIsImZsYWdzIjpbXSwiZXhwIjoxNzkxMzU0NjI4LCJuYmYiOjE3OTA3NDk4Mjh9.W_JgIDP8DFSrhQ1ojmPBXziPlPpbfbt33v3WuNh9GNc&amp;locale=en&amp;region_country=US"/>
    <hyperlink ref="A104" r:id="rId295" display="https://striking-viking.com/pages/special-discount"/>
    <hyperlink ref="C104" r:id="rId296" display="https://striking-viking.com/customer_authentication/redirect?locale=en&amp;region_country=US"/>
    <hyperlink ref="F104" r:id="rId297" display="https://account.striking-viking.com/?buyer_flags=eyJhbGciOiJIUzI1NiJ9.eyJpc3MiOiJzdHJpa2luZy12aWtpbmcubXlzaG9waWZ5LmNvbSIsImZsYWdzIjpbXSwiZXhwIjoxNzkxMzU0NjI4LCJuYmYiOjE3OTA3NDk4Mjh9.W_JgIDP8DFSrhQ1ojmPBXziPlPpbfbt33v3WuNh9GNc&amp;locale=en&amp;region_country=US"/>
    <hyperlink ref="A105" r:id="rId298" display="https://striking-viking.com/products/striking-viking-beard-filler-pencil-with-dual-tip-pen-brush-for-natural-beard-styling?variant=52771898884438"/>
    <hyperlink ref="C105" r:id="rId299" display="https://striking-viking.com/customer_authentication/redirect?locale=en&amp;region_country=US"/>
    <hyperlink ref="F105" r:id="rId300" display="https://account.striking-viking.com/?buyer_flags=eyJhbGciOiJIUzI1NiJ9.eyJpc3MiOiJzdHJpa2luZy12aWtpbmcubXlzaG9waWZ5LmNvbSIsImZsYWdzIjpbXSwiZXhwIjoxNzkxMzU0NjI4LCJuYmYiOjE3OTA3NDk4Mjh9.W_JgIDP8DFSrhQ1ojmPBXziPlPpbfbt33v3WuNh9GNc&amp;locale=en&amp;region_country=US"/>
    <hyperlink ref="A106" r:id="rId301" display="https://striking-viking.com/collections/beard-balm"/>
    <hyperlink ref="C106" r:id="rId302" display="https://striking-viking.com/customer_authentication/redirect?locale=en&amp;region_country=US"/>
    <hyperlink ref="F106" r:id="rId303" display="https://account.striking-viking.com/?buyer_flags=eyJhbGciOiJIUzI1NiJ9.eyJpc3MiOiJzdHJpa2luZy12aWtpbmcubXlzaG9waWZ5LmNvbSIsImZsYWdzIjpbXSwiZXhwIjoxNzkxMzU0NjI4LCJuYmYiOjE3OTA3NDk4Mjh9.W_JgIDP8DFSrhQ1ojmPBXziPlPpbfbt33v3WuNh9GNc&amp;locale=en&amp;region_country=US"/>
    <hyperlink ref="A107" r:id="rId304" display="https://striking-viking.com/collections/biotin-beard-growth"/>
    <hyperlink ref="C107" r:id="rId305" display="https://striking-viking.com/customer_authentication/redirect?locale=en&amp;region_country=US"/>
    <hyperlink ref="F107" r:id="rId306" display="https://account.striking-viking.com/?buyer_flags=eyJhbGciOiJIUzI1NiJ9.eyJpc3MiOiJzdHJpa2luZy12aWtpbmcubXlzaG9waWZ5LmNvbSIsImZsYWdzIjpbXSwiZXhwIjoxNzkxMzU0NjI4LCJuYmYiOjE3OTA3NDk4Mjh9.W_JgIDP8DFSrhQ1ojmPBXziPlPpbfbt33v3WuNh9GNc&amp;locale=en&amp;region_country=US"/>
    <hyperlink ref="A108" r:id="rId307" display="https://striking-viking.com/collections/brushes"/>
    <hyperlink ref="C108" r:id="rId308" display="https://striking-viking.com/customer_authentication/redirect?locale=en&amp;region_country=US"/>
    <hyperlink ref="F108" r:id="rId309" display="https://account.striking-viking.com/?buyer_flags=eyJhbGciOiJIUzI1NiJ9.eyJpc3MiOiJzdHJpa2luZy12aWtpbmcubXlzaG9waWZ5LmNvbSIsImZsYWdzIjpbXSwiZXhwIjoxNzkxMzU0NjI4LCJuYmYiOjE3OTA3NDk4Mjh9.W_JgIDP8DFSrhQ1ojmPBXziPlPpbfbt33v3WuNh9GNc&amp;locale=en&amp;region_country=US"/>
    <hyperlink ref="A109" r:id="rId310" display="https://striking-viking.com/blogs/learn/what-is-movember-unveiling-the-significance-behind-the-month-of-facial-fuzz"/>
    <hyperlink ref="C109" r:id="rId311" display="https://striking-viking.com/customer_authentication/redirect?locale=en&amp;region_country=US"/>
    <hyperlink ref="F109" r:id="rId312" display="https://account.striking-viking.com/?buyer_flags=eyJhbGciOiJIUzI1NiJ9.eyJpc3MiOiJzdHJpa2luZy12aWtpbmcubXlzaG9waWZ5LmNvbSIsImZsYWdzIjpbXSwiZXhwIjoxNzkxMzU0NjI4LCJuYmYiOjE3OTA3NDk4Mjh9.W_JgIDP8DFSrhQ1ojmPBXziPlPpbfbt33v3WuNh9GNc&amp;locale=en&amp;region_country=US"/>
    <hyperlink ref="A110" r:id="rId313" display="https://striking-viking.com/products/striking-viking-vanilla-shaving-cream-for-men-rich-lather-for-a-smooth-comfortable-shave"/>
    <hyperlink ref="C110" r:id="rId314" display="https://striking-viking.com/customer_authentication/redirect?locale=en&amp;region_country=US"/>
    <hyperlink ref="F110" r:id="rId315" display="https://account.striking-viking.com/?buyer_flags=eyJhbGciOiJIUzI1NiJ9.eyJpc3MiOiJzdHJpa2luZy12aWtpbmcubXlzaG9waWZ5LmNvbSIsImZsYWdzIjpbXSwiZXhwIjoxNzkxMzU0NjI4LCJuYmYiOjE3OTA3NDk4Mjh9.W_JgIDP8DFSrhQ1ojmPBXziPlPpbfbt33v3WuNh9GNc&amp;locale=en&amp;region_country=US"/>
    <hyperlink ref="A111" r:id="rId316" display="https://striking-viking.com/products/striking-viking-unscented-after-shave-balm-for-men-soothing-hydration-skin-care"/>
    <hyperlink ref="C111" r:id="rId317" display="https://striking-viking.com/customer_authentication/redirect?locale=en&amp;region_country=US"/>
    <hyperlink ref="F111" r:id="rId318" display="https://account.striking-viking.com/?buyer_flags=eyJhbGciOiJIUzI1NiJ9.eyJpc3MiOiJzdHJpa2luZy12aWtpbmcubXlzaG9waWZ5LmNvbSIsImZsYWdzIjpbXSwiZXhwIjoxNzkxMzU0NjI4LCJuYmYiOjE3OTA3NDk4Mjh9.W_JgIDP8DFSrhQ1ojmPBXziPlPpbfbt33v3WuNh9GNc&amp;locale=en&amp;region_country=US"/>
    <hyperlink ref="A112" r:id="rId319" display="https://striking-viking.com/products/striking-viking-beard-shampoo-with-natural-peppermint-eucalyptus-for-refreshing-beard-care"/>
    <hyperlink ref="C112" r:id="rId320" display="https://striking-viking.com/customer_authentication/redirect?locale=en&amp;region_country=US"/>
    <hyperlink ref="F112" r:id="rId321" display="https://account.striking-viking.com/?buyer_flags=eyJhbGciOiJIUzI1NiJ9.eyJpc3MiOiJzdHJpa2luZy12aWtpbmcubXlzaG9waWZ5LmNvbSIsImZsYWdzIjpbXSwiZXhwIjoxNzkxMzU0NjI4LCJuYmYiOjE3OTA3NDk4Mjh9.W_JgIDP8DFSrhQ1ojmPBXziPlPpbfbt33v3WuNh9GNc&amp;locale=en&amp;region_country=US"/>
    <hyperlink ref="A113" r:id="rId322" display="https://striking-viking.com/blogs/learn/41241281-the-dude"/>
    <hyperlink ref="C113" r:id="rId323" display="https://striking-viking.com/customer_authentication/redirect?locale=en&amp;region_country=US"/>
    <hyperlink ref="F113" r:id="rId324" display="https://account.striking-viking.com/?buyer_flags=eyJhbGciOiJIUzI1NiJ9.eyJpc3MiOiJzdHJpa2luZy12aWtpbmcubXlzaG9waWZ5LmNvbSIsImZsYWdzIjpbXSwiZXhwIjoxNzkxMzU0NjI4LCJuYmYiOjE3OTA3NDk4Mjh9.W_JgIDP8DFSrhQ1ojmPBXziPlPpbfbt33v3WuNh9GNc&amp;locale=en&amp;region_country=US"/>
    <hyperlink ref="A114" r:id="rId325" display="https://striking-viking.com/products/striking-viking-bergamot-thunder-beard-balm-for-men-natural-beard-balm-with-shea-butter"/>
    <hyperlink ref="C114" r:id="rId326" display="https://striking-viking.com/customer_authentication/redirect?locale=en&amp;region_country=US"/>
    <hyperlink ref="F114" r:id="rId327" display="https://account.striking-viking.com/?buyer_flags=eyJhbGciOiJIUzI1NiJ9.eyJpc3MiOiJzdHJpa2luZy12aWtpbmcubXlzaG9waWZ5LmNvbSIsImZsYWdzIjpbXSwiZXhwIjoxNzkxMzU0NjI4LCJuYmYiOjE3OTA3NDk4Mjh9.W_JgIDP8DFSrhQ1ojmPBXziPlPpbfbt33v3WuNh9GNc&amp;locale=en&amp;region_country=US"/>
    <hyperlink ref="A115" r:id="rId328" display="https://striking-viking.com/products/gift-card-striking-viking"/>
    <hyperlink ref="C115" r:id="rId329" display="https://striking-viking.com/customer_authentication/redirect?locale=en&amp;region_country=US"/>
    <hyperlink ref="F115" r:id="rId330" display="https://account.striking-viking.com/?buyer_flags=eyJhbGciOiJIUzI1NiJ9.eyJpc3MiOiJzdHJpa2luZy12aWtpbmcubXlzaG9waWZ5LmNvbSIsImZsYWdzIjpbXSwiZXhwIjoxNzkxMzU0NjI4LCJuYmYiOjE3OTA3NDk4Mjh9.W_JgIDP8DFSrhQ1ojmPBXziPlPpbfbt33v3WuNh9GNc&amp;locale=en&amp;region_country=US"/>
    <hyperlink ref="A116" r:id="rId331" display="https://striking-viking.com/products/beard-growth-butter-with-biotin-4-oz-sandalwood"/>
    <hyperlink ref="C116" r:id="rId332" display="https://striking-viking.com/customer_authentication/redirect?locale=en&amp;region_country=US"/>
    <hyperlink ref="F116" r:id="rId333" display="https://account.striking-viking.com/?buyer_flags=eyJhbGciOiJIUzI1NiJ9.eyJpc3MiOiJzdHJpa2luZy12aWtpbmcubXlzaG9waWZ5LmNvbSIsImZsYWdzIjpbXSwiZXhwIjoxNzkxMzU0NjI4LCJuYmYiOjE3OTA3NDk4Mjh9.W_JgIDP8DFSrhQ1ojmPBXziPlPpbfbt33v3WuNh9GNc&amp;locale=en&amp;region_country=US"/>
    <hyperlink ref="A117" r:id="rId334" display="https://striking-viking.com/products/striking-viking-unscented-pre-shave-oil-for-men-smooth-razor-glide-skin-protection"/>
    <hyperlink ref="C117" r:id="rId335" display="https://striking-viking.com/customer_authentication/redirect?locale=en&amp;region_country=US"/>
    <hyperlink ref="F117" r:id="rId336" display="https://account.striking-viking.com/?buyer_flags=eyJhbGciOiJIUzI1NiJ9.eyJpc3MiOiJzdHJpa2luZy12aWtpbmcubXlzaG9waWZ5LmNvbSIsImZsYWdzIjpbXSwiZXhwIjoxNzkxMzU0NjI4LCJuYmYiOjE3OTA3NDk4Mjh9.W_JgIDP8DFSrhQ1ojmPBXziPlPpbfbt33v3WuNh9GNc&amp;locale=en&amp;region_country=US"/>
    <hyperlink ref="A118" r:id="rId337" display="https://striking-viking.com/blogs/learn/how-to-fill-in-a-patchy-beard"/>
    <hyperlink ref="C118" r:id="rId338" display="https://striking-viking.com/customer_authentication/redirect?locale=en&amp;region_country=US"/>
    <hyperlink ref="F118" r:id="rId339" display="https://account.striking-viking.com/?buyer_flags=eyJhbGciOiJIUzI1NiJ9.eyJpc3MiOiJzdHJpa2luZy12aWtpbmcubXlzaG9waWZ5LmNvbSIsImZsYWdzIjpbXSwiZXhwIjoxNzkxMzU0NjI4LCJuYmYiOjE3OTA3NDk4Mjh9.W_JgIDP8DFSrhQ1ojmPBXziPlPpbfbt33v3WuNh9GNc&amp;locale=en&amp;region_country=US"/>
    <hyperlink ref="A119" r:id="rId340" display="https://striking-viking.com/collections/beard-wash"/>
    <hyperlink ref="C119" r:id="rId341" display="https://striking-viking.com/customer_authentication/redirect?locale=en&amp;region_country=US"/>
    <hyperlink ref="F119" r:id="rId342" display="https://account.striking-viking.com/?buyer_flags=eyJhbGciOiJIUzI1NiJ9.eyJpc3MiOiJzdHJpa2luZy12aWtpbmcubXlzaG9waWZ5LmNvbSIsImZsYWdzIjpbXSwiZXhwIjoxNzkxMzU0NjI4LCJuYmYiOjE3OTA3NDk4Mjh9.W_JgIDP8DFSrhQ1ojmPBXziPlPpbfbt33v3WuNh9GNc&amp;locale=en&amp;region_country=US"/>
    <hyperlink ref="A120" r:id="rId343" display="https://striking-viking.com/products/striking-viking-beard-growth-power-kit-with-biotin-beard-oil-shampoo-derma-roller"/>
    <hyperlink ref="C120" r:id="rId344" display="https://striking-viking.com/customer_authentication/redirect?locale=en&amp;region_country=US"/>
    <hyperlink ref="F120" r:id="rId345" display="https://account.striking-viking.com/?buyer_flags=eyJhbGciOiJIUzI1NiJ9.eyJpc3MiOiJzdHJpa2luZy12aWtpbmcubXlzaG9waWZ5LmNvbSIsImZsYWdzIjpbXSwiZXhwIjoxNzkxMzU0NjI4LCJuYmYiOjE3OTA3NDk4Mjh9.W_JgIDP8DFSrhQ1ojmPBXziPlPpbfbt33v3WuNh9GNc&amp;locale=en&amp;region_country=US"/>
    <hyperlink ref="A121" r:id="rId346" display="https://striking-viking.com/products/striking-viking-sandalwood-beard-oil"/>
    <hyperlink ref="C121" r:id="rId347" display="https://striking-viking.com/customer_authentication/redirect?locale=en&amp;region_country=US"/>
    <hyperlink ref="F121" r:id="rId348" display="https://account.striking-viking.com/?buyer_flags=eyJhbGciOiJIUzI1NiJ9.eyJpc3MiOiJzdHJpa2luZy12aWtpbmcubXlzaG9waWZ5LmNvbSIsImZsYWdzIjpbXSwiZXhwIjoxNzkxMzU0NjI4LCJuYmYiOjE3OTA3NDk4Mjh9.W_JgIDP8DFSrhQ1ojmPBXziPlPpbfbt33v3WuNh9GNc&amp;locale=en&amp;region_country=US"/>
    <hyperlink ref="A122" r:id="rId349" display="https://striking-viking.com/products/striking-viking-blue-ocean-beard-oil-for-men-natural-beard-growth-oil-with-argan-jojoba"/>
    <hyperlink ref="C122" r:id="rId350" display="https://striking-viking.com/customer_authentication/redirect?locale=en&amp;region_country=US"/>
    <hyperlink ref="F122" r:id="rId351" display="https://account.striking-viking.com/?buyer_flags=eyJhbGciOiJIUzI1NiJ9.eyJpc3MiOiJzdHJpa2luZy12aWtpbmcubXlzaG9waWZ5LmNvbSIsImZsYWdzIjpbXSwiZXhwIjoxNzkxMzU0NjI4LCJuYmYiOjE3OTA3NDk4Mjh9.W_JgIDP8DFSrhQ1ojmPBXziPlPpbfbt33v3WuNh9GNc&amp;locale=en&amp;region_country=US"/>
    <hyperlink ref="A123" r:id="rId352" display="https://striking-viking.com/pages/beard-filler-pens"/>
    <hyperlink ref="C123" r:id="rId353" display="https://striking-viking.com/customer_authentication/redirect?locale=en&amp;region_country=US"/>
    <hyperlink ref="F123" r:id="rId354" display="https://account.striking-viking.com/?buyer_flags=eyJhbGciOiJIUzI1NiJ9.eyJpc3MiOiJzdHJpa2luZy12aWtpbmcubXlzaG9waWZ5LmNvbSIsImZsYWdzIjpbXSwiZXhwIjoxNzkxMzU0NjI4LCJuYmYiOjE3OTA3NDk4Mjh9.W_JgIDP8DFSrhQ1ojmPBXziPlPpbfbt33v3WuNh9GNc&amp;locale=en&amp;region_country=US"/>
    <hyperlink ref="A124" r:id="rId355" display="https://striking-viking.com/pages/write-a-review"/>
    <hyperlink ref="C124" r:id="rId356" display="https://striking-viking.com/customer_authentication/redirect?locale=en&amp;region_country=US"/>
    <hyperlink ref="F124" r:id="rId357" display="https://account.striking-viking.com/?buyer_flags=eyJhbGciOiJIUzI1NiJ9.eyJpc3MiOiJzdHJpa2luZy12aWtpbmcubXlzaG9waWZ5LmNvbSIsImZsYWdzIjpbXSwiZXhwIjoxNzkxMzU0NjI4LCJuYmYiOjE3OTA3NDk4Mjh9.W_JgIDP8DFSrhQ1ojmPBXziPlPpbfbt33v3WuNh9GNc&amp;locale=en&amp;region_country=US"/>
    <hyperlink ref="A125" r:id="rId358" display="https://striking-viking.com/blogs/learn/grooming-products-to-pamper-your-beard-flyaway"/>
    <hyperlink ref="C125" r:id="rId359" display="https://striking-viking.com/customer_authentication/redirect?locale=en&amp;region_country=US"/>
    <hyperlink ref="F125" r:id="rId360" display="https://account.striking-viking.com/?buyer_flags=eyJhbGciOiJIUzI1NiJ9.eyJpc3MiOiJzdHJpa2luZy12aWtpbmcubXlzaG9waWZ5LmNvbSIsImZsYWdzIjpbXSwiZXhwIjoxNzkxMzU0NjI4LCJuYmYiOjE3OTA3NDk4Mjh9.W_JgIDP8DFSrhQ1ojmPBXziPlPpbfbt33v3WuNh9GNc&amp;locale=en&amp;region_country=US"/>
    <hyperlink ref="A126" r:id="rId361" display="https://striking-viking.com/products/striking-viking-beard-filler-pencil-with-dual-tip-pen-brush-for-natural-beard-styling?variant=52771898917206"/>
    <hyperlink ref="C126" r:id="rId362" display="https://striking-viking.com/customer_authentication/redirect?locale=en&amp;region_country=US"/>
    <hyperlink ref="F126" r:id="rId363" display="https://account.striking-viking.com/?buyer_flags=eyJhbGciOiJIUzI1NiJ9.eyJpc3MiOiJzdHJpa2luZy12aWtpbmcubXlzaG9waWZ5LmNvbSIsImZsYWdzIjpbXSwiZXhwIjoxNzkxMzU0NjI4LCJuYmYiOjE3OTA3NDk4Mjh9.W_JgIDP8DFSrhQ1ojmPBXziPlPpbfbt33v3WuNh9GNc&amp;locale=en&amp;region_country=US"/>
    <hyperlink ref="A127" r:id="rId364" display="https://striking-viking.com/products/striking-viking-beard-filler-pen-2-pack-waterproof-beard-pen-for-filling-gaps-covering-patches?variant=40283199242294"/>
    <hyperlink ref="C127" r:id="rId365" display="https://striking-viking.com/customer_authentication/redirect?locale=en&amp;region_country=US"/>
    <hyperlink ref="F127" r:id="rId366" display="https://account.striking-viking.com/?buyer_flags=eyJhbGciOiJIUzI1NiJ9.eyJpc3MiOiJzdHJpa2luZy12aWtpbmcubXlzaG9waWZ5LmNvbSIsImZsYWdzIjpbXSwiZXhwIjoxNzkxMzU0NjI4LCJuYmYiOjE3OTA3NDk4Mjh9.W_JgIDP8DFSrhQ1ojmPBXziPlPpbfbt33v3WuNh9GNc&amp;locale=en&amp;region_country=US"/>
    <hyperlink ref="A128" r:id="rId367" display="https://striking-viking.com/pages/become-a-reseller"/>
    <hyperlink ref="C128" r:id="rId368" display="https://striking-viking.com/customer_authentication/redirect?locale=en&amp;region_country=US"/>
    <hyperlink ref="F128" r:id="rId369" display="https://account.striking-viking.com/?buyer_flags=eyJhbGciOiJIUzI1NiJ9.eyJpc3MiOiJzdHJpa2luZy12aWtpbmcubXlzaG9waWZ5LmNvbSIsImZsYWdzIjpbXSwiZXhwIjoxNzkxMzU0NjI4LCJuYmYiOjE3OTA3NDk4Mjh9.W_JgIDP8DFSrhQ1ojmPBXziPlPpbfbt33v3WuNh9GNc&amp;locale=en&amp;region_country=US"/>
    <hyperlink ref="A129" r:id="rId370" display="https://striking-viking.com/products/striking-viking-beard-filler-pen-2-pack-waterproof-beard-pen-for-filling-gaps-covering-patches?variant=40283191017526"/>
    <hyperlink ref="C129" r:id="rId371" display="https://striking-viking.com/customer_authentication/redirect?locale=en&amp;region_country=US"/>
    <hyperlink ref="F129" r:id="rId372" display="https://account.striking-viking.com/?buyer_flags=eyJhbGciOiJIUzI1NiJ9.eyJpc3MiOiJzdHJpa2luZy12aWtpbmcubXlzaG9waWZ5LmNvbSIsImZsYWdzIjpbXSwiZXhwIjoxNzkxMzU0NjI4LCJuYmYiOjE3OTA3NDk4Mjh9.W_JgIDP8DFSrhQ1ojmPBXziPlPpbfbt33v3WuNh9GNc&amp;locale=en&amp;region_country=US"/>
    <hyperlink ref="A130" r:id="rId373" display="https://striking-viking.com/blogs/learn/the-ultimate-beard-growth-routine-for-a-thicker-healthier-beard-2026-guide"/>
    <hyperlink ref="C130" r:id="rId374" display="https://striking-viking.com/customer_authentication/redirect?locale=en&amp;region_country=US"/>
    <hyperlink ref="F130" r:id="rId375" display="https://account.striking-viking.com/?buyer_flags=eyJhbGciOiJIUzI1NiJ9.eyJpc3MiOiJzdHJpa2luZy12aWtpbmcubXlzaG9waWZ5LmNvbSIsImZsYWdzIjpbXSwiZXhwIjoxNzkxMzU0NjI4LCJuYmYiOjE3OTA3NDk4Mjh9.W_JgIDP8DFSrhQ1ojmPBXziPlPpbfbt33v3WuNh9GNc&amp;locale=en&amp;region_country=US"/>
    <hyperlink ref="A131" r:id="rId376" display="https://striking-viking.com/products/ontaki-german-steel-beard-mustache-scissors-professional-grooming-kit"/>
    <hyperlink ref="C131" r:id="rId377" display="https://striking-viking.com/customer_authentication/redirect?locale=en&amp;region_country=US"/>
    <hyperlink ref="F131" r:id="rId378" display="https://account.striking-viking.com/?buyer_flags=eyJhbGciOiJIUzI1NiJ9.eyJpc3MiOiJzdHJpa2luZy12aWtpbmcubXlzaG9waWZ5LmNvbSIsImZsYWdzIjpbXSwiZXhwIjoxNzkxMzU0NjI4LCJuYmYiOjE3OTA3NDk4Mjh9.W_JgIDP8DFSrhQ1ojmPBXziPlPpbfbt33v3WuNh9GNc&amp;locale=en&amp;region_country=US"/>
    <hyperlink ref="A132" r:id="rId379" display="https://striking-viking.com/products/striking-viking-sandalwood-beard-growth-kit-with-biotin-oil-0-25mm-derma-roller"/>
    <hyperlink ref="C132" r:id="rId380" display="https://striking-viking.com/customer_authentication/redirect?locale=en&amp;region_country=US"/>
    <hyperlink ref="F132" r:id="rId381" display="https://account.striking-viking.com/?buyer_flags=eyJhbGciOiJIUzI1NiJ9.eyJpc3MiOiJzdHJpa2luZy12aWtpbmcubXlzaG9waWZ5LmNvbSIsImZsYWdzIjpbXSwiZXhwIjoxNzkxMzU0NjI4LCJuYmYiOjE3OTA3NDk4Mjh9.W_JgIDP8DFSrhQ1ojmPBXziPlPpbfbt33v3WuNh9GNc&amp;locale=en&amp;region_country=US"/>
    <hyperlink ref="A133" r:id="rId382" display="https://striking-viking.com/blogs/learn/tame-the-wild-meet-the-striking-viking-sandalwood-beard-comb"/>
    <hyperlink ref="C133" r:id="rId383" display="https://striking-viking.com/customer_authentication/redirect?locale=en&amp;region_country=US"/>
    <hyperlink ref="F133" r:id="rId384" display="https://account.striking-viking.com/?buyer_flags=eyJhbGciOiJIUzI1NiJ9.eyJpc3MiOiJzdHJpa2luZy12aWtpbmcubXlzaG9waWZ5LmNvbSIsImZsYWdzIjpbXSwiZXhwIjoxNzkxMzU0NjI4LCJuYmYiOjE3OTA3NDk4Mjh9.W_JgIDP8DFSrhQ1ojmPBXziPlPpbfbt33v3WuNh9GNc&amp;locale=en&amp;region_country=US"/>
    <hyperlink ref="A134" r:id="rId385" display="https://striking-viking.com/blogs/learn/get-rid-of-beard-dandruff"/>
    <hyperlink ref="C134" r:id="rId386" display="https://striking-viking.com/customer_authentication/redirect?locale=en&amp;region_country=US"/>
    <hyperlink ref="F134" r:id="rId387" display="https://account.striking-viking.com/?buyer_flags=eyJhbGciOiJIUzI1NiJ9.eyJpc3MiOiJzdHJpa2luZy12aWtpbmcubXlzaG9waWZ5LmNvbSIsImZsYWdzIjpbXSwiZXhwIjoxNzkxMzU0NjI4LCJuYmYiOjE3OTA3NDk4Mjh9.W_JgIDP8DFSrhQ1ojmPBXziPlPpbfbt33v3WuNh9GNc&amp;locale=en&amp;region_country=US"/>
    <hyperlink ref="A135" r:id="rId388" display="https://striking-viking.com/products/2x-mustache-wax-comb-set-sandalwood"/>
    <hyperlink ref="C135" r:id="rId389" display="https://striking-viking.com/customer_authentication/redirect?locale=en&amp;region_country=US"/>
    <hyperlink ref="F135" r:id="rId390" display="https://account.striking-viking.com/?buyer_flags=eyJhbGciOiJIUzI1NiJ9.eyJpc3MiOiJzdHJpa2luZy12aWtpbmcubXlzaG9waWZ5LmNvbSIsImZsYWdzIjpbXSwiZXhwIjoxNzkxMzU0NjI4LCJuYmYiOjE3OTA3NDk4Mjh9.W_JgIDP8DFSrhQ1ojmPBXziPlPpbfbt33v3WuNh9GNc&amp;locale=en&amp;region_country=US"/>
    <hyperlink ref="A136" r:id="rId391" display="https://striking-viking.com/products/striking-viking-beard-oil-variety-4-pack-citrus-vanilla-cedarwood-sandalwood"/>
    <hyperlink ref="C136" r:id="rId392" display="https://striking-viking.com/customer_authentication/redirect?locale=en&amp;region_country=US"/>
    <hyperlink ref="F136" r:id="rId393" display="https://account.striking-viking.com/?buyer_flags=eyJhbGciOiJIUzI1NiJ9.eyJpc3MiOiJzdHJpa2luZy12aWtpbmcubXlzaG9waWZ5LmNvbSIsImZsYWdzIjpbXSwiZXhwIjoxNzkxMzU0NjI4LCJuYmYiOjE3OTA3NDk4Mjh9.W_JgIDP8DFSrhQ1ojmPBXziPlPpbfbt33v3WuNh9GNc&amp;locale=en&amp;region_country=US"/>
    <hyperlink ref="A137" r:id="rId394" display="https://striking-viking.com/products/striking-viking-vanilla-pre-shave-oil-for-men-smooth-razor-glide-skin-protection"/>
    <hyperlink ref="C137" r:id="rId395" display="https://striking-viking.com/customer_authentication/redirect?locale=en&amp;region_country=US"/>
    <hyperlink ref="F137" r:id="rId396" display="https://account.striking-viking.com/?buyer_flags=eyJhbGciOiJIUzI1NiJ9.eyJpc3MiOiJzdHJpa2luZy12aWtpbmcubXlzaG9waWZ5LmNvbSIsImZsYWdzIjpbXSwiZXhwIjoxNzkxMzU0NjI4LCJuYmYiOjE3OTA3NDk4Mjh9.W_JgIDP8DFSrhQ1ojmPBXziPlPpbfbt33v3WuNh9GNc&amp;locale=en&amp;region_country=US"/>
    <hyperlink ref="A138" r:id="rId397" display="https://striking-viking.com/products/striking-viking-vanilla-beard-oil-balm-kit-for-soft-healthy-beard-care-for-men"/>
    <hyperlink ref="C138" r:id="rId398" display="https://striking-viking.com/customer_authentication/redirect?locale=en&amp;region_country=US"/>
    <hyperlink ref="F138" r:id="rId399" display="https://account.striking-viking.com/?buyer_flags=eyJhbGciOiJIUzI1NiJ9.eyJpc3MiOiJzdHJpa2luZy12aWtpbmcubXlzaG9waWZ5LmNvbSIsImZsYWdzIjpbXSwiZXhwIjoxNzkxMzU0NjI4LCJuYmYiOjE3OTA3NDk4Mjh9.W_JgIDP8DFSrhQ1ojmPBXziPlPpbfbt33v3WuNh9GNc&amp;locale=en&amp;region_country=US"/>
    <hyperlink ref="A139" r:id="rId400" display="https://striking-viking.com/blogs/learn/how-to-choose-the-right-hair-cutting-scissors-for-home-or-salon-use"/>
    <hyperlink ref="C139" r:id="rId401" display="https://striking-viking.com/customer_authentication/redirect?locale=en&amp;region_country=US"/>
    <hyperlink ref="F139" r:id="rId402" display="https://account.striking-viking.com/?buyer_flags=eyJhbGciOiJIUzI1NiJ9.eyJpc3MiOiJzdHJpa2luZy12aWtpbmcubXlzaG9waWZ5LmNvbSIsImZsYWdzIjpbXSwiZXhwIjoxNzkxMzU0NjI4LCJuYmYiOjE3OTA3NDk4Mjh9.W_JgIDP8DFSrhQ1ojmPBXziPlPpbfbt33v3WuNh9GNc&amp;locale=en&amp;region_country=US"/>
    <hyperlink ref="A140" r:id="rId403" display="https://striking-viking.com/products/striking-viking-tea-tree-biotin-beard-shampoo-conditioner-set-for-healthy-beard-care"/>
    <hyperlink ref="C140" r:id="rId404" display="https://striking-viking.com/customer_authentication/redirect?locale=en&amp;region_country=US"/>
    <hyperlink ref="F140" r:id="rId405" display="https://account.striking-viking.com/?buyer_flags=eyJhbGciOiJIUzI1NiJ9.eyJpc3MiOiJzdHJpa2luZy12aWtpbmcubXlzaG9waWZ5LmNvbSIsImZsYWdzIjpbXSwiZXhwIjoxNzkxMzU0NjI4LCJuYmYiOjE3OTA3NDk4Mjh9.W_JgIDP8DFSrhQ1ojmPBXziPlPpbfbt33v3WuNh9GNc&amp;locale=en&amp;region_country=US"/>
    <hyperlink ref="A141" r:id="rId406" display="https://striking-viking.com/"/>
    <hyperlink ref="C141" r:id="rId407" display="https://striking-viking.com/customer_authentication/redirect?locale=en&amp;region_country=US"/>
    <hyperlink ref="F141" r:id="rId408" display="https://account.striking-viking.com/?buyer_flags=eyJhbGciOiJIUzI1NiJ9.eyJpc3MiOiJzdHJpa2luZy12aWtpbmcubXlzaG9waWZ5LmNvbSIsImZsYWdzIjpbXSwiZXhwIjoxNzkxMzU0NjI4LCJuYmYiOjE3OTA3NDk4Mjh9.W_JgIDP8DFSrhQ1ojmPBXziPlPpbfbt33v3WuNh9GNc&amp;locale=en&amp;region_country=US"/>
    <hyperlink ref="A142" r:id="rId409" display="https://striking-viking.com/products/striking-viking-terra-sol-beard-balm-for-men-natural-beard-balm-with-shea-butter-jojoba"/>
    <hyperlink ref="C142" r:id="rId410" display="https://striking-viking.com/customer_authentication/redirect?locale=en&amp;region_country=US"/>
    <hyperlink ref="F142" r:id="rId411" display="https://account.striking-viking.com/?buyer_flags=eyJhbGciOiJIUzI1NiJ9.eyJpc3MiOiJzdHJpa2luZy12aWtpbmcubXlzaG9waWZ5LmNvbSIsImZsYWdzIjpbXSwiZXhwIjoxNzkxMzU0NjI4LCJuYmYiOjE3OTA3NDk4Mjh9.W_JgIDP8DFSrhQ1ojmPBXziPlPpbfbt33v3WuNh9GNc&amp;locale=en&amp;region_country=US"/>
    <hyperlink ref="A143" r:id="rId412" display="https://striking-viking.com/products/striking-viking-beard-filler-pencil-with-dual-tip-pen-brush-for-natural-beard-styling"/>
    <hyperlink ref="C143" r:id="rId413" display="https://striking-viking.com/customer_authentication/redirect?locale=en&amp;region_country=US"/>
    <hyperlink ref="F143" r:id="rId414" display="https://account.striking-viking.com/?buyer_flags=eyJhbGciOiJIUzI1NiJ9.eyJpc3MiOiJzdHJpa2luZy12aWtpbmcubXlzaG9waWZ5LmNvbSIsImZsYWdzIjpbXSwiZXhwIjoxNzkxMzU0NjI4LCJuYmYiOjE3OTA3NDk4Mjh9.W_JgIDP8DFSrhQ1ojmPBXziPlPpbfbt33v3WuNh9GNc&amp;locale=en&amp;region_country=US"/>
    <hyperlink ref="A144" r:id="rId415" display="https://striking-viking.com/products/ontaki-hair-thinning-shears-kit-7-inch-professional-hair-cutting-texturizing-set"/>
    <hyperlink ref="C144" r:id="rId416" display="https://striking-viking.com/customer_authentication/redirect?locale=en&amp;region_country=US"/>
    <hyperlink ref="F144" r:id="rId417" display="https://account.striking-viking.com/?buyer_flags=eyJhbGciOiJIUzI1NiJ9.eyJpc3MiOiJzdHJpa2luZy12aWtpbmcubXlzaG9waWZ5LmNvbSIsImZsYWdzIjpbXSwiZXhwIjoxNzkxMzU0NjI4LCJuYmYiOjE3OTA3NDk4Mjh9.W_JgIDP8DFSrhQ1ojmPBXziPlPpbfbt33v3WuNh9GNc&amp;locale=en&amp;region_country=US"/>
    <hyperlink ref="A145" r:id="rId418" display="https://striking-viking.com/pages/about-us"/>
    <hyperlink ref="C145" r:id="rId419" display="https://striking-viking.com/customer_authentication/redirect?locale=en&amp;region_country=US"/>
    <hyperlink ref="F145" r:id="rId420" display="https://account.striking-viking.com/?buyer_flags=eyJhbGciOiJIUzI1NiJ9.eyJpc3MiOiJzdHJpa2luZy12aWtpbmcubXlzaG9waWZ5LmNvbSIsImZsYWdzIjpbXSwiZXhwIjoxNzkxMzU0NjI4LCJuYmYiOjE3OTA3NDk4Mjh9.W_JgIDP8DFSrhQ1ojmPBXziPlPpbfbt33v3WuNh9GNc&amp;locale=en&amp;region_country=US"/>
    <hyperlink ref="A146" r:id="rId421" display="https://striking-viking.com/products/striking-viking-sandalwood-wooden-beard-comb-brown"/>
    <hyperlink ref="C146" r:id="rId422" display="https://striking-viking.com/customer_authentication/redirect?locale=en&amp;region_country=US"/>
    <hyperlink ref="F146" r:id="rId423" display="https://account.striking-viking.com/?buyer_flags=eyJhbGciOiJIUzI1NiJ9.eyJpc3MiOiJzdHJpa2luZy12aWtpbmcubXlzaG9waWZ5LmNvbSIsImZsYWdzIjpbXSwiZXhwIjoxNzkxMzU0NjI4LCJuYmYiOjE3OTA3NDk4Mjh9.W_JgIDP8DFSrhQ1ojmPBXziPlPpbfbt33v3WuNh9GNc&amp;locale=en&amp;region_country=US"/>
    <hyperlink ref="A147" r:id="rId424" display="https://striking-viking.com/blogs/learn/all-you-need-to-know-about-beard-filler-pens"/>
    <hyperlink ref="C147" r:id="rId425" display="https://striking-viking.com/customer_authentication/redirect?locale=en&amp;region_country=US"/>
    <hyperlink ref="F147" r:id="rId426" display="https://account.striking-viking.com/?buyer_flags=eyJhbGciOiJIUzI1NiJ9.eyJpc3MiOiJzdHJpa2luZy12aWtpbmcubXlzaG9waWZ5LmNvbSIsImZsYWdzIjpbXSwiZXhwIjoxNzkxMzU0NjI4LCJuYmYiOjE3OTA3NDk4Mjh9.W_JgIDP8DFSrhQ1ojmPBXziPlPpbfbt33v3WuNh9GNc&amp;locale=en&amp;region_country=US"/>
    <hyperlink ref="A148" r:id="rId427" display="https://striking-viking.com/blogs/learn/beard-grooming-quintessential-regime-for-the-modern-man"/>
    <hyperlink ref="C148" r:id="rId428" display="https://striking-viking.com/customer_authentication/redirect?locale=en&amp;region_country=US"/>
    <hyperlink ref="F148" r:id="rId429" display="https://account.striking-viking.com/?buyer_flags=eyJhbGciOiJIUzI1NiJ9.eyJpc3MiOiJzdHJpa2luZy12aWtpbmcubXlzaG9waWZ5LmNvbSIsImZsYWdzIjpbXSwiZXhwIjoxNzkxMzU0NjI4LCJuYmYiOjE3OTA3NDk4Mjh9.W_JgIDP8DFSrhQ1ojmPBXziPlPpbfbt33v3WuNh9GNc&amp;locale=en&amp;region_country=US"/>
    <hyperlink ref="A149" r:id="rId430" display="https://striking-viking.com/collections/viking-beard-kits"/>
    <hyperlink ref="C149" r:id="rId431" display="https://striking-viking.com/customer_authentication/redirect?locale=en&amp;region_country=US"/>
    <hyperlink ref="F149" r:id="rId432" display="https://account.striking-viking.com/?buyer_flags=eyJhbGciOiJIUzI1NiJ9.eyJpc3MiOiJzdHJpa2luZy12aWtpbmcubXlzaG9waWZ5LmNvbSIsImZsYWdzIjpbXSwiZXhwIjoxNzkxMzU0NjI4LCJuYmYiOjE3OTA3NDk4Mjh9.W_JgIDP8DFSrhQ1ojmPBXziPlPpbfbt33v3WuNh9GNc&amp;locale=en&amp;region_country=US"/>
    <hyperlink ref="A150" r:id="rId433" display="https://striking-viking.com/collections/last-chance-bogo-free"/>
    <hyperlink ref="C150" r:id="rId434" display="https://striking-viking.com/customer_authentication/redirect?locale=en&amp;region_country=US"/>
    <hyperlink ref="F150" r:id="rId435" display="https://account.striking-viking.com/?buyer_flags=eyJhbGciOiJIUzI1NiJ9.eyJpc3MiOiJzdHJpa2luZy12aWtpbmcubXlzaG9waWZ5LmNvbSIsImZsYWdzIjpbXSwiZXhwIjoxNzkxMzU0NjI4LCJuYmYiOjE3OTA3NDk4Mjh9.W_JgIDP8DFSrhQ1ojmPBXziPlPpbfbt33v3WuNh9GNc&amp;locale=en&amp;region_country=US"/>
    <hyperlink ref="A151" r:id="rId436" display="https://striking-viking.com/collections/tattoo-aftercare"/>
    <hyperlink ref="C151" r:id="rId437" display="https://striking-viking.com/customer_authentication/redirect?locale=en&amp;region_country=US"/>
    <hyperlink ref="F151" r:id="rId438" display="https://account.striking-viking.com/?buyer_flags=eyJhbGciOiJIUzI1NiJ9.eyJpc3MiOiJzdHJpa2luZy12aWtpbmcubXlzaG9waWZ5LmNvbSIsImZsYWdzIjpbXSwiZXhwIjoxNzkxMzU0NjI4LCJuYmYiOjE3OTA3NDk4Mjh9.W_JgIDP8DFSrhQ1ojmPBXziPlPpbfbt33v3WuNh9GNc&amp;locale=en&amp;region_country=US"/>
    <hyperlink ref="A152" r:id="rId439" display="https://striking-viking.com/blogs/learn/elevate-your-look-pomade"/>
    <hyperlink ref="C152" r:id="rId440" display="https://striking-viking.com/customer_authentication/redirect?locale=en&amp;region_country=US"/>
    <hyperlink ref="F152" r:id="rId441" display="https://account.striking-viking.com/?buyer_flags=eyJhbGciOiJIUzI1NiJ9.eyJpc3MiOiJzdHJpa2luZy12aWtpbmcubXlzaG9waWZ5LmNvbSIsImZsYWdzIjpbXSwiZXhwIjoxNzkxMzU0NjI4LCJuYmYiOjE3OTA3NDk4Mjh9.W_JgIDP8DFSrhQ1ojmPBXziPlPpbfbt33v3WuNh9GNc&amp;locale=en&amp;region_country=US"/>
    <hyperlink ref="A153" r:id="rId442" display="https://striking-viking.com/blogs/learn/41234689-brian-wilson"/>
    <hyperlink ref="C153" r:id="rId443" display="https://striking-viking.com/customer_authentication/redirect?locale=en&amp;region_country=US"/>
    <hyperlink ref="F153" r:id="rId444" display="https://account.striking-viking.com/?buyer_flags=eyJhbGciOiJIUzI1NiJ9.eyJpc3MiOiJzdHJpa2luZy12aWtpbmcubXlzaG9waWZ5LmNvbSIsImZsYWdzIjpbXSwiZXhwIjoxNzkxMzU0NjI4LCJuYmYiOjE3OTA3NDk4Mjh9.W_JgIDP8DFSrhQ1ojmPBXziPlPpbfbt33v3WuNh9GNc&amp;locale=en&amp;region_country=US"/>
    <hyperlink ref="A154" r:id="rId445" display="https://striking-viking.com/blogs/learn/essential-grooming-supplies-for-the-bearded-man"/>
    <hyperlink ref="C154" r:id="rId446" display="https://striking-viking.com/customer_authentication/redirect?locale=en&amp;region_country=US"/>
    <hyperlink ref="F154" r:id="rId447" display="https://account.striking-viking.com/?buyer_flags=eyJhbGciOiJIUzI1NiJ9.eyJpc3MiOiJzdHJpa2luZy12aWtpbmcubXlzaG9waWZ5LmNvbSIsImZsYWdzIjpbXSwiZXhwIjoxNzkxMzU0NjI4LCJuYmYiOjE3OTA3NDk4Mjh9.W_JgIDP8DFSrhQ1ojmPBXziPlPpbfbt33v3WuNh9GNc&amp;locale=en&amp;region_country=US"/>
    <hyperlink ref="A155" r:id="rId448" display="https://striking-viking.com/collections/scissors-ontaki"/>
    <hyperlink ref="C155" r:id="rId449" display="https://striking-viking.com/customer_authentication/redirect?locale=en&amp;region_country=US"/>
    <hyperlink ref="F155" r:id="rId450" display="https://account.striking-viking.com/?buyer_flags=eyJhbGciOiJIUzI1NiJ9.eyJpc3MiOiJzdHJpa2luZy12aWtpbmcubXlzaG9waWZ5LmNvbSIsImZsYWdzIjpbXSwiZXhwIjoxNzkxMzU0NjI4LCJuYmYiOjE3OTA3NDk4Mjh9.W_JgIDP8DFSrhQ1ojmPBXziPlPpbfbt33v3WuNh9GNc&amp;locale=en&amp;region_country=US"/>
    <hyperlink ref="A156" r:id="rId451" display="https://striking-viking.com/products/striking-viking-beard-filler-pen-2-pack-dual-tip-waterproof-beard-pen-for-natural-beard-filling?variant=52771991224662"/>
    <hyperlink ref="C156" r:id="rId452" display="https://striking-viking.com/customer_authentication/redirect?locale=en&amp;region_country=US"/>
    <hyperlink ref="F156" r:id="rId453" display="https://account.striking-viking.com/?buyer_flags=eyJhbGciOiJIUzI1NiJ9.eyJpc3MiOiJzdHJpa2luZy12aWtpbmcubXlzaG9waWZ5LmNvbSIsImZsYWdzIjpbXSwiZXhwIjoxNzkxMzU0NjI4LCJuYmYiOjE3OTA3NDk4Mjh9.W_JgIDP8DFSrhQ1ojmPBXziPlPpbfbt33v3WuNh9GNc&amp;locale=en&amp;region_country=US"/>
    <hyperlink ref="A157" r:id="rId454" display="https://striking-viking.com/blogs/learn/beard-grooming-comparison"/>
    <hyperlink ref="C157" r:id="rId455" display="https://striking-viking.com/customer_authentication/redirect?locale=en&amp;region_country=US"/>
    <hyperlink ref="F157" r:id="rId456" display="https://account.striking-viking.com/?buyer_flags=eyJhbGciOiJIUzI1NiJ9.eyJpc3MiOiJzdHJpa2luZy12aWtpbmcubXlzaG9waWZ5LmNvbSIsImZsYWdzIjpbXSwiZXhwIjoxNzkxMzU0NjI4LCJuYmYiOjE3OTA3NDk4Mjh9.W_JgIDP8DFSrhQ1ojmPBXziPlPpbfbt33v3WuNh9GNc&amp;locale=en&amp;region_country=US"/>
    <hyperlink ref="A158" r:id="rId457" display="https://striking-viking.com/products/striking-viking-sandalwood-beard-shampoo-conditioner-set-hydrating-beard-care-for-men"/>
    <hyperlink ref="C158" r:id="rId458" display="https://striking-viking.com/customer_authentication/redirect?locale=en&amp;region_country=US"/>
    <hyperlink ref="F158" r:id="rId459" display="https://account.striking-viking.com/?buyer_flags=eyJhbGciOiJIUzI1NiJ9.eyJpc3MiOiJzdHJpa2luZy12aWtpbmcubXlzaG9waWZ5LmNvbSIsImZsYWdzIjpbXSwiZXhwIjoxNzkxMzU0NjI4LCJuYmYiOjE3OTA3NDk4Mjh9.W_JgIDP8DFSrhQ1ojmPBXziPlPpbfbt33v3WuNh9GNc&amp;locale=en&amp;region_country=US"/>
    <hyperlink ref="A159" r:id="rId460" display="https://striking-viking.com/products/striking-viking-sandalwood-beard-balm"/>
    <hyperlink ref="C159" r:id="rId461" display="https://striking-viking.com/customer_authentication/redirect?locale=en&amp;region_country=US"/>
    <hyperlink ref="F159" r:id="rId462" display="https://account.striking-viking.com/?buyer_flags=eyJhbGciOiJIUzI1NiJ9.eyJpc3MiOiJzdHJpa2luZy12aWtpbmcubXlzaG9waWZ5LmNvbSIsImZsYWdzIjpbXSwiZXhwIjoxNzkxMzU0NjI4LCJuYmYiOjE3OTA3NDk4Mjh9.W_JgIDP8DFSrhQ1ojmPBXziPlPpbfbt33v3WuNh9GNc&amp;locale=en&amp;region_country=US"/>
    <hyperlink ref="A160" r:id="rId463" display="https://striking-viking.com/products/striking-viking-beard-filler-pen-2-pack-dual-tip-waterproof-beard-pen-for-natural-beard-filling?variant=52771991159126"/>
    <hyperlink ref="C160" r:id="rId464" display="https://striking-viking.com/customer_authentication/redirect?locale=en&amp;region_country=US"/>
    <hyperlink ref="F160" r:id="rId465" display="https://account.striking-viking.com/?buyer_flags=eyJhbGciOiJIUzI1NiJ9.eyJpc3MiOiJzdHJpa2luZy12aWtpbmcubXlzaG9waWZ5LmNvbSIsImZsYWdzIjpbXSwiZXhwIjoxNzkxMzU0NjI4LCJuYmYiOjE3OTA3NDk4Mjh9.W_JgIDP8DFSrhQ1ojmPBXziPlPpbfbt33v3WuNh9GNc&amp;locale=en&amp;region_country=US"/>
    <hyperlink ref="A161" r:id="rId466" display="https://striking-viking.com/collections/beard-care"/>
    <hyperlink ref="C161" r:id="rId467" display="https://striking-viking.com/customer_authentication/redirect?locale=en&amp;region_country=US"/>
    <hyperlink ref="F161" r:id="rId468" display="https://account.striking-viking.com/?buyer_flags=eyJhbGciOiJIUzI1NiJ9.eyJpc3MiOiJzdHJpa2luZy12aWtpbmcubXlzaG9waWZ5LmNvbSIsImZsYWdzIjpbXSwiZXhwIjoxNzkxMzU0NjI4LCJuYmYiOjE3OTA3NDk4Mjh9.W_JgIDP8DFSrhQ1ojmPBXziPlPpbfbt33v3WuNh9GNc&amp;locale=en&amp;region_country=US"/>
    <hyperlink ref="A162" r:id="rId469" display="https://striking-viking.com/products/charlemagne-round-hair-brush-for-men-professional-styling-brush-for-volume-blow-drying"/>
    <hyperlink ref="C162" r:id="rId470" display="https://striking-viking.com/customer_authentication/redirect?locale=en&amp;region_country=US"/>
    <hyperlink ref="F162" r:id="rId471" display="https://account.striking-viking.com/?buyer_flags=eyJhbGciOiJIUzI1NiJ9.eyJpc3MiOiJzdHJpa2luZy12aWtpbmcubXlzaG9waWZ5LmNvbSIsImZsYWdzIjpbXSwiZXhwIjoxNzkxMzU0NjI4LCJuYmYiOjE3OTA3NDk4Mjh9.W_JgIDP8DFSrhQ1ojmPBXziPlPpbfbt33v3WuNh9GNc&amp;locale=en&amp;region_country=US"/>
    <hyperlink ref="A163" r:id="rId472" display="https://striking-viking.com/products/ontaki-japanese-steel-rounded-tip-beard-mustache-scissors-4-2-inch-grooming-kit"/>
    <hyperlink ref="C163" r:id="rId473" display="https://striking-viking.com/customer_authentication/redirect?locale=en&amp;region_country=US"/>
    <hyperlink ref="F163" r:id="rId474" display="https://account.striking-viking.com/?buyer_flags=eyJhbGciOiJIUzI1NiJ9.eyJpc3MiOiJzdHJpa2luZy12aWtpbmcubXlzaG9waWZ5LmNvbSIsImZsYWdzIjpbXSwiZXhwIjoxNzkxMzU0NjI4LCJuYmYiOjE3OTA3NDk4Mjh9.W_JgIDP8DFSrhQ1ojmPBXziPlPpbfbt33v3WuNh9GNc&amp;locale=en&amp;region_country=US"/>
    <hyperlink ref="A164" r:id="rId475" display="https://striking-viking.com/blogs/learn"/>
    <hyperlink ref="C164" r:id="rId476" display="https://striking-viking.com/customer_authentication/redirect?locale=en&amp;region_country=US"/>
    <hyperlink ref="F164" r:id="rId477" display="https://account.striking-viking.com/?buyer_flags=eyJhbGciOiJIUzI1NiJ9.eyJpc3MiOiJzdHJpa2luZy12aWtpbmcubXlzaG9waWZ5LmNvbSIsImZsYWdzIjpbXSwiZXhwIjoxNzkxMzU0NjI4LCJuYmYiOjE3OTA3NDk4Mjh9.W_JgIDP8DFSrhQ1ojmPBXziPlPpbfbt33v3WuNh9GNc&amp;locale=en&amp;region_country=US"/>
    <hyperlink ref="A165" r:id="rId478" display="https://striking-viking.com/products/ontaki-japanese-steel-beard-mustache-scissors-5-5-inch-professional-grooming-kit"/>
    <hyperlink ref="C165" r:id="rId479" display="https://striking-viking.com/customer_authentication/redirect?locale=en&amp;region_country=US"/>
    <hyperlink ref="F165" r:id="rId480" display="https://account.striking-viking.com/?buyer_flags=eyJhbGciOiJIUzI1NiJ9.eyJpc3MiOiJzdHJpa2luZy12aWtpbmcubXlzaG9waWZ5LmNvbSIsImZsYWdzIjpbXSwiZXhwIjoxNzkxMzU0NjI4LCJuYmYiOjE3OTA3NDk4Mjh9.W_JgIDP8DFSrhQ1ojmPBXziPlPpbfbt33v3WuNh9GNc&amp;locale=en&amp;region_country=US"/>
    <hyperlink ref="A166" r:id="rId481" display="https://striking-viking.com/collections/2026-deals"/>
    <hyperlink ref="C166" r:id="rId482" display="https://striking-viking.com/customer_authentication/redirect?locale=en&amp;region_country=US"/>
    <hyperlink ref="F166" r:id="rId483" display="https://account.striking-viking.com/?buyer_flags=eyJhbGciOiJIUzI1NiJ9.eyJpc3MiOiJzdHJpa2luZy12aWtpbmcubXlzaG9waWZ5LmNvbSIsImZsYWdzIjpbXSwiZXhwIjoxNzkxMzU0NjI4LCJuYmYiOjE3OTA3NDk4Mjh9.W_JgIDP8DFSrhQ1ojmPBXziPlPpbfbt33v3WuNh9GNc&amp;locale=en&amp;region_country=US"/>
    <hyperlink ref="A167" r:id="rId484" display="https://striking-viking.com/products/striking-viking-sea-salt-spray-for-men-blue-ocean-natural-texture-volume-hair-spray"/>
    <hyperlink ref="C167" r:id="rId485" display="https://striking-viking.com/customer_authentication/redirect?locale=en&amp;region_country=US"/>
    <hyperlink ref="F167" r:id="rId486" display="https://account.striking-viking.com/?buyer_flags=eyJhbGciOiJIUzI1NiJ9.eyJpc3MiOiJzdHJpa2luZy12aWtpbmcubXlzaG9waWZ5LmNvbSIsImZsYWdzIjpbXSwiZXhwIjoxNzkxMzU0NjI4LCJuYmYiOjE3OTA3NDk4Mjh9.W_JgIDP8DFSrhQ1ojmPBXziPlPpbfbt33v3WuNh9GNc&amp;locale=en&amp;region_country=US"/>
    <hyperlink ref="A168" r:id="rId487" display="https://striking-viking.com/blogs/learn/scented-beard-oil-by-striking-viking"/>
    <hyperlink ref="C168" r:id="rId488" display="https://striking-viking.com/customer_authentication/redirect?locale=en&amp;region_country=US"/>
    <hyperlink ref="F168" r:id="rId489" display="https://account.striking-viking.com/?buyer_flags=eyJhbGciOiJIUzI1NiJ9.eyJpc3MiOiJzdHJpa2luZy12aWtpbmcubXlzaG9waWZ5LmNvbSIsImZsYWdzIjpbXSwiZXhwIjoxNzkxMzU0NjI4LCJuYmYiOjE3OTA3NDk4Mjh9.W_JgIDP8DFSrhQ1ojmPBXziPlPpbfbt33v3WuNh9GNc&amp;locale=en&amp;region_country=US"/>
    <hyperlink ref="A169" r:id="rId490" display="https://striking-viking.com/products/striking-viking-sandalwood-beard-shampoo-for-clean-healthy-soft-beard-care-for-men"/>
    <hyperlink ref="C169" r:id="rId491" display="https://striking-viking.com/customer_authentication/redirect?locale=en&amp;region_country=US"/>
    <hyperlink ref="F169" r:id="rId492" display="https://account.striking-viking.com/?buyer_flags=eyJhbGciOiJIUzI1NiJ9.eyJpc3MiOiJzdHJpa2luZy12aWtpbmcubXlzaG9waWZ5LmNvbSIsImZsYWdzIjpbXSwiZXhwIjoxNzkxMzU0NjI4LCJuYmYiOjE3OTA3NDk4Mjh9.W_JgIDP8DFSrhQ1ojmPBXziPlPpbfbt33v3WuNh9GNc&amp;locale=en&amp;region_country=US"/>
    <hyperlink ref="A170" r:id="rId493" display="https://striking-viking.com/products/striking-viking-folding-wooden-comb-sandalwood-beard-hair-comb"/>
    <hyperlink ref="C170" r:id="rId494" display="https://striking-viking.com/customer_authentication/redirect?locale=en&amp;region_country=US"/>
    <hyperlink ref="F170" r:id="rId495" display="https://account.striking-viking.com/?buyer_flags=eyJhbGciOiJIUzI1NiJ9.eyJpc3MiOiJzdHJpa2luZy12aWtpbmcubXlzaG9waWZ5LmNvbSIsImZsYWdzIjpbXSwiZXhwIjoxNzkxMzU0NjI4LCJuYmYiOjE3OTA3NDk4Mjh9.W_JgIDP8DFSrhQ1ojmPBXziPlPpbfbt33v3WuNh9GNc&amp;locale=en&amp;region_country=US"/>
    <hyperlink ref="A171" r:id="rId496" display="https://striking-viking.com/pages/spurit-notifications-cancelled"/>
    <hyperlink ref="C171" r:id="rId497" display="https://striking-viking.com/customer_authentication/redirect?locale=en&amp;region_country=US"/>
    <hyperlink ref="F171" r:id="rId498" display="https://account.striking-viking.com/?buyer_flags=eyJhbGciOiJIUzI1NiJ9.eyJpc3MiOiJzdHJpa2luZy12aWtpbmcubXlzaG9waWZ5LmNvbSIsImZsYWdzIjpbXSwiZXhwIjoxNzkxMzU0NjI4LCJuYmYiOjE3OTA3NDk4Mjh9.W_JgIDP8DFSrhQ1ojmPBXziPlPpbfbt33v3WuNh9GNc&amp;locale=en&amp;region_country=US"/>
    <hyperlink ref="A172" r:id="rId499" display="https://striking-viking.com/products/striking-viking-battle-ready-beard-care-kit-with-beard-oils-balms-beard-filler-pen"/>
    <hyperlink ref="C172" r:id="rId500" display="https://striking-viking.com/customer_authentication/redirect?locale=en&amp;region_country=US"/>
    <hyperlink ref="F172" r:id="rId501" display="https://account.striking-viking.com/?buyer_flags=eyJhbGciOiJIUzI1NiJ9.eyJpc3MiOiJzdHJpa2luZy12aWtpbmcubXlzaG9waWZ5LmNvbSIsImZsYWdzIjpbXSwiZXhwIjoxNzkxMzU0NjI4LCJuYmYiOjE3OTA3NDk4Mjh9.W_JgIDP8DFSrhQ1ojmPBXziPlPpbfbt33v3WuNh9GNc&amp;locale=en&amp;region_country=US"/>
    <hyperlink ref="A173" r:id="rId502" display="https://striking-viking.com/products/striking-viking-vanilla-beard-balm"/>
    <hyperlink ref="C173" r:id="rId503" display="https://striking-viking.com/customer_authentication/redirect?locale=en&amp;region_country=US"/>
    <hyperlink ref="F173" r:id="rId504" display="https://account.striking-viking.com/?buyer_flags=eyJhbGciOiJIUzI1NiJ9.eyJpc3MiOiJzdHJpa2luZy12aWtpbmcubXlzaG9waWZ5LmNvbSIsImZsYWdzIjpbXSwiZXhwIjoxNzkxMzU0NjI4LCJuYmYiOjE3OTA3NDk4Mjh9.W_JgIDP8DFSrhQ1ojmPBXziPlPpbfbt33v3WuNh9GNc&amp;locale=en&amp;region_country=US"/>
    <hyperlink ref="A174" r:id="rId505" display="https://striking-viking.com/products/striking-viking-citrus-beard-oil"/>
    <hyperlink ref="C174" r:id="rId506" display="https://striking-viking.com/customer_authentication/redirect?locale=en&amp;region_country=US"/>
    <hyperlink ref="F174" r:id="rId507" display="https://account.striking-viking.com/?buyer_flags=eyJhbGciOiJIUzI1NiJ9.eyJpc3MiOiJzdHJpa2luZy12aWtpbmcubXlzaG9waWZ5LmNvbSIsImZsYWdzIjpbXSwiZXhwIjoxNzkxMzU0NjI4LCJuYmYiOjE3OTA3NDk4Mjh9.W_JgIDP8DFSrhQ1ojmPBXziPlPpbfbt33v3WuNh9GNc&amp;locale=en&amp;region_country=US"/>
    <hyperlink ref="A175" r:id="rId508" display="https://striking-viking.com/pages/cookie-policy"/>
    <hyperlink ref="C175" r:id="rId509" display="https://striking-viking.com/customer_authentication/redirect?locale=en&amp;region_country=US"/>
    <hyperlink ref="F175" r:id="rId510" display="https://account.striking-viking.com/?buyer_flags=eyJhbGciOiJIUzI1NiJ9.eyJpc3MiOiJzdHJpa2luZy12aWtpbmcubXlzaG9waWZ5LmNvbSIsImZsYWdzIjpbXSwiZXhwIjoxNzkxMzU0NjI4LCJuYmYiOjE3OTA3NDk4Mjh9.W_JgIDP8DFSrhQ1ojmPBXziPlPpbfbt33v3WuNh9GNc&amp;locale=en&amp;region_country=US"/>
    <hyperlink ref="A176" r:id="rId511" display="https://striking-viking.com/pages/spurit-subscriptions"/>
    <hyperlink ref="C176" r:id="rId512" display="https://striking-viking.com/customer_authentication/redirect?locale=en&amp;region_country=US"/>
    <hyperlink ref="F176" r:id="rId513" display="https://account.striking-viking.com/?buyer_flags=eyJhbGciOiJIUzI1NiJ9.eyJpc3MiOiJzdHJpa2luZy12aWtpbmcubXlzaG9waWZ5LmNvbSIsImZsYWdzIjpbXSwiZXhwIjoxNzkxMzU0NjI4LCJuYmYiOjE3OTA3NDk4Mjh9.W_JgIDP8DFSrhQ1ojmPBXziPlPpbfbt33v3WuNh9GNc&amp;locale=en&amp;region_country=US"/>
    <hyperlink ref="A177" r:id="rId514" display="https://striking-viking.com/collections/striking-deals"/>
    <hyperlink ref="C177" r:id="rId515" display="https://striking-viking.com/customer_authentication/redirect?locale=en&amp;region_country=US"/>
    <hyperlink ref="F177" r:id="rId516" display="https://account.striking-viking.com/?buyer_flags=eyJhbGciOiJIUzI1NiJ9.eyJpc3MiOiJzdHJpa2luZy12aWtpbmcubXlzaG9waWZ5LmNvbSIsImZsYWdzIjpbXSwiZXhwIjoxNzkxMzU0NjI4LCJuYmYiOjE3OTA3NDk4Mjh9.W_JgIDP8DFSrhQ1ojmPBXziPlPpbfbt33v3WuNh9GNc&amp;locale=en&amp;region_country=US"/>
    <hyperlink ref="A178" r:id="rId517" display="https://striking-viking.com/collections/new-in-oils-balms"/>
    <hyperlink ref="C178" r:id="rId518" display="https://striking-viking.com/customer_authentication/redirect?locale=en&amp;region_country=US"/>
    <hyperlink ref="F178" r:id="rId519" display="https://account.striking-viking.com/?buyer_flags=eyJhbGciOiJIUzI1NiJ9.eyJpc3MiOiJzdHJpa2luZy12aWtpbmcubXlzaG9waWZ5LmNvbSIsImZsYWdzIjpbXSwiZXhwIjoxNzkxMzU0NjI4LCJuYmYiOjE3OTA3NDk4Mjh9.W_JgIDP8DFSrhQ1ojmPBXziPlPpbfbt33v3WuNh9GNc&amp;locale=en&amp;region_country=US"/>
    <hyperlink ref="A179" r:id="rId520" display="https://striking-viking.com/products/striking-viking-vanilla-beard-growth-kit-with-biotin-oil-0-25mm-derma-roller"/>
    <hyperlink ref="C179" r:id="rId521" display="https://striking-viking.com/customer_authentication/redirect?locale=en&amp;region_country=US"/>
    <hyperlink ref="F179" r:id="rId522" display="https://account.striking-viking.com/?buyer_flags=eyJhbGciOiJIUzI1NiJ9.eyJpc3MiOiJzdHJpa2luZy12aWtpbmcubXlzaG9waWZ5LmNvbSIsImZsYWdzIjpbXSwiZXhwIjoxNzkxMzU0NjI4LCJuYmYiOjE3OTA3NDk4Mjh9.W_JgIDP8DFSrhQ1ojmPBXziPlPpbfbt33v3WuNh9GNc&amp;locale=en&amp;region_country=US"/>
    <hyperlink ref="A180" r:id="rId523" display="https://striking-viking.com/products/beard-growth-balm-with-biotin-2-oz-vanilla"/>
    <hyperlink ref="C180" r:id="rId524" display="https://striking-viking.com/customer_authentication/redirect?locale=en&amp;region_country=US"/>
    <hyperlink ref="F180" r:id="rId525" display="https://account.striking-viking.com/?buyer_flags=eyJhbGciOiJIUzI1NiJ9.eyJpc3MiOiJzdHJpa2luZy12aWtpbmcubXlzaG9waWZ5LmNvbSIsImZsYWdzIjpbXSwiZXhwIjoxNzkxMzU0NjI4LCJuYmYiOjE3OTA3NDk4Mjh9.W_JgIDP8DFSrhQ1ojmPBXziPlPpbfbt33v3WuNh9GNc&amp;locale=en&amp;region_country=US"/>
    <hyperlink ref="A181" r:id="rId526" display="https://striking-viking.com/pages/contact-us"/>
    <hyperlink ref="C181" r:id="rId527" display="https://striking-viking.com/customer_authentication/redirect?locale=en&amp;region_country=US"/>
    <hyperlink ref="F181" r:id="rId528" display="https://account.striking-viking.com/?buyer_flags=eyJhbGciOiJIUzI1NiJ9.eyJpc3MiOiJzdHJpa2luZy12aWtpbmcubXlzaG9waWZ5LmNvbSIsImZsYWdzIjpbXSwiZXhwIjoxNzkxMzU0NjI4LCJuYmYiOjE3OTA3NDk4Mjh9.W_JgIDP8DFSrhQ1ojmPBXziPlPpbfbt33v3WuNh9GNc&amp;locale=en&amp;region_country=US"/>
    <hyperlink ref="A182" r:id="rId529" display="https://striking-viking.com/products/striking-viking-mustache-wax-and-comb-kit"/>
    <hyperlink ref="C182" r:id="rId530" display="https://striking-viking.com/customer_authentication/redirect?locale=en&amp;region_country=US"/>
    <hyperlink ref="F182" r:id="rId531" display="https://account.striking-viking.com/?buyer_flags=eyJhbGciOiJIUzI1NiJ9.eyJpc3MiOiJzdHJpa2luZy12aWtpbmcubXlzaG9waWZ5LmNvbSIsImZsYWdzIjpbXSwiZXhwIjoxNzkxMzU0NjI4LCJuYmYiOjE3OTA3NDk4Mjh9.W_JgIDP8DFSrhQ1ojmPBXziPlPpbfbt33v3WuNh9GNc&amp;locale=en&amp;region_country=US"/>
    <hyperlink ref="A183" r:id="rId532" display="https://striking-viking.com/products/striking-viking-sandalwood-shaving-cream-for-men-rich-lather-for-a-smooth-comfortable-shave"/>
    <hyperlink ref="C183" r:id="rId533" display="https://striking-viking.com/customer_authentication/redirect?locale=en&amp;region_country=US"/>
    <hyperlink ref="F183" r:id="rId534" display="https://account.striking-viking.com/?buyer_flags=eyJhbGciOiJIUzI1NiJ9.eyJpc3MiOiJzdHJpa2luZy12aWtpbmcubXlzaG9waWZ5LmNvbSIsImZsYWdzIjpbXSwiZXhwIjoxNzkxMzU0NjI4LCJuYmYiOjE3OTA3NDk4Mjh9.W_JgIDP8DFSrhQ1ojmPBXziPlPpbfbt33v3WuNh9GNc&amp;locale=en&amp;region_country=US"/>
    <hyperlink ref="A184" r:id="rId535" display="https://striking-viking.com/pages/spurit-reminders-cancelled"/>
    <hyperlink ref="C184" r:id="rId536" display="https://striking-viking.com/customer_authentication/redirect?locale=en&amp;region_country=US"/>
    <hyperlink ref="F184" r:id="rId537" display="https://account.striking-viking.com/?buyer_flags=eyJhbGciOiJIUzI1NiJ9.eyJpc3MiOiJzdHJpa2luZy12aWtpbmcubXlzaG9waWZ5LmNvbSIsImZsYWdzIjpbXSwiZXhwIjoxNzkxMzU0NjI4LCJuYmYiOjE3OTA3NDk4Mjh9.W_JgIDP8DFSrhQ1ojmPBXziPlPpbfbt33v3WuNh9GNc&amp;locale=en&amp;region_country=US"/>
    <hyperlink ref="A185" r:id="rId538" display="https://striking-viking.com/products/ontaki-facial-hair-grooming-scissors-2-pack-precision-beard-nose-mustache-trimming"/>
    <hyperlink ref="C185" r:id="rId539" display="https://striking-viking.com/customer_authentication/redirect?locale=en&amp;region_country=US"/>
    <hyperlink ref="F185" r:id="rId540" display="https://account.striking-viking.com/?buyer_flags=eyJhbGciOiJIUzI1NiJ9.eyJpc3MiOiJzdHJpa2luZy12aWtpbmcubXlzaG9waWZ5LmNvbSIsImZsYWdzIjpbXSwiZXhwIjoxNzkxMzU0NjI4LCJuYmYiOjE3OTA3NDk4Mjh9.W_JgIDP8DFSrhQ1ojmPBXziPlPpbfbt33v3WuNh9GNc&amp;locale=en&amp;region_country=US"/>
    <hyperlink ref="A186" r:id="rId541" display="https://striking-viking.com/blogs/learn/grooming-kit-a-perfect-gift-for-the-modern-man"/>
    <hyperlink ref="C186" r:id="rId542" display="https://striking-viking.com/customer_authentication/redirect?locale=en&amp;region_country=US"/>
    <hyperlink ref="F186" r:id="rId543" display="https://account.striking-viking.com/?buyer_flags=eyJhbGciOiJIUzI1NiJ9.eyJpc3MiOiJzdHJpa2luZy12aWtpbmcubXlzaG9waWZ5LmNvbSIsImZsYWdzIjpbXSwiZXhwIjoxNzkxMzU0NjI4LCJuYmYiOjE3OTA3NDk4Mjh9.W_JgIDP8DFSrhQ1ojmPBXziPlPpbfbt33v3WuNh9GNc&amp;locale=en&amp;region_country=US"/>
    <hyperlink ref="A187" r:id="rId544" display="https://striking-viking.com/products/striking-viking-vanilla-after-shave-balm-for-men-soothing-hydration-skin-care"/>
    <hyperlink ref="C187" r:id="rId545" display="https://striking-viking.com/customer_authentication/redirect?locale=en&amp;region_country=US"/>
    <hyperlink ref="F187" r:id="rId546" display="https://account.striking-viking.com/?buyer_flags=eyJhbGciOiJIUzI1NiJ9.eyJpc3MiOiJzdHJpa2luZy12aWtpbmcubXlzaG9waWZ5LmNvbSIsImZsYWdzIjpbXSwiZXhwIjoxNzkxMzU0NjI4LCJuYmYiOjE3OTA3NDk4Mjh9.W_JgIDP8DFSrhQ1ojmPBXziPlPpbfbt33v3WuNh9GNc&amp;locale=en&amp;region_country=US"/>
    <hyperlink ref="A188" r:id="rId547" display="https://striking-viking.com/blogs/learn/beard-grooming-tools-for-professional-styling-at-home"/>
    <hyperlink ref="C188" r:id="rId548" display="https://striking-viking.com/customer_authentication/redirect?locale=en&amp;region_country=US"/>
    <hyperlink ref="F188" r:id="rId549" display="https://account.striking-viking.com/?buyer_flags=eyJhbGciOiJIUzI1NiJ9.eyJpc3MiOiJzdHJpa2luZy12aWtpbmcubXlzaG9waWZ5LmNvbSIsImZsYWdzIjpbXSwiZXhwIjoxNzkxMzU0NjI4LCJuYmYiOjE3OTA3NDk4Mjh9.W_JgIDP8DFSrhQ1ojmPBXziPlPpbfbt33v3WuNh9GNc&amp;locale=en&amp;region_country=US"/>
    <hyperlink ref="A189" r:id="rId550" display="https://striking-viking.com/products/striking-viking-citrus-beard-balm"/>
    <hyperlink ref="C189" r:id="rId551" display="https://striking-viking.com/customer_authentication/redirect?locale=en&amp;region_country=US"/>
    <hyperlink ref="F189" r:id="rId552" display="https://account.striking-viking.com/?buyer_flags=eyJhbGciOiJIUzI1NiJ9.eyJpc3MiOiJzdHJpa2luZy12aWtpbmcubXlzaG9waWZ5LmNvbSIsImZsYWdzIjpbXSwiZXhwIjoxNzkxMzU0NjI4LCJuYmYiOjE3OTA3NDk4Mjh9.W_JgIDP8DFSrhQ1ojmPBXziPlPpbfbt33v3WuNh9GNc&amp;locale=en&amp;region_country=US"/>
    <hyperlink ref="A190" r:id="rId553" display="https://striking-viking.com/products/striking-viking-unscented-beard-balm-natural-beard-styling-conditioning"/>
    <hyperlink ref="C190" r:id="rId554" display="https://striking-viking.com/customer_authentication/redirect?locale=en&amp;region_country=US"/>
    <hyperlink ref="F190" r:id="rId555" display="https://account.striking-viking.com/?buyer_flags=eyJhbGciOiJIUzI1NiJ9.eyJpc3MiOiJzdHJpa2luZy12aWtpbmcubXlzaG9waWZ5LmNvbSIsImZsYWdzIjpbXSwiZXhwIjoxNzkxMzU0NjI4LCJuYmYiOjE3OTA3NDk4Mjh9.W_JgIDP8DFSrhQ1ojmPBXziPlPpbfbt33v3WuNh9GNc&amp;locale=en&amp;region_country=US"/>
    <hyperlink ref="A191" r:id="rId556" display="https://striking-viking.com/collections/sprays"/>
    <hyperlink ref="C191" r:id="rId557" display="https://striking-viking.com/customer_authentication/redirect?locale=en&amp;region_country=US"/>
    <hyperlink ref="F191" r:id="rId558" display="https://account.striking-viking.com/?buyer_flags=eyJhbGciOiJIUzI1NiJ9.eyJpc3MiOiJzdHJpa2luZy12aWtpbmcubXlzaG9waWZ5LmNvbSIsImZsYWdzIjpbXSwiZXhwIjoxNzkxMzU0NjI4LCJuYmYiOjE3OTA3NDk4Mjh9.W_JgIDP8DFSrhQ1ojmPBXziPlPpbfbt33v3WuNh9GNc&amp;locale=en&amp;region_country=US"/>
    <hyperlink ref="A192" r:id="rId559" display="https://striking-viking.com/products/striking-viking-sandalwood-after-shave-balm-for-men-soothing-hydration-skin-care"/>
    <hyperlink ref="C192" r:id="rId560" display="https://striking-viking.com/customer_authentication/redirect?locale=en&amp;region_country=US"/>
    <hyperlink ref="F192" r:id="rId561" display="https://account.striking-viking.com/?buyer_flags=eyJhbGciOiJIUzI1NiJ9.eyJpc3MiOiJzdHJpa2luZy12aWtpbmcubXlzaG9waWZ5LmNvbSIsImZsYWdzIjpbXSwiZXhwIjoxNzkxMzU0NjI4LCJuYmYiOjE3OTA3NDk4Mjh9.W_JgIDP8DFSrhQ1ojmPBXziPlPpbfbt33v3WuNh9GNc&amp;locale=en&amp;region_country=US"/>
    <hyperlink ref="A193" r:id="rId562" display="https://striking-viking.com/collections/beard-growth-kits"/>
    <hyperlink ref="C193" r:id="rId563" display="https://striking-viking.com/customer_authentication/redirect?locale=en&amp;region_country=US"/>
    <hyperlink ref="F193" r:id="rId564" display="https://account.striking-viking.com/?buyer_flags=eyJhbGciOiJIUzI1NiJ9.eyJpc3MiOiJzdHJpa2luZy12aWtpbmcubXlzaG9waWZ5LmNvbSIsImZsYWdzIjpbXSwiZXhwIjoxNzkxMzU0NjI4LCJuYmYiOjE3OTA3NDk4Mjh9.W_JgIDP8DFSrhQ1ojmPBXziPlPpbfbt33v3WuNh9GNc&amp;locale=en&amp;region_country=US"/>
    <hyperlink ref="A194" r:id="rId565" display="https://striking-viking.com/products/carbon-hair-comb"/>
    <hyperlink ref="C194" r:id="rId566" display="https://striking-viking.com/customer_authentication/redirect?locale=en&amp;region_country=US"/>
    <hyperlink ref="F194" r:id="rId567" display="https://account.striking-viking.com/?buyer_flags=eyJhbGciOiJIUzI1NiJ9.eyJpc3MiOiJzdHJpa2luZy12aWtpbmcubXlzaG9waWZ5LmNvbSIsImZsYWdzIjpbXSwiZXhwIjoxNzkxMzU0NjI4LCJuYmYiOjE3OTA3NDk4Mjh9.W_JgIDP8DFSrhQ1ojmPBXziPlPpbfbt33v3WuNh9GNc&amp;locale=en&amp;region_country=US"/>
    <hyperlink ref="A195" r:id="rId568" display="https://striking-viking.com/products/shipping-protection"/>
    <hyperlink ref="C195" r:id="rId569" display="https://striking-viking.com/customer_authentication/redirect?locale=en&amp;region_country=US"/>
    <hyperlink ref="F195" r:id="rId570" display="https://account.striking-viking.com/?buyer_flags=eyJhbGciOiJIUzI1NiJ9.eyJpc3MiOiJzdHJpa2luZy12aWtpbmcubXlzaG9waWZ5LmNvbSIsImZsYWdzIjpbXSwiZXhwIjoxNzkxMzU0NjI4LCJuYmYiOjE3OTA3NDk4Mjh9.W_JgIDP8DFSrhQ1ojmPBXziPlPpbfbt33v3WuNh9GNc&amp;locale=en&amp;region_country=US"/>
    <hyperlink ref="A196" r:id="rId571" display="https://striking-viking.com/products/ontaki-japanese-steel-beard-hair-scissors-5-5-inch-professional-grooming-shears"/>
    <hyperlink ref="C196" r:id="rId572" display="https://striking-viking.com/customer_authentication/redirect?locale=en&amp;region_country=US"/>
    <hyperlink ref="F196" r:id="rId573" display="https://account.striking-viking.com/?buyer_flags=eyJhbGciOiJIUzI1NiJ9.eyJpc3MiOiJzdHJpa2luZy12aWtpbmcubXlzaG9waWZ5LmNvbSIsImZsYWdzIjpbXSwiZXhwIjoxNzkxMzU0NjI4LCJuYmYiOjE3OTA3NDk4Mjh9.W_JgIDP8DFSrhQ1ojmPBXziPlPpbfbt33v3WuNh9GNc&amp;locale=en&amp;region_country=US"/>
    <hyperlink ref="A197" r:id="rId574" display="https://striking-viking.com/pages/collab"/>
    <hyperlink ref="C197" r:id="rId575" display="https://striking-viking.com/customer_authentication/redirect?locale=en&amp;region_country=US"/>
    <hyperlink ref="F197" r:id="rId576" display="https://account.striking-viking.com/?buyer_flags=eyJhbGciOiJIUzI1NiJ9.eyJpc3MiOiJzdHJpa2luZy12aWtpbmcubXlzaG9waWZ5LmNvbSIsImZsYWdzIjpbXSwiZXhwIjoxNzkxMzU0NjI4LCJuYmYiOjE3OTA3NDk4Mjh9.W_JgIDP8DFSrhQ1ojmPBXziPlPpbfbt33v3WuNh9GNc&amp;locale=en&amp;region_country=US"/>
    <hyperlink ref="A198" r:id="rId577" display="https://striking-viking.com/collections/combs-and-brushes"/>
    <hyperlink ref="C198" r:id="rId578" display="https://striking-viking.com/customer_authentication/redirect?locale=en&amp;region_country=US"/>
    <hyperlink ref="F198" r:id="rId579" display="https://account.striking-viking.com/?buyer_flags=eyJhbGciOiJIUzI1NiJ9.eyJpc3MiOiJzdHJpa2luZy12aWtpbmcubXlzaG9waWZ5LmNvbSIsImZsYWdzIjpbXSwiZXhwIjoxNzkxMzU0NjI4LCJuYmYiOjE3OTA3NDk4Mjh9.W_JgIDP8DFSrhQ1ojmPBXziPlPpbfbt33v3WuNh9GNc&amp;locale=en&amp;region_country=US"/>
    <hyperlink ref="A199" r:id="rId580" display="https://striking-viking.com/blogs/learn/what-are-the-best-beard-scissors-for-precision-grooming"/>
    <hyperlink ref="C199" r:id="rId581" display="https://striking-viking.com/customer_authentication/redirect?locale=en&amp;region_country=US"/>
    <hyperlink ref="F199" r:id="rId582" display="https://account.striking-viking.com/?buyer_flags=eyJhbGciOiJIUzI1NiJ9.eyJpc3MiOiJzdHJpa2luZy12aWtpbmcubXlzaG9waWZ5LmNvbSIsImZsYWdzIjpbXSwiZXhwIjoxNzkxMzU0NjI4LCJuYmYiOjE3OTA3NDk4Mjh9.W_JgIDP8DFSrhQ1ojmPBXziPlPpbfbt33v3WuNh9GNc&amp;locale=en&amp;region_country=US"/>
    <hyperlink ref="A200" r:id="rId583" display="https://striking-viking.com/blogs/learn/striking-viking-beard-comb-for-routine-beard-management"/>
    <hyperlink ref="C200" r:id="rId584" display="https://striking-viking.com/customer_authentication/redirect?locale=en&amp;region_country=US"/>
    <hyperlink ref="F200" r:id="rId585" display="https://account.striking-viking.com/?buyer_flags=eyJhbGciOiJIUzI1NiJ9.eyJpc3MiOiJzdHJpa2luZy12aWtpbmcubXlzaG9waWZ5LmNvbSIsImZsYWdzIjpbXSwiZXhwIjoxNzkxMzU0NjI4LCJuYmYiOjE3OTA3NDk4Mjh9.W_JgIDP8DFSrhQ1ojmPBXziPlPpbfbt33v3WuNh9GNc&amp;locale=en&amp;region_country=US"/>
    <hyperlink ref="A201" r:id="rId586" display="https://striking-viking.com/products/striking-viking-vanilla-beard-balm-2-pack-with-natural-organic-ingredients-for-beard-styling"/>
    <hyperlink ref="C201" r:id="rId587" display="https://striking-viking.com/customer_authentication/redirect?locale=en&amp;region_country=US"/>
    <hyperlink ref="F201" r:id="rId588" display="https://account.striking-viking.com/?buyer_flags=eyJhbGciOiJIUzI1NiJ9.eyJpc3MiOiJzdHJpa2luZy12aWtpbmcubXlzaG9waWZ5LmNvbSIsImZsYWdzIjpbXSwiZXhwIjoxNzkxMzU0NjI4LCJuYmYiOjE3OTA3NDk4Mjh9.W_JgIDP8DFSrhQ1ojmPBXziPlPpbfbt33v3WuNh9GNc&amp;locale=en&amp;region_country=US"/>
    <hyperlink ref="A202" r:id="rId589" display="https://striking-viking.com/products/striking-viking-vanilla-beard-oil-with-natural-organic-oils-for-soft-healthy-beard-care"/>
    <hyperlink ref="C202" r:id="rId590" display="https://striking-viking.com/customer_authentication/redirect?locale=en&amp;region_country=US"/>
    <hyperlink ref="F202" r:id="rId591" display="https://account.striking-viking.com/?buyer_flags=eyJhbGciOiJIUzI1NiJ9.eyJpc3MiOiJzdHJpa2luZy12aWtpbmcubXlzaG9waWZ5LmNvbSIsImZsYWdzIjpbXSwiZXhwIjoxNzkxMzU0NjI4LCJuYmYiOjE3OTA3NDk4Mjh9.W_JgIDP8DFSrhQ1ojmPBXziPlPpbfbt33v3WuNh9GNc&amp;locale=en&amp;region_country=US"/>
    <hyperlink ref="A203" r:id="rId592" display="https://striking-viking.com/pages/spurit-merchant-notifications-cancelled"/>
    <hyperlink ref="C203" r:id="rId593" display="https://striking-viking.com/customer_authentication/redirect?locale=en&amp;region_country=US"/>
    <hyperlink ref="F203" r:id="rId594" display="https://account.striking-viking.com/?buyer_flags=eyJhbGciOiJIUzI1NiJ9.eyJpc3MiOiJzdHJpa2luZy12aWtpbmcubXlzaG9waWZ5LmNvbSIsImZsYWdzIjpbXSwiZXhwIjoxNzkxMzU0NjI4LCJuYmYiOjE3OTA3NDk4Mjh9.W_JgIDP8DFSrhQ1ojmPBXziPlPpbfbt33v3WuNh9GNc&amp;locale=en&amp;region_country=US"/>
    <hyperlink ref="A204" r:id="rId595" display="https://striking-viking.com/products/striking-viking-beard-balm-variety-4-pack-citrus-vanilla-cedarwood-sandalwood"/>
    <hyperlink ref="C204" r:id="rId596" display="https://striking-viking.com/customer_authentication/redirect?locale=en&amp;region_country=US"/>
    <hyperlink ref="F204" r:id="rId597" display="https://account.striking-viking.com/?buyer_flags=eyJhbGciOiJIUzI1NiJ9.eyJpc3MiOiJzdHJpa2luZy12aWtpbmcubXlzaG9waWZ5LmNvbSIsImZsYWdzIjpbXSwiZXhwIjoxNzkxMzU0NjI4LCJuYmYiOjE3OTA3NDk4Mjh9.W_JgIDP8DFSrhQ1ojmPBXziPlPpbfbt33v3WuNh9GNc&amp;locale=en&amp;region_country=US"/>
    <hyperlink ref="A205" r:id="rId598" display="https://striking-viking.com/products/carbon-wide-tooth-comb"/>
    <hyperlink ref="C205" r:id="rId599" display="https://striking-viking.com/customer_authentication/redirect?locale=en&amp;region_country=US"/>
    <hyperlink ref="F205" r:id="rId600" display="https://account.striking-viking.com/?buyer_flags=eyJhbGciOiJIUzI1NiJ9.eyJpc3MiOiJzdHJpa2luZy12aWtpbmcubXlzaG9waWZ5LmNvbSIsImZsYWdzIjpbXSwiZXhwIjoxNzkxMzU0NjI4LCJuYmYiOjE3OTA3NDk4Mjh9.W_JgIDP8DFSrhQ1ojmPBXziPlPpbfbt33v3WuNh9GNc&amp;locale=en&amp;region_country=US"/>
    <hyperlink ref="A206" r:id="rId601" display="https://striking-viking.com/products/striking-viking-beard-growth-mastery-bundle-with-sandalwood-vanilla-biotin-oils-and-derma-roller"/>
    <hyperlink ref="C206" r:id="rId602" display="https://striking-viking.com/customer_authentication/redirect?locale=en&amp;region_country=US"/>
    <hyperlink ref="F206" r:id="rId603" display="https://account.striking-viking.com/?buyer_flags=eyJhbGciOiJIUzI1NiJ9.eyJpc3MiOiJzdHJpa2luZy12aWtpbmcubXlzaG9waWZ5LmNvbSIsImZsYWdzIjpbXSwiZXhwIjoxNzkxMzU0NjI4LCJuYmYiOjE3OTA3NDk4Mjh9.W_JgIDP8DFSrhQ1ojmPBXziPlPpbfbt33v3WuNh9GNc&amp;locale=en&amp;region_country=US"/>
    <hyperlink ref="A207" r:id="rId604" display="https://striking-viking.com/pages/ilm-form-not-visible"/>
    <hyperlink ref="C207" r:id="rId605" display="https://striking-viking.com/customer_authentication/redirect?locale=en&amp;region_country=US"/>
    <hyperlink ref="F207" r:id="rId606" display="https://account.striking-viking.com/?buyer_flags=eyJhbGciOiJIUzI1NiJ9.eyJpc3MiOiJzdHJpa2luZy12aWtpbmcubXlzaG9waWZ5LmNvbSIsImZsYWdzIjpbXSwiZXhwIjoxNzkxMzU0NjI4LCJuYmYiOjE3OTA3NDk4Mjh9.W_JgIDP8DFSrhQ1ojmPBXziPlPpbfbt33v3WuNh9GNc&amp;locale=en&amp;region_country=US"/>
    <hyperlink ref="A208" r:id="rId607" display="https://striking-viking.com/products/striking-viking-sea-salt-hair-spray-strong-hold-citrus-texture-volume-beach-waves"/>
    <hyperlink ref="C208" r:id="rId608" display="https://striking-viking.com/customer_authentication/redirect?locale=en&amp;region_country=US"/>
    <hyperlink ref="F208" r:id="rId609" display="https://account.striking-viking.com/?buyer_flags=eyJhbGciOiJIUzI1NiJ9.eyJpc3MiOiJzdHJpa2luZy12aWtpbmcubXlzaG9waWZ5LmNvbSIsImZsYWdzIjpbXSwiZXhwIjoxNzkxMzU0NjI4LCJuYmYiOjE3OTA3NDk4Mjh9.W_JgIDP8DFSrhQ1ojmPBXziPlPpbfbt33v3WuNh9GNc&amp;locale=en&amp;region_country=US"/>
    <hyperlink ref="A209" r:id="rId610" display="https://striking-viking.com/products/ontaki-duckbill-applique-scissors-4-5-inch-carbon-steel-fabric-thread-cutting-scissors"/>
    <hyperlink ref="C209" r:id="rId611" display="https://striking-viking.com/customer_authentication/redirect?locale=en&amp;region_country=US"/>
    <hyperlink ref="F209" r:id="rId612" display="https://account.striking-viking.com/?buyer_flags=eyJhbGciOiJIUzI1NiJ9.eyJpc3MiOiJzdHJpa2luZy12aWtpbmcubXlzaG9waWZ5LmNvbSIsImZsYWdzIjpbXSwiZXhwIjoxNzkxMzU0NjI4LCJuYmYiOjE3OTA3NDk4Mjh9.W_JgIDP8DFSrhQ1ojmPBXziPlPpbfbt33v3WuNh9GNc&amp;locale=en&amp;region_country=US"/>
    <hyperlink ref="A210" r:id="rId613" display="https://striking-viking.com/products/striking-viking-beard-growth-kit-with-beard-roller-vanilla-unscented-biotin-oils-for-men"/>
    <hyperlink ref="C210" r:id="rId614" display="https://striking-viking.com/customer_authentication/redirect?locale=en&amp;region_country=US"/>
    <hyperlink ref="F210" r:id="rId615" display="https://account.striking-viking.com/?buyer_flags=eyJhbGciOiJIUzI1NiJ9.eyJpc3MiOiJzdHJpa2luZy12aWtpbmcubXlzaG9waWZ5LmNvbSIsImZsYWdzIjpbXSwiZXhwIjoxNzkxMzU0NjI4LCJuYmYiOjE3OTA3NDk4Mjh9.W_JgIDP8DFSrhQ1ojmPBXziPlPpbfbt33v3WuNh9GNc&amp;locale=en&amp;region_country=US"/>
    <hyperlink ref="A211" r:id="rId616" display="https://striking-viking.com/products/striking-viking-tea-tree-biotin-beard-wash-cologne-for-clean-fresh-healthy-beard-care"/>
    <hyperlink ref="C211" r:id="rId617" display="https://striking-viking.com/customer_authentication/redirect?locale=en&amp;region_country=US"/>
    <hyperlink ref="F211" r:id="rId618" display="https://account.striking-viking.com/?buyer_flags=eyJhbGciOiJIUzI1NiJ9.eyJpc3MiOiJzdHJpa2luZy12aWtpbmcubXlzaG9waWZ5LmNvbSIsImZsYWdzIjpbXSwiZXhwIjoxNzkxMzU0NjI4LCJuYmYiOjE3OTA3NDk4Mjh9.W_JgIDP8DFSrhQ1ojmPBXziPlPpbfbt33v3WuNh9GNc&amp;locale=en&amp;region_country=US"/>
    <hyperlink ref="A212" r:id="rId619" display="https://striking-viking.com/collections/subscribe-save"/>
    <hyperlink ref="C212" r:id="rId620" display="https://striking-viking.com/customer_authentication/redirect?locale=en&amp;region_country=US"/>
    <hyperlink ref="F212" r:id="rId621" display="https://account.striking-viking.com/?buyer_flags=eyJhbGciOiJIUzI1NiJ9.eyJpc3MiOiJzdHJpa2luZy12aWtpbmcubXlzaG9waWZ5LmNvbSIsImZsYWdzIjpbXSwiZXhwIjoxNzkxMzU0NjI4LCJuYmYiOjE3OTA3NDk4Mjh9.W_JgIDP8DFSrhQ1ojmPBXziPlPpbfbt33v3WuNh9GNc&amp;locale=en&amp;region_country=US"/>
    <hyperlink ref="A213" r:id="rId622" display="https://striking-viking.com/collections/charlemagne"/>
    <hyperlink ref="C213" r:id="rId623" display="https://striking-viking.com/customer_authentication/redirect?locale=en&amp;region_country=US"/>
    <hyperlink ref="F213" r:id="rId624" display="https://account.striking-viking.com/?buyer_flags=eyJhbGciOiJIUzI1NiJ9.eyJpc3MiOiJzdHJpa2luZy12aWtpbmcubXlzaG9waWZ5LmNvbSIsImZsYWdzIjpbXSwiZXhwIjoxNzkxMzU0NjI4LCJuYmYiOjE3OTA3NDk4Mjh9.W_JgIDP8DFSrhQ1ojmPBXziPlPpbfbt33v3WuNh9GNc&amp;locale=en&amp;region_country=US"/>
    <hyperlink ref="A214" r:id="rId625" display="https://striking-viking.com/blogs/learn/the-ultimate-guide-to-tattoo-aftercare-with-striking-viking"/>
    <hyperlink ref="C214" r:id="rId626" display="https://striking-viking.com/customer_authentication/redirect?locale=en&amp;region_country=US"/>
    <hyperlink ref="F214" r:id="rId627" display="https://account.striking-viking.com/?buyer_flags=eyJhbGciOiJIUzI1NiJ9.eyJpc3MiOiJzdHJpa2luZy12aWtpbmcubXlzaG9waWZ5LmNvbSIsImZsYWdzIjpbXSwiZXhwIjoxNzkxMzU0NjI4LCJuYmYiOjE3OTA3NDk4Mjh9.W_JgIDP8DFSrhQ1ojmPBXziPlPpbfbt33v3WuNh9GNc&amp;locale=en&amp;region_country=US"/>
    <hyperlink ref="A215" r:id="rId628" display="https://striking-viking.com/products/striking-viking-beard-filler-pen-2-pack-dual-tip-waterproof-beard-pen-for-natural-beard-filling?variant=52771991126358"/>
    <hyperlink ref="C215" r:id="rId629" display="https://striking-viking.com/customer_authentication/redirect?locale=en&amp;region_country=US"/>
    <hyperlink ref="F215" r:id="rId630" display="https://account.striking-viking.com/?buyer_flags=eyJhbGciOiJIUzI1NiJ9.eyJpc3MiOiJzdHJpa2luZy12aWtpbmcubXlzaG9waWZ5LmNvbSIsImZsYWdzIjpbXSwiZXhwIjoxNzkxMzU0NjI4LCJuYmYiOjE3OTA3NDk4Mjh9.W_JgIDP8DFSrhQ1ojmPBXziPlPpbfbt33v3WuNh9GNc&amp;locale=en&amp;region_country=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75"/>
    <col collapsed="false" customWidth="true" hidden="false" outlineLevel="0" max="2" min="2" style="0" width="70.25"/>
    <col collapsed="false" customWidth="true" hidden="false" outlineLevel="0" max="3" min="3" style="0" width="21.75"/>
    <col collapsed="false" customWidth="true" hidden="false" outlineLevel="0" max="4" min="4" style="0" width="55.88"/>
    <col collapsed="false" customWidth="true" hidden="false" outlineLevel="0" max="6" min="6" style="0" width="26.38"/>
    <col collapsed="false" customWidth="true" hidden="false" outlineLevel="0" max="7" min="7" style="0" width="56.5"/>
    <col collapsed="false" customWidth="true" hidden="false" outlineLevel="0" max="8" min="8" style="0" width="32.63"/>
    <col collapsed="false" customWidth="true" hidden="false" outlineLevel="0" max="11" min="11" style="0" width="22"/>
  </cols>
  <sheetData>
    <row r="1" customFormat="false" ht="19.7" hidden="false" customHeight="false" outlineLevel="0" collapsed="false">
      <c r="A1" s="65"/>
      <c r="B1" s="65"/>
      <c r="C1" s="65"/>
      <c r="D1" s="65"/>
      <c r="E1" s="65"/>
      <c r="F1" s="65"/>
      <c r="G1" s="65"/>
      <c r="H1" s="65"/>
      <c r="I1" s="65"/>
      <c r="K1" s="26" t="str">
        <f aca="false">HYPERLINK("#'Master Overview'!A1","&lt;&lt; Master Overview")</f>
        <v>&lt;&lt; Master Overview</v>
      </c>
    </row>
    <row r="2" customFormat="false" ht="19.7" hidden="false" customHeight="false" outlineLevel="0" collapsed="false">
      <c r="A2" s="65"/>
      <c r="B2" s="65"/>
      <c r="C2" s="65"/>
      <c r="D2" s="65"/>
      <c r="E2" s="65"/>
      <c r="F2" s="65"/>
      <c r="G2" s="65"/>
      <c r="H2" s="65"/>
      <c r="I2" s="65"/>
      <c r="K2" s="2" t="s">
        <v>7167</v>
      </c>
    </row>
    <row r="3" customFormat="false" ht="19.7" hidden="false" customHeight="false" outlineLevel="0" collapsed="false">
      <c r="A3" s="66" t="s">
        <v>113</v>
      </c>
      <c r="B3" s="66"/>
      <c r="C3" s="66"/>
      <c r="D3" s="66"/>
      <c r="E3" s="66"/>
      <c r="F3" s="66"/>
      <c r="G3" s="66"/>
      <c r="H3" s="66"/>
      <c r="I3" s="66"/>
    </row>
    <row r="4" customFormat="false" ht="28.35" hidden="false" customHeight="false" outlineLevel="0" collapsed="false">
      <c r="A4" s="59" t="s">
        <v>6863</v>
      </c>
      <c r="B4" s="60" t="s">
        <v>7033</v>
      </c>
      <c r="C4" s="59" t="s">
        <v>6865</v>
      </c>
      <c r="D4" s="60" t="s">
        <v>6866</v>
      </c>
      <c r="E4" s="59" t="s">
        <v>6867</v>
      </c>
      <c r="F4" s="60" t="s">
        <v>6868</v>
      </c>
      <c r="G4" s="64" t="s">
        <v>7034</v>
      </c>
      <c r="H4" s="67" t="s">
        <v>7168</v>
      </c>
      <c r="I4" s="50" t="s">
        <v>81</v>
      </c>
    </row>
    <row r="5" customFormat="false" ht="15" hidden="false" customHeight="false" outlineLevel="0" collapsed="false">
      <c r="A5" s="38" t="n">
        <v>1</v>
      </c>
      <c r="B5" s="37" t="s">
        <v>7169</v>
      </c>
      <c r="C5" s="38" t="n">
        <v>200</v>
      </c>
      <c r="D5" s="37" t="s">
        <v>7170</v>
      </c>
      <c r="E5" s="38" t="n">
        <v>404</v>
      </c>
      <c r="F5" s="37" t="s">
        <v>7171</v>
      </c>
      <c r="G5" s="37"/>
      <c r="H5" s="68"/>
      <c r="I5" s="51"/>
    </row>
    <row r="6" customFormat="false" ht="15" hidden="false" customHeight="false" outlineLevel="0" collapsed="false">
      <c r="A6" s="38" t="n">
        <v>2</v>
      </c>
      <c r="B6" s="37" t="s">
        <v>7172</v>
      </c>
      <c r="C6" s="38" t="n">
        <v>200</v>
      </c>
      <c r="D6" s="37" t="s">
        <v>7173</v>
      </c>
      <c r="E6" s="38" t="n">
        <v>301</v>
      </c>
      <c r="F6" s="37" t="s">
        <v>7174</v>
      </c>
      <c r="G6" s="39" t="s">
        <v>7175</v>
      </c>
      <c r="H6" s="68" t="n">
        <v>404</v>
      </c>
      <c r="I6" s="51"/>
    </row>
    <row r="7" customFormat="false" ht="15" hidden="false" customHeight="false" outlineLevel="0" collapsed="false">
      <c r="A7" s="38" t="n">
        <v>3</v>
      </c>
      <c r="B7" s="37" t="s">
        <v>7176</v>
      </c>
      <c r="C7" s="38" t="n">
        <v>200</v>
      </c>
      <c r="D7" s="37" t="s">
        <v>7177</v>
      </c>
      <c r="E7" s="38" t="n">
        <v>404</v>
      </c>
      <c r="F7" s="69" t="s">
        <v>7178</v>
      </c>
      <c r="G7" s="70"/>
      <c r="H7" s="71"/>
      <c r="I7" s="51"/>
    </row>
    <row r="8" customFormat="false" ht="15" hidden="false" customHeight="false" outlineLevel="0" collapsed="false">
      <c r="A8" s="38" t="n">
        <v>4</v>
      </c>
      <c r="B8" s="37" t="s">
        <v>7179</v>
      </c>
      <c r="C8" s="38" t="n">
        <v>200</v>
      </c>
      <c r="D8" s="37" t="s">
        <v>7173</v>
      </c>
      <c r="E8" s="38" t="n">
        <v>301</v>
      </c>
      <c r="F8" s="37" t="s">
        <v>7180</v>
      </c>
      <c r="G8" s="39" t="s">
        <v>7175</v>
      </c>
      <c r="H8" s="68" t="n">
        <v>404</v>
      </c>
      <c r="I8" s="51"/>
    </row>
    <row r="9" customFormat="false" ht="15" hidden="false" customHeight="false" outlineLevel="0" collapsed="false">
      <c r="A9" s="38" t="n">
        <v>5</v>
      </c>
      <c r="B9" s="37" t="s">
        <v>7181</v>
      </c>
      <c r="C9" s="38" t="n">
        <v>200</v>
      </c>
      <c r="D9" s="37" t="s">
        <v>7170</v>
      </c>
      <c r="E9" s="38" t="n">
        <v>404</v>
      </c>
      <c r="F9" s="37" t="s">
        <v>7182</v>
      </c>
      <c r="G9" s="37"/>
      <c r="H9" s="71"/>
      <c r="I9" s="51"/>
    </row>
    <row r="10" customFormat="false" ht="15" hidden="false" customHeight="false" outlineLevel="0" collapsed="false">
      <c r="A10" s="38" t="n">
        <v>6</v>
      </c>
      <c r="B10" s="37" t="s">
        <v>7183</v>
      </c>
      <c r="C10" s="38" t="n">
        <v>200</v>
      </c>
      <c r="D10" s="37" t="s">
        <v>7177</v>
      </c>
      <c r="E10" s="38" t="n">
        <v>404</v>
      </c>
      <c r="F10" s="37" t="s">
        <v>7184</v>
      </c>
      <c r="G10" s="37"/>
      <c r="H10" s="71"/>
      <c r="I10" s="51"/>
    </row>
    <row r="11" customFormat="false" ht="15" hidden="false" customHeight="false" outlineLevel="0" collapsed="false">
      <c r="A11" s="38" t="n">
        <v>7</v>
      </c>
      <c r="B11" s="37" t="s">
        <v>7185</v>
      </c>
      <c r="C11" s="38" t="n">
        <v>200</v>
      </c>
      <c r="D11" s="37" t="s">
        <v>7177</v>
      </c>
      <c r="E11" s="38" t="n">
        <v>404</v>
      </c>
      <c r="F11" s="37" t="s">
        <v>7186</v>
      </c>
      <c r="G11" s="37"/>
      <c r="H11" s="68"/>
      <c r="I11" s="51"/>
    </row>
    <row r="12" customFormat="false" ht="15" hidden="false" customHeight="false" outlineLevel="0" collapsed="false">
      <c r="A12" s="38" t="n">
        <v>8</v>
      </c>
      <c r="B12" s="37" t="s">
        <v>7187</v>
      </c>
      <c r="C12" s="38" t="n">
        <v>200</v>
      </c>
      <c r="D12" s="37" t="s">
        <v>7170</v>
      </c>
      <c r="E12" s="38" t="n">
        <v>404</v>
      </c>
      <c r="F12" s="37" t="s">
        <v>7188</v>
      </c>
      <c r="G12" s="37"/>
      <c r="H12" s="68"/>
      <c r="I12" s="51"/>
    </row>
    <row r="13" customFormat="false" ht="15" hidden="false" customHeight="false" outlineLevel="0" collapsed="false">
      <c r="A13" s="38" t="n">
        <v>9</v>
      </c>
      <c r="B13" s="37" t="s">
        <v>7189</v>
      </c>
      <c r="C13" s="38" t="n">
        <v>200</v>
      </c>
      <c r="D13" s="37" t="s">
        <v>7170</v>
      </c>
      <c r="E13" s="38" t="n">
        <v>404</v>
      </c>
      <c r="F13" s="37" t="s">
        <v>7190</v>
      </c>
      <c r="G13" s="37"/>
      <c r="H13" s="71"/>
      <c r="I13" s="51"/>
    </row>
    <row r="14" customFormat="false" ht="15" hidden="false" customHeight="false" outlineLevel="0" collapsed="false">
      <c r="A14" s="38" t="n">
        <v>10</v>
      </c>
      <c r="B14" s="37" t="s">
        <v>7191</v>
      </c>
      <c r="C14" s="38" t="n">
        <v>200</v>
      </c>
      <c r="D14" s="37" t="s">
        <v>7175</v>
      </c>
      <c r="E14" s="38" t="n">
        <v>404</v>
      </c>
      <c r="F14" s="37" t="s">
        <v>7192</v>
      </c>
      <c r="G14" s="37"/>
      <c r="H14" s="68"/>
      <c r="I14" s="51"/>
    </row>
    <row r="15" customFormat="false" ht="15" hidden="false" customHeight="false" outlineLevel="0" collapsed="false">
      <c r="A15" s="38" t="n">
        <v>11</v>
      </c>
      <c r="B15" s="37" t="s">
        <v>7193</v>
      </c>
      <c r="C15" s="38" t="n">
        <v>200</v>
      </c>
      <c r="D15" s="37" t="s">
        <v>7175</v>
      </c>
      <c r="E15" s="38" t="n">
        <v>404</v>
      </c>
      <c r="F15" s="37" t="s">
        <v>7194</v>
      </c>
      <c r="G15" s="37"/>
      <c r="H15" s="68"/>
      <c r="I15" s="51"/>
    </row>
    <row r="16" customFormat="false" ht="15" hidden="false" customHeight="false" outlineLevel="0" collapsed="false">
      <c r="A16" s="38" t="n">
        <v>12</v>
      </c>
      <c r="B16" s="37" t="s">
        <v>7195</v>
      </c>
      <c r="C16" s="38" t="n">
        <v>200</v>
      </c>
      <c r="D16" s="37" t="s">
        <v>7175</v>
      </c>
      <c r="E16" s="38" t="n">
        <v>404</v>
      </c>
      <c r="F16" s="37" t="s">
        <v>7196</v>
      </c>
      <c r="G16" s="37"/>
      <c r="H16" s="68"/>
      <c r="I16" s="51"/>
    </row>
    <row r="17" customFormat="false" ht="15" hidden="false" customHeight="false" outlineLevel="0" collapsed="false">
      <c r="A17" s="38" t="n">
        <v>13</v>
      </c>
      <c r="B17" s="37" t="s">
        <v>7092</v>
      </c>
      <c r="C17" s="38" t="n">
        <v>200</v>
      </c>
      <c r="D17" s="37" t="s">
        <v>7173</v>
      </c>
      <c r="E17" s="38" t="n">
        <v>301</v>
      </c>
      <c r="F17" s="37" t="s">
        <v>7197</v>
      </c>
      <c r="G17" s="39" t="s">
        <v>7175</v>
      </c>
      <c r="H17" s="68" t="n">
        <v>404</v>
      </c>
      <c r="I17" s="51"/>
    </row>
    <row r="18" customFormat="false" ht="15" hidden="false" customHeight="false" outlineLevel="0" collapsed="false">
      <c r="A18" s="38" t="n">
        <v>14</v>
      </c>
      <c r="B18" s="37" t="s">
        <v>7198</v>
      </c>
      <c r="C18" s="38" t="n">
        <v>200</v>
      </c>
      <c r="D18" s="37" t="s">
        <v>7173</v>
      </c>
      <c r="E18" s="38" t="n">
        <v>301</v>
      </c>
      <c r="F18" s="37" t="s">
        <v>7174</v>
      </c>
      <c r="G18" s="39" t="s">
        <v>7175</v>
      </c>
      <c r="H18" s="68" t="n">
        <v>404</v>
      </c>
      <c r="I18" s="51"/>
    </row>
    <row r="19" customFormat="false" ht="15" hidden="false" customHeight="false" outlineLevel="0" collapsed="false">
      <c r="A19" s="38" t="n">
        <v>15</v>
      </c>
      <c r="B19" s="37" t="s">
        <v>7199</v>
      </c>
      <c r="C19" s="38" t="n">
        <v>200</v>
      </c>
      <c r="D19" s="37" t="s">
        <v>7175</v>
      </c>
      <c r="E19" s="38" t="n">
        <v>404</v>
      </c>
      <c r="F19" s="37" t="s">
        <v>7196</v>
      </c>
      <c r="G19" s="37"/>
      <c r="H19" s="68"/>
      <c r="I19" s="51"/>
    </row>
    <row r="20" customFormat="false" ht="15" hidden="false" customHeight="false" outlineLevel="0" collapsed="false">
      <c r="A20" s="38" t="n">
        <v>16</v>
      </c>
      <c r="B20" s="37" t="s">
        <v>7200</v>
      </c>
      <c r="C20" s="38" t="n">
        <v>200</v>
      </c>
      <c r="D20" s="37" t="s">
        <v>7170</v>
      </c>
      <c r="E20" s="38" t="n">
        <v>404</v>
      </c>
      <c r="F20" s="37" t="s">
        <v>7201</v>
      </c>
      <c r="G20" s="37"/>
      <c r="H20" s="37"/>
      <c r="I20" s="51"/>
    </row>
    <row r="21" customFormat="false" ht="15" hidden="false" customHeight="false" outlineLevel="0" collapsed="false">
      <c r="A21" s="38" t="n">
        <v>17</v>
      </c>
      <c r="B21" s="37" t="s">
        <v>7112</v>
      </c>
      <c r="C21" s="38" t="n">
        <v>200</v>
      </c>
      <c r="D21" s="37" t="s">
        <v>7177</v>
      </c>
      <c r="E21" s="38" t="n">
        <v>404</v>
      </c>
      <c r="F21" s="37" t="s">
        <v>7202</v>
      </c>
      <c r="G21" s="37"/>
      <c r="H21" s="68"/>
      <c r="I21" s="51"/>
    </row>
    <row r="22" customFormat="false" ht="15" hidden="false" customHeight="false" outlineLevel="0" collapsed="false">
      <c r="A22" s="38" t="n">
        <v>18</v>
      </c>
      <c r="B22" s="37" t="s">
        <v>7203</v>
      </c>
      <c r="C22" s="38" t="n">
        <v>200</v>
      </c>
      <c r="D22" s="37" t="s">
        <v>7177</v>
      </c>
      <c r="E22" s="38" t="n">
        <v>404</v>
      </c>
      <c r="F22" s="37" t="s">
        <v>7204</v>
      </c>
      <c r="G22" s="37"/>
      <c r="H22" s="37"/>
      <c r="I22" s="51"/>
    </row>
    <row r="23" customFormat="false" ht="15" hidden="false" customHeight="false" outlineLevel="0" collapsed="false">
      <c r="A23" s="38" t="n">
        <v>19</v>
      </c>
      <c r="B23" s="37" t="s">
        <v>7205</v>
      </c>
      <c r="C23" s="38" t="n">
        <v>200</v>
      </c>
      <c r="D23" s="37" t="s">
        <v>7206</v>
      </c>
      <c r="E23" s="38" t="n">
        <v>404</v>
      </c>
      <c r="F23" s="69" t="s">
        <v>7207</v>
      </c>
      <c r="G23" s="70"/>
      <c r="H23" s="71"/>
      <c r="I23" s="51"/>
    </row>
    <row r="24" customFormat="false" ht="15" hidden="false" customHeight="false" outlineLevel="0" collapsed="false">
      <c r="A24" s="38" t="n">
        <v>20</v>
      </c>
      <c r="B24" s="37" t="s">
        <v>7208</v>
      </c>
      <c r="C24" s="38" t="n">
        <v>200</v>
      </c>
      <c r="D24" s="37" t="s">
        <v>7173</v>
      </c>
      <c r="E24" s="38" t="n">
        <v>301</v>
      </c>
      <c r="F24" s="37" t="s">
        <v>7197</v>
      </c>
      <c r="G24" s="39" t="s">
        <v>7175</v>
      </c>
      <c r="H24" s="68" t="n">
        <v>404</v>
      </c>
      <c r="I24" s="51"/>
    </row>
    <row r="25" customFormat="false" ht="15" hidden="false" customHeight="false" outlineLevel="0" collapsed="false">
      <c r="A25" s="38" t="n">
        <v>21</v>
      </c>
      <c r="B25" s="37" t="s">
        <v>7209</v>
      </c>
      <c r="C25" s="38" t="n">
        <v>200</v>
      </c>
      <c r="D25" s="37" t="s">
        <v>7175</v>
      </c>
      <c r="E25" s="38" t="n">
        <v>404</v>
      </c>
      <c r="F25" s="69" t="s">
        <v>7210</v>
      </c>
      <c r="G25" s="71"/>
      <c r="H25" s="68"/>
      <c r="I25" s="51"/>
    </row>
    <row r="26" customFormat="false" ht="15" hidden="false" customHeight="false" outlineLevel="0" collapsed="false">
      <c r="A26" s="38" t="n">
        <v>22</v>
      </c>
      <c r="B26" s="37" t="s">
        <v>7211</v>
      </c>
      <c r="C26" s="38" t="n">
        <v>200</v>
      </c>
      <c r="D26" s="37" t="s">
        <v>7170</v>
      </c>
      <c r="E26" s="38" t="n">
        <v>404</v>
      </c>
      <c r="F26" s="69" t="s">
        <v>7212</v>
      </c>
      <c r="G26" s="70"/>
      <c r="H26" s="71"/>
      <c r="I26" s="51"/>
    </row>
    <row r="27" customFormat="false" ht="15" hidden="false" customHeight="false" outlineLevel="0" collapsed="false">
      <c r="A27" s="38" t="n">
        <v>23</v>
      </c>
      <c r="B27" s="37" t="s">
        <v>7213</v>
      </c>
      <c r="C27" s="38" t="n">
        <v>200</v>
      </c>
      <c r="D27" s="37" t="s">
        <v>7177</v>
      </c>
      <c r="E27" s="38" t="n">
        <v>404</v>
      </c>
      <c r="F27" s="69" t="s">
        <v>7202</v>
      </c>
      <c r="G27" s="71"/>
      <c r="H27" s="68"/>
      <c r="I27" s="51"/>
    </row>
    <row r="28" customFormat="false" ht="15" hidden="false" customHeight="false" outlineLevel="0" collapsed="false">
      <c r="A28" s="38" t="n">
        <v>24</v>
      </c>
      <c r="B28" s="37" t="s">
        <v>7076</v>
      </c>
      <c r="C28" s="38" t="n">
        <v>200</v>
      </c>
      <c r="D28" s="37" t="s">
        <v>7177</v>
      </c>
      <c r="E28" s="38" t="n">
        <v>404</v>
      </c>
      <c r="F28" s="69" t="s">
        <v>7214</v>
      </c>
      <c r="G28" s="70"/>
      <c r="H28" s="71"/>
      <c r="I28" s="51"/>
    </row>
    <row r="29" customFormat="false" ht="15" hidden="false" customHeight="false" outlineLevel="0" collapsed="false">
      <c r="A29" s="38" t="n">
        <v>25</v>
      </c>
      <c r="B29" s="37" t="s">
        <v>7198</v>
      </c>
      <c r="C29" s="38" t="n">
        <v>200</v>
      </c>
      <c r="D29" s="37" t="s">
        <v>7206</v>
      </c>
      <c r="E29" s="38" t="n">
        <v>404</v>
      </c>
      <c r="F29" s="69" t="s">
        <v>7215</v>
      </c>
      <c r="G29" s="70"/>
      <c r="H29" s="71"/>
      <c r="I29" s="51"/>
    </row>
    <row r="30" customFormat="false" ht="15" hidden="false" customHeight="false" outlineLevel="0" collapsed="false">
      <c r="A30" s="38" t="n">
        <v>26</v>
      </c>
      <c r="B30" s="37" t="s">
        <v>7216</v>
      </c>
      <c r="C30" s="38" t="n">
        <v>200</v>
      </c>
      <c r="D30" s="37" t="s">
        <v>7175</v>
      </c>
      <c r="E30" s="38" t="n">
        <v>404</v>
      </c>
      <c r="F30" s="69" t="s">
        <v>7192</v>
      </c>
      <c r="G30" s="71"/>
      <c r="H30" s="68"/>
      <c r="I30" s="51"/>
    </row>
    <row r="31" customFormat="false" ht="15" hidden="false" customHeight="false" outlineLevel="0" collapsed="false">
      <c r="A31" s="38" t="n">
        <v>27</v>
      </c>
      <c r="B31" s="37" t="s">
        <v>7217</v>
      </c>
      <c r="C31" s="38" t="n">
        <v>200</v>
      </c>
      <c r="D31" s="37" t="s">
        <v>7206</v>
      </c>
      <c r="E31" s="38" t="n">
        <v>404</v>
      </c>
      <c r="F31" s="69" t="s">
        <v>7218</v>
      </c>
      <c r="G31" s="70"/>
      <c r="H31" s="71"/>
      <c r="I31" s="51"/>
    </row>
    <row r="32" customFormat="false" ht="15" hidden="false" customHeight="false" outlineLevel="0" collapsed="false">
      <c r="A32" s="38" t="n">
        <v>28</v>
      </c>
      <c r="B32" s="37" t="s">
        <v>7219</v>
      </c>
      <c r="C32" s="38" t="n">
        <v>200</v>
      </c>
      <c r="D32" s="37" t="s">
        <v>7170</v>
      </c>
      <c r="E32" s="38" t="n">
        <v>404</v>
      </c>
      <c r="F32" s="69" t="s">
        <v>7220</v>
      </c>
      <c r="G32" s="70"/>
      <c r="H32" s="71"/>
      <c r="I32" s="51"/>
    </row>
    <row r="33" customFormat="false" ht="15" hidden="false" customHeight="false" outlineLevel="0" collapsed="false">
      <c r="A33" s="38" t="n">
        <v>29</v>
      </c>
      <c r="B33" s="37" t="s">
        <v>7221</v>
      </c>
      <c r="C33" s="38" t="n">
        <v>200</v>
      </c>
      <c r="D33" s="37" t="s">
        <v>7177</v>
      </c>
      <c r="E33" s="38" t="n">
        <v>404</v>
      </c>
      <c r="F33" s="69" t="s">
        <v>7202</v>
      </c>
      <c r="G33" s="71"/>
      <c r="H33" s="68"/>
      <c r="I33" s="51"/>
    </row>
    <row r="34" customFormat="false" ht="15" hidden="false" customHeight="false" outlineLevel="0" collapsed="false">
      <c r="A34" s="38" t="n">
        <v>30</v>
      </c>
      <c r="B34" s="37" t="s">
        <v>7208</v>
      </c>
      <c r="C34" s="38" t="n">
        <v>200</v>
      </c>
      <c r="D34" s="37" t="s">
        <v>7206</v>
      </c>
      <c r="E34" s="38" t="n">
        <v>404</v>
      </c>
      <c r="F34" s="69" t="s">
        <v>7222</v>
      </c>
      <c r="G34" s="70"/>
      <c r="H34" s="71"/>
      <c r="I34" s="51"/>
    </row>
    <row r="35" customFormat="false" ht="15" hidden="false" customHeight="false" outlineLevel="0" collapsed="false">
      <c r="A35" s="38" t="n">
        <v>31</v>
      </c>
      <c r="B35" s="37" t="s">
        <v>7223</v>
      </c>
      <c r="C35" s="38" t="n">
        <v>200</v>
      </c>
      <c r="D35" s="37" t="s">
        <v>7175</v>
      </c>
      <c r="E35" s="38" t="n">
        <v>404</v>
      </c>
      <c r="F35" s="69" t="s">
        <v>7224</v>
      </c>
      <c r="G35" s="71"/>
      <c r="H35" s="68"/>
      <c r="I35" s="51"/>
    </row>
    <row r="36" customFormat="false" ht="15" hidden="false" customHeight="false" outlineLevel="0" collapsed="false">
      <c r="A36" s="38" t="n">
        <v>32</v>
      </c>
      <c r="B36" s="37" t="s">
        <v>7225</v>
      </c>
      <c r="C36" s="38" t="n">
        <v>200</v>
      </c>
      <c r="D36" s="37" t="s">
        <v>7175</v>
      </c>
      <c r="E36" s="38" t="n">
        <v>404</v>
      </c>
      <c r="F36" s="69" t="s">
        <v>7226</v>
      </c>
      <c r="G36" s="71"/>
      <c r="H36" s="68"/>
      <c r="I36" s="51"/>
    </row>
    <row r="37" customFormat="false" ht="15" hidden="false" customHeight="false" outlineLevel="0" collapsed="false">
      <c r="A37" s="38" t="n">
        <v>33</v>
      </c>
      <c r="B37" s="37" t="s">
        <v>7092</v>
      </c>
      <c r="C37" s="38" t="n">
        <v>200</v>
      </c>
      <c r="D37" s="37" t="s">
        <v>7206</v>
      </c>
      <c r="E37" s="38" t="n">
        <v>404</v>
      </c>
      <c r="F37" s="69" t="s">
        <v>7222</v>
      </c>
      <c r="G37" s="70"/>
      <c r="H37" s="71"/>
      <c r="I37" s="51"/>
    </row>
    <row r="38" customFormat="false" ht="15" hidden="false" customHeight="false" outlineLevel="0" collapsed="false">
      <c r="A38" s="38" t="n">
        <v>34</v>
      </c>
      <c r="B38" s="37" t="s">
        <v>7125</v>
      </c>
      <c r="C38" s="38" t="n">
        <v>200</v>
      </c>
      <c r="D38" s="37" t="s">
        <v>7170</v>
      </c>
      <c r="E38" s="38" t="n">
        <v>404</v>
      </c>
      <c r="F38" s="69" t="s">
        <v>7182</v>
      </c>
      <c r="G38" s="70"/>
      <c r="H38" s="71"/>
      <c r="I38" s="51"/>
    </row>
    <row r="39" customFormat="false" ht="15" hidden="false" customHeight="false" outlineLevel="0" collapsed="false">
      <c r="A39" s="38" t="n">
        <v>35</v>
      </c>
      <c r="B39" s="37" t="s">
        <v>7227</v>
      </c>
      <c r="C39" s="38" t="n">
        <v>200</v>
      </c>
      <c r="D39" s="37" t="s">
        <v>7206</v>
      </c>
      <c r="E39" s="38" t="n">
        <v>404</v>
      </c>
      <c r="F39" s="69" t="s">
        <v>7228</v>
      </c>
      <c r="G39" s="70"/>
      <c r="H39" s="71"/>
      <c r="I39" s="51"/>
    </row>
    <row r="40" customFormat="false" ht="15" hidden="false" customHeight="false" outlineLevel="0" collapsed="false">
      <c r="A40" s="38" t="n">
        <v>36</v>
      </c>
      <c r="B40" s="37" t="s">
        <v>7229</v>
      </c>
      <c r="C40" s="38" t="n">
        <v>200</v>
      </c>
      <c r="D40" s="37" t="s">
        <v>7173</v>
      </c>
      <c r="E40" s="38" t="n">
        <v>301</v>
      </c>
      <c r="F40" s="37" t="s">
        <v>7230</v>
      </c>
      <c r="G40" s="39" t="s">
        <v>7175</v>
      </c>
      <c r="H40" s="68" t="n">
        <v>404</v>
      </c>
      <c r="I40" s="51"/>
    </row>
    <row r="41" customFormat="false" ht="15" hidden="false" customHeight="false" outlineLevel="0" collapsed="false">
      <c r="A41" s="38" t="n">
        <v>37</v>
      </c>
      <c r="B41" s="37" t="s">
        <v>7217</v>
      </c>
      <c r="C41" s="38" t="n">
        <v>200</v>
      </c>
      <c r="D41" s="37" t="s">
        <v>7173</v>
      </c>
      <c r="E41" s="38" t="n">
        <v>301</v>
      </c>
      <c r="F41" s="37" t="s">
        <v>7231</v>
      </c>
      <c r="G41" s="39" t="s">
        <v>7175</v>
      </c>
      <c r="H41" s="68" t="n">
        <v>404</v>
      </c>
      <c r="I41" s="51"/>
    </row>
    <row r="42" customFormat="false" ht="15" hidden="false" customHeight="false" outlineLevel="0" collapsed="false">
      <c r="A42" s="38" t="n">
        <v>38</v>
      </c>
      <c r="B42" s="37" t="s">
        <v>7232</v>
      </c>
      <c r="C42" s="38" t="n">
        <v>200</v>
      </c>
      <c r="D42" s="37" t="s">
        <v>7177</v>
      </c>
      <c r="E42" s="38" t="n">
        <v>404</v>
      </c>
      <c r="F42" s="69" t="s">
        <v>7233</v>
      </c>
      <c r="G42" s="70"/>
      <c r="H42" s="71"/>
      <c r="I42" s="51"/>
    </row>
    <row r="43" customFormat="false" ht="15" hidden="false" customHeight="false" outlineLevel="0" collapsed="false">
      <c r="A43" s="38" t="n">
        <v>39</v>
      </c>
      <c r="B43" s="37" t="s">
        <v>7234</v>
      </c>
      <c r="C43" s="38" t="n">
        <v>200</v>
      </c>
      <c r="D43" s="37" t="s">
        <v>7206</v>
      </c>
      <c r="E43" s="38" t="n">
        <v>404</v>
      </c>
      <c r="F43" s="69" t="s">
        <v>7222</v>
      </c>
      <c r="G43" s="70"/>
      <c r="H43" s="71"/>
      <c r="I43" s="51"/>
    </row>
    <row r="44" customFormat="false" ht="15" hidden="false" customHeight="false" outlineLevel="0" collapsed="false">
      <c r="A44" s="38" t="n">
        <v>40</v>
      </c>
      <c r="B44" s="37" t="s">
        <v>7235</v>
      </c>
      <c r="C44" s="38" t="n">
        <v>200</v>
      </c>
      <c r="D44" s="37" t="s">
        <v>7177</v>
      </c>
      <c r="E44" s="38" t="n">
        <v>404</v>
      </c>
      <c r="F44" s="69" t="s">
        <v>7236</v>
      </c>
      <c r="G44" s="70"/>
      <c r="H44" s="71"/>
      <c r="I44" s="51"/>
    </row>
    <row r="45" customFormat="false" ht="15" hidden="false" customHeight="false" outlineLevel="0" collapsed="false">
      <c r="A45" s="38" t="n">
        <v>41</v>
      </c>
      <c r="B45" s="37" t="s">
        <v>7237</v>
      </c>
      <c r="C45" s="38" t="n">
        <v>200</v>
      </c>
      <c r="D45" s="37" t="s">
        <v>7175</v>
      </c>
      <c r="E45" s="38" t="n">
        <v>404</v>
      </c>
      <c r="F45" s="69" t="s">
        <v>7238</v>
      </c>
      <c r="G45" s="71"/>
      <c r="H45" s="68"/>
      <c r="I45" s="51"/>
    </row>
    <row r="46" customFormat="false" ht="15" hidden="false" customHeight="false" outlineLevel="0" collapsed="false">
      <c r="A46" s="38" t="n">
        <v>42</v>
      </c>
      <c r="B46" s="37" t="s">
        <v>7239</v>
      </c>
      <c r="C46" s="38" t="n">
        <v>200</v>
      </c>
      <c r="D46" s="37" t="s">
        <v>7177</v>
      </c>
      <c r="E46" s="38" t="n">
        <v>404</v>
      </c>
      <c r="F46" s="69" t="s">
        <v>7240</v>
      </c>
      <c r="G46" s="71"/>
      <c r="H46" s="68"/>
      <c r="I46" s="51"/>
    </row>
    <row r="47" customFormat="false" ht="15" hidden="false" customHeight="false" outlineLevel="0" collapsed="false">
      <c r="A47" s="38" t="n">
        <v>43</v>
      </c>
      <c r="B47" s="37" t="s">
        <v>7227</v>
      </c>
      <c r="C47" s="38" t="n">
        <v>200</v>
      </c>
      <c r="D47" s="37" t="s">
        <v>7173</v>
      </c>
      <c r="E47" s="38" t="n">
        <v>301</v>
      </c>
      <c r="F47" s="37" t="s">
        <v>7241</v>
      </c>
      <c r="G47" s="39" t="s">
        <v>7175</v>
      </c>
      <c r="H47" s="68" t="n">
        <v>404</v>
      </c>
      <c r="I47" s="51"/>
    </row>
    <row r="48" customFormat="false" ht="15" hidden="false" customHeight="false" outlineLevel="0" collapsed="false">
      <c r="A48" s="38" t="n">
        <v>44</v>
      </c>
      <c r="B48" s="37" t="s">
        <v>7242</v>
      </c>
      <c r="C48" s="38" t="n">
        <v>200</v>
      </c>
      <c r="D48" s="37" t="s">
        <v>7177</v>
      </c>
      <c r="E48" s="38" t="n">
        <v>404</v>
      </c>
      <c r="F48" s="69" t="s">
        <v>7214</v>
      </c>
      <c r="G48" s="70"/>
      <c r="H48" s="71"/>
      <c r="I48" s="51"/>
    </row>
    <row r="49" customFormat="false" ht="15" hidden="false" customHeight="false" outlineLevel="0" collapsed="false">
      <c r="A49" s="38" t="n">
        <v>45</v>
      </c>
      <c r="B49" s="37" t="s">
        <v>7229</v>
      </c>
      <c r="C49" s="38" t="n">
        <v>200</v>
      </c>
      <c r="D49" s="37" t="s">
        <v>7206</v>
      </c>
      <c r="E49" s="38" t="n">
        <v>404</v>
      </c>
      <c r="F49" s="69" t="s">
        <v>7243</v>
      </c>
      <c r="G49" s="70"/>
      <c r="H49" s="71"/>
      <c r="I49" s="51"/>
    </row>
    <row r="50" customFormat="false" ht="15" hidden="false" customHeight="false" outlineLevel="0" collapsed="false">
      <c r="A50" s="38" t="n">
        <v>46</v>
      </c>
      <c r="B50" s="37" t="s">
        <v>7244</v>
      </c>
      <c r="C50" s="38" t="n">
        <v>200</v>
      </c>
      <c r="D50" s="37" t="s">
        <v>7170</v>
      </c>
      <c r="E50" s="38" t="n">
        <v>404</v>
      </c>
      <c r="F50" s="69" t="s">
        <v>7245</v>
      </c>
      <c r="G50" s="71"/>
      <c r="H50" s="68"/>
      <c r="I50" s="51"/>
    </row>
    <row r="51" customFormat="false" ht="15" hidden="false" customHeight="false" outlineLevel="0" collapsed="false">
      <c r="A51" s="38" t="n">
        <v>47</v>
      </c>
      <c r="B51" s="37" t="s">
        <v>7246</v>
      </c>
      <c r="C51" s="38" t="n">
        <v>200</v>
      </c>
      <c r="D51" s="37" t="s">
        <v>7177</v>
      </c>
      <c r="E51" s="38" t="n">
        <v>404</v>
      </c>
      <c r="F51" s="69" t="s">
        <v>7247</v>
      </c>
      <c r="G51" s="70"/>
      <c r="H51" s="71"/>
      <c r="I51" s="51"/>
    </row>
    <row r="52" customFormat="false" ht="15" hidden="false" customHeight="false" outlineLevel="0" collapsed="false">
      <c r="A52" s="38" t="n">
        <v>48</v>
      </c>
      <c r="B52" s="37" t="s">
        <v>7234</v>
      </c>
      <c r="C52" s="38" t="n">
        <v>200</v>
      </c>
      <c r="D52" s="37" t="s">
        <v>7173</v>
      </c>
      <c r="E52" s="38" t="n">
        <v>301</v>
      </c>
      <c r="F52" s="37" t="s">
        <v>7197</v>
      </c>
      <c r="G52" s="39" t="s">
        <v>7175</v>
      </c>
      <c r="H52" s="68" t="n">
        <v>404</v>
      </c>
      <c r="I52" s="51"/>
    </row>
    <row r="53" customFormat="false" ht="15" hidden="false" customHeight="false" outlineLevel="0" collapsed="false">
      <c r="A53" s="38" t="n">
        <v>49</v>
      </c>
      <c r="B53" s="37" t="s">
        <v>7205</v>
      </c>
      <c r="C53" s="38" t="n">
        <v>200</v>
      </c>
      <c r="D53" s="37" t="s">
        <v>7173</v>
      </c>
      <c r="E53" s="38" t="n">
        <v>301</v>
      </c>
      <c r="F53" s="37" t="s">
        <v>7248</v>
      </c>
      <c r="G53" s="39" t="s">
        <v>7175</v>
      </c>
      <c r="H53" s="68" t="n">
        <v>404</v>
      </c>
      <c r="I53" s="51"/>
    </row>
    <row r="54" customFormat="false" ht="15" hidden="false" customHeight="false" outlineLevel="0" collapsed="false">
      <c r="A54" s="38" t="n">
        <v>50</v>
      </c>
      <c r="B54" s="37" t="s">
        <v>7249</v>
      </c>
      <c r="C54" s="38" t="n">
        <v>200</v>
      </c>
      <c r="D54" s="37" t="s">
        <v>7170</v>
      </c>
      <c r="E54" s="38" t="n">
        <v>404</v>
      </c>
      <c r="F54" s="69" t="s">
        <v>7212</v>
      </c>
      <c r="G54" s="70"/>
      <c r="H54" s="71"/>
      <c r="I54" s="51"/>
    </row>
    <row r="55" customFormat="false" ht="15" hidden="false" customHeight="false" outlineLevel="0" collapsed="false">
      <c r="A55" s="38" t="n">
        <v>51</v>
      </c>
      <c r="B55" s="37" t="s">
        <v>7250</v>
      </c>
      <c r="C55" s="38" t="n">
        <v>200</v>
      </c>
      <c r="D55" s="37" t="s">
        <v>7177</v>
      </c>
      <c r="E55" s="38" t="n">
        <v>404</v>
      </c>
      <c r="F55" s="69" t="s">
        <v>7251</v>
      </c>
      <c r="G55" s="71"/>
      <c r="H55" s="68"/>
      <c r="I55" s="51"/>
    </row>
    <row r="56" customFormat="false" ht="15" hidden="false" customHeight="false" outlineLevel="0" collapsed="false">
      <c r="A56" s="38" t="n">
        <v>52</v>
      </c>
      <c r="B56" s="37" t="s">
        <v>7172</v>
      </c>
      <c r="C56" s="38" t="n">
        <v>200</v>
      </c>
      <c r="D56" s="37" t="s">
        <v>7206</v>
      </c>
      <c r="E56" s="38" t="n">
        <v>404</v>
      </c>
      <c r="F56" s="69" t="s">
        <v>7215</v>
      </c>
      <c r="G56" s="70"/>
      <c r="H56" s="71"/>
      <c r="I56" s="51"/>
    </row>
    <row r="57" customFormat="false" ht="15" hidden="false" customHeight="false" outlineLevel="0" collapsed="false">
      <c r="A57" s="38" t="n">
        <v>53</v>
      </c>
      <c r="B57" s="37" t="s">
        <v>7150</v>
      </c>
      <c r="C57" s="38" t="n">
        <v>200</v>
      </c>
      <c r="D57" s="37" t="s">
        <v>7175</v>
      </c>
      <c r="E57" s="38" t="n">
        <v>404</v>
      </c>
      <c r="F57" s="69" t="s">
        <v>7192</v>
      </c>
      <c r="G57" s="71"/>
      <c r="H57" s="68"/>
      <c r="I57" s="51"/>
    </row>
    <row r="58" customFormat="false" ht="15" hidden="false" customHeight="false" outlineLevel="0" collapsed="false">
      <c r="A58" s="38" t="n">
        <v>54</v>
      </c>
      <c r="B58" s="37" t="s">
        <v>7252</v>
      </c>
      <c r="C58" s="38" t="n">
        <v>200</v>
      </c>
      <c r="D58" s="37" t="s">
        <v>7177</v>
      </c>
      <c r="E58" s="38" t="n">
        <v>404</v>
      </c>
      <c r="F58" s="69" t="s">
        <v>7253</v>
      </c>
      <c r="G58" s="71"/>
      <c r="H58" s="68"/>
      <c r="I58" s="51"/>
    </row>
    <row r="59" customFormat="false" ht="15" hidden="false" customHeight="false" outlineLevel="0" collapsed="false">
      <c r="A59" s="38" t="n">
        <v>55</v>
      </c>
      <c r="B59" s="37" t="s">
        <v>7254</v>
      </c>
      <c r="C59" s="38" t="n">
        <v>200</v>
      </c>
      <c r="D59" s="37" t="s">
        <v>7177</v>
      </c>
      <c r="E59" s="38" t="n">
        <v>404</v>
      </c>
      <c r="F59" s="69" t="s">
        <v>7255</v>
      </c>
      <c r="G59" s="71"/>
      <c r="H59" s="68"/>
      <c r="I59" s="51"/>
    </row>
    <row r="60" customFormat="false" ht="15" hidden="false" customHeight="false" outlineLevel="0" collapsed="false">
      <c r="A60" s="38" t="n">
        <v>56</v>
      </c>
      <c r="B60" s="37" t="s">
        <v>7179</v>
      </c>
      <c r="C60" s="38" t="n">
        <v>200</v>
      </c>
      <c r="D60" s="37" t="s">
        <v>7206</v>
      </c>
      <c r="E60" s="38" t="n">
        <v>404</v>
      </c>
      <c r="F60" s="69" t="s">
        <v>7256</v>
      </c>
      <c r="G60" s="71"/>
      <c r="H60" s="68"/>
      <c r="I60" s="51"/>
    </row>
    <row r="61" customFormat="false" ht="15" hidden="false" customHeight="false" outlineLevel="0" collapsed="false">
      <c r="A61" s="38" t="n">
        <v>57</v>
      </c>
      <c r="B61" s="37" t="s">
        <v>7257</v>
      </c>
      <c r="C61" s="38" t="n">
        <v>200</v>
      </c>
      <c r="D61" s="37" t="s">
        <v>7177</v>
      </c>
      <c r="E61" s="38" t="n">
        <v>404</v>
      </c>
      <c r="F61" s="69" t="s">
        <v>7233</v>
      </c>
      <c r="G61" s="70"/>
      <c r="H61" s="71"/>
      <c r="I61" s="51"/>
    </row>
    <row r="62" customFormat="false" ht="15" hidden="false" customHeight="false" outlineLevel="0" collapsed="false">
      <c r="A62" s="38" t="n">
        <v>58</v>
      </c>
      <c r="B62" s="37" t="s">
        <v>7258</v>
      </c>
      <c r="C62" s="38" t="n">
        <v>200</v>
      </c>
      <c r="D62" s="37" t="s">
        <v>7177</v>
      </c>
      <c r="E62" s="38" t="n">
        <v>404</v>
      </c>
      <c r="F62" s="69" t="s">
        <v>7214</v>
      </c>
      <c r="G62" s="70"/>
      <c r="H62" s="71"/>
      <c r="I62" s="51"/>
    </row>
    <row r="63" customFormat="false" ht="15" hidden="false" customHeight="false" outlineLevel="0" collapsed="false">
      <c r="A63" s="38" t="n">
        <v>59</v>
      </c>
      <c r="B63" s="37" t="s">
        <v>7259</v>
      </c>
      <c r="C63" s="38" t="n">
        <v>200</v>
      </c>
      <c r="D63" s="37" t="s">
        <v>7175</v>
      </c>
      <c r="E63" s="38" t="n">
        <v>404</v>
      </c>
      <c r="F63" s="37" t="s">
        <v>7260</v>
      </c>
      <c r="G63" s="39"/>
      <c r="H63" s="68"/>
      <c r="I63" s="51"/>
    </row>
    <row r="64" customFormat="false" ht="15" hidden="false" customHeight="false" outlineLevel="0" collapsed="false">
      <c r="A64" s="38" t="n">
        <v>60</v>
      </c>
      <c r="B64" s="37" t="s">
        <v>7261</v>
      </c>
      <c r="C64" s="38" t="n">
        <v>200</v>
      </c>
      <c r="D64" s="37" t="s">
        <v>7177</v>
      </c>
      <c r="E64" s="38" t="n">
        <v>404</v>
      </c>
      <c r="F64" s="69" t="s">
        <v>7262</v>
      </c>
      <c r="G64" s="70"/>
      <c r="H64" s="71"/>
      <c r="I64" s="51"/>
    </row>
    <row r="65" customFormat="false" ht="15" hidden="false" customHeight="false" outlineLevel="0" collapsed="false">
      <c r="A65" s="38" t="n">
        <v>61</v>
      </c>
      <c r="B65" s="37" t="s">
        <v>7263</v>
      </c>
      <c r="C65" s="38" t="n">
        <v>200</v>
      </c>
      <c r="D65" s="37" t="s">
        <v>7177</v>
      </c>
      <c r="E65" s="38" t="n">
        <v>404</v>
      </c>
      <c r="F65" s="69" t="s">
        <v>7264</v>
      </c>
      <c r="G65" s="71"/>
      <c r="H65" s="68"/>
      <c r="I65" s="51"/>
    </row>
    <row r="66" customFormat="false" ht="15" hidden="false" customHeight="false" outlineLevel="0" collapsed="false">
      <c r="A66" s="38" t="n">
        <v>62</v>
      </c>
      <c r="B66" s="37" t="s">
        <v>7265</v>
      </c>
      <c r="C66" s="38" t="n">
        <v>200</v>
      </c>
      <c r="D66" s="37" t="s">
        <v>7206</v>
      </c>
      <c r="E66" s="38" t="n">
        <v>404</v>
      </c>
      <c r="F66" s="69" t="s">
        <v>7266</v>
      </c>
      <c r="G66" s="70"/>
      <c r="H66" s="71"/>
      <c r="I66" s="51"/>
    </row>
    <row r="67" customFormat="false" ht="15" hidden="false" customHeight="false" outlineLevel="0" collapsed="false">
      <c r="A67" s="38" t="n">
        <v>63</v>
      </c>
      <c r="B67" s="37" t="s">
        <v>7265</v>
      </c>
      <c r="C67" s="38" t="n">
        <v>200</v>
      </c>
      <c r="D67" s="37" t="s">
        <v>7173</v>
      </c>
      <c r="E67" s="38" t="n">
        <v>301</v>
      </c>
      <c r="F67" s="37" t="s">
        <v>7267</v>
      </c>
      <c r="G67" s="39" t="s">
        <v>7175</v>
      </c>
      <c r="H67" s="68" t="n">
        <v>404</v>
      </c>
      <c r="I67" s="51"/>
    </row>
    <row r="68" customFormat="false" ht="15" hidden="false" customHeight="false" outlineLevel="0" collapsed="false">
      <c r="A68" s="38" t="n">
        <v>64</v>
      </c>
      <c r="B68" s="37" t="s">
        <v>7268</v>
      </c>
      <c r="C68" s="38" t="n">
        <v>200</v>
      </c>
      <c r="D68" s="37" t="s">
        <v>7177</v>
      </c>
      <c r="E68" s="38" t="n">
        <v>404</v>
      </c>
      <c r="F68" s="69" t="s">
        <v>7255</v>
      </c>
      <c r="G68" s="71"/>
      <c r="H68" s="68"/>
      <c r="I68" s="51"/>
    </row>
    <row r="69" customFormat="false" ht="15" hidden="false" customHeight="false" outlineLevel="0" collapsed="false">
      <c r="A69" s="38" t="n">
        <v>65</v>
      </c>
      <c r="B69" s="37" t="s">
        <v>7269</v>
      </c>
      <c r="C69" s="38" t="n">
        <v>200</v>
      </c>
      <c r="D69" s="37" t="s">
        <v>7170</v>
      </c>
      <c r="E69" s="38" t="n">
        <v>404</v>
      </c>
      <c r="F69" s="69" t="s">
        <v>7182</v>
      </c>
      <c r="G69" s="70"/>
      <c r="H69" s="71"/>
      <c r="I69" s="51"/>
    </row>
    <row r="70" customFormat="false" ht="15" hidden="false" customHeight="false" outlineLevel="0" collapsed="false">
      <c r="A70" s="38" t="n">
        <v>66</v>
      </c>
      <c r="B70" s="37" t="s">
        <v>7270</v>
      </c>
      <c r="C70" s="38" t="n">
        <v>200</v>
      </c>
      <c r="D70" s="37" t="s">
        <v>7177</v>
      </c>
      <c r="E70" s="38" t="n">
        <v>404</v>
      </c>
      <c r="F70" s="69" t="s">
        <v>7271</v>
      </c>
      <c r="G70" s="71"/>
      <c r="H70" s="68"/>
      <c r="I70" s="51"/>
    </row>
  </sheetData>
  <mergeCells count="6">
    <mergeCell ref="A3:I3"/>
    <mergeCell ref="F5:G5"/>
    <mergeCell ref="F19:G19"/>
    <mergeCell ref="F20:H20"/>
    <mergeCell ref="F21:G21"/>
    <mergeCell ref="F22:H22"/>
  </mergeCells>
  <hyperlinks>
    <hyperlink ref="B5" r:id="rId1" display="https://striking-viking.com/de/blogs/learn/beard-grooming-quintessential-regime-for-the-modern-man"/>
    <hyperlink ref="D5" r:id="rId2" display="https://vikingbeardgear.com/collections/all/products/striking-viking-wooden-beard-comb"/>
    <hyperlink ref="B6" r:id="rId3" display="https://striking-viking.com/fr/blogs/learn/heads-shoulders-knees-and-toes-but-why-forget-the-beard"/>
    <hyperlink ref="D6" r:id="rId4" display="https://vikingbeardgear.com/collections/all/products/striking-viking-beard-grooming-kit-for-men"/>
    <hyperlink ref="G6" r:id="rId5" display="https://vikingbeardgear.com/collections/viking-beard-kits/products/striking-viking-ultimate-beard-grooming-kit"/>
    <hyperlink ref="B7" r:id="rId6" display="https://striking-viking.com/de/blogs/learn/why-your-beard-needs-more-than-just-a-comb"/>
    <hyperlink ref="D7" r:id="rId7" display="https://vikingbeardgear.com/collections/beard-and-hair-care/products/beard-wash-shampoo-beard-conditioner-set?variant=31075723673654"/>
    <hyperlink ref="B8" r:id="rId8" display="https://striking-viking.com/de/blogs/learn/heads-shoulders-knees-and-toes-but-why-forget-the-beard"/>
    <hyperlink ref="D8" r:id="rId9" display="https://vikingbeardgear.com/collections/all/products/striking-viking-beard-grooming-kit-for-men"/>
    <hyperlink ref="G8" r:id="rId10" display="https://vikingbeardgear.com/collections/viking-beard-kits/products/striking-viking-ultimate-beard-grooming-kit"/>
    <hyperlink ref="B9" r:id="rId11" display="https://striking-viking.com/en-gb/blogs/learn/beard-grooming-quintessential-regime-for-the-modern-man"/>
    <hyperlink ref="D9" r:id="rId12" display="https://vikingbeardgear.com/collections/all/products/striking-viking-wooden-beard-comb"/>
    <hyperlink ref="B10" r:id="rId13" display="https://striking-viking.com/sv/blogs/learn/why-your-beard-needs-more-than-just-a-comb"/>
    <hyperlink ref="D10" r:id="rId14" display="https://vikingbeardgear.com/collections/beard-and-hair-care/products/beard-wash-shampoo-beard-conditioner-set?variant=31075723673654"/>
    <hyperlink ref="B11" r:id="rId15" display="https://striking-viking.com/fi/blogs/learn/grooming-products-to-pamper-your-beard-flyaway"/>
    <hyperlink ref="D11" r:id="rId16" display="https://vikingbeardgear.com/collections/beard-and-hair-care/products/beard-wash-shampoo-beard-conditioner-set?variant=31075723673654"/>
    <hyperlink ref="B12" r:id="rId17" display="https://striking-viking.com/sv/blogs/learn/beard-grooming-quintessential-regime-for-the-modern-man"/>
    <hyperlink ref="D12" r:id="rId18" display="https://vikingbeardgear.com/collections/all/products/striking-viking-wooden-beard-comb"/>
    <hyperlink ref="B13" r:id="rId19" display="https://striking-viking.com/it/blogs/learn/beard-grooming-quintessential-regime-for-the-modern-man"/>
    <hyperlink ref="D13" r:id="rId20" display="https://vikingbeardgear.com/collections/all/products/striking-viking-wooden-beard-comb"/>
    <hyperlink ref="B14" r:id="rId21" display="https://striking-viking.com/en-ca/blogs/learn/grooming-kit-a-perfect-gift-for-the-modern-man"/>
    <hyperlink ref="D14" r:id="rId22" display="https://vikingbeardgear.com/collections/viking-beard-kits/products/striking-viking-ultimate-beard-grooming-kit"/>
    <hyperlink ref="B15" r:id="rId23" display="https://striking-viking.com/fi/blogs/learn/grooming-kit-a-perfect-gift-for-the-modern-man"/>
    <hyperlink ref="D15" r:id="rId24" display="https://vikingbeardgear.com/collections/viking-beard-kits/products/striking-viking-ultimate-beard-grooming-kit"/>
    <hyperlink ref="B16" r:id="rId25" display="https://striking-viking.com/fr-ca/blogs/learn/grooming-kit-a-perfect-gift-for-the-modern-man"/>
    <hyperlink ref="D16" r:id="rId26" display="https://vikingbeardgear.com/collections/viking-beard-kits/products/striking-viking-ultimate-beard-grooming-kit"/>
    <hyperlink ref="B17" r:id="rId27" display="https://striking-viking.com/blogs/learn/heads-shoulders-knees-and-toes-but-why-forget-the-beard"/>
    <hyperlink ref="D17" r:id="rId28" display="https://vikingbeardgear.com/collections/all/products/striking-viking-beard-grooming-kit-for-men"/>
    <hyperlink ref="G17" r:id="rId29" display="https://vikingbeardgear.com/collections/viking-beard-kits/products/striking-viking-ultimate-beard-grooming-kit"/>
    <hyperlink ref="B18" r:id="rId30" display="https://striking-viking.com/fr-ca/blogs/learn/heads-shoulders-knees-and-toes-but-why-forget-the-beard"/>
    <hyperlink ref="D18" r:id="rId31" display="https://vikingbeardgear.com/collections/all/products/striking-viking-beard-grooming-kit-for-men"/>
    <hyperlink ref="G18" r:id="rId32" display="https://vikingbeardgear.com/collections/viking-beard-kits/products/striking-viking-ultimate-beard-grooming-kit"/>
    <hyperlink ref="B19" r:id="rId33" display="https://striking-viking.com/fr/blogs/learn/grooming-kit-a-perfect-gift-for-the-modern-man"/>
    <hyperlink ref="D19" r:id="rId34" display="https://vikingbeardgear.com/collections/viking-beard-kits/products/striking-viking-ultimate-beard-grooming-kit"/>
    <hyperlink ref="B20" r:id="rId35" display="https://striking-viking.com/no/blogs/learn/beard-grooming-quintessential-regime-for-the-modern-man"/>
    <hyperlink ref="D20" r:id="rId36" display="https://vikingbeardgear.com/collections/all/products/striking-viking-wooden-beard-comb"/>
    <hyperlink ref="B21" r:id="rId37" display="https://striking-viking.com/blogs/learn/grooming-products-to-pamper-your-beard-flyaway"/>
    <hyperlink ref="D21" r:id="rId38" display="https://vikingbeardgear.com/collections/beard-and-hair-care/products/beard-wash-shampoo-beard-conditioner-set?variant=31075723673654"/>
    <hyperlink ref="B22" r:id="rId39" display="https://striking-viking.com/es/blogs/learn/why-your-beard-needs-more-than-just-a-comb"/>
    <hyperlink ref="D22" r:id="rId40" display="https://vikingbeardgear.com/collections/beard-and-hair-care/products/beard-wash-shampoo-beard-conditioner-set?variant=31075723673654"/>
    <hyperlink ref="B23" r:id="rId41" display="https://striking-viking.com/sv/blogs/learn/heads-shoulders-knees-and-toes-but-why-forget-the-beard"/>
    <hyperlink ref="D23" r:id="rId42" display="https://vikingbeardgear.com/collections/all/products/striking-viking-ultimate-beard-grooming-kit"/>
    <hyperlink ref="B24" r:id="rId43" display="https://striking-viking.com/en-ca/blogs/learn/heads-shoulders-knees-and-toes-but-why-forget-the-beard"/>
    <hyperlink ref="D24" r:id="rId44" display="https://vikingbeardgear.com/collections/all/products/striking-viking-beard-grooming-kit-for-men"/>
    <hyperlink ref="G24" r:id="rId45" display="https://vikingbeardgear.com/collections/viking-beard-kits/products/striking-viking-ultimate-beard-grooming-kit"/>
    <hyperlink ref="B25" r:id="rId46" display="https://striking-viking.com/es/blogs/learn/grooming-kit-a-perfect-gift-for-the-modern-man"/>
    <hyperlink ref="D25" r:id="rId47" display="https://vikingbeardgear.com/collections/viking-beard-kits/products/striking-viking-ultimate-beard-grooming-kit"/>
    <hyperlink ref="B26" r:id="rId48" display="https://striking-viking.com/fr/blogs/learn/beard-grooming-quintessential-regime-for-the-modern-man"/>
    <hyperlink ref="D26" r:id="rId49" display="https://vikingbeardgear.com/collections/all/products/striking-viking-wooden-beard-comb"/>
    <hyperlink ref="B27" r:id="rId50" display="https://striking-viking.com/en-gb/blogs/learn/grooming-products-to-pamper-your-beard-flyaway"/>
    <hyperlink ref="D27" r:id="rId51" display="https://vikingbeardgear.com/collections/beard-and-hair-care/products/beard-wash-shampoo-beard-conditioner-set?variant=31075723673654"/>
    <hyperlink ref="B28" r:id="rId52" display="https://striking-viking.com/blogs/learn/why-your-beard-needs-more-than-just-a-comb"/>
    <hyperlink ref="D28" r:id="rId53" display="https://vikingbeardgear.com/collections/beard-and-hair-care/products/beard-wash-shampoo-beard-conditioner-set?variant=31075723673654"/>
    <hyperlink ref="B29" r:id="rId54" display="https://striking-viking.com/fr-ca/blogs/learn/heads-shoulders-knees-and-toes-but-why-forget-the-beard"/>
    <hyperlink ref="D29" r:id="rId55" display="https://vikingbeardgear.com/collections/all/products/striking-viking-ultimate-beard-grooming-kit"/>
    <hyperlink ref="B30" r:id="rId56" display="https://striking-viking.com/en-gb/blogs/learn/grooming-kit-a-perfect-gift-for-the-modern-man"/>
    <hyperlink ref="D30" r:id="rId57" display="https://vikingbeardgear.com/collections/viking-beard-kits/products/striking-viking-ultimate-beard-grooming-kit"/>
    <hyperlink ref="B31" r:id="rId58" display="https://striking-viking.com/fi/blogs/learn/heads-shoulders-knees-and-toes-but-why-forget-the-beard"/>
    <hyperlink ref="D31" r:id="rId59" display="https://vikingbeardgear.com/collections/all/products/striking-viking-ultimate-beard-grooming-kit"/>
    <hyperlink ref="B32" r:id="rId60" display="https://striking-viking.com/es/blogs/learn/beard-grooming-quintessential-regime-for-the-modern-man"/>
    <hyperlink ref="D32" r:id="rId61" display="https://vikingbeardgear.com/collections/all/products/striking-viking-wooden-beard-comb"/>
    <hyperlink ref="B33" r:id="rId62" display="https://striking-viking.com/en-ca/blogs/learn/grooming-products-to-pamper-your-beard-flyaway"/>
    <hyperlink ref="D33" r:id="rId63" display="https://vikingbeardgear.com/collections/beard-and-hair-care/products/beard-wash-shampoo-beard-conditioner-set?variant=31075723673654"/>
    <hyperlink ref="B34" r:id="rId64" display="https://striking-viking.com/en-ca/blogs/learn/heads-shoulders-knees-and-toes-but-why-forget-the-beard"/>
    <hyperlink ref="D34" r:id="rId65" display="https://vikingbeardgear.com/collections/all/products/striking-viking-ultimate-beard-grooming-kit"/>
    <hyperlink ref="B35" r:id="rId66" display="https://striking-viking.com/it/blogs/learn/grooming-kit-a-perfect-gift-for-the-modern-man"/>
    <hyperlink ref="D35" r:id="rId67" display="https://vikingbeardgear.com/collections/viking-beard-kits/products/striking-viking-ultimate-beard-grooming-kit"/>
    <hyperlink ref="B36" r:id="rId68" display="https://striking-viking.com/de/blogs/learn/grooming-kit-a-perfect-gift-for-the-modern-man"/>
    <hyperlink ref="D36" r:id="rId69" display="https://vikingbeardgear.com/collections/viking-beard-kits/products/striking-viking-ultimate-beard-grooming-kit"/>
    <hyperlink ref="B37" r:id="rId70" display="https://striking-viking.com/blogs/learn/heads-shoulders-knees-and-toes-but-why-forget-the-beard"/>
    <hyperlink ref="D37" r:id="rId71" display="https://vikingbeardgear.com/collections/all/products/striking-viking-ultimate-beard-grooming-kit"/>
    <hyperlink ref="B38" r:id="rId72" display="https://striking-viking.com/blogs/learn/beard-grooming-quintessential-regime-for-the-modern-man"/>
    <hyperlink ref="D38" r:id="rId73" display="https://vikingbeardgear.com/collections/all/products/striking-viking-wooden-beard-comb"/>
    <hyperlink ref="B39" r:id="rId74" display="https://striking-viking.com/es/blogs/learn/heads-shoulders-knees-and-toes-but-why-forget-the-beard"/>
    <hyperlink ref="D39" r:id="rId75" display="https://vikingbeardgear.com/collections/all/products/striking-viking-ultimate-beard-grooming-kit"/>
    <hyperlink ref="B40" r:id="rId76" display="https://striking-viking.com/it/blogs/learn/heads-shoulders-knees-and-toes-but-why-forget-the-beard"/>
    <hyperlink ref="D40" r:id="rId77" display="https://vikingbeardgear.com/collections/all/products/striking-viking-beard-grooming-kit-for-men"/>
    <hyperlink ref="G40" r:id="rId78" display="https://vikingbeardgear.com/collections/viking-beard-kits/products/striking-viking-ultimate-beard-grooming-kit"/>
    <hyperlink ref="B41" r:id="rId79" display="https://striking-viking.com/fi/blogs/learn/heads-shoulders-knees-and-toes-but-why-forget-the-beard"/>
    <hyperlink ref="D41" r:id="rId80" display="https://vikingbeardgear.com/collections/all/products/striking-viking-beard-grooming-kit-for-men"/>
    <hyperlink ref="G41" r:id="rId81" display="https://vikingbeardgear.com/collections/viking-beard-kits/products/striking-viking-ultimate-beard-grooming-kit"/>
    <hyperlink ref="B42" r:id="rId82" display="https://striking-viking.com/fr/blogs/learn/why-your-beard-needs-more-than-just-a-comb"/>
    <hyperlink ref="D42" r:id="rId83" display="https://vikingbeardgear.com/collections/beard-and-hair-care/products/beard-wash-shampoo-beard-conditioner-set?variant=31075723673654"/>
    <hyperlink ref="B43" r:id="rId84" display="https://striking-viking.com/en-gb/blogs/learn/heads-shoulders-knees-and-toes-but-why-forget-the-beard"/>
    <hyperlink ref="D43" r:id="rId85" display="https://vikingbeardgear.com/collections/all/products/striking-viking-ultimate-beard-grooming-kit"/>
    <hyperlink ref="B44" r:id="rId86" display="https://striking-viking.com/no/blogs/learn/why-your-beard-needs-more-than-just-a-comb"/>
    <hyperlink ref="D44" r:id="rId87" display="https://vikingbeardgear.com/collections/beard-and-hair-care/products/beard-wash-shampoo-beard-conditioner-set?variant=31075723673654"/>
    <hyperlink ref="B45" r:id="rId88" display="https://striking-viking.com/no/blogs/learn/grooming-kit-a-perfect-gift-for-the-modern-man"/>
    <hyperlink ref="D45" r:id="rId89" display="https://vikingbeardgear.com/collections/viking-beard-kits/products/striking-viking-ultimate-beard-grooming-kit"/>
    <hyperlink ref="B46" r:id="rId90" display="https://striking-viking.com/no/blogs/learn/grooming-products-to-pamper-your-beard-flyaway"/>
    <hyperlink ref="D46" r:id="rId91" display="https://vikingbeardgear.com/collections/beard-and-hair-care/products/beard-wash-shampoo-beard-conditioner-set?variant=31075723673654"/>
    <hyperlink ref="B47" r:id="rId92" display="https://striking-viking.com/es/blogs/learn/heads-shoulders-knees-and-toes-but-why-forget-the-beard"/>
    <hyperlink ref="D47" r:id="rId93" display="https://vikingbeardgear.com/collections/all/products/striking-viking-beard-grooming-kit-for-men"/>
    <hyperlink ref="G47" r:id="rId94" display="https://vikingbeardgear.com/collections/viking-beard-kits/products/striking-viking-ultimate-beard-grooming-kit"/>
    <hyperlink ref="B48" r:id="rId95" display="https://striking-viking.com/en-ca/blogs/learn/why-your-beard-needs-more-than-just-a-comb"/>
    <hyperlink ref="D48" r:id="rId96" display="https://vikingbeardgear.com/collections/beard-and-hair-care/products/beard-wash-shampoo-beard-conditioner-set?variant=31075723673654"/>
    <hyperlink ref="B49" r:id="rId97" display="https://striking-viking.com/it/blogs/learn/heads-shoulders-knees-and-toes-but-why-forget-the-beard"/>
    <hyperlink ref="D49" r:id="rId98" display="https://vikingbeardgear.com/collections/all/products/striking-viking-ultimate-beard-grooming-kit"/>
    <hyperlink ref="B50" r:id="rId99" display="https://striking-viking.com/fi/blogs/learn/beard-grooming-quintessential-regime-for-the-modern-man"/>
    <hyperlink ref="D50" r:id="rId100" display="https://vikingbeardgear.com/collections/all/products/striking-viking-wooden-beard-comb"/>
    <hyperlink ref="B51" r:id="rId101" display="https://striking-viking.com/it/blogs/learn/why-your-beard-needs-more-than-just-a-comb"/>
    <hyperlink ref="D51" r:id="rId102" display="https://vikingbeardgear.com/collections/beard-and-hair-care/products/beard-wash-shampoo-beard-conditioner-set?variant=31075723673654"/>
    <hyperlink ref="B52" r:id="rId103" display="https://striking-viking.com/en-gb/blogs/learn/heads-shoulders-knees-and-toes-but-why-forget-the-beard"/>
    <hyperlink ref="D52" r:id="rId104" display="https://vikingbeardgear.com/collections/all/products/striking-viking-beard-grooming-kit-for-men"/>
    <hyperlink ref="G52" r:id="rId105" display="https://vikingbeardgear.com/collections/viking-beard-kits/products/striking-viking-ultimate-beard-grooming-kit"/>
    <hyperlink ref="B53" r:id="rId106" display="https://striking-viking.com/sv/blogs/learn/heads-shoulders-knees-and-toes-but-why-forget-the-beard"/>
    <hyperlink ref="D53" r:id="rId107" display="https://vikingbeardgear.com/collections/all/products/striking-viking-beard-grooming-kit-for-men"/>
    <hyperlink ref="G53" r:id="rId108" display="https://vikingbeardgear.com/collections/viking-beard-kits/products/striking-viking-ultimate-beard-grooming-kit"/>
    <hyperlink ref="B54" r:id="rId109" display="https://striking-viking.com/fr-ca/blogs/learn/beard-grooming-quintessential-regime-for-the-modern-man"/>
    <hyperlink ref="D54" r:id="rId110" display="https://vikingbeardgear.com/collections/all/products/striking-viking-wooden-beard-comb"/>
    <hyperlink ref="B55" r:id="rId111" display="https://striking-viking.com/de/blogs/learn/grooming-products-to-pamper-your-beard-flyaway"/>
    <hyperlink ref="D55" r:id="rId112" display="https://vikingbeardgear.com/collections/beard-and-hair-care/products/beard-wash-shampoo-beard-conditioner-set?variant=31075723673654"/>
    <hyperlink ref="B56" r:id="rId113" display="https://striking-viking.com/fr/blogs/learn/heads-shoulders-knees-and-toes-but-why-forget-the-beard"/>
    <hyperlink ref="D56" r:id="rId114" display="https://vikingbeardgear.com/collections/all/products/striking-viking-ultimate-beard-grooming-kit"/>
    <hyperlink ref="B57" r:id="rId115" display="https://striking-viking.com/blogs/learn/grooming-kit-a-perfect-gift-for-the-modern-man"/>
    <hyperlink ref="D57" r:id="rId116" display="https://vikingbeardgear.com/collections/viking-beard-kits/products/striking-viking-ultimate-beard-grooming-kit"/>
    <hyperlink ref="B58" r:id="rId117" display="https://striking-viking.com/it/blogs/learn/grooming-products-to-pamper-your-beard-flyaway"/>
    <hyperlink ref="D58" r:id="rId118" display="https://vikingbeardgear.com/collections/beard-and-hair-care/products/beard-wash-shampoo-beard-conditioner-set?variant=31075723673654"/>
    <hyperlink ref="B59" r:id="rId119" display="https://striking-viking.com/fr/blogs/learn/grooming-products-to-pamper-your-beard-flyaway"/>
    <hyperlink ref="D59" r:id="rId120" display="https://vikingbeardgear.com/collections/beard-and-hair-care/products/beard-wash-shampoo-beard-conditioner-set?variant=31075723673654"/>
    <hyperlink ref="B60" r:id="rId121" display="https://striking-viking.com/de/blogs/learn/heads-shoulders-knees-and-toes-but-why-forget-the-beard"/>
    <hyperlink ref="D60" r:id="rId122" display="https://vikingbeardgear.com/collections/all/products/striking-viking-ultimate-beard-grooming-kit"/>
    <hyperlink ref="B61" r:id="rId123" display="https://striking-viking.com/fr-ca/blogs/learn/why-your-beard-needs-more-than-just-a-comb"/>
    <hyperlink ref="D61" r:id="rId124" display="https://vikingbeardgear.com/collections/beard-and-hair-care/products/beard-wash-shampoo-beard-conditioner-set?variant=31075723673654"/>
    <hyperlink ref="B62" r:id="rId125" display="https://striking-viking.com/en-gb/blogs/learn/why-your-beard-needs-more-than-just-a-comb"/>
    <hyperlink ref="D62" r:id="rId126" display="https://vikingbeardgear.com/collections/beard-and-hair-care/products/beard-wash-shampoo-beard-conditioner-set?variant=31075723673654"/>
    <hyperlink ref="B63" r:id="rId127" display="https://striking-viking.com/sv/blogs/learn/grooming-kit-a-perfect-gift-for-the-modern-man"/>
    <hyperlink ref="D63" r:id="rId128" display="https://vikingbeardgear.com/collections/viking-beard-kits/products/striking-viking-ultimate-beard-grooming-kit"/>
    <hyperlink ref="B64" r:id="rId129" display="https://striking-viking.com/fi/blogs/learn/why-your-beard-needs-more-than-just-a-comb"/>
    <hyperlink ref="D64" r:id="rId130" display="https://vikingbeardgear.com/collections/beard-and-hair-care/products/beard-wash-shampoo-beard-conditioner-set?variant=31075723673654"/>
    <hyperlink ref="B65" r:id="rId131" display="https://striking-viking.com/sv/blogs/learn/grooming-products-to-pamper-your-beard-flyaway"/>
    <hyperlink ref="D65" r:id="rId132" display="https://vikingbeardgear.com/collections/beard-and-hair-care/products/beard-wash-shampoo-beard-conditioner-set?variant=31075723673654"/>
    <hyperlink ref="B66" r:id="rId133" display="https://striking-viking.com/no/blogs/learn/heads-shoulders-knees-and-toes-but-why-forget-the-beard"/>
    <hyperlink ref="D66" r:id="rId134" display="https://vikingbeardgear.com/collections/all/products/striking-viking-ultimate-beard-grooming-kit"/>
    <hyperlink ref="B67" r:id="rId135" display="https://striking-viking.com/no/blogs/learn/heads-shoulders-knees-and-toes-but-why-forget-the-beard"/>
    <hyperlink ref="D67" r:id="rId136" display="https://vikingbeardgear.com/collections/all/products/striking-viking-beard-grooming-kit-for-men"/>
    <hyperlink ref="G67" r:id="rId137" display="https://vikingbeardgear.com/collections/viking-beard-kits/products/striking-viking-ultimate-beard-grooming-kit"/>
    <hyperlink ref="B68" r:id="rId138" display="https://striking-viking.com/fr-ca/blogs/learn/grooming-products-to-pamper-your-beard-flyaway"/>
    <hyperlink ref="D68" r:id="rId139" display="https://vikingbeardgear.com/collections/beard-and-hair-care/products/beard-wash-shampoo-beard-conditioner-set?variant=31075723673654"/>
    <hyperlink ref="B69" r:id="rId140" display="https://striking-viking.com/en-ca/blogs/learn/beard-grooming-quintessential-regime-for-the-modern-man"/>
    <hyperlink ref="D69" r:id="rId141" display="https://vikingbeardgear.com/collections/all/products/striking-viking-wooden-beard-comb"/>
    <hyperlink ref="B70" r:id="rId142" display="https://striking-viking.com/es/blogs/learn/grooming-products-to-pamper-your-beard-flyaway"/>
    <hyperlink ref="D70" r:id="rId143" display="https://vikingbeardgear.com/collections/beard-and-hair-care/products/beard-wash-shampoo-beard-conditioner-set?variant=3107572367365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H1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63"/>
    <col collapsed="false" customWidth="true" hidden="false" outlineLevel="0" max="4" min="4" style="0" width="66"/>
    <col collapsed="false" customWidth="true" hidden="false" outlineLevel="0" max="5" min="5" style="0" width="21"/>
    <col collapsed="false" customWidth="true" hidden="false" outlineLevel="0" max="6" min="6" style="0" width="24.88"/>
    <col collapsed="false" customWidth="true" hidden="false" outlineLevel="0" max="8" min="8" style="0" width="22"/>
  </cols>
  <sheetData>
    <row r="1" customFormat="false" ht="15" hidden="false" customHeight="false" outlineLevel="0" collapsed="false">
      <c r="C1" s="52"/>
      <c r="E1" s="72"/>
      <c r="H1" s="26" t="str">
        <f aca="false">HYPERLINK("#'Master Overview'!A1","&lt;&lt; Master Overview")</f>
        <v>&lt;&lt; Master Overview</v>
      </c>
    </row>
    <row r="2" customFormat="false" ht="15" hidden="false" customHeight="false" outlineLevel="0" collapsed="false">
      <c r="C2" s="52"/>
      <c r="E2" s="72"/>
      <c r="H2" s="2" t="s">
        <v>7272</v>
      </c>
    </row>
    <row r="3" customFormat="false" ht="18.55" hidden="false" customHeight="true" outlineLevel="0" collapsed="false">
      <c r="B3" s="73" t="s">
        <v>134</v>
      </c>
      <c r="C3" s="73"/>
      <c r="D3" s="73"/>
      <c r="E3" s="73"/>
      <c r="F3" s="73"/>
    </row>
    <row r="4" customFormat="false" ht="15" hidden="false" customHeight="false" outlineLevel="0" collapsed="false">
      <c r="B4" s="60" t="s">
        <v>6863</v>
      </c>
      <c r="C4" s="60" t="s">
        <v>274</v>
      </c>
      <c r="D4" s="60" t="s">
        <v>3971</v>
      </c>
      <c r="E4" s="59" t="s">
        <v>3972</v>
      </c>
      <c r="F4" s="60" t="s">
        <v>81</v>
      </c>
    </row>
    <row r="5" customFormat="false" ht="15" hidden="false" customHeight="false" outlineLevel="0" collapsed="false">
      <c r="B5" s="38" t="n">
        <v>1</v>
      </c>
      <c r="C5" s="37" t="s">
        <v>7147</v>
      </c>
      <c r="D5" s="37" t="s">
        <v>7273</v>
      </c>
      <c r="E5" s="38" t="n">
        <v>247</v>
      </c>
      <c r="F5" s="38"/>
    </row>
    <row r="6" customFormat="false" ht="15" hidden="false" customHeight="false" outlineLevel="0" collapsed="false">
      <c r="B6" s="38" t="n">
        <v>2</v>
      </c>
      <c r="C6" s="37" t="s">
        <v>7115</v>
      </c>
      <c r="D6" s="37" t="s">
        <v>7274</v>
      </c>
      <c r="E6" s="38" t="n">
        <v>166</v>
      </c>
      <c r="F6" s="38"/>
    </row>
    <row r="7" customFormat="false" ht="15" hidden="false" customHeight="false" outlineLevel="0" collapsed="false">
      <c r="B7" s="38" t="n">
        <v>3</v>
      </c>
      <c r="C7" s="37" t="s">
        <v>7153</v>
      </c>
      <c r="D7" s="37" t="s">
        <v>7275</v>
      </c>
      <c r="E7" s="38" t="n">
        <v>166</v>
      </c>
      <c r="F7" s="38"/>
    </row>
    <row r="8" customFormat="false" ht="15" hidden="false" customHeight="false" outlineLevel="0" collapsed="false">
      <c r="B8" s="38" t="n">
        <v>4</v>
      </c>
      <c r="C8" s="37" t="s">
        <v>7084</v>
      </c>
      <c r="D8" s="37" t="s">
        <v>7276</v>
      </c>
      <c r="E8" s="38" t="n">
        <v>163</v>
      </c>
      <c r="F8" s="38"/>
    </row>
    <row r="9" customFormat="false" ht="15" hidden="false" customHeight="false" outlineLevel="0" collapsed="false">
      <c r="B9" s="38" t="n">
        <v>5</v>
      </c>
      <c r="C9" s="37" t="s">
        <v>7132</v>
      </c>
      <c r="D9" s="37" t="s">
        <v>7277</v>
      </c>
      <c r="E9" s="38" t="n">
        <v>178</v>
      </c>
      <c r="F9" s="38"/>
    </row>
    <row r="10" customFormat="false" ht="15" hidden="false" customHeight="false" outlineLevel="0" collapsed="false">
      <c r="B10" s="38" t="n">
        <v>6</v>
      </c>
      <c r="C10" s="37" t="s">
        <v>7123</v>
      </c>
      <c r="D10" s="37" t="s">
        <v>7278</v>
      </c>
      <c r="E10" s="38" t="n">
        <v>315</v>
      </c>
      <c r="F10" s="38"/>
    </row>
    <row r="11" customFormat="false" ht="15" hidden="false" customHeight="false" outlineLevel="0" collapsed="false">
      <c r="B11" s="38" t="n">
        <v>7</v>
      </c>
      <c r="C11" s="37" t="s">
        <v>7051</v>
      </c>
      <c r="D11" s="37" t="s">
        <v>7279</v>
      </c>
      <c r="E11" s="38" t="n">
        <v>175</v>
      </c>
      <c r="F11" s="38"/>
    </row>
    <row r="12" customFormat="false" ht="15" hidden="false" customHeight="false" outlineLevel="0" collapsed="false">
      <c r="B12" s="38" t="n">
        <v>8</v>
      </c>
      <c r="C12" s="37" t="s">
        <v>7090</v>
      </c>
      <c r="D12" s="37" t="s">
        <v>7280</v>
      </c>
      <c r="E12" s="38" t="n">
        <v>320</v>
      </c>
      <c r="F12" s="38"/>
    </row>
    <row r="13" customFormat="false" ht="15" hidden="false" customHeight="false" outlineLevel="0" collapsed="false">
      <c r="B13" s="38" t="n">
        <v>9</v>
      </c>
      <c r="C13" s="37" t="s">
        <v>6906</v>
      </c>
      <c r="D13" s="37" t="s">
        <v>7281</v>
      </c>
      <c r="E13" s="38" t="n">
        <v>172</v>
      </c>
      <c r="F13" s="38"/>
    </row>
    <row r="14" customFormat="false" ht="15" hidden="false" customHeight="false" outlineLevel="0" collapsed="false">
      <c r="B14" s="38" t="n">
        <v>10</v>
      </c>
      <c r="C14" s="37" t="s">
        <v>7000</v>
      </c>
      <c r="D14" s="37" t="s">
        <v>7282</v>
      </c>
      <c r="E14" s="38" t="n">
        <v>171</v>
      </c>
      <c r="F14" s="38"/>
    </row>
    <row r="15" customFormat="false" ht="15" hidden="false" customHeight="false" outlineLevel="0" collapsed="false">
      <c r="B15" s="38" t="n">
        <v>11</v>
      </c>
      <c r="C15" s="37" t="s">
        <v>7283</v>
      </c>
      <c r="D15" s="37" t="s">
        <v>7284</v>
      </c>
      <c r="E15" s="38" t="n">
        <v>194</v>
      </c>
      <c r="F15" s="38"/>
    </row>
    <row r="16" customFormat="false" ht="15" hidden="false" customHeight="false" outlineLevel="0" collapsed="false">
      <c r="B16" s="38" t="n">
        <v>12</v>
      </c>
      <c r="C16" s="37" t="s">
        <v>7285</v>
      </c>
      <c r="D16" s="37" t="s">
        <v>7286</v>
      </c>
      <c r="E16" s="38" t="n">
        <v>169</v>
      </c>
      <c r="F16" s="38"/>
    </row>
    <row r="17" customFormat="false" ht="15" hidden="false" customHeight="false" outlineLevel="0" collapsed="false">
      <c r="B17" s="38" t="n">
        <v>13</v>
      </c>
      <c r="C17" s="37" t="s">
        <v>7287</v>
      </c>
      <c r="D17" s="37" t="s">
        <v>7273</v>
      </c>
      <c r="E17" s="38" t="n">
        <v>247</v>
      </c>
      <c r="F17" s="38"/>
    </row>
    <row r="18" customFormat="false" ht="15" hidden="false" customHeight="false" outlineLevel="0" collapsed="false">
      <c r="B18" s="38" t="n">
        <v>14</v>
      </c>
      <c r="C18" s="37" t="s">
        <v>7288</v>
      </c>
      <c r="D18" s="37" t="s">
        <v>7289</v>
      </c>
      <c r="E18" s="38" t="n">
        <v>192</v>
      </c>
      <c r="F18" s="38"/>
    </row>
    <row r="19" customFormat="false" ht="15" hidden="false" customHeight="false" outlineLevel="0" collapsed="false">
      <c r="B19" s="38" t="n">
        <v>15</v>
      </c>
      <c r="C19" s="37" t="s">
        <v>7290</v>
      </c>
      <c r="D19" s="37" t="s">
        <v>7291</v>
      </c>
      <c r="E19" s="38" t="n">
        <v>254</v>
      </c>
      <c r="F19" s="38"/>
    </row>
    <row r="20" customFormat="false" ht="15" hidden="false" customHeight="false" outlineLevel="0" collapsed="false">
      <c r="B20" s="38" t="n">
        <v>16</v>
      </c>
      <c r="C20" s="37" t="s">
        <v>7292</v>
      </c>
      <c r="D20" s="37" t="s">
        <v>7293</v>
      </c>
      <c r="E20" s="38" t="n">
        <v>192</v>
      </c>
      <c r="F20" s="38"/>
    </row>
    <row r="21" customFormat="false" ht="15" hidden="false" customHeight="false" outlineLevel="0" collapsed="false">
      <c r="B21" s="38" t="n">
        <v>17</v>
      </c>
      <c r="C21" s="37" t="s">
        <v>7294</v>
      </c>
      <c r="D21" s="37" t="s">
        <v>7295</v>
      </c>
      <c r="E21" s="38" t="n">
        <v>170</v>
      </c>
      <c r="F21" s="38"/>
    </row>
    <row r="22" customFormat="false" ht="15" hidden="false" customHeight="false" outlineLevel="0" collapsed="false">
      <c r="B22" s="38" t="n">
        <v>18</v>
      </c>
      <c r="C22" s="37" t="s">
        <v>7296</v>
      </c>
      <c r="D22" s="37" t="s">
        <v>7297</v>
      </c>
      <c r="E22" s="38" t="n">
        <v>170</v>
      </c>
      <c r="F22" s="38"/>
    </row>
    <row r="23" customFormat="false" ht="15" hidden="false" customHeight="false" outlineLevel="0" collapsed="false">
      <c r="B23" s="38" t="n">
        <v>19</v>
      </c>
      <c r="C23" s="37" t="s">
        <v>7298</v>
      </c>
      <c r="D23" s="37" t="s">
        <v>7299</v>
      </c>
      <c r="E23" s="38" t="n">
        <v>203</v>
      </c>
      <c r="F23" s="38"/>
    </row>
    <row r="24" customFormat="false" ht="15" hidden="false" customHeight="false" outlineLevel="0" collapsed="false">
      <c r="B24" s="38" t="n">
        <v>20</v>
      </c>
      <c r="C24" s="37" t="s">
        <v>7300</v>
      </c>
      <c r="D24" s="37" t="s">
        <v>7301</v>
      </c>
      <c r="E24" s="38" t="n">
        <v>163</v>
      </c>
      <c r="F24" s="38"/>
    </row>
    <row r="25" customFormat="false" ht="15" hidden="false" customHeight="false" outlineLevel="0" collapsed="false">
      <c r="B25" s="38" t="n">
        <v>21</v>
      </c>
      <c r="C25" s="37" t="s">
        <v>7302</v>
      </c>
      <c r="D25" s="37" t="s">
        <v>7303</v>
      </c>
      <c r="E25" s="38" t="n">
        <v>195</v>
      </c>
      <c r="F25" s="38"/>
    </row>
    <row r="26" customFormat="false" ht="15" hidden="false" customHeight="false" outlineLevel="0" collapsed="false">
      <c r="B26" s="38" t="n">
        <v>22</v>
      </c>
      <c r="C26" s="37" t="s">
        <v>7187</v>
      </c>
      <c r="D26" s="37" t="s">
        <v>7304</v>
      </c>
      <c r="E26" s="38" t="n">
        <v>170</v>
      </c>
      <c r="F26" s="38"/>
    </row>
    <row r="27" customFormat="false" ht="15" hidden="false" customHeight="false" outlineLevel="0" collapsed="false">
      <c r="B27" s="38" t="n">
        <v>23</v>
      </c>
      <c r="C27" s="37" t="s">
        <v>7305</v>
      </c>
      <c r="D27" s="37" t="s">
        <v>7278</v>
      </c>
      <c r="E27" s="38" t="n">
        <v>315</v>
      </c>
      <c r="F27" s="38"/>
    </row>
    <row r="28" customFormat="false" ht="15" hidden="false" customHeight="false" outlineLevel="0" collapsed="false">
      <c r="B28" s="38" t="n">
        <v>24</v>
      </c>
      <c r="C28" s="37" t="s">
        <v>7306</v>
      </c>
      <c r="D28" s="37" t="s">
        <v>7307</v>
      </c>
      <c r="E28" s="38" t="n">
        <v>183</v>
      </c>
      <c r="F28" s="38"/>
    </row>
    <row r="29" customFormat="false" ht="15" hidden="false" customHeight="false" outlineLevel="0" collapsed="false">
      <c r="B29" s="38" t="n">
        <v>25</v>
      </c>
      <c r="C29" s="37" t="s">
        <v>7308</v>
      </c>
      <c r="D29" s="37" t="s">
        <v>7309</v>
      </c>
      <c r="E29" s="38" t="n">
        <v>202</v>
      </c>
      <c r="F29" s="38"/>
    </row>
    <row r="30" customFormat="false" ht="15" hidden="false" customHeight="false" outlineLevel="0" collapsed="false">
      <c r="B30" s="38" t="n">
        <v>26</v>
      </c>
      <c r="C30" s="37" t="s">
        <v>7310</v>
      </c>
      <c r="D30" s="37" t="s">
        <v>7311</v>
      </c>
      <c r="E30" s="38" t="n">
        <v>188</v>
      </c>
      <c r="F30" s="38"/>
    </row>
    <row r="31" customFormat="false" ht="15" hidden="false" customHeight="false" outlineLevel="0" collapsed="false">
      <c r="B31" s="38" t="n">
        <v>27</v>
      </c>
      <c r="C31" s="37" t="s">
        <v>7312</v>
      </c>
      <c r="D31" s="37" t="s">
        <v>7279</v>
      </c>
      <c r="E31" s="38" t="n">
        <v>175</v>
      </c>
      <c r="F31" s="38"/>
    </row>
    <row r="32" customFormat="false" ht="15" hidden="false" customHeight="false" outlineLevel="0" collapsed="false">
      <c r="B32" s="38" t="n">
        <v>28</v>
      </c>
      <c r="C32" s="37" t="s">
        <v>7313</v>
      </c>
      <c r="D32" s="37" t="s">
        <v>7314</v>
      </c>
      <c r="E32" s="38" t="n">
        <v>264</v>
      </c>
      <c r="F32" s="38"/>
    </row>
    <row r="33" customFormat="false" ht="15" hidden="false" customHeight="false" outlineLevel="0" collapsed="false">
      <c r="B33" s="38" t="n">
        <v>29</v>
      </c>
      <c r="C33" s="37" t="s">
        <v>7315</v>
      </c>
      <c r="D33" s="37" t="s">
        <v>7316</v>
      </c>
      <c r="E33" s="38" t="n">
        <v>183</v>
      </c>
      <c r="F33" s="38"/>
    </row>
    <row r="34" customFormat="false" ht="15" hidden="false" customHeight="false" outlineLevel="0" collapsed="false">
      <c r="B34" s="38" t="n">
        <v>30</v>
      </c>
      <c r="C34" s="37" t="s">
        <v>7317</v>
      </c>
      <c r="D34" s="37" t="s">
        <v>7318</v>
      </c>
      <c r="E34" s="38" t="n">
        <v>427</v>
      </c>
      <c r="F34" s="38"/>
    </row>
    <row r="35" customFormat="false" ht="15" hidden="false" customHeight="false" outlineLevel="0" collapsed="false">
      <c r="B35" s="38" t="n">
        <v>31</v>
      </c>
      <c r="C35" s="37" t="s">
        <v>7319</v>
      </c>
      <c r="D35" s="37" t="s">
        <v>7320</v>
      </c>
      <c r="E35" s="38" t="n">
        <v>268</v>
      </c>
      <c r="F35" s="38"/>
    </row>
    <row r="36" customFormat="false" ht="15" hidden="false" customHeight="false" outlineLevel="0" collapsed="false">
      <c r="B36" s="38" t="n">
        <v>32</v>
      </c>
      <c r="C36" s="37" t="s">
        <v>7321</v>
      </c>
      <c r="D36" s="37" t="s">
        <v>7322</v>
      </c>
      <c r="E36" s="38" t="n">
        <v>173</v>
      </c>
      <c r="F36" s="38"/>
    </row>
    <row r="37" customFormat="false" ht="15" hidden="false" customHeight="false" outlineLevel="0" collapsed="false">
      <c r="B37" s="38" t="n">
        <v>33</v>
      </c>
      <c r="C37" s="37" t="s">
        <v>7323</v>
      </c>
      <c r="D37" s="37" t="s">
        <v>7324</v>
      </c>
      <c r="E37" s="38" t="n">
        <v>171</v>
      </c>
      <c r="F37" s="38"/>
    </row>
    <row r="38" customFormat="false" ht="15" hidden="false" customHeight="false" outlineLevel="0" collapsed="false">
      <c r="B38" s="38" t="n">
        <v>34</v>
      </c>
      <c r="C38" s="37" t="s">
        <v>7325</v>
      </c>
      <c r="D38" s="37" t="s">
        <v>7326</v>
      </c>
      <c r="E38" s="38" t="n">
        <v>208</v>
      </c>
      <c r="F38" s="38"/>
    </row>
    <row r="39" customFormat="false" ht="15" hidden="false" customHeight="false" outlineLevel="0" collapsed="false">
      <c r="B39" s="38" t="n">
        <v>35</v>
      </c>
      <c r="C39" s="37" t="s">
        <v>7327</v>
      </c>
      <c r="D39" s="37" t="s">
        <v>7328</v>
      </c>
      <c r="E39" s="38" t="n">
        <v>179</v>
      </c>
      <c r="F39" s="38"/>
    </row>
    <row r="40" customFormat="false" ht="15" hidden="false" customHeight="false" outlineLevel="0" collapsed="false">
      <c r="B40" s="38" t="n">
        <v>36</v>
      </c>
      <c r="C40" s="37" t="s">
        <v>7329</v>
      </c>
      <c r="D40" s="37" t="s">
        <v>7330</v>
      </c>
      <c r="E40" s="38" t="n">
        <v>163</v>
      </c>
      <c r="F40" s="38"/>
    </row>
    <row r="41" customFormat="false" ht="15" hidden="false" customHeight="false" outlineLevel="0" collapsed="false">
      <c r="B41" s="38" t="n">
        <v>37</v>
      </c>
      <c r="C41" s="37" t="s">
        <v>7331</v>
      </c>
      <c r="D41" s="37" t="s">
        <v>7332</v>
      </c>
      <c r="E41" s="38" t="n">
        <v>379</v>
      </c>
      <c r="F41" s="38"/>
    </row>
    <row r="42" customFormat="false" ht="15" hidden="false" customHeight="false" outlineLevel="0" collapsed="false">
      <c r="B42" s="38" t="n">
        <v>38</v>
      </c>
      <c r="C42" s="37" t="s">
        <v>7333</v>
      </c>
      <c r="D42" s="37" t="s">
        <v>7334</v>
      </c>
      <c r="E42" s="38" t="n">
        <v>178</v>
      </c>
      <c r="F42" s="38"/>
    </row>
    <row r="43" customFormat="false" ht="15" hidden="false" customHeight="false" outlineLevel="0" collapsed="false">
      <c r="B43" s="38" t="n">
        <v>39</v>
      </c>
      <c r="C43" s="37" t="s">
        <v>7335</v>
      </c>
      <c r="D43" s="37" t="s">
        <v>7336</v>
      </c>
      <c r="E43" s="38" t="n">
        <v>208</v>
      </c>
      <c r="F43" s="38"/>
    </row>
    <row r="44" customFormat="false" ht="15" hidden="false" customHeight="false" outlineLevel="0" collapsed="false">
      <c r="B44" s="38" t="n">
        <v>40</v>
      </c>
      <c r="C44" s="37" t="s">
        <v>7337</v>
      </c>
      <c r="D44" s="37" t="s">
        <v>7338</v>
      </c>
      <c r="E44" s="38" t="n">
        <v>179</v>
      </c>
      <c r="F44" s="38"/>
    </row>
    <row r="45" customFormat="false" ht="15" hidden="false" customHeight="false" outlineLevel="0" collapsed="false">
      <c r="B45" s="38" t="n">
        <v>41</v>
      </c>
      <c r="C45" s="37" t="s">
        <v>7339</v>
      </c>
      <c r="D45" s="37" t="s">
        <v>7340</v>
      </c>
      <c r="E45" s="38" t="n">
        <v>232</v>
      </c>
      <c r="F45" s="38"/>
    </row>
    <row r="46" customFormat="false" ht="15" hidden="false" customHeight="false" outlineLevel="0" collapsed="false">
      <c r="B46" s="38" t="n">
        <v>42</v>
      </c>
      <c r="C46" s="37" t="s">
        <v>7341</v>
      </c>
      <c r="D46" s="37" t="s">
        <v>7342</v>
      </c>
      <c r="E46" s="38" t="n">
        <v>182</v>
      </c>
      <c r="F46" s="38"/>
    </row>
    <row r="47" customFormat="false" ht="15" hidden="false" customHeight="false" outlineLevel="0" collapsed="false">
      <c r="B47" s="38" t="n">
        <v>43</v>
      </c>
      <c r="C47" s="37" t="s">
        <v>7343</v>
      </c>
      <c r="D47" s="37" t="s">
        <v>7344</v>
      </c>
      <c r="E47" s="38" t="n">
        <v>176</v>
      </c>
      <c r="F47" s="38"/>
    </row>
    <row r="48" customFormat="false" ht="15" hidden="false" customHeight="false" outlineLevel="0" collapsed="false">
      <c r="B48" s="38" t="n">
        <v>44</v>
      </c>
      <c r="C48" s="37" t="s">
        <v>7169</v>
      </c>
      <c r="D48" s="37" t="s">
        <v>7345</v>
      </c>
      <c r="E48" s="38" t="n">
        <v>199</v>
      </c>
      <c r="F48" s="38"/>
    </row>
    <row r="49" customFormat="false" ht="15" hidden="false" customHeight="false" outlineLevel="0" collapsed="false">
      <c r="B49" s="38" t="n">
        <v>45</v>
      </c>
      <c r="C49" s="37" t="s">
        <v>7346</v>
      </c>
      <c r="D49" s="37" t="s">
        <v>7347</v>
      </c>
      <c r="E49" s="38" t="n">
        <v>164</v>
      </c>
      <c r="F49" s="38"/>
    </row>
    <row r="50" customFormat="false" ht="15" hidden="false" customHeight="false" outlineLevel="0" collapsed="false">
      <c r="B50" s="38" t="n">
        <v>46</v>
      </c>
      <c r="C50" s="37" t="s">
        <v>7348</v>
      </c>
      <c r="D50" s="37" t="s">
        <v>7349</v>
      </c>
      <c r="E50" s="38" t="n">
        <v>184</v>
      </c>
      <c r="F50" s="38"/>
    </row>
    <row r="51" customFormat="false" ht="15" hidden="false" customHeight="false" outlineLevel="0" collapsed="false">
      <c r="B51" s="38" t="n">
        <v>47</v>
      </c>
      <c r="C51" s="37" t="s">
        <v>7350</v>
      </c>
      <c r="D51" s="37" t="s">
        <v>7351</v>
      </c>
      <c r="E51" s="38" t="n">
        <v>182</v>
      </c>
      <c r="F51" s="38"/>
    </row>
    <row r="52" customFormat="false" ht="15" hidden="false" customHeight="false" outlineLevel="0" collapsed="false">
      <c r="B52" s="38" t="n">
        <v>48</v>
      </c>
      <c r="C52" s="37" t="s">
        <v>7352</v>
      </c>
      <c r="D52" s="37" t="s">
        <v>7353</v>
      </c>
      <c r="E52" s="38" t="n">
        <v>330</v>
      </c>
      <c r="F52" s="38"/>
    </row>
    <row r="53" customFormat="false" ht="15" hidden="false" customHeight="false" outlineLevel="0" collapsed="false">
      <c r="B53" s="38" t="n">
        <v>49</v>
      </c>
      <c r="C53" s="37" t="s">
        <v>7354</v>
      </c>
      <c r="D53" s="37" t="s">
        <v>7355</v>
      </c>
      <c r="E53" s="38" t="n">
        <v>180</v>
      </c>
      <c r="F53" s="38"/>
    </row>
    <row r="54" customFormat="false" ht="15" hidden="false" customHeight="false" outlineLevel="0" collapsed="false">
      <c r="B54" s="38" t="n">
        <v>50</v>
      </c>
      <c r="C54" s="37" t="s">
        <v>7219</v>
      </c>
      <c r="D54" s="37" t="s">
        <v>7356</v>
      </c>
      <c r="E54" s="38" t="n">
        <v>199</v>
      </c>
      <c r="F54" s="38"/>
    </row>
    <row r="55" customFormat="false" ht="15" hidden="false" customHeight="false" outlineLevel="0" collapsed="false">
      <c r="B55" s="38" t="n">
        <v>51</v>
      </c>
      <c r="C55" s="37" t="s">
        <v>7357</v>
      </c>
      <c r="D55" s="37" t="s">
        <v>7358</v>
      </c>
      <c r="E55" s="38" t="n">
        <v>188</v>
      </c>
      <c r="F55" s="38"/>
    </row>
    <row r="56" customFormat="false" ht="15" hidden="false" customHeight="false" outlineLevel="0" collapsed="false">
      <c r="B56" s="38" t="n">
        <v>52</v>
      </c>
      <c r="C56" s="37" t="s">
        <v>7225</v>
      </c>
      <c r="D56" s="37" t="s">
        <v>7359</v>
      </c>
      <c r="E56" s="38" t="n">
        <v>165</v>
      </c>
      <c r="F56" s="38"/>
    </row>
    <row r="57" customFormat="false" ht="15" hidden="false" customHeight="false" outlineLevel="0" collapsed="false">
      <c r="B57" s="38" t="n">
        <v>53</v>
      </c>
      <c r="C57" s="37" t="s">
        <v>7360</v>
      </c>
      <c r="D57" s="37" t="s">
        <v>7361</v>
      </c>
      <c r="E57" s="38" t="n">
        <v>189</v>
      </c>
      <c r="F57" s="38"/>
    </row>
    <row r="58" customFormat="false" ht="15" hidden="false" customHeight="false" outlineLevel="0" collapsed="false">
      <c r="B58" s="38" t="n">
        <v>54</v>
      </c>
      <c r="C58" s="37" t="s">
        <v>7362</v>
      </c>
      <c r="D58" s="37" t="s">
        <v>7363</v>
      </c>
      <c r="E58" s="38" t="n">
        <v>174</v>
      </c>
      <c r="F58" s="38"/>
    </row>
    <row r="59" customFormat="false" ht="15" hidden="false" customHeight="false" outlineLevel="0" collapsed="false">
      <c r="B59" s="38" t="n">
        <v>55</v>
      </c>
      <c r="C59" s="37" t="s">
        <v>7364</v>
      </c>
      <c r="D59" s="37" t="s">
        <v>7365</v>
      </c>
      <c r="E59" s="38" t="n">
        <v>181</v>
      </c>
      <c r="F59" s="38"/>
    </row>
    <row r="60" customFormat="false" ht="15" hidden="false" customHeight="false" outlineLevel="0" collapsed="false">
      <c r="B60" s="38" t="n">
        <v>56</v>
      </c>
      <c r="C60" s="37" t="s">
        <v>7366</v>
      </c>
      <c r="D60" s="37" t="s">
        <v>7367</v>
      </c>
      <c r="E60" s="38" t="n">
        <v>167</v>
      </c>
      <c r="F60" s="38"/>
    </row>
    <row r="61" customFormat="false" ht="15" hidden="false" customHeight="false" outlineLevel="0" collapsed="false">
      <c r="B61" s="38" t="n">
        <v>57</v>
      </c>
      <c r="C61" s="37" t="s">
        <v>7368</v>
      </c>
      <c r="D61" s="37" t="s">
        <v>7369</v>
      </c>
      <c r="E61" s="38" t="n">
        <v>259</v>
      </c>
      <c r="F61" s="38"/>
    </row>
    <row r="62" customFormat="false" ht="15" hidden="false" customHeight="false" outlineLevel="0" collapsed="false">
      <c r="B62" s="38" t="n">
        <v>58</v>
      </c>
      <c r="C62" s="37" t="s">
        <v>7370</v>
      </c>
      <c r="D62" s="37" t="s">
        <v>7371</v>
      </c>
      <c r="E62" s="38" t="n">
        <v>206</v>
      </c>
      <c r="F62" s="38"/>
    </row>
    <row r="63" customFormat="false" ht="15" hidden="false" customHeight="false" outlineLevel="0" collapsed="false">
      <c r="B63" s="38" t="n">
        <v>59</v>
      </c>
      <c r="C63" s="37" t="s">
        <v>7372</v>
      </c>
      <c r="D63" s="37" t="s">
        <v>7373</v>
      </c>
      <c r="E63" s="38" t="n">
        <v>173</v>
      </c>
      <c r="F63" s="38"/>
    </row>
    <row r="64" customFormat="false" ht="15" hidden="false" customHeight="false" outlineLevel="0" collapsed="false">
      <c r="B64" s="38" t="n">
        <v>60</v>
      </c>
      <c r="C64" s="37" t="s">
        <v>7374</v>
      </c>
      <c r="D64" s="37" t="s">
        <v>7361</v>
      </c>
      <c r="E64" s="38" t="n">
        <v>189</v>
      </c>
      <c r="F64" s="38"/>
    </row>
    <row r="65" customFormat="false" ht="15" hidden="false" customHeight="false" outlineLevel="0" collapsed="false">
      <c r="B65" s="38" t="n">
        <v>61</v>
      </c>
      <c r="C65" s="37" t="s">
        <v>7375</v>
      </c>
      <c r="D65" s="37" t="s">
        <v>7376</v>
      </c>
      <c r="E65" s="38" t="n">
        <v>175</v>
      </c>
      <c r="F65" s="38"/>
    </row>
    <row r="66" customFormat="false" ht="15" hidden="false" customHeight="false" outlineLevel="0" collapsed="false">
      <c r="B66" s="38" t="n">
        <v>62</v>
      </c>
      <c r="C66" s="37" t="s">
        <v>7377</v>
      </c>
      <c r="D66" s="37" t="s">
        <v>7378</v>
      </c>
      <c r="E66" s="38" t="n">
        <v>178</v>
      </c>
      <c r="F66" s="38"/>
    </row>
    <row r="67" customFormat="false" ht="15" hidden="false" customHeight="false" outlineLevel="0" collapsed="false">
      <c r="B67" s="38" t="n">
        <v>63</v>
      </c>
      <c r="C67" s="37" t="s">
        <v>7379</v>
      </c>
      <c r="D67" s="37" t="s">
        <v>7380</v>
      </c>
      <c r="E67" s="38" t="n">
        <v>206</v>
      </c>
      <c r="F67" s="38"/>
    </row>
    <row r="68" customFormat="false" ht="15" hidden="false" customHeight="false" outlineLevel="0" collapsed="false">
      <c r="B68" s="38" t="n">
        <v>64</v>
      </c>
      <c r="C68" s="37" t="s">
        <v>7381</v>
      </c>
      <c r="D68" s="37" t="s">
        <v>7382</v>
      </c>
      <c r="E68" s="38" t="n">
        <v>205</v>
      </c>
      <c r="F68" s="38"/>
    </row>
    <row r="69" customFormat="false" ht="15" hidden="false" customHeight="false" outlineLevel="0" collapsed="false">
      <c r="B69" s="38" t="n">
        <v>65</v>
      </c>
      <c r="C69" s="37" t="s">
        <v>7383</v>
      </c>
      <c r="D69" s="37" t="s">
        <v>7384</v>
      </c>
      <c r="E69" s="38" t="n">
        <v>162</v>
      </c>
      <c r="F69" s="38"/>
    </row>
    <row r="70" customFormat="false" ht="15" hidden="false" customHeight="false" outlineLevel="0" collapsed="false">
      <c r="B70" s="38" t="n">
        <v>66</v>
      </c>
      <c r="C70" s="37" t="s">
        <v>7385</v>
      </c>
      <c r="D70" s="37" t="s">
        <v>7274</v>
      </c>
      <c r="E70" s="38" t="n">
        <v>166</v>
      </c>
      <c r="F70" s="38"/>
    </row>
    <row r="71" customFormat="false" ht="15" hidden="false" customHeight="false" outlineLevel="0" collapsed="false">
      <c r="B71" s="38" t="n">
        <v>67</v>
      </c>
      <c r="C71" s="37" t="s">
        <v>7386</v>
      </c>
      <c r="D71" s="37" t="s">
        <v>7387</v>
      </c>
      <c r="E71" s="38" t="n">
        <v>188</v>
      </c>
      <c r="F71" s="38"/>
    </row>
    <row r="72" customFormat="false" ht="15" hidden="false" customHeight="false" outlineLevel="0" collapsed="false">
      <c r="B72" s="38" t="n">
        <v>68</v>
      </c>
      <c r="C72" s="37" t="s">
        <v>7388</v>
      </c>
      <c r="D72" s="37" t="s">
        <v>7389</v>
      </c>
      <c r="E72" s="38" t="n">
        <v>208</v>
      </c>
      <c r="F72" s="38"/>
    </row>
    <row r="73" customFormat="false" ht="15" hidden="false" customHeight="false" outlineLevel="0" collapsed="false">
      <c r="B73" s="38" t="n">
        <v>69</v>
      </c>
      <c r="C73" s="37" t="s">
        <v>7390</v>
      </c>
      <c r="D73" s="37" t="s">
        <v>7391</v>
      </c>
      <c r="E73" s="38" t="n">
        <v>199</v>
      </c>
      <c r="F73" s="38"/>
    </row>
    <row r="74" customFormat="false" ht="15" hidden="false" customHeight="false" outlineLevel="0" collapsed="false">
      <c r="B74" s="38" t="n">
        <v>70</v>
      </c>
      <c r="C74" s="37" t="s">
        <v>7392</v>
      </c>
      <c r="D74" s="37" t="s">
        <v>7393</v>
      </c>
      <c r="E74" s="38" t="n">
        <v>167</v>
      </c>
      <c r="F74" s="38"/>
    </row>
    <row r="75" customFormat="false" ht="15" hidden="false" customHeight="false" outlineLevel="0" collapsed="false">
      <c r="B75" s="38" t="n">
        <v>71</v>
      </c>
      <c r="C75" s="37" t="s">
        <v>7394</v>
      </c>
      <c r="D75" s="37" t="s">
        <v>7395</v>
      </c>
      <c r="E75" s="38" t="n">
        <v>198</v>
      </c>
      <c r="F75" s="38"/>
    </row>
    <row r="76" customFormat="false" ht="15" hidden="false" customHeight="false" outlineLevel="0" collapsed="false">
      <c r="B76" s="38" t="n">
        <v>72</v>
      </c>
      <c r="C76" s="37" t="s">
        <v>7396</v>
      </c>
      <c r="D76" s="37" t="s">
        <v>7397</v>
      </c>
      <c r="E76" s="38" t="n">
        <v>163</v>
      </c>
      <c r="F76" s="38"/>
    </row>
    <row r="77" customFormat="false" ht="15" hidden="false" customHeight="false" outlineLevel="0" collapsed="false">
      <c r="B77" s="38" t="n">
        <v>73</v>
      </c>
      <c r="C77" s="37" t="s">
        <v>7398</v>
      </c>
      <c r="D77" s="37" t="s">
        <v>7399</v>
      </c>
      <c r="E77" s="38" t="n">
        <v>187</v>
      </c>
      <c r="F77" s="38"/>
    </row>
    <row r="78" customFormat="false" ht="15" hidden="false" customHeight="false" outlineLevel="0" collapsed="false">
      <c r="B78" s="38" t="n">
        <v>74</v>
      </c>
      <c r="C78" s="37" t="s">
        <v>7244</v>
      </c>
      <c r="D78" s="37" t="s">
        <v>7400</v>
      </c>
      <c r="E78" s="38" t="n">
        <v>179</v>
      </c>
      <c r="F78" s="38"/>
    </row>
    <row r="79" customFormat="false" ht="15" hidden="false" customHeight="false" outlineLevel="0" collapsed="false">
      <c r="B79" s="38" t="n">
        <v>75</v>
      </c>
      <c r="C79" s="37" t="s">
        <v>7401</v>
      </c>
      <c r="D79" s="37" t="s">
        <v>7402</v>
      </c>
      <c r="E79" s="38" t="n">
        <v>187</v>
      </c>
      <c r="F79" s="38"/>
    </row>
    <row r="80" customFormat="false" ht="15" hidden="false" customHeight="false" outlineLevel="0" collapsed="false">
      <c r="B80" s="38" t="n">
        <v>76</v>
      </c>
      <c r="C80" s="37" t="s">
        <v>7403</v>
      </c>
      <c r="D80" s="37" t="s">
        <v>7404</v>
      </c>
      <c r="E80" s="38" t="n">
        <v>173</v>
      </c>
      <c r="F80" s="38"/>
    </row>
    <row r="81" customFormat="false" ht="15" hidden="false" customHeight="false" outlineLevel="0" collapsed="false">
      <c r="B81" s="38" t="n">
        <v>77</v>
      </c>
      <c r="C81" s="37" t="s">
        <v>7405</v>
      </c>
      <c r="D81" s="37" t="s">
        <v>7406</v>
      </c>
      <c r="E81" s="38" t="n">
        <v>226</v>
      </c>
      <c r="F81" s="38"/>
    </row>
    <row r="82" customFormat="false" ht="15" hidden="false" customHeight="false" outlineLevel="0" collapsed="false">
      <c r="B82" s="38" t="n">
        <v>78</v>
      </c>
      <c r="C82" s="37" t="s">
        <v>7407</v>
      </c>
      <c r="D82" s="37" t="s">
        <v>7408</v>
      </c>
      <c r="E82" s="38" t="n">
        <v>190</v>
      </c>
      <c r="F82" s="38"/>
    </row>
    <row r="83" customFormat="false" ht="15" hidden="false" customHeight="false" outlineLevel="0" collapsed="false">
      <c r="B83" s="38" t="n">
        <v>79</v>
      </c>
      <c r="C83" s="37" t="s">
        <v>7409</v>
      </c>
      <c r="D83" s="37" t="s">
        <v>7410</v>
      </c>
      <c r="E83" s="38" t="n">
        <v>331</v>
      </c>
      <c r="F83" s="38"/>
    </row>
    <row r="84" customFormat="false" ht="15" hidden="false" customHeight="false" outlineLevel="0" collapsed="false">
      <c r="B84" s="38" t="n">
        <v>80</v>
      </c>
      <c r="C84" s="37" t="s">
        <v>7411</v>
      </c>
      <c r="D84" s="37" t="s">
        <v>7412</v>
      </c>
      <c r="E84" s="38" t="n">
        <v>246</v>
      </c>
      <c r="F84" s="38"/>
    </row>
    <row r="85" customFormat="false" ht="15" hidden="false" customHeight="false" outlineLevel="0" collapsed="false">
      <c r="B85" s="38" t="n">
        <v>81</v>
      </c>
      <c r="C85" s="37" t="s">
        <v>7413</v>
      </c>
      <c r="D85" s="37" t="s">
        <v>7414</v>
      </c>
      <c r="E85" s="38" t="n">
        <v>223</v>
      </c>
      <c r="F85" s="38"/>
    </row>
    <row r="86" customFormat="false" ht="15" hidden="false" customHeight="false" outlineLevel="0" collapsed="false">
      <c r="B86" s="38" t="n">
        <v>82</v>
      </c>
      <c r="C86" s="37" t="s">
        <v>7415</v>
      </c>
      <c r="D86" s="37" t="s">
        <v>7416</v>
      </c>
      <c r="E86" s="38" t="n">
        <v>165</v>
      </c>
      <c r="F86" s="38"/>
    </row>
    <row r="87" customFormat="false" ht="15" hidden="false" customHeight="false" outlineLevel="0" collapsed="false">
      <c r="B87" s="38" t="n">
        <v>83</v>
      </c>
      <c r="C87" s="37" t="s">
        <v>7417</v>
      </c>
      <c r="D87" s="37" t="s">
        <v>7418</v>
      </c>
      <c r="E87" s="38" t="n">
        <v>294</v>
      </c>
      <c r="F87" s="38"/>
    </row>
    <row r="88" customFormat="false" ht="15" hidden="false" customHeight="false" outlineLevel="0" collapsed="false">
      <c r="B88" s="38" t="n">
        <v>84</v>
      </c>
      <c r="C88" s="37" t="s">
        <v>7419</v>
      </c>
      <c r="D88" s="37" t="s">
        <v>7420</v>
      </c>
      <c r="E88" s="38" t="n">
        <v>162</v>
      </c>
      <c r="F88" s="38"/>
    </row>
    <row r="89" customFormat="false" ht="15" hidden="false" customHeight="false" outlineLevel="0" collapsed="false">
      <c r="B89" s="38" t="n">
        <v>85</v>
      </c>
      <c r="C89" s="37" t="s">
        <v>7421</v>
      </c>
      <c r="D89" s="37" t="s">
        <v>7422</v>
      </c>
      <c r="E89" s="38" t="n">
        <v>203</v>
      </c>
      <c r="F89" s="38"/>
    </row>
    <row r="90" customFormat="false" ht="15" hidden="false" customHeight="false" outlineLevel="0" collapsed="false">
      <c r="B90" s="38" t="n">
        <v>86</v>
      </c>
      <c r="C90" s="37" t="s">
        <v>7423</v>
      </c>
      <c r="D90" s="37" t="s">
        <v>7424</v>
      </c>
      <c r="E90" s="38" t="n">
        <v>183</v>
      </c>
      <c r="F90" s="38"/>
    </row>
    <row r="91" customFormat="false" ht="15" hidden="false" customHeight="false" outlineLevel="0" collapsed="false">
      <c r="B91" s="38" t="n">
        <v>87</v>
      </c>
      <c r="C91" s="37" t="s">
        <v>7425</v>
      </c>
      <c r="D91" s="37" t="s">
        <v>7426</v>
      </c>
      <c r="E91" s="38" t="n">
        <v>176</v>
      </c>
      <c r="F91" s="38"/>
    </row>
    <row r="92" customFormat="false" ht="15" hidden="false" customHeight="false" outlineLevel="0" collapsed="false">
      <c r="B92" s="38" t="n">
        <v>88</v>
      </c>
      <c r="C92" s="37" t="s">
        <v>7427</v>
      </c>
      <c r="D92" s="37" t="s">
        <v>7428</v>
      </c>
      <c r="E92" s="38" t="n">
        <v>191</v>
      </c>
      <c r="F92" s="38"/>
    </row>
    <row r="93" customFormat="false" ht="15" hidden="false" customHeight="false" outlineLevel="0" collapsed="false">
      <c r="B93" s="38" t="n">
        <v>89</v>
      </c>
      <c r="C93" s="37" t="s">
        <v>7429</v>
      </c>
      <c r="D93" s="37" t="s">
        <v>7430</v>
      </c>
      <c r="E93" s="38" t="n">
        <v>171</v>
      </c>
      <c r="F93" s="38"/>
    </row>
    <row r="94" customFormat="false" ht="15" hidden="false" customHeight="false" outlineLevel="0" collapsed="false">
      <c r="B94" s="38" t="n">
        <v>90</v>
      </c>
      <c r="C94" s="37" t="s">
        <v>7431</v>
      </c>
      <c r="D94" s="37" t="s">
        <v>7432</v>
      </c>
      <c r="E94" s="38" t="n">
        <v>207</v>
      </c>
      <c r="F94" s="38"/>
    </row>
    <row r="95" customFormat="false" ht="15" hidden="false" customHeight="false" outlineLevel="0" collapsed="false">
      <c r="B95" s="38" t="n">
        <v>91</v>
      </c>
      <c r="C95" s="37" t="s">
        <v>7433</v>
      </c>
      <c r="D95" s="37" t="s">
        <v>7434</v>
      </c>
      <c r="E95" s="38" t="n">
        <v>182</v>
      </c>
      <c r="F95" s="38"/>
    </row>
    <row r="96" customFormat="false" ht="15" hidden="false" customHeight="false" outlineLevel="0" collapsed="false">
      <c r="B96" s="38" t="n">
        <v>92</v>
      </c>
      <c r="C96" s="37" t="s">
        <v>7435</v>
      </c>
      <c r="D96" s="37" t="s">
        <v>7436</v>
      </c>
      <c r="E96" s="38" t="n">
        <v>171</v>
      </c>
      <c r="F96" s="38"/>
    </row>
    <row r="97" customFormat="false" ht="15" hidden="false" customHeight="false" outlineLevel="0" collapsed="false">
      <c r="B97" s="38" t="n">
        <v>93</v>
      </c>
      <c r="C97" s="37" t="s">
        <v>7437</v>
      </c>
      <c r="D97" s="37" t="s">
        <v>7438</v>
      </c>
      <c r="E97" s="38" t="n">
        <v>238</v>
      </c>
      <c r="F97" s="38"/>
    </row>
    <row r="98" customFormat="false" ht="15" hidden="false" customHeight="false" outlineLevel="0" collapsed="false">
      <c r="B98" s="38" t="n">
        <v>94</v>
      </c>
      <c r="C98" s="37" t="s">
        <v>7439</v>
      </c>
      <c r="D98" s="37" t="s">
        <v>7273</v>
      </c>
      <c r="E98" s="38" t="n">
        <v>247</v>
      </c>
      <c r="F98" s="38"/>
    </row>
    <row r="99" customFormat="false" ht="15" hidden="false" customHeight="false" outlineLevel="0" collapsed="false">
      <c r="B99" s="38" t="n">
        <v>95</v>
      </c>
      <c r="C99" s="37" t="s">
        <v>7440</v>
      </c>
      <c r="D99" s="37" t="s">
        <v>7441</v>
      </c>
      <c r="E99" s="38" t="n">
        <v>165</v>
      </c>
      <c r="F99" s="38"/>
    </row>
    <row r="100" customFormat="false" ht="15" hidden="false" customHeight="false" outlineLevel="0" collapsed="false">
      <c r="B100" s="38" t="n">
        <v>96</v>
      </c>
      <c r="C100" s="37" t="s">
        <v>7020</v>
      </c>
      <c r="D100" s="37" t="s">
        <v>7442</v>
      </c>
      <c r="E100" s="38" t="n">
        <v>177</v>
      </c>
      <c r="F100" s="38"/>
    </row>
    <row r="101" customFormat="false" ht="15" hidden="false" customHeight="false" outlineLevel="0" collapsed="false">
      <c r="B101" s="38" t="n">
        <v>97</v>
      </c>
      <c r="C101" s="37" t="s">
        <v>7443</v>
      </c>
      <c r="D101" s="37" t="s">
        <v>7276</v>
      </c>
      <c r="E101" s="38" t="n">
        <v>163</v>
      </c>
      <c r="F101" s="38"/>
    </row>
    <row r="102" customFormat="false" ht="15" hidden="false" customHeight="false" outlineLevel="0" collapsed="false">
      <c r="B102" s="38" t="n">
        <v>98</v>
      </c>
      <c r="C102" s="37" t="s">
        <v>7444</v>
      </c>
      <c r="D102" s="37" t="s">
        <v>7445</v>
      </c>
      <c r="E102" s="38" t="n">
        <v>218</v>
      </c>
      <c r="F102" s="38"/>
    </row>
    <row r="103" customFormat="false" ht="15" hidden="false" customHeight="false" outlineLevel="0" collapsed="false">
      <c r="B103" s="38" t="n">
        <v>99</v>
      </c>
      <c r="C103" s="37" t="s">
        <v>7446</v>
      </c>
      <c r="D103" s="37" t="s">
        <v>7447</v>
      </c>
      <c r="E103" s="38" t="n">
        <v>187</v>
      </c>
      <c r="F103" s="38"/>
    </row>
    <row r="104" customFormat="false" ht="15" hidden="false" customHeight="false" outlineLevel="0" collapsed="false">
      <c r="B104" s="38" t="n">
        <v>100</v>
      </c>
      <c r="C104" s="37" t="s">
        <v>7448</v>
      </c>
      <c r="D104" s="37" t="s">
        <v>7449</v>
      </c>
      <c r="E104" s="38" t="n">
        <v>185</v>
      </c>
      <c r="F104" s="38"/>
    </row>
    <row r="105" customFormat="false" ht="15" hidden="false" customHeight="false" outlineLevel="0" collapsed="false">
      <c r="B105" s="38" t="n">
        <v>101</v>
      </c>
      <c r="C105" s="37" t="s">
        <v>7450</v>
      </c>
      <c r="D105" s="37" t="s">
        <v>7451</v>
      </c>
      <c r="E105" s="38" t="n">
        <v>176</v>
      </c>
      <c r="F105" s="38"/>
    </row>
    <row r="106" customFormat="false" ht="15" hidden="false" customHeight="false" outlineLevel="0" collapsed="false">
      <c r="B106" s="38" t="n">
        <v>102</v>
      </c>
      <c r="C106" s="37" t="s">
        <v>7452</v>
      </c>
      <c r="D106" s="37" t="s">
        <v>7453</v>
      </c>
      <c r="E106" s="38" t="n">
        <v>188</v>
      </c>
      <c r="F106" s="38"/>
    </row>
    <row r="107" customFormat="false" ht="15" hidden="false" customHeight="false" outlineLevel="0" collapsed="false">
      <c r="B107" s="38" t="n">
        <v>103</v>
      </c>
      <c r="C107" s="37" t="s">
        <v>7454</v>
      </c>
      <c r="D107" s="37" t="s">
        <v>7455</v>
      </c>
      <c r="E107" s="38" t="n">
        <v>173</v>
      </c>
      <c r="F107" s="38"/>
    </row>
    <row r="108" customFormat="false" ht="15" hidden="false" customHeight="false" outlineLevel="0" collapsed="false">
      <c r="B108" s="38" t="n">
        <v>104</v>
      </c>
      <c r="C108" s="37" t="s">
        <v>7456</v>
      </c>
      <c r="D108" s="37" t="s">
        <v>7457</v>
      </c>
      <c r="E108" s="38" t="n">
        <v>171</v>
      </c>
      <c r="F108" s="38"/>
    </row>
    <row r="109" customFormat="false" ht="15" hidden="false" customHeight="false" outlineLevel="0" collapsed="false">
      <c r="B109" s="38" t="n">
        <v>105</v>
      </c>
      <c r="C109" s="37" t="s">
        <v>7458</v>
      </c>
      <c r="D109" s="37" t="s">
        <v>7459</v>
      </c>
      <c r="E109" s="38" t="n">
        <v>193</v>
      </c>
      <c r="F109" s="38"/>
    </row>
    <row r="110" customFormat="false" ht="15" hidden="false" customHeight="false" outlineLevel="0" collapsed="false">
      <c r="B110" s="38" t="n">
        <v>106</v>
      </c>
      <c r="C110" s="37" t="s">
        <v>7460</v>
      </c>
      <c r="D110" s="37" t="s">
        <v>7461</v>
      </c>
      <c r="E110" s="38" t="n">
        <v>197</v>
      </c>
      <c r="F110" s="38"/>
    </row>
    <row r="111" customFormat="false" ht="15" hidden="false" customHeight="false" outlineLevel="0" collapsed="false">
      <c r="B111" s="38" t="n">
        <v>107</v>
      </c>
      <c r="C111" s="37" t="s">
        <v>7462</v>
      </c>
      <c r="D111" s="37" t="s">
        <v>7463</v>
      </c>
      <c r="E111" s="38" t="n">
        <v>185</v>
      </c>
      <c r="F111" s="38"/>
    </row>
    <row r="112" customFormat="false" ht="15" hidden="false" customHeight="false" outlineLevel="0" collapsed="false">
      <c r="B112" s="38" t="n">
        <v>108</v>
      </c>
      <c r="C112" s="37" t="s">
        <v>7464</v>
      </c>
      <c r="D112" s="37" t="s">
        <v>7465</v>
      </c>
      <c r="E112" s="38" t="n">
        <v>173</v>
      </c>
      <c r="F112" s="38"/>
    </row>
    <row r="113" customFormat="false" ht="15" hidden="false" customHeight="false" outlineLevel="0" collapsed="false">
      <c r="B113" s="38" t="n">
        <v>109</v>
      </c>
      <c r="C113" s="37" t="s">
        <v>7466</v>
      </c>
      <c r="D113" s="37" t="s">
        <v>7278</v>
      </c>
      <c r="E113" s="38" t="n">
        <v>315</v>
      </c>
      <c r="F113" s="38"/>
    </row>
    <row r="114" customFormat="false" ht="15" hidden="false" customHeight="false" outlineLevel="0" collapsed="false">
      <c r="B114" s="38" t="n">
        <v>110</v>
      </c>
      <c r="C114" s="37" t="s">
        <v>7467</v>
      </c>
      <c r="D114" s="37" t="s">
        <v>7468</v>
      </c>
      <c r="E114" s="38" t="n">
        <v>201</v>
      </c>
      <c r="F114" s="38"/>
    </row>
    <row r="115" customFormat="false" ht="15" hidden="false" customHeight="false" outlineLevel="0" collapsed="false">
      <c r="B115" s="38" t="n">
        <v>111</v>
      </c>
      <c r="C115" s="37" t="s">
        <v>7469</v>
      </c>
      <c r="D115" s="37" t="s">
        <v>7277</v>
      </c>
      <c r="E115" s="38" t="n">
        <v>178</v>
      </c>
      <c r="F115" s="38"/>
    </row>
    <row r="116" customFormat="false" ht="15" hidden="false" customHeight="false" outlineLevel="0" collapsed="false">
      <c r="B116" s="38" t="n">
        <v>112</v>
      </c>
      <c r="C116" s="37" t="s">
        <v>7470</v>
      </c>
      <c r="D116" s="37" t="s">
        <v>7471</v>
      </c>
      <c r="E116" s="38" t="n">
        <v>222</v>
      </c>
      <c r="F116" s="38"/>
    </row>
    <row r="117" customFormat="false" ht="15" hidden="false" customHeight="false" outlineLevel="0" collapsed="false">
      <c r="B117" s="38" t="n">
        <v>113</v>
      </c>
      <c r="C117" s="37" t="s">
        <v>7472</v>
      </c>
      <c r="D117" s="37" t="s">
        <v>7473</v>
      </c>
      <c r="E117" s="38" t="n">
        <v>186</v>
      </c>
      <c r="F117" s="38"/>
    </row>
    <row r="118" customFormat="false" ht="15" hidden="false" customHeight="false" outlineLevel="0" collapsed="false">
      <c r="B118" s="38" t="n">
        <v>114</v>
      </c>
      <c r="C118" s="37" t="s">
        <v>7474</v>
      </c>
      <c r="D118" s="37" t="s">
        <v>7275</v>
      </c>
      <c r="E118" s="38" t="n">
        <v>166</v>
      </c>
      <c r="F118" s="38"/>
    </row>
    <row r="119" customFormat="false" ht="15" hidden="false" customHeight="false" outlineLevel="0" collapsed="false">
      <c r="B119" s="38" t="n">
        <v>115</v>
      </c>
      <c r="C119" s="37" t="s">
        <v>7475</v>
      </c>
      <c r="D119" s="37" t="s">
        <v>7476</v>
      </c>
      <c r="E119" s="38" t="n">
        <v>214</v>
      </c>
      <c r="F119" s="38"/>
    </row>
    <row r="120" customFormat="false" ht="15" hidden="false" customHeight="false" outlineLevel="0" collapsed="false">
      <c r="B120" s="38" t="n">
        <v>116</v>
      </c>
      <c r="C120" s="37" t="s">
        <v>7477</v>
      </c>
      <c r="D120" s="37" t="s">
        <v>7478</v>
      </c>
      <c r="E120" s="38" t="n">
        <v>216</v>
      </c>
      <c r="F120" s="38"/>
    </row>
    <row r="121" customFormat="false" ht="15" hidden="false" customHeight="false" outlineLevel="0" collapsed="false">
      <c r="B121" s="38" t="n">
        <v>117</v>
      </c>
      <c r="C121" s="37" t="s">
        <v>7479</v>
      </c>
      <c r="D121" s="37" t="s">
        <v>7480</v>
      </c>
      <c r="E121" s="38" t="n">
        <v>185</v>
      </c>
      <c r="F121" s="38"/>
    </row>
    <row r="122" customFormat="false" ht="15" hidden="false" customHeight="false" outlineLevel="0" collapsed="false">
      <c r="B122" s="38" t="n">
        <v>118</v>
      </c>
      <c r="C122" s="37" t="s">
        <v>7481</v>
      </c>
      <c r="D122" s="37" t="s">
        <v>7482</v>
      </c>
      <c r="E122" s="38" t="n">
        <v>191</v>
      </c>
      <c r="F122" s="38"/>
    </row>
    <row r="123" customFormat="false" ht="15" hidden="false" customHeight="false" outlineLevel="0" collapsed="false">
      <c r="B123" s="38" t="n">
        <v>119</v>
      </c>
      <c r="C123" s="37" t="s">
        <v>7483</v>
      </c>
      <c r="D123" s="37" t="s">
        <v>7484</v>
      </c>
      <c r="E123" s="38" t="n">
        <v>185</v>
      </c>
      <c r="F123" s="38"/>
    </row>
    <row r="124" customFormat="false" ht="15" hidden="false" customHeight="false" outlineLevel="0" collapsed="false">
      <c r="B124" s="38" t="n">
        <v>120</v>
      </c>
      <c r="C124" s="37" t="s">
        <v>7485</v>
      </c>
      <c r="D124" s="37" t="s">
        <v>7277</v>
      </c>
      <c r="E124" s="38" t="n">
        <v>178</v>
      </c>
      <c r="F124" s="38"/>
    </row>
    <row r="125" customFormat="false" ht="15" hidden="false" customHeight="false" outlineLevel="0" collapsed="false">
      <c r="B125" s="38" t="n">
        <v>121</v>
      </c>
      <c r="C125" s="37" t="s">
        <v>7486</v>
      </c>
      <c r="D125" s="37" t="s">
        <v>7487</v>
      </c>
      <c r="E125" s="38" t="n">
        <v>165</v>
      </c>
      <c r="F125" s="38"/>
    </row>
    <row r="126" customFormat="false" ht="15" hidden="false" customHeight="false" outlineLevel="0" collapsed="false">
      <c r="B126" s="38" t="n">
        <v>122</v>
      </c>
      <c r="C126" s="37" t="s">
        <v>7488</v>
      </c>
      <c r="D126" s="37" t="s">
        <v>7489</v>
      </c>
      <c r="E126" s="38" t="n">
        <v>227</v>
      </c>
      <c r="F126" s="38"/>
    </row>
    <row r="127" customFormat="false" ht="15" hidden="false" customHeight="false" outlineLevel="0" collapsed="false">
      <c r="B127" s="38" t="n">
        <v>123</v>
      </c>
      <c r="C127" s="37" t="s">
        <v>7490</v>
      </c>
      <c r="D127" s="37" t="s">
        <v>7491</v>
      </c>
      <c r="E127" s="38" t="n">
        <v>173</v>
      </c>
      <c r="F127" s="38"/>
    </row>
    <row r="128" customFormat="false" ht="15" hidden="false" customHeight="false" outlineLevel="0" collapsed="false">
      <c r="B128" s="38" t="n">
        <v>124</v>
      </c>
      <c r="C128" s="37" t="s">
        <v>7492</v>
      </c>
      <c r="D128" s="37" t="s">
        <v>7493</v>
      </c>
      <c r="E128" s="38" t="n">
        <v>208</v>
      </c>
      <c r="F128" s="38"/>
    </row>
    <row r="129" customFormat="false" ht="15" hidden="false" customHeight="false" outlineLevel="0" collapsed="false">
      <c r="B129" s="38" t="n">
        <v>125</v>
      </c>
      <c r="C129" s="37" t="s">
        <v>7494</v>
      </c>
      <c r="D129" s="37" t="s">
        <v>7495</v>
      </c>
      <c r="E129" s="38" t="n">
        <v>201</v>
      </c>
      <c r="F129" s="38"/>
    </row>
    <row r="130" customFormat="false" ht="15" hidden="false" customHeight="false" outlineLevel="0" collapsed="false">
      <c r="B130" s="38" t="n">
        <v>126</v>
      </c>
      <c r="C130" s="37" t="s">
        <v>7496</v>
      </c>
      <c r="D130" s="37" t="s">
        <v>7497</v>
      </c>
      <c r="E130" s="38" t="n">
        <v>190</v>
      </c>
      <c r="F130" s="38"/>
    </row>
    <row r="131" customFormat="false" ht="15" hidden="false" customHeight="false" outlineLevel="0" collapsed="false">
      <c r="B131" s="38" t="n">
        <v>127</v>
      </c>
      <c r="C131" s="37" t="s">
        <v>7498</v>
      </c>
      <c r="D131" s="37" t="s">
        <v>7499</v>
      </c>
      <c r="E131" s="38" t="n">
        <v>221</v>
      </c>
      <c r="F131" s="38"/>
    </row>
    <row r="132" customFormat="false" ht="15" hidden="false" customHeight="false" outlineLevel="0" collapsed="false">
      <c r="B132" s="38" t="n">
        <v>128</v>
      </c>
      <c r="C132" s="37" t="s">
        <v>7500</v>
      </c>
      <c r="D132" s="37" t="s">
        <v>7501</v>
      </c>
      <c r="E132" s="38" t="n">
        <v>161</v>
      </c>
      <c r="F132" s="38"/>
    </row>
    <row r="133" customFormat="false" ht="15" hidden="false" customHeight="false" outlineLevel="0" collapsed="false">
      <c r="B133" s="38" t="n">
        <v>129</v>
      </c>
      <c r="C133" s="37" t="s">
        <v>7502</v>
      </c>
      <c r="D133" s="37" t="s">
        <v>7503</v>
      </c>
      <c r="E133" s="38" t="n">
        <v>182</v>
      </c>
      <c r="F133" s="38"/>
    </row>
    <row r="134" customFormat="false" ht="15" hidden="false" customHeight="false" outlineLevel="0" collapsed="false">
      <c r="B134" s="38" t="n">
        <v>130</v>
      </c>
      <c r="C134" s="37" t="s">
        <v>7504</v>
      </c>
      <c r="D134" s="37" t="s">
        <v>7505</v>
      </c>
      <c r="E134" s="38" t="n">
        <v>186</v>
      </c>
      <c r="F134" s="38"/>
    </row>
    <row r="135" customFormat="false" ht="15" hidden="false" customHeight="false" outlineLevel="0" collapsed="false">
      <c r="B135" s="38" t="n">
        <v>131</v>
      </c>
      <c r="C135" s="37" t="s">
        <v>7506</v>
      </c>
      <c r="D135" s="37" t="s">
        <v>7507</v>
      </c>
      <c r="E135" s="38" t="n">
        <v>173</v>
      </c>
      <c r="F135" s="38"/>
    </row>
    <row r="136" customFormat="false" ht="15" hidden="false" customHeight="false" outlineLevel="0" collapsed="false">
      <c r="B136" s="38" t="n">
        <v>132</v>
      </c>
      <c r="C136" s="37" t="s">
        <v>7508</v>
      </c>
      <c r="D136" s="37" t="s">
        <v>7509</v>
      </c>
      <c r="E136" s="38" t="n">
        <v>164</v>
      </c>
      <c r="F136" s="38"/>
    </row>
    <row r="137" customFormat="false" ht="15" hidden="false" customHeight="false" outlineLevel="0" collapsed="false">
      <c r="B137" s="38" t="n">
        <v>133</v>
      </c>
      <c r="C137" s="37" t="s">
        <v>7510</v>
      </c>
      <c r="D137" s="37" t="s">
        <v>7511</v>
      </c>
      <c r="E137" s="38" t="n">
        <v>167</v>
      </c>
      <c r="F137" s="38"/>
    </row>
    <row r="138" customFormat="false" ht="15" hidden="false" customHeight="false" outlineLevel="0" collapsed="false">
      <c r="B138" s="38" t="n">
        <v>134</v>
      </c>
      <c r="C138" s="37" t="s">
        <v>7512</v>
      </c>
      <c r="D138" s="37" t="s">
        <v>7513</v>
      </c>
      <c r="E138" s="38" t="n">
        <v>201</v>
      </c>
      <c r="F138" s="38"/>
    </row>
    <row r="139" customFormat="false" ht="15" hidden="false" customHeight="false" outlineLevel="0" collapsed="false">
      <c r="B139" s="38" t="n">
        <v>135</v>
      </c>
      <c r="C139" s="37" t="s">
        <v>7514</v>
      </c>
      <c r="D139" s="37" t="s">
        <v>7515</v>
      </c>
      <c r="E139" s="38" t="n">
        <v>170</v>
      </c>
      <c r="F139" s="38"/>
    </row>
    <row r="140" customFormat="false" ht="15" hidden="false" customHeight="false" outlineLevel="0" collapsed="false">
      <c r="B140" s="38" t="n">
        <v>136</v>
      </c>
      <c r="C140" s="37" t="s">
        <v>7200</v>
      </c>
      <c r="D140" s="37" t="s">
        <v>7516</v>
      </c>
      <c r="E140" s="38" t="n">
        <v>168</v>
      </c>
      <c r="F140" s="38"/>
    </row>
    <row r="141" customFormat="false" ht="15" hidden="false" customHeight="false" outlineLevel="0" collapsed="false">
      <c r="B141" s="38" t="n">
        <v>137</v>
      </c>
      <c r="C141" s="37" t="s">
        <v>7517</v>
      </c>
      <c r="D141" s="37" t="s">
        <v>7518</v>
      </c>
      <c r="E141" s="38" t="n">
        <v>192</v>
      </c>
      <c r="F141" s="38"/>
    </row>
    <row r="142" customFormat="false" ht="15" hidden="false" customHeight="false" outlineLevel="0" collapsed="false">
      <c r="B142" s="38" t="n">
        <v>138</v>
      </c>
      <c r="C142" s="37" t="s">
        <v>7519</v>
      </c>
      <c r="D142" s="37" t="s">
        <v>7416</v>
      </c>
      <c r="E142" s="38" t="n">
        <v>165</v>
      </c>
      <c r="F142" s="38"/>
    </row>
    <row r="143" customFormat="false" ht="15" hidden="false" customHeight="false" outlineLevel="0" collapsed="false">
      <c r="B143" s="38" t="n">
        <v>139</v>
      </c>
      <c r="C143" s="37" t="s">
        <v>7520</v>
      </c>
      <c r="D143" s="37" t="s">
        <v>7521</v>
      </c>
      <c r="E143" s="38" t="n">
        <v>165</v>
      </c>
      <c r="F143" s="38"/>
    </row>
    <row r="144" customFormat="false" ht="15" hidden="false" customHeight="false" outlineLevel="0" collapsed="false">
      <c r="B144" s="38" t="n">
        <v>140</v>
      </c>
      <c r="C144" s="37" t="s">
        <v>7522</v>
      </c>
      <c r="D144" s="37" t="s">
        <v>7523</v>
      </c>
      <c r="E144" s="38" t="n">
        <v>190</v>
      </c>
      <c r="F144" s="38"/>
    </row>
    <row r="145" customFormat="false" ht="15" hidden="false" customHeight="false" outlineLevel="0" collapsed="false">
      <c r="B145" s="38" t="n">
        <v>141</v>
      </c>
      <c r="C145" s="37" t="s">
        <v>7524</v>
      </c>
      <c r="D145" s="37" t="s">
        <v>7344</v>
      </c>
      <c r="E145" s="38" t="n">
        <v>176</v>
      </c>
      <c r="F145" s="38"/>
    </row>
    <row r="146" customFormat="false" ht="15" hidden="false" customHeight="false" outlineLevel="0" collapsed="false">
      <c r="B146" s="38" t="n">
        <v>142</v>
      </c>
      <c r="C146" s="37" t="s">
        <v>7525</v>
      </c>
      <c r="D146" s="37" t="s">
        <v>7526</v>
      </c>
      <c r="E146" s="38" t="n">
        <v>174</v>
      </c>
      <c r="F146" s="38"/>
    </row>
    <row r="147" customFormat="false" ht="15" hidden="false" customHeight="false" outlineLevel="0" collapsed="false">
      <c r="B147" s="38" t="n">
        <v>143</v>
      </c>
      <c r="C147" s="37" t="s">
        <v>7527</v>
      </c>
      <c r="D147" s="37" t="s">
        <v>7528</v>
      </c>
      <c r="E147" s="38" t="n">
        <v>194</v>
      </c>
      <c r="F147" s="38"/>
    </row>
    <row r="148" customFormat="false" ht="15" hidden="false" customHeight="false" outlineLevel="0" collapsed="false">
      <c r="B148" s="38" t="n">
        <v>144</v>
      </c>
      <c r="C148" s="37" t="s">
        <v>7529</v>
      </c>
      <c r="D148" s="37" t="s">
        <v>7530</v>
      </c>
      <c r="E148" s="38" t="n">
        <v>242</v>
      </c>
      <c r="F148" s="38"/>
    </row>
    <row r="149" customFormat="false" ht="15" hidden="false" customHeight="false" outlineLevel="0" collapsed="false">
      <c r="B149" s="38" t="n">
        <v>145</v>
      </c>
      <c r="C149" s="37" t="s">
        <v>7531</v>
      </c>
      <c r="D149" s="37" t="s">
        <v>7532</v>
      </c>
      <c r="E149" s="38" t="n">
        <v>166</v>
      </c>
      <c r="F149" s="38"/>
    </row>
    <row r="150" customFormat="false" ht="15" hidden="false" customHeight="false" outlineLevel="0" collapsed="false">
      <c r="B150" s="38" t="n">
        <v>146</v>
      </c>
      <c r="C150" s="37" t="s">
        <v>7199</v>
      </c>
      <c r="D150" s="37" t="s">
        <v>7533</v>
      </c>
      <c r="E150" s="38" t="n">
        <v>174</v>
      </c>
      <c r="F150" s="38"/>
    </row>
    <row r="151" customFormat="false" ht="15" hidden="false" customHeight="false" outlineLevel="0" collapsed="false">
      <c r="B151" s="38" t="n">
        <v>147</v>
      </c>
      <c r="C151" s="37" t="s">
        <v>7534</v>
      </c>
      <c r="D151" s="37" t="s">
        <v>7535</v>
      </c>
      <c r="E151" s="38" t="n">
        <v>205</v>
      </c>
      <c r="F151" s="38"/>
    </row>
    <row r="152" customFormat="false" ht="15" hidden="false" customHeight="false" outlineLevel="0" collapsed="false">
      <c r="B152" s="38" t="n">
        <v>148</v>
      </c>
      <c r="C152" s="37" t="s">
        <v>7536</v>
      </c>
      <c r="D152" s="37" t="s">
        <v>7537</v>
      </c>
      <c r="E152" s="38" t="n">
        <v>406</v>
      </c>
      <c r="F152" s="38"/>
    </row>
    <row r="153" customFormat="false" ht="15" hidden="false" customHeight="false" outlineLevel="0" collapsed="false">
      <c r="B153" s="38" t="n">
        <v>149</v>
      </c>
      <c r="C153" s="37" t="s">
        <v>7538</v>
      </c>
      <c r="D153" s="37" t="s">
        <v>7539</v>
      </c>
      <c r="E153" s="38" t="n">
        <v>175</v>
      </c>
      <c r="F153" s="38"/>
    </row>
    <row r="154" customFormat="false" ht="15" hidden="false" customHeight="false" outlineLevel="0" collapsed="false">
      <c r="B154" s="38" t="n">
        <v>150</v>
      </c>
      <c r="C154" s="37" t="s">
        <v>7540</v>
      </c>
      <c r="D154" s="37" t="s">
        <v>7541</v>
      </c>
      <c r="E154" s="38" t="n">
        <v>226</v>
      </c>
      <c r="F154" s="38"/>
    </row>
    <row r="155" customFormat="false" ht="15" hidden="false" customHeight="false" outlineLevel="0" collapsed="false">
      <c r="B155" s="38" t="n">
        <v>151</v>
      </c>
      <c r="C155" s="37" t="s">
        <v>7542</v>
      </c>
      <c r="D155" s="37" t="s">
        <v>7543</v>
      </c>
      <c r="E155" s="38" t="n">
        <v>188</v>
      </c>
      <c r="F155" s="38"/>
    </row>
    <row r="156" customFormat="false" ht="15" hidden="false" customHeight="false" outlineLevel="0" collapsed="false">
      <c r="B156" s="38" t="n">
        <v>152</v>
      </c>
      <c r="C156" s="37" t="s">
        <v>7544</v>
      </c>
      <c r="D156" s="37" t="s">
        <v>7274</v>
      </c>
      <c r="E156" s="38" t="n">
        <v>166</v>
      </c>
      <c r="F156" s="38"/>
    </row>
    <row r="157" customFormat="false" ht="15" hidden="false" customHeight="false" outlineLevel="0" collapsed="false">
      <c r="B157" s="38" t="n">
        <v>153</v>
      </c>
      <c r="C157" s="37" t="s">
        <v>7545</v>
      </c>
      <c r="D157" s="37" t="s">
        <v>7546</v>
      </c>
      <c r="E157" s="38" t="n">
        <v>253</v>
      </c>
      <c r="F157" s="38"/>
    </row>
    <row r="158" customFormat="false" ht="15" hidden="false" customHeight="false" outlineLevel="0" collapsed="false">
      <c r="B158" s="38" t="n">
        <v>154</v>
      </c>
      <c r="C158" s="37" t="s">
        <v>7547</v>
      </c>
      <c r="D158" s="37" t="s">
        <v>7548</v>
      </c>
      <c r="E158" s="38" t="n">
        <v>187</v>
      </c>
      <c r="F158" s="38"/>
    </row>
    <row r="159" customFormat="false" ht="15" hidden="false" customHeight="false" outlineLevel="0" collapsed="false">
      <c r="B159" s="38" t="n">
        <v>155</v>
      </c>
      <c r="C159" s="37" t="s">
        <v>7549</v>
      </c>
      <c r="D159" s="37" t="s">
        <v>7550</v>
      </c>
      <c r="E159" s="38" t="n">
        <v>165</v>
      </c>
      <c r="F159" s="38"/>
    </row>
    <row r="160" customFormat="false" ht="15" hidden="false" customHeight="false" outlineLevel="0" collapsed="false">
      <c r="B160" s="38" t="n">
        <v>156</v>
      </c>
      <c r="C160" s="37" t="s">
        <v>7551</v>
      </c>
      <c r="D160" s="37" t="s">
        <v>7552</v>
      </c>
      <c r="E160" s="38" t="n">
        <v>180</v>
      </c>
      <c r="F160" s="38"/>
    </row>
    <row r="161" customFormat="false" ht="15" hidden="false" customHeight="false" outlineLevel="0" collapsed="false">
      <c r="B161" s="38" t="n">
        <v>157</v>
      </c>
      <c r="C161" s="37" t="s">
        <v>7553</v>
      </c>
      <c r="D161" s="37" t="s">
        <v>7322</v>
      </c>
      <c r="E161" s="38" t="n">
        <v>173</v>
      </c>
      <c r="F161" s="38"/>
    </row>
    <row r="162" customFormat="false" ht="15" hidden="false" customHeight="false" outlineLevel="0" collapsed="false">
      <c r="B162" s="38" t="n">
        <v>158</v>
      </c>
      <c r="C162" s="37" t="s">
        <v>7554</v>
      </c>
      <c r="D162" s="37" t="s">
        <v>7555</v>
      </c>
      <c r="E162" s="38" t="n">
        <v>225</v>
      </c>
      <c r="F162" s="38"/>
    </row>
    <row r="163" customFormat="false" ht="15" hidden="false" customHeight="false" outlineLevel="0" collapsed="false">
      <c r="B163" s="38" t="n">
        <v>159</v>
      </c>
      <c r="C163" s="37" t="s">
        <v>7556</v>
      </c>
      <c r="D163" s="37" t="s">
        <v>7557</v>
      </c>
      <c r="E163" s="38" t="n">
        <v>174</v>
      </c>
      <c r="F163" s="38"/>
    </row>
    <row r="164" customFormat="false" ht="15" hidden="false" customHeight="false" outlineLevel="0" collapsed="false">
      <c r="B164" s="38" t="n">
        <v>160</v>
      </c>
      <c r="C164" s="37" t="s">
        <v>7558</v>
      </c>
      <c r="D164" s="37" t="s">
        <v>7559</v>
      </c>
      <c r="E164" s="38" t="n">
        <v>168</v>
      </c>
      <c r="F164" s="38"/>
    </row>
    <row r="165" customFormat="false" ht="15" hidden="false" customHeight="false" outlineLevel="0" collapsed="false">
      <c r="B165" s="38" t="n">
        <v>161</v>
      </c>
      <c r="C165" s="37" t="s">
        <v>7560</v>
      </c>
      <c r="D165" s="37" t="s">
        <v>7561</v>
      </c>
      <c r="E165" s="38" t="n">
        <v>209</v>
      </c>
      <c r="F165" s="38"/>
    </row>
    <row r="166" customFormat="false" ht="15" hidden="false" customHeight="false" outlineLevel="0" collapsed="false">
      <c r="B166" s="38" t="n">
        <v>162</v>
      </c>
      <c r="C166" s="37" t="s">
        <v>7562</v>
      </c>
      <c r="D166" s="37" t="s">
        <v>7563</v>
      </c>
      <c r="E166" s="38" t="n">
        <v>169</v>
      </c>
      <c r="F166" s="38"/>
    </row>
    <row r="167" customFormat="false" ht="15" hidden="false" customHeight="false" outlineLevel="0" collapsed="false">
      <c r="B167" s="38" t="n">
        <v>163</v>
      </c>
      <c r="C167" s="37" t="s">
        <v>7564</v>
      </c>
      <c r="D167" s="37" t="s">
        <v>7565</v>
      </c>
      <c r="E167" s="38" t="n">
        <v>174</v>
      </c>
      <c r="F167" s="38"/>
    </row>
    <row r="168" customFormat="false" ht="15" hidden="false" customHeight="false" outlineLevel="0" collapsed="false">
      <c r="B168" s="38" t="n">
        <v>164</v>
      </c>
      <c r="C168" s="37" t="s">
        <v>7566</v>
      </c>
      <c r="D168" s="37" t="s">
        <v>7567</v>
      </c>
      <c r="E168" s="38" t="n">
        <v>187</v>
      </c>
      <c r="F168" s="38"/>
    </row>
    <row r="169" customFormat="false" ht="15" hidden="false" customHeight="false" outlineLevel="0" collapsed="false">
      <c r="B169" s="38" t="n">
        <v>165</v>
      </c>
      <c r="C169" s="37" t="s">
        <v>7568</v>
      </c>
      <c r="D169" s="37" t="s">
        <v>7569</v>
      </c>
      <c r="E169" s="38" t="n">
        <v>222</v>
      </c>
      <c r="F169" s="38"/>
    </row>
    <row r="170" customFormat="false" ht="15" hidden="false" customHeight="false" outlineLevel="0" collapsed="false">
      <c r="B170" s="38" t="n">
        <v>166</v>
      </c>
      <c r="C170" s="37" t="s">
        <v>7570</v>
      </c>
      <c r="D170" s="37" t="s">
        <v>7571</v>
      </c>
      <c r="E170" s="38" t="n">
        <v>186</v>
      </c>
      <c r="F170" s="38"/>
    </row>
    <row r="171" customFormat="false" ht="15" hidden="false" customHeight="false" outlineLevel="0" collapsed="false">
      <c r="B171" s="38" t="n">
        <v>167</v>
      </c>
      <c r="C171" s="37" t="s">
        <v>7572</v>
      </c>
      <c r="D171" s="37" t="s">
        <v>7573</v>
      </c>
      <c r="E171" s="38" t="n">
        <v>165</v>
      </c>
      <c r="F171" s="38"/>
    </row>
    <row r="172" customFormat="false" ht="15" hidden="false" customHeight="false" outlineLevel="0" collapsed="false">
      <c r="B172" s="38" t="n">
        <v>168</v>
      </c>
      <c r="C172" s="37" t="s">
        <v>7574</v>
      </c>
      <c r="D172" s="37" t="s">
        <v>7575</v>
      </c>
      <c r="E172" s="38" t="n">
        <v>167</v>
      </c>
      <c r="F172" s="38"/>
    </row>
    <row r="173" customFormat="false" ht="15" hidden="false" customHeight="false" outlineLevel="0" collapsed="false">
      <c r="B173" s="38" t="n">
        <v>169</v>
      </c>
      <c r="C173" s="37" t="s">
        <v>7576</v>
      </c>
      <c r="D173" s="37" t="s">
        <v>7577</v>
      </c>
      <c r="E173" s="38" t="n">
        <v>227</v>
      </c>
      <c r="F173" s="38"/>
    </row>
    <row r="174" customFormat="false" ht="15" hidden="false" customHeight="false" outlineLevel="0" collapsed="false">
      <c r="B174" s="38" t="n">
        <v>170</v>
      </c>
      <c r="C174" s="37" t="s">
        <v>7578</v>
      </c>
      <c r="D174" s="37" t="s">
        <v>7579</v>
      </c>
      <c r="E174" s="38" t="n">
        <v>182</v>
      </c>
      <c r="F174" s="38"/>
    </row>
    <row r="175" customFormat="false" ht="15" hidden="false" customHeight="false" outlineLevel="0" collapsed="false">
      <c r="B175" s="38" t="n">
        <v>171</v>
      </c>
      <c r="C175" s="37" t="s">
        <v>7580</v>
      </c>
      <c r="D175" s="37" t="s">
        <v>7581</v>
      </c>
      <c r="E175" s="38" t="n">
        <v>199</v>
      </c>
      <c r="F175" s="38"/>
    </row>
    <row r="176" customFormat="false" ht="15" hidden="false" customHeight="false" outlineLevel="0" collapsed="false">
      <c r="B176" s="38" t="n">
        <v>172</v>
      </c>
      <c r="C176" s="37" t="s">
        <v>7582</v>
      </c>
      <c r="D176" s="37" t="s">
        <v>7583</v>
      </c>
      <c r="E176" s="38" t="n">
        <v>174</v>
      </c>
      <c r="F176" s="38"/>
    </row>
    <row r="177" customFormat="false" ht="15" hidden="false" customHeight="false" outlineLevel="0" collapsed="false">
      <c r="B177" s="38" t="n">
        <v>173</v>
      </c>
      <c r="C177" s="37" t="s">
        <v>7584</v>
      </c>
      <c r="D177" s="37" t="s">
        <v>7585</v>
      </c>
      <c r="E177" s="38" t="n">
        <v>219</v>
      </c>
      <c r="F177" s="38"/>
    </row>
    <row r="178" customFormat="false" ht="15" hidden="false" customHeight="false" outlineLevel="0" collapsed="false">
      <c r="B178" s="38" t="n">
        <v>174</v>
      </c>
      <c r="C178" s="37" t="s">
        <v>7586</v>
      </c>
      <c r="D178" s="37" t="s">
        <v>7587</v>
      </c>
      <c r="E178" s="38" t="n">
        <v>181</v>
      </c>
      <c r="F178" s="38"/>
    </row>
    <row r="179" customFormat="false" ht="15" hidden="false" customHeight="false" outlineLevel="0" collapsed="false">
      <c r="B179" s="38" t="n">
        <v>175</v>
      </c>
      <c r="C179" s="37" t="s">
        <v>7588</v>
      </c>
      <c r="D179" s="37" t="s">
        <v>7589</v>
      </c>
      <c r="E179" s="38" t="n">
        <v>168</v>
      </c>
      <c r="F179" s="38"/>
    </row>
    <row r="180" customFormat="false" ht="15" hidden="false" customHeight="false" outlineLevel="0" collapsed="false">
      <c r="B180" s="38" t="n">
        <v>176</v>
      </c>
      <c r="C180" s="37" t="s">
        <v>7590</v>
      </c>
      <c r="D180" s="37" t="s">
        <v>7591</v>
      </c>
      <c r="E180" s="38" t="n">
        <v>166</v>
      </c>
      <c r="F180" s="38"/>
    </row>
    <row r="181" customFormat="false" ht="15" hidden="false" customHeight="false" outlineLevel="0" collapsed="false">
      <c r="B181" s="38" t="n">
        <v>177</v>
      </c>
      <c r="C181" s="37" t="s">
        <v>7592</v>
      </c>
      <c r="D181" s="37" t="s">
        <v>7593</v>
      </c>
      <c r="E181" s="38" t="n">
        <v>205</v>
      </c>
      <c r="F181" s="38"/>
    </row>
    <row r="182" customFormat="false" ht="15" hidden="false" customHeight="false" outlineLevel="0" collapsed="false">
      <c r="B182" s="38" t="n">
        <v>178</v>
      </c>
      <c r="C182" s="37" t="s">
        <v>7594</v>
      </c>
      <c r="D182" s="37" t="s">
        <v>7595</v>
      </c>
      <c r="E182" s="38" t="n">
        <v>196</v>
      </c>
      <c r="F182" s="38"/>
    </row>
    <row r="183" customFormat="false" ht="15" hidden="false" customHeight="false" outlineLevel="0" collapsed="false">
      <c r="B183" s="38" t="n">
        <v>179</v>
      </c>
      <c r="C183" s="37" t="s">
        <v>7596</v>
      </c>
      <c r="D183" s="37" t="s">
        <v>7597</v>
      </c>
      <c r="E183" s="38" t="n">
        <v>201</v>
      </c>
      <c r="F183" s="38"/>
    </row>
    <row r="184" customFormat="false" ht="15" hidden="false" customHeight="false" outlineLevel="0" collapsed="false">
      <c r="B184" s="38" t="n">
        <v>180</v>
      </c>
      <c r="C184" s="37" t="s">
        <v>7598</v>
      </c>
      <c r="D184" s="37" t="s">
        <v>7599</v>
      </c>
      <c r="E184" s="38" t="n">
        <v>176</v>
      </c>
      <c r="F184" s="38"/>
    </row>
    <row r="185" customFormat="false" ht="15" hidden="false" customHeight="false" outlineLevel="0" collapsed="false">
      <c r="B185" s="38" t="n">
        <v>181</v>
      </c>
      <c r="C185" s="37" t="s">
        <v>7600</v>
      </c>
      <c r="D185" s="37" t="s">
        <v>7601</v>
      </c>
      <c r="E185" s="38" t="n">
        <v>214</v>
      </c>
      <c r="F185" s="38"/>
    </row>
    <row r="186" customFormat="false" ht="15" hidden="false" customHeight="false" outlineLevel="0" collapsed="false">
      <c r="B186" s="38" t="n">
        <v>182</v>
      </c>
      <c r="C186" s="37" t="s">
        <v>7602</v>
      </c>
      <c r="D186" s="37" t="s">
        <v>7603</v>
      </c>
      <c r="E186" s="38" t="n">
        <v>282</v>
      </c>
      <c r="F186" s="38"/>
    </row>
    <row r="187" customFormat="false" ht="15" hidden="false" customHeight="false" outlineLevel="0" collapsed="false">
      <c r="B187" s="38" t="n">
        <v>183</v>
      </c>
      <c r="C187" s="37" t="s">
        <v>7604</v>
      </c>
      <c r="D187" s="37" t="s">
        <v>7605</v>
      </c>
      <c r="E187" s="38" t="n">
        <v>185</v>
      </c>
      <c r="F187" s="38"/>
    </row>
    <row r="188" customFormat="false" ht="15" hidden="false" customHeight="false" outlineLevel="0" collapsed="false">
      <c r="B188" s="38" t="n">
        <v>184</v>
      </c>
      <c r="C188" s="37" t="s">
        <v>7606</v>
      </c>
      <c r="D188" s="37" t="s">
        <v>7607</v>
      </c>
      <c r="E188" s="38" t="n">
        <v>199</v>
      </c>
      <c r="F188" s="38"/>
    </row>
    <row r="189" customFormat="false" ht="15" hidden="false" customHeight="false" outlineLevel="0" collapsed="false">
      <c r="B189" s="38" t="n">
        <v>185</v>
      </c>
      <c r="C189" s="37" t="s">
        <v>7608</v>
      </c>
      <c r="D189" s="37" t="s">
        <v>7334</v>
      </c>
      <c r="E189" s="38" t="n">
        <v>178</v>
      </c>
      <c r="F189" s="38"/>
    </row>
    <row r="190" customFormat="false" ht="15" hidden="false" customHeight="false" outlineLevel="0" collapsed="false">
      <c r="B190" s="38" t="n">
        <v>186</v>
      </c>
      <c r="C190" s="37" t="s">
        <v>7609</v>
      </c>
      <c r="D190" s="37" t="s">
        <v>7610</v>
      </c>
      <c r="E190" s="38" t="n">
        <v>199</v>
      </c>
      <c r="F190" s="38"/>
    </row>
    <row r="191" customFormat="false" ht="15" hidden="false" customHeight="false" outlineLevel="0" collapsed="false">
      <c r="B191" s="38" t="n">
        <v>187</v>
      </c>
      <c r="C191" s="37" t="s">
        <v>7611</v>
      </c>
      <c r="D191" s="37" t="s">
        <v>7612</v>
      </c>
      <c r="E191" s="38" t="n">
        <v>180</v>
      </c>
      <c r="F191" s="38"/>
    </row>
    <row r="192" customFormat="false" ht="15" hidden="false" customHeight="false" outlineLevel="0" collapsed="false">
      <c r="B192" s="38" t="n">
        <v>188</v>
      </c>
      <c r="C192" s="37" t="s">
        <v>7613</v>
      </c>
      <c r="D192" s="37" t="s">
        <v>7614</v>
      </c>
      <c r="E192" s="38" t="n">
        <v>228</v>
      </c>
      <c r="F192" s="38"/>
    </row>
    <row r="193" customFormat="false" ht="15" hidden="false" customHeight="false" outlineLevel="0" collapsed="false">
      <c r="B193" s="38" t="n">
        <v>189</v>
      </c>
      <c r="C193" s="37" t="s">
        <v>7615</v>
      </c>
      <c r="D193" s="37" t="s">
        <v>7616</v>
      </c>
      <c r="E193" s="38" t="n">
        <v>194</v>
      </c>
      <c r="F193" s="38"/>
    </row>
    <row r="194" customFormat="false" ht="15" hidden="false" customHeight="false" outlineLevel="0" collapsed="false">
      <c r="B194" s="38" t="n">
        <v>190</v>
      </c>
      <c r="C194" s="37" t="s">
        <v>7617</v>
      </c>
      <c r="D194" s="37" t="s">
        <v>7618</v>
      </c>
      <c r="E194" s="38" t="n">
        <v>412</v>
      </c>
      <c r="F194" s="38"/>
    </row>
    <row r="195" customFormat="false" ht="15" hidden="false" customHeight="false" outlineLevel="0" collapsed="false">
      <c r="B195" s="38" t="n">
        <v>191</v>
      </c>
      <c r="C195" s="37" t="s">
        <v>7619</v>
      </c>
      <c r="D195" s="37" t="s">
        <v>7620</v>
      </c>
      <c r="E195" s="38" t="n">
        <v>168</v>
      </c>
      <c r="F195" s="38"/>
    </row>
    <row r="196" customFormat="false" ht="15" hidden="false" customHeight="false" outlineLevel="0" collapsed="false">
      <c r="B196" s="38" t="n">
        <v>192</v>
      </c>
      <c r="C196" s="37" t="s">
        <v>7621</v>
      </c>
      <c r="D196" s="37" t="s">
        <v>7622</v>
      </c>
      <c r="E196" s="38" t="n">
        <v>183</v>
      </c>
      <c r="F196" s="38"/>
    </row>
    <row r="197" customFormat="false" ht="15" hidden="false" customHeight="false" outlineLevel="0" collapsed="false">
      <c r="B197" s="38" t="n">
        <v>193</v>
      </c>
      <c r="C197" s="37" t="s">
        <v>7623</v>
      </c>
      <c r="D197" s="37" t="s">
        <v>7624</v>
      </c>
      <c r="E197" s="38" t="n">
        <v>214</v>
      </c>
      <c r="F197" s="38"/>
    </row>
    <row r="198" customFormat="false" ht="15" hidden="false" customHeight="false" outlineLevel="0" collapsed="false">
      <c r="B198" s="38" t="n">
        <v>194</v>
      </c>
      <c r="C198" s="37" t="s">
        <v>7625</v>
      </c>
      <c r="D198" s="37" t="s">
        <v>7626</v>
      </c>
      <c r="E198" s="38" t="n">
        <v>181</v>
      </c>
      <c r="F198" s="38"/>
    </row>
    <row r="199" customFormat="false" ht="15" hidden="false" customHeight="false" outlineLevel="0" collapsed="false">
      <c r="B199" s="38" t="n">
        <v>195</v>
      </c>
      <c r="C199" s="37" t="s">
        <v>7627</v>
      </c>
      <c r="D199" s="37" t="s">
        <v>7628</v>
      </c>
      <c r="E199" s="38" t="n">
        <v>345</v>
      </c>
      <c r="F199" s="38"/>
    </row>
    <row r="200" customFormat="false" ht="15" hidden="false" customHeight="false" outlineLevel="0" collapsed="false">
      <c r="B200" s="38" t="n">
        <v>196</v>
      </c>
      <c r="C200" s="37" t="s">
        <v>7629</v>
      </c>
      <c r="D200" s="37" t="s">
        <v>7630</v>
      </c>
      <c r="E200" s="38" t="n">
        <v>179</v>
      </c>
      <c r="F200" s="38"/>
    </row>
    <row r="201" customFormat="false" ht="15" hidden="false" customHeight="false" outlineLevel="0" collapsed="false">
      <c r="B201" s="38" t="n">
        <v>197</v>
      </c>
      <c r="C201" s="37" t="s">
        <v>7631</v>
      </c>
      <c r="D201" s="37" t="s">
        <v>7632</v>
      </c>
      <c r="E201" s="38" t="n">
        <v>169</v>
      </c>
      <c r="F201" s="38"/>
    </row>
    <row r="202" customFormat="false" ht="15" hidden="false" customHeight="false" outlineLevel="0" collapsed="false">
      <c r="B202" s="38" t="n">
        <v>198</v>
      </c>
      <c r="C202" s="37" t="s">
        <v>7633</v>
      </c>
      <c r="D202" s="37" t="s">
        <v>7442</v>
      </c>
      <c r="E202" s="38" t="n">
        <v>177</v>
      </c>
      <c r="F202" s="38"/>
    </row>
    <row r="203" customFormat="false" ht="15" hidden="false" customHeight="false" outlineLevel="0" collapsed="false">
      <c r="B203" s="38" t="n">
        <v>199</v>
      </c>
      <c r="C203" s="37" t="s">
        <v>7634</v>
      </c>
      <c r="D203" s="37" t="s">
        <v>7635</v>
      </c>
      <c r="E203" s="38" t="n">
        <v>177</v>
      </c>
      <c r="F203" s="38"/>
    </row>
    <row r="204" customFormat="false" ht="15" hidden="false" customHeight="false" outlineLevel="0" collapsed="false">
      <c r="B204" s="38" t="n">
        <v>200</v>
      </c>
      <c r="C204" s="37" t="s">
        <v>7209</v>
      </c>
      <c r="D204" s="37" t="s">
        <v>7636</v>
      </c>
      <c r="E204" s="38" t="n">
        <v>173</v>
      </c>
      <c r="F204" s="38"/>
    </row>
    <row r="205" customFormat="false" ht="15" hidden="false" customHeight="false" outlineLevel="0" collapsed="false">
      <c r="B205" s="38" t="n">
        <v>201</v>
      </c>
      <c r="C205" s="37" t="s">
        <v>7637</v>
      </c>
      <c r="D205" s="37" t="s">
        <v>7638</v>
      </c>
      <c r="E205" s="38" t="n">
        <v>183</v>
      </c>
      <c r="F205" s="38"/>
    </row>
    <row r="206" customFormat="false" ht="15" hidden="false" customHeight="false" outlineLevel="0" collapsed="false">
      <c r="B206" s="38" t="n">
        <v>202</v>
      </c>
      <c r="C206" s="37" t="s">
        <v>7639</v>
      </c>
      <c r="D206" s="37" t="s">
        <v>7640</v>
      </c>
      <c r="E206" s="38" t="n">
        <v>227</v>
      </c>
      <c r="F206" s="38"/>
    </row>
    <row r="207" customFormat="false" ht="15" hidden="false" customHeight="false" outlineLevel="0" collapsed="false">
      <c r="B207" s="38" t="n">
        <v>203</v>
      </c>
      <c r="C207" s="37" t="s">
        <v>7641</v>
      </c>
      <c r="D207" s="37" t="s">
        <v>7642</v>
      </c>
      <c r="E207" s="38" t="n">
        <v>196</v>
      </c>
      <c r="F207" s="38"/>
    </row>
    <row r="208" customFormat="false" ht="15" hidden="false" customHeight="false" outlineLevel="0" collapsed="false">
      <c r="B208" s="38" t="n">
        <v>204</v>
      </c>
      <c r="C208" s="37" t="s">
        <v>7643</v>
      </c>
      <c r="D208" s="37" t="s">
        <v>7644</v>
      </c>
      <c r="E208" s="38" t="n">
        <v>193</v>
      </c>
      <c r="F208" s="38"/>
    </row>
    <row r="209" customFormat="false" ht="15" hidden="false" customHeight="false" outlineLevel="0" collapsed="false">
      <c r="B209" s="38" t="n">
        <v>205</v>
      </c>
      <c r="C209" s="37" t="s">
        <v>7211</v>
      </c>
      <c r="D209" s="37" t="s">
        <v>7645</v>
      </c>
      <c r="E209" s="38" t="n">
        <v>177</v>
      </c>
      <c r="F209" s="38"/>
    </row>
    <row r="210" customFormat="false" ht="15" hidden="false" customHeight="false" outlineLevel="0" collapsed="false">
      <c r="B210" s="38" t="n">
        <v>206</v>
      </c>
      <c r="C210" s="37" t="s">
        <v>7646</v>
      </c>
      <c r="D210" s="37" t="s">
        <v>7647</v>
      </c>
      <c r="E210" s="38" t="n">
        <v>171</v>
      </c>
      <c r="F210" s="38"/>
    </row>
    <row r="211" customFormat="false" ht="15" hidden="false" customHeight="false" outlineLevel="0" collapsed="false">
      <c r="B211" s="38" t="n">
        <v>207</v>
      </c>
      <c r="C211" s="37" t="s">
        <v>7648</v>
      </c>
      <c r="D211" s="37" t="s">
        <v>7649</v>
      </c>
      <c r="E211" s="38" t="n">
        <v>166</v>
      </c>
      <c r="F211" s="38"/>
    </row>
    <row r="212" customFormat="false" ht="15" hidden="false" customHeight="false" outlineLevel="0" collapsed="false">
      <c r="B212" s="38" t="n">
        <v>208</v>
      </c>
      <c r="C212" s="37" t="s">
        <v>7650</v>
      </c>
      <c r="D212" s="37" t="s">
        <v>7651</v>
      </c>
      <c r="E212" s="38" t="n">
        <v>163</v>
      </c>
      <c r="F212" s="38"/>
    </row>
    <row r="213" customFormat="false" ht="15" hidden="false" customHeight="false" outlineLevel="0" collapsed="false">
      <c r="B213" s="38" t="n">
        <v>209</v>
      </c>
      <c r="C213" s="37" t="s">
        <v>7652</v>
      </c>
      <c r="D213" s="37" t="s">
        <v>7653</v>
      </c>
      <c r="E213" s="38" t="n">
        <v>234</v>
      </c>
      <c r="F213" s="38"/>
    </row>
    <row r="214" customFormat="false" ht="15" hidden="false" customHeight="false" outlineLevel="0" collapsed="false">
      <c r="B214" s="38" t="n">
        <v>210</v>
      </c>
      <c r="C214" s="37" t="s">
        <v>7654</v>
      </c>
      <c r="D214" s="37" t="s">
        <v>7445</v>
      </c>
      <c r="E214" s="38" t="n">
        <v>218</v>
      </c>
      <c r="F214" s="38"/>
    </row>
    <row r="215" customFormat="false" ht="15" hidden="false" customHeight="false" outlineLevel="0" collapsed="false">
      <c r="B215" s="38" t="n">
        <v>211</v>
      </c>
      <c r="C215" s="37" t="s">
        <v>7655</v>
      </c>
      <c r="D215" s="37" t="s">
        <v>7656</v>
      </c>
      <c r="E215" s="38" t="n">
        <v>205</v>
      </c>
      <c r="F215" s="38"/>
    </row>
    <row r="216" customFormat="false" ht="15" hidden="false" customHeight="false" outlineLevel="0" collapsed="false">
      <c r="B216" s="38" t="n">
        <v>212</v>
      </c>
      <c r="C216" s="37" t="s">
        <v>7657</v>
      </c>
      <c r="D216" s="37" t="s">
        <v>7658</v>
      </c>
      <c r="E216" s="38" t="n">
        <v>179</v>
      </c>
      <c r="F216" s="38"/>
    </row>
    <row r="217" customFormat="false" ht="15" hidden="false" customHeight="false" outlineLevel="0" collapsed="false">
      <c r="B217" s="38" t="n">
        <v>213</v>
      </c>
      <c r="C217" s="37" t="s">
        <v>7659</v>
      </c>
      <c r="D217" s="37" t="s">
        <v>7660</v>
      </c>
      <c r="E217" s="38" t="n">
        <v>195</v>
      </c>
      <c r="F217" s="38"/>
    </row>
    <row r="218" customFormat="false" ht="15" hidden="false" customHeight="false" outlineLevel="0" collapsed="false">
      <c r="B218" s="38" t="n">
        <v>214</v>
      </c>
      <c r="C218" s="37" t="s">
        <v>6880</v>
      </c>
      <c r="D218" s="37" t="s">
        <v>7378</v>
      </c>
      <c r="E218" s="38" t="n">
        <v>178</v>
      </c>
      <c r="F218" s="38"/>
    </row>
    <row r="219" customFormat="false" ht="15" hidden="false" customHeight="false" outlineLevel="0" collapsed="false">
      <c r="B219" s="38" t="n">
        <v>215</v>
      </c>
      <c r="C219" s="37" t="s">
        <v>7661</v>
      </c>
      <c r="D219" s="37" t="s">
        <v>7662</v>
      </c>
      <c r="E219" s="38" t="n">
        <v>204</v>
      </c>
      <c r="F219" s="38"/>
    </row>
    <row r="220" customFormat="false" ht="15" hidden="false" customHeight="false" outlineLevel="0" collapsed="false">
      <c r="B220" s="38" t="n">
        <v>216</v>
      </c>
      <c r="C220" s="37" t="s">
        <v>7663</v>
      </c>
      <c r="D220" s="37" t="s">
        <v>7664</v>
      </c>
      <c r="E220" s="38" t="n">
        <v>179</v>
      </c>
      <c r="F220" s="38"/>
    </row>
    <row r="221" customFormat="false" ht="15" hidden="false" customHeight="false" outlineLevel="0" collapsed="false">
      <c r="B221" s="38" t="n">
        <v>217</v>
      </c>
      <c r="C221" s="37" t="s">
        <v>7665</v>
      </c>
      <c r="D221" s="37" t="s">
        <v>7666</v>
      </c>
      <c r="E221" s="38" t="n">
        <v>203</v>
      </c>
      <c r="F221" s="38"/>
    </row>
    <row r="222" customFormat="false" ht="15" hidden="false" customHeight="false" outlineLevel="0" collapsed="false">
      <c r="B222" s="38" t="n">
        <v>218</v>
      </c>
      <c r="C222" s="37" t="s">
        <v>7667</v>
      </c>
      <c r="D222" s="37" t="s">
        <v>7668</v>
      </c>
      <c r="E222" s="38" t="n">
        <v>161</v>
      </c>
      <c r="F222" s="38"/>
    </row>
    <row r="223" customFormat="false" ht="15" hidden="false" customHeight="false" outlineLevel="0" collapsed="false">
      <c r="B223" s="38" t="n">
        <v>219</v>
      </c>
      <c r="C223" s="37" t="s">
        <v>7669</v>
      </c>
      <c r="D223" s="37" t="s">
        <v>7670</v>
      </c>
      <c r="E223" s="38" t="n">
        <v>164</v>
      </c>
      <c r="F223" s="38"/>
    </row>
    <row r="224" customFormat="false" ht="15" hidden="false" customHeight="false" outlineLevel="0" collapsed="false">
      <c r="B224" s="38" t="n">
        <v>220</v>
      </c>
      <c r="C224" s="37" t="s">
        <v>7671</v>
      </c>
      <c r="D224" s="37" t="s">
        <v>7672</v>
      </c>
      <c r="E224" s="38" t="n">
        <v>189</v>
      </c>
      <c r="F224" s="38"/>
    </row>
    <row r="225" customFormat="false" ht="15" hidden="false" customHeight="false" outlineLevel="0" collapsed="false">
      <c r="B225" s="38" t="n">
        <v>221</v>
      </c>
      <c r="C225" s="37" t="s">
        <v>7673</v>
      </c>
      <c r="D225" s="37" t="s">
        <v>7276</v>
      </c>
      <c r="E225" s="38" t="n">
        <v>163</v>
      </c>
      <c r="F225" s="38"/>
    </row>
    <row r="226" customFormat="false" ht="15" hidden="false" customHeight="false" outlineLevel="0" collapsed="false">
      <c r="B226" s="38" t="n">
        <v>222</v>
      </c>
      <c r="C226" s="37" t="s">
        <v>7674</v>
      </c>
      <c r="D226" s="37" t="s">
        <v>7675</v>
      </c>
      <c r="E226" s="38" t="n">
        <v>206</v>
      </c>
      <c r="F226" s="38"/>
    </row>
    <row r="227" customFormat="false" ht="15" hidden="false" customHeight="false" outlineLevel="0" collapsed="false">
      <c r="B227" s="38" t="n">
        <v>223</v>
      </c>
      <c r="C227" s="37" t="s">
        <v>7676</v>
      </c>
      <c r="D227" s="37" t="s">
        <v>7279</v>
      </c>
      <c r="E227" s="38" t="n">
        <v>175</v>
      </c>
      <c r="F227" s="38"/>
    </row>
    <row r="228" customFormat="false" ht="15" hidden="false" customHeight="false" outlineLevel="0" collapsed="false">
      <c r="B228" s="38" t="n">
        <v>224</v>
      </c>
      <c r="C228" s="37" t="s">
        <v>7677</v>
      </c>
      <c r="D228" s="37" t="s">
        <v>7678</v>
      </c>
      <c r="E228" s="38" t="n">
        <v>181</v>
      </c>
      <c r="F228" s="38"/>
    </row>
    <row r="229" customFormat="false" ht="15" hidden="false" customHeight="false" outlineLevel="0" collapsed="false">
      <c r="B229" s="38" t="n">
        <v>225</v>
      </c>
      <c r="C229" s="37" t="s">
        <v>7679</v>
      </c>
      <c r="D229" s="37" t="s">
        <v>7680</v>
      </c>
      <c r="E229" s="38" t="n">
        <v>198</v>
      </c>
      <c r="F229" s="38"/>
    </row>
    <row r="230" customFormat="false" ht="15" hidden="false" customHeight="false" outlineLevel="0" collapsed="false">
      <c r="B230" s="38" t="n">
        <v>226</v>
      </c>
      <c r="C230" s="37" t="s">
        <v>7681</v>
      </c>
      <c r="D230" s="37" t="s">
        <v>7682</v>
      </c>
      <c r="E230" s="38" t="n">
        <v>184</v>
      </c>
      <c r="F230" s="38"/>
    </row>
    <row r="231" customFormat="false" ht="15" hidden="false" customHeight="false" outlineLevel="0" collapsed="false">
      <c r="B231" s="38" t="n">
        <v>227</v>
      </c>
      <c r="C231" s="37" t="s">
        <v>7683</v>
      </c>
      <c r="D231" s="37" t="s">
        <v>7684</v>
      </c>
      <c r="E231" s="38" t="n">
        <v>177</v>
      </c>
      <c r="F231" s="38"/>
    </row>
    <row r="232" customFormat="false" ht="15" hidden="false" customHeight="false" outlineLevel="0" collapsed="false">
      <c r="B232" s="38" t="n">
        <v>228</v>
      </c>
      <c r="C232" s="37" t="s">
        <v>7685</v>
      </c>
      <c r="D232" s="37" t="s">
        <v>7686</v>
      </c>
      <c r="E232" s="38" t="n">
        <v>222</v>
      </c>
      <c r="F232" s="38"/>
    </row>
    <row r="233" customFormat="false" ht="15" hidden="false" customHeight="false" outlineLevel="0" collapsed="false">
      <c r="B233" s="38" t="n">
        <v>229</v>
      </c>
      <c r="C233" s="37" t="s">
        <v>7687</v>
      </c>
      <c r="D233" s="37" t="s">
        <v>7688</v>
      </c>
      <c r="E233" s="38" t="n">
        <v>206</v>
      </c>
      <c r="F233" s="38"/>
    </row>
    <row r="234" customFormat="false" ht="15" hidden="false" customHeight="false" outlineLevel="0" collapsed="false">
      <c r="B234" s="38" t="n">
        <v>230</v>
      </c>
      <c r="C234" s="37" t="s">
        <v>7689</v>
      </c>
      <c r="D234" s="37" t="s">
        <v>7690</v>
      </c>
      <c r="E234" s="38" t="n">
        <v>191</v>
      </c>
      <c r="F234" s="38"/>
    </row>
    <row r="235" customFormat="false" ht="15" hidden="false" customHeight="false" outlineLevel="0" collapsed="false">
      <c r="B235" s="38" t="n">
        <v>231</v>
      </c>
      <c r="C235" s="37" t="s">
        <v>7691</v>
      </c>
      <c r="D235" s="37" t="s">
        <v>7692</v>
      </c>
      <c r="E235" s="38" t="n">
        <v>167</v>
      </c>
      <c r="F235" s="38"/>
    </row>
    <row r="236" customFormat="false" ht="15" hidden="false" customHeight="false" outlineLevel="0" collapsed="false">
      <c r="B236" s="38" t="n">
        <v>232</v>
      </c>
      <c r="C236" s="37" t="s">
        <v>7693</v>
      </c>
      <c r="D236" s="37" t="s">
        <v>7694</v>
      </c>
      <c r="E236" s="38" t="n">
        <v>169</v>
      </c>
      <c r="F236" s="38"/>
    </row>
    <row r="237" customFormat="false" ht="15" hidden="false" customHeight="false" outlineLevel="0" collapsed="false">
      <c r="B237" s="38" t="n">
        <v>233</v>
      </c>
      <c r="C237" s="37" t="s">
        <v>7695</v>
      </c>
      <c r="D237" s="37" t="s">
        <v>7696</v>
      </c>
      <c r="E237" s="38" t="n">
        <v>173</v>
      </c>
      <c r="F237" s="38"/>
    </row>
    <row r="238" customFormat="false" ht="15" hidden="false" customHeight="false" outlineLevel="0" collapsed="false">
      <c r="B238" s="38" t="n">
        <v>234</v>
      </c>
      <c r="C238" s="37" t="s">
        <v>7697</v>
      </c>
      <c r="D238" s="37" t="s">
        <v>7698</v>
      </c>
      <c r="E238" s="38" t="n">
        <v>256</v>
      </c>
      <c r="F238" s="38"/>
    </row>
    <row r="239" customFormat="false" ht="15" hidden="false" customHeight="false" outlineLevel="0" collapsed="false">
      <c r="B239" s="38" t="n">
        <v>235</v>
      </c>
      <c r="C239" s="37" t="s">
        <v>7699</v>
      </c>
      <c r="D239" s="37" t="s">
        <v>7700</v>
      </c>
      <c r="E239" s="38" t="n">
        <v>200</v>
      </c>
      <c r="F239" s="38"/>
    </row>
    <row r="240" customFormat="false" ht="15" hidden="false" customHeight="false" outlineLevel="0" collapsed="false">
      <c r="B240" s="38" t="n">
        <v>236</v>
      </c>
      <c r="C240" s="37" t="s">
        <v>7701</v>
      </c>
      <c r="D240" s="37" t="s">
        <v>7702</v>
      </c>
      <c r="E240" s="38" t="n">
        <v>187</v>
      </c>
      <c r="F240" s="38"/>
    </row>
    <row r="241" customFormat="false" ht="15" hidden="false" customHeight="false" outlineLevel="0" collapsed="false">
      <c r="B241" s="38" t="n">
        <v>237</v>
      </c>
      <c r="C241" s="37" t="s">
        <v>7162</v>
      </c>
      <c r="D241" s="37" t="s">
        <v>7436</v>
      </c>
      <c r="E241" s="38" t="n">
        <v>171</v>
      </c>
      <c r="F241" s="38"/>
    </row>
    <row r="242" customFormat="false" ht="15" hidden="false" customHeight="false" outlineLevel="0" collapsed="false">
      <c r="B242" s="38" t="n">
        <v>238</v>
      </c>
      <c r="C242" s="37" t="s">
        <v>7703</v>
      </c>
      <c r="D242" s="37" t="s">
        <v>7704</v>
      </c>
      <c r="E242" s="38" t="n">
        <v>298</v>
      </c>
      <c r="F242" s="38"/>
    </row>
    <row r="243" customFormat="false" ht="15" hidden="false" customHeight="false" outlineLevel="0" collapsed="false">
      <c r="B243" s="38" t="n">
        <v>239</v>
      </c>
      <c r="C243" s="37" t="s">
        <v>7705</v>
      </c>
      <c r="D243" s="37" t="s">
        <v>7706</v>
      </c>
      <c r="E243" s="38" t="n">
        <v>205</v>
      </c>
      <c r="F243" s="38"/>
    </row>
    <row r="244" customFormat="false" ht="15" hidden="false" customHeight="false" outlineLevel="0" collapsed="false">
      <c r="B244" s="38" t="n">
        <v>240</v>
      </c>
      <c r="C244" s="37" t="s">
        <v>7707</v>
      </c>
      <c r="D244" s="37" t="s">
        <v>7275</v>
      </c>
      <c r="E244" s="38" t="n">
        <v>166</v>
      </c>
      <c r="F244" s="38"/>
    </row>
    <row r="245" customFormat="false" ht="15" hidden="false" customHeight="false" outlineLevel="0" collapsed="false">
      <c r="B245" s="38" t="n">
        <v>241</v>
      </c>
      <c r="C245" s="37" t="s">
        <v>7708</v>
      </c>
      <c r="D245" s="37" t="s">
        <v>7709</v>
      </c>
      <c r="E245" s="38" t="n">
        <v>203</v>
      </c>
      <c r="F245" s="38"/>
    </row>
    <row r="246" customFormat="false" ht="15" hidden="false" customHeight="false" outlineLevel="0" collapsed="false">
      <c r="B246" s="38" t="n">
        <v>242</v>
      </c>
      <c r="C246" s="37" t="s">
        <v>6958</v>
      </c>
      <c r="D246" s="37" t="s">
        <v>7710</v>
      </c>
      <c r="E246" s="38" t="n">
        <v>193</v>
      </c>
      <c r="F246" s="38"/>
    </row>
    <row r="247" customFormat="false" ht="15" hidden="false" customHeight="false" outlineLevel="0" collapsed="false">
      <c r="B247" s="38" t="n">
        <v>243</v>
      </c>
      <c r="C247" s="37" t="s">
        <v>7711</v>
      </c>
      <c r="D247" s="37" t="s">
        <v>7712</v>
      </c>
      <c r="E247" s="38" t="n">
        <v>165</v>
      </c>
      <c r="F247" s="38"/>
    </row>
    <row r="248" customFormat="false" ht="15" hidden="false" customHeight="false" outlineLevel="0" collapsed="false">
      <c r="B248" s="38" t="n">
        <v>244</v>
      </c>
      <c r="C248" s="37" t="s">
        <v>6966</v>
      </c>
      <c r="D248" s="37" t="s">
        <v>7712</v>
      </c>
      <c r="E248" s="38" t="n">
        <v>165</v>
      </c>
      <c r="F248" s="38"/>
    </row>
    <row r="249" customFormat="false" ht="15" hidden="false" customHeight="false" outlineLevel="0" collapsed="false">
      <c r="B249" s="38" t="n">
        <v>245</v>
      </c>
      <c r="C249" s="37" t="s">
        <v>7121</v>
      </c>
      <c r="D249" s="37" t="s">
        <v>7713</v>
      </c>
      <c r="E249" s="38" t="n">
        <v>167</v>
      </c>
      <c r="F249" s="38"/>
    </row>
    <row r="250" customFormat="false" ht="15" hidden="false" customHeight="false" outlineLevel="0" collapsed="false">
      <c r="B250" s="38" t="n">
        <v>246</v>
      </c>
      <c r="C250" s="37" t="s">
        <v>7714</v>
      </c>
      <c r="D250" s="37" t="s">
        <v>7715</v>
      </c>
      <c r="E250" s="38" t="n">
        <v>168</v>
      </c>
      <c r="F250" s="38"/>
    </row>
    <row r="251" customFormat="false" ht="15" hidden="false" customHeight="false" outlineLevel="0" collapsed="false">
      <c r="B251" s="38" t="n">
        <v>247</v>
      </c>
      <c r="C251" s="37" t="s">
        <v>7716</v>
      </c>
      <c r="D251" s="37" t="s">
        <v>7322</v>
      </c>
      <c r="E251" s="38" t="n">
        <v>173</v>
      </c>
      <c r="F251" s="38"/>
    </row>
    <row r="252" customFormat="false" ht="15" hidden="false" customHeight="false" outlineLevel="0" collapsed="false">
      <c r="B252" s="38" t="n">
        <v>248</v>
      </c>
      <c r="C252" s="37" t="s">
        <v>7717</v>
      </c>
      <c r="D252" s="37" t="s">
        <v>7718</v>
      </c>
      <c r="E252" s="38" t="n">
        <v>213</v>
      </c>
      <c r="F252" s="38"/>
    </row>
    <row r="253" customFormat="false" ht="15" hidden="false" customHeight="false" outlineLevel="0" collapsed="false">
      <c r="B253" s="38" t="n">
        <v>249</v>
      </c>
      <c r="C253" s="37" t="s">
        <v>7719</v>
      </c>
      <c r="D253" s="37" t="s">
        <v>7281</v>
      </c>
      <c r="E253" s="38" t="n">
        <v>172</v>
      </c>
      <c r="F253" s="38"/>
    </row>
    <row r="254" customFormat="false" ht="15" hidden="false" customHeight="false" outlineLevel="0" collapsed="false">
      <c r="B254" s="38" t="n">
        <v>250</v>
      </c>
      <c r="C254" s="37" t="s">
        <v>7720</v>
      </c>
      <c r="D254" s="37" t="s">
        <v>7721</v>
      </c>
      <c r="E254" s="38" t="n">
        <v>165</v>
      </c>
      <c r="F254" s="38"/>
    </row>
    <row r="255" customFormat="false" ht="15" hidden="false" customHeight="false" outlineLevel="0" collapsed="false">
      <c r="B255" s="38" t="n">
        <v>251</v>
      </c>
      <c r="C255" s="37" t="s">
        <v>7722</v>
      </c>
      <c r="D255" s="37" t="s">
        <v>7723</v>
      </c>
      <c r="E255" s="38" t="n">
        <v>190</v>
      </c>
      <c r="F255" s="38"/>
    </row>
    <row r="256" customFormat="false" ht="15" hidden="false" customHeight="false" outlineLevel="0" collapsed="false">
      <c r="B256" s="38" t="n">
        <v>252</v>
      </c>
      <c r="C256" s="37" t="s">
        <v>7724</v>
      </c>
      <c r="D256" s="37" t="s">
        <v>7725</v>
      </c>
      <c r="E256" s="38" t="n">
        <v>210</v>
      </c>
      <c r="F256" s="38"/>
    </row>
    <row r="257" customFormat="false" ht="15" hidden="false" customHeight="false" outlineLevel="0" collapsed="false">
      <c r="B257" s="38" t="n">
        <v>253</v>
      </c>
      <c r="C257" s="37" t="s">
        <v>7726</v>
      </c>
      <c r="D257" s="37" t="s">
        <v>7727</v>
      </c>
      <c r="E257" s="38" t="n">
        <v>188</v>
      </c>
      <c r="F257" s="38"/>
    </row>
    <row r="258" customFormat="false" ht="15" hidden="false" customHeight="false" outlineLevel="0" collapsed="false">
      <c r="B258" s="38" t="n">
        <v>254</v>
      </c>
      <c r="C258" s="37" t="s">
        <v>7728</v>
      </c>
      <c r="D258" s="37" t="s">
        <v>7713</v>
      </c>
      <c r="E258" s="38" t="n">
        <v>167</v>
      </c>
      <c r="F258" s="38"/>
    </row>
    <row r="259" customFormat="false" ht="15" hidden="false" customHeight="false" outlineLevel="0" collapsed="false">
      <c r="B259" s="38" t="n">
        <v>255</v>
      </c>
      <c r="C259" s="37" t="s">
        <v>7729</v>
      </c>
      <c r="D259" s="37" t="s">
        <v>7416</v>
      </c>
      <c r="E259" s="38" t="n">
        <v>165</v>
      </c>
      <c r="F259" s="38"/>
    </row>
    <row r="260" customFormat="false" ht="15" hidden="false" customHeight="false" outlineLevel="0" collapsed="false">
      <c r="B260" s="38" t="n">
        <v>256</v>
      </c>
      <c r="C260" s="37" t="s">
        <v>7730</v>
      </c>
      <c r="D260" s="37" t="s">
        <v>7731</v>
      </c>
      <c r="E260" s="38" t="n">
        <v>174</v>
      </c>
      <c r="F260" s="38"/>
    </row>
    <row r="261" customFormat="false" ht="15" hidden="false" customHeight="false" outlineLevel="0" collapsed="false">
      <c r="B261" s="38" t="n">
        <v>257</v>
      </c>
      <c r="C261" s="37" t="s">
        <v>7732</v>
      </c>
      <c r="D261" s="37" t="s">
        <v>7282</v>
      </c>
      <c r="E261" s="38" t="n">
        <v>171</v>
      </c>
      <c r="F261" s="38"/>
    </row>
    <row r="262" customFormat="false" ht="15" hidden="false" customHeight="false" outlineLevel="0" collapsed="false">
      <c r="B262" s="38" t="n">
        <v>258</v>
      </c>
      <c r="C262" s="37" t="s">
        <v>7733</v>
      </c>
      <c r="D262" s="37" t="s">
        <v>7734</v>
      </c>
      <c r="E262" s="38" t="n">
        <v>173</v>
      </c>
      <c r="F262" s="38"/>
    </row>
    <row r="263" customFormat="false" ht="15" hidden="false" customHeight="false" outlineLevel="0" collapsed="false">
      <c r="B263" s="38" t="n">
        <v>259</v>
      </c>
      <c r="C263" s="37" t="s">
        <v>7735</v>
      </c>
      <c r="D263" s="37" t="s">
        <v>7736</v>
      </c>
      <c r="E263" s="38" t="n">
        <v>166</v>
      </c>
      <c r="F263" s="38"/>
    </row>
    <row r="264" customFormat="false" ht="15" hidden="false" customHeight="false" outlineLevel="0" collapsed="false">
      <c r="B264" s="38" t="n">
        <v>260</v>
      </c>
      <c r="C264" s="37" t="s">
        <v>6978</v>
      </c>
      <c r="D264" s="37" t="s">
        <v>7737</v>
      </c>
      <c r="E264" s="38" t="n">
        <v>178</v>
      </c>
      <c r="F264" s="38"/>
    </row>
    <row r="265" customFormat="false" ht="15" hidden="false" customHeight="false" outlineLevel="0" collapsed="false">
      <c r="B265" s="38" t="n">
        <v>261</v>
      </c>
      <c r="C265" s="37" t="s">
        <v>7738</v>
      </c>
      <c r="D265" s="37" t="s">
        <v>7739</v>
      </c>
      <c r="E265" s="38" t="n">
        <v>184</v>
      </c>
      <c r="F265" s="38"/>
    </row>
    <row r="266" customFormat="false" ht="15" hidden="false" customHeight="false" outlineLevel="0" collapsed="false">
      <c r="B266" s="38" t="n">
        <v>262</v>
      </c>
      <c r="C266" s="37" t="s">
        <v>7740</v>
      </c>
      <c r="D266" s="37" t="s">
        <v>7741</v>
      </c>
      <c r="E266" s="38" t="n">
        <v>169</v>
      </c>
      <c r="F266" s="38"/>
    </row>
    <row r="267" customFormat="false" ht="15" hidden="false" customHeight="false" outlineLevel="0" collapsed="false">
      <c r="B267" s="38" t="n">
        <v>263</v>
      </c>
      <c r="C267" s="37" t="s">
        <v>6928</v>
      </c>
      <c r="D267" s="37" t="s">
        <v>7742</v>
      </c>
      <c r="E267" s="38" t="n">
        <v>320</v>
      </c>
      <c r="F267" s="38"/>
    </row>
    <row r="268" customFormat="false" ht="15" hidden="false" customHeight="false" outlineLevel="0" collapsed="false">
      <c r="B268" s="38" t="n">
        <v>264</v>
      </c>
      <c r="C268" s="37" t="s">
        <v>7743</v>
      </c>
      <c r="D268" s="37" t="s">
        <v>7744</v>
      </c>
      <c r="E268" s="38" t="n">
        <v>176</v>
      </c>
      <c r="F268" s="38"/>
    </row>
    <row r="269" customFormat="false" ht="15" hidden="false" customHeight="false" outlineLevel="0" collapsed="false">
      <c r="B269" s="38" t="n">
        <v>265</v>
      </c>
      <c r="C269" s="37" t="s">
        <v>7745</v>
      </c>
      <c r="D269" s="37" t="s">
        <v>7746</v>
      </c>
      <c r="E269" s="38" t="n">
        <v>189</v>
      </c>
      <c r="F269" s="38"/>
    </row>
    <row r="270" customFormat="false" ht="15" hidden="false" customHeight="false" outlineLevel="0" collapsed="false">
      <c r="B270" s="38" t="n">
        <v>266</v>
      </c>
      <c r="C270" s="37" t="s">
        <v>7747</v>
      </c>
      <c r="D270" s="37" t="s">
        <v>7748</v>
      </c>
      <c r="E270" s="38" t="n">
        <v>194</v>
      </c>
      <c r="F270" s="38"/>
    </row>
    <row r="271" customFormat="false" ht="15" hidden="false" customHeight="false" outlineLevel="0" collapsed="false">
      <c r="B271" s="38" t="n">
        <v>267</v>
      </c>
      <c r="C271" s="37" t="s">
        <v>6896</v>
      </c>
      <c r="D271" s="37" t="s">
        <v>7739</v>
      </c>
      <c r="E271" s="38" t="n">
        <v>184</v>
      </c>
      <c r="F271" s="38"/>
    </row>
    <row r="272" customFormat="false" ht="15" hidden="false" customHeight="false" outlineLevel="0" collapsed="false">
      <c r="B272" s="38" t="n">
        <v>268</v>
      </c>
      <c r="C272" s="37" t="s">
        <v>7749</v>
      </c>
      <c r="D272" s="37" t="s">
        <v>7750</v>
      </c>
      <c r="E272" s="38" t="n">
        <v>189</v>
      </c>
      <c r="F272" s="38"/>
    </row>
    <row r="273" customFormat="false" ht="15" hidden="false" customHeight="false" outlineLevel="0" collapsed="false">
      <c r="B273" s="38" t="n">
        <v>269</v>
      </c>
      <c r="C273" s="37" t="s">
        <v>7751</v>
      </c>
      <c r="D273" s="37" t="s">
        <v>7752</v>
      </c>
      <c r="E273" s="38" t="n">
        <v>172</v>
      </c>
      <c r="F273" s="38"/>
    </row>
    <row r="274" customFormat="false" ht="15" hidden="false" customHeight="false" outlineLevel="0" collapsed="false">
      <c r="B274" s="38" t="n">
        <v>270</v>
      </c>
      <c r="C274" s="37" t="s">
        <v>7753</v>
      </c>
      <c r="D274" s="37" t="s">
        <v>7334</v>
      </c>
      <c r="E274" s="38" t="n">
        <v>178</v>
      </c>
      <c r="F274" s="38"/>
    </row>
    <row r="275" customFormat="false" ht="15" hidden="false" customHeight="false" outlineLevel="0" collapsed="false">
      <c r="B275" s="38" t="n">
        <v>271</v>
      </c>
      <c r="C275" s="37" t="s">
        <v>7754</v>
      </c>
      <c r="D275" s="37" t="s">
        <v>7755</v>
      </c>
      <c r="E275" s="38" t="n">
        <v>170</v>
      </c>
      <c r="F275" s="38"/>
    </row>
    <row r="276" customFormat="false" ht="15" hidden="false" customHeight="false" outlineLevel="0" collapsed="false">
      <c r="B276" s="38" t="n">
        <v>272</v>
      </c>
      <c r="C276" s="37" t="s">
        <v>7071</v>
      </c>
      <c r="D276" s="37" t="s">
        <v>7756</v>
      </c>
      <c r="E276" s="38" t="n">
        <v>163</v>
      </c>
      <c r="F276" s="38"/>
    </row>
    <row r="277" customFormat="false" ht="15" hidden="false" customHeight="false" outlineLevel="0" collapsed="false">
      <c r="B277" s="38" t="n">
        <v>273</v>
      </c>
      <c r="C277" s="37" t="s">
        <v>7757</v>
      </c>
      <c r="D277" s="37" t="s">
        <v>7758</v>
      </c>
      <c r="E277" s="38" t="n">
        <v>179</v>
      </c>
      <c r="F277" s="38"/>
    </row>
    <row r="278" customFormat="false" ht="15" hidden="false" customHeight="false" outlineLevel="0" collapsed="false">
      <c r="B278" s="38" t="n">
        <v>274</v>
      </c>
      <c r="C278" s="37" t="s">
        <v>7106</v>
      </c>
      <c r="D278" s="37" t="s">
        <v>7759</v>
      </c>
      <c r="E278" s="38" t="n">
        <v>320</v>
      </c>
      <c r="F278" s="38"/>
    </row>
    <row r="279" customFormat="false" ht="15" hidden="false" customHeight="false" outlineLevel="0" collapsed="false">
      <c r="B279" s="38" t="n">
        <v>275</v>
      </c>
      <c r="C279" s="37" t="s">
        <v>7760</v>
      </c>
      <c r="D279" s="37" t="s">
        <v>7761</v>
      </c>
      <c r="E279" s="38" t="n">
        <v>165</v>
      </c>
      <c r="F279" s="38"/>
    </row>
    <row r="280" customFormat="false" ht="15" hidden="false" customHeight="false" outlineLevel="0" collapsed="false">
      <c r="B280" s="38" t="n">
        <v>276</v>
      </c>
      <c r="C280" s="37" t="s">
        <v>7762</v>
      </c>
      <c r="D280" s="37" t="s">
        <v>7763</v>
      </c>
      <c r="E280" s="38" t="n">
        <v>184</v>
      </c>
      <c r="F280" s="38"/>
    </row>
    <row r="281" customFormat="false" ht="15" hidden="false" customHeight="false" outlineLevel="0" collapsed="false">
      <c r="B281" s="38" t="n">
        <v>277</v>
      </c>
      <c r="C281" s="37" t="s">
        <v>7764</v>
      </c>
      <c r="D281" s="37" t="s">
        <v>7765</v>
      </c>
      <c r="E281" s="38" t="n">
        <v>164</v>
      </c>
      <c r="F281" s="38"/>
    </row>
    <row r="282" customFormat="false" ht="15" hidden="false" customHeight="false" outlineLevel="0" collapsed="false">
      <c r="B282" s="38" t="n">
        <v>278</v>
      </c>
      <c r="C282" s="37" t="s">
        <v>7766</v>
      </c>
      <c r="D282" s="37" t="s">
        <v>7767</v>
      </c>
      <c r="E282" s="38" t="n">
        <v>195</v>
      </c>
      <c r="F282" s="38"/>
    </row>
    <row r="283" customFormat="false" ht="15" hidden="false" customHeight="false" outlineLevel="0" collapsed="false">
      <c r="B283" s="38" t="n">
        <v>279</v>
      </c>
      <c r="C283" s="37" t="s">
        <v>7768</v>
      </c>
      <c r="D283" s="37" t="s">
        <v>7769</v>
      </c>
      <c r="E283" s="38" t="n">
        <v>166</v>
      </c>
      <c r="F283" s="38"/>
    </row>
    <row r="284" customFormat="false" ht="15" hidden="false" customHeight="false" outlineLevel="0" collapsed="false">
      <c r="B284" s="38" t="n">
        <v>280</v>
      </c>
      <c r="C284" s="37" t="s">
        <v>7770</v>
      </c>
      <c r="D284" s="37" t="s">
        <v>7771</v>
      </c>
      <c r="E284" s="38" t="n">
        <v>193</v>
      </c>
      <c r="F284" s="38"/>
    </row>
    <row r="285" customFormat="false" ht="15" hidden="false" customHeight="false" outlineLevel="0" collapsed="false">
      <c r="B285" s="38" t="n">
        <v>281</v>
      </c>
      <c r="C285" s="37" t="s">
        <v>7772</v>
      </c>
      <c r="D285" s="37" t="s">
        <v>7773</v>
      </c>
      <c r="E285" s="38" t="n">
        <v>169</v>
      </c>
      <c r="F285" s="38"/>
    </row>
    <row r="286" customFormat="false" ht="15" hidden="false" customHeight="false" outlineLevel="0" collapsed="false">
      <c r="B286" s="38" t="n">
        <v>282</v>
      </c>
      <c r="C286" s="37" t="s">
        <v>7774</v>
      </c>
      <c r="D286" s="37" t="s">
        <v>7322</v>
      </c>
      <c r="E286" s="38" t="n">
        <v>173</v>
      </c>
      <c r="F286" s="38"/>
    </row>
    <row r="287" customFormat="false" ht="15" hidden="false" customHeight="false" outlineLevel="0" collapsed="false">
      <c r="B287" s="38" t="n">
        <v>283</v>
      </c>
      <c r="C287" s="37" t="s">
        <v>6888</v>
      </c>
      <c r="D287" s="37" t="s">
        <v>7775</v>
      </c>
      <c r="E287" s="38" t="n">
        <v>178</v>
      </c>
      <c r="F287" s="38"/>
    </row>
    <row r="288" customFormat="false" ht="15" hidden="false" customHeight="false" outlineLevel="0" collapsed="false">
      <c r="B288" s="38" t="n">
        <v>284</v>
      </c>
      <c r="C288" s="37" t="s">
        <v>6956</v>
      </c>
      <c r="D288" s="37" t="s">
        <v>7763</v>
      </c>
      <c r="E288" s="38" t="n">
        <v>184</v>
      </c>
      <c r="F288" s="38"/>
    </row>
    <row r="289" customFormat="false" ht="15" hidden="false" customHeight="false" outlineLevel="0" collapsed="false">
      <c r="B289" s="38" t="n">
        <v>285</v>
      </c>
      <c r="C289" s="37" t="s">
        <v>7776</v>
      </c>
      <c r="D289" s="37" t="s">
        <v>7436</v>
      </c>
      <c r="E289" s="38" t="n">
        <v>171</v>
      </c>
      <c r="F289" s="38"/>
    </row>
    <row r="290" customFormat="false" ht="15" hidden="false" customHeight="false" outlineLevel="0" collapsed="false">
      <c r="B290" s="38" t="n">
        <v>286</v>
      </c>
      <c r="C290" s="37" t="s">
        <v>7152</v>
      </c>
      <c r="D290" s="37" t="s">
        <v>7777</v>
      </c>
      <c r="E290" s="38" t="n">
        <v>178</v>
      </c>
      <c r="F290" s="38"/>
    </row>
    <row r="291" customFormat="false" ht="15" hidden="false" customHeight="false" outlineLevel="0" collapsed="false">
      <c r="B291" s="38" t="n">
        <v>287</v>
      </c>
      <c r="C291" s="37" t="s">
        <v>7778</v>
      </c>
      <c r="D291" s="37" t="s">
        <v>7779</v>
      </c>
      <c r="E291" s="38" t="n">
        <v>161</v>
      </c>
      <c r="F291" s="38"/>
    </row>
    <row r="292" customFormat="false" ht="15" hidden="false" customHeight="false" outlineLevel="0" collapsed="false">
      <c r="B292" s="38" t="n">
        <v>288</v>
      </c>
      <c r="C292" s="37" t="s">
        <v>7159</v>
      </c>
      <c r="D292" s="37" t="s">
        <v>7780</v>
      </c>
      <c r="E292" s="38" t="n">
        <v>161</v>
      </c>
      <c r="F292" s="38"/>
    </row>
    <row r="293" customFormat="false" ht="15" hidden="false" customHeight="false" outlineLevel="0" collapsed="false">
      <c r="B293" s="38" t="n">
        <v>289</v>
      </c>
      <c r="C293" s="37" t="s">
        <v>7135</v>
      </c>
      <c r="D293" s="37" t="s">
        <v>7765</v>
      </c>
      <c r="E293" s="38" t="n">
        <v>164</v>
      </c>
      <c r="F293" s="38"/>
    </row>
    <row r="294" customFormat="false" ht="15" hidden="false" customHeight="false" outlineLevel="0" collapsed="false">
      <c r="B294" s="38" t="n">
        <v>290</v>
      </c>
      <c r="C294" s="37" t="s">
        <v>7781</v>
      </c>
      <c r="D294" s="37" t="s">
        <v>7782</v>
      </c>
      <c r="E294" s="38" t="n">
        <v>191</v>
      </c>
      <c r="F294" s="38"/>
    </row>
    <row r="295" customFormat="false" ht="15" hidden="false" customHeight="false" outlineLevel="0" collapsed="false">
      <c r="B295" s="38" t="n">
        <v>291</v>
      </c>
      <c r="C295" s="37" t="s">
        <v>7783</v>
      </c>
      <c r="D295" s="37" t="s">
        <v>7784</v>
      </c>
      <c r="E295" s="38" t="n">
        <v>188</v>
      </c>
      <c r="F295" s="38"/>
    </row>
    <row r="296" customFormat="false" ht="15" hidden="false" customHeight="false" outlineLevel="0" collapsed="false">
      <c r="B296" s="38" t="n">
        <v>292</v>
      </c>
      <c r="C296" s="37" t="s">
        <v>7785</v>
      </c>
      <c r="D296" s="37" t="s">
        <v>7334</v>
      </c>
      <c r="E296" s="38" t="n">
        <v>178</v>
      </c>
      <c r="F296" s="38"/>
    </row>
    <row r="297" customFormat="false" ht="15" hidden="false" customHeight="false" outlineLevel="0" collapsed="false">
      <c r="B297" s="38" t="n">
        <v>293</v>
      </c>
      <c r="C297" s="37" t="s">
        <v>7786</v>
      </c>
      <c r="D297" s="37" t="s">
        <v>7787</v>
      </c>
      <c r="E297" s="38" t="n">
        <v>178</v>
      </c>
      <c r="F297" s="38"/>
    </row>
    <row r="298" customFormat="false" ht="15" hidden="false" customHeight="false" outlineLevel="0" collapsed="false">
      <c r="B298" s="38" t="n">
        <v>294</v>
      </c>
      <c r="C298" s="37" t="s">
        <v>7788</v>
      </c>
      <c r="D298" s="37" t="s">
        <v>7416</v>
      </c>
      <c r="E298" s="38" t="n">
        <v>165</v>
      </c>
      <c r="F298" s="38"/>
    </row>
    <row r="299" customFormat="false" ht="15" hidden="false" customHeight="false" outlineLevel="0" collapsed="false">
      <c r="B299" s="38" t="n">
        <v>295</v>
      </c>
      <c r="C299" s="37" t="s">
        <v>7026</v>
      </c>
      <c r="D299" s="37" t="s">
        <v>7789</v>
      </c>
      <c r="E299" s="38" t="n">
        <v>189</v>
      </c>
      <c r="F299" s="38"/>
    </row>
    <row r="300" customFormat="false" ht="15" hidden="false" customHeight="false" outlineLevel="0" collapsed="false">
      <c r="B300" s="38" t="n">
        <v>296</v>
      </c>
      <c r="C300" s="37" t="s">
        <v>7790</v>
      </c>
      <c r="D300" s="37" t="s">
        <v>7791</v>
      </c>
      <c r="E300" s="38" t="n">
        <v>161</v>
      </c>
      <c r="F300" s="38"/>
    </row>
    <row r="301" customFormat="false" ht="15" hidden="false" customHeight="false" outlineLevel="0" collapsed="false">
      <c r="B301" s="38" t="n">
        <v>297</v>
      </c>
      <c r="C301" s="37" t="s">
        <v>7792</v>
      </c>
      <c r="D301" s="37" t="s">
        <v>7793</v>
      </c>
      <c r="E301" s="38" t="n">
        <v>175</v>
      </c>
      <c r="F301" s="38"/>
    </row>
    <row r="302" customFormat="false" ht="15" hidden="false" customHeight="false" outlineLevel="0" collapsed="false">
      <c r="B302" s="38" t="n">
        <v>298</v>
      </c>
      <c r="C302" s="37" t="s">
        <v>7140</v>
      </c>
      <c r="D302" s="37" t="s">
        <v>7794</v>
      </c>
      <c r="E302" s="38" t="n">
        <v>171</v>
      </c>
      <c r="F302" s="38"/>
    </row>
    <row r="303" customFormat="false" ht="15" hidden="false" customHeight="false" outlineLevel="0" collapsed="false">
      <c r="B303" s="38" t="n">
        <v>299</v>
      </c>
      <c r="C303" s="37" t="s">
        <v>7795</v>
      </c>
      <c r="D303" s="37" t="s">
        <v>7361</v>
      </c>
      <c r="E303" s="38" t="n">
        <v>189</v>
      </c>
      <c r="F303" s="38"/>
    </row>
    <row r="304" customFormat="false" ht="15" hidden="false" customHeight="false" outlineLevel="0" collapsed="false">
      <c r="B304" s="38" t="n">
        <v>300</v>
      </c>
      <c r="C304" s="37" t="s">
        <v>7796</v>
      </c>
      <c r="D304" s="37" t="s">
        <v>7734</v>
      </c>
      <c r="E304" s="38" t="n">
        <v>173</v>
      </c>
      <c r="F304" s="38"/>
    </row>
    <row r="305" customFormat="false" ht="15" hidden="false" customHeight="false" outlineLevel="0" collapsed="false">
      <c r="B305" s="38" t="n">
        <v>301</v>
      </c>
      <c r="C305" s="37" t="s">
        <v>7797</v>
      </c>
      <c r="D305" s="37" t="s">
        <v>7798</v>
      </c>
      <c r="E305" s="38" t="n">
        <v>172</v>
      </c>
      <c r="F305" s="38"/>
    </row>
    <row r="306" customFormat="false" ht="15" hidden="false" customHeight="false" outlineLevel="0" collapsed="false">
      <c r="B306" s="38" t="n">
        <v>302</v>
      </c>
      <c r="C306" s="37" t="s">
        <v>7799</v>
      </c>
      <c r="D306" s="37" t="s">
        <v>7800</v>
      </c>
      <c r="E306" s="38" t="n">
        <v>175</v>
      </c>
      <c r="F306" s="38"/>
    </row>
    <row r="307" customFormat="false" ht="15" hidden="false" customHeight="false" outlineLevel="0" collapsed="false">
      <c r="B307" s="38" t="n">
        <v>303</v>
      </c>
      <c r="C307" s="37" t="s">
        <v>7801</v>
      </c>
      <c r="D307" s="37" t="s">
        <v>7777</v>
      </c>
      <c r="E307" s="38" t="n">
        <v>178</v>
      </c>
      <c r="F307" s="38"/>
    </row>
    <row r="308" customFormat="false" ht="15" hidden="false" customHeight="false" outlineLevel="0" collapsed="false">
      <c r="B308" s="38" t="n">
        <v>304</v>
      </c>
      <c r="C308" s="37" t="s">
        <v>7802</v>
      </c>
      <c r="D308" s="37" t="s">
        <v>7803</v>
      </c>
      <c r="E308" s="38" t="n">
        <v>320</v>
      </c>
      <c r="F308" s="38"/>
    </row>
    <row r="309" customFormat="false" ht="15" hidden="false" customHeight="false" outlineLevel="0" collapsed="false">
      <c r="B309" s="38" t="n">
        <v>305</v>
      </c>
      <c r="C309" s="37" t="s">
        <v>7804</v>
      </c>
      <c r="D309" s="37" t="s">
        <v>7805</v>
      </c>
      <c r="E309" s="38" t="n">
        <v>169</v>
      </c>
      <c r="F309" s="38"/>
    </row>
    <row r="310" customFormat="false" ht="15" hidden="false" customHeight="false" outlineLevel="0" collapsed="false">
      <c r="B310" s="38" t="n">
        <v>306</v>
      </c>
      <c r="C310" s="37" t="s">
        <v>7806</v>
      </c>
      <c r="D310" s="37" t="s">
        <v>7807</v>
      </c>
      <c r="E310" s="38" t="n">
        <v>198</v>
      </c>
      <c r="F310" s="38"/>
    </row>
    <row r="311" customFormat="false" ht="15" hidden="false" customHeight="false" outlineLevel="0" collapsed="false">
      <c r="B311" s="38" t="n">
        <v>307</v>
      </c>
      <c r="C311" s="37" t="s">
        <v>7808</v>
      </c>
      <c r="D311" s="37" t="s">
        <v>7809</v>
      </c>
      <c r="E311" s="38" t="n">
        <v>171</v>
      </c>
      <c r="F311" s="38"/>
    </row>
    <row r="312" customFormat="false" ht="15" hidden="false" customHeight="false" outlineLevel="0" collapsed="false">
      <c r="B312" s="38" t="n">
        <v>308</v>
      </c>
      <c r="C312" s="37" t="s">
        <v>7810</v>
      </c>
      <c r="D312" s="37" t="s">
        <v>7811</v>
      </c>
      <c r="E312" s="38" t="n">
        <v>166</v>
      </c>
      <c r="F312" s="38"/>
    </row>
    <row r="313" customFormat="false" ht="15" hidden="false" customHeight="false" outlineLevel="0" collapsed="false">
      <c r="B313" s="38" t="n">
        <v>309</v>
      </c>
      <c r="C313" s="37" t="s">
        <v>7812</v>
      </c>
      <c r="D313" s="37" t="s">
        <v>7813</v>
      </c>
      <c r="E313" s="38" t="n">
        <v>319</v>
      </c>
      <c r="F313" s="38"/>
    </row>
    <row r="314" customFormat="false" ht="15" hidden="false" customHeight="false" outlineLevel="0" collapsed="false">
      <c r="B314" s="38" t="n">
        <v>310</v>
      </c>
      <c r="C314" s="37" t="s">
        <v>7814</v>
      </c>
      <c r="D314" s="37" t="s">
        <v>7737</v>
      </c>
      <c r="E314" s="38" t="n">
        <v>178</v>
      </c>
      <c r="F314" s="38"/>
    </row>
    <row r="315" customFormat="false" ht="15" hidden="false" customHeight="false" outlineLevel="0" collapsed="false">
      <c r="B315" s="38" t="n">
        <v>311</v>
      </c>
      <c r="C315" s="37" t="s">
        <v>7815</v>
      </c>
      <c r="D315" s="37" t="s">
        <v>7816</v>
      </c>
      <c r="E315" s="38" t="n">
        <v>201</v>
      </c>
      <c r="F315" s="38"/>
    </row>
    <row r="316" customFormat="false" ht="15" hidden="false" customHeight="false" outlineLevel="0" collapsed="false">
      <c r="B316" s="38" t="n">
        <v>312</v>
      </c>
      <c r="C316" s="37" t="s">
        <v>7817</v>
      </c>
      <c r="D316" s="37" t="s">
        <v>7710</v>
      </c>
      <c r="E316" s="38" t="n">
        <v>193</v>
      </c>
      <c r="F316" s="38"/>
    </row>
    <row r="317" customFormat="false" ht="15" hidden="false" customHeight="false" outlineLevel="0" collapsed="false">
      <c r="B317" s="38" t="n">
        <v>313</v>
      </c>
      <c r="C317" s="37" t="s">
        <v>7818</v>
      </c>
      <c r="D317" s="37" t="s">
        <v>7777</v>
      </c>
      <c r="E317" s="38" t="n">
        <v>178</v>
      </c>
      <c r="F317" s="38"/>
    </row>
    <row r="318" customFormat="false" ht="15" hidden="false" customHeight="false" outlineLevel="0" collapsed="false">
      <c r="B318" s="38" t="n">
        <v>314</v>
      </c>
      <c r="C318" s="37" t="s">
        <v>7819</v>
      </c>
      <c r="D318" s="37" t="s">
        <v>7378</v>
      </c>
      <c r="E318" s="38" t="n">
        <v>178</v>
      </c>
      <c r="F318" s="38"/>
    </row>
    <row r="319" customFormat="false" ht="15" hidden="false" customHeight="false" outlineLevel="0" collapsed="false">
      <c r="B319" s="38" t="n">
        <v>315</v>
      </c>
      <c r="C319" s="37" t="s">
        <v>7039</v>
      </c>
      <c r="D319" s="37" t="s">
        <v>7813</v>
      </c>
      <c r="E319" s="38" t="n">
        <v>319</v>
      </c>
      <c r="F319" s="38"/>
    </row>
    <row r="320" customFormat="false" ht="15" hidden="false" customHeight="false" outlineLevel="0" collapsed="false">
      <c r="B320" s="38" t="n">
        <v>316</v>
      </c>
      <c r="C320" s="37" t="s">
        <v>7820</v>
      </c>
      <c r="D320" s="37" t="s">
        <v>7763</v>
      </c>
      <c r="E320" s="38" t="n">
        <v>184</v>
      </c>
      <c r="F320" s="38"/>
    </row>
    <row r="321" customFormat="false" ht="15" hidden="false" customHeight="false" outlineLevel="0" collapsed="false">
      <c r="B321" s="38" t="n">
        <v>317</v>
      </c>
      <c r="C321" s="37" t="s">
        <v>7821</v>
      </c>
      <c r="D321" s="37" t="s">
        <v>7822</v>
      </c>
      <c r="E321" s="38" t="n">
        <v>166</v>
      </c>
      <c r="F321" s="38"/>
    </row>
    <row r="322" customFormat="false" ht="15" hidden="false" customHeight="false" outlineLevel="0" collapsed="false">
      <c r="B322" s="38" t="n">
        <v>318</v>
      </c>
      <c r="C322" s="37" t="s">
        <v>7823</v>
      </c>
      <c r="D322" s="37" t="s">
        <v>7361</v>
      </c>
      <c r="E322" s="38" t="n">
        <v>189</v>
      </c>
      <c r="F322" s="38"/>
    </row>
    <row r="323" customFormat="false" ht="15" hidden="false" customHeight="false" outlineLevel="0" collapsed="false">
      <c r="B323" s="38" t="n">
        <v>319</v>
      </c>
      <c r="C323" s="37" t="s">
        <v>7004</v>
      </c>
      <c r="D323" s="37" t="s">
        <v>7824</v>
      </c>
      <c r="E323" s="38" t="n">
        <v>169</v>
      </c>
      <c r="F323" s="38"/>
    </row>
    <row r="324" customFormat="false" ht="15" hidden="false" customHeight="false" outlineLevel="0" collapsed="false">
      <c r="B324" s="38" t="n">
        <v>320</v>
      </c>
      <c r="C324" s="37" t="s">
        <v>7825</v>
      </c>
      <c r="D324" s="37" t="s">
        <v>7826</v>
      </c>
      <c r="E324" s="38" t="n">
        <v>172</v>
      </c>
      <c r="F324" s="38"/>
    </row>
    <row r="325" customFormat="false" ht="15" hidden="false" customHeight="false" outlineLevel="0" collapsed="false">
      <c r="B325" s="38" t="n">
        <v>321</v>
      </c>
      <c r="C325" s="37" t="s">
        <v>7827</v>
      </c>
      <c r="D325" s="37" t="s">
        <v>7828</v>
      </c>
      <c r="E325" s="38" t="n">
        <v>161</v>
      </c>
      <c r="F325" s="38"/>
    </row>
    <row r="326" customFormat="false" ht="15" hidden="false" customHeight="false" outlineLevel="0" collapsed="false">
      <c r="B326" s="38" t="n">
        <v>322</v>
      </c>
      <c r="C326" s="37" t="s">
        <v>7016</v>
      </c>
      <c r="D326" s="37" t="s">
        <v>7829</v>
      </c>
      <c r="E326" s="38" t="n">
        <v>169</v>
      </c>
      <c r="F326" s="38"/>
    </row>
    <row r="327" customFormat="false" ht="15" hidden="false" customHeight="false" outlineLevel="0" collapsed="false">
      <c r="B327" s="38" t="n">
        <v>323</v>
      </c>
      <c r="C327" s="37" t="s">
        <v>6940</v>
      </c>
      <c r="D327" s="37" t="s">
        <v>7731</v>
      </c>
      <c r="E327" s="38" t="n">
        <v>174</v>
      </c>
      <c r="F327" s="38"/>
    </row>
    <row r="328" customFormat="false" ht="15" hidden="false" customHeight="false" outlineLevel="0" collapsed="false">
      <c r="B328" s="38" t="n">
        <v>324</v>
      </c>
      <c r="C328" s="37" t="s">
        <v>7830</v>
      </c>
      <c r="D328" s="37" t="s">
        <v>7824</v>
      </c>
      <c r="E328" s="38" t="n">
        <v>169</v>
      </c>
      <c r="F328" s="38"/>
    </row>
    <row r="329" customFormat="false" ht="15" hidden="false" customHeight="false" outlineLevel="0" collapsed="false">
      <c r="B329" s="38" t="n">
        <v>325</v>
      </c>
      <c r="C329" s="37" t="s">
        <v>7831</v>
      </c>
      <c r="D329" s="37" t="s">
        <v>7442</v>
      </c>
      <c r="E329" s="38" t="n">
        <v>177</v>
      </c>
      <c r="F329" s="38"/>
    </row>
    <row r="330" customFormat="false" ht="15" hidden="false" customHeight="false" outlineLevel="0" collapsed="false">
      <c r="B330" s="38" t="n">
        <v>326</v>
      </c>
      <c r="C330" s="37" t="s">
        <v>7832</v>
      </c>
      <c r="D330" s="37" t="s">
        <v>7813</v>
      </c>
      <c r="E330" s="38" t="n">
        <v>319</v>
      </c>
      <c r="F330" s="38"/>
    </row>
    <row r="331" customFormat="false" ht="15" hidden="false" customHeight="false" outlineLevel="0" collapsed="false">
      <c r="B331" s="38" t="n">
        <v>327</v>
      </c>
      <c r="C331" s="37" t="s">
        <v>7833</v>
      </c>
      <c r="D331" s="37" t="s">
        <v>7710</v>
      </c>
      <c r="E331" s="38" t="n">
        <v>193</v>
      </c>
      <c r="F331" s="38"/>
    </row>
    <row r="332" customFormat="false" ht="15" hidden="false" customHeight="false" outlineLevel="0" collapsed="false">
      <c r="B332" s="38" t="n">
        <v>328</v>
      </c>
      <c r="C332" s="37" t="s">
        <v>7834</v>
      </c>
      <c r="D332" s="37" t="s">
        <v>7835</v>
      </c>
      <c r="E332" s="38" t="n">
        <v>194</v>
      </c>
      <c r="F332" s="38"/>
    </row>
    <row r="333" customFormat="false" ht="15" hidden="false" customHeight="false" outlineLevel="0" collapsed="false">
      <c r="B333" s="38" t="n">
        <v>329</v>
      </c>
      <c r="C333" s="37" t="s">
        <v>7836</v>
      </c>
      <c r="D333" s="37" t="s">
        <v>7322</v>
      </c>
      <c r="E333" s="38" t="n">
        <v>173</v>
      </c>
      <c r="F333" s="38"/>
    </row>
    <row r="334" customFormat="false" ht="15" hidden="false" customHeight="false" outlineLevel="0" collapsed="false">
      <c r="B334" s="38" t="n">
        <v>330</v>
      </c>
      <c r="C334" s="37" t="s">
        <v>7837</v>
      </c>
      <c r="D334" s="37" t="s">
        <v>7803</v>
      </c>
      <c r="E334" s="38" t="n">
        <v>320</v>
      </c>
      <c r="F334" s="38"/>
    </row>
    <row r="335" customFormat="false" ht="15" hidden="false" customHeight="false" outlineLevel="0" collapsed="false">
      <c r="B335" s="38" t="n">
        <v>331</v>
      </c>
      <c r="C335" s="37" t="s">
        <v>7838</v>
      </c>
      <c r="D335" s="37" t="s">
        <v>7789</v>
      </c>
      <c r="E335" s="38" t="n">
        <v>189</v>
      </c>
      <c r="F335" s="38"/>
    </row>
    <row r="336" customFormat="false" ht="15" hidden="false" customHeight="false" outlineLevel="0" collapsed="false">
      <c r="B336" s="38" t="n">
        <v>332</v>
      </c>
      <c r="C336" s="37" t="s">
        <v>7229</v>
      </c>
      <c r="D336" s="37" t="s">
        <v>7839</v>
      </c>
      <c r="E336" s="38" t="n">
        <v>200</v>
      </c>
      <c r="F336" s="38"/>
    </row>
    <row r="337" customFormat="false" ht="15" hidden="false" customHeight="false" outlineLevel="0" collapsed="false">
      <c r="B337" s="38" t="n">
        <v>333</v>
      </c>
      <c r="C337" s="37" t="s">
        <v>7840</v>
      </c>
      <c r="D337" s="37" t="s">
        <v>7841</v>
      </c>
      <c r="E337" s="38" t="n">
        <v>208</v>
      </c>
      <c r="F337" s="38"/>
    </row>
    <row r="338" customFormat="false" ht="15" hidden="false" customHeight="false" outlineLevel="0" collapsed="false">
      <c r="B338" s="38" t="n">
        <v>334</v>
      </c>
      <c r="C338" s="37" t="s">
        <v>7842</v>
      </c>
      <c r="D338" s="37" t="s">
        <v>7843</v>
      </c>
      <c r="E338" s="38" t="n">
        <v>167</v>
      </c>
      <c r="F338" s="38"/>
    </row>
    <row r="339" customFormat="false" ht="15" hidden="false" customHeight="false" outlineLevel="0" collapsed="false">
      <c r="B339" s="38" t="n">
        <v>335</v>
      </c>
      <c r="C339" s="37" t="s">
        <v>7049</v>
      </c>
      <c r="D339" s="37" t="s">
        <v>7844</v>
      </c>
      <c r="E339" s="38" t="n">
        <v>320</v>
      </c>
      <c r="F339" s="38"/>
    </row>
    <row r="340" customFormat="false" ht="15" hidden="false" customHeight="false" outlineLevel="0" collapsed="false">
      <c r="B340" s="38" t="n">
        <v>336</v>
      </c>
      <c r="C340" s="37" t="s">
        <v>7845</v>
      </c>
      <c r="D340" s="37" t="s">
        <v>7846</v>
      </c>
      <c r="E340" s="38" t="n">
        <v>205</v>
      </c>
      <c r="F340" s="38"/>
    </row>
    <row r="341" customFormat="false" ht="15" hidden="false" customHeight="false" outlineLevel="0" collapsed="false">
      <c r="B341" s="38" t="n">
        <v>337</v>
      </c>
      <c r="C341" s="37" t="s">
        <v>7847</v>
      </c>
      <c r="D341" s="37" t="s">
        <v>7848</v>
      </c>
      <c r="E341" s="38" t="n">
        <v>212</v>
      </c>
      <c r="F341" s="38"/>
    </row>
    <row r="342" customFormat="false" ht="15" hidden="false" customHeight="false" outlineLevel="0" collapsed="false">
      <c r="B342" s="38" t="n">
        <v>338</v>
      </c>
      <c r="C342" s="37" t="s">
        <v>7849</v>
      </c>
      <c r="D342" s="37" t="s">
        <v>7850</v>
      </c>
      <c r="E342" s="38" t="n">
        <v>167</v>
      </c>
      <c r="F342" s="38"/>
    </row>
    <row r="343" customFormat="false" ht="15" hidden="false" customHeight="false" outlineLevel="0" collapsed="false">
      <c r="B343" s="38" t="n">
        <v>339</v>
      </c>
      <c r="C343" s="37" t="s">
        <v>7851</v>
      </c>
      <c r="D343" s="37" t="s">
        <v>7779</v>
      </c>
      <c r="E343" s="38" t="n">
        <v>161</v>
      </c>
      <c r="F343" s="38"/>
    </row>
    <row r="344" customFormat="false" ht="15" hidden="false" customHeight="false" outlineLevel="0" collapsed="false">
      <c r="B344" s="38" t="n">
        <v>340</v>
      </c>
      <c r="C344" s="37" t="s">
        <v>7852</v>
      </c>
      <c r="D344" s="37" t="s">
        <v>7844</v>
      </c>
      <c r="E344" s="38" t="n">
        <v>320</v>
      </c>
      <c r="F344" s="38"/>
    </row>
    <row r="345" customFormat="false" ht="15" hidden="false" customHeight="false" outlineLevel="0" collapsed="false">
      <c r="B345" s="38" t="n">
        <v>341</v>
      </c>
      <c r="C345" s="37" t="s">
        <v>7853</v>
      </c>
      <c r="D345" s="37" t="s">
        <v>7854</v>
      </c>
      <c r="E345" s="38" t="n">
        <v>170</v>
      </c>
      <c r="F345" s="38"/>
    </row>
    <row r="346" customFormat="false" ht="15" hidden="false" customHeight="false" outlineLevel="0" collapsed="false">
      <c r="B346" s="38" t="n">
        <v>342</v>
      </c>
      <c r="C346" s="37" t="s">
        <v>7855</v>
      </c>
      <c r="D346" s="37" t="s">
        <v>7856</v>
      </c>
      <c r="E346" s="38" t="n">
        <v>162</v>
      </c>
      <c r="F346" s="38"/>
    </row>
    <row r="347" customFormat="false" ht="15" hidden="false" customHeight="false" outlineLevel="0" collapsed="false">
      <c r="B347" s="38" t="n">
        <v>343</v>
      </c>
      <c r="C347" s="37" t="s">
        <v>7223</v>
      </c>
      <c r="D347" s="37" t="s">
        <v>7857</v>
      </c>
      <c r="E347" s="38" t="n">
        <v>175</v>
      </c>
      <c r="F347" s="38"/>
    </row>
    <row r="348" customFormat="false" ht="15" hidden="false" customHeight="false" outlineLevel="0" collapsed="false">
      <c r="B348" s="38" t="n">
        <v>344</v>
      </c>
      <c r="C348" s="37" t="s">
        <v>7189</v>
      </c>
      <c r="D348" s="37" t="s">
        <v>7858</v>
      </c>
      <c r="E348" s="38" t="n">
        <v>198</v>
      </c>
      <c r="F348" s="38"/>
    </row>
    <row r="349" customFormat="false" ht="15" hidden="false" customHeight="false" outlineLevel="0" collapsed="false">
      <c r="B349" s="38" t="n">
        <v>345</v>
      </c>
      <c r="C349" s="37" t="s">
        <v>7859</v>
      </c>
      <c r="D349" s="37" t="s">
        <v>7860</v>
      </c>
      <c r="E349" s="38" t="n">
        <v>192</v>
      </c>
      <c r="F349" s="38"/>
    </row>
    <row r="350" customFormat="false" ht="15" hidden="false" customHeight="false" outlineLevel="0" collapsed="false">
      <c r="B350" s="38" t="n">
        <v>346</v>
      </c>
      <c r="C350" s="37" t="s">
        <v>7861</v>
      </c>
      <c r="D350" s="37" t="s">
        <v>7862</v>
      </c>
      <c r="E350" s="38" t="n">
        <v>168</v>
      </c>
      <c r="F350" s="38"/>
    </row>
    <row r="351" customFormat="false" ht="15" hidden="false" customHeight="false" outlineLevel="0" collapsed="false">
      <c r="B351" s="38" t="n">
        <v>347</v>
      </c>
      <c r="C351" s="37" t="s">
        <v>7863</v>
      </c>
      <c r="D351" s="37" t="s">
        <v>7864</v>
      </c>
      <c r="E351" s="38" t="n">
        <v>187</v>
      </c>
      <c r="F351" s="38"/>
    </row>
    <row r="352" customFormat="false" ht="15" hidden="false" customHeight="false" outlineLevel="0" collapsed="false">
      <c r="B352" s="38" t="n">
        <v>348</v>
      </c>
      <c r="C352" s="37" t="s">
        <v>7865</v>
      </c>
      <c r="D352" s="37" t="s">
        <v>7829</v>
      </c>
      <c r="E352" s="38" t="n">
        <v>169</v>
      </c>
      <c r="F352" s="38"/>
    </row>
    <row r="353" customFormat="false" ht="15" hidden="false" customHeight="false" outlineLevel="0" collapsed="false">
      <c r="B353" s="38" t="n">
        <v>349</v>
      </c>
      <c r="C353" s="37" t="s">
        <v>7866</v>
      </c>
      <c r="D353" s="37" t="s">
        <v>7867</v>
      </c>
      <c r="E353" s="38" t="n">
        <v>176</v>
      </c>
      <c r="F353" s="38"/>
    </row>
    <row r="354" customFormat="false" ht="15" hidden="false" customHeight="false" outlineLevel="0" collapsed="false">
      <c r="B354" s="38" t="n">
        <v>350</v>
      </c>
      <c r="C354" s="37" t="s">
        <v>7868</v>
      </c>
      <c r="D354" s="37" t="s">
        <v>7869</v>
      </c>
      <c r="E354" s="38" t="n">
        <v>215</v>
      </c>
      <c r="F354" s="38"/>
    </row>
    <row r="355" customFormat="false" ht="15" hidden="false" customHeight="false" outlineLevel="0" collapsed="false">
      <c r="B355" s="38" t="n">
        <v>351</v>
      </c>
      <c r="C355" s="37" t="s">
        <v>7870</v>
      </c>
      <c r="D355" s="37" t="s">
        <v>7844</v>
      </c>
      <c r="E355" s="38" t="n">
        <v>320</v>
      </c>
      <c r="F355" s="38"/>
    </row>
    <row r="356" customFormat="false" ht="15" hidden="false" customHeight="false" outlineLevel="0" collapsed="false">
      <c r="B356" s="38" t="n">
        <v>352</v>
      </c>
      <c r="C356" s="37" t="s">
        <v>7871</v>
      </c>
      <c r="D356" s="37" t="s">
        <v>7872</v>
      </c>
      <c r="E356" s="38" t="n">
        <v>178</v>
      </c>
      <c r="F356" s="38"/>
    </row>
    <row r="357" customFormat="false" ht="15" hidden="false" customHeight="false" outlineLevel="0" collapsed="false">
      <c r="B357" s="38" t="n">
        <v>353</v>
      </c>
      <c r="C357" s="37" t="s">
        <v>7873</v>
      </c>
      <c r="D357" s="37" t="s">
        <v>7874</v>
      </c>
      <c r="E357" s="38" t="n">
        <v>320</v>
      </c>
      <c r="F357" s="38"/>
    </row>
    <row r="358" customFormat="false" ht="15" hidden="false" customHeight="false" outlineLevel="0" collapsed="false">
      <c r="B358" s="38" t="n">
        <v>354</v>
      </c>
      <c r="C358" s="37" t="s">
        <v>7875</v>
      </c>
      <c r="D358" s="37" t="s">
        <v>7876</v>
      </c>
      <c r="E358" s="38" t="n">
        <v>186</v>
      </c>
      <c r="F358" s="38"/>
    </row>
    <row r="359" customFormat="false" ht="15" hidden="false" customHeight="false" outlineLevel="0" collapsed="false">
      <c r="B359" s="38" t="n">
        <v>355</v>
      </c>
      <c r="C359" s="37" t="s">
        <v>7877</v>
      </c>
      <c r="D359" s="37" t="s">
        <v>7878</v>
      </c>
      <c r="E359" s="38" t="n">
        <v>163</v>
      </c>
      <c r="F359" s="38"/>
    </row>
    <row r="360" customFormat="false" ht="15" hidden="false" customHeight="false" outlineLevel="0" collapsed="false">
      <c r="B360" s="38" t="n">
        <v>356</v>
      </c>
      <c r="C360" s="37" t="s">
        <v>7879</v>
      </c>
      <c r="D360" s="37" t="s">
        <v>7880</v>
      </c>
      <c r="E360" s="38" t="n">
        <v>171</v>
      </c>
      <c r="F360" s="38"/>
    </row>
    <row r="361" customFormat="false" ht="15" hidden="false" customHeight="false" outlineLevel="0" collapsed="false">
      <c r="B361" s="38" t="n">
        <v>357</v>
      </c>
      <c r="C361" s="37" t="s">
        <v>7881</v>
      </c>
      <c r="D361" s="37" t="s">
        <v>7882</v>
      </c>
      <c r="E361" s="38" t="n">
        <v>210</v>
      </c>
      <c r="F361" s="38"/>
    </row>
    <row r="362" customFormat="false" ht="15" hidden="false" customHeight="false" outlineLevel="0" collapsed="false">
      <c r="B362" s="38" t="n">
        <v>358</v>
      </c>
      <c r="C362" s="37" t="s">
        <v>7883</v>
      </c>
      <c r="D362" s="37" t="s">
        <v>7844</v>
      </c>
      <c r="E362" s="38" t="n">
        <v>320</v>
      </c>
      <c r="F362" s="38"/>
    </row>
    <row r="363" customFormat="false" ht="15" hidden="false" customHeight="false" outlineLevel="0" collapsed="false">
      <c r="B363" s="38" t="n">
        <v>359</v>
      </c>
      <c r="C363" s="37" t="s">
        <v>7884</v>
      </c>
      <c r="D363" s="37" t="s">
        <v>7885</v>
      </c>
      <c r="E363" s="38" t="n">
        <v>187</v>
      </c>
      <c r="F363" s="38"/>
    </row>
    <row r="364" customFormat="false" ht="15" hidden="false" customHeight="false" outlineLevel="0" collapsed="false">
      <c r="B364" s="38" t="n">
        <v>360</v>
      </c>
      <c r="C364" s="37" t="s">
        <v>6942</v>
      </c>
      <c r="D364" s="37" t="s">
        <v>7734</v>
      </c>
      <c r="E364" s="38" t="n">
        <v>173</v>
      </c>
      <c r="F364" s="38"/>
    </row>
    <row r="365" customFormat="false" ht="15" hidden="false" customHeight="false" outlineLevel="0" collapsed="false">
      <c r="B365" s="38" t="n">
        <v>361</v>
      </c>
      <c r="C365" s="37" t="s">
        <v>7886</v>
      </c>
      <c r="D365" s="37" t="s">
        <v>7887</v>
      </c>
      <c r="E365" s="38" t="n">
        <v>183</v>
      </c>
      <c r="F365" s="38"/>
    </row>
    <row r="366" customFormat="false" ht="15" hidden="false" customHeight="false" outlineLevel="0" collapsed="false">
      <c r="B366" s="38" t="n">
        <v>362</v>
      </c>
      <c r="C366" s="37" t="s">
        <v>6930</v>
      </c>
      <c r="D366" s="37" t="s">
        <v>7888</v>
      </c>
      <c r="E366" s="38" t="n">
        <v>165</v>
      </c>
      <c r="F366" s="38"/>
    </row>
    <row r="367" customFormat="false" ht="15" hidden="false" customHeight="false" outlineLevel="0" collapsed="false">
      <c r="B367" s="38" t="n">
        <v>363</v>
      </c>
      <c r="C367" s="37" t="s">
        <v>7217</v>
      </c>
      <c r="D367" s="37" t="s">
        <v>7889</v>
      </c>
      <c r="E367" s="38" t="n">
        <v>169</v>
      </c>
      <c r="F367" s="38"/>
    </row>
    <row r="368" customFormat="false" ht="15" hidden="false" customHeight="false" outlineLevel="0" collapsed="false">
      <c r="B368" s="38" t="n">
        <v>364</v>
      </c>
      <c r="C368" s="37" t="s">
        <v>7072</v>
      </c>
      <c r="D368" s="37" t="s">
        <v>7890</v>
      </c>
      <c r="E368" s="38" t="n">
        <v>320</v>
      </c>
      <c r="F368" s="38"/>
    </row>
    <row r="369" customFormat="false" ht="15" hidden="false" customHeight="false" outlineLevel="0" collapsed="false">
      <c r="B369" s="38" t="n">
        <v>365</v>
      </c>
      <c r="C369" s="37" t="s">
        <v>7891</v>
      </c>
      <c r="D369" s="37" t="s">
        <v>7813</v>
      </c>
      <c r="E369" s="38" t="n">
        <v>319</v>
      </c>
      <c r="F369" s="38"/>
    </row>
    <row r="370" customFormat="false" ht="15" hidden="false" customHeight="false" outlineLevel="0" collapsed="false">
      <c r="B370" s="38" t="n">
        <v>366</v>
      </c>
      <c r="C370" s="37" t="s">
        <v>7892</v>
      </c>
      <c r="D370" s="37" t="s">
        <v>7893</v>
      </c>
      <c r="E370" s="38" t="n">
        <v>173</v>
      </c>
      <c r="F370" s="38"/>
    </row>
    <row r="371" customFormat="false" ht="15" hidden="false" customHeight="false" outlineLevel="0" collapsed="false">
      <c r="B371" s="38" t="n">
        <v>367</v>
      </c>
      <c r="C371" s="37" t="s">
        <v>7894</v>
      </c>
      <c r="D371" s="37" t="s">
        <v>7895</v>
      </c>
      <c r="E371" s="38" t="n">
        <v>215</v>
      </c>
      <c r="F371" s="38"/>
    </row>
    <row r="372" customFormat="false" ht="15" hidden="false" customHeight="false" outlineLevel="0" collapsed="false">
      <c r="B372" s="38" t="n">
        <v>368</v>
      </c>
      <c r="C372" s="37" t="s">
        <v>6932</v>
      </c>
      <c r="D372" s="37" t="s">
        <v>7896</v>
      </c>
      <c r="E372" s="38" t="n">
        <v>174</v>
      </c>
      <c r="F372" s="38"/>
    </row>
    <row r="373" customFormat="false" ht="15" hidden="false" customHeight="false" outlineLevel="0" collapsed="false">
      <c r="B373" s="38" t="n">
        <v>369</v>
      </c>
      <c r="C373" s="37" t="s">
        <v>7897</v>
      </c>
      <c r="D373" s="37" t="s">
        <v>7898</v>
      </c>
      <c r="E373" s="38" t="n">
        <v>188</v>
      </c>
      <c r="F373" s="38"/>
    </row>
    <row r="374" customFormat="false" ht="15" hidden="false" customHeight="false" outlineLevel="0" collapsed="false">
      <c r="B374" s="38" t="n">
        <v>370</v>
      </c>
      <c r="C374" s="37" t="s">
        <v>7899</v>
      </c>
      <c r="D374" s="37" t="s">
        <v>7900</v>
      </c>
      <c r="E374" s="38" t="n">
        <v>193</v>
      </c>
      <c r="F374" s="38"/>
    </row>
    <row r="375" customFormat="false" ht="15" hidden="false" customHeight="false" outlineLevel="0" collapsed="false">
      <c r="B375" s="38" t="n">
        <v>371</v>
      </c>
      <c r="C375" s="37" t="s">
        <v>7006</v>
      </c>
      <c r="D375" s="37" t="s">
        <v>7822</v>
      </c>
      <c r="E375" s="38" t="n">
        <v>166</v>
      </c>
      <c r="F375" s="38"/>
    </row>
    <row r="376" customFormat="false" ht="15" hidden="false" customHeight="false" outlineLevel="0" collapsed="false">
      <c r="B376" s="38" t="n">
        <v>372</v>
      </c>
      <c r="C376" s="37" t="s">
        <v>7901</v>
      </c>
      <c r="D376" s="37" t="s">
        <v>7902</v>
      </c>
      <c r="E376" s="38" t="n">
        <v>193</v>
      </c>
      <c r="F376" s="38"/>
    </row>
    <row r="377" customFormat="false" ht="15" hidden="false" customHeight="false" outlineLevel="0" collapsed="false">
      <c r="B377" s="38" t="n">
        <v>373</v>
      </c>
      <c r="C377" s="37" t="s">
        <v>7024</v>
      </c>
      <c r="D377" s="37" t="s">
        <v>7903</v>
      </c>
      <c r="E377" s="38" t="n">
        <v>164</v>
      </c>
      <c r="F377" s="38"/>
    </row>
    <row r="378" customFormat="false" ht="15" hidden="false" customHeight="false" outlineLevel="0" collapsed="false">
      <c r="B378" s="38" t="n">
        <v>374</v>
      </c>
      <c r="C378" s="37" t="s">
        <v>7904</v>
      </c>
      <c r="D378" s="37" t="s">
        <v>7905</v>
      </c>
      <c r="E378" s="38" t="n">
        <v>172</v>
      </c>
      <c r="F378" s="38"/>
    </row>
    <row r="379" customFormat="false" ht="15" hidden="false" customHeight="false" outlineLevel="0" collapsed="false">
      <c r="B379" s="38" t="n">
        <v>375</v>
      </c>
      <c r="C379" s="37" t="s">
        <v>7906</v>
      </c>
      <c r="D379" s="37" t="s">
        <v>7907</v>
      </c>
      <c r="E379" s="38" t="n">
        <v>186</v>
      </c>
      <c r="F379" s="38"/>
    </row>
    <row r="380" customFormat="false" ht="15" hidden="false" customHeight="false" outlineLevel="0" collapsed="false">
      <c r="B380" s="38" t="n">
        <v>376</v>
      </c>
      <c r="C380" s="37" t="s">
        <v>7908</v>
      </c>
      <c r="D380" s="37" t="s">
        <v>7909</v>
      </c>
      <c r="E380" s="38" t="n">
        <v>180</v>
      </c>
      <c r="F380" s="38"/>
    </row>
    <row r="381" customFormat="false" ht="15" hidden="false" customHeight="false" outlineLevel="0" collapsed="false">
      <c r="B381" s="38" t="n">
        <v>377</v>
      </c>
      <c r="C381" s="37" t="s">
        <v>7910</v>
      </c>
      <c r="D381" s="37" t="s">
        <v>7911</v>
      </c>
      <c r="E381" s="38" t="n">
        <v>177</v>
      </c>
      <c r="F381" s="38"/>
    </row>
    <row r="382" customFormat="false" ht="15" hidden="false" customHeight="false" outlineLevel="0" collapsed="false">
      <c r="B382" s="38" t="n">
        <v>378</v>
      </c>
      <c r="C382" s="37" t="s">
        <v>7912</v>
      </c>
      <c r="D382" s="37" t="s">
        <v>7913</v>
      </c>
      <c r="E382" s="38" t="n">
        <v>181</v>
      </c>
      <c r="F382" s="38"/>
    </row>
    <row r="383" customFormat="false" ht="15" hidden="false" customHeight="false" outlineLevel="0" collapsed="false">
      <c r="B383" s="38" t="n">
        <v>379</v>
      </c>
      <c r="C383" s="37" t="s">
        <v>7914</v>
      </c>
      <c r="D383" s="37" t="s">
        <v>7281</v>
      </c>
      <c r="E383" s="38" t="n">
        <v>172</v>
      </c>
      <c r="F383" s="38"/>
    </row>
    <row r="384" customFormat="false" ht="15" hidden="false" customHeight="false" outlineLevel="0" collapsed="false">
      <c r="B384" s="38" t="n">
        <v>380</v>
      </c>
      <c r="C384" s="37" t="s">
        <v>7915</v>
      </c>
      <c r="D384" s="37" t="s">
        <v>7916</v>
      </c>
      <c r="E384" s="38" t="n">
        <v>167</v>
      </c>
      <c r="F384" s="38"/>
    </row>
    <row r="385" customFormat="false" ht="15" hidden="false" customHeight="false" outlineLevel="0" collapsed="false">
      <c r="B385" s="38" t="n">
        <v>381</v>
      </c>
      <c r="C385" s="37" t="s">
        <v>7917</v>
      </c>
      <c r="D385" s="37" t="s">
        <v>7918</v>
      </c>
      <c r="E385" s="38" t="n">
        <v>169</v>
      </c>
      <c r="F385" s="38"/>
    </row>
    <row r="386" customFormat="false" ht="15" hidden="false" customHeight="false" outlineLevel="0" collapsed="false">
      <c r="B386" s="38" t="n">
        <v>382</v>
      </c>
      <c r="C386" s="37" t="s">
        <v>7919</v>
      </c>
      <c r="D386" s="37" t="s">
        <v>7920</v>
      </c>
      <c r="E386" s="38" t="n">
        <v>320</v>
      </c>
      <c r="F386" s="38"/>
    </row>
    <row r="387" customFormat="false" ht="15" hidden="false" customHeight="false" outlineLevel="0" collapsed="false">
      <c r="B387" s="38" t="n">
        <v>383</v>
      </c>
      <c r="C387" s="37" t="s">
        <v>7205</v>
      </c>
      <c r="D387" s="37" t="s">
        <v>7921</v>
      </c>
      <c r="E387" s="38" t="n">
        <v>165</v>
      </c>
      <c r="F387" s="38"/>
    </row>
    <row r="388" customFormat="false" ht="15" hidden="false" customHeight="false" outlineLevel="0" collapsed="false">
      <c r="B388" s="38" t="n">
        <v>384</v>
      </c>
      <c r="C388" s="37" t="s">
        <v>7081</v>
      </c>
      <c r="D388" s="37" t="s">
        <v>7922</v>
      </c>
      <c r="E388" s="38" t="n">
        <v>320</v>
      </c>
      <c r="F388" s="38"/>
    </row>
    <row r="389" customFormat="false" ht="15" hidden="false" customHeight="false" outlineLevel="0" collapsed="false">
      <c r="B389" s="38" t="n">
        <v>385</v>
      </c>
      <c r="C389" s="37" t="s">
        <v>7923</v>
      </c>
      <c r="D389" s="37" t="s">
        <v>7924</v>
      </c>
      <c r="E389" s="38" t="n">
        <v>169</v>
      </c>
      <c r="F389" s="38"/>
    </row>
    <row r="390" customFormat="false" ht="15" hidden="false" customHeight="false" outlineLevel="0" collapsed="false">
      <c r="B390" s="38" t="n">
        <v>386</v>
      </c>
      <c r="C390" s="37" t="s">
        <v>7925</v>
      </c>
      <c r="D390" s="37" t="s">
        <v>7926</v>
      </c>
      <c r="E390" s="38" t="n">
        <v>179</v>
      </c>
      <c r="F390" s="38"/>
    </row>
    <row r="391" customFormat="false" ht="15" hidden="false" customHeight="false" outlineLevel="0" collapsed="false">
      <c r="B391" s="38" t="n">
        <v>387</v>
      </c>
      <c r="C391" s="37" t="s">
        <v>6904</v>
      </c>
      <c r="D391" s="37" t="s">
        <v>7715</v>
      </c>
      <c r="E391" s="38" t="n">
        <v>168</v>
      </c>
      <c r="F391" s="38"/>
    </row>
    <row r="392" customFormat="false" ht="15" hidden="false" customHeight="false" outlineLevel="0" collapsed="false">
      <c r="B392" s="38" t="n">
        <v>388</v>
      </c>
      <c r="C392" s="37" t="s">
        <v>7927</v>
      </c>
      <c r="D392" s="37" t="s">
        <v>7928</v>
      </c>
      <c r="E392" s="38" t="n">
        <v>319</v>
      </c>
      <c r="F392" s="38"/>
    </row>
    <row r="393" customFormat="false" ht="15" hidden="false" customHeight="false" outlineLevel="0" collapsed="false">
      <c r="B393" s="38" t="n">
        <v>389</v>
      </c>
      <c r="C393" s="37" t="s">
        <v>7929</v>
      </c>
      <c r="D393" s="37" t="s">
        <v>7930</v>
      </c>
      <c r="E393" s="38" t="n">
        <v>204</v>
      </c>
      <c r="F393" s="38"/>
    </row>
    <row r="394" customFormat="false" ht="15" hidden="false" customHeight="false" outlineLevel="0" collapsed="false">
      <c r="B394" s="38" t="n">
        <v>390</v>
      </c>
      <c r="C394" s="37" t="s">
        <v>7931</v>
      </c>
      <c r="D394" s="37" t="s">
        <v>7932</v>
      </c>
      <c r="E394" s="38" t="n">
        <v>221</v>
      </c>
      <c r="F394" s="38"/>
    </row>
    <row r="395" customFormat="false" ht="15" hidden="false" customHeight="false" outlineLevel="0" collapsed="false">
      <c r="B395" s="38" t="n">
        <v>391</v>
      </c>
      <c r="C395" s="37" t="s">
        <v>7933</v>
      </c>
      <c r="D395" s="37" t="s">
        <v>7934</v>
      </c>
      <c r="E395" s="38" t="n">
        <v>213</v>
      </c>
      <c r="F395" s="38"/>
    </row>
    <row r="396" customFormat="false" ht="15" hidden="false" customHeight="false" outlineLevel="0" collapsed="false">
      <c r="B396" s="38" t="n">
        <v>392</v>
      </c>
      <c r="C396" s="37" t="s">
        <v>7935</v>
      </c>
      <c r="D396" s="37" t="s">
        <v>7936</v>
      </c>
      <c r="E396" s="38" t="n">
        <v>174</v>
      </c>
      <c r="F396" s="38"/>
    </row>
    <row r="397" customFormat="false" ht="15" hidden="false" customHeight="false" outlineLevel="0" collapsed="false">
      <c r="B397" s="38" t="n">
        <v>393</v>
      </c>
      <c r="C397" s="37" t="s">
        <v>7203</v>
      </c>
      <c r="D397" s="37" t="s">
        <v>7937</v>
      </c>
      <c r="E397" s="38" t="n">
        <v>163</v>
      </c>
      <c r="F397" s="38"/>
    </row>
    <row r="398" customFormat="false" ht="15" hidden="false" customHeight="false" outlineLevel="0" collapsed="false">
      <c r="B398" s="38" t="n">
        <v>394</v>
      </c>
      <c r="C398" s="37" t="s">
        <v>7938</v>
      </c>
      <c r="D398" s="37" t="s">
        <v>7903</v>
      </c>
      <c r="E398" s="38" t="n">
        <v>164</v>
      </c>
      <c r="F398" s="38"/>
    </row>
    <row r="399" customFormat="false" ht="15" hidden="false" customHeight="false" outlineLevel="0" collapsed="false">
      <c r="B399" s="38" t="n">
        <v>395</v>
      </c>
      <c r="C399" s="37" t="s">
        <v>7939</v>
      </c>
      <c r="D399" s="37" t="s">
        <v>7940</v>
      </c>
      <c r="E399" s="38" t="n">
        <v>167</v>
      </c>
      <c r="F399" s="38"/>
    </row>
    <row r="400" customFormat="false" ht="15" hidden="false" customHeight="false" outlineLevel="0" collapsed="false">
      <c r="B400" s="38" t="n">
        <v>396</v>
      </c>
      <c r="C400" s="37" t="s">
        <v>7941</v>
      </c>
      <c r="D400" s="37" t="s">
        <v>7829</v>
      </c>
      <c r="E400" s="38" t="n">
        <v>169</v>
      </c>
      <c r="F400" s="38"/>
    </row>
    <row r="401" customFormat="false" ht="15" hidden="false" customHeight="false" outlineLevel="0" collapsed="false">
      <c r="B401" s="38" t="n">
        <v>397</v>
      </c>
      <c r="C401" s="37" t="s">
        <v>7120</v>
      </c>
      <c r="D401" s="37" t="s">
        <v>7942</v>
      </c>
      <c r="E401" s="38" t="n">
        <v>320</v>
      </c>
      <c r="F401" s="38"/>
    </row>
    <row r="402" customFormat="false" ht="15" hidden="false" customHeight="false" outlineLevel="0" collapsed="false">
      <c r="B402" s="38" t="n">
        <v>398</v>
      </c>
      <c r="C402" s="37" t="s">
        <v>7943</v>
      </c>
      <c r="D402" s="37" t="s">
        <v>7944</v>
      </c>
      <c r="E402" s="38" t="n">
        <v>165</v>
      </c>
      <c r="F402" s="38"/>
    </row>
    <row r="403" customFormat="false" ht="15" hidden="false" customHeight="false" outlineLevel="0" collapsed="false">
      <c r="B403" s="38" t="n">
        <v>399</v>
      </c>
      <c r="C403" s="37" t="s">
        <v>6878</v>
      </c>
      <c r="D403" s="37" t="s">
        <v>7945</v>
      </c>
      <c r="E403" s="38" t="n">
        <v>174</v>
      </c>
      <c r="F403" s="38"/>
    </row>
    <row r="404" customFormat="false" ht="15" hidden="false" customHeight="false" outlineLevel="0" collapsed="false">
      <c r="B404" s="38" t="n">
        <v>400</v>
      </c>
      <c r="C404" s="37" t="s">
        <v>7946</v>
      </c>
      <c r="D404" s="37" t="s">
        <v>7947</v>
      </c>
      <c r="E404" s="38" t="n">
        <v>191</v>
      </c>
      <c r="F404" s="38"/>
    </row>
    <row r="405" customFormat="false" ht="15" hidden="false" customHeight="false" outlineLevel="0" collapsed="false">
      <c r="B405" s="38" t="n">
        <v>401</v>
      </c>
      <c r="C405" s="37" t="s">
        <v>7948</v>
      </c>
      <c r="D405" s="37" t="s">
        <v>7949</v>
      </c>
      <c r="E405" s="38" t="n">
        <v>215</v>
      </c>
      <c r="F405" s="38"/>
    </row>
    <row r="406" customFormat="false" ht="15" hidden="false" customHeight="false" outlineLevel="0" collapsed="false">
      <c r="B406" s="38" t="n">
        <v>402</v>
      </c>
      <c r="C406" s="37" t="s">
        <v>7950</v>
      </c>
      <c r="D406" s="37" t="s">
        <v>7951</v>
      </c>
      <c r="E406" s="38" t="n">
        <v>187</v>
      </c>
      <c r="F406" s="38"/>
    </row>
    <row r="407" customFormat="false" ht="15" hidden="false" customHeight="false" outlineLevel="0" collapsed="false">
      <c r="B407" s="38" t="n">
        <v>403</v>
      </c>
      <c r="C407" s="37" t="s">
        <v>7952</v>
      </c>
      <c r="D407" s="37" t="s">
        <v>7789</v>
      </c>
      <c r="E407" s="38" t="n">
        <v>189</v>
      </c>
      <c r="F407" s="38"/>
    </row>
    <row r="408" customFormat="false" ht="15" hidden="false" customHeight="false" outlineLevel="0" collapsed="false">
      <c r="B408" s="38" t="n">
        <v>404</v>
      </c>
      <c r="C408" s="37" t="s">
        <v>7953</v>
      </c>
      <c r="D408" s="37" t="s">
        <v>7844</v>
      </c>
      <c r="E408" s="38" t="n">
        <v>320</v>
      </c>
      <c r="F408" s="38"/>
    </row>
    <row r="409" customFormat="false" ht="15" hidden="false" customHeight="false" outlineLevel="0" collapsed="false">
      <c r="B409" s="38" t="n">
        <v>405</v>
      </c>
      <c r="C409" s="37" t="s">
        <v>7954</v>
      </c>
      <c r="D409" s="37" t="s">
        <v>7759</v>
      </c>
      <c r="E409" s="38" t="n">
        <v>320</v>
      </c>
      <c r="F409" s="38"/>
    </row>
    <row r="410" customFormat="false" ht="15" hidden="false" customHeight="false" outlineLevel="0" collapsed="false">
      <c r="B410" s="38" t="n">
        <v>406</v>
      </c>
      <c r="C410" s="37" t="s">
        <v>7955</v>
      </c>
      <c r="D410" s="37" t="s">
        <v>7956</v>
      </c>
      <c r="E410" s="38" t="n">
        <v>204</v>
      </c>
      <c r="F410" s="38"/>
    </row>
    <row r="411" customFormat="false" ht="15" hidden="false" customHeight="false" outlineLevel="0" collapsed="false">
      <c r="B411" s="38" t="n">
        <v>407</v>
      </c>
      <c r="C411" s="37" t="s">
        <v>7957</v>
      </c>
      <c r="D411" s="37" t="s">
        <v>7958</v>
      </c>
      <c r="E411" s="38" t="n">
        <v>179</v>
      </c>
      <c r="F411" s="38"/>
    </row>
    <row r="412" customFormat="false" ht="15" hidden="false" customHeight="false" outlineLevel="0" collapsed="false">
      <c r="B412" s="38" t="n">
        <v>408</v>
      </c>
      <c r="C412" s="37" t="s">
        <v>7959</v>
      </c>
      <c r="D412" s="37" t="s">
        <v>7960</v>
      </c>
      <c r="E412" s="38" t="n">
        <v>168</v>
      </c>
      <c r="F412" s="38"/>
    </row>
    <row r="413" customFormat="false" ht="15" hidden="false" customHeight="false" outlineLevel="0" collapsed="false">
      <c r="B413" s="38" t="n">
        <v>409</v>
      </c>
      <c r="C413" s="37" t="s">
        <v>7961</v>
      </c>
      <c r="D413" s="37" t="s">
        <v>7813</v>
      </c>
      <c r="E413" s="38" t="n">
        <v>319</v>
      </c>
      <c r="F413" s="38"/>
    </row>
    <row r="414" customFormat="false" ht="15" hidden="false" customHeight="false" outlineLevel="0" collapsed="false">
      <c r="B414" s="38" t="n">
        <v>410</v>
      </c>
      <c r="C414" s="37" t="s">
        <v>7962</v>
      </c>
      <c r="D414" s="37" t="s">
        <v>7963</v>
      </c>
      <c r="E414" s="38" t="n">
        <v>190</v>
      </c>
      <c r="F414" s="38"/>
    </row>
    <row r="415" customFormat="false" ht="15" hidden="false" customHeight="false" outlineLevel="0" collapsed="false">
      <c r="B415" s="38" t="n">
        <v>411</v>
      </c>
      <c r="C415" s="37" t="s">
        <v>7964</v>
      </c>
      <c r="D415" s="37" t="s">
        <v>7965</v>
      </c>
      <c r="E415" s="38" t="n">
        <v>184</v>
      </c>
      <c r="F415" s="38"/>
    </row>
    <row r="416" customFormat="false" ht="15" hidden="false" customHeight="false" outlineLevel="0" collapsed="false">
      <c r="B416" s="38" t="n">
        <v>412</v>
      </c>
      <c r="C416" s="37" t="s">
        <v>6944</v>
      </c>
      <c r="D416" s="37" t="s">
        <v>7741</v>
      </c>
      <c r="E416" s="38" t="n">
        <v>169</v>
      </c>
      <c r="F416" s="38"/>
    </row>
    <row r="417" customFormat="false" ht="15" hidden="false" customHeight="false" outlineLevel="0" collapsed="false">
      <c r="B417" s="38" t="n">
        <v>413</v>
      </c>
      <c r="C417" s="37" t="s">
        <v>7966</v>
      </c>
      <c r="D417" s="37" t="s">
        <v>7712</v>
      </c>
      <c r="E417" s="38" t="n">
        <v>165</v>
      </c>
      <c r="F417" s="38"/>
    </row>
    <row r="418" customFormat="false" ht="15" hidden="false" customHeight="false" outlineLevel="0" collapsed="false">
      <c r="B418" s="38" t="n">
        <v>414</v>
      </c>
      <c r="C418" s="37" t="s">
        <v>7967</v>
      </c>
      <c r="D418" s="37" t="s">
        <v>7968</v>
      </c>
      <c r="E418" s="38" t="n">
        <v>227</v>
      </c>
      <c r="F418" s="38"/>
    </row>
    <row r="419" customFormat="false" ht="15" hidden="false" customHeight="false" outlineLevel="0" collapsed="false">
      <c r="B419" s="38" t="n">
        <v>415</v>
      </c>
      <c r="C419" s="37" t="s">
        <v>7969</v>
      </c>
      <c r="D419" s="37" t="s">
        <v>7280</v>
      </c>
      <c r="E419" s="38" t="n">
        <v>320</v>
      </c>
      <c r="F419" s="38"/>
    </row>
    <row r="420" customFormat="false" ht="15" hidden="false" customHeight="false" outlineLevel="0" collapsed="false">
      <c r="B420" s="38" t="n">
        <v>416</v>
      </c>
      <c r="C420" s="37" t="s">
        <v>7970</v>
      </c>
      <c r="D420" s="37" t="s">
        <v>7844</v>
      </c>
      <c r="E420" s="38" t="n">
        <v>320</v>
      </c>
      <c r="F420" s="38"/>
    </row>
    <row r="421" customFormat="false" ht="15" hidden="false" customHeight="false" outlineLevel="0" collapsed="false">
      <c r="B421" s="38" t="n">
        <v>417</v>
      </c>
      <c r="C421" s="37" t="s">
        <v>7971</v>
      </c>
      <c r="D421" s="37" t="s">
        <v>7972</v>
      </c>
      <c r="E421" s="38" t="n">
        <v>192</v>
      </c>
      <c r="F421" s="38"/>
    </row>
    <row r="422" customFormat="false" ht="15" hidden="false" customHeight="false" outlineLevel="0" collapsed="false">
      <c r="B422" s="38" t="n">
        <v>418</v>
      </c>
      <c r="C422" s="37" t="s">
        <v>7973</v>
      </c>
      <c r="D422" s="37" t="s">
        <v>7974</v>
      </c>
      <c r="E422" s="38" t="n">
        <v>176</v>
      </c>
      <c r="F422" s="38"/>
    </row>
    <row r="423" customFormat="false" ht="15" hidden="false" customHeight="false" outlineLevel="0" collapsed="false">
      <c r="B423" s="38" t="n">
        <v>419</v>
      </c>
      <c r="C423" s="37" t="s">
        <v>7975</v>
      </c>
      <c r="D423" s="37" t="s">
        <v>7976</v>
      </c>
      <c r="E423" s="38" t="n">
        <v>182</v>
      </c>
      <c r="F423" s="38"/>
    </row>
    <row r="424" customFormat="false" ht="15" hidden="false" customHeight="false" outlineLevel="0" collapsed="false">
      <c r="B424" s="38" t="n">
        <v>420</v>
      </c>
      <c r="C424" s="37" t="s">
        <v>7977</v>
      </c>
      <c r="D424" s="37" t="s">
        <v>7978</v>
      </c>
      <c r="E424" s="38" t="n">
        <v>163</v>
      </c>
      <c r="F424" s="38"/>
    </row>
    <row r="425" customFormat="false" ht="15" hidden="false" customHeight="false" outlineLevel="0" collapsed="false">
      <c r="B425" s="38" t="n">
        <v>421</v>
      </c>
      <c r="C425" s="37" t="s">
        <v>7227</v>
      </c>
      <c r="D425" s="37" t="s">
        <v>7979</v>
      </c>
      <c r="E425" s="38" t="n">
        <v>208</v>
      </c>
      <c r="F425" s="38"/>
    </row>
    <row r="426" customFormat="false" ht="15" hidden="false" customHeight="false" outlineLevel="0" collapsed="false">
      <c r="B426" s="38" t="n">
        <v>422</v>
      </c>
      <c r="C426" s="37" t="s">
        <v>7980</v>
      </c>
      <c r="D426" s="37" t="s">
        <v>7981</v>
      </c>
      <c r="E426" s="38" t="n">
        <v>179</v>
      </c>
      <c r="F426" s="38"/>
    </row>
    <row r="427" customFormat="false" ht="15" hidden="false" customHeight="false" outlineLevel="0" collapsed="false">
      <c r="B427" s="38" t="n">
        <v>423</v>
      </c>
      <c r="C427" s="37" t="s">
        <v>7982</v>
      </c>
      <c r="D427" s="37" t="s">
        <v>7803</v>
      </c>
      <c r="E427" s="38" t="n">
        <v>320</v>
      </c>
      <c r="F427" s="38"/>
    </row>
    <row r="428" customFormat="false" ht="15" hidden="false" customHeight="false" outlineLevel="0" collapsed="false">
      <c r="B428" s="38" t="n">
        <v>424</v>
      </c>
      <c r="C428" s="37" t="s">
        <v>7983</v>
      </c>
      <c r="D428" s="37" t="s">
        <v>7984</v>
      </c>
      <c r="E428" s="38" t="n">
        <v>167</v>
      </c>
      <c r="F428" s="38"/>
    </row>
    <row r="429" customFormat="false" ht="15" hidden="false" customHeight="false" outlineLevel="0" collapsed="false">
      <c r="B429" s="38" t="n">
        <v>425</v>
      </c>
      <c r="C429" s="37" t="s">
        <v>7985</v>
      </c>
      <c r="D429" s="37" t="s">
        <v>7822</v>
      </c>
      <c r="E429" s="38" t="n">
        <v>166</v>
      </c>
      <c r="F429" s="38"/>
    </row>
    <row r="430" customFormat="false" ht="15" hidden="false" customHeight="false" outlineLevel="0" collapsed="false">
      <c r="B430" s="38" t="n">
        <v>426</v>
      </c>
      <c r="C430" s="37" t="s">
        <v>7986</v>
      </c>
      <c r="D430" s="37" t="s">
        <v>7987</v>
      </c>
      <c r="E430" s="38" t="n">
        <v>213</v>
      </c>
      <c r="F430" s="38"/>
    </row>
    <row r="431" customFormat="false" ht="15" hidden="false" customHeight="false" outlineLevel="0" collapsed="false">
      <c r="B431" s="38" t="n">
        <v>427</v>
      </c>
      <c r="C431" s="37" t="s">
        <v>7988</v>
      </c>
      <c r="D431" s="37" t="s">
        <v>7989</v>
      </c>
      <c r="E431" s="38" t="n">
        <v>162</v>
      </c>
      <c r="F431" s="38"/>
    </row>
    <row r="432" customFormat="false" ht="15" hidden="false" customHeight="false" outlineLevel="0" collapsed="false">
      <c r="B432" s="38" t="n">
        <v>428</v>
      </c>
      <c r="C432" s="37" t="s">
        <v>7990</v>
      </c>
      <c r="D432" s="37" t="s">
        <v>7991</v>
      </c>
      <c r="E432" s="38" t="n">
        <v>171</v>
      </c>
      <c r="F432" s="38"/>
    </row>
    <row r="433" customFormat="false" ht="15" hidden="false" customHeight="false" outlineLevel="0" collapsed="false">
      <c r="B433" s="38" t="n">
        <v>429</v>
      </c>
      <c r="C433" s="37" t="s">
        <v>7992</v>
      </c>
      <c r="D433" s="37" t="s">
        <v>7775</v>
      </c>
      <c r="E433" s="38" t="n">
        <v>178</v>
      </c>
      <c r="F433" s="38"/>
    </row>
    <row r="434" customFormat="false" ht="15" hidden="false" customHeight="false" outlineLevel="0" collapsed="false">
      <c r="B434" s="38" t="n">
        <v>430</v>
      </c>
      <c r="C434" s="37" t="s">
        <v>6936</v>
      </c>
      <c r="D434" s="37" t="s">
        <v>7779</v>
      </c>
      <c r="E434" s="38" t="n">
        <v>161</v>
      </c>
      <c r="F434" s="38"/>
    </row>
    <row r="435" customFormat="false" ht="15" hidden="false" customHeight="false" outlineLevel="0" collapsed="false">
      <c r="B435" s="38" t="n">
        <v>431</v>
      </c>
      <c r="C435" s="37" t="s">
        <v>7993</v>
      </c>
      <c r="D435" s="37" t="s">
        <v>7896</v>
      </c>
      <c r="E435" s="38" t="n">
        <v>174</v>
      </c>
      <c r="F435" s="38"/>
    </row>
    <row r="436" customFormat="false" ht="15" hidden="false" customHeight="false" outlineLevel="0" collapsed="false">
      <c r="B436" s="38" t="n">
        <v>432</v>
      </c>
      <c r="C436" s="37" t="s">
        <v>7042</v>
      </c>
      <c r="D436" s="37" t="s">
        <v>7994</v>
      </c>
      <c r="E436" s="38" t="n">
        <v>319</v>
      </c>
      <c r="F436" s="38"/>
    </row>
    <row r="437" customFormat="false" ht="15" hidden="false" customHeight="false" outlineLevel="0" collapsed="false">
      <c r="B437" s="38" t="n">
        <v>433</v>
      </c>
      <c r="C437" s="37" t="s">
        <v>7995</v>
      </c>
      <c r="D437" s="37" t="s">
        <v>7996</v>
      </c>
      <c r="E437" s="38" t="n">
        <v>173</v>
      </c>
      <c r="F437" s="38"/>
    </row>
    <row r="438" customFormat="false" ht="15" hidden="false" customHeight="false" outlineLevel="0" collapsed="false">
      <c r="B438" s="38" t="n">
        <v>434</v>
      </c>
      <c r="C438" s="37" t="s">
        <v>7997</v>
      </c>
      <c r="D438" s="37" t="s">
        <v>7803</v>
      </c>
      <c r="E438" s="38" t="n">
        <v>320</v>
      </c>
      <c r="F438" s="38"/>
    </row>
    <row r="439" customFormat="false" ht="15" hidden="false" customHeight="false" outlineLevel="0" collapsed="false">
      <c r="B439" s="38" t="n">
        <v>435</v>
      </c>
      <c r="C439" s="37" t="s">
        <v>7998</v>
      </c>
      <c r="D439" s="37" t="s">
        <v>7999</v>
      </c>
      <c r="E439" s="38" t="n">
        <v>209</v>
      </c>
      <c r="F439" s="38"/>
    </row>
    <row r="440" customFormat="false" ht="15" hidden="false" customHeight="false" outlineLevel="0" collapsed="false">
      <c r="B440" s="38" t="n">
        <v>436</v>
      </c>
      <c r="C440" s="37" t="s">
        <v>8000</v>
      </c>
      <c r="D440" s="37" t="s">
        <v>8001</v>
      </c>
      <c r="E440" s="38" t="n">
        <v>195</v>
      </c>
      <c r="F440" s="38"/>
    </row>
    <row r="441" customFormat="false" ht="15" hidden="false" customHeight="false" outlineLevel="0" collapsed="false">
      <c r="B441" s="38" t="n">
        <v>437</v>
      </c>
      <c r="C441" s="37" t="s">
        <v>8002</v>
      </c>
      <c r="D441" s="37" t="s">
        <v>8003</v>
      </c>
      <c r="E441" s="38" t="n">
        <v>173</v>
      </c>
      <c r="F441" s="38"/>
    </row>
    <row r="442" customFormat="false" ht="15" hidden="false" customHeight="false" outlineLevel="0" collapsed="false">
      <c r="B442" s="38" t="n">
        <v>438</v>
      </c>
      <c r="C442" s="37" t="s">
        <v>8004</v>
      </c>
      <c r="D442" s="37" t="s">
        <v>8005</v>
      </c>
      <c r="E442" s="38" t="n">
        <v>184</v>
      </c>
      <c r="F442" s="38"/>
    </row>
    <row r="443" customFormat="false" ht="15" hidden="false" customHeight="false" outlineLevel="0" collapsed="false">
      <c r="B443" s="38" t="n">
        <v>439</v>
      </c>
      <c r="C443" s="37" t="s">
        <v>8006</v>
      </c>
      <c r="D443" s="37" t="s">
        <v>7940</v>
      </c>
      <c r="E443" s="38" t="n">
        <v>167</v>
      </c>
      <c r="F443" s="38"/>
    </row>
    <row r="444" customFormat="false" ht="15" hidden="false" customHeight="false" outlineLevel="0" collapsed="false">
      <c r="B444" s="38" t="n">
        <v>440</v>
      </c>
      <c r="C444" s="37" t="s">
        <v>7002</v>
      </c>
      <c r="D444" s="37" t="s">
        <v>7773</v>
      </c>
      <c r="E444" s="38" t="n">
        <v>169</v>
      </c>
      <c r="F444" s="38"/>
    </row>
    <row r="445" customFormat="false" ht="15" hidden="false" customHeight="false" outlineLevel="0" collapsed="false">
      <c r="B445" s="38" t="n">
        <v>441</v>
      </c>
      <c r="C445" s="37" t="s">
        <v>8007</v>
      </c>
      <c r="D445" s="37" t="s">
        <v>8008</v>
      </c>
      <c r="E445" s="38" t="n">
        <v>181</v>
      </c>
      <c r="F445" s="38"/>
    </row>
    <row r="446" customFormat="false" ht="15" hidden="false" customHeight="false" outlineLevel="0" collapsed="false">
      <c r="B446" s="38" t="n">
        <v>442</v>
      </c>
      <c r="C446" s="37" t="s">
        <v>8009</v>
      </c>
      <c r="D446" s="37" t="s">
        <v>8010</v>
      </c>
      <c r="E446" s="38" t="n">
        <v>163</v>
      </c>
      <c r="F446" s="38"/>
    </row>
    <row r="447" customFormat="false" ht="15" hidden="false" customHeight="false" outlineLevel="0" collapsed="false">
      <c r="B447" s="38" t="n">
        <v>443</v>
      </c>
      <c r="C447" s="37" t="s">
        <v>8011</v>
      </c>
      <c r="D447" s="37" t="s">
        <v>8012</v>
      </c>
      <c r="E447" s="38" t="n">
        <v>165</v>
      </c>
      <c r="F447" s="38"/>
    </row>
    <row r="448" customFormat="false" ht="15" hidden="false" customHeight="false" outlineLevel="0" collapsed="false">
      <c r="B448" s="38" t="n">
        <v>444</v>
      </c>
      <c r="C448" s="37" t="s">
        <v>8013</v>
      </c>
      <c r="D448" s="37" t="s">
        <v>7715</v>
      </c>
      <c r="E448" s="38" t="n">
        <v>168</v>
      </c>
      <c r="F448" s="38"/>
    </row>
    <row r="449" customFormat="false" ht="15" hidden="false" customHeight="false" outlineLevel="0" collapsed="false">
      <c r="B449" s="38" t="n">
        <v>445</v>
      </c>
      <c r="C449" s="37" t="s">
        <v>8014</v>
      </c>
      <c r="D449" s="37" t="s">
        <v>8015</v>
      </c>
      <c r="E449" s="38" t="n">
        <v>190</v>
      </c>
      <c r="F449" s="38"/>
    </row>
    <row r="450" customFormat="false" ht="15" hidden="false" customHeight="false" outlineLevel="0" collapsed="false">
      <c r="B450" s="38" t="n">
        <v>446</v>
      </c>
      <c r="C450" s="37" t="s">
        <v>8016</v>
      </c>
      <c r="D450" s="37" t="s">
        <v>8017</v>
      </c>
      <c r="E450" s="38" t="n">
        <v>195</v>
      </c>
      <c r="F450" s="38"/>
    </row>
    <row r="451" customFormat="false" ht="15" hidden="false" customHeight="false" outlineLevel="0" collapsed="false">
      <c r="B451" s="38" t="n">
        <v>447</v>
      </c>
      <c r="C451" s="37" t="s">
        <v>8018</v>
      </c>
      <c r="D451" s="37" t="s">
        <v>8019</v>
      </c>
      <c r="E451" s="38" t="n">
        <v>181</v>
      </c>
      <c r="F451" s="38"/>
    </row>
    <row r="452" customFormat="false" ht="15" hidden="false" customHeight="false" outlineLevel="0" collapsed="false">
      <c r="B452" s="38" t="n">
        <v>448</v>
      </c>
      <c r="C452" s="37" t="s">
        <v>8020</v>
      </c>
      <c r="D452" s="37" t="s">
        <v>7890</v>
      </c>
      <c r="E452" s="38" t="n">
        <v>320</v>
      </c>
      <c r="F452" s="38"/>
    </row>
    <row r="453" customFormat="false" ht="15" hidden="false" customHeight="false" outlineLevel="0" collapsed="false">
      <c r="B453" s="38" t="n">
        <v>449</v>
      </c>
      <c r="C453" s="37" t="s">
        <v>8021</v>
      </c>
      <c r="D453" s="37" t="s">
        <v>8022</v>
      </c>
      <c r="E453" s="38" t="n">
        <v>172</v>
      </c>
      <c r="F453" s="38"/>
    </row>
    <row r="454" customFormat="false" ht="15" hidden="false" customHeight="false" outlineLevel="0" collapsed="false">
      <c r="B454" s="38" t="n">
        <v>450</v>
      </c>
      <c r="C454" s="37" t="s">
        <v>7146</v>
      </c>
      <c r="D454" s="37" t="s">
        <v>7803</v>
      </c>
      <c r="E454" s="38" t="n">
        <v>320</v>
      </c>
      <c r="F454" s="38"/>
    </row>
    <row r="455" customFormat="false" ht="15" hidden="false" customHeight="false" outlineLevel="0" collapsed="false">
      <c r="B455" s="38" t="n">
        <v>451</v>
      </c>
      <c r="C455" s="37" t="s">
        <v>8023</v>
      </c>
      <c r="D455" s="37" t="s">
        <v>7787</v>
      </c>
      <c r="E455" s="38" t="n">
        <v>178</v>
      </c>
      <c r="F455" s="38"/>
    </row>
    <row r="456" customFormat="false" ht="15" hidden="false" customHeight="false" outlineLevel="0" collapsed="false">
      <c r="B456" s="38" t="n">
        <v>452</v>
      </c>
      <c r="C456" s="37" t="s">
        <v>6962</v>
      </c>
      <c r="D456" s="37" t="s">
        <v>7767</v>
      </c>
      <c r="E456" s="38" t="n">
        <v>195</v>
      </c>
      <c r="F456" s="38"/>
    </row>
    <row r="457" customFormat="false" ht="15" hidden="false" customHeight="false" outlineLevel="0" collapsed="false">
      <c r="B457" s="38" t="n">
        <v>453</v>
      </c>
      <c r="C457" s="37" t="s">
        <v>8024</v>
      </c>
      <c r="D457" s="37" t="s">
        <v>8025</v>
      </c>
      <c r="E457" s="38" t="n">
        <v>165</v>
      </c>
      <c r="F457" s="38"/>
    </row>
    <row r="458" customFormat="false" ht="15" hidden="false" customHeight="false" outlineLevel="0" collapsed="false">
      <c r="B458" s="38" t="n">
        <v>454</v>
      </c>
      <c r="C458" s="37" t="s">
        <v>8026</v>
      </c>
      <c r="D458" s="37" t="s">
        <v>8027</v>
      </c>
      <c r="E458" s="38" t="n">
        <v>192</v>
      </c>
      <c r="F458" s="38"/>
    </row>
    <row r="459" customFormat="false" ht="15" hidden="false" customHeight="false" outlineLevel="0" collapsed="false">
      <c r="B459" s="38" t="n">
        <v>455</v>
      </c>
      <c r="C459" s="37" t="s">
        <v>6938</v>
      </c>
      <c r="D459" s="37" t="s">
        <v>7940</v>
      </c>
      <c r="E459" s="38" t="n">
        <v>167</v>
      </c>
      <c r="F459" s="38"/>
    </row>
    <row r="460" customFormat="false" ht="15" hidden="false" customHeight="false" outlineLevel="0" collapsed="false">
      <c r="B460" s="38" t="n">
        <v>456</v>
      </c>
      <c r="C460" s="37" t="s">
        <v>8028</v>
      </c>
      <c r="D460" s="37" t="s">
        <v>8029</v>
      </c>
      <c r="E460" s="38" t="n">
        <v>162</v>
      </c>
      <c r="F460" s="38"/>
    </row>
    <row r="461" customFormat="false" ht="15" hidden="false" customHeight="false" outlineLevel="0" collapsed="false">
      <c r="B461" s="38" t="n">
        <v>457</v>
      </c>
      <c r="C461" s="37" t="s">
        <v>8030</v>
      </c>
      <c r="D461" s="37" t="s">
        <v>8031</v>
      </c>
      <c r="E461" s="38" t="n">
        <v>168</v>
      </c>
      <c r="F461" s="38"/>
    </row>
    <row r="462" customFormat="false" ht="15" hidden="false" customHeight="false" outlineLevel="0" collapsed="false">
      <c r="B462" s="38" t="n">
        <v>458</v>
      </c>
      <c r="C462" s="37" t="s">
        <v>8032</v>
      </c>
      <c r="D462" s="37" t="s">
        <v>8033</v>
      </c>
      <c r="E462" s="38" t="n">
        <v>201</v>
      </c>
      <c r="F462" s="38"/>
    </row>
    <row r="463" customFormat="false" ht="15" hidden="false" customHeight="false" outlineLevel="0" collapsed="false">
      <c r="B463" s="38" t="n">
        <v>459</v>
      </c>
      <c r="C463" s="37" t="s">
        <v>8034</v>
      </c>
      <c r="D463" s="37" t="s">
        <v>8035</v>
      </c>
      <c r="E463" s="38" t="n">
        <v>196</v>
      </c>
      <c r="F463" s="38"/>
    </row>
    <row r="464" customFormat="false" ht="15" hidden="false" customHeight="false" outlineLevel="0" collapsed="false">
      <c r="B464" s="38" t="n">
        <v>460</v>
      </c>
      <c r="C464" s="37" t="s">
        <v>8036</v>
      </c>
      <c r="D464" s="37" t="s">
        <v>7813</v>
      </c>
      <c r="E464" s="38" t="n">
        <v>319</v>
      </c>
      <c r="F464" s="38"/>
    </row>
    <row r="465" customFormat="false" ht="15" hidden="false" customHeight="false" outlineLevel="0" collapsed="false">
      <c r="B465" s="38" t="n">
        <v>461</v>
      </c>
      <c r="C465" s="37" t="s">
        <v>8037</v>
      </c>
      <c r="D465" s="37" t="s">
        <v>7994</v>
      </c>
      <c r="E465" s="38" t="n">
        <v>319</v>
      </c>
      <c r="F465" s="38"/>
    </row>
    <row r="466" customFormat="false" ht="15" hidden="false" customHeight="false" outlineLevel="0" collapsed="false">
      <c r="B466" s="38" t="n">
        <v>462</v>
      </c>
      <c r="C466" s="37" t="s">
        <v>8038</v>
      </c>
      <c r="D466" s="37" t="s">
        <v>8039</v>
      </c>
      <c r="E466" s="38" t="n">
        <v>166</v>
      </c>
      <c r="F466" s="38"/>
    </row>
    <row r="467" customFormat="false" ht="15" hidden="false" customHeight="false" outlineLevel="0" collapsed="false">
      <c r="B467" s="38" t="n">
        <v>463</v>
      </c>
      <c r="C467" s="37" t="s">
        <v>8040</v>
      </c>
      <c r="D467" s="37" t="s">
        <v>8041</v>
      </c>
      <c r="E467" s="38" t="n">
        <v>174</v>
      </c>
      <c r="F467" s="38"/>
    </row>
    <row r="468" customFormat="false" ht="15" hidden="false" customHeight="false" outlineLevel="0" collapsed="false">
      <c r="B468" s="38" t="n">
        <v>464</v>
      </c>
      <c r="C468" s="37" t="s">
        <v>8042</v>
      </c>
      <c r="D468" s="37" t="s">
        <v>7282</v>
      </c>
      <c r="E468" s="38" t="n">
        <v>171</v>
      </c>
      <c r="F468" s="38"/>
    </row>
    <row r="469" customFormat="false" ht="15" hidden="false" customHeight="false" outlineLevel="0" collapsed="false">
      <c r="B469" s="38" t="n">
        <v>465</v>
      </c>
      <c r="C469" s="37" t="s">
        <v>8043</v>
      </c>
      <c r="D469" s="37" t="s">
        <v>7739</v>
      </c>
      <c r="E469" s="38" t="n">
        <v>184</v>
      </c>
      <c r="F469" s="38"/>
    </row>
    <row r="470" customFormat="false" ht="15" hidden="false" customHeight="false" outlineLevel="0" collapsed="false">
      <c r="B470" s="38" t="n">
        <v>466</v>
      </c>
      <c r="C470" s="37" t="s">
        <v>8044</v>
      </c>
      <c r="D470" s="37" t="s">
        <v>8045</v>
      </c>
      <c r="E470" s="38" t="n">
        <v>167</v>
      </c>
      <c r="F470" s="38"/>
    </row>
    <row r="471" customFormat="false" ht="15" hidden="false" customHeight="false" outlineLevel="0" collapsed="false">
      <c r="B471" s="38" t="n">
        <v>467</v>
      </c>
      <c r="C471" s="37" t="s">
        <v>8046</v>
      </c>
      <c r="D471" s="37" t="s">
        <v>8047</v>
      </c>
      <c r="E471" s="38" t="n">
        <v>206</v>
      </c>
      <c r="F471" s="38"/>
    </row>
    <row r="472" customFormat="false" ht="15" hidden="false" customHeight="false" outlineLevel="0" collapsed="false">
      <c r="B472" s="38" t="n">
        <v>468</v>
      </c>
      <c r="C472" s="37" t="s">
        <v>8048</v>
      </c>
      <c r="D472" s="37" t="s">
        <v>8049</v>
      </c>
      <c r="E472" s="38" t="n">
        <v>200</v>
      </c>
      <c r="F472" s="38"/>
    </row>
    <row r="473" customFormat="false" ht="15" hidden="false" customHeight="false" outlineLevel="0" collapsed="false">
      <c r="B473" s="38" t="n">
        <v>469</v>
      </c>
      <c r="C473" s="37" t="s">
        <v>8050</v>
      </c>
      <c r="D473" s="37" t="s">
        <v>8051</v>
      </c>
      <c r="E473" s="38" t="n">
        <v>184</v>
      </c>
      <c r="F473" s="38"/>
    </row>
    <row r="474" customFormat="false" ht="15" hidden="false" customHeight="false" outlineLevel="0" collapsed="false">
      <c r="B474" s="38" t="n">
        <v>470</v>
      </c>
      <c r="C474" s="37" t="s">
        <v>8052</v>
      </c>
      <c r="D474" s="37" t="s">
        <v>8053</v>
      </c>
      <c r="E474" s="38" t="n">
        <v>164</v>
      </c>
      <c r="F474" s="38"/>
    </row>
    <row r="475" customFormat="false" ht="15" hidden="false" customHeight="false" outlineLevel="0" collapsed="false">
      <c r="B475" s="38" t="n">
        <v>471</v>
      </c>
      <c r="C475" s="37" t="s">
        <v>8054</v>
      </c>
      <c r="D475" s="37" t="s">
        <v>7803</v>
      </c>
      <c r="E475" s="38" t="n">
        <v>320</v>
      </c>
      <c r="F475" s="38"/>
    </row>
    <row r="476" customFormat="false" ht="15" hidden="false" customHeight="false" outlineLevel="0" collapsed="false">
      <c r="B476" s="38" t="n">
        <v>472</v>
      </c>
      <c r="C476" s="37" t="s">
        <v>8055</v>
      </c>
      <c r="D476" s="37" t="s">
        <v>8056</v>
      </c>
      <c r="E476" s="38" t="n">
        <v>180</v>
      </c>
      <c r="F476" s="38"/>
    </row>
    <row r="477" customFormat="false" ht="15" hidden="false" customHeight="false" outlineLevel="0" collapsed="false">
      <c r="B477" s="38" t="n">
        <v>473</v>
      </c>
      <c r="C477" s="37" t="s">
        <v>8057</v>
      </c>
      <c r="D477" s="37" t="s">
        <v>8058</v>
      </c>
      <c r="E477" s="38" t="n">
        <v>216</v>
      </c>
      <c r="F477" s="38"/>
    </row>
    <row r="478" customFormat="false" ht="15" hidden="false" customHeight="false" outlineLevel="0" collapsed="false">
      <c r="B478" s="38" t="n">
        <v>474</v>
      </c>
      <c r="C478" s="37" t="s">
        <v>8059</v>
      </c>
      <c r="D478" s="37" t="s">
        <v>8060</v>
      </c>
      <c r="E478" s="38" t="n">
        <v>163</v>
      </c>
      <c r="F478" s="38"/>
    </row>
    <row r="479" customFormat="false" ht="15" hidden="false" customHeight="false" outlineLevel="0" collapsed="false">
      <c r="B479" s="38" t="n">
        <v>475</v>
      </c>
      <c r="C479" s="37" t="s">
        <v>8061</v>
      </c>
      <c r="D479" s="37" t="s">
        <v>8062</v>
      </c>
      <c r="E479" s="38" t="n">
        <v>185</v>
      </c>
      <c r="F479" s="38"/>
    </row>
    <row r="480" customFormat="false" ht="15" hidden="false" customHeight="false" outlineLevel="0" collapsed="false">
      <c r="B480" s="38" t="n">
        <v>476</v>
      </c>
      <c r="C480" s="37" t="s">
        <v>8063</v>
      </c>
      <c r="D480" s="37" t="s">
        <v>8064</v>
      </c>
      <c r="E480" s="38" t="n">
        <v>168</v>
      </c>
      <c r="F480" s="38"/>
    </row>
    <row r="481" customFormat="false" ht="15" hidden="false" customHeight="false" outlineLevel="0" collapsed="false">
      <c r="B481" s="38" t="n">
        <v>477</v>
      </c>
      <c r="C481" s="37" t="s">
        <v>8065</v>
      </c>
      <c r="D481" s="37" t="s">
        <v>8066</v>
      </c>
      <c r="E481" s="38" t="n">
        <v>191</v>
      </c>
      <c r="F481" s="38"/>
    </row>
    <row r="482" customFormat="false" ht="15" hidden="false" customHeight="false" outlineLevel="0" collapsed="false">
      <c r="B482" s="38" t="n">
        <v>478</v>
      </c>
      <c r="C482" s="37" t="s">
        <v>6898</v>
      </c>
      <c r="D482" s="37" t="s">
        <v>8067</v>
      </c>
      <c r="E482" s="38" t="n">
        <v>180</v>
      </c>
      <c r="F482" s="38"/>
    </row>
    <row r="483" customFormat="false" ht="15" hidden="false" customHeight="false" outlineLevel="0" collapsed="false">
      <c r="B483" s="38" t="n">
        <v>479</v>
      </c>
      <c r="C483" s="37" t="s">
        <v>8068</v>
      </c>
      <c r="D483" s="37" t="s">
        <v>7896</v>
      </c>
      <c r="E483" s="38" t="n">
        <v>174</v>
      </c>
      <c r="F483" s="38"/>
    </row>
    <row r="484" customFormat="false" ht="15" hidden="false" customHeight="false" outlineLevel="0" collapsed="false">
      <c r="B484" s="38" t="n">
        <v>480</v>
      </c>
      <c r="C484" s="37" t="s">
        <v>8069</v>
      </c>
      <c r="D484" s="37" t="s">
        <v>8070</v>
      </c>
      <c r="E484" s="38" t="n">
        <v>173</v>
      </c>
      <c r="F484" s="38"/>
    </row>
    <row r="485" customFormat="false" ht="15" hidden="false" customHeight="false" outlineLevel="0" collapsed="false">
      <c r="B485" s="38" t="n">
        <v>481</v>
      </c>
      <c r="C485" s="37" t="s">
        <v>8071</v>
      </c>
      <c r="D485" s="37" t="s">
        <v>8072</v>
      </c>
      <c r="E485" s="38" t="n">
        <v>199</v>
      </c>
      <c r="F485" s="38"/>
    </row>
    <row r="486" customFormat="false" ht="15" hidden="false" customHeight="false" outlineLevel="0" collapsed="false">
      <c r="B486" s="38" t="n">
        <v>482</v>
      </c>
      <c r="C486" s="37" t="s">
        <v>6954</v>
      </c>
      <c r="D486" s="37" t="s">
        <v>8073</v>
      </c>
      <c r="E486" s="38" t="n">
        <v>163</v>
      </c>
      <c r="F486" s="38"/>
    </row>
    <row r="487" customFormat="false" ht="15" hidden="false" customHeight="false" outlineLevel="0" collapsed="false">
      <c r="B487" s="38" t="n">
        <v>483</v>
      </c>
      <c r="C487" s="37" t="s">
        <v>8074</v>
      </c>
      <c r="D487" s="37" t="s">
        <v>8075</v>
      </c>
      <c r="E487" s="38" t="n">
        <v>320</v>
      </c>
      <c r="F487" s="38"/>
    </row>
    <row r="488" customFormat="false" ht="15" hidden="false" customHeight="false" outlineLevel="0" collapsed="false">
      <c r="B488" s="38" t="n">
        <v>484</v>
      </c>
      <c r="C488" s="37" t="s">
        <v>8076</v>
      </c>
      <c r="D488" s="37" t="s">
        <v>7482</v>
      </c>
      <c r="E488" s="38" t="n">
        <v>191</v>
      </c>
      <c r="F488" s="38"/>
    </row>
    <row r="489" customFormat="false" ht="15" hidden="false" customHeight="false" outlineLevel="0" collapsed="false">
      <c r="B489" s="38" t="n">
        <v>485</v>
      </c>
      <c r="C489" s="37" t="s">
        <v>8077</v>
      </c>
      <c r="D489" s="37" t="s">
        <v>7459</v>
      </c>
      <c r="E489" s="38" t="n">
        <v>193</v>
      </c>
      <c r="F489" s="38"/>
    </row>
    <row r="490" customFormat="false" ht="15" hidden="false" customHeight="false" outlineLevel="0" collapsed="false">
      <c r="B490" s="38" t="n">
        <v>486</v>
      </c>
      <c r="C490" s="37" t="s">
        <v>8078</v>
      </c>
      <c r="D490" s="37" t="s">
        <v>7491</v>
      </c>
      <c r="E490" s="38" t="n">
        <v>173</v>
      </c>
      <c r="F490" s="38"/>
    </row>
    <row r="491" customFormat="false" ht="15" hidden="false" customHeight="false" outlineLevel="0" collapsed="false">
      <c r="B491" s="38" t="n">
        <v>487</v>
      </c>
      <c r="C491" s="37" t="s">
        <v>8079</v>
      </c>
      <c r="D491" s="37" t="s">
        <v>7418</v>
      </c>
      <c r="E491" s="38" t="n">
        <v>294</v>
      </c>
      <c r="F491" s="38"/>
    </row>
    <row r="492" customFormat="false" ht="15" hidden="false" customHeight="false" outlineLevel="0" collapsed="false">
      <c r="B492" s="38" t="n">
        <v>488</v>
      </c>
      <c r="C492" s="37" t="s">
        <v>8080</v>
      </c>
      <c r="D492" s="37" t="s">
        <v>7694</v>
      </c>
      <c r="E492" s="38" t="n">
        <v>169</v>
      </c>
      <c r="F492" s="38"/>
    </row>
    <row r="493" customFormat="false" ht="15" hidden="false" customHeight="false" outlineLevel="0" collapsed="false">
      <c r="B493" s="38" t="n">
        <v>489</v>
      </c>
      <c r="C493" s="37" t="s">
        <v>8081</v>
      </c>
      <c r="D493" s="37" t="s">
        <v>7537</v>
      </c>
      <c r="E493" s="38" t="n">
        <v>406</v>
      </c>
      <c r="F493" s="38"/>
    </row>
    <row r="494" customFormat="false" ht="15" hidden="false" customHeight="false" outlineLevel="0" collapsed="false">
      <c r="B494" s="38" t="n">
        <v>490</v>
      </c>
      <c r="C494" s="37" t="s">
        <v>8082</v>
      </c>
      <c r="D494" s="37" t="s">
        <v>7680</v>
      </c>
      <c r="E494" s="38" t="n">
        <v>198</v>
      </c>
      <c r="F494" s="38"/>
    </row>
    <row r="495" customFormat="false" ht="15" hidden="false" customHeight="false" outlineLevel="0" collapsed="false">
      <c r="B495" s="38" t="n">
        <v>491</v>
      </c>
      <c r="C495" s="37" t="s">
        <v>8083</v>
      </c>
      <c r="D495" s="37" t="s">
        <v>7438</v>
      </c>
      <c r="E495" s="38" t="n">
        <v>238</v>
      </c>
      <c r="F495" s="38"/>
    </row>
    <row r="496" customFormat="false" ht="15" hidden="false" customHeight="false" outlineLevel="0" collapsed="false">
      <c r="B496" s="38" t="n">
        <v>492</v>
      </c>
      <c r="C496" s="37" t="s">
        <v>8084</v>
      </c>
      <c r="D496" s="37" t="s">
        <v>7662</v>
      </c>
      <c r="E496" s="38" t="n">
        <v>204</v>
      </c>
      <c r="F496" s="38"/>
    </row>
    <row r="497" customFormat="false" ht="15" hidden="false" customHeight="false" outlineLevel="0" collapsed="false">
      <c r="B497" s="38" t="n">
        <v>493</v>
      </c>
      <c r="C497" s="37" t="s">
        <v>8085</v>
      </c>
      <c r="D497" s="37" t="s">
        <v>7445</v>
      </c>
      <c r="E497" s="38" t="n">
        <v>218</v>
      </c>
      <c r="F497" s="38"/>
    </row>
    <row r="498" customFormat="false" ht="15" hidden="false" customHeight="false" outlineLevel="0" collapsed="false">
      <c r="B498" s="38" t="n">
        <v>494</v>
      </c>
      <c r="C498" s="37" t="s">
        <v>8086</v>
      </c>
      <c r="D498" s="37" t="s">
        <v>7543</v>
      </c>
      <c r="E498" s="38" t="n">
        <v>188</v>
      </c>
      <c r="F498" s="38"/>
    </row>
    <row r="499" customFormat="false" ht="15" hidden="false" customHeight="false" outlineLevel="0" collapsed="false">
      <c r="B499" s="38" t="n">
        <v>495</v>
      </c>
      <c r="C499" s="37" t="s">
        <v>8087</v>
      </c>
      <c r="D499" s="37" t="s">
        <v>7412</v>
      </c>
      <c r="E499" s="38" t="n">
        <v>246</v>
      </c>
      <c r="F499" s="38"/>
    </row>
    <row r="500" customFormat="false" ht="15" hidden="false" customHeight="false" outlineLevel="0" collapsed="false">
      <c r="B500" s="38" t="n">
        <v>496</v>
      </c>
      <c r="C500" s="37" t="s">
        <v>8088</v>
      </c>
      <c r="D500" s="37" t="s">
        <v>7644</v>
      </c>
      <c r="E500" s="38" t="n">
        <v>193</v>
      </c>
      <c r="F500" s="38"/>
    </row>
    <row r="501" customFormat="false" ht="15" hidden="false" customHeight="false" outlineLevel="0" collapsed="false">
      <c r="B501" s="38" t="n">
        <v>497</v>
      </c>
      <c r="C501" s="37" t="s">
        <v>8089</v>
      </c>
      <c r="D501" s="37" t="s">
        <v>7461</v>
      </c>
      <c r="E501" s="38" t="n">
        <v>197</v>
      </c>
      <c r="F501" s="38"/>
    </row>
    <row r="502" customFormat="false" ht="15" hidden="false" customHeight="false" outlineLevel="0" collapsed="false">
      <c r="B502" s="38" t="n">
        <v>498</v>
      </c>
      <c r="C502" s="37" t="s">
        <v>8090</v>
      </c>
      <c r="D502" s="37" t="s">
        <v>7530</v>
      </c>
      <c r="E502" s="38" t="n">
        <v>242</v>
      </c>
      <c r="F502" s="38"/>
    </row>
    <row r="503" customFormat="false" ht="15" hidden="false" customHeight="false" outlineLevel="0" collapsed="false">
      <c r="B503" s="38" t="n">
        <v>499</v>
      </c>
      <c r="C503" s="37" t="s">
        <v>8091</v>
      </c>
      <c r="D503" s="37" t="s">
        <v>7579</v>
      </c>
      <c r="E503" s="38" t="n">
        <v>182</v>
      </c>
      <c r="F503" s="38"/>
    </row>
    <row r="504" customFormat="false" ht="15" hidden="false" customHeight="false" outlineLevel="0" collapsed="false">
      <c r="B504" s="38" t="n">
        <v>500</v>
      </c>
      <c r="C504" s="37" t="s">
        <v>8092</v>
      </c>
      <c r="D504" s="37" t="s">
        <v>7585</v>
      </c>
      <c r="E504" s="38" t="n">
        <v>219</v>
      </c>
      <c r="F504" s="38"/>
    </row>
    <row r="505" customFormat="false" ht="15" hidden="false" customHeight="false" outlineLevel="0" collapsed="false">
      <c r="B505" s="38" t="n">
        <v>501</v>
      </c>
      <c r="C505" s="37" t="s">
        <v>8093</v>
      </c>
      <c r="D505" s="37" t="s">
        <v>7678</v>
      </c>
      <c r="E505" s="38" t="n">
        <v>181</v>
      </c>
      <c r="F505" s="38"/>
    </row>
    <row r="506" customFormat="false" ht="15" hidden="false" customHeight="false" outlineLevel="0" collapsed="false">
      <c r="B506" s="38" t="n">
        <v>502</v>
      </c>
      <c r="C506" s="37" t="s">
        <v>8094</v>
      </c>
      <c r="D506" s="37" t="s">
        <v>7640</v>
      </c>
      <c r="E506" s="38" t="n">
        <v>227</v>
      </c>
      <c r="F506" s="38"/>
    </row>
    <row r="507" customFormat="false" ht="15" hidden="false" customHeight="false" outlineLevel="0" collapsed="false">
      <c r="B507" s="38" t="n">
        <v>503</v>
      </c>
      <c r="C507" s="37" t="s">
        <v>8095</v>
      </c>
      <c r="D507" s="37" t="s">
        <v>7311</v>
      </c>
      <c r="E507" s="38" t="n">
        <v>188</v>
      </c>
      <c r="F507" s="38"/>
    </row>
    <row r="508" customFormat="false" ht="15" hidden="false" customHeight="false" outlineLevel="0" collapsed="false">
      <c r="B508" s="38" t="n">
        <v>504</v>
      </c>
      <c r="C508" s="37" t="s">
        <v>8096</v>
      </c>
      <c r="D508" s="37" t="s">
        <v>7607</v>
      </c>
      <c r="E508" s="38" t="n">
        <v>199</v>
      </c>
      <c r="F508" s="38"/>
    </row>
    <row r="509" customFormat="false" ht="15" hidden="false" customHeight="false" outlineLevel="0" collapsed="false">
      <c r="B509" s="38" t="n">
        <v>505</v>
      </c>
      <c r="C509" s="37" t="s">
        <v>8097</v>
      </c>
      <c r="D509" s="37" t="s">
        <v>7336</v>
      </c>
      <c r="E509" s="38" t="n">
        <v>208</v>
      </c>
      <c r="F509" s="38"/>
    </row>
    <row r="510" customFormat="false" ht="15" hidden="false" customHeight="false" outlineLevel="0" collapsed="false">
      <c r="B510" s="38" t="n">
        <v>506</v>
      </c>
      <c r="C510" s="37" t="s">
        <v>8098</v>
      </c>
      <c r="D510" s="37" t="s">
        <v>7539</v>
      </c>
      <c r="E510" s="38" t="n">
        <v>175</v>
      </c>
      <c r="F510" s="38"/>
    </row>
    <row r="511" customFormat="false" ht="15" hidden="false" customHeight="false" outlineLevel="0" collapsed="false">
      <c r="B511" s="38" t="n">
        <v>507</v>
      </c>
      <c r="C511" s="37" t="s">
        <v>8099</v>
      </c>
      <c r="D511" s="37" t="s">
        <v>7555</v>
      </c>
      <c r="E511" s="38" t="n">
        <v>225</v>
      </c>
      <c r="F511" s="38"/>
    </row>
    <row r="512" customFormat="false" ht="15" hidden="false" customHeight="false" outlineLevel="0" collapsed="false">
      <c r="B512" s="38" t="n">
        <v>508</v>
      </c>
      <c r="C512" s="37" t="s">
        <v>8100</v>
      </c>
      <c r="D512" s="37" t="s">
        <v>7445</v>
      </c>
      <c r="E512" s="38" t="n">
        <v>218</v>
      </c>
      <c r="F512" s="38"/>
    </row>
    <row r="513" customFormat="false" ht="15" hidden="false" customHeight="false" outlineLevel="0" collapsed="false">
      <c r="B513" s="38" t="n">
        <v>509</v>
      </c>
      <c r="C513" s="37" t="s">
        <v>8101</v>
      </c>
      <c r="D513" s="37" t="s">
        <v>7291</v>
      </c>
      <c r="E513" s="38" t="n">
        <v>254</v>
      </c>
      <c r="F513" s="38"/>
    </row>
    <row r="514" customFormat="false" ht="15" hidden="false" customHeight="false" outlineLevel="0" collapsed="false">
      <c r="B514" s="38" t="n">
        <v>510</v>
      </c>
      <c r="C514" s="37" t="s">
        <v>8102</v>
      </c>
      <c r="D514" s="37" t="s">
        <v>7505</v>
      </c>
      <c r="E514" s="38" t="n">
        <v>186</v>
      </c>
      <c r="F514" s="38"/>
    </row>
    <row r="515" customFormat="false" ht="15" hidden="false" customHeight="false" outlineLevel="0" collapsed="false">
      <c r="B515" s="38" t="n">
        <v>511</v>
      </c>
      <c r="C515" s="37" t="s">
        <v>8103</v>
      </c>
      <c r="D515" s="37" t="s">
        <v>7569</v>
      </c>
      <c r="E515" s="38" t="n">
        <v>222</v>
      </c>
      <c r="F515" s="38"/>
    </row>
    <row r="516" customFormat="false" ht="15" hidden="false" customHeight="false" outlineLevel="0" collapsed="false">
      <c r="B516" s="38" t="n">
        <v>512</v>
      </c>
      <c r="C516" s="37" t="s">
        <v>8104</v>
      </c>
      <c r="D516" s="37" t="s">
        <v>7293</v>
      </c>
      <c r="E516" s="38" t="n">
        <v>192</v>
      </c>
      <c r="F516" s="38"/>
    </row>
    <row r="517" customFormat="false" ht="15" hidden="false" customHeight="false" outlineLevel="0" collapsed="false">
      <c r="B517" s="38" t="n">
        <v>513</v>
      </c>
      <c r="C517" s="37" t="s">
        <v>8105</v>
      </c>
      <c r="D517" s="37" t="s">
        <v>7755</v>
      </c>
      <c r="E517" s="38" t="n">
        <v>170</v>
      </c>
      <c r="F517" s="38"/>
    </row>
    <row r="518" customFormat="false" ht="15" hidden="false" customHeight="false" outlineLevel="0" collapsed="false">
      <c r="B518" s="38" t="n">
        <v>514</v>
      </c>
      <c r="C518" s="37" t="s">
        <v>8106</v>
      </c>
      <c r="D518" s="37" t="s">
        <v>7497</v>
      </c>
      <c r="E518" s="38" t="n">
        <v>190</v>
      </c>
      <c r="F518" s="38"/>
    </row>
    <row r="519" customFormat="false" ht="15" hidden="false" customHeight="false" outlineLevel="0" collapsed="false">
      <c r="B519" s="38" t="n">
        <v>515</v>
      </c>
      <c r="C519" s="37" t="s">
        <v>8107</v>
      </c>
      <c r="D519" s="37" t="s">
        <v>7561</v>
      </c>
      <c r="E519" s="38" t="n">
        <v>209</v>
      </c>
      <c r="F519" s="38"/>
    </row>
    <row r="520" customFormat="false" ht="15" hidden="false" customHeight="false" outlineLevel="0" collapsed="false">
      <c r="B520" s="38" t="n">
        <v>516</v>
      </c>
      <c r="C520" s="37" t="s">
        <v>8108</v>
      </c>
      <c r="D520" s="37" t="s">
        <v>7389</v>
      </c>
      <c r="E520" s="38" t="n">
        <v>208</v>
      </c>
      <c r="F520" s="38"/>
    </row>
    <row r="521" customFormat="false" ht="15" hidden="false" customHeight="false" outlineLevel="0" collapsed="false">
      <c r="B521" s="38" t="n">
        <v>517</v>
      </c>
      <c r="C521" s="37" t="s">
        <v>8109</v>
      </c>
      <c r="D521" s="37" t="s">
        <v>7559</v>
      </c>
      <c r="E521" s="38" t="n">
        <v>168</v>
      </c>
      <c r="F521" s="38"/>
    </row>
    <row r="522" customFormat="false" ht="15" hidden="false" customHeight="false" outlineLevel="0" collapsed="false">
      <c r="B522" s="38" t="n">
        <v>518</v>
      </c>
      <c r="C522" s="37" t="s">
        <v>8110</v>
      </c>
      <c r="D522" s="37" t="s">
        <v>7581</v>
      </c>
      <c r="E522" s="38" t="n">
        <v>199</v>
      </c>
      <c r="F522" s="38"/>
    </row>
    <row r="523" customFormat="false" ht="15" hidden="false" customHeight="false" outlineLevel="0" collapsed="false">
      <c r="B523" s="38" t="n">
        <v>519</v>
      </c>
      <c r="C523" s="37" t="s">
        <v>8111</v>
      </c>
      <c r="D523" s="37" t="s">
        <v>7399</v>
      </c>
      <c r="E523" s="38" t="n">
        <v>187</v>
      </c>
      <c r="F523" s="38"/>
    </row>
    <row r="524" customFormat="false" ht="15" hidden="false" customHeight="false" outlineLevel="0" collapsed="false">
      <c r="B524" s="38" t="n">
        <v>520</v>
      </c>
      <c r="C524" s="37" t="s">
        <v>8112</v>
      </c>
      <c r="D524" s="37" t="s">
        <v>7367</v>
      </c>
      <c r="E524" s="38" t="n">
        <v>167</v>
      </c>
      <c r="F524" s="38"/>
    </row>
    <row r="525" customFormat="false" ht="15" hidden="false" customHeight="false" outlineLevel="0" collapsed="false">
      <c r="B525" s="38" t="n">
        <v>521</v>
      </c>
      <c r="C525" s="37" t="s">
        <v>7195</v>
      </c>
      <c r="D525" s="37" t="s">
        <v>7533</v>
      </c>
      <c r="E525" s="38" t="n">
        <v>174</v>
      </c>
      <c r="F525" s="38"/>
    </row>
    <row r="526" customFormat="false" ht="15" hidden="false" customHeight="false" outlineLevel="0" collapsed="false">
      <c r="B526" s="38" t="n">
        <v>522</v>
      </c>
      <c r="C526" s="37" t="s">
        <v>7249</v>
      </c>
      <c r="D526" s="37" t="s">
        <v>7645</v>
      </c>
      <c r="E526" s="38" t="n">
        <v>177</v>
      </c>
      <c r="F526" s="38"/>
    </row>
    <row r="527" customFormat="false" ht="15" hidden="false" customHeight="false" outlineLevel="0" collapsed="false">
      <c r="B527" s="38" t="n">
        <v>523</v>
      </c>
      <c r="C527" s="37" t="s">
        <v>8113</v>
      </c>
      <c r="D527" s="37" t="s">
        <v>7624</v>
      </c>
      <c r="E527" s="38" t="n">
        <v>214</v>
      </c>
      <c r="F527" s="38"/>
    </row>
    <row r="528" customFormat="false" ht="15" hidden="false" customHeight="false" outlineLevel="0" collapsed="false">
      <c r="B528" s="38" t="n">
        <v>524</v>
      </c>
      <c r="C528" s="37" t="s">
        <v>8114</v>
      </c>
      <c r="D528" s="37" t="s">
        <v>7416</v>
      </c>
      <c r="E528" s="38" t="n">
        <v>165</v>
      </c>
      <c r="F528" s="38"/>
    </row>
    <row r="529" customFormat="false" ht="15" hidden="false" customHeight="false" outlineLevel="0" collapsed="false">
      <c r="B529" s="38" t="n">
        <v>525</v>
      </c>
      <c r="C529" s="37" t="s">
        <v>8115</v>
      </c>
      <c r="D529" s="37" t="s">
        <v>8116</v>
      </c>
      <c r="E529" s="38" t="n">
        <v>172</v>
      </c>
      <c r="F529" s="38"/>
    </row>
    <row r="530" customFormat="false" ht="15" hidden="false" customHeight="false" outlineLevel="0" collapsed="false">
      <c r="B530" s="38" t="n">
        <v>526</v>
      </c>
      <c r="C530" s="37" t="s">
        <v>8117</v>
      </c>
      <c r="D530" s="37" t="s">
        <v>7322</v>
      </c>
      <c r="E530" s="38" t="n">
        <v>173</v>
      </c>
      <c r="F530" s="38"/>
    </row>
    <row r="531" customFormat="false" ht="15" hidden="false" customHeight="false" outlineLevel="0" collapsed="false">
      <c r="B531" s="38" t="n">
        <v>527</v>
      </c>
      <c r="C531" s="37" t="s">
        <v>8118</v>
      </c>
      <c r="D531" s="37" t="s">
        <v>8119</v>
      </c>
      <c r="E531" s="38" t="n">
        <v>205</v>
      </c>
      <c r="F531" s="38"/>
    </row>
    <row r="532" customFormat="false" ht="15" hidden="false" customHeight="false" outlineLevel="0" collapsed="false">
      <c r="B532" s="38" t="n">
        <v>528</v>
      </c>
      <c r="C532" s="37" t="s">
        <v>8120</v>
      </c>
      <c r="D532" s="37" t="s">
        <v>8121</v>
      </c>
      <c r="E532" s="38" t="n">
        <v>175</v>
      </c>
      <c r="F532" s="38"/>
    </row>
    <row r="533" customFormat="false" ht="15" hidden="false" customHeight="false" outlineLevel="0" collapsed="false">
      <c r="B533" s="38" t="n">
        <v>529</v>
      </c>
      <c r="C533" s="37" t="s">
        <v>8122</v>
      </c>
      <c r="D533" s="37" t="s">
        <v>7445</v>
      </c>
      <c r="E533" s="38" t="n">
        <v>218</v>
      </c>
      <c r="F533" s="38"/>
    </row>
    <row r="534" customFormat="false" ht="15" hidden="false" customHeight="false" outlineLevel="0" collapsed="false">
      <c r="B534" s="38" t="n">
        <v>530</v>
      </c>
      <c r="C534" s="37" t="s">
        <v>8123</v>
      </c>
      <c r="D534" s="37" t="s">
        <v>8124</v>
      </c>
      <c r="E534" s="38" t="n">
        <v>176</v>
      </c>
      <c r="F534" s="38"/>
    </row>
    <row r="535" customFormat="false" ht="15" hidden="false" customHeight="false" outlineLevel="0" collapsed="false">
      <c r="B535" s="38" t="n">
        <v>531</v>
      </c>
      <c r="C535" s="37" t="s">
        <v>8125</v>
      </c>
      <c r="D535" s="37" t="s">
        <v>8126</v>
      </c>
      <c r="E535" s="38" t="n">
        <v>181</v>
      </c>
      <c r="F535" s="38"/>
    </row>
    <row r="536" customFormat="false" ht="15" hidden="false" customHeight="false" outlineLevel="0" collapsed="false">
      <c r="B536" s="38" t="n">
        <v>532</v>
      </c>
      <c r="C536" s="37" t="s">
        <v>8127</v>
      </c>
      <c r="D536" s="37" t="s">
        <v>8128</v>
      </c>
      <c r="E536" s="38" t="n">
        <v>172</v>
      </c>
      <c r="F536" s="38"/>
    </row>
    <row r="537" customFormat="false" ht="15" hidden="false" customHeight="false" outlineLevel="0" collapsed="false">
      <c r="B537" s="38" t="n">
        <v>533</v>
      </c>
      <c r="C537" s="37" t="s">
        <v>8129</v>
      </c>
      <c r="D537" s="37" t="s">
        <v>8130</v>
      </c>
      <c r="E537" s="38" t="n">
        <v>169</v>
      </c>
      <c r="F537" s="38"/>
    </row>
    <row r="538" customFormat="false" ht="15" hidden="false" customHeight="false" outlineLevel="0" collapsed="false">
      <c r="B538" s="38" t="n">
        <v>534</v>
      </c>
      <c r="C538" s="37" t="s">
        <v>8131</v>
      </c>
      <c r="D538" s="37" t="s">
        <v>7280</v>
      </c>
      <c r="E538" s="38" t="n">
        <v>320</v>
      </c>
      <c r="F538" s="38"/>
    </row>
    <row r="539" customFormat="false" ht="15" hidden="false" customHeight="false" outlineLevel="0" collapsed="false">
      <c r="B539" s="38" t="n">
        <v>535</v>
      </c>
      <c r="C539" s="37" t="s">
        <v>8132</v>
      </c>
      <c r="D539" s="37" t="s">
        <v>7942</v>
      </c>
      <c r="E539" s="38" t="n">
        <v>320</v>
      </c>
      <c r="F539" s="38"/>
    </row>
    <row r="540" customFormat="false" ht="15" hidden="false" customHeight="false" outlineLevel="0" collapsed="false">
      <c r="B540" s="38" t="n">
        <v>536</v>
      </c>
      <c r="C540" s="37" t="s">
        <v>8133</v>
      </c>
      <c r="D540" s="37" t="s">
        <v>7445</v>
      </c>
      <c r="E540" s="38" t="n">
        <v>218</v>
      </c>
      <c r="F540" s="38"/>
    </row>
    <row r="541" customFormat="false" ht="15" hidden="false" customHeight="false" outlineLevel="0" collapsed="false">
      <c r="B541" s="38" t="n">
        <v>537</v>
      </c>
      <c r="C541" s="37" t="s">
        <v>8134</v>
      </c>
      <c r="D541" s="37" t="s">
        <v>8135</v>
      </c>
      <c r="E541" s="38" t="n">
        <v>181</v>
      </c>
      <c r="F541" s="38"/>
    </row>
    <row r="542" customFormat="false" ht="15" hidden="false" customHeight="false" outlineLevel="0" collapsed="false">
      <c r="B542" s="38" t="n">
        <v>538</v>
      </c>
      <c r="C542" s="37" t="s">
        <v>8136</v>
      </c>
      <c r="D542" s="37" t="s">
        <v>8137</v>
      </c>
      <c r="E542" s="38" t="n">
        <v>161</v>
      </c>
      <c r="F542" s="38"/>
    </row>
    <row r="543" customFormat="false" ht="15" hidden="false" customHeight="false" outlineLevel="0" collapsed="false">
      <c r="B543" s="38" t="n">
        <v>539</v>
      </c>
      <c r="C543" s="37" t="s">
        <v>8138</v>
      </c>
      <c r="D543" s="37" t="s">
        <v>8139</v>
      </c>
      <c r="E543" s="38" t="n">
        <v>164</v>
      </c>
      <c r="F543" s="38"/>
    </row>
    <row r="544" customFormat="false" ht="15" hidden="false" customHeight="false" outlineLevel="0" collapsed="false">
      <c r="B544" s="38" t="n">
        <v>540</v>
      </c>
      <c r="C544" s="37" t="s">
        <v>8140</v>
      </c>
      <c r="D544" s="37" t="s">
        <v>8141</v>
      </c>
      <c r="E544" s="38" t="n">
        <v>182</v>
      </c>
      <c r="F544" s="38"/>
    </row>
    <row r="545" customFormat="false" ht="15" hidden="false" customHeight="false" outlineLevel="0" collapsed="false">
      <c r="B545" s="38" t="n">
        <v>541</v>
      </c>
      <c r="C545" s="37" t="s">
        <v>8142</v>
      </c>
      <c r="D545" s="37" t="s">
        <v>7841</v>
      </c>
      <c r="E545" s="38" t="n">
        <v>208</v>
      </c>
      <c r="F545" s="38"/>
    </row>
    <row r="546" customFormat="false" ht="15" hidden="false" customHeight="false" outlineLevel="0" collapsed="false">
      <c r="B546" s="38" t="n">
        <v>542</v>
      </c>
      <c r="C546" s="37" t="s">
        <v>8143</v>
      </c>
      <c r="D546" s="37" t="s">
        <v>8144</v>
      </c>
      <c r="E546" s="38" t="n">
        <v>175</v>
      </c>
      <c r="F546" s="38"/>
    </row>
    <row r="547" customFormat="false" ht="15" hidden="false" customHeight="false" outlineLevel="0" collapsed="false">
      <c r="B547" s="38" t="n">
        <v>543</v>
      </c>
      <c r="C547" s="37" t="s">
        <v>8145</v>
      </c>
      <c r="D547" s="37" t="s">
        <v>8146</v>
      </c>
      <c r="E547" s="38" t="n">
        <v>162</v>
      </c>
      <c r="F547" s="38"/>
    </row>
    <row r="548" customFormat="false" ht="15" hidden="false" customHeight="false" outlineLevel="0" collapsed="false">
      <c r="B548" s="38" t="n">
        <v>544</v>
      </c>
      <c r="C548" s="37" t="s">
        <v>8147</v>
      </c>
      <c r="D548" s="37" t="s">
        <v>7361</v>
      </c>
      <c r="E548" s="38" t="n">
        <v>189</v>
      </c>
      <c r="F548" s="38"/>
    </row>
    <row r="549" customFormat="false" ht="15" hidden="false" customHeight="false" outlineLevel="0" collapsed="false">
      <c r="B549" s="38" t="n">
        <v>545</v>
      </c>
      <c r="C549" s="37" t="s">
        <v>8148</v>
      </c>
      <c r="D549" s="37" t="s">
        <v>8149</v>
      </c>
      <c r="E549" s="38" t="n">
        <v>165</v>
      </c>
      <c r="F549" s="38"/>
    </row>
    <row r="550" customFormat="false" ht="15" hidden="false" customHeight="false" outlineLevel="0" collapsed="false">
      <c r="B550" s="38" t="n">
        <v>546</v>
      </c>
      <c r="C550" s="37" t="s">
        <v>8150</v>
      </c>
      <c r="D550" s="37" t="s">
        <v>8151</v>
      </c>
      <c r="E550" s="38" t="n">
        <v>174</v>
      </c>
      <c r="F550" s="38"/>
    </row>
    <row r="551" customFormat="false" ht="15" hidden="false" customHeight="false" outlineLevel="0" collapsed="false">
      <c r="B551" s="38" t="n">
        <v>547</v>
      </c>
      <c r="C551" s="37" t="s">
        <v>8152</v>
      </c>
      <c r="D551" s="37" t="s">
        <v>8153</v>
      </c>
      <c r="E551" s="38" t="n">
        <v>162</v>
      </c>
      <c r="F551" s="38"/>
    </row>
    <row r="552" customFormat="false" ht="15" hidden="false" customHeight="false" outlineLevel="0" collapsed="false">
      <c r="B552" s="38" t="n">
        <v>548</v>
      </c>
      <c r="C552" s="37" t="s">
        <v>8154</v>
      </c>
      <c r="D552" s="37" t="s">
        <v>8155</v>
      </c>
      <c r="E552" s="38" t="n">
        <v>206</v>
      </c>
      <c r="F552" s="38"/>
    </row>
    <row r="553" customFormat="false" ht="15" hidden="false" customHeight="false" outlineLevel="0" collapsed="false">
      <c r="B553" s="38" t="n">
        <v>549</v>
      </c>
      <c r="C553" s="37" t="s">
        <v>8156</v>
      </c>
      <c r="D553" s="37" t="s">
        <v>8157</v>
      </c>
      <c r="E553" s="38" t="n">
        <v>163</v>
      </c>
      <c r="F553" s="38"/>
    </row>
    <row r="554" customFormat="false" ht="15" hidden="false" customHeight="false" outlineLevel="0" collapsed="false">
      <c r="B554" s="38" t="n">
        <v>550</v>
      </c>
      <c r="C554" s="37" t="s">
        <v>8158</v>
      </c>
      <c r="D554" s="37" t="s">
        <v>7890</v>
      </c>
      <c r="E554" s="38" t="n">
        <v>320</v>
      </c>
      <c r="F554" s="38"/>
    </row>
    <row r="555" customFormat="false" ht="15" hidden="false" customHeight="false" outlineLevel="0" collapsed="false">
      <c r="B555" s="38" t="n">
        <v>551</v>
      </c>
      <c r="C555" s="37" t="s">
        <v>8159</v>
      </c>
      <c r="D555" s="37" t="s">
        <v>8160</v>
      </c>
      <c r="E555" s="38" t="n">
        <v>177</v>
      </c>
      <c r="F555" s="38"/>
    </row>
    <row r="556" customFormat="false" ht="15" hidden="false" customHeight="false" outlineLevel="0" collapsed="false">
      <c r="B556" s="38" t="n">
        <v>552</v>
      </c>
      <c r="C556" s="37" t="s">
        <v>8161</v>
      </c>
      <c r="D556" s="37" t="s">
        <v>8162</v>
      </c>
      <c r="E556" s="38" t="n">
        <v>210</v>
      </c>
      <c r="F556" s="38"/>
    </row>
    <row r="557" customFormat="false" ht="15" hidden="false" customHeight="false" outlineLevel="0" collapsed="false">
      <c r="B557" s="38" t="n">
        <v>553</v>
      </c>
      <c r="C557" s="37" t="s">
        <v>8163</v>
      </c>
      <c r="D557" s="37" t="s">
        <v>8164</v>
      </c>
      <c r="E557" s="38" t="n">
        <v>184</v>
      </c>
      <c r="F557" s="38"/>
    </row>
    <row r="558" customFormat="false" ht="15" hidden="false" customHeight="false" outlineLevel="0" collapsed="false">
      <c r="B558" s="38" t="n">
        <v>554</v>
      </c>
      <c r="C558" s="37" t="s">
        <v>8165</v>
      </c>
      <c r="D558" s="37" t="s">
        <v>8166</v>
      </c>
      <c r="E558" s="38" t="n">
        <v>242</v>
      </c>
      <c r="F558" s="38"/>
    </row>
    <row r="559" customFormat="false" ht="15" hidden="false" customHeight="false" outlineLevel="0" collapsed="false">
      <c r="B559" s="38" t="n">
        <v>555</v>
      </c>
      <c r="C559" s="37" t="s">
        <v>8167</v>
      </c>
      <c r="D559" s="37" t="s">
        <v>8168</v>
      </c>
      <c r="E559" s="38" t="n">
        <v>167</v>
      </c>
      <c r="F559" s="38"/>
    </row>
    <row r="560" customFormat="false" ht="15" hidden="false" customHeight="false" outlineLevel="0" collapsed="false">
      <c r="B560" s="38" t="n">
        <v>556</v>
      </c>
      <c r="C560" s="37" t="s">
        <v>8169</v>
      </c>
      <c r="D560" s="37" t="s">
        <v>8170</v>
      </c>
      <c r="E560" s="38" t="n">
        <v>239</v>
      </c>
      <c r="F560" s="38"/>
    </row>
    <row r="561" customFormat="false" ht="15" hidden="false" customHeight="false" outlineLevel="0" collapsed="false">
      <c r="B561" s="38" t="n">
        <v>557</v>
      </c>
      <c r="C561" s="37" t="s">
        <v>8171</v>
      </c>
      <c r="D561" s="37" t="s">
        <v>8172</v>
      </c>
      <c r="E561" s="38" t="n">
        <v>176</v>
      </c>
      <c r="F561" s="38"/>
    </row>
    <row r="562" customFormat="false" ht="15" hidden="false" customHeight="false" outlineLevel="0" collapsed="false">
      <c r="B562" s="38" t="n">
        <v>558</v>
      </c>
      <c r="C562" s="37" t="s">
        <v>8173</v>
      </c>
      <c r="D562" s="37" t="s">
        <v>7803</v>
      </c>
      <c r="E562" s="38" t="n">
        <v>320</v>
      </c>
      <c r="F562" s="38"/>
    </row>
    <row r="563" customFormat="false" ht="15" hidden="false" customHeight="false" outlineLevel="0" collapsed="false">
      <c r="B563" s="38" t="n">
        <v>559</v>
      </c>
      <c r="C563" s="37" t="s">
        <v>8174</v>
      </c>
      <c r="D563" s="37" t="s">
        <v>8175</v>
      </c>
      <c r="E563" s="38" t="n">
        <v>192</v>
      </c>
      <c r="F563" s="38"/>
    </row>
    <row r="564" customFormat="false" ht="15" hidden="false" customHeight="false" outlineLevel="0" collapsed="false">
      <c r="B564" s="38" t="n">
        <v>560</v>
      </c>
      <c r="C564" s="37" t="s">
        <v>8176</v>
      </c>
      <c r="D564" s="37" t="s">
        <v>7361</v>
      </c>
      <c r="E564" s="38" t="n">
        <v>189</v>
      </c>
      <c r="F564" s="38"/>
    </row>
    <row r="565" customFormat="false" ht="15" hidden="false" customHeight="false" outlineLevel="0" collapsed="false">
      <c r="B565" s="38" t="n">
        <v>561</v>
      </c>
      <c r="C565" s="37" t="s">
        <v>8177</v>
      </c>
      <c r="D565" s="37" t="s">
        <v>8178</v>
      </c>
      <c r="E565" s="38" t="n">
        <v>171</v>
      </c>
      <c r="F565" s="38"/>
    </row>
    <row r="566" customFormat="false" ht="15" hidden="false" customHeight="false" outlineLevel="0" collapsed="false">
      <c r="B566" s="38" t="n">
        <v>562</v>
      </c>
      <c r="C566" s="37" t="s">
        <v>8179</v>
      </c>
      <c r="D566" s="37" t="s">
        <v>7767</v>
      </c>
      <c r="E566" s="38" t="n">
        <v>195</v>
      </c>
      <c r="F566" s="38"/>
    </row>
    <row r="567" customFormat="false" ht="15" hidden="false" customHeight="false" outlineLevel="0" collapsed="false">
      <c r="B567" s="38" t="n">
        <v>563</v>
      </c>
      <c r="C567" s="37" t="s">
        <v>8180</v>
      </c>
      <c r="D567" s="37" t="s">
        <v>8181</v>
      </c>
      <c r="E567" s="38" t="n">
        <v>162</v>
      </c>
      <c r="F567" s="38"/>
    </row>
    <row r="568" customFormat="false" ht="15" hidden="false" customHeight="false" outlineLevel="0" collapsed="false">
      <c r="B568" s="38" t="n">
        <v>564</v>
      </c>
      <c r="C568" s="37" t="s">
        <v>8182</v>
      </c>
      <c r="D568" s="37" t="s">
        <v>8183</v>
      </c>
      <c r="E568" s="38" t="n">
        <v>181</v>
      </c>
      <c r="F568" s="38"/>
    </row>
    <row r="569" customFormat="false" ht="15" hidden="false" customHeight="false" outlineLevel="0" collapsed="false">
      <c r="B569" s="38" t="n">
        <v>565</v>
      </c>
      <c r="C569" s="37" t="s">
        <v>8184</v>
      </c>
      <c r="D569" s="37" t="s">
        <v>8185</v>
      </c>
      <c r="E569" s="38" t="n">
        <v>201</v>
      </c>
      <c r="F569" s="38"/>
    </row>
    <row r="570" customFormat="false" ht="15" hidden="false" customHeight="false" outlineLevel="0" collapsed="false">
      <c r="B570" s="38" t="n">
        <v>566</v>
      </c>
      <c r="C570" s="37" t="s">
        <v>8186</v>
      </c>
      <c r="D570" s="37" t="s">
        <v>7994</v>
      </c>
      <c r="E570" s="38" t="n">
        <v>319</v>
      </c>
      <c r="F570" s="38"/>
    </row>
    <row r="571" customFormat="false" ht="15" hidden="false" customHeight="false" outlineLevel="0" collapsed="false">
      <c r="B571" s="38" t="n">
        <v>567</v>
      </c>
      <c r="C571" s="37" t="s">
        <v>8187</v>
      </c>
      <c r="D571" s="37" t="s">
        <v>8188</v>
      </c>
      <c r="E571" s="38" t="n">
        <v>200</v>
      </c>
      <c r="F571" s="38"/>
    </row>
    <row r="572" customFormat="false" ht="15" hidden="false" customHeight="false" outlineLevel="0" collapsed="false">
      <c r="B572" s="38" t="n">
        <v>568</v>
      </c>
      <c r="C572" s="37" t="s">
        <v>8189</v>
      </c>
      <c r="D572" s="37" t="s">
        <v>8190</v>
      </c>
      <c r="E572" s="38" t="n">
        <v>170</v>
      </c>
      <c r="F572" s="38"/>
    </row>
    <row r="573" customFormat="false" ht="15" hidden="false" customHeight="false" outlineLevel="0" collapsed="false">
      <c r="B573" s="38" t="n">
        <v>569</v>
      </c>
      <c r="C573" s="37" t="s">
        <v>8191</v>
      </c>
      <c r="D573" s="37" t="s">
        <v>7416</v>
      </c>
      <c r="E573" s="38" t="n">
        <v>165</v>
      </c>
      <c r="F573" s="38"/>
    </row>
    <row r="574" customFormat="false" ht="15" hidden="false" customHeight="false" outlineLevel="0" collapsed="false">
      <c r="B574" s="38" t="n">
        <v>570</v>
      </c>
      <c r="C574" s="37" t="s">
        <v>8192</v>
      </c>
      <c r="D574" s="37" t="s">
        <v>7334</v>
      </c>
      <c r="E574" s="38" t="n">
        <v>178</v>
      </c>
      <c r="F574" s="38"/>
    </row>
    <row r="575" customFormat="false" ht="15" hidden="false" customHeight="false" outlineLevel="0" collapsed="false">
      <c r="B575" s="38" t="n">
        <v>571</v>
      </c>
      <c r="C575" s="37" t="s">
        <v>8193</v>
      </c>
      <c r="D575" s="37" t="s">
        <v>8194</v>
      </c>
      <c r="E575" s="38" t="n">
        <v>319</v>
      </c>
      <c r="F575" s="38"/>
    </row>
    <row r="576" customFormat="false" ht="15" hidden="false" customHeight="false" outlineLevel="0" collapsed="false">
      <c r="B576" s="38" t="n">
        <v>572</v>
      </c>
      <c r="C576" s="37" t="s">
        <v>8195</v>
      </c>
      <c r="D576" s="37" t="s">
        <v>8196</v>
      </c>
      <c r="E576" s="38" t="n">
        <v>178</v>
      </c>
      <c r="F576" s="38"/>
    </row>
    <row r="577" customFormat="false" ht="15" hidden="false" customHeight="false" outlineLevel="0" collapsed="false">
      <c r="B577" s="38" t="n">
        <v>573</v>
      </c>
      <c r="C577" s="37" t="s">
        <v>8197</v>
      </c>
      <c r="D577" s="37" t="s">
        <v>8198</v>
      </c>
      <c r="E577" s="38" t="n">
        <v>178</v>
      </c>
      <c r="F577" s="38"/>
    </row>
    <row r="578" customFormat="false" ht="15" hidden="false" customHeight="false" outlineLevel="0" collapsed="false">
      <c r="B578" s="38" t="n">
        <v>574</v>
      </c>
      <c r="C578" s="37" t="s">
        <v>8199</v>
      </c>
      <c r="D578" s="37" t="s">
        <v>8200</v>
      </c>
      <c r="E578" s="38" t="n">
        <v>228</v>
      </c>
      <c r="F578" s="38"/>
    </row>
    <row r="579" customFormat="false" ht="15" hidden="false" customHeight="false" outlineLevel="0" collapsed="false">
      <c r="B579" s="38" t="n">
        <v>575</v>
      </c>
      <c r="C579" s="37" t="s">
        <v>8201</v>
      </c>
      <c r="D579" s="37" t="s">
        <v>8202</v>
      </c>
      <c r="E579" s="38" t="n">
        <v>207</v>
      </c>
      <c r="F579" s="38"/>
    </row>
    <row r="580" customFormat="false" ht="15" hidden="false" customHeight="false" outlineLevel="0" collapsed="false">
      <c r="B580" s="38" t="n">
        <v>576</v>
      </c>
      <c r="C580" s="37" t="s">
        <v>8203</v>
      </c>
      <c r="D580" s="37" t="s">
        <v>8204</v>
      </c>
      <c r="E580" s="38" t="n">
        <v>164</v>
      </c>
      <c r="F580" s="38"/>
    </row>
    <row r="581" customFormat="false" ht="15" hidden="false" customHeight="false" outlineLevel="0" collapsed="false">
      <c r="B581" s="38" t="n">
        <v>577</v>
      </c>
      <c r="C581" s="37" t="s">
        <v>7131</v>
      </c>
      <c r="D581" s="37" t="s">
        <v>8205</v>
      </c>
      <c r="E581" s="38" t="n">
        <v>162</v>
      </c>
      <c r="F581" s="38"/>
    </row>
    <row r="582" customFormat="false" ht="15" hidden="false" customHeight="false" outlineLevel="0" collapsed="false">
      <c r="B582" s="38" t="n">
        <v>578</v>
      </c>
      <c r="C582" s="37" t="s">
        <v>8206</v>
      </c>
      <c r="D582" s="37" t="s">
        <v>8207</v>
      </c>
      <c r="E582" s="38" t="n">
        <v>174</v>
      </c>
      <c r="F582" s="38"/>
    </row>
    <row r="583" customFormat="false" ht="15" hidden="false" customHeight="false" outlineLevel="0" collapsed="false">
      <c r="B583" s="38" t="n">
        <v>579</v>
      </c>
      <c r="C583" s="37" t="s">
        <v>7257</v>
      </c>
      <c r="D583" s="37" t="s">
        <v>8208</v>
      </c>
      <c r="E583" s="38" t="n">
        <v>161</v>
      </c>
      <c r="F583" s="38"/>
    </row>
    <row r="584" customFormat="false" ht="15" hidden="false" customHeight="false" outlineLevel="0" collapsed="false">
      <c r="B584" s="38" t="n">
        <v>580</v>
      </c>
      <c r="C584" s="37" t="s">
        <v>8209</v>
      </c>
      <c r="D584" s="37" t="s">
        <v>8210</v>
      </c>
      <c r="E584" s="38" t="n">
        <v>212</v>
      </c>
      <c r="F584" s="38"/>
    </row>
    <row r="585" customFormat="false" ht="15" hidden="false" customHeight="false" outlineLevel="0" collapsed="false">
      <c r="B585" s="38" t="n">
        <v>581</v>
      </c>
      <c r="C585" s="37" t="s">
        <v>8211</v>
      </c>
      <c r="D585" s="37" t="s">
        <v>7280</v>
      </c>
      <c r="E585" s="38" t="n">
        <v>320</v>
      </c>
      <c r="F585" s="38"/>
    </row>
    <row r="586" customFormat="false" ht="15" hidden="false" customHeight="false" outlineLevel="0" collapsed="false">
      <c r="B586" s="38" t="n">
        <v>582</v>
      </c>
      <c r="C586" s="37" t="s">
        <v>8212</v>
      </c>
      <c r="D586" s="37" t="s">
        <v>7844</v>
      </c>
      <c r="E586" s="38" t="n">
        <v>320</v>
      </c>
      <c r="F586" s="38"/>
    </row>
    <row r="587" customFormat="false" ht="15" hidden="false" customHeight="false" outlineLevel="0" collapsed="false">
      <c r="B587" s="38" t="n">
        <v>583</v>
      </c>
      <c r="C587" s="37" t="s">
        <v>8213</v>
      </c>
      <c r="D587" s="37" t="s">
        <v>8214</v>
      </c>
      <c r="E587" s="38" t="n">
        <v>184</v>
      </c>
      <c r="F587" s="38"/>
    </row>
    <row r="588" customFormat="false" ht="15" hidden="false" customHeight="false" outlineLevel="0" collapsed="false">
      <c r="B588" s="38" t="n">
        <v>584</v>
      </c>
      <c r="C588" s="37" t="s">
        <v>8215</v>
      </c>
      <c r="D588" s="37" t="s">
        <v>7882</v>
      </c>
      <c r="E588" s="38" t="n">
        <v>210</v>
      </c>
      <c r="F588" s="38"/>
    </row>
    <row r="589" customFormat="false" ht="15" hidden="false" customHeight="false" outlineLevel="0" collapsed="false">
      <c r="B589" s="38" t="n">
        <v>585</v>
      </c>
      <c r="C589" s="37" t="s">
        <v>8216</v>
      </c>
      <c r="D589" s="37" t="s">
        <v>7895</v>
      </c>
      <c r="E589" s="38" t="n">
        <v>215</v>
      </c>
      <c r="F589" s="38"/>
    </row>
    <row r="590" customFormat="false" ht="15" hidden="false" customHeight="false" outlineLevel="0" collapsed="false">
      <c r="B590" s="38" t="n">
        <v>586</v>
      </c>
      <c r="C590" s="37" t="s">
        <v>8217</v>
      </c>
      <c r="D590" s="37" t="s">
        <v>8218</v>
      </c>
      <c r="E590" s="38" t="n">
        <v>175</v>
      </c>
      <c r="F590" s="38"/>
    </row>
    <row r="591" customFormat="false" ht="15" hidden="false" customHeight="false" outlineLevel="0" collapsed="false">
      <c r="B591" s="38" t="n">
        <v>587</v>
      </c>
      <c r="C591" s="37" t="s">
        <v>8219</v>
      </c>
      <c r="D591" s="37" t="s">
        <v>7334</v>
      </c>
      <c r="E591" s="38" t="n">
        <v>178</v>
      </c>
      <c r="F591" s="38"/>
    </row>
    <row r="592" customFormat="false" ht="15" hidden="false" customHeight="false" outlineLevel="0" collapsed="false">
      <c r="B592" s="38" t="n">
        <v>588</v>
      </c>
      <c r="C592" s="37" t="s">
        <v>8220</v>
      </c>
      <c r="D592" s="37" t="s">
        <v>7890</v>
      </c>
      <c r="E592" s="38" t="n">
        <v>320</v>
      </c>
      <c r="F592" s="38"/>
    </row>
    <row r="593" customFormat="false" ht="15" hidden="false" customHeight="false" outlineLevel="0" collapsed="false">
      <c r="B593" s="38" t="n">
        <v>589</v>
      </c>
      <c r="C593" s="37" t="s">
        <v>8221</v>
      </c>
      <c r="D593" s="37" t="s">
        <v>7780</v>
      </c>
      <c r="E593" s="38" t="n">
        <v>161</v>
      </c>
      <c r="F593" s="38"/>
    </row>
    <row r="594" customFormat="false" ht="15" hidden="false" customHeight="false" outlineLevel="0" collapsed="false">
      <c r="B594" s="38" t="n">
        <v>590</v>
      </c>
      <c r="C594" s="37" t="s">
        <v>8222</v>
      </c>
      <c r="D594" s="37" t="s">
        <v>8223</v>
      </c>
      <c r="E594" s="38" t="n">
        <v>181</v>
      </c>
      <c r="F594" s="38"/>
    </row>
    <row r="595" customFormat="false" ht="15" hidden="false" customHeight="false" outlineLevel="0" collapsed="false">
      <c r="B595" s="38" t="n">
        <v>591</v>
      </c>
      <c r="C595" s="37" t="s">
        <v>8224</v>
      </c>
      <c r="D595" s="37" t="s">
        <v>8225</v>
      </c>
      <c r="E595" s="38" t="n">
        <v>166</v>
      </c>
      <c r="F595" s="38"/>
    </row>
    <row r="596" customFormat="false" ht="15" hidden="false" customHeight="false" outlineLevel="0" collapsed="false">
      <c r="B596" s="38" t="n">
        <v>592</v>
      </c>
      <c r="C596" s="37" t="s">
        <v>8226</v>
      </c>
      <c r="D596" s="37" t="s">
        <v>8227</v>
      </c>
      <c r="E596" s="38" t="n">
        <v>168</v>
      </c>
      <c r="F596" s="38"/>
    </row>
    <row r="597" customFormat="false" ht="15" hidden="false" customHeight="false" outlineLevel="0" collapsed="false">
      <c r="B597" s="38" t="n">
        <v>593</v>
      </c>
      <c r="C597" s="37" t="s">
        <v>8228</v>
      </c>
      <c r="D597" s="37" t="s">
        <v>8229</v>
      </c>
      <c r="E597" s="38" t="n">
        <v>180</v>
      </c>
      <c r="F597" s="38"/>
    </row>
    <row r="598" customFormat="false" ht="15" hidden="false" customHeight="false" outlineLevel="0" collapsed="false">
      <c r="B598" s="38" t="n">
        <v>594</v>
      </c>
      <c r="C598" s="37" t="s">
        <v>8230</v>
      </c>
      <c r="D598" s="37" t="s">
        <v>8231</v>
      </c>
      <c r="E598" s="38" t="n">
        <v>320</v>
      </c>
      <c r="F598" s="38"/>
    </row>
    <row r="599" customFormat="false" ht="15" hidden="false" customHeight="false" outlineLevel="0" collapsed="false">
      <c r="B599" s="38" t="n">
        <v>595</v>
      </c>
      <c r="C599" s="37" t="s">
        <v>8232</v>
      </c>
      <c r="D599" s="37" t="s">
        <v>7322</v>
      </c>
      <c r="E599" s="38" t="n">
        <v>173</v>
      </c>
      <c r="F599" s="38"/>
    </row>
    <row r="600" customFormat="false" ht="15" hidden="false" customHeight="false" outlineLevel="0" collapsed="false">
      <c r="B600" s="38" t="n">
        <v>596</v>
      </c>
      <c r="C600" s="37" t="s">
        <v>8233</v>
      </c>
      <c r="D600" s="37" t="s">
        <v>8234</v>
      </c>
      <c r="E600" s="38" t="n">
        <v>232</v>
      </c>
      <c r="F600" s="38"/>
    </row>
    <row r="601" customFormat="false" ht="15" hidden="false" customHeight="false" outlineLevel="0" collapsed="false">
      <c r="B601" s="38" t="n">
        <v>597</v>
      </c>
      <c r="C601" s="37" t="s">
        <v>8235</v>
      </c>
      <c r="D601" s="37" t="s">
        <v>8236</v>
      </c>
      <c r="E601" s="38" t="n">
        <v>175</v>
      </c>
      <c r="F601" s="38"/>
    </row>
    <row r="602" customFormat="false" ht="15" hidden="false" customHeight="false" outlineLevel="0" collapsed="false">
      <c r="B602" s="38" t="n">
        <v>598</v>
      </c>
      <c r="C602" s="37" t="s">
        <v>6900</v>
      </c>
      <c r="D602" s="37" t="s">
        <v>8237</v>
      </c>
      <c r="E602" s="38" t="n">
        <v>171</v>
      </c>
      <c r="F602" s="38"/>
    </row>
    <row r="603" customFormat="false" ht="15" hidden="false" customHeight="false" outlineLevel="0" collapsed="false">
      <c r="B603" s="38" t="n">
        <v>599</v>
      </c>
      <c r="C603" s="37" t="s">
        <v>8238</v>
      </c>
      <c r="D603" s="37" t="s">
        <v>8239</v>
      </c>
      <c r="E603" s="38" t="n">
        <v>186</v>
      </c>
      <c r="F603" s="38"/>
    </row>
    <row r="604" customFormat="false" ht="15" hidden="false" customHeight="false" outlineLevel="0" collapsed="false">
      <c r="B604" s="38" t="n">
        <v>600</v>
      </c>
      <c r="C604" s="37" t="s">
        <v>8240</v>
      </c>
      <c r="D604" s="37" t="s">
        <v>8241</v>
      </c>
      <c r="E604" s="38" t="n">
        <v>180</v>
      </c>
      <c r="F604" s="38"/>
    </row>
    <row r="605" customFormat="false" ht="15" hidden="false" customHeight="false" outlineLevel="0" collapsed="false">
      <c r="B605" s="38" t="n">
        <v>601</v>
      </c>
      <c r="C605" s="37" t="s">
        <v>8242</v>
      </c>
      <c r="D605" s="37" t="s">
        <v>7445</v>
      </c>
      <c r="E605" s="38" t="n">
        <v>218</v>
      </c>
      <c r="F605" s="38"/>
    </row>
    <row r="606" customFormat="false" ht="15" hidden="false" customHeight="false" outlineLevel="0" collapsed="false">
      <c r="B606" s="38" t="n">
        <v>602</v>
      </c>
      <c r="C606" s="37" t="s">
        <v>8243</v>
      </c>
      <c r="D606" s="37" t="s">
        <v>8244</v>
      </c>
      <c r="E606" s="38" t="n">
        <v>189</v>
      </c>
      <c r="F606" s="38"/>
    </row>
    <row r="607" customFormat="false" ht="15" hidden="false" customHeight="false" outlineLevel="0" collapsed="false">
      <c r="B607" s="38" t="n">
        <v>603</v>
      </c>
      <c r="C607" s="37" t="s">
        <v>8245</v>
      </c>
      <c r="D607" s="37" t="s">
        <v>8246</v>
      </c>
      <c r="E607" s="38" t="n">
        <v>174</v>
      </c>
      <c r="F607" s="38"/>
    </row>
    <row r="608" customFormat="false" ht="15" hidden="false" customHeight="false" outlineLevel="0" collapsed="false">
      <c r="B608" s="38" t="n">
        <v>604</v>
      </c>
      <c r="C608" s="37" t="s">
        <v>8247</v>
      </c>
      <c r="D608" s="37" t="s">
        <v>8248</v>
      </c>
      <c r="E608" s="38" t="n">
        <v>193</v>
      </c>
      <c r="F608" s="38"/>
    </row>
    <row r="609" customFormat="false" ht="15" hidden="false" customHeight="false" outlineLevel="0" collapsed="false">
      <c r="B609" s="38" t="n">
        <v>605</v>
      </c>
      <c r="C609" s="37" t="s">
        <v>8249</v>
      </c>
      <c r="D609" s="37" t="s">
        <v>8250</v>
      </c>
      <c r="E609" s="38" t="n">
        <v>223</v>
      </c>
      <c r="F609" s="38"/>
    </row>
    <row r="610" customFormat="false" ht="15" hidden="false" customHeight="false" outlineLevel="0" collapsed="false">
      <c r="B610" s="38" t="n">
        <v>606</v>
      </c>
      <c r="C610" s="37" t="s">
        <v>8251</v>
      </c>
      <c r="D610" s="37" t="s">
        <v>8151</v>
      </c>
      <c r="E610" s="38" t="n">
        <v>174</v>
      </c>
      <c r="F610" s="38"/>
    </row>
    <row r="611" customFormat="false" ht="15" hidden="false" customHeight="false" outlineLevel="0" collapsed="false">
      <c r="B611" s="38" t="n">
        <v>607</v>
      </c>
      <c r="C611" s="37" t="s">
        <v>8252</v>
      </c>
      <c r="D611" s="37" t="s">
        <v>8253</v>
      </c>
      <c r="E611" s="38" t="n">
        <v>167</v>
      </c>
      <c r="F611" s="38"/>
    </row>
    <row r="612" customFormat="false" ht="15" hidden="false" customHeight="false" outlineLevel="0" collapsed="false">
      <c r="B612" s="38" t="n">
        <v>608</v>
      </c>
      <c r="C612" s="37" t="s">
        <v>8254</v>
      </c>
      <c r="D612" s="37" t="s">
        <v>8255</v>
      </c>
      <c r="E612" s="38" t="n">
        <v>169</v>
      </c>
      <c r="F612" s="38"/>
    </row>
    <row r="613" customFormat="false" ht="15" hidden="false" customHeight="false" outlineLevel="0" collapsed="false">
      <c r="B613" s="38" t="n">
        <v>609</v>
      </c>
      <c r="C613" s="37" t="s">
        <v>8256</v>
      </c>
      <c r="D613" s="37" t="s">
        <v>7280</v>
      </c>
      <c r="E613" s="38" t="n">
        <v>320</v>
      </c>
      <c r="F613" s="38"/>
    </row>
    <row r="614" customFormat="false" ht="15" hidden="false" customHeight="false" outlineLevel="0" collapsed="false">
      <c r="B614" s="38" t="n">
        <v>610</v>
      </c>
      <c r="C614" s="37" t="s">
        <v>8257</v>
      </c>
      <c r="D614" s="37" t="s">
        <v>8258</v>
      </c>
      <c r="E614" s="38" t="n">
        <v>187</v>
      </c>
      <c r="F614" s="38"/>
    </row>
    <row r="615" customFormat="false" ht="15" hidden="false" customHeight="false" outlineLevel="0" collapsed="false">
      <c r="B615" s="38" t="n">
        <v>611</v>
      </c>
      <c r="C615" s="37" t="s">
        <v>8259</v>
      </c>
      <c r="D615" s="37" t="s">
        <v>8260</v>
      </c>
      <c r="E615" s="38" t="n">
        <v>192</v>
      </c>
      <c r="F615" s="38"/>
    </row>
    <row r="616" customFormat="false" ht="15" hidden="false" customHeight="false" outlineLevel="0" collapsed="false">
      <c r="B616" s="38" t="n">
        <v>612</v>
      </c>
      <c r="C616" s="37" t="s">
        <v>8261</v>
      </c>
      <c r="D616" s="37" t="s">
        <v>8262</v>
      </c>
      <c r="E616" s="38" t="n">
        <v>176</v>
      </c>
      <c r="F616" s="38"/>
    </row>
    <row r="617" customFormat="false" ht="15" hidden="false" customHeight="false" outlineLevel="0" collapsed="false">
      <c r="B617" s="38" t="n">
        <v>613</v>
      </c>
      <c r="C617" s="37" t="s">
        <v>8263</v>
      </c>
      <c r="D617" s="37" t="s">
        <v>8264</v>
      </c>
      <c r="E617" s="38" t="n">
        <v>320</v>
      </c>
      <c r="F617" s="38"/>
    </row>
    <row r="618" customFormat="false" ht="15" hidden="false" customHeight="false" outlineLevel="0" collapsed="false">
      <c r="B618" s="38" t="n">
        <v>614</v>
      </c>
      <c r="C618" s="37" t="s">
        <v>8265</v>
      </c>
      <c r="D618" s="37" t="s">
        <v>8266</v>
      </c>
      <c r="E618" s="38" t="n">
        <v>191</v>
      </c>
      <c r="F618" s="38"/>
    </row>
    <row r="619" customFormat="false" ht="15" hidden="false" customHeight="false" outlineLevel="0" collapsed="false">
      <c r="B619" s="38" t="n">
        <v>615</v>
      </c>
      <c r="C619" s="37" t="s">
        <v>8267</v>
      </c>
      <c r="D619" s="37" t="s">
        <v>8268</v>
      </c>
      <c r="E619" s="38" t="n">
        <v>169</v>
      </c>
      <c r="F619" s="38"/>
    </row>
    <row r="620" customFormat="false" ht="15" hidden="false" customHeight="false" outlineLevel="0" collapsed="false">
      <c r="B620" s="38" t="n">
        <v>616</v>
      </c>
      <c r="C620" s="37" t="s">
        <v>8269</v>
      </c>
      <c r="D620" s="37" t="s">
        <v>8270</v>
      </c>
      <c r="E620" s="38" t="n">
        <v>189</v>
      </c>
      <c r="F620" s="38"/>
    </row>
    <row r="621" customFormat="false" ht="15" hidden="false" customHeight="false" outlineLevel="0" collapsed="false">
      <c r="B621" s="38" t="n">
        <v>617</v>
      </c>
      <c r="C621" s="37" t="s">
        <v>8271</v>
      </c>
      <c r="D621" s="37" t="s">
        <v>7416</v>
      </c>
      <c r="E621" s="38" t="n">
        <v>165</v>
      </c>
      <c r="F621" s="38"/>
    </row>
    <row r="622" customFormat="false" ht="15" hidden="false" customHeight="false" outlineLevel="0" collapsed="false">
      <c r="B622" s="38" t="n">
        <v>618</v>
      </c>
      <c r="C622" s="37" t="s">
        <v>8272</v>
      </c>
      <c r="D622" s="37" t="s">
        <v>8273</v>
      </c>
      <c r="E622" s="38" t="n">
        <v>201</v>
      </c>
      <c r="F622" s="38"/>
    </row>
    <row r="623" customFormat="false" ht="15" hidden="false" customHeight="false" outlineLevel="0" collapsed="false">
      <c r="B623" s="38" t="n">
        <v>619</v>
      </c>
      <c r="C623" s="37" t="s">
        <v>8274</v>
      </c>
      <c r="D623" s="37" t="s">
        <v>7361</v>
      </c>
      <c r="E623" s="38" t="n">
        <v>189</v>
      </c>
      <c r="F623" s="38"/>
    </row>
    <row r="624" customFormat="false" ht="15" hidden="false" customHeight="false" outlineLevel="0" collapsed="false">
      <c r="B624" s="38" t="n">
        <v>620</v>
      </c>
      <c r="C624" s="37" t="s">
        <v>8275</v>
      </c>
      <c r="D624" s="37" t="s">
        <v>8276</v>
      </c>
      <c r="E624" s="38" t="n">
        <v>165</v>
      </c>
      <c r="F624" s="38"/>
    </row>
    <row r="625" customFormat="false" ht="15" hidden="false" customHeight="false" outlineLevel="0" collapsed="false">
      <c r="B625" s="38" t="n">
        <v>621</v>
      </c>
      <c r="C625" s="37" t="s">
        <v>8277</v>
      </c>
      <c r="D625" s="37" t="s">
        <v>8278</v>
      </c>
      <c r="E625" s="38" t="n">
        <v>162</v>
      </c>
      <c r="F625" s="38"/>
    </row>
    <row r="626" customFormat="false" ht="15" hidden="false" customHeight="false" outlineLevel="0" collapsed="false">
      <c r="B626" s="38" t="n">
        <v>622</v>
      </c>
      <c r="C626" s="37" t="s">
        <v>8279</v>
      </c>
      <c r="D626" s="37" t="s">
        <v>8280</v>
      </c>
      <c r="E626" s="38" t="n">
        <v>169</v>
      </c>
      <c r="F626" s="38"/>
    </row>
    <row r="627" customFormat="false" ht="15" hidden="false" customHeight="false" outlineLevel="0" collapsed="false">
      <c r="B627" s="38" t="n">
        <v>623</v>
      </c>
      <c r="C627" s="37" t="s">
        <v>8281</v>
      </c>
      <c r="D627" s="37" t="s">
        <v>8282</v>
      </c>
      <c r="E627" s="38" t="n">
        <v>163</v>
      </c>
      <c r="F627" s="38"/>
    </row>
    <row r="628" customFormat="false" ht="15" hidden="false" customHeight="false" outlineLevel="0" collapsed="false">
      <c r="B628" s="38" t="n">
        <v>624</v>
      </c>
      <c r="C628" s="37" t="s">
        <v>8283</v>
      </c>
      <c r="D628" s="37" t="s">
        <v>8284</v>
      </c>
      <c r="E628" s="38" t="n">
        <v>169</v>
      </c>
      <c r="F628" s="38"/>
    </row>
    <row r="629" customFormat="false" ht="15" hidden="false" customHeight="false" outlineLevel="0" collapsed="false">
      <c r="B629" s="38" t="n">
        <v>625</v>
      </c>
      <c r="C629" s="37" t="s">
        <v>8285</v>
      </c>
      <c r="D629" s="37" t="s">
        <v>7759</v>
      </c>
      <c r="E629" s="38" t="n">
        <v>320</v>
      </c>
      <c r="F629" s="38"/>
    </row>
    <row r="630" customFormat="false" ht="15" hidden="false" customHeight="false" outlineLevel="0" collapsed="false">
      <c r="B630" s="38" t="n">
        <v>626</v>
      </c>
      <c r="C630" s="37" t="s">
        <v>8286</v>
      </c>
      <c r="D630" s="37" t="s">
        <v>8287</v>
      </c>
      <c r="E630" s="38" t="n">
        <v>213</v>
      </c>
      <c r="F630" s="38"/>
    </row>
    <row r="631" customFormat="false" ht="15" hidden="false" customHeight="false" outlineLevel="0" collapsed="false">
      <c r="B631" s="38" t="n">
        <v>627</v>
      </c>
      <c r="C631" s="37" t="s">
        <v>8288</v>
      </c>
      <c r="D631" s="37" t="s">
        <v>8289</v>
      </c>
      <c r="E631" s="38" t="n">
        <v>201</v>
      </c>
      <c r="F631" s="38"/>
    </row>
    <row r="632" customFormat="false" ht="15" hidden="false" customHeight="false" outlineLevel="0" collapsed="false">
      <c r="B632" s="38" t="n">
        <v>628</v>
      </c>
      <c r="C632" s="37" t="s">
        <v>8290</v>
      </c>
      <c r="D632" s="37" t="s">
        <v>8291</v>
      </c>
      <c r="E632" s="38" t="n">
        <v>184</v>
      </c>
      <c r="F632" s="38"/>
    </row>
    <row r="633" customFormat="false" ht="15" hidden="false" customHeight="false" outlineLevel="0" collapsed="false">
      <c r="B633" s="38" t="n">
        <v>629</v>
      </c>
      <c r="C633" s="37" t="s">
        <v>8292</v>
      </c>
      <c r="D633" s="37" t="s">
        <v>8293</v>
      </c>
      <c r="E633" s="38" t="n">
        <v>181</v>
      </c>
      <c r="F633" s="38"/>
    </row>
    <row r="634" customFormat="false" ht="15" hidden="false" customHeight="false" outlineLevel="0" collapsed="false">
      <c r="B634" s="38" t="n">
        <v>630</v>
      </c>
      <c r="C634" s="37" t="s">
        <v>8294</v>
      </c>
      <c r="D634" s="37" t="s">
        <v>7794</v>
      </c>
      <c r="E634" s="38" t="n">
        <v>171</v>
      </c>
      <c r="F634" s="38"/>
    </row>
    <row r="635" customFormat="false" ht="15" hidden="false" customHeight="false" outlineLevel="0" collapsed="false">
      <c r="B635" s="38" t="n">
        <v>631</v>
      </c>
      <c r="C635" s="37" t="s">
        <v>8295</v>
      </c>
      <c r="D635" s="37" t="s">
        <v>7773</v>
      </c>
      <c r="E635" s="38" t="n">
        <v>169</v>
      </c>
      <c r="F635" s="38"/>
    </row>
    <row r="636" customFormat="false" ht="15" hidden="false" customHeight="false" outlineLevel="0" collapsed="false">
      <c r="B636" s="38" t="n">
        <v>632</v>
      </c>
      <c r="C636" s="37" t="s">
        <v>8296</v>
      </c>
      <c r="D636" s="37" t="s">
        <v>8297</v>
      </c>
      <c r="E636" s="38" t="n">
        <v>178</v>
      </c>
      <c r="F636" s="38"/>
    </row>
    <row r="637" customFormat="false" ht="15" hidden="false" customHeight="false" outlineLevel="0" collapsed="false">
      <c r="B637" s="38" t="n">
        <v>633</v>
      </c>
      <c r="C637" s="37" t="s">
        <v>8298</v>
      </c>
      <c r="D637" s="37" t="s">
        <v>8299</v>
      </c>
      <c r="E637" s="38" t="n">
        <v>184</v>
      </c>
      <c r="F637" s="38"/>
    </row>
    <row r="638" customFormat="false" ht="15" hidden="false" customHeight="false" outlineLevel="0" collapsed="false">
      <c r="B638" s="38" t="n">
        <v>634</v>
      </c>
      <c r="C638" s="37" t="s">
        <v>8300</v>
      </c>
      <c r="D638" s="37" t="s">
        <v>8301</v>
      </c>
      <c r="E638" s="38" t="n">
        <v>182</v>
      </c>
      <c r="F638" s="38"/>
    </row>
    <row r="639" customFormat="false" ht="15" hidden="false" customHeight="false" outlineLevel="0" collapsed="false">
      <c r="B639" s="38" t="n">
        <v>635</v>
      </c>
      <c r="C639" s="37" t="s">
        <v>8302</v>
      </c>
      <c r="D639" s="37" t="s">
        <v>7759</v>
      </c>
      <c r="E639" s="38" t="n">
        <v>320</v>
      </c>
      <c r="F639" s="38"/>
    </row>
    <row r="640" customFormat="false" ht="15" hidden="false" customHeight="false" outlineLevel="0" collapsed="false">
      <c r="B640" s="38" t="n">
        <v>636</v>
      </c>
      <c r="C640" s="37" t="s">
        <v>8303</v>
      </c>
      <c r="D640" s="37" t="s">
        <v>7994</v>
      </c>
      <c r="E640" s="38" t="n">
        <v>319</v>
      </c>
      <c r="F640" s="38"/>
    </row>
    <row r="641" customFormat="false" ht="15" hidden="false" customHeight="false" outlineLevel="0" collapsed="false">
      <c r="B641" s="38" t="n">
        <v>637</v>
      </c>
      <c r="C641" s="37" t="s">
        <v>8304</v>
      </c>
      <c r="D641" s="37" t="s">
        <v>8305</v>
      </c>
      <c r="E641" s="38" t="n">
        <v>175</v>
      </c>
      <c r="F641" s="38"/>
    </row>
    <row r="642" customFormat="false" ht="15" hidden="false" customHeight="false" outlineLevel="0" collapsed="false">
      <c r="B642" s="38" t="n">
        <v>638</v>
      </c>
      <c r="C642" s="37" t="s">
        <v>8306</v>
      </c>
      <c r="D642" s="37" t="s">
        <v>8307</v>
      </c>
      <c r="E642" s="38" t="n">
        <v>188</v>
      </c>
      <c r="F642" s="38"/>
    </row>
    <row r="643" customFormat="false" ht="15" hidden="false" customHeight="false" outlineLevel="0" collapsed="false">
      <c r="B643" s="38" t="n">
        <v>639</v>
      </c>
      <c r="C643" s="37" t="s">
        <v>8308</v>
      </c>
      <c r="D643" s="37" t="s">
        <v>8309</v>
      </c>
      <c r="E643" s="38" t="n">
        <v>163</v>
      </c>
      <c r="F643" s="38"/>
    </row>
    <row r="644" customFormat="false" ht="15" hidden="false" customHeight="false" outlineLevel="0" collapsed="false">
      <c r="B644" s="38" t="n">
        <v>640</v>
      </c>
      <c r="C644" s="37" t="s">
        <v>8310</v>
      </c>
      <c r="D644" s="37" t="s">
        <v>8305</v>
      </c>
      <c r="E644" s="38" t="n">
        <v>175</v>
      </c>
      <c r="F644" s="38"/>
    </row>
    <row r="645" customFormat="false" ht="15" hidden="false" customHeight="false" outlineLevel="0" collapsed="false">
      <c r="B645" s="38" t="n">
        <v>641</v>
      </c>
      <c r="C645" s="37" t="s">
        <v>8311</v>
      </c>
      <c r="D645" s="37" t="s">
        <v>8312</v>
      </c>
      <c r="E645" s="38" t="n">
        <v>199</v>
      </c>
      <c r="F645" s="38"/>
    </row>
    <row r="646" customFormat="false" ht="15" hidden="false" customHeight="false" outlineLevel="0" collapsed="false">
      <c r="B646" s="38" t="n">
        <v>642</v>
      </c>
      <c r="C646" s="37" t="s">
        <v>8313</v>
      </c>
      <c r="D646" s="37" t="s">
        <v>8314</v>
      </c>
      <c r="E646" s="38" t="n">
        <v>207</v>
      </c>
      <c r="F646" s="38"/>
    </row>
    <row r="647" customFormat="false" ht="15" hidden="false" customHeight="false" outlineLevel="0" collapsed="false">
      <c r="B647" s="38" t="n">
        <v>643</v>
      </c>
      <c r="C647" s="37" t="s">
        <v>8315</v>
      </c>
      <c r="D647" s="37" t="s">
        <v>8316</v>
      </c>
      <c r="E647" s="38" t="n">
        <v>186</v>
      </c>
      <c r="F647" s="38"/>
    </row>
    <row r="648" customFormat="false" ht="15" hidden="false" customHeight="false" outlineLevel="0" collapsed="false">
      <c r="B648" s="38" t="n">
        <v>644</v>
      </c>
      <c r="C648" s="37" t="s">
        <v>8317</v>
      </c>
      <c r="D648" s="37" t="s">
        <v>8318</v>
      </c>
      <c r="E648" s="38" t="n">
        <v>186</v>
      </c>
      <c r="F648" s="38"/>
    </row>
    <row r="649" customFormat="false" ht="15" hidden="false" customHeight="false" outlineLevel="0" collapsed="false">
      <c r="B649" s="38" t="n">
        <v>645</v>
      </c>
      <c r="C649" s="37" t="s">
        <v>8319</v>
      </c>
      <c r="D649" s="37" t="s">
        <v>8073</v>
      </c>
      <c r="E649" s="38" t="n">
        <v>163</v>
      </c>
      <c r="F649" s="38"/>
    </row>
    <row r="650" customFormat="false" ht="15" hidden="false" customHeight="false" outlineLevel="0" collapsed="false">
      <c r="B650" s="38" t="n">
        <v>646</v>
      </c>
      <c r="C650" s="37" t="s">
        <v>8320</v>
      </c>
      <c r="D650" s="37" t="s">
        <v>8321</v>
      </c>
      <c r="E650" s="38" t="n">
        <v>172</v>
      </c>
      <c r="F650" s="38"/>
    </row>
    <row r="651" customFormat="false" ht="15" hidden="false" customHeight="false" outlineLevel="0" collapsed="false">
      <c r="B651" s="38" t="n">
        <v>647</v>
      </c>
      <c r="C651" s="37" t="s">
        <v>8322</v>
      </c>
      <c r="D651" s="37" t="s">
        <v>8323</v>
      </c>
      <c r="E651" s="38" t="n">
        <v>165</v>
      </c>
      <c r="F651" s="38"/>
    </row>
    <row r="652" customFormat="false" ht="15" hidden="false" customHeight="false" outlineLevel="0" collapsed="false">
      <c r="B652" s="38" t="n">
        <v>648</v>
      </c>
      <c r="C652" s="37" t="s">
        <v>8324</v>
      </c>
      <c r="D652" s="37" t="s">
        <v>8325</v>
      </c>
      <c r="E652" s="38" t="n">
        <v>170</v>
      </c>
      <c r="F652" s="38"/>
    </row>
    <row r="653" customFormat="false" ht="15" hidden="false" customHeight="false" outlineLevel="0" collapsed="false">
      <c r="B653" s="38" t="n">
        <v>649</v>
      </c>
      <c r="C653" s="37" t="s">
        <v>8326</v>
      </c>
      <c r="D653" s="37" t="s">
        <v>8327</v>
      </c>
      <c r="E653" s="38" t="n">
        <v>186</v>
      </c>
      <c r="F653" s="38"/>
    </row>
    <row r="654" customFormat="false" ht="15" hidden="false" customHeight="false" outlineLevel="0" collapsed="false">
      <c r="B654" s="38" t="n">
        <v>650</v>
      </c>
      <c r="C654" s="37" t="s">
        <v>8328</v>
      </c>
      <c r="D654" s="37" t="s">
        <v>8329</v>
      </c>
      <c r="E654" s="38" t="n">
        <v>196</v>
      </c>
      <c r="F654" s="38"/>
    </row>
    <row r="655" customFormat="false" ht="15" hidden="false" customHeight="false" outlineLevel="0" collapsed="false">
      <c r="B655" s="38" t="n">
        <v>651</v>
      </c>
      <c r="C655" s="37" t="s">
        <v>7068</v>
      </c>
      <c r="D655" s="37" t="s">
        <v>7828</v>
      </c>
      <c r="E655" s="38" t="n">
        <v>161</v>
      </c>
      <c r="F655" s="38"/>
    </row>
    <row r="656" customFormat="false" ht="15" hidden="false" customHeight="false" outlineLevel="0" collapsed="false">
      <c r="B656" s="38" t="n">
        <v>652</v>
      </c>
      <c r="C656" s="37" t="s">
        <v>8330</v>
      </c>
      <c r="D656" s="37" t="s">
        <v>8331</v>
      </c>
      <c r="E656" s="38" t="n">
        <v>161</v>
      </c>
      <c r="F656" s="38"/>
    </row>
    <row r="657" customFormat="false" ht="15" hidden="false" customHeight="false" outlineLevel="0" collapsed="false">
      <c r="B657" s="38" t="n">
        <v>653</v>
      </c>
      <c r="C657" s="37" t="s">
        <v>8332</v>
      </c>
      <c r="D657" s="37" t="s">
        <v>8333</v>
      </c>
      <c r="E657" s="38" t="n">
        <v>174</v>
      </c>
      <c r="F657" s="38"/>
    </row>
    <row r="658" customFormat="false" ht="15" hidden="false" customHeight="false" outlineLevel="0" collapsed="false">
      <c r="B658" s="38" t="n">
        <v>654</v>
      </c>
      <c r="C658" s="37" t="s">
        <v>8334</v>
      </c>
      <c r="D658" s="37" t="s">
        <v>8335</v>
      </c>
      <c r="E658" s="38" t="n">
        <v>209</v>
      </c>
      <c r="F658" s="38"/>
    </row>
    <row r="659" customFormat="false" ht="15" hidden="false" customHeight="false" outlineLevel="0" collapsed="false">
      <c r="B659" s="38" t="n">
        <v>655</v>
      </c>
      <c r="C659" s="37" t="s">
        <v>8336</v>
      </c>
      <c r="D659" s="37" t="s">
        <v>8337</v>
      </c>
      <c r="E659" s="38" t="n">
        <v>188</v>
      </c>
      <c r="F659" s="38"/>
    </row>
    <row r="660" customFormat="false" ht="15" hidden="false" customHeight="false" outlineLevel="0" collapsed="false">
      <c r="B660" s="38" t="n">
        <v>656</v>
      </c>
      <c r="C660" s="37" t="s">
        <v>8338</v>
      </c>
      <c r="D660" s="37" t="s">
        <v>8339</v>
      </c>
      <c r="E660" s="38" t="n">
        <v>184</v>
      </c>
      <c r="F660" s="38"/>
    </row>
    <row r="661" customFormat="false" ht="15" hidden="false" customHeight="false" outlineLevel="0" collapsed="false">
      <c r="B661" s="38" t="n">
        <v>657</v>
      </c>
      <c r="C661" s="37" t="s">
        <v>8340</v>
      </c>
      <c r="D661" s="37" t="s">
        <v>8341</v>
      </c>
      <c r="E661" s="38" t="n">
        <v>173</v>
      </c>
      <c r="F661" s="38"/>
    </row>
    <row r="662" customFormat="false" ht="15" hidden="false" customHeight="false" outlineLevel="0" collapsed="false">
      <c r="B662" s="38" t="n">
        <v>658</v>
      </c>
      <c r="C662" s="37" t="s">
        <v>8342</v>
      </c>
      <c r="D662" s="37" t="s">
        <v>8343</v>
      </c>
      <c r="E662" s="38" t="n">
        <v>168</v>
      </c>
      <c r="F662" s="38"/>
    </row>
    <row r="663" customFormat="false" ht="15" hidden="false" customHeight="false" outlineLevel="0" collapsed="false">
      <c r="B663" s="38" t="n">
        <v>659</v>
      </c>
      <c r="C663" s="37" t="s">
        <v>7172</v>
      </c>
      <c r="D663" s="37" t="s">
        <v>8344</v>
      </c>
      <c r="E663" s="38" t="n">
        <v>207</v>
      </c>
      <c r="F663" s="38"/>
    </row>
    <row r="664" customFormat="false" ht="15" hidden="false" customHeight="false" outlineLevel="0" collapsed="false">
      <c r="B664" s="38" t="n">
        <v>660</v>
      </c>
      <c r="C664" s="37" t="s">
        <v>8345</v>
      </c>
      <c r="D664" s="37" t="s">
        <v>8346</v>
      </c>
      <c r="E664" s="38" t="n">
        <v>184</v>
      </c>
      <c r="F664" s="38"/>
    </row>
    <row r="665" customFormat="false" ht="15" hidden="false" customHeight="false" outlineLevel="0" collapsed="false">
      <c r="B665" s="38" t="n">
        <v>661</v>
      </c>
      <c r="C665" s="37" t="s">
        <v>8347</v>
      </c>
      <c r="D665" s="37" t="s">
        <v>8348</v>
      </c>
      <c r="E665" s="38" t="n">
        <v>162</v>
      </c>
      <c r="F665" s="38"/>
    </row>
    <row r="666" customFormat="false" ht="15" hidden="false" customHeight="false" outlineLevel="0" collapsed="false">
      <c r="B666" s="38" t="n">
        <v>662</v>
      </c>
      <c r="C666" s="37" t="s">
        <v>8349</v>
      </c>
      <c r="D666" s="37" t="s">
        <v>8350</v>
      </c>
      <c r="E666" s="38" t="n">
        <v>174</v>
      </c>
      <c r="F666" s="38"/>
    </row>
    <row r="667" customFormat="false" ht="15" hidden="false" customHeight="false" outlineLevel="0" collapsed="false">
      <c r="B667" s="38" t="n">
        <v>663</v>
      </c>
      <c r="C667" s="37" t="s">
        <v>8351</v>
      </c>
      <c r="D667" s="37" t="s">
        <v>8352</v>
      </c>
      <c r="E667" s="38" t="n">
        <v>174</v>
      </c>
      <c r="F667" s="38"/>
    </row>
    <row r="668" customFormat="false" ht="15" hidden="false" customHeight="false" outlineLevel="0" collapsed="false">
      <c r="B668" s="38" t="n">
        <v>664</v>
      </c>
      <c r="C668" s="37" t="s">
        <v>6996</v>
      </c>
      <c r="D668" s="37" t="s">
        <v>7750</v>
      </c>
      <c r="E668" s="38" t="n">
        <v>189</v>
      </c>
      <c r="F668" s="38"/>
    </row>
    <row r="669" customFormat="false" ht="15" hidden="false" customHeight="false" outlineLevel="0" collapsed="false">
      <c r="B669" s="38" t="n">
        <v>665</v>
      </c>
      <c r="C669" s="37" t="s">
        <v>8353</v>
      </c>
      <c r="D669" s="37" t="s">
        <v>8354</v>
      </c>
      <c r="E669" s="38" t="n">
        <v>168</v>
      </c>
      <c r="F669" s="38"/>
    </row>
    <row r="670" customFormat="false" ht="15" hidden="false" customHeight="false" outlineLevel="0" collapsed="false">
      <c r="B670" s="38" t="n">
        <v>666</v>
      </c>
      <c r="C670" s="37" t="s">
        <v>8355</v>
      </c>
      <c r="D670" s="37" t="s">
        <v>8356</v>
      </c>
      <c r="E670" s="38" t="n">
        <v>161</v>
      </c>
      <c r="F670" s="38"/>
    </row>
    <row r="671" customFormat="false" ht="15" hidden="false" customHeight="false" outlineLevel="0" collapsed="false">
      <c r="B671" s="38" t="n">
        <v>667</v>
      </c>
      <c r="C671" s="37" t="s">
        <v>8357</v>
      </c>
      <c r="D671" s="37" t="s">
        <v>8358</v>
      </c>
      <c r="E671" s="38" t="n">
        <v>182</v>
      </c>
      <c r="F671" s="38"/>
    </row>
    <row r="672" customFormat="false" ht="15" hidden="false" customHeight="false" outlineLevel="0" collapsed="false">
      <c r="B672" s="38" t="n">
        <v>668</v>
      </c>
      <c r="C672" s="37" t="s">
        <v>8359</v>
      </c>
      <c r="D672" s="37" t="s">
        <v>8360</v>
      </c>
      <c r="E672" s="38" t="n">
        <v>166</v>
      </c>
      <c r="F672" s="38"/>
    </row>
    <row r="673" customFormat="false" ht="15" hidden="false" customHeight="false" outlineLevel="0" collapsed="false">
      <c r="B673" s="38" t="n">
        <v>669</v>
      </c>
      <c r="C673" s="37" t="s">
        <v>8361</v>
      </c>
      <c r="D673" s="37" t="s">
        <v>8362</v>
      </c>
      <c r="E673" s="38" t="n">
        <v>207</v>
      </c>
      <c r="F673" s="38"/>
    </row>
    <row r="674" customFormat="false" ht="15" hidden="false" customHeight="false" outlineLevel="0" collapsed="false">
      <c r="B674" s="38" t="n">
        <v>670</v>
      </c>
      <c r="C674" s="37" t="s">
        <v>8363</v>
      </c>
      <c r="D674" s="37" t="s">
        <v>7934</v>
      </c>
      <c r="E674" s="38" t="n">
        <v>213</v>
      </c>
      <c r="F674" s="38"/>
    </row>
    <row r="675" customFormat="false" ht="15" hidden="false" customHeight="false" outlineLevel="0" collapsed="false">
      <c r="B675" s="38" t="n">
        <v>671</v>
      </c>
      <c r="C675" s="37" t="s">
        <v>8364</v>
      </c>
      <c r="D675" s="37" t="s">
        <v>7942</v>
      </c>
      <c r="E675" s="38" t="n">
        <v>320</v>
      </c>
      <c r="F675" s="38"/>
    </row>
    <row r="676" customFormat="false" ht="15" hidden="false" customHeight="false" outlineLevel="0" collapsed="false">
      <c r="B676" s="38" t="n">
        <v>672</v>
      </c>
      <c r="C676" s="37" t="s">
        <v>8365</v>
      </c>
      <c r="D676" s="37" t="s">
        <v>7445</v>
      </c>
      <c r="E676" s="38" t="n">
        <v>218</v>
      </c>
      <c r="F676" s="38"/>
    </row>
    <row r="677" customFormat="false" ht="15" hidden="false" customHeight="false" outlineLevel="0" collapsed="false">
      <c r="B677" s="38" t="n">
        <v>673</v>
      </c>
      <c r="C677" s="37" t="s">
        <v>8366</v>
      </c>
      <c r="D677" s="37" t="s">
        <v>8367</v>
      </c>
      <c r="E677" s="38" t="n">
        <v>200</v>
      </c>
      <c r="F677" s="38"/>
    </row>
    <row r="678" customFormat="false" ht="15" hidden="false" customHeight="false" outlineLevel="0" collapsed="false">
      <c r="B678" s="38" t="n">
        <v>674</v>
      </c>
      <c r="C678" s="37" t="s">
        <v>8368</v>
      </c>
      <c r="D678" s="37" t="s">
        <v>7322</v>
      </c>
      <c r="E678" s="38" t="n">
        <v>173</v>
      </c>
      <c r="F678" s="38"/>
    </row>
    <row r="679" customFormat="false" ht="15" hidden="false" customHeight="false" outlineLevel="0" collapsed="false">
      <c r="B679" s="38" t="n">
        <v>675</v>
      </c>
      <c r="C679" s="37" t="s">
        <v>8369</v>
      </c>
      <c r="D679" s="37" t="s">
        <v>8370</v>
      </c>
      <c r="E679" s="38" t="n">
        <v>169</v>
      </c>
      <c r="F679" s="38"/>
    </row>
    <row r="680" customFormat="false" ht="15" hidden="false" customHeight="false" outlineLevel="0" collapsed="false">
      <c r="B680" s="38" t="n">
        <v>676</v>
      </c>
      <c r="C680" s="37" t="s">
        <v>8371</v>
      </c>
      <c r="D680" s="37" t="s">
        <v>8372</v>
      </c>
      <c r="E680" s="38" t="n">
        <v>202</v>
      </c>
      <c r="F680" s="38"/>
    </row>
    <row r="681" customFormat="false" ht="15" hidden="false" customHeight="false" outlineLevel="0" collapsed="false">
      <c r="B681" s="38" t="n">
        <v>677</v>
      </c>
      <c r="C681" s="37" t="s">
        <v>8373</v>
      </c>
      <c r="D681" s="37" t="s">
        <v>8374</v>
      </c>
      <c r="E681" s="38" t="n">
        <v>230</v>
      </c>
      <c r="F681" s="38"/>
    </row>
    <row r="682" customFormat="false" ht="15" hidden="false" customHeight="false" outlineLevel="0" collapsed="false">
      <c r="B682" s="38" t="n">
        <v>678</v>
      </c>
      <c r="C682" s="37" t="s">
        <v>8375</v>
      </c>
      <c r="D682" s="37" t="s">
        <v>8376</v>
      </c>
      <c r="E682" s="38" t="n">
        <v>185</v>
      </c>
      <c r="F682" s="38"/>
    </row>
    <row r="683" customFormat="false" ht="15" hidden="false" customHeight="false" outlineLevel="0" collapsed="false">
      <c r="B683" s="38" t="n">
        <v>679</v>
      </c>
      <c r="C683" s="37" t="s">
        <v>8377</v>
      </c>
      <c r="D683" s="37" t="s">
        <v>7725</v>
      </c>
      <c r="E683" s="38" t="n">
        <v>210</v>
      </c>
      <c r="F683" s="38"/>
    </row>
    <row r="684" customFormat="false" ht="15" hidden="false" customHeight="false" outlineLevel="0" collapsed="false">
      <c r="B684" s="38" t="n">
        <v>680</v>
      </c>
      <c r="C684" s="37" t="s">
        <v>7250</v>
      </c>
      <c r="D684" s="37" t="s">
        <v>8378</v>
      </c>
      <c r="E684" s="38" t="n">
        <v>168</v>
      </c>
      <c r="F684" s="38"/>
    </row>
    <row r="685" customFormat="false" ht="15" hidden="false" customHeight="false" outlineLevel="0" collapsed="false">
      <c r="B685" s="38" t="n">
        <v>681</v>
      </c>
      <c r="C685" s="37" t="s">
        <v>8379</v>
      </c>
      <c r="D685" s="37" t="s">
        <v>7888</v>
      </c>
      <c r="E685" s="38" t="n">
        <v>165</v>
      </c>
      <c r="F685" s="38"/>
    </row>
    <row r="686" customFormat="false" ht="15" hidden="false" customHeight="false" outlineLevel="0" collapsed="false">
      <c r="B686" s="38" t="n">
        <v>682</v>
      </c>
      <c r="C686" s="37" t="s">
        <v>8380</v>
      </c>
      <c r="D686" s="37" t="s">
        <v>8381</v>
      </c>
      <c r="E686" s="38" t="n">
        <v>176</v>
      </c>
      <c r="F686" s="38"/>
    </row>
    <row r="687" customFormat="false" ht="15" hidden="false" customHeight="false" outlineLevel="0" collapsed="false">
      <c r="B687" s="38" t="n">
        <v>683</v>
      </c>
      <c r="C687" s="37" t="s">
        <v>8382</v>
      </c>
      <c r="D687" s="37" t="s">
        <v>8282</v>
      </c>
      <c r="E687" s="38" t="n">
        <v>163</v>
      </c>
      <c r="F687" s="38"/>
    </row>
    <row r="688" customFormat="false" ht="15" hidden="false" customHeight="false" outlineLevel="0" collapsed="false">
      <c r="B688" s="38" t="n">
        <v>684</v>
      </c>
      <c r="C688" s="37" t="s">
        <v>8383</v>
      </c>
      <c r="D688" s="37" t="s">
        <v>8384</v>
      </c>
      <c r="E688" s="38" t="n">
        <v>177</v>
      </c>
      <c r="F688" s="38"/>
    </row>
    <row r="689" customFormat="false" ht="15" hidden="false" customHeight="false" outlineLevel="0" collapsed="false">
      <c r="B689" s="38" t="n">
        <v>685</v>
      </c>
      <c r="C689" s="37" t="s">
        <v>8385</v>
      </c>
      <c r="D689" s="37" t="s">
        <v>8386</v>
      </c>
      <c r="E689" s="38" t="n">
        <v>218</v>
      </c>
      <c r="F689" s="38"/>
    </row>
    <row r="690" customFormat="false" ht="15" hidden="false" customHeight="false" outlineLevel="0" collapsed="false">
      <c r="B690" s="38" t="n">
        <v>686</v>
      </c>
      <c r="C690" s="37" t="s">
        <v>8387</v>
      </c>
      <c r="D690" s="37" t="s">
        <v>8388</v>
      </c>
      <c r="E690" s="38" t="n">
        <v>162</v>
      </c>
      <c r="F690" s="38"/>
    </row>
    <row r="691" customFormat="false" ht="15" hidden="false" customHeight="false" outlineLevel="0" collapsed="false">
      <c r="B691" s="38" t="n">
        <v>687</v>
      </c>
      <c r="C691" s="37" t="s">
        <v>8389</v>
      </c>
      <c r="D691" s="37" t="s">
        <v>8390</v>
      </c>
      <c r="E691" s="38" t="n">
        <v>175</v>
      </c>
      <c r="F691" s="38"/>
    </row>
    <row r="692" customFormat="false" ht="15" hidden="false" customHeight="false" outlineLevel="0" collapsed="false">
      <c r="B692" s="38" t="n">
        <v>688</v>
      </c>
      <c r="C692" s="37" t="s">
        <v>8391</v>
      </c>
      <c r="D692" s="37" t="s">
        <v>8392</v>
      </c>
      <c r="E692" s="38" t="n">
        <v>170</v>
      </c>
      <c r="F692" s="38"/>
    </row>
    <row r="693" customFormat="false" ht="15" hidden="false" customHeight="false" outlineLevel="0" collapsed="false">
      <c r="B693" s="38" t="n">
        <v>689</v>
      </c>
      <c r="C693" s="37" t="s">
        <v>8393</v>
      </c>
      <c r="D693" s="37" t="s">
        <v>8394</v>
      </c>
      <c r="E693" s="38" t="n">
        <v>320</v>
      </c>
      <c r="F693" s="38"/>
    </row>
    <row r="694" customFormat="false" ht="15" hidden="false" customHeight="false" outlineLevel="0" collapsed="false">
      <c r="B694" s="38" t="n">
        <v>690</v>
      </c>
      <c r="C694" s="37" t="s">
        <v>8395</v>
      </c>
      <c r="D694" s="37" t="s">
        <v>7902</v>
      </c>
      <c r="E694" s="38" t="n">
        <v>193</v>
      </c>
      <c r="F694" s="38"/>
    </row>
    <row r="695" customFormat="false" ht="15" hidden="false" customHeight="false" outlineLevel="0" collapsed="false">
      <c r="B695" s="38" t="n">
        <v>691</v>
      </c>
      <c r="C695" s="37" t="s">
        <v>8396</v>
      </c>
      <c r="D695" s="37" t="s">
        <v>8397</v>
      </c>
      <c r="E695" s="38" t="n">
        <v>191</v>
      </c>
      <c r="F695" s="38"/>
    </row>
    <row r="696" customFormat="false" ht="15" hidden="false" customHeight="false" outlineLevel="0" collapsed="false">
      <c r="B696" s="38" t="n">
        <v>692</v>
      </c>
      <c r="C696" s="37" t="s">
        <v>8398</v>
      </c>
      <c r="D696" s="37" t="s">
        <v>7756</v>
      </c>
      <c r="E696" s="38" t="n">
        <v>163</v>
      </c>
      <c r="F696" s="38"/>
    </row>
    <row r="697" customFormat="false" ht="15" hidden="false" customHeight="false" outlineLevel="0" collapsed="false">
      <c r="B697" s="38" t="n">
        <v>693</v>
      </c>
      <c r="C697" s="37" t="s">
        <v>8399</v>
      </c>
      <c r="D697" s="37" t="s">
        <v>8400</v>
      </c>
      <c r="E697" s="38" t="n">
        <v>165</v>
      </c>
      <c r="F697" s="38"/>
    </row>
    <row r="698" customFormat="false" ht="15" hidden="false" customHeight="false" outlineLevel="0" collapsed="false">
      <c r="B698" s="38" t="n">
        <v>694</v>
      </c>
      <c r="C698" s="37" t="s">
        <v>8401</v>
      </c>
      <c r="D698" s="37" t="s">
        <v>8402</v>
      </c>
      <c r="E698" s="38" t="n">
        <v>203</v>
      </c>
      <c r="F698" s="38"/>
    </row>
    <row r="699" customFormat="false" ht="15" hidden="false" customHeight="false" outlineLevel="0" collapsed="false">
      <c r="B699" s="38" t="n">
        <v>695</v>
      </c>
      <c r="C699" s="37" t="s">
        <v>8403</v>
      </c>
      <c r="D699" s="37" t="s">
        <v>8404</v>
      </c>
      <c r="E699" s="38" t="n">
        <v>319</v>
      </c>
      <c r="F699" s="38"/>
    </row>
    <row r="700" customFormat="false" ht="15" hidden="false" customHeight="false" outlineLevel="0" collapsed="false">
      <c r="B700" s="38" t="n">
        <v>696</v>
      </c>
      <c r="C700" s="37" t="s">
        <v>8405</v>
      </c>
      <c r="D700" s="37" t="s">
        <v>8406</v>
      </c>
      <c r="E700" s="38" t="n">
        <v>171</v>
      </c>
      <c r="F700" s="38"/>
    </row>
    <row r="701" customFormat="false" ht="15" hidden="false" customHeight="false" outlineLevel="0" collapsed="false">
      <c r="B701" s="38" t="n">
        <v>697</v>
      </c>
      <c r="C701" s="37" t="s">
        <v>8407</v>
      </c>
      <c r="D701" s="37" t="s">
        <v>8408</v>
      </c>
      <c r="E701" s="38" t="n">
        <v>167</v>
      </c>
      <c r="F701" s="38"/>
    </row>
    <row r="702" customFormat="false" ht="15" hidden="false" customHeight="false" outlineLevel="0" collapsed="false">
      <c r="B702" s="38" t="n">
        <v>698</v>
      </c>
      <c r="C702" s="37" t="s">
        <v>8409</v>
      </c>
      <c r="D702" s="37" t="s">
        <v>7445</v>
      </c>
      <c r="E702" s="38" t="n">
        <v>218</v>
      </c>
      <c r="F702" s="38"/>
    </row>
    <row r="703" customFormat="false" ht="15" hidden="false" customHeight="false" outlineLevel="0" collapsed="false">
      <c r="B703" s="38" t="n">
        <v>699</v>
      </c>
      <c r="C703" s="37" t="s">
        <v>8410</v>
      </c>
      <c r="D703" s="37" t="s">
        <v>8411</v>
      </c>
      <c r="E703" s="38" t="n">
        <v>203</v>
      </c>
      <c r="F703" s="38"/>
    </row>
    <row r="704" customFormat="false" ht="15" hidden="false" customHeight="false" outlineLevel="0" collapsed="false">
      <c r="B704" s="38" t="n">
        <v>700</v>
      </c>
      <c r="C704" s="37" t="s">
        <v>8412</v>
      </c>
      <c r="D704" s="37" t="s">
        <v>8413</v>
      </c>
      <c r="E704" s="38" t="n">
        <v>164</v>
      </c>
      <c r="F704" s="38"/>
    </row>
    <row r="705" customFormat="false" ht="15" hidden="false" customHeight="false" outlineLevel="0" collapsed="false">
      <c r="B705" s="38" t="n">
        <v>701</v>
      </c>
      <c r="C705" s="37" t="s">
        <v>8414</v>
      </c>
      <c r="D705" s="37" t="s">
        <v>8415</v>
      </c>
      <c r="E705" s="38" t="n">
        <v>208</v>
      </c>
      <c r="F705" s="38"/>
    </row>
    <row r="706" customFormat="false" ht="15" hidden="false" customHeight="false" outlineLevel="0" collapsed="false">
      <c r="B706" s="38" t="n">
        <v>702</v>
      </c>
      <c r="C706" s="37" t="s">
        <v>8416</v>
      </c>
      <c r="D706" s="37" t="s">
        <v>8417</v>
      </c>
      <c r="E706" s="38" t="n">
        <v>186</v>
      </c>
      <c r="F706" s="38"/>
    </row>
    <row r="707" customFormat="false" ht="15" hidden="false" customHeight="false" outlineLevel="0" collapsed="false">
      <c r="B707" s="38" t="n">
        <v>703</v>
      </c>
      <c r="C707" s="37" t="s">
        <v>7232</v>
      </c>
      <c r="D707" s="37" t="s">
        <v>8208</v>
      </c>
      <c r="E707" s="38" t="n">
        <v>161</v>
      </c>
      <c r="F707" s="38"/>
    </row>
    <row r="708" customFormat="false" ht="15" hidden="false" customHeight="false" outlineLevel="0" collapsed="false">
      <c r="B708" s="38" t="n">
        <v>704</v>
      </c>
      <c r="C708" s="37" t="s">
        <v>8418</v>
      </c>
      <c r="D708" s="37" t="s">
        <v>8419</v>
      </c>
      <c r="E708" s="38" t="n">
        <v>168</v>
      </c>
      <c r="F708" s="38"/>
    </row>
    <row r="709" customFormat="false" ht="15" hidden="false" customHeight="false" outlineLevel="0" collapsed="false">
      <c r="B709" s="38" t="n">
        <v>705</v>
      </c>
      <c r="C709" s="37" t="s">
        <v>8420</v>
      </c>
      <c r="D709" s="37" t="s">
        <v>8421</v>
      </c>
      <c r="E709" s="38" t="n">
        <v>169</v>
      </c>
      <c r="F709" s="38"/>
    </row>
    <row r="710" customFormat="false" ht="15" hidden="false" customHeight="false" outlineLevel="0" collapsed="false">
      <c r="B710" s="38" t="n">
        <v>706</v>
      </c>
      <c r="C710" s="37" t="s">
        <v>8422</v>
      </c>
      <c r="D710" s="37" t="s">
        <v>8423</v>
      </c>
      <c r="E710" s="38" t="n">
        <v>175</v>
      </c>
      <c r="F710" s="38"/>
    </row>
    <row r="711" customFormat="false" ht="15" hidden="false" customHeight="false" outlineLevel="0" collapsed="false">
      <c r="B711" s="38" t="n">
        <v>707</v>
      </c>
      <c r="C711" s="37" t="s">
        <v>8424</v>
      </c>
      <c r="D711" s="37" t="s">
        <v>7445</v>
      </c>
      <c r="E711" s="38" t="n">
        <v>218</v>
      </c>
      <c r="F711" s="38"/>
    </row>
    <row r="712" customFormat="false" ht="15" hidden="false" customHeight="false" outlineLevel="0" collapsed="false">
      <c r="B712" s="38" t="n">
        <v>708</v>
      </c>
      <c r="C712" s="37" t="s">
        <v>8425</v>
      </c>
      <c r="D712" s="37" t="s">
        <v>8426</v>
      </c>
      <c r="E712" s="38" t="n">
        <v>206</v>
      </c>
      <c r="F712" s="38"/>
    </row>
    <row r="713" customFormat="false" ht="15" hidden="false" customHeight="false" outlineLevel="0" collapsed="false">
      <c r="B713" s="38" t="n">
        <v>709</v>
      </c>
      <c r="C713" s="37" t="s">
        <v>8427</v>
      </c>
      <c r="D713" s="37" t="s">
        <v>7803</v>
      </c>
      <c r="E713" s="38" t="n">
        <v>320</v>
      </c>
      <c r="F713" s="38"/>
    </row>
    <row r="714" customFormat="false" ht="15" hidden="false" customHeight="false" outlineLevel="0" collapsed="false">
      <c r="B714" s="38" t="n">
        <v>710</v>
      </c>
      <c r="C714" s="37" t="s">
        <v>8428</v>
      </c>
      <c r="D714" s="37" t="s">
        <v>8429</v>
      </c>
      <c r="E714" s="38" t="n">
        <v>173</v>
      </c>
      <c r="F714" s="38"/>
    </row>
    <row r="715" customFormat="false" ht="15" hidden="false" customHeight="false" outlineLevel="0" collapsed="false">
      <c r="B715" s="38" t="n">
        <v>711</v>
      </c>
      <c r="C715" s="37" t="s">
        <v>8430</v>
      </c>
      <c r="D715" s="37" t="s">
        <v>8431</v>
      </c>
      <c r="E715" s="38" t="n">
        <v>180</v>
      </c>
      <c r="F715" s="38"/>
    </row>
    <row r="716" customFormat="false" ht="15" hidden="false" customHeight="false" outlineLevel="0" collapsed="false">
      <c r="B716" s="38" t="n">
        <v>712</v>
      </c>
      <c r="C716" s="37" t="s">
        <v>8432</v>
      </c>
      <c r="D716" s="37" t="s">
        <v>7794</v>
      </c>
      <c r="E716" s="38" t="n">
        <v>171</v>
      </c>
      <c r="F716" s="38"/>
    </row>
    <row r="717" customFormat="false" ht="15" hidden="false" customHeight="false" outlineLevel="0" collapsed="false">
      <c r="B717" s="38" t="n">
        <v>713</v>
      </c>
      <c r="C717" s="37" t="s">
        <v>8433</v>
      </c>
      <c r="D717" s="37" t="s">
        <v>8434</v>
      </c>
      <c r="E717" s="38" t="n">
        <v>161</v>
      </c>
      <c r="F717" s="38"/>
    </row>
    <row r="718" customFormat="false" ht="15" hidden="false" customHeight="false" outlineLevel="0" collapsed="false">
      <c r="B718" s="38" t="n">
        <v>714</v>
      </c>
      <c r="C718" s="37" t="s">
        <v>8435</v>
      </c>
      <c r="D718" s="37" t="s">
        <v>8436</v>
      </c>
      <c r="E718" s="38" t="n">
        <v>178</v>
      </c>
      <c r="F718" s="38"/>
    </row>
    <row r="719" customFormat="false" ht="15" hidden="false" customHeight="false" outlineLevel="0" collapsed="false">
      <c r="B719" s="38" t="n">
        <v>715</v>
      </c>
      <c r="C719" s="37" t="s">
        <v>8437</v>
      </c>
      <c r="D719" s="37" t="s">
        <v>8438</v>
      </c>
      <c r="E719" s="38" t="n">
        <v>164</v>
      </c>
      <c r="F719" s="38"/>
    </row>
    <row r="720" customFormat="false" ht="15" hidden="false" customHeight="false" outlineLevel="0" collapsed="false">
      <c r="B720" s="38" t="n">
        <v>716</v>
      </c>
      <c r="C720" s="37" t="s">
        <v>8439</v>
      </c>
      <c r="D720" s="37" t="s">
        <v>8440</v>
      </c>
      <c r="E720" s="38" t="n">
        <v>320</v>
      </c>
      <c r="F720" s="38"/>
    </row>
    <row r="721" customFormat="false" ht="15" hidden="false" customHeight="false" outlineLevel="0" collapsed="false">
      <c r="B721" s="38" t="n">
        <v>717</v>
      </c>
      <c r="C721" s="37" t="s">
        <v>8441</v>
      </c>
      <c r="D721" s="37" t="s">
        <v>7890</v>
      </c>
      <c r="E721" s="38" t="n">
        <v>320</v>
      </c>
      <c r="F721" s="38"/>
    </row>
    <row r="722" customFormat="false" ht="15" hidden="false" customHeight="false" outlineLevel="0" collapsed="false">
      <c r="B722" s="38" t="n">
        <v>718</v>
      </c>
      <c r="C722" s="37" t="s">
        <v>8442</v>
      </c>
      <c r="D722" s="37" t="s">
        <v>8443</v>
      </c>
      <c r="E722" s="38" t="n">
        <v>221</v>
      </c>
      <c r="F722" s="38"/>
    </row>
    <row r="723" customFormat="false" ht="15" hidden="false" customHeight="false" outlineLevel="0" collapsed="false">
      <c r="B723" s="38" t="n">
        <v>719</v>
      </c>
      <c r="C723" s="37" t="s">
        <v>8444</v>
      </c>
      <c r="D723" s="37" t="s">
        <v>8445</v>
      </c>
      <c r="E723" s="38" t="n">
        <v>172</v>
      </c>
      <c r="F723" s="38"/>
    </row>
    <row r="724" customFormat="false" ht="15" hidden="false" customHeight="false" outlineLevel="0" collapsed="false">
      <c r="B724" s="38" t="n">
        <v>720</v>
      </c>
      <c r="C724" s="37" t="s">
        <v>8446</v>
      </c>
      <c r="D724" s="37" t="s">
        <v>8447</v>
      </c>
      <c r="E724" s="38" t="n">
        <v>189</v>
      </c>
      <c r="F724" s="38"/>
    </row>
    <row r="725" customFormat="false" ht="15" hidden="false" customHeight="false" outlineLevel="0" collapsed="false">
      <c r="B725" s="38" t="n">
        <v>721</v>
      </c>
      <c r="C725" s="37" t="s">
        <v>7130</v>
      </c>
      <c r="D725" s="37" t="s">
        <v>8151</v>
      </c>
      <c r="E725" s="38" t="n">
        <v>174</v>
      </c>
      <c r="F725" s="38"/>
    </row>
    <row r="726" customFormat="false" ht="15" hidden="false" customHeight="false" outlineLevel="0" collapsed="false">
      <c r="B726" s="38" t="n">
        <v>722</v>
      </c>
      <c r="C726" s="37" t="s">
        <v>8448</v>
      </c>
      <c r="D726" s="37" t="s">
        <v>7445</v>
      </c>
      <c r="E726" s="38" t="n">
        <v>218</v>
      </c>
      <c r="F726" s="38"/>
    </row>
    <row r="727" customFormat="false" ht="15" hidden="false" customHeight="false" outlineLevel="0" collapsed="false">
      <c r="B727" s="38" t="n">
        <v>723</v>
      </c>
      <c r="C727" s="37" t="s">
        <v>8449</v>
      </c>
      <c r="D727" s="37" t="s">
        <v>7942</v>
      </c>
      <c r="E727" s="38" t="n">
        <v>320</v>
      </c>
      <c r="F727" s="38"/>
    </row>
    <row r="728" customFormat="false" ht="15" hidden="false" customHeight="false" outlineLevel="0" collapsed="false">
      <c r="B728" s="38" t="n">
        <v>724</v>
      </c>
      <c r="C728" s="37" t="s">
        <v>8450</v>
      </c>
      <c r="D728" s="37" t="s">
        <v>8451</v>
      </c>
      <c r="E728" s="38" t="n">
        <v>202</v>
      </c>
      <c r="F728" s="38"/>
    </row>
    <row r="729" customFormat="false" ht="15" hidden="false" customHeight="false" outlineLevel="0" collapsed="false">
      <c r="B729" s="38" t="n">
        <v>725</v>
      </c>
      <c r="C729" s="37" t="s">
        <v>8452</v>
      </c>
      <c r="D729" s="37" t="s">
        <v>7445</v>
      </c>
      <c r="E729" s="38" t="n">
        <v>218</v>
      </c>
      <c r="F729" s="38"/>
    </row>
    <row r="730" customFormat="false" ht="15" hidden="false" customHeight="false" outlineLevel="0" collapsed="false">
      <c r="B730" s="38" t="n">
        <v>726</v>
      </c>
      <c r="C730" s="37" t="s">
        <v>8453</v>
      </c>
      <c r="D730" s="37" t="s">
        <v>8454</v>
      </c>
      <c r="E730" s="38" t="n">
        <v>203</v>
      </c>
      <c r="F730" s="38"/>
    </row>
    <row r="731" customFormat="false" ht="15" hidden="false" customHeight="false" outlineLevel="0" collapsed="false">
      <c r="B731" s="38" t="n">
        <v>727</v>
      </c>
      <c r="C731" s="37" t="s">
        <v>8455</v>
      </c>
      <c r="D731" s="37" t="s">
        <v>8456</v>
      </c>
      <c r="E731" s="38" t="n">
        <v>320</v>
      </c>
      <c r="F731" s="38"/>
    </row>
    <row r="732" customFormat="false" ht="15" hidden="false" customHeight="false" outlineLevel="0" collapsed="false">
      <c r="B732" s="38" t="n">
        <v>728</v>
      </c>
      <c r="C732" s="37" t="s">
        <v>8457</v>
      </c>
      <c r="D732" s="37" t="s">
        <v>8458</v>
      </c>
      <c r="E732" s="38" t="n">
        <v>320</v>
      </c>
      <c r="F732" s="38"/>
    </row>
    <row r="733" customFormat="false" ht="15" hidden="false" customHeight="false" outlineLevel="0" collapsed="false">
      <c r="B733" s="38" t="n">
        <v>729</v>
      </c>
      <c r="C733" s="37" t="s">
        <v>8459</v>
      </c>
      <c r="D733" s="37" t="s">
        <v>8460</v>
      </c>
      <c r="E733" s="38" t="n">
        <v>214</v>
      </c>
      <c r="F733" s="38"/>
    </row>
    <row r="734" customFormat="false" ht="15" hidden="false" customHeight="false" outlineLevel="0" collapsed="false">
      <c r="B734" s="38" t="n">
        <v>730</v>
      </c>
      <c r="C734" s="37" t="s">
        <v>8461</v>
      </c>
      <c r="D734" s="37" t="s">
        <v>8462</v>
      </c>
      <c r="E734" s="38" t="n">
        <v>171</v>
      </c>
      <c r="F734" s="38"/>
    </row>
    <row r="735" customFormat="false" ht="15" hidden="false" customHeight="false" outlineLevel="0" collapsed="false">
      <c r="B735" s="38" t="n">
        <v>731</v>
      </c>
      <c r="C735" s="37" t="s">
        <v>8463</v>
      </c>
      <c r="D735" s="37" t="s">
        <v>7989</v>
      </c>
      <c r="E735" s="38" t="n">
        <v>162</v>
      </c>
      <c r="F735" s="38"/>
    </row>
    <row r="736" customFormat="false" ht="15" hidden="false" customHeight="false" outlineLevel="0" collapsed="false">
      <c r="B736" s="38" t="n">
        <v>732</v>
      </c>
      <c r="C736" s="37" t="s">
        <v>8464</v>
      </c>
      <c r="D736" s="37" t="s">
        <v>8465</v>
      </c>
      <c r="E736" s="38" t="n">
        <v>216</v>
      </c>
      <c r="F736" s="38"/>
    </row>
    <row r="737" customFormat="false" ht="15" hidden="false" customHeight="false" outlineLevel="0" collapsed="false">
      <c r="B737" s="38" t="n">
        <v>733</v>
      </c>
      <c r="C737" s="37" t="s">
        <v>8466</v>
      </c>
      <c r="D737" s="37" t="s">
        <v>8467</v>
      </c>
      <c r="E737" s="38" t="n">
        <v>191</v>
      </c>
      <c r="F737" s="38"/>
    </row>
    <row r="738" customFormat="false" ht="15" hidden="false" customHeight="false" outlineLevel="0" collapsed="false">
      <c r="B738" s="38" t="n">
        <v>734</v>
      </c>
      <c r="C738" s="37" t="s">
        <v>8468</v>
      </c>
      <c r="D738" s="37" t="s">
        <v>8469</v>
      </c>
      <c r="E738" s="38" t="n">
        <v>167</v>
      </c>
      <c r="F738" s="38"/>
    </row>
    <row r="739" customFormat="false" ht="15" hidden="false" customHeight="false" outlineLevel="0" collapsed="false">
      <c r="B739" s="38" t="n">
        <v>735</v>
      </c>
      <c r="C739" s="37" t="s">
        <v>8470</v>
      </c>
      <c r="D739" s="37" t="s">
        <v>8471</v>
      </c>
      <c r="E739" s="38" t="n">
        <v>174</v>
      </c>
      <c r="F739" s="38"/>
    </row>
    <row r="740" customFormat="false" ht="15" hidden="false" customHeight="false" outlineLevel="0" collapsed="false">
      <c r="B740" s="38" t="n">
        <v>736</v>
      </c>
      <c r="C740" s="37" t="s">
        <v>8472</v>
      </c>
      <c r="D740" s="37" t="s">
        <v>8473</v>
      </c>
      <c r="E740" s="38" t="n">
        <v>188</v>
      </c>
      <c r="F740" s="38"/>
    </row>
    <row r="741" customFormat="false" ht="15" hidden="false" customHeight="false" outlineLevel="0" collapsed="false">
      <c r="B741" s="38" t="n">
        <v>737</v>
      </c>
      <c r="C741" s="37" t="s">
        <v>8474</v>
      </c>
      <c r="D741" s="37" t="s">
        <v>8386</v>
      </c>
      <c r="E741" s="38" t="n">
        <v>218</v>
      </c>
      <c r="F741" s="38"/>
    </row>
    <row r="742" customFormat="false" ht="15" hidden="false" customHeight="false" outlineLevel="0" collapsed="false">
      <c r="B742" s="38" t="n">
        <v>738</v>
      </c>
      <c r="C742" s="37" t="s">
        <v>8475</v>
      </c>
      <c r="D742" s="37" t="s">
        <v>8476</v>
      </c>
      <c r="E742" s="38" t="n">
        <v>185</v>
      </c>
      <c r="F742" s="38"/>
    </row>
    <row r="743" customFormat="false" ht="15" hidden="false" customHeight="false" outlineLevel="0" collapsed="false">
      <c r="B743" s="38" t="n">
        <v>739</v>
      </c>
      <c r="C743" s="37" t="s">
        <v>8477</v>
      </c>
      <c r="D743" s="37" t="s">
        <v>8478</v>
      </c>
      <c r="E743" s="38" t="n">
        <v>182</v>
      </c>
      <c r="F743" s="38"/>
    </row>
    <row r="744" customFormat="false" ht="15" hidden="false" customHeight="false" outlineLevel="0" collapsed="false">
      <c r="B744" s="38" t="n">
        <v>740</v>
      </c>
      <c r="C744" s="37" t="s">
        <v>8479</v>
      </c>
      <c r="D744" s="37" t="s">
        <v>8480</v>
      </c>
      <c r="E744" s="38" t="n">
        <v>213</v>
      </c>
      <c r="F744" s="38"/>
    </row>
    <row r="745" customFormat="false" ht="15" hidden="false" customHeight="false" outlineLevel="0" collapsed="false">
      <c r="B745" s="38" t="n">
        <v>741</v>
      </c>
      <c r="C745" s="37" t="s">
        <v>8481</v>
      </c>
      <c r="D745" s="37" t="s">
        <v>8456</v>
      </c>
      <c r="E745" s="38" t="n">
        <v>320</v>
      </c>
      <c r="F745" s="38"/>
    </row>
    <row r="746" customFormat="false" ht="15" hidden="false" customHeight="false" outlineLevel="0" collapsed="false">
      <c r="B746" s="38" t="n">
        <v>742</v>
      </c>
      <c r="C746" s="37" t="s">
        <v>8482</v>
      </c>
      <c r="D746" s="37" t="s">
        <v>8483</v>
      </c>
      <c r="E746" s="38" t="n">
        <v>175</v>
      </c>
      <c r="F746" s="38"/>
    </row>
    <row r="747" customFormat="false" ht="15" hidden="false" customHeight="false" outlineLevel="0" collapsed="false">
      <c r="B747" s="38" t="n">
        <v>743</v>
      </c>
      <c r="C747" s="37" t="s">
        <v>8484</v>
      </c>
      <c r="D747" s="37" t="s">
        <v>7922</v>
      </c>
      <c r="E747" s="38" t="n">
        <v>320</v>
      </c>
      <c r="F747" s="38"/>
    </row>
    <row r="748" customFormat="false" ht="15" hidden="false" customHeight="false" outlineLevel="0" collapsed="false">
      <c r="B748" s="38" t="n">
        <v>744</v>
      </c>
      <c r="C748" s="37" t="s">
        <v>8485</v>
      </c>
      <c r="D748" s="37" t="s">
        <v>8486</v>
      </c>
      <c r="E748" s="38" t="n">
        <v>212</v>
      </c>
      <c r="F748" s="38"/>
    </row>
    <row r="749" customFormat="false" ht="15" hidden="false" customHeight="false" outlineLevel="0" collapsed="false">
      <c r="B749" s="38" t="n">
        <v>745</v>
      </c>
      <c r="C749" s="37" t="s">
        <v>8487</v>
      </c>
      <c r="D749" s="37" t="s">
        <v>8488</v>
      </c>
      <c r="E749" s="38" t="n">
        <v>176</v>
      </c>
      <c r="F749" s="38"/>
    </row>
    <row r="750" customFormat="false" ht="15" hidden="false" customHeight="false" outlineLevel="0" collapsed="false">
      <c r="B750" s="38" t="n">
        <v>746</v>
      </c>
      <c r="C750" s="37" t="s">
        <v>8489</v>
      </c>
      <c r="D750" s="37" t="s">
        <v>8075</v>
      </c>
      <c r="E750" s="38" t="n">
        <v>320</v>
      </c>
      <c r="F750" s="38"/>
    </row>
    <row r="751" customFormat="false" ht="15" hidden="false" customHeight="false" outlineLevel="0" collapsed="false">
      <c r="B751" s="38" t="n">
        <v>747</v>
      </c>
      <c r="C751" s="37" t="s">
        <v>8490</v>
      </c>
      <c r="D751" s="37" t="s">
        <v>8491</v>
      </c>
      <c r="E751" s="38" t="n">
        <v>181</v>
      </c>
      <c r="F751" s="38"/>
    </row>
    <row r="752" customFormat="false" ht="15" hidden="false" customHeight="false" outlineLevel="0" collapsed="false">
      <c r="B752" s="38" t="n">
        <v>748</v>
      </c>
      <c r="C752" s="37" t="s">
        <v>8492</v>
      </c>
      <c r="D752" s="37" t="s">
        <v>7344</v>
      </c>
      <c r="E752" s="38" t="n">
        <v>176</v>
      </c>
      <c r="F752" s="38"/>
    </row>
    <row r="753" customFormat="false" ht="15" hidden="false" customHeight="false" outlineLevel="0" collapsed="false">
      <c r="B753" s="38" t="n">
        <v>749</v>
      </c>
      <c r="C753" s="37" t="s">
        <v>8493</v>
      </c>
      <c r="D753" s="37" t="s">
        <v>8494</v>
      </c>
      <c r="E753" s="38" t="n">
        <v>164</v>
      </c>
      <c r="F753" s="38"/>
    </row>
    <row r="754" customFormat="false" ht="15" hidden="false" customHeight="false" outlineLevel="0" collapsed="false">
      <c r="B754" s="38" t="n">
        <v>750</v>
      </c>
      <c r="C754" s="37" t="s">
        <v>8495</v>
      </c>
      <c r="D754" s="37" t="s">
        <v>8496</v>
      </c>
      <c r="E754" s="38" t="n">
        <v>246</v>
      </c>
      <c r="F754" s="38"/>
    </row>
    <row r="755" customFormat="false" ht="15" hidden="false" customHeight="false" outlineLevel="0" collapsed="false">
      <c r="B755" s="38" t="n">
        <v>751</v>
      </c>
      <c r="C755" s="37" t="s">
        <v>8497</v>
      </c>
      <c r="D755" s="37" t="s">
        <v>8426</v>
      </c>
      <c r="E755" s="38" t="n">
        <v>206</v>
      </c>
      <c r="F755" s="38"/>
    </row>
    <row r="756" customFormat="false" ht="15" hidden="false" customHeight="false" outlineLevel="0" collapsed="false">
      <c r="B756" s="38" t="n">
        <v>752</v>
      </c>
      <c r="C756" s="37" t="s">
        <v>8498</v>
      </c>
      <c r="D756" s="37" t="s">
        <v>8499</v>
      </c>
      <c r="E756" s="38" t="n">
        <v>168</v>
      </c>
      <c r="F756" s="38"/>
    </row>
    <row r="757" customFormat="false" ht="15" hidden="false" customHeight="false" outlineLevel="0" collapsed="false">
      <c r="B757" s="38" t="n">
        <v>753</v>
      </c>
      <c r="C757" s="37" t="s">
        <v>8500</v>
      </c>
      <c r="D757" s="37" t="s">
        <v>8501</v>
      </c>
      <c r="E757" s="38" t="n">
        <v>214</v>
      </c>
      <c r="F757" s="38"/>
    </row>
    <row r="758" customFormat="false" ht="15" hidden="false" customHeight="false" outlineLevel="0" collapsed="false">
      <c r="B758" s="38" t="n">
        <v>754</v>
      </c>
      <c r="C758" s="37" t="s">
        <v>8502</v>
      </c>
      <c r="D758" s="37" t="s">
        <v>7874</v>
      </c>
      <c r="E758" s="38" t="n">
        <v>320</v>
      </c>
      <c r="F758" s="38"/>
    </row>
    <row r="759" customFormat="false" ht="15" hidden="false" customHeight="false" outlineLevel="0" collapsed="false">
      <c r="B759" s="38" t="n">
        <v>755</v>
      </c>
      <c r="C759" s="37" t="s">
        <v>8503</v>
      </c>
      <c r="D759" s="37" t="s">
        <v>8504</v>
      </c>
      <c r="E759" s="38" t="n">
        <v>206</v>
      </c>
      <c r="F759" s="38"/>
    </row>
    <row r="760" customFormat="false" ht="15" hidden="false" customHeight="false" outlineLevel="0" collapsed="false">
      <c r="B760" s="38" t="n">
        <v>756</v>
      </c>
      <c r="C760" s="37" t="s">
        <v>8505</v>
      </c>
      <c r="D760" s="37" t="s">
        <v>8460</v>
      </c>
      <c r="E760" s="38" t="n">
        <v>214</v>
      </c>
      <c r="F760" s="38"/>
    </row>
    <row r="761" customFormat="false" ht="15" hidden="false" customHeight="false" outlineLevel="0" collapsed="false">
      <c r="B761" s="38" t="n">
        <v>757</v>
      </c>
      <c r="C761" s="37" t="s">
        <v>8506</v>
      </c>
      <c r="D761" s="37" t="s">
        <v>8507</v>
      </c>
      <c r="E761" s="38" t="n">
        <v>178</v>
      </c>
      <c r="F761" s="38"/>
    </row>
    <row r="762" customFormat="false" ht="15" hidden="false" customHeight="false" outlineLevel="0" collapsed="false">
      <c r="B762" s="38" t="n">
        <v>758</v>
      </c>
      <c r="C762" s="37" t="s">
        <v>8508</v>
      </c>
      <c r="D762" s="37" t="s">
        <v>8509</v>
      </c>
      <c r="E762" s="38" t="n">
        <v>168</v>
      </c>
      <c r="F762" s="38"/>
    </row>
    <row r="763" customFormat="false" ht="15" hidden="false" customHeight="false" outlineLevel="0" collapsed="false">
      <c r="B763" s="38" t="n">
        <v>759</v>
      </c>
      <c r="C763" s="37" t="s">
        <v>8510</v>
      </c>
      <c r="D763" s="37" t="s">
        <v>8511</v>
      </c>
      <c r="E763" s="38" t="n">
        <v>179</v>
      </c>
      <c r="F763" s="38"/>
    </row>
    <row r="764" customFormat="false" ht="15" hidden="false" customHeight="false" outlineLevel="0" collapsed="false">
      <c r="B764" s="38" t="n">
        <v>760</v>
      </c>
      <c r="C764" s="37" t="s">
        <v>8512</v>
      </c>
      <c r="D764" s="37" t="s">
        <v>8513</v>
      </c>
      <c r="E764" s="38" t="n">
        <v>186</v>
      </c>
      <c r="F764" s="38"/>
    </row>
    <row r="765" customFormat="false" ht="15" hidden="false" customHeight="false" outlineLevel="0" collapsed="false">
      <c r="B765" s="38" t="n">
        <v>761</v>
      </c>
      <c r="C765" s="37" t="s">
        <v>8514</v>
      </c>
      <c r="D765" s="37" t="s">
        <v>8515</v>
      </c>
      <c r="E765" s="38" t="n">
        <v>230</v>
      </c>
      <c r="F765" s="38"/>
    </row>
    <row r="766" customFormat="false" ht="15" hidden="false" customHeight="false" outlineLevel="0" collapsed="false">
      <c r="B766" s="38" t="n">
        <v>762</v>
      </c>
      <c r="C766" s="37" t="s">
        <v>8516</v>
      </c>
      <c r="D766" s="37" t="s">
        <v>8517</v>
      </c>
      <c r="E766" s="38" t="n">
        <v>188</v>
      </c>
      <c r="F766" s="38"/>
    </row>
    <row r="767" customFormat="false" ht="15" hidden="false" customHeight="false" outlineLevel="0" collapsed="false">
      <c r="B767" s="38" t="n">
        <v>763</v>
      </c>
      <c r="C767" s="37" t="s">
        <v>8518</v>
      </c>
      <c r="D767" s="37" t="s">
        <v>8519</v>
      </c>
      <c r="E767" s="38" t="n">
        <v>162</v>
      </c>
      <c r="F767" s="38"/>
    </row>
    <row r="768" customFormat="false" ht="15" hidden="false" customHeight="false" outlineLevel="0" collapsed="false">
      <c r="B768" s="38" t="n">
        <v>764</v>
      </c>
      <c r="C768" s="37" t="s">
        <v>8520</v>
      </c>
      <c r="D768" s="37" t="s">
        <v>7922</v>
      </c>
      <c r="E768" s="38" t="n">
        <v>320</v>
      </c>
      <c r="F768" s="38"/>
    </row>
    <row r="769" customFormat="false" ht="15" hidden="false" customHeight="false" outlineLevel="0" collapsed="false">
      <c r="B769" s="38" t="n">
        <v>765</v>
      </c>
      <c r="C769" s="37" t="s">
        <v>8521</v>
      </c>
      <c r="D769" s="37" t="s">
        <v>8522</v>
      </c>
      <c r="E769" s="38" t="n">
        <v>162</v>
      </c>
      <c r="F769" s="38"/>
    </row>
    <row r="770" customFormat="false" ht="15" hidden="false" customHeight="false" outlineLevel="0" collapsed="false">
      <c r="B770" s="38" t="n">
        <v>766</v>
      </c>
      <c r="C770" s="37" t="s">
        <v>8523</v>
      </c>
      <c r="D770" s="37" t="s">
        <v>8524</v>
      </c>
      <c r="E770" s="38" t="n">
        <v>178</v>
      </c>
      <c r="F770" s="38"/>
    </row>
    <row r="771" customFormat="false" ht="15" hidden="false" customHeight="false" outlineLevel="0" collapsed="false">
      <c r="B771" s="38" t="n">
        <v>767</v>
      </c>
      <c r="C771" s="37" t="s">
        <v>8525</v>
      </c>
      <c r="D771" s="37" t="s">
        <v>8515</v>
      </c>
      <c r="E771" s="38" t="n">
        <v>230</v>
      </c>
      <c r="F771" s="38"/>
    </row>
    <row r="772" customFormat="false" ht="15" hidden="false" customHeight="false" outlineLevel="0" collapsed="false">
      <c r="B772" s="38" t="n">
        <v>768</v>
      </c>
      <c r="C772" s="37" t="s">
        <v>8526</v>
      </c>
      <c r="D772" s="37" t="s">
        <v>7741</v>
      </c>
      <c r="E772" s="38" t="n">
        <v>169</v>
      </c>
      <c r="F772" s="38"/>
    </row>
    <row r="773" customFormat="false" ht="15" hidden="false" customHeight="false" outlineLevel="0" collapsed="false">
      <c r="B773" s="38" t="n">
        <v>769</v>
      </c>
      <c r="C773" s="37" t="s">
        <v>8527</v>
      </c>
      <c r="D773" s="37" t="s">
        <v>8528</v>
      </c>
      <c r="E773" s="38" t="n">
        <v>169</v>
      </c>
      <c r="F773" s="38"/>
    </row>
    <row r="774" customFormat="false" ht="15" hidden="false" customHeight="false" outlineLevel="0" collapsed="false">
      <c r="B774" s="38" t="n">
        <v>770</v>
      </c>
      <c r="C774" s="37" t="s">
        <v>8529</v>
      </c>
      <c r="D774" s="37" t="s">
        <v>8202</v>
      </c>
      <c r="E774" s="38" t="n">
        <v>207</v>
      </c>
      <c r="F774" s="38"/>
    </row>
    <row r="775" customFormat="false" ht="15" hidden="false" customHeight="false" outlineLevel="0" collapsed="false">
      <c r="B775" s="38" t="n">
        <v>771</v>
      </c>
      <c r="C775" s="37" t="s">
        <v>8530</v>
      </c>
      <c r="D775" s="37" t="s">
        <v>7759</v>
      </c>
      <c r="E775" s="38" t="n">
        <v>320</v>
      </c>
      <c r="F775" s="38"/>
    </row>
    <row r="776" customFormat="false" ht="15" hidden="false" customHeight="false" outlineLevel="0" collapsed="false">
      <c r="B776" s="38" t="n">
        <v>772</v>
      </c>
      <c r="C776" s="37" t="s">
        <v>8531</v>
      </c>
      <c r="D776" s="37" t="s">
        <v>8443</v>
      </c>
      <c r="E776" s="38" t="n">
        <v>221</v>
      </c>
      <c r="F776" s="38"/>
    </row>
    <row r="777" customFormat="false" ht="15" hidden="false" customHeight="false" outlineLevel="0" collapsed="false">
      <c r="B777" s="38" t="n">
        <v>773</v>
      </c>
      <c r="C777" s="37" t="s">
        <v>8532</v>
      </c>
      <c r="D777" s="37" t="s">
        <v>7947</v>
      </c>
      <c r="E777" s="38" t="n">
        <v>191</v>
      </c>
      <c r="F777" s="38"/>
    </row>
    <row r="778" customFormat="false" ht="15" hidden="false" customHeight="false" outlineLevel="0" collapsed="false">
      <c r="B778" s="38" t="n">
        <v>774</v>
      </c>
      <c r="C778" s="37" t="s">
        <v>8533</v>
      </c>
      <c r="D778" s="37" t="s">
        <v>8534</v>
      </c>
      <c r="E778" s="38" t="n">
        <v>320</v>
      </c>
      <c r="F778" s="38"/>
    </row>
    <row r="779" customFormat="false" ht="15" hidden="false" customHeight="false" outlineLevel="0" collapsed="false">
      <c r="B779" s="38" t="n">
        <v>775</v>
      </c>
      <c r="C779" s="37" t="s">
        <v>8535</v>
      </c>
      <c r="D779" s="37" t="s">
        <v>8536</v>
      </c>
      <c r="E779" s="38" t="n">
        <v>164</v>
      </c>
      <c r="F779" s="38"/>
    </row>
    <row r="780" customFormat="false" ht="15" hidden="false" customHeight="false" outlineLevel="0" collapsed="false">
      <c r="B780" s="38" t="n">
        <v>776</v>
      </c>
      <c r="C780" s="37" t="s">
        <v>8537</v>
      </c>
      <c r="D780" s="37" t="s">
        <v>8538</v>
      </c>
      <c r="E780" s="38" t="n">
        <v>162</v>
      </c>
      <c r="F780" s="38"/>
    </row>
    <row r="781" customFormat="false" ht="15" hidden="false" customHeight="false" outlineLevel="0" collapsed="false">
      <c r="B781" s="38" t="n">
        <v>777</v>
      </c>
      <c r="C781" s="37" t="s">
        <v>8539</v>
      </c>
      <c r="D781" s="37" t="s">
        <v>8540</v>
      </c>
      <c r="E781" s="38" t="n">
        <v>175</v>
      </c>
      <c r="F781" s="38"/>
    </row>
    <row r="782" customFormat="false" ht="15" hidden="false" customHeight="false" outlineLevel="0" collapsed="false">
      <c r="B782" s="38" t="n">
        <v>778</v>
      </c>
      <c r="C782" s="37" t="s">
        <v>8541</v>
      </c>
      <c r="D782" s="37" t="s">
        <v>8542</v>
      </c>
      <c r="E782" s="38" t="n">
        <v>319</v>
      </c>
      <c r="F782" s="38"/>
    </row>
    <row r="783" customFormat="false" ht="15" hidden="false" customHeight="false" outlineLevel="0" collapsed="false">
      <c r="B783" s="38" t="n">
        <v>779</v>
      </c>
      <c r="C783" s="37" t="s">
        <v>8543</v>
      </c>
      <c r="D783" s="37" t="s">
        <v>8544</v>
      </c>
      <c r="E783" s="38" t="n">
        <v>177</v>
      </c>
      <c r="F783" s="38"/>
    </row>
    <row r="784" customFormat="false" ht="15" hidden="false" customHeight="false" outlineLevel="0" collapsed="false">
      <c r="B784" s="38" t="n">
        <v>780</v>
      </c>
      <c r="C784" s="37" t="s">
        <v>8545</v>
      </c>
      <c r="D784" s="37" t="s">
        <v>8546</v>
      </c>
      <c r="E784" s="38" t="n">
        <v>196</v>
      </c>
      <c r="F784" s="38"/>
    </row>
    <row r="785" customFormat="false" ht="15" hidden="false" customHeight="false" outlineLevel="0" collapsed="false">
      <c r="B785" s="38" t="n">
        <v>781</v>
      </c>
      <c r="C785" s="37" t="s">
        <v>8547</v>
      </c>
      <c r="D785" s="37" t="s">
        <v>7932</v>
      </c>
      <c r="E785" s="38" t="n">
        <v>221</v>
      </c>
      <c r="F785" s="38"/>
    </row>
    <row r="786" customFormat="false" ht="15" hidden="false" customHeight="false" outlineLevel="0" collapsed="false">
      <c r="B786" s="38" t="n">
        <v>782</v>
      </c>
      <c r="C786" s="37" t="s">
        <v>8548</v>
      </c>
      <c r="D786" s="37" t="s">
        <v>8549</v>
      </c>
      <c r="E786" s="38" t="n">
        <v>173</v>
      </c>
      <c r="F786" s="38"/>
    </row>
    <row r="787" customFormat="false" ht="15" hidden="false" customHeight="false" outlineLevel="0" collapsed="false">
      <c r="B787" s="38" t="n">
        <v>783</v>
      </c>
      <c r="C787" s="37" t="s">
        <v>8550</v>
      </c>
      <c r="D787" s="37" t="s">
        <v>8551</v>
      </c>
      <c r="E787" s="38" t="n">
        <v>164</v>
      </c>
      <c r="F787" s="38"/>
    </row>
    <row r="788" customFormat="false" ht="15" hidden="false" customHeight="false" outlineLevel="0" collapsed="false">
      <c r="B788" s="38" t="n">
        <v>784</v>
      </c>
      <c r="C788" s="37" t="s">
        <v>8552</v>
      </c>
      <c r="D788" s="37" t="s">
        <v>8166</v>
      </c>
      <c r="E788" s="38" t="n">
        <v>242</v>
      </c>
      <c r="F788" s="38"/>
    </row>
    <row r="789" customFormat="false" ht="15" hidden="false" customHeight="false" outlineLevel="0" collapsed="false">
      <c r="B789" s="38" t="n">
        <v>785</v>
      </c>
      <c r="C789" s="37" t="s">
        <v>8553</v>
      </c>
      <c r="D789" s="37" t="s">
        <v>7344</v>
      </c>
      <c r="E789" s="38" t="n">
        <v>176</v>
      </c>
      <c r="F789" s="38"/>
    </row>
    <row r="790" customFormat="false" ht="15" hidden="false" customHeight="false" outlineLevel="0" collapsed="false">
      <c r="B790" s="38" t="n">
        <v>786</v>
      </c>
      <c r="C790" s="37" t="s">
        <v>8554</v>
      </c>
      <c r="D790" s="37" t="s">
        <v>7994</v>
      </c>
      <c r="E790" s="38" t="n">
        <v>319</v>
      </c>
      <c r="F790" s="38"/>
    </row>
    <row r="791" customFormat="false" ht="15" hidden="false" customHeight="false" outlineLevel="0" collapsed="false">
      <c r="B791" s="38" t="n">
        <v>787</v>
      </c>
      <c r="C791" s="37" t="s">
        <v>8555</v>
      </c>
      <c r="D791" s="37" t="s">
        <v>7890</v>
      </c>
      <c r="E791" s="38" t="n">
        <v>320</v>
      </c>
      <c r="F791" s="38"/>
    </row>
    <row r="792" customFormat="false" ht="15" hidden="false" customHeight="false" outlineLevel="0" collapsed="false">
      <c r="B792" s="38" t="n">
        <v>788</v>
      </c>
      <c r="C792" s="37" t="s">
        <v>8556</v>
      </c>
      <c r="D792" s="37" t="s">
        <v>8557</v>
      </c>
      <c r="E792" s="38" t="n">
        <v>177</v>
      </c>
      <c r="F792" s="38"/>
    </row>
    <row r="793" customFormat="false" ht="15" hidden="false" customHeight="false" outlineLevel="0" collapsed="false">
      <c r="B793" s="38" t="n">
        <v>789</v>
      </c>
      <c r="C793" s="37" t="s">
        <v>8558</v>
      </c>
      <c r="D793" s="37" t="s">
        <v>8559</v>
      </c>
      <c r="E793" s="38" t="n">
        <v>190</v>
      </c>
      <c r="F793" s="38"/>
    </row>
    <row r="794" customFormat="false" ht="15" hidden="false" customHeight="false" outlineLevel="0" collapsed="false">
      <c r="B794" s="38" t="n">
        <v>790</v>
      </c>
      <c r="C794" s="37" t="s">
        <v>8560</v>
      </c>
      <c r="D794" s="37" t="s">
        <v>8561</v>
      </c>
      <c r="E794" s="38" t="n">
        <v>163</v>
      </c>
      <c r="F794" s="38"/>
    </row>
    <row r="795" customFormat="false" ht="15" hidden="false" customHeight="false" outlineLevel="0" collapsed="false">
      <c r="B795" s="38" t="n">
        <v>791</v>
      </c>
      <c r="C795" s="37" t="s">
        <v>8562</v>
      </c>
      <c r="D795" s="37" t="s">
        <v>8563</v>
      </c>
      <c r="E795" s="38" t="n">
        <v>183</v>
      </c>
      <c r="F795" s="38"/>
    </row>
    <row r="796" customFormat="false" ht="15" hidden="false" customHeight="false" outlineLevel="0" collapsed="false">
      <c r="B796" s="38" t="n">
        <v>792</v>
      </c>
      <c r="C796" s="37" t="s">
        <v>8564</v>
      </c>
      <c r="D796" s="37" t="s">
        <v>8067</v>
      </c>
      <c r="E796" s="38" t="n">
        <v>180</v>
      </c>
      <c r="F796" s="38"/>
    </row>
    <row r="797" customFormat="false" ht="15" hidden="false" customHeight="false" outlineLevel="0" collapsed="false">
      <c r="B797" s="38" t="n">
        <v>793</v>
      </c>
      <c r="C797" s="37" t="s">
        <v>8565</v>
      </c>
      <c r="D797" s="37" t="s">
        <v>8260</v>
      </c>
      <c r="E797" s="38" t="n">
        <v>192</v>
      </c>
      <c r="F797" s="38"/>
    </row>
    <row r="798" customFormat="false" ht="15" hidden="false" customHeight="false" outlineLevel="0" collapsed="false">
      <c r="B798" s="38" t="n">
        <v>794</v>
      </c>
      <c r="C798" s="37" t="s">
        <v>8566</v>
      </c>
      <c r="D798" s="37" t="s">
        <v>8567</v>
      </c>
      <c r="E798" s="38" t="n">
        <v>184</v>
      </c>
      <c r="F798" s="38"/>
    </row>
    <row r="799" customFormat="false" ht="15" hidden="false" customHeight="false" outlineLevel="0" collapsed="false">
      <c r="B799" s="38" t="n">
        <v>795</v>
      </c>
      <c r="C799" s="37" t="s">
        <v>8568</v>
      </c>
      <c r="D799" s="37" t="s">
        <v>8569</v>
      </c>
      <c r="E799" s="38" t="n">
        <v>194</v>
      </c>
      <c r="F799" s="38"/>
    </row>
    <row r="800" customFormat="false" ht="15" hidden="false" customHeight="false" outlineLevel="0" collapsed="false">
      <c r="B800" s="38" t="n">
        <v>796</v>
      </c>
      <c r="C800" s="37" t="s">
        <v>8570</v>
      </c>
      <c r="D800" s="37" t="s">
        <v>8571</v>
      </c>
      <c r="E800" s="38" t="n">
        <v>177</v>
      </c>
      <c r="F800" s="38"/>
    </row>
    <row r="801" customFormat="false" ht="15" hidden="false" customHeight="false" outlineLevel="0" collapsed="false">
      <c r="B801" s="38" t="n">
        <v>797</v>
      </c>
      <c r="C801" s="37" t="s">
        <v>8572</v>
      </c>
      <c r="D801" s="37" t="s">
        <v>8573</v>
      </c>
      <c r="E801" s="38" t="n">
        <v>168</v>
      </c>
      <c r="F801" s="38"/>
    </row>
    <row r="802" customFormat="false" ht="15" hidden="false" customHeight="false" outlineLevel="0" collapsed="false">
      <c r="B802" s="38" t="n">
        <v>798</v>
      </c>
      <c r="C802" s="37" t="s">
        <v>8574</v>
      </c>
      <c r="D802" s="37" t="s">
        <v>8575</v>
      </c>
      <c r="E802" s="38" t="n">
        <v>166</v>
      </c>
      <c r="F802" s="38"/>
    </row>
    <row r="803" customFormat="false" ht="15" hidden="false" customHeight="false" outlineLevel="0" collapsed="false">
      <c r="B803" s="38" t="n">
        <v>799</v>
      </c>
      <c r="C803" s="37" t="s">
        <v>8576</v>
      </c>
      <c r="D803" s="37" t="s">
        <v>8577</v>
      </c>
      <c r="E803" s="38" t="n">
        <v>225</v>
      </c>
      <c r="F803" s="38"/>
    </row>
    <row r="804" customFormat="false" ht="15" hidden="false" customHeight="false" outlineLevel="0" collapsed="false">
      <c r="B804" s="38" t="n">
        <v>800</v>
      </c>
      <c r="C804" s="37" t="s">
        <v>8578</v>
      </c>
      <c r="D804" s="37" t="s">
        <v>8073</v>
      </c>
      <c r="E804" s="38" t="n">
        <v>163</v>
      </c>
      <c r="F804" s="38"/>
    </row>
    <row r="805" customFormat="false" ht="15" hidden="false" customHeight="false" outlineLevel="0" collapsed="false">
      <c r="B805" s="38" t="n">
        <v>801</v>
      </c>
      <c r="C805" s="37" t="s">
        <v>8579</v>
      </c>
      <c r="D805" s="37" t="s">
        <v>8580</v>
      </c>
      <c r="E805" s="38" t="n">
        <v>214</v>
      </c>
      <c r="F805" s="38"/>
    </row>
    <row r="806" customFormat="false" ht="15" hidden="false" customHeight="false" outlineLevel="0" collapsed="false">
      <c r="B806" s="38" t="n">
        <v>802</v>
      </c>
      <c r="C806" s="37" t="s">
        <v>8581</v>
      </c>
      <c r="D806" s="37" t="s">
        <v>8582</v>
      </c>
      <c r="E806" s="38" t="n">
        <v>220</v>
      </c>
      <c r="F806" s="38"/>
    </row>
    <row r="807" customFormat="false" ht="15" hidden="false" customHeight="false" outlineLevel="0" collapsed="false">
      <c r="B807" s="38" t="n">
        <v>803</v>
      </c>
      <c r="C807" s="37" t="s">
        <v>8583</v>
      </c>
      <c r="D807" s="37" t="s">
        <v>8584</v>
      </c>
      <c r="E807" s="38" t="n">
        <v>177</v>
      </c>
      <c r="F807" s="38"/>
    </row>
    <row r="808" customFormat="false" ht="15" hidden="false" customHeight="false" outlineLevel="0" collapsed="false">
      <c r="B808" s="38" t="n">
        <v>804</v>
      </c>
      <c r="C808" s="37" t="s">
        <v>8585</v>
      </c>
      <c r="D808" s="37" t="s">
        <v>8586</v>
      </c>
      <c r="E808" s="38" t="n">
        <v>186</v>
      </c>
      <c r="F808" s="38"/>
    </row>
    <row r="809" customFormat="false" ht="15" hidden="false" customHeight="false" outlineLevel="0" collapsed="false">
      <c r="B809" s="38" t="n">
        <v>805</v>
      </c>
      <c r="C809" s="37" t="s">
        <v>8587</v>
      </c>
      <c r="D809" s="37" t="s">
        <v>8569</v>
      </c>
      <c r="E809" s="38" t="n">
        <v>194</v>
      </c>
      <c r="F809" s="38"/>
    </row>
    <row r="810" customFormat="false" ht="15" hidden="false" customHeight="false" outlineLevel="0" collapsed="false">
      <c r="B810" s="38" t="n">
        <v>806</v>
      </c>
      <c r="C810" s="37" t="s">
        <v>8588</v>
      </c>
      <c r="D810" s="37" t="s">
        <v>7445</v>
      </c>
      <c r="E810" s="38" t="n">
        <v>218</v>
      </c>
      <c r="F810" s="38"/>
    </row>
    <row r="811" customFormat="false" ht="15" hidden="false" customHeight="false" outlineLevel="0" collapsed="false">
      <c r="B811" s="38" t="n">
        <v>807</v>
      </c>
      <c r="C811" s="37" t="s">
        <v>8589</v>
      </c>
      <c r="D811" s="37" t="s">
        <v>8590</v>
      </c>
      <c r="E811" s="38" t="n">
        <v>190</v>
      </c>
      <c r="F811" s="38"/>
    </row>
    <row r="812" customFormat="false" ht="15" hidden="false" customHeight="false" outlineLevel="0" collapsed="false">
      <c r="B812" s="38" t="n">
        <v>808</v>
      </c>
      <c r="C812" s="37" t="s">
        <v>8591</v>
      </c>
      <c r="D812" s="37" t="s">
        <v>8015</v>
      </c>
      <c r="E812" s="38" t="n">
        <v>190</v>
      </c>
      <c r="F812" s="38"/>
    </row>
    <row r="813" customFormat="false" ht="15" hidden="false" customHeight="false" outlineLevel="0" collapsed="false">
      <c r="B813" s="38" t="n">
        <v>809</v>
      </c>
      <c r="C813" s="37" t="s">
        <v>8592</v>
      </c>
      <c r="D813" s="37" t="s">
        <v>8593</v>
      </c>
      <c r="E813" s="38" t="n">
        <v>190</v>
      </c>
      <c r="F813" s="38"/>
    </row>
    <row r="814" customFormat="false" ht="15" hidden="false" customHeight="false" outlineLevel="0" collapsed="false">
      <c r="B814" s="38" t="n">
        <v>810</v>
      </c>
      <c r="C814" s="37" t="s">
        <v>8594</v>
      </c>
      <c r="D814" s="37" t="s">
        <v>8595</v>
      </c>
      <c r="E814" s="38" t="n">
        <v>174</v>
      </c>
      <c r="F814" s="38"/>
    </row>
    <row r="815" customFormat="false" ht="15" hidden="false" customHeight="false" outlineLevel="0" collapsed="false">
      <c r="B815" s="38" t="n">
        <v>811</v>
      </c>
      <c r="C815" s="37" t="s">
        <v>8596</v>
      </c>
      <c r="D815" s="37" t="s">
        <v>8597</v>
      </c>
      <c r="E815" s="38" t="n">
        <v>176</v>
      </c>
      <c r="F815" s="38"/>
    </row>
    <row r="816" customFormat="false" ht="15" hidden="false" customHeight="false" outlineLevel="0" collapsed="false">
      <c r="B816" s="38" t="n">
        <v>812</v>
      </c>
      <c r="C816" s="37" t="s">
        <v>8598</v>
      </c>
      <c r="D816" s="37" t="s">
        <v>7445</v>
      </c>
      <c r="E816" s="38" t="n">
        <v>218</v>
      </c>
      <c r="F816" s="38"/>
    </row>
    <row r="817" customFormat="false" ht="15" hidden="false" customHeight="false" outlineLevel="0" collapsed="false">
      <c r="B817" s="38" t="n">
        <v>813</v>
      </c>
      <c r="C817" s="37" t="s">
        <v>8599</v>
      </c>
      <c r="D817" s="37" t="s">
        <v>8600</v>
      </c>
      <c r="E817" s="38" t="n">
        <v>198</v>
      </c>
      <c r="F817" s="38"/>
    </row>
    <row r="818" customFormat="false" ht="15" hidden="false" customHeight="false" outlineLevel="0" collapsed="false">
      <c r="B818" s="38" t="n">
        <v>814</v>
      </c>
      <c r="C818" s="37" t="s">
        <v>8601</v>
      </c>
      <c r="D818" s="37" t="s">
        <v>7922</v>
      </c>
      <c r="E818" s="38" t="n">
        <v>320</v>
      </c>
      <c r="F818" s="38"/>
    </row>
    <row r="819" customFormat="false" ht="15" hidden="false" customHeight="false" outlineLevel="0" collapsed="false">
      <c r="B819" s="38" t="n">
        <v>815</v>
      </c>
      <c r="C819" s="37" t="s">
        <v>8602</v>
      </c>
      <c r="D819" s="37" t="s">
        <v>8603</v>
      </c>
      <c r="E819" s="38" t="n">
        <v>169</v>
      </c>
      <c r="F819" s="38"/>
    </row>
    <row r="820" customFormat="false" ht="15" hidden="false" customHeight="false" outlineLevel="0" collapsed="false">
      <c r="B820" s="38" t="n">
        <v>816</v>
      </c>
      <c r="C820" s="37" t="s">
        <v>8604</v>
      </c>
      <c r="D820" s="37" t="s">
        <v>8605</v>
      </c>
      <c r="E820" s="38" t="n">
        <v>167</v>
      </c>
      <c r="F820" s="38"/>
    </row>
    <row r="821" customFormat="false" ht="15" hidden="false" customHeight="false" outlineLevel="0" collapsed="false">
      <c r="B821" s="38" t="n">
        <v>817</v>
      </c>
      <c r="C821" s="37" t="s">
        <v>8606</v>
      </c>
      <c r="D821" s="37" t="s">
        <v>8035</v>
      </c>
      <c r="E821" s="38" t="n">
        <v>196</v>
      </c>
      <c r="F821" s="38"/>
    </row>
    <row r="822" customFormat="false" ht="15" hidden="false" customHeight="false" outlineLevel="0" collapsed="false">
      <c r="B822" s="38" t="n">
        <v>818</v>
      </c>
      <c r="C822" s="37" t="s">
        <v>8607</v>
      </c>
      <c r="D822" s="37" t="s">
        <v>8234</v>
      </c>
      <c r="E822" s="38" t="n">
        <v>232</v>
      </c>
      <c r="F822" s="38"/>
    </row>
    <row r="823" customFormat="false" ht="15" hidden="false" customHeight="false" outlineLevel="0" collapsed="false">
      <c r="B823" s="38" t="n">
        <v>819</v>
      </c>
      <c r="C823" s="37" t="s">
        <v>8608</v>
      </c>
      <c r="D823" s="37" t="s">
        <v>7445</v>
      </c>
      <c r="E823" s="38" t="n">
        <v>218</v>
      </c>
      <c r="F823" s="38"/>
    </row>
    <row r="824" customFormat="false" ht="15" hidden="false" customHeight="false" outlineLevel="0" collapsed="false">
      <c r="B824" s="38" t="n">
        <v>820</v>
      </c>
      <c r="C824" s="37" t="s">
        <v>8609</v>
      </c>
      <c r="D824" s="37" t="s">
        <v>8610</v>
      </c>
      <c r="E824" s="38" t="n">
        <v>188</v>
      </c>
      <c r="F824" s="38"/>
    </row>
    <row r="825" customFormat="false" ht="15" hidden="false" customHeight="false" outlineLevel="0" collapsed="false">
      <c r="B825" s="38" t="n">
        <v>821</v>
      </c>
      <c r="C825" s="37" t="s">
        <v>8611</v>
      </c>
      <c r="D825" s="37" t="s">
        <v>8612</v>
      </c>
      <c r="E825" s="38" t="n">
        <v>176</v>
      </c>
      <c r="F825" s="38"/>
    </row>
    <row r="826" customFormat="false" ht="15" hidden="false" customHeight="false" outlineLevel="0" collapsed="false">
      <c r="B826" s="38" t="n">
        <v>822</v>
      </c>
      <c r="C826" s="37" t="s">
        <v>8613</v>
      </c>
      <c r="D826" s="37" t="s">
        <v>7280</v>
      </c>
      <c r="E826" s="38" t="n">
        <v>320</v>
      </c>
      <c r="F826" s="38"/>
    </row>
    <row r="827" customFormat="false" ht="15" hidden="false" customHeight="false" outlineLevel="0" collapsed="false">
      <c r="B827" s="38" t="n">
        <v>823</v>
      </c>
      <c r="C827" s="37" t="s">
        <v>8614</v>
      </c>
      <c r="D827" s="37" t="s">
        <v>7824</v>
      </c>
      <c r="E827" s="38" t="n">
        <v>169</v>
      </c>
      <c r="F827" s="38"/>
    </row>
    <row r="828" customFormat="false" ht="15" hidden="false" customHeight="false" outlineLevel="0" collapsed="false">
      <c r="B828" s="38" t="n">
        <v>824</v>
      </c>
      <c r="C828" s="37" t="s">
        <v>8615</v>
      </c>
      <c r="D828" s="37" t="s">
        <v>7922</v>
      </c>
      <c r="E828" s="38" t="n">
        <v>320</v>
      </c>
      <c r="F828" s="38"/>
    </row>
    <row r="829" customFormat="false" ht="15" hidden="false" customHeight="false" outlineLevel="0" collapsed="false">
      <c r="B829" s="38" t="n">
        <v>825</v>
      </c>
      <c r="C829" s="37" t="s">
        <v>8616</v>
      </c>
      <c r="D829" s="37" t="s">
        <v>7759</v>
      </c>
      <c r="E829" s="38" t="n">
        <v>320</v>
      </c>
      <c r="F829" s="38"/>
    </row>
    <row r="830" customFormat="false" ht="15" hidden="false" customHeight="false" outlineLevel="0" collapsed="false">
      <c r="B830" s="38" t="n">
        <v>826</v>
      </c>
      <c r="C830" s="37" t="s">
        <v>8617</v>
      </c>
      <c r="D830" s="37" t="s">
        <v>8618</v>
      </c>
      <c r="E830" s="38" t="n">
        <v>185</v>
      </c>
      <c r="F830" s="38"/>
    </row>
    <row r="831" customFormat="false" ht="15" hidden="false" customHeight="false" outlineLevel="0" collapsed="false">
      <c r="B831" s="38" t="n">
        <v>827</v>
      </c>
      <c r="C831" s="37" t="s">
        <v>8619</v>
      </c>
      <c r="D831" s="37" t="s">
        <v>8620</v>
      </c>
      <c r="E831" s="38" t="n">
        <v>172</v>
      </c>
      <c r="F831" s="38"/>
    </row>
    <row r="832" customFormat="false" ht="15" hidden="false" customHeight="false" outlineLevel="0" collapsed="false">
      <c r="B832" s="38" t="n">
        <v>828</v>
      </c>
      <c r="C832" s="37" t="s">
        <v>8621</v>
      </c>
      <c r="D832" s="37" t="s">
        <v>7344</v>
      </c>
      <c r="E832" s="38" t="n">
        <v>176</v>
      </c>
      <c r="F832" s="38"/>
    </row>
    <row r="833" customFormat="false" ht="15" hidden="false" customHeight="false" outlineLevel="0" collapsed="false">
      <c r="B833" s="38" t="n">
        <v>829</v>
      </c>
      <c r="C833" s="37" t="s">
        <v>8622</v>
      </c>
      <c r="D833" s="37" t="s">
        <v>8623</v>
      </c>
      <c r="E833" s="38" t="n">
        <v>176</v>
      </c>
      <c r="F833" s="38"/>
    </row>
    <row r="834" customFormat="false" ht="15" hidden="false" customHeight="false" outlineLevel="0" collapsed="false">
      <c r="B834" s="38" t="n">
        <v>830</v>
      </c>
      <c r="C834" s="37" t="s">
        <v>8624</v>
      </c>
      <c r="D834" s="37" t="s">
        <v>8625</v>
      </c>
      <c r="E834" s="38" t="n">
        <v>183</v>
      </c>
      <c r="F834" s="38"/>
    </row>
    <row r="835" customFormat="false" ht="15" hidden="false" customHeight="false" outlineLevel="0" collapsed="false">
      <c r="B835" s="38" t="n">
        <v>831</v>
      </c>
      <c r="C835" s="37" t="s">
        <v>8626</v>
      </c>
      <c r="D835" s="37" t="s">
        <v>7890</v>
      </c>
      <c r="E835" s="38" t="n">
        <v>320</v>
      </c>
      <c r="F835" s="38"/>
    </row>
    <row r="836" customFormat="false" ht="15" hidden="false" customHeight="false" outlineLevel="0" collapsed="false">
      <c r="B836" s="38" t="n">
        <v>832</v>
      </c>
      <c r="C836" s="37" t="s">
        <v>8627</v>
      </c>
      <c r="D836" s="37" t="s">
        <v>8628</v>
      </c>
      <c r="E836" s="38" t="n">
        <v>161</v>
      </c>
      <c r="F836" s="38"/>
    </row>
    <row r="837" customFormat="false" ht="15" hidden="false" customHeight="false" outlineLevel="0" collapsed="false">
      <c r="B837" s="38" t="n">
        <v>833</v>
      </c>
      <c r="C837" s="37" t="s">
        <v>8629</v>
      </c>
      <c r="D837" s="37" t="s">
        <v>8630</v>
      </c>
      <c r="E837" s="38" t="n">
        <v>218</v>
      </c>
      <c r="F837" s="38"/>
    </row>
    <row r="838" customFormat="false" ht="15" hidden="false" customHeight="false" outlineLevel="0" collapsed="false">
      <c r="B838" s="38" t="n">
        <v>834</v>
      </c>
      <c r="C838" s="37" t="s">
        <v>8631</v>
      </c>
      <c r="D838" s="37" t="s">
        <v>8632</v>
      </c>
      <c r="E838" s="38" t="n">
        <v>220</v>
      </c>
      <c r="F838" s="38"/>
    </row>
    <row r="839" customFormat="false" ht="15" hidden="false" customHeight="false" outlineLevel="0" collapsed="false">
      <c r="B839" s="38" t="n">
        <v>835</v>
      </c>
      <c r="C839" s="37" t="s">
        <v>8633</v>
      </c>
      <c r="D839" s="37" t="s">
        <v>7890</v>
      </c>
      <c r="E839" s="38" t="n">
        <v>320</v>
      </c>
      <c r="F839" s="38"/>
    </row>
    <row r="840" customFormat="false" ht="15" hidden="false" customHeight="false" outlineLevel="0" collapsed="false">
      <c r="B840" s="38" t="n">
        <v>836</v>
      </c>
      <c r="C840" s="37" t="s">
        <v>8634</v>
      </c>
      <c r="D840" s="37" t="s">
        <v>8635</v>
      </c>
      <c r="E840" s="38" t="n">
        <v>165</v>
      </c>
      <c r="F840" s="38"/>
    </row>
    <row r="841" customFormat="false" ht="15" hidden="false" customHeight="false" outlineLevel="0" collapsed="false">
      <c r="B841" s="38" t="n">
        <v>837</v>
      </c>
      <c r="C841" s="37" t="s">
        <v>8636</v>
      </c>
      <c r="D841" s="37" t="s">
        <v>8637</v>
      </c>
      <c r="E841" s="38" t="n">
        <v>212</v>
      </c>
      <c r="F841" s="38"/>
    </row>
    <row r="842" customFormat="false" ht="15" hidden="false" customHeight="false" outlineLevel="0" collapsed="false">
      <c r="B842" s="38" t="n">
        <v>838</v>
      </c>
      <c r="C842" s="37" t="s">
        <v>8638</v>
      </c>
      <c r="D842" s="37" t="s">
        <v>7828</v>
      </c>
      <c r="E842" s="38" t="n">
        <v>161</v>
      </c>
      <c r="F842" s="38"/>
    </row>
    <row r="843" customFormat="false" ht="15" hidden="false" customHeight="false" outlineLevel="0" collapsed="false">
      <c r="B843" s="38" t="n">
        <v>839</v>
      </c>
      <c r="C843" s="37" t="s">
        <v>8639</v>
      </c>
      <c r="D843" s="37" t="s">
        <v>8640</v>
      </c>
      <c r="E843" s="38" t="n">
        <v>181</v>
      </c>
      <c r="F843" s="38"/>
    </row>
    <row r="844" customFormat="false" ht="15" hidden="false" customHeight="false" outlineLevel="0" collapsed="false">
      <c r="B844" s="38" t="n">
        <v>840</v>
      </c>
      <c r="C844" s="37" t="s">
        <v>8641</v>
      </c>
      <c r="D844" s="37" t="s">
        <v>7416</v>
      </c>
      <c r="E844" s="38" t="n">
        <v>165</v>
      </c>
      <c r="F844" s="38"/>
    </row>
    <row r="845" customFormat="false" ht="15" hidden="false" customHeight="false" outlineLevel="0" collapsed="false">
      <c r="B845" s="38" t="n">
        <v>841</v>
      </c>
      <c r="C845" s="37" t="s">
        <v>8642</v>
      </c>
      <c r="D845" s="37" t="s">
        <v>7322</v>
      </c>
      <c r="E845" s="38" t="n">
        <v>173</v>
      </c>
      <c r="F845" s="38"/>
    </row>
    <row r="846" customFormat="false" ht="15" hidden="false" customHeight="false" outlineLevel="0" collapsed="false">
      <c r="B846" s="38" t="n">
        <v>842</v>
      </c>
      <c r="C846" s="37" t="s">
        <v>8643</v>
      </c>
      <c r="D846" s="37" t="s">
        <v>8119</v>
      </c>
      <c r="E846" s="38" t="n">
        <v>205</v>
      </c>
      <c r="F846" s="38"/>
    </row>
    <row r="847" customFormat="false" ht="15" hidden="false" customHeight="false" outlineLevel="0" collapsed="false">
      <c r="B847" s="38" t="n">
        <v>843</v>
      </c>
      <c r="C847" s="37" t="s">
        <v>6948</v>
      </c>
      <c r="D847" s="37" t="s">
        <v>8260</v>
      </c>
      <c r="E847" s="38" t="n">
        <v>192</v>
      </c>
      <c r="F847" s="38"/>
    </row>
    <row r="848" customFormat="false" ht="15" hidden="false" customHeight="false" outlineLevel="0" collapsed="false">
      <c r="B848" s="38" t="n">
        <v>844</v>
      </c>
      <c r="C848" s="37" t="s">
        <v>8644</v>
      </c>
      <c r="D848" s="37" t="s">
        <v>8645</v>
      </c>
      <c r="E848" s="38" t="n">
        <v>200</v>
      </c>
      <c r="F848" s="38"/>
    </row>
    <row r="849" customFormat="false" ht="15" hidden="false" customHeight="false" outlineLevel="0" collapsed="false">
      <c r="B849" s="38" t="n">
        <v>845</v>
      </c>
      <c r="C849" s="37" t="s">
        <v>8646</v>
      </c>
      <c r="D849" s="37" t="s">
        <v>8647</v>
      </c>
      <c r="E849" s="38" t="n">
        <v>179</v>
      </c>
      <c r="F849" s="38"/>
    </row>
    <row r="850" customFormat="false" ht="15" hidden="false" customHeight="false" outlineLevel="0" collapsed="false">
      <c r="B850" s="38" t="n">
        <v>846</v>
      </c>
      <c r="C850" s="37" t="s">
        <v>8648</v>
      </c>
      <c r="D850" s="37" t="s">
        <v>7844</v>
      </c>
      <c r="E850" s="38" t="n">
        <v>320</v>
      </c>
      <c r="F850" s="38"/>
    </row>
    <row r="851" customFormat="false" ht="15" hidden="false" customHeight="false" outlineLevel="0" collapsed="false">
      <c r="B851" s="38" t="n">
        <v>847</v>
      </c>
      <c r="C851" s="37" t="s">
        <v>8649</v>
      </c>
      <c r="D851" s="37" t="s">
        <v>8205</v>
      </c>
      <c r="E851" s="38" t="n">
        <v>162</v>
      </c>
      <c r="F851" s="38"/>
    </row>
    <row r="852" customFormat="false" ht="15" hidden="false" customHeight="false" outlineLevel="0" collapsed="false">
      <c r="B852" s="38" t="n">
        <v>848</v>
      </c>
      <c r="C852" s="37" t="s">
        <v>8650</v>
      </c>
      <c r="D852" s="37" t="s">
        <v>7344</v>
      </c>
      <c r="E852" s="38" t="n">
        <v>176</v>
      </c>
      <c r="F852" s="38"/>
    </row>
    <row r="853" customFormat="false" ht="15" hidden="false" customHeight="false" outlineLevel="0" collapsed="false">
      <c r="B853" s="38" t="n">
        <v>849</v>
      </c>
      <c r="C853" s="37" t="s">
        <v>8651</v>
      </c>
      <c r="D853" s="37" t="s">
        <v>8200</v>
      </c>
      <c r="E853" s="38" t="n">
        <v>228</v>
      </c>
      <c r="F853" s="38"/>
    </row>
    <row r="854" customFormat="false" ht="15" hidden="false" customHeight="false" outlineLevel="0" collapsed="false">
      <c r="B854" s="38" t="n">
        <v>850</v>
      </c>
      <c r="C854" s="37" t="s">
        <v>8652</v>
      </c>
      <c r="D854" s="37" t="s">
        <v>8653</v>
      </c>
      <c r="E854" s="38" t="n">
        <v>210</v>
      </c>
      <c r="F854" s="38"/>
    </row>
    <row r="855" customFormat="false" ht="15" hidden="false" customHeight="false" outlineLevel="0" collapsed="false">
      <c r="B855" s="38" t="n">
        <v>851</v>
      </c>
      <c r="C855" s="37" t="s">
        <v>8654</v>
      </c>
      <c r="D855" s="37" t="s">
        <v>8655</v>
      </c>
      <c r="E855" s="38" t="n">
        <v>227</v>
      </c>
      <c r="F855" s="38"/>
    </row>
    <row r="856" customFormat="false" ht="15" hidden="false" customHeight="false" outlineLevel="0" collapsed="false">
      <c r="B856" s="38" t="n">
        <v>852</v>
      </c>
      <c r="C856" s="37" t="s">
        <v>8656</v>
      </c>
      <c r="D856" s="37" t="s">
        <v>7968</v>
      </c>
      <c r="E856" s="38" t="n">
        <v>227</v>
      </c>
      <c r="F856" s="38"/>
    </row>
    <row r="857" customFormat="false" ht="15" hidden="false" customHeight="false" outlineLevel="0" collapsed="false">
      <c r="B857" s="38" t="n">
        <v>853</v>
      </c>
      <c r="C857" s="37" t="s">
        <v>8657</v>
      </c>
      <c r="D857" s="37" t="s">
        <v>8658</v>
      </c>
      <c r="E857" s="38" t="n">
        <v>213</v>
      </c>
      <c r="F857" s="38"/>
    </row>
    <row r="858" customFormat="false" ht="15" hidden="false" customHeight="false" outlineLevel="0" collapsed="false">
      <c r="B858" s="38" t="n">
        <v>854</v>
      </c>
      <c r="C858" s="37" t="s">
        <v>8659</v>
      </c>
      <c r="D858" s="37" t="s">
        <v>8660</v>
      </c>
      <c r="E858" s="38" t="n">
        <v>320</v>
      </c>
      <c r="F858" s="38"/>
    </row>
    <row r="859" customFormat="false" ht="15" hidden="false" customHeight="false" outlineLevel="0" collapsed="false">
      <c r="B859" s="38" t="n">
        <v>855</v>
      </c>
      <c r="C859" s="37" t="s">
        <v>8661</v>
      </c>
      <c r="D859" s="37" t="s">
        <v>7756</v>
      </c>
      <c r="E859" s="38" t="n">
        <v>163</v>
      </c>
      <c r="F859" s="38"/>
    </row>
    <row r="860" customFormat="false" ht="15" hidden="false" customHeight="false" outlineLevel="0" collapsed="false">
      <c r="B860" s="38" t="n">
        <v>856</v>
      </c>
      <c r="C860" s="37" t="s">
        <v>8662</v>
      </c>
      <c r="D860" s="37" t="s">
        <v>8663</v>
      </c>
      <c r="E860" s="38" t="n">
        <v>320</v>
      </c>
      <c r="F860" s="38"/>
    </row>
    <row r="861" customFormat="false" ht="15" hidden="false" customHeight="false" outlineLevel="0" collapsed="false">
      <c r="B861" s="38" t="n">
        <v>857</v>
      </c>
      <c r="C861" s="37" t="s">
        <v>8664</v>
      </c>
      <c r="D861" s="37" t="s">
        <v>8665</v>
      </c>
      <c r="E861" s="38" t="n">
        <v>161</v>
      </c>
      <c r="F861" s="38"/>
    </row>
    <row r="862" customFormat="false" ht="15" hidden="false" customHeight="false" outlineLevel="0" collapsed="false">
      <c r="B862" s="38" t="n">
        <v>858</v>
      </c>
      <c r="C862" s="37" t="s">
        <v>8666</v>
      </c>
      <c r="D862" s="37" t="s">
        <v>8667</v>
      </c>
      <c r="E862" s="38" t="n">
        <v>172</v>
      </c>
      <c r="F862" s="38"/>
    </row>
    <row r="863" customFormat="false" ht="15" hidden="false" customHeight="false" outlineLevel="0" collapsed="false">
      <c r="B863" s="38" t="n">
        <v>859</v>
      </c>
      <c r="C863" s="37" t="s">
        <v>8668</v>
      </c>
      <c r="D863" s="37" t="s">
        <v>8669</v>
      </c>
      <c r="E863" s="38" t="n">
        <v>177</v>
      </c>
      <c r="F863" s="38"/>
    </row>
    <row r="864" customFormat="false" ht="15" hidden="false" customHeight="false" outlineLevel="0" collapsed="false">
      <c r="B864" s="38" t="n">
        <v>860</v>
      </c>
      <c r="C864" s="37" t="s">
        <v>8670</v>
      </c>
      <c r="D864" s="37" t="s">
        <v>8671</v>
      </c>
      <c r="E864" s="38" t="n">
        <v>161</v>
      </c>
      <c r="F864" s="38"/>
    </row>
    <row r="865" customFormat="false" ht="15" hidden="false" customHeight="false" outlineLevel="0" collapsed="false">
      <c r="B865" s="38" t="n">
        <v>861</v>
      </c>
      <c r="C865" s="37" t="s">
        <v>8672</v>
      </c>
      <c r="D865" s="37" t="s">
        <v>8673</v>
      </c>
      <c r="E865" s="38" t="n">
        <v>164</v>
      </c>
      <c r="F865" s="38"/>
    </row>
    <row r="866" customFormat="false" ht="15" hidden="false" customHeight="false" outlineLevel="0" collapsed="false">
      <c r="B866" s="38" t="n">
        <v>862</v>
      </c>
      <c r="C866" s="37" t="s">
        <v>8674</v>
      </c>
      <c r="D866" s="37" t="s">
        <v>8675</v>
      </c>
      <c r="E866" s="38" t="n">
        <v>189</v>
      </c>
      <c r="F866" s="38"/>
    </row>
    <row r="867" customFormat="false" ht="15" hidden="false" customHeight="false" outlineLevel="0" collapsed="false">
      <c r="B867" s="38" t="n">
        <v>863</v>
      </c>
      <c r="C867" s="37" t="s">
        <v>8676</v>
      </c>
      <c r="D867" s="37" t="s">
        <v>8677</v>
      </c>
      <c r="E867" s="38" t="n">
        <v>187</v>
      </c>
      <c r="F867" s="38"/>
    </row>
    <row r="868" customFormat="false" ht="15" hidden="false" customHeight="false" outlineLevel="0" collapsed="false">
      <c r="B868" s="38" t="n">
        <v>864</v>
      </c>
      <c r="C868" s="37" t="s">
        <v>8678</v>
      </c>
      <c r="D868" s="37" t="s">
        <v>8679</v>
      </c>
      <c r="E868" s="38" t="n">
        <v>178</v>
      </c>
      <c r="F868" s="38"/>
    </row>
    <row r="869" customFormat="false" ht="15" hidden="false" customHeight="false" outlineLevel="0" collapsed="false">
      <c r="B869" s="38" t="n">
        <v>865</v>
      </c>
      <c r="C869" s="37" t="s">
        <v>8680</v>
      </c>
      <c r="D869" s="37" t="s">
        <v>8681</v>
      </c>
      <c r="E869" s="38" t="n">
        <v>169</v>
      </c>
      <c r="F869" s="38"/>
    </row>
    <row r="870" customFormat="false" ht="15" hidden="false" customHeight="false" outlineLevel="0" collapsed="false">
      <c r="B870" s="38" t="n">
        <v>866</v>
      </c>
      <c r="C870" s="37" t="s">
        <v>8682</v>
      </c>
      <c r="D870" s="37" t="s">
        <v>8683</v>
      </c>
      <c r="E870" s="38" t="n">
        <v>190</v>
      </c>
      <c r="F870" s="38"/>
    </row>
    <row r="871" customFormat="false" ht="15" hidden="false" customHeight="false" outlineLevel="0" collapsed="false">
      <c r="B871" s="38" t="n">
        <v>867</v>
      </c>
      <c r="C871" s="37" t="s">
        <v>8684</v>
      </c>
      <c r="D871" s="37" t="s">
        <v>8685</v>
      </c>
      <c r="E871" s="38" t="n">
        <v>200</v>
      </c>
      <c r="F871" s="38"/>
    </row>
    <row r="872" customFormat="false" ht="15" hidden="false" customHeight="false" outlineLevel="0" collapsed="false">
      <c r="B872" s="38" t="n">
        <v>868</v>
      </c>
      <c r="C872" s="37" t="s">
        <v>8686</v>
      </c>
      <c r="D872" s="37" t="s">
        <v>7893</v>
      </c>
      <c r="E872" s="38" t="n">
        <v>173</v>
      </c>
      <c r="F872" s="38"/>
    </row>
    <row r="873" customFormat="false" ht="15" hidden="false" customHeight="false" outlineLevel="0" collapsed="false">
      <c r="B873" s="38" t="n">
        <v>869</v>
      </c>
      <c r="C873" s="37" t="s">
        <v>8687</v>
      </c>
      <c r="D873" s="37" t="s">
        <v>7750</v>
      </c>
      <c r="E873" s="38" t="n">
        <v>189</v>
      </c>
      <c r="F873" s="38"/>
    </row>
    <row r="874" customFormat="false" ht="15" hidden="false" customHeight="false" outlineLevel="0" collapsed="false">
      <c r="B874" s="38" t="n">
        <v>870</v>
      </c>
      <c r="C874" s="37" t="s">
        <v>8688</v>
      </c>
      <c r="D874" s="37" t="s">
        <v>8689</v>
      </c>
      <c r="E874" s="38" t="n">
        <v>169</v>
      </c>
      <c r="F874" s="38"/>
    </row>
    <row r="875" customFormat="false" ht="15" hidden="false" customHeight="false" outlineLevel="0" collapsed="false">
      <c r="B875" s="38" t="n">
        <v>871</v>
      </c>
      <c r="C875" s="37" t="s">
        <v>8690</v>
      </c>
      <c r="D875" s="37" t="s">
        <v>8691</v>
      </c>
      <c r="E875" s="38" t="n">
        <v>184</v>
      </c>
      <c r="F875" s="38"/>
    </row>
    <row r="876" customFormat="false" ht="15" hidden="false" customHeight="false" outlineLevel="0" collapsed="false">
      <c r="B876" s="38" t="n">
        <v>872</v>
      </c>
      <c r="C876" s="37" t="s">
        <v>8692</v>
      </c>
      <c r="D876" s="37" t="s">
        <v>8693</v>
      </c>
      <c r="E876" s="38" t="n">
        <v>207</v>
      </c>
      <c r="F876" s="38"/>
    </row>
    <row r="877" customFormat="false" ht="15" hidden="false" customHeight="false" outlineLevel="0" collapsed="false">
      <c r="B877" s="38" t="n">
        <v>873</v>
      </c>
      <c r="C877" s="37" t="s">
        <v>6872</v>
      </c>
      <c r="D877" s="37" t="s">
        <v>7787</v>
      </c>
      <c r="E877" s="38" t="n">
        <v>178</v>
      </c>
      <c r="F877" s="38"/>
    </row>
    <row r="878" customFormat="false" ht="15" hidden="false" customHeight="false" outlineLevel="0" collapsed="false">
      <c r="B878" s="38" t="n">
        <v>874</v>
      </c>
      <c r="C878" s="37" t="s">
        <v>8694</v>
      </c>
      <c r="D878" s="37" t="s">
        <v>8695</v>
      </c>
      <c r="E878" s="38" t="n">
        <v>184</v>
      </c>
      <c r="F878" s="38"/>
    </row>
    <row r="879" customFormat="false" ht="15" hidden="false" customHeight="false" outlineLevel="0" collapsed="false">
      <c r="B879" s="38" t="n">
        <v>875</v>
      </c>
      <c r="C879" s="37" t="s">
        <v>8696</v>
      </c>
      <c r="D879" s="37" t="s">
        <v>7334</v>
      </c>
      <c r="E879" s="38" t="n">
        <v>178</v>
      </c>
      <c r="F879" s="38"/>
    </row>
    <row r="880" customFormat="false" ht="15" hidden="false" customHeight="false" outlineLevel="0" collapsed="false">
      <c r="B880" s="38" t="n">
        <v>876</v>
      </c>
      <c r="C880" s="37" t="s">
        <v>8697</v>
      </c>
      <c r="D880" s="37" t="s">
        <v>8698</v>
      </c>
      <c r="E880" s="38" t="n">
        <v>164</v>
      </c>
      <c r="F880" s="38"/>
    </row>
    <row r="881" customFormat="false" ht="15" hidden="false" customHeight="false" outlineLevel="0" collapsed="false">
      <c r="B881" s="38" t="n">
        <v>877</v>
      </c>
      <c r="C881" s="37" t="s">
        <v>8699</v>
      </c>
      <c r="D881" s="37" t="s">
        <v>8522</v>
      </c>
      <c r="E881" s="38" t="n">
        <v>162</v>
      </c>
      <c r="F881" s="38"/>
    </row>
    <row r="882" customFormat="false" ht="15" hidden="false" customHeight="false" outlineLevel="0" collapsed="false">
      <c r="B882" s="38" t="n">
        <v>878</v>
      </c>
      <c r="C882" s="37" t="s">
        <v>8700</v>
      </c>
      <c r="D882" s="37" t="s">
        <v>7361</v>
      </c>
      <c r="E882" s="38" t="n">
        <v>189</v>
      </c>
      <c r="F882" s="38"/>
    </row>
    <row r="883" customFormat="false" ht="15" hidden="false" customHeight="false" outlineLevel="0" collapsed="false">
      <c r="B883" s="38" t="n">
        <v>879</v>
      </c>
      <c r="C883" s="37" t="s">
        <v>8701</v>
      </c>
      <c r="D883" s="37" t="s">
        <v>7759</v>
      </c>
      <c r="E883" s="38" t="n">
        <v>320</v>
      </c>
      <c r="F883" s="38"/>
    </row>
    <row r="884" customFormat="false" ht="15" hidden="false" customHeight="false" outlineLevel="0" collapsed="false">
      <c r="B884" s="38" t="n">
        <v>880</v>
      </c>
      <c r="C884" s="37" t="s">
        <v>8702</v>
      </c>
      <c r="D884" s="37" t="s">
        <v>7928</v>
      </c>
      <c r="E884" s="38" t="n">
        <v>319</v>
      </c>
      <c r="F884" s="38"/>
    </row>
    <row r="885" customFormat="false" ht="15" hidden="false" customHeight="false" outlineLevel="0" collapsed="false">
      <c r="B885" s="38" t="n">
        <v>881</v>
      </c>
      <c r="C885" s="37" t="s">
        <v>8703</v>
      </c>
      <c r="D885" s="37" t="s">
        <v>7445</v>
      </c>
      <c r="E885" s="38" t="n">
        <v>218</v>
      </c>
      <c r="F885" s="38"/>
    </row>
    <row r="886" customFormat="false" ht="15" hidden="false" customHeight="false" outlineLevel="0" collapsed="false">
      <c r="B886" s="38" t="n">
        <v>882</v>
      </c>
      <c r="C886" s="37" t="s">
        <v>8704</v>
      </c>
      <c r="D886" s="37" t="s">
        <v>8705</v>
      </c>
      <c r="E886" s="38" t="n">
        <v>215</v>
      </c>
      <c r="F886" s="38"/>
    </row>
    <row r="887" customFormat="false" ht="15" hidden="false" customHeight="false" outlineLevel="0" collapsed="false">
      <c r="B887" s="38" t="n">
        <v>883</v>
      </c>
      <c r="C887" s="37" t="s">
        <v>8706</v>
      </c>
      <c r="D887" s="37" t="s">
        <v>8707</v>
      </c>
      <c r="E887" s="38" t="n">
        <v>184</v>
      </c>
      <c r="F887" s="38"/>
    </row>
    <row r="888" customFormat="false" ht="15" hidden="false" customHeight="false" outlineLevel="0" collapsed="false">
      <c r="B888" s="38" t="n">
        <v>884</v>
      </c>
      <c r="C888" s="37" t="s">
        <v>8708</v>
      </c>
      <c r="D888" s="37" t="s">
        <v>8248</v>
      </c>
      <c r="E888" s="38" t="n">
        <v>193</v>
      </c>
      <c r="F888" s="38"/>
    </row>
    <row r="889" customFormat="false" ht="15" hidden="false" customHeight="false" outlineLevel="0" collapsed="false">
      <c r="B889" s="38" t="n">
        <v>885</v>
      </c>
      <c r="C889" s="37" t="s">
        <v>8709</v>
      </c>
      <c r="D889" s="37" t="s">
        <v>8600</v>
      </c>
      <c r="E889" s="38" t="n">
        <v>198</v>
      </c>
      <c r="F889" s="38"/>
    </row>
    <row r="890" customFormat="false" ht="15" hidden="false" customHeight="false" outlineLevel="0" collapsed="false">
      <c r="B890" s="38" t="n">
        <v>886</v>
      </c>
      <c r="C890" s="37" t="s">
        <v>8710</v>
      </c>
      <c r="D890" s="37" t="s">
        <v>8711</v>
      </c>
      <c r="E890" s="38" t="n">
        <v>175</v>
      </c>
      <c r="F890" s="38"/>
    </row>
    <row r="891" customFormat="false" ht="15" hidden="false" customHeight="false" outlineLevel="0" collapsed="false">
      <c r="B891" s="38" t="n">
        <v>887</v>
      </c>
      <c r="C891" s="37" t="s">
        <v>8712</v>
      </c>
      <c r="D891" s="37" t="s">
        <v>8713</v>
      </c>
      <c r="E891" s="38" t="n">
        <v>184</v>
      </c>
      <c r="F891" s="38"/>
    </row>
    <row r="892" customFormat="false" ht="15" hidden="false" customHeight="false" outlineLevel="0" collapsed="false">
      <c r="B892" s="38" t="n">
        <v>888</v>
      </c>
      <c r="C892" s="37" t="s">
        <v>8714</v>
      </c>
      <c r="D892" s="37" t="s">
        <v>8715</v>
      </c>
      <c r="E892" s="38" t="n">
        <v>195</v>
      </c>
      <c r="F892" s="38"/>
    </row>
    <row r="893" customFormat="false" ht="15" hidden="false" customHeight="false" outlineLevel="0" collapsed="false">
      <c r="B893" s="38" t="n">
        <v>889</v>
      </c>
      <c r="C893" s="37" t="s">
        <v>8716</v>
      </c>
      <c r="D893" s="37" t="s">
        <v>8685</v>
      </c>
      <c r="E893" s="38" t="n">
        <v>200</v>
      </c>
      <c r="F893" s="38"/>
    </row>
    <row r="894" customFormat="false" ht="15" hidden="false" customHeight="false" outlineLevel="0" collapsed="false">
      <c r="B894" s="38" t="n">
        <v>890</v>
      </c>
      <c r="C894" s="37" t="s">
        <v>8717</v>
      </c>
      <c r="D894" s="37" t="s">
        <v>8718</v>
      </c>
      <c r="E894" s="38" t="n">
        <v>173</v>
      </c>
      <c r="F894" s="38"/>
    </row>
    <row r="895" customFormat="false" ht="15" hidden="false" customHeight="false" outlineLevel="0" collapsed="false">
      <c r="B895" s="38" t="n">
        <v>891</v>
      </c>
      <c r="C895" s="37" t="s">
        <v>8719</v>
      </c>
      <c r="D895" s="37" t="s">
        <v>8720</v>
      </c>
      <c r="E895" s="38" t="n">
        <v>320</v>
      </c>
      <c r="F895" s="38"/>
    </row>
    <row r="896" customFormat="false" ht="15" hidden="false" customHeight="false" outlineLevel="0" collapsed="false">
      <c r="B896" s="38" t="n">
        <v>892</v>
      </c>
      <c r="C896" s="37" t="s">
        <v>8721</v>
      </c>
      <c r="D896" s="37" t="s">
        <v>8722</v>
      </c>
      <c r="E896" s="38" t="n">
        <v>183</v>
      </c>
      <c r="F896" s="38"/>
    </row>
    <row r="897" customFormat="false" ht="15" hidden="false" customHeight="false" outlineLevel="0" collapsed="false">
      <c r="B897" s="38" t="n">
        <v>893</v>
      </c>
      <c r="C897" s="37" t="s">
        <v>8723</v>
      </c>
      <c r="D897" s="37" t="s">
        <v>8724</v>
      </c>
      <c r="E897" s="38" t="n">
        <v>166</v>
      </c>
      <c r="F897" s="38"/>
    </row>
    <row r="898" customFormat="false" ht="15" hidden="false" customHeight="false" outlineLevel="0" collapsed="false">
      <c r="B898" s="38" t="n">
        <v>894</v>
      </c>
      <c r="C898" s="37" t="s">
        <v>8725</v>
      </c>
      <c r="D898" s="37" t="s">
        <v>8726</v>
      </c>
      <c r="E898" s="38" t="n">
        <v>170</v>
      </c>
      <c r="F898" s="38"/>
    </row>
    <row r="899" customFormat="false" ht="15" hidden="false" customHeight="false" outlineLevel="0" collapsed="false">
      <c r="B899" s="38" t="n">
        <v>895</v>
      </c>
      <c r="C899" s="37" t="s">
        <v>8727</v>
      </c>
      <c r="D899" s="37" t="s">
        <v>8728</v>
      </c>
      <c r="E899" s="38" t="n">
        <v>195</v>
      </c>
      <c r="F899" s="38"/>
    </row>
    <row r="900" customFormat="false" ht="15" hidden="false" customHeight="false" outlineLevel="0" collapsed="false">
      <c r="B900" s="38" t="n">
        <v>896</v>
      </c>
      <c r="C900" s="37" t="s">
        <v>8729</v>
      </c>
      <c r="D900" s="37" t="s">
        <v>7445</v>
      </c>
      <c r="E900" s="38" t="n">
        <v>218</v>
      </c>
      <c r="F900" s="38"/>
    </row>
    <row r="901" customFormat="false" ht="15" hidden="false" customHeight="false" outlineLevel="0" collapsed="false">
      <c r="B901" s="38" t="n">
        <v>897</v>
      </c>
      <c r="C901" s="37" t="s">
        <v>8730</v>
      </c>
      <c r="D901" s="37" t="s">
        <v>7759</v>
      </c>
      <c r="E901" s="38" t="n">
        <v>320</v>
      </c>
      <c r="F901" s="38"/>
    </row>
    <row r="902" customFormat="false" ht="15" hidden="false" customHeight="false" outlineLevel="0" collapsed="false">
      <c r="B902" s="38" t="n">
        <v>898</v>
      </c>
      <c r="C902" s="37" t="s">
        <v>8731</v>
      </c>
      <c r="D902" s="37" t="s">
        <v>8732</v>
      </c>
      <c r="E902" s="38" t="n">
        <v>204</v>
      </c>
      <c r="F902" s="38"/>
    </row>
    <row r="903" customFormat="false" ht="15" hidden="false" customHeight="false" outlineLevel="0" collapsed="false">
      <c r="B903" s="38" t="n">
        <v>899</v>
      </c>
      <c r="C903" s="37" t="s">
        <v>8733</v>
      </c>
      <c r="D903" s="37" t="s">
        <v>8139</v>
      </c>
      <c r="E903" s="38" t="n">
        <v>164</v>
      </c>
      <c r="F903" s="38"/>
    </row>
    <row r="904" customFormat="false" ht="15" hidden="false" customHeight="false" outlineLevel="0" collapsed="false">
      <c r="B904" s="38" t="n">
        <v>900</v>
      </c>
      <c r="C904" s="37" t="s">
        <v>8734</v>
      </c>
      <c r="D904" s="37" t="s">
        <v>7922</v>
      </c>
      <c r="E904" s="38" t="n">
        <v>320</v>
      </c>
      <c r="F904" s="38"/>
    </row>
    <row r="905" customFormat="false" ht="15" hidden="false" customHeight="false" outlineLevel="0" collapsed="false">
      <c r="B905" s="38" t="n">
        <v>901</v>
      </c>
      <c r="C905" s="37" t="s">
        <v>8735</v>
      </c>
      <c r="D905" s="37" t="s">
        <v>8736</v>
      </c>
      <c r="E905" s="38" t="n">
        <v>174</v>
      </c>
      <c r="F905" s="38"/>
    </row>
    <row r="906" customFormat="false" ht="15" hidden="false" customHeight="false" outlineLevel="0" collapsed="false">
      <c r="B906" s="38" t="n">
        <v>902</v>
      </c>
      <c r="C906" s="37" t="s">
        <v>8737</v>
      </c>
      <c r="D906" s="37" t="s">
        <v>8738</v>
      </c>
      <c r="E906" s="38" t="n">
        <v>165</v>
      </c>
      <c r="F906" s="38"/>
    </row>
    <row r="907" customFormat="false" ht="15" hidden="false" customHeight="false" outlineLevel="0" collapsed="false">
      <c r="B907" s="38" t="n">
        <v>903</v>
      </c>
      <c r="C907" s="37" t="s">
        <v>8739</v>
      </c>
      <c r="D907" s="37" t="s">
        <v>8740</v>
      </c>
      <c r="E907" s="38" t="n">
        <v>177</v>
      </c>
      <c r="F907" s="38"/>
    </row>
    <row r="908" customFormat="false" ht="15" hidden="false" customHeight="false" outlineLevel="0" collapsed="false">
      <c r="B908" s="38" t="n">
        <v>904</v>
      </c>
      <c r="C908" s="37" t="s">
        <v>8741</v>
      </c>
      <c r="D908" s="37" t="s">
        <v>8742</v>
      </c>
      <c r="E908" s="38" t="n">
        <v>168</v>
      </c>
      <c r="F908" s="38"/>
    </row>
    <row r="909" customFormat="false" ht="15" hidden="false" customHeight="false" outlineLevel="0" collapsed="false">
      <c r="B909" s="38" t="n">
        <v>905</v>
      </c>
      <c r="C909" s="37" t="s">
        <v>8743</v>
      </c>
      <c r="D909" s="37" t="s">
        <v>8185</v>
      </c>
      <c r="E909" s="38" t="n">
        <v>201</v>
      </c>
      <c r="F909" s="38"/>
    </row>
    <row r="910" customFormat="false" ht="15" hidden="false" customHeight="false" outlineLevel="0" collapsed="false">
      <c r="B910" s="38" t="n">
        <v>906</v>
      </c>
      <c r="C910" s="37" t="s">
        <v>6990</v>
      </c>
      <c r="D910" s="37" t="s">
        <v>8246</v>
      </c>
      <c r="E910" s="38" t="n">
        <v>174</v>
      </c>
      <c r="F910" s="38"/>
    </row>
    <row r="911" customFormat="false" ht="15" hidden="false" customHeight="false" outlineLevel="0" collapsed="false">
      <c r="B911" s="38" t="n">
        <v>907</v>
      </c>
      <c r="C911" s="37" t="s">
        <v>8744</v>
      </c>
      <c r="D911" s="37" t="s">
        <v>8745</v>
      </c>
      <c r="E911" s="38" t="n">
        <v>161</v>
      </c>
      <c r="F911" s="38"/>
    </row>
    <row r="912" customFormat="false" ht="15" hidden="false" customHeight="false" outlineLevel="0" collapsed="false">
      <c r="B912" s="38" t="n">
        <v>908</v>
      </c>
      <c r="C912" s="37" t="s">
        <v>8746</v>
      </c>
      <c r="D912" s="37" t="s">
        <v>8747</v>
      </c>
      <c r="E912" s="38" t="n">
        <v>173</v>
      </c>
      <c r="F912" s="38"/>
    </row>
    <row r="913" customFormat="false" ht="15" hidden="false" customHeight="false" outlineLevel="0" collapsed="false">
      <c r="B913" s="38" t="n">
        <v>909</v>
      </c>
      <c r="C913" s="37" t="s">
        <v>8748</v>
      </c>
      <c r="D913" s="37" t="s">
        <v>8194</v>
      </c>
      <c r="E913" s="38" t="n">
        <v>319</v>
      </c>
      <c r="F913" s="38"/>
    </row>
    <row r="914" customFormat="false" ht="15" hidden="false" customHeight="false" outlineLevel="0" collapsed="false">
      <c r="B914" s="38" t="n">
        <v>910</v>
      </c>
      <c r="C914" s="37" t="s">
        <v>8749</v>
      </c>
      <c r="D914" s="37" t="s">
        <v>8750</v>
      </c>
      <c r="E914" s="38" t="n">
        <v>320</v>
      </c>
      <c r="F914" s="38"/>
    </row>
    <row r="915" customFormat="false" ht="15" hidden="false" customHeight="false" outlineLevel="0" collapsed="false">
      <c r="B915" s="38" t="n">
        <v>911</v>
      </c>
      <c r="C915" s="37" t="s">
        <v>8751</v>
      </c>
      <c r="D915" s="37" t="s">
        <v>7922</v>
      </c>
      <c r="E915" s="38" t="n">
        <v>320</v>
      </c>
      <c r="F915" s="38"/>
    </row>
    <row r="916" customFormat="false" ht="15" hidden="false" customHeight="false" outlineLevel="0" collapsed="false">
      <c r="B916" s="38" t="n">
        <v>912</v>
      </c>
      <c r="C916" s="37" t="s">
        <v>8752</v>
      </c>
      <c r="D916" s="37" t="s">
        <v>8753</v>
      </c>
      <c r="E916" s="38" t="n">
        <v>186</v>
      </c>
      <c r="F916" s="38"/>
    </row>
    <row r="917" customFormat="false" ht="15" hidden="false" customHeight="false" outlineLevel="0" collapsed="false">
      <c r="B917" s="38" t="n">
        <v>913</v>
      </c>
      <c r="C917" s="37" t="s">
        <v>8754</v>
      </c>
      <c r="D917" s="37" t="s">
        <v>8755</v>
      </c>
      <c r="E917" s="38" t="n">
        <v>188</v>
      </c>
      <c r="F917" s="38"/>
    </row>
    <row r="918" customFormat="false" ht="15" hidden="false" customHeight="false" outlineLevel="0" collapsed="false">
      <c r="B918" s="38" t="n">
        <v>914</v>
      </c>
      <c r="C918" s="37" t="s">
        <v>8756</v>
      </c>
      <c r="D918" s="37" t="s">
        <v>8333</v>
      </c>
      <c r="E918" s="38" t="n">
        <v>174</v>
      </c>
      <c r="F918" s="38"/>
    </row>
    <row r="919" customFormat="false" ht="15" hidden="false" customHeight="false" outlineLevel="0" collapsed="false">
      <c r="B919" s="38" t="n">
        <v>915</v>
      </c>
      <c r="C919" s="37" t="s">
        <v>8757</v>
      </c>
      <c r="D919" s="37" t="s">
        <v>8408</v>
      </c>
      <c r="E919" s="38" t="n">
        <v>167</v>
      </c>
      <c r="F919" s="38"/>
    </row>
    <row r="920" customFormat="false" ht="15" hidden="false" customHeight="false" outlineLevel="0" collapsed="false">
      <c r="B920" s="38" t="n">
        <v>916</v>
      </c>
      <c r="C920" s="37" t="s">
        <v>8758</v>
      </c>
      <c r="D920" s="37" t="s">
        <v>7844</v>
      </c>
      <c r="E920" s="38" t="n">
        <v>320</v>
      </c>
      <c r="F920" s="38"/>
    </row>
    <row r="921" customFormat="false" ht="15" hidden="false" customHeight="false" outlineLevel="0" collapsed="false">
      <c r="B921" s="38" t="n">
        <v>917</v>
      </c>
      <c r="C921" s="37" t="s">
        <v>8759</v>
      </c>
      <c r="D921" s="37" t="s">
        <v>7759</v>
      </c>
      <c r="E921" s="38" t="n">
        <v>320</v>
      </c>
      <c r="F921" s="38"/>
    </row>
    <row r="922" customFormat="false" ht="15" hidden="false" customHeight="false" outlineLevel="0" collapsed="false">
      <c r="B922" s="38" t="n">
        <v>918</v>
      </c>
      <c r="C922" s="37" t="s">
        <v>8760</v>
      </c>
      <c r="D922" s="37" t="s">
        <v>8761</v>
      </c>
      <c r="E922" s="38" t="n">
        <v>170</v>
      </c>
      <c r="F922" s="38"/>
    </row>
    <row r="923" customFormat="false" ht="15" hidden="false" customHeight="false" outlineLevel="0" collapsed="false">
      <c r="B923" s="38" t="n">
        <v>919</v>
      </c>
      <c r="C923" s="37" t="s">
        <v>8762</v>
      </c>
      <c r="D923" s="37" t="s">
        <v>7361</v>
      </c>
      <c r="E923" s="38" t="n">
        <v>189</v>
      </c>
      <c r="F923" s="38"/>
    </row>
    <row r="924" customFormat="false" ht="15" hidden="false" customHeight="false" outlineLevel="0" collapsed="false">
      <c r="B924" s="38" t="n">
        <v>920</v>
      </c>
      <c r="C924" s="37" t="s">
        <v>8763</v>
      </c>
      <c r="D924" s="37" t="s">
        <v>8164</v>
      </c>
      <c r="E924" s="38" t="n">
        <v>184</v>
      </c>
      <c r="F924" s="38"/>
    </row>
    <row r="925" customFormat="false" ht="15" hidden="false" customHeight="false" outlineLevel="0" collapsed="false">
      <c r="B925" s="38" t="n">
        <v>921</v>
      </c>
      <c r="C925" s="37" t="s">
        <v>8764</v>
      </c>
      <c r="D925" s="37" t="s">
        <v>7344</v>
      </c>
      <c r="E925" s="38" t="n">
        <v>176</v>
      </c>
      <c r="F925" s="38"/>
    </row>
    <row r="926" customFormat="false" ht="15" hidden="false" customHeight="false" outlineLevel="0" collapsed="false">
      <c r="B926" s="38" t="n">
        <v>922</v>
      </c>
      <c r="C926" s="37" t="s">
        <v>8765</v>
      </c>
      <c r="D926" s="37" t="s">
        <v>8766</v>
      </c>
      <c r="E926" s="38" t="n">
        <v>165</v>
      </c>
      <c r="F926" s="38"/>
    </row>
    <row r="927" customFormat="false" ht="15" hidden="false" customHeight="false" outlineLevel="0" collapsed="false">
      <c r="B927" s="38" t="n">
        <v>923</v>
      </c>
      <c r="C927" s="37" t="s">
        <v>8767</v>
      </c>
      <c r="D927" s="37" t="s">
        <v>8768</v>
      </c>
      <c r="E927" s="38" t="n">
        <v>225</v>
      </c>
      <c r="F927" s="38"/>
    </row>
    <row r="928" customFormat="false" ht="15" hidden="false" customHeight="false" outlineLevel="0" collapsed="false">
      <c r="B928" s="38" t="n">
        <v>924</v>
      </c>
      <c r="C928" s="37" t="s">
        <v>7085</v>
      </c>
      <c r="D928" s="37" t="s">
        <v>8769</v>
      </c>
      <c r="E928" s="38" t="n">
        <v>174</v>
      </c>
      <c r="F928" s="38"/>
    </row>
    <row r="929" customFormat="false" ht="15" hidden="false" customHeight="false" outlineLevel="0" collapsed="false">
      <c r="B929" s="38" t="n">
        <v>925</v>
      </c>
      <c r="C929" s="37" t="s">
        <v>8770</v>
      </c>
      <c r="D929" s="37" t="s">
        <v>8239</v>
      </c>
      <c r="E929" s="38" t="n">
        <v>186</v>
      </c>
      <c r="F929" s="38"/>
    </row>
    <row r="930" customFormat="false" ht="15" hidden="false" customHeight="false" outlineLevel="0" collapsed="false">
      <c r="B930" s="38" t="n">
        <v>926</v>
      </c>
      <c r="C930" s="37" t="s">
        <v>8771</v>
      </c>
      <c r="D930" s="37" t="s">
        <v>7930</v>
      </c>
      <c r="E930" s="38" t="n">
        <v>204</v>
      </c>
      <c r="F930" s="38"/>
    </row>
    <row r="931" customFormat="false" ht="15" hidden="false" customHeight="false" outlineLevel="0" collapsed="false">
      <c r="B931" s="38" t="n">
        <v>927</v>
      </c>
      <c r="C931" s="37" t="s">
        <v>8772</v>
      </c>
      <c r="D931" s="37" t="s">
        <v>8773</v>
      </c>
      <c r="E931" s="38" t="n">
        <v>226</v>
      </c>
      <c r="F931" s="38"/>
    </row>
    <row r="932" customFormat="false" ht="15" hidden="false" customHeight="false" outlineLevel="0" collapsed="false">
      <c r="B932" s="38" t="n">
        <v>928</v>
      </c>
      <c r="C932" s="37" t="s">
        <v>8774</v>
      </c>
      <c r="D932" s="37" t="s">
        <v>8775</v>
      </c>
      <c r="E932" s="38" t="n">
        <v>173</v>
      </c>
      <c r="F932" s="38"/>
    </row>
    <row r="933" customFormat="false" ht="15" hidden="false" customHeight="false" outlineLevel="0" collapsed="false">
      <c r="B933" s="38" t="n">
        <v>929</v>
      </c>
      <c r="C933" s="37" t="s">
        <v>8776</v>
      </c>
      <c r="D933" s="37" t="s">
        <v>8777</v>
      </c>
      <c r="E933" s="38" t="n">
        <v>235</v>
      </c>
      <c r="F933" s="38"/>
    </row>
    <row r="934" customFormat="false" ht="15" hidden="false" customHeight="false" outlineLevel="0" collapsed="false">
      <c r="B934" s="38" t="n">
        <v>930</v>
      </c>
      <c r="C934" s="37" t="s">
        <v>8778</v>
      </c>
      <c r="D934" s="37" t="s">
        <v>8779</v>
      </c>
      <c r="E934" s="38" t="n">
        <v>189</v>
      </c>
      <c r="F934" s="38"/>
    </row>
    <row r="935" customFormat="false" ht="15" hidden="false" customHeight="false" outlineLevel="0" collapsed="false">
      <c r="B935" s="38" t="n">
        <v>931</v>
      </c>
      <c r="C935" s="37" t="s">
        <v>8780</v>
      </c>
      <c r="D935" s="37" t="s">
        <v>8781</v>
      </c>
      <c r="E935" s="38" t="n">
        <v>173</v>
      </c>
      <c r="F935" s="38"/>
    </row>
    <row r="936" customFormat="false" ht="15" hidden="false" customHeight="false" outlineLevel="0" collapsed="false">
      <c r="B936" s="38" t="n">
        <v>932</v>
      </c>
      <c r="C936" s="37" t="s">
        <v>8782</v>
      </c>
      <c r="D936" s="37" t="s">
        <v>7890</v>
      </c>
      <c r="E936" s="38" t="n">
        <v>320</v>
      </c>
      <c r="F936" s="38"/>
    </row>
    <row r="937" customFormat="false" ht="15" hidden="false" customHeight="false" outlineLevel="0" collapsed="false">
      <c r="B937" s="38" t="n">
        <v>933</v>
      </c>
      <c r="C937" s="37" t="s">
        <v>8783</v>
      </c>
      <c r="D937" s="37" t="s">
        <v>7945</v>
      </c>
      <c r="E937" s="38" t="n">
        <v>174</v>
      </c>
      <c r="F937" s="38"/>
    </row>
    <row r="938" customFormat="false" ht="15" hidden="false" customHeight="false" outlineLevel="0" collapsed="false">
      <c r="B938" s="38" t="n">
        <v>934</v>
      </c>
      <c r="C938" s="37" t="s">
        <v>8784</v>
      </c>
      <c r="D938" s="37" t="s">
        <v>8785</v>
      </c>
      <c r="E938" s="38" t="n">
        <v>161</v>
      </c>
      <c r="F938" s="38"/>
    </row>
    <row r="939" customFormat="false" ht="15" hidden="false" customHeight="false" outlineLevel="0" collapsed="false">
      <c r="B939" s="38" t="n">
        <v>935</v>
      </c>
      <c r="C939" s="37" t="s">
        <v>8786</v>
      </c>
      <c r="D939" s="37" t="s">
        <v>8787</v>
      </c>
      <c r="E939" s="38" t="n">
        <v>172</v>
      </c>
      <c r="F939" s="38"/>
    </row>
    <row r="940" customFormat="false" ht="15" hidden="false" customHeight="false" outlineLevel="0" collapsed="false">
      <c r="B940" s="38" t="n">
        <v>936</v>
      </c>
      <c r="C940" s="37" t="s">
        <v>8788</v>
      </c>
      <c r="D940" s="37" t="s">
        <v>8693</v>
      </c>
      <c r="E940" s="38" t="n">
        <v>207</v>
      </c>
      <c r="F940" s="38"/>
    </row>
    <row r="941" customFormat="false" ht="15" hidden="false" customHeight="false" outlineLevel="0" collapsed="false">
      <c r="B941" s="38" t="n">
        <v>937</v>
      </c>
      <c r="C941" s="37" t="s">
        <v>8789</v>
      </c>
      <c r="D941" s="37" t="s">
        <v>8790</v>
      </c>
      <c r="E941" s="38" t="n">
        <v>164</v>
      </c>
      <c r="F941" s="38"/>
    </row>
    <row r="942" customFormat="false" ht="15" hidden="false" customHeight="false" outlineLevel="0" collapsed="false">
      <c r="B942" s="38" t="n">
        <v>938</v>
      </c>
      <c r="C942" s="37" t="s">
        <v>8791</v>
      </c>
      <c r="D942" s="37" t="s">
        <v>8792</v>
      </c>
      <c r="E942" s="38" t="n">
        <v>171</v>
      </c>
      <c r="F942" s="38"/>
    </row>
    <row r="943" customFormat="false" ht="15" hidden="false" customHeight="false" outlineLevel="0" collapsed="false">
      <c r="B943" s="38" t="n">
        <v>939</v>
      </c>
      <c r="C943" s="37" t="s">
        <v>7265</v>
      </c>
      <c r="D943" s="37" t="s">
        <v>8793</v>
      </c>
      <c r="E943" s="38" t="n">
        <v>172</v>
      </c>
      <c r="F943" s="38"/>
    </row>
    <row r="944" customFormat="false" ht="15" hidden="false" customHeight="false" outlineLevel="0" collapsed="false">
      <c r="B944" s="38" t="n">
        <v>940</v>
      </c>
      <c r="C944" s="37" t="s">
        <v>8794</v>
      </c>
      <c r="D944" s="37" t="s">
        <v>8795</v>
      </c>
      <c r="E944" s="38" t="n">
        <v>320</v>
      </c>
      <c r="F944" s="38"/>
    </row>
    <row r="945" customFormat="false" ht="15" hidden="false" customHeight="false" outlineLevel="0" collapsed="false">
      <c r="B945" s="38" t="n">
        <v>941</v>
      </c>
      <c r="C945" s="37" t="s">
        <v>8796</v>
      </c>
      <c r="D945" s="37" t="s">
        <v>8797</v>
      </c>
      <c r="E945" s="38" t="n">
        <v>175</v>
      </c>
      <c r="F945" s="38"/>
    </row>
    <row r="946" customFormat="false" ht="15" hidden="false" customHeight="false" outlineLevel="0" collapsed="false">
      <c r="B946" s="38" t="n">
        <v>942</v>
      </c>
      <c r="C946" s="37" t="s">
        <v>8798</v>
      </c>
      <c r="D946" s="37" t="s">
        <v>7416</v>
      </c>
      <c r="E946" s="38" t="n">
        <v>165</v>
      </c>
      <c r="F946" s="38"/>
    </row>
    <row r="947" customFormat="false" ht="15" hidden="false" customHeight="false" outlineLevel="0" collapsed="false">
      <c r="B947" s="38" t="n">
        <v>943</v>
      </c>
      <c r="C947" s="37" t="s">
        <v>8799</v>
      </c>
      <c r="D947" s="37" t="s">
        <v>7994</v>
      </c>
      <c r="E947" s="38" t="n">
        <v>319</v>
      </c>
      <c r="F947" s="38"/>
    </row>
    <row r="948" customFormat="false" ht="15" hidden="false" customHeight="false" outlineLevel="0" collapsed="false">
      <c r="B948" s="38" t="n">
        <v>944</v>
      </c>
      <c r="C948" s="37" t="s">
        <v>8800</v>
      </c>
      <c r="D948" s="37" t="s">
        <v>8467</v>
      </c>
      <c r="E948" s="38" t="n">
        <v>191</v>
      </c>
      <c r="F948" s="38"/>
    </row>
    <row r="949" customFormat="false" ht="15" hidden="false" customHeight="false" outlineLevel="0" collapsed="false">
      <c r="B949" s="38" t="n">
        <v>945</v>
      </c>
      <c r="C949" s="37" t="s">
        <v>8801</v>
      </c>
      <c r="D949" s="37" t="s">
        <v>8802</v>
      </c>
      <c r="E949" s="38" t="n">
        <v>207</v>
      </c>
      <c r="F949" s="38"/>
    </row>
    <row r="950" customFormat="false" ht="15" hidden="false" customHeight="false" outlineLevel="0" collapsed="false">
      <c r="B950" s="38" t="n">
        <v>946</v>
      </c>
      <c r="C950" s="37" t="s">
        <v>8803</v>
      </c>
      <c r="D950" s="37" t="s">
        <v>8804</v>
      </c>
      <c r="E950" s="38" t="n">
        <v>161</v>
      </c>
      <c r="F950" s="38"/>
    </row>
    <row r="951" customFormat="false" ht="15" hidden="false" customHeight="false" outlineLevel="0" collapsed="false">
      <c r="B951" s="38" t="n">
        <v>947</v>
      </c>
      <c r="C951" s="37" t="s">
        <v>8805</v>
      </c>
      <c r="D951" s="37" t="s">
        <v>7994</v>
      </c>
      <c r="E951" s="38" t="n">
        <v>319</v>
      </c>
      <c r="F951" s="38"/>
    </row>
    <row r="952" customFormat="false" ht="15" hidden="false" customHeight="false" outlineLevel="0" collapsed="false">
      <c r="B952" s="38" t="n">
        <v>948</v>
      </c>
      <c r="C952" s="37" t="s">
        <v>8806</v>
      </c>
      <c r="D952" s="37" t="s">
        <v>8807</v>
      </c>
      <c r="E952" s="38" t="n">
        <v>174</v>
      </c>
      <c r="F952" s="38"/>
    </row>
    <row r="953" customFormat="false" ht="15" hidden="false" customHeight="false" outlineLevel="0" collapsed="false">
      <c r="B953" s="38" t="n">
        <v>949</v>
      </c>
      <c r="C953" s="37" t="s">
        <v>8808</v>
      </c>
      <c r="D953" s="37" t="s">
        <v>8205</v>
      </c>
      <c r="E953" s="38" t="n">
        <v>162</v>
      </c>
      <c r="F953" s="38"/>
    </row>
    <row r="954" customFormat="false" ht="15" hidden="false" customHeight="false" outlineLevel="0" collapsed="false">
      <c r="B954" s="38" t="n">
        <v>950</v>
      </c>
      <c r="C954" s="37" t="s">
        <v>8809</v>
      </c>
      <c r="D954" s="37" t="s">
        <v>8810</v>
      </c>
      <c r="E954" s="38" t="n">
        <v>165</v>
      </c>
      <c r="F954" s="38"/>
    </row>
    <row r="955" customFormat="false" ht="15" hidden="false" customHeight="false" outlineLevel="0" collapsed="false">
      <c r="B955" s="38" t="n">
        <v>951</v>
      </c>
      <c r="C955" s="37" t="s">
        <v>8811</v>
      </c>
      <c r="D955" s="37" t="s">
        <v>8812</v>
      </c>
      <c r="E955" s="38" t="n">
        <v>194</v>
      </c>
      <c r="F955" s="38"/>
    </row>
    <row r="956" customFormat="false" ht="15" hidden="false" customHeight="false" outlineLevel="0" collapsed="false">
      <c r="B956" s="38" t="n">
        <v>952</v>
      </c>
      <c r="C956" s="37" t="s">
        <v>8813</v>
      </c>
      <c r="D956" s="37" t="s">
        <v>8814</v>
      </c>
      <c r="E956" s="38" t="n">
        <v>185</v>
      </c>
      <c r="F956" s="38"/>
    </row>
    <row r="957" customFormat="false" ht="15" hidden="false" customHeight="false" outlineLevel="0" collapsed="false">
      <c r="B957" s="38" t="n">
        <v>953</v>
      </c>
      <c r="C957" s="37" t="s">
        <v>8815</v>
      </c>
      <c r="D957" s="37" t="s">
        <v>8816</v>
      </c>
      <c r="E957" s="38" t="n">
        <v>176</v>
      </c>
      <c r="F957" s="38"/>
    </row>
    <row r="958" customFormat="false" ht="15" hidden="false" customHeight="false" outlineLevel="0" collapsed="false">
      <c r="B958" s="38" t="n">
        <v>954</v>
      </c>
      <c r="C958" s="37" t="s">
        <v>8817</v>
      </c>
      <c r="D958" s="37" t="s">
        <v>8818</v>
      </c>
      <c r="E958" s="38" t="n">
        <v>320</v>
      </c>
      <c r="F958" s="38"/>
    </row>
    <row r="959" customFormat="false" ht="15" hidden="false" customHeight="false" outlineLevel="0" collapsed="false">
      <c r="B959" s="38" t="n">
        <v>955</v>
      </c>
      <c r="C959" s="37" t="s">
        <v>8819</v>
      </c>
      <c r="D959" s="37" t="s">
        <v>7344</v>
      </c>
      <c r="E959" s="38" t="n">
        <v>176</v>
      </c>
      <c r="F959" s="38"/>
    </row>
    <row r="960" customFormat="false" ht="15" hidden="false" customHeight="false" outlineLevel="0" collapsed="false">
      <c r="B960" s="38" t="n">
        <v>956</v>
      </c>
      <c r="C960" s="37" t="s">
        <v>8820</v>
      </c>
      <c r="D960" s="37" t="s">
        <v>8821</v>
      </c>
      <c r="E960" s="38" t="n">
        <v>174</v>
      </c>
      <c r="F960" s="38"/>
    </row>
    <row r="961" customFormat="false" ht="15" hidden="false" customHeight="false" outlineLevel="0" collapsed="false">
      <c r="B961" s="38" t="n">
        <v>957</v>
      </c>
      <c r="C961" s="37" t="s">
        <v>8822</v>
      </c>
      <c r="D961" s="37" t="s">
        <v>7813</v>
      </c>
      <c r="E961" s="38" t="n">
        <v>319</v>
      </c>
      <c r="F961" s="38"/>
    </row>
    <row r="962" customFormat="false" ht="15" hidden="false" customHeight="false" outlineLevel="0" collapsed="false">
      <c r="B962" s="38" t="n">
        <v>958</v>
      </c>
      <c r="C962" s="37" t="s">
        <v>8823</v>
      </c>
      <c r="D962" s="37" t="s">
        <v>8824</v>
      </c>
      <c r="E962" s="38" t="n">
        <v>172</v>
      </c>
      <c r="F962" s="38"/>
    </row>
    <row r="963" customFormat="false" ht="15" hidden="false" customHeight="false" outlineLevel="0" collapsed="false">
      <c r="B963" s="38" t="n">
        <v>959</v>
      </c>
      <c r="C963" s="37" t="s">
        <v>8825</v>
      </c>
      <c r="D963" s="37" t="s">
        <v>8462</v>
      </c>
      <c r="E963" s="38" t="n">
        <v>171</v>
      </c>
      <c r="F963" s="38"/>
    </row>
    <row r="964" customFormat="false" ht="15" hidden="false" customHeight="false" outlineLevel="0" collapsed="false">
      <c r="B964" s="38" t="n">
        <v>960</v>
      </c>
      <c r="C964" s="37" t="s">
        <v>8826</v>
      </c>
      <c r="D964" s="37" t="s">
        <v>8827</v>
      </c>
      <c r="E964" s="38" t="n">
        <v>176</v>
      </c>
      <c r="F964" s="38"/>
    </row>
    <row r="965" customFormat="false" ht="15" hidden="false" customHeight="false" outlineLevel="0" collapsed="false">
      <c r="B965" s="38" t="n">
        <v>961</v>
      </c>
      <c r="C965" s="37" t="s">
        <v>8828</v>
      </c>
      <c r="D965" s="37" t="s">
        <v>8829</v>
      </c>
      <c r="E965" s="38" t="n">
        <v>167</v>
      </c>
      <c r="F965" s="38"/>
    </row>
    <row r="966" customFormat="false" ht="15" hidden="false" customHeight="false" outlineLevel="0" collapsed="false">
      <c r="B966" s="38" t="n">
        <v>962</v>
      </c>
      <c r="C966" s="37" t="s">
        <v>8830</v>
      </c>
      <c r="D966" s="37" t="s">
        <v>8831</v>
      </c>
      <c r="E966" s="38" t="n">
        <v>177</v>
      </c>
      <c r="F966" s="38"/>
    </row>
    <row r="967" customFormat="false" ht="15" hidden="false" customHeight="false" outlineLevel="0" collapsed="false">
      <c r="B967" s="38" t="n">
        <v>963</v>
      </c>
      <c r="C967" s="37" t="s">
        <v>8832</v>
      </c>
      <c r="D967" s="37" t="s">
        <v>8833</v>
      </c>
      <c r="E967" s="38" t="n">
        <v>166</v>
      </c>
      <c r="F967" s="38"/>
    </row>
    <row r="968" customFormat="false" ht="15" hidden="false" customHeight="false" outlineLevel="0" collapsed="false">
      <c r="B968" s="38" t="n">
        <v>964</v>
      </c>
      <c r="C968" s="37" t="s">
        <v>8834</v>
      </c>
      <c r="D968" s="37" t="s">
        <v>8707</v>
      </c>
      <c r="E968" s="38" t="n">
        <v>184</v>
      </c>
      <c r="F968" s="38"/>
    </row>
    <row r="969" customFormat="false" ht="15" hidden="false" customHeight="false" outlineLevel="0" collapsed="false">
      <c r="B969" s="38" t="n">
        <v>965</v>
      </c>
      <c r="C969" s="37" t="s">
        <v>8835</v>
      </c>
      <c r="D969" s="37" t="s">
        <v>8039</v>
      </c>
      <c r="E969" s="38" t="n">
        <v>166</v>
      </c>
      <c r="F969" s="38"/>
    </row>
    <row r="970" customFormat="false" ht="15" hidden="false" customHeight="false" outlineLevel="0" collapsed="false">
      <c r="B970" s="38" t="n">
        <v>966</v>
      </c>
      <c r="C970" s="37" t="s">
        <v>8836</v>
      </c>
      <c r="D970" s="37" t="s">
        <v>7813</v>
      </c>
      <c r="E970" s="38" t="n">
        <v>319</v>
      </c>
      <c r="F970" s="38"/>
    </row>
    <row r="971" customFormat="false" ht="15" hidden="false" customHeight="false" outlineLevel="0" collapsed="false">
      <c r="B971" s="38" t="n">
        <v>967</v>
      </c>
      <c r="C971" s="37" t="s">
        <v>8837</v>
      </c>
      <c r="D971" s="37" t="s">
        <v>8838</v>
      </c>
      <c r="E971" s="38" t="n">
        <v>226</v>
      </c>
      <c r="F971" s="38"/>
    </row>
    <row r="972" customFormat="false" ht="15" hidden="false" customHeight="false" outlineLevel="0" collapsed="false">
      <c r="B972" s="38" t="n">
        <v>968</v>
      </c>
      <c r="C972" s="37" t="s">
        <v>8839</v>
      </c>
      <c r="D972" s="37" t="s">
        <v>8732</v>
      </c>
      <c r="E972" s="38" t="n">
        <v>204</v>
      </c>
      <c r="F972" s="38"/>
    </row>
    <row r="973" customFormat="false" ht="15" hidden="false" customHeight="false" outlineLevel="0" collapsed="false">
      <c r="B973" s="38" t="n">
        <v>969</v>
      </c>
      <c r="C973" s="37" t="s">
        <v>8840</v>
      </c>
      <c r="D973" s="37" t="s">
        <v>8841</v>
      </c>
      <c r="E973" s="38" t="n">
        <v>164</v>
      </c>
      <c r="F973" s="38"/>
    </row>
    <row r="974" customFormat="false" ht="15" hidden="false" customHeight="false" outlineLevel="0" collapsed="false">
      <c r="B974" s="38" t="n">
        <v>970</v>
      </c>
      <c r="C974" s="37" t="s">
        <v>8842</v>
      </c>
      <c r="D974" s="37" t="s">
        <v>8843</v>
      </c>
      <c r="E974" s="38" t="n">
        <v>192</v>
      </c>
      <c r="F974" s="38"/>
    </row>
    <row r="975" customFormat="false" ht="15" hidden="false" customHeight="false" outlineLevel="0" collapsed="false">
      <c r="B975" s="38" t="n">
        <v>971</v>
      </c>
      <c r="C975" s="37" t="s">
        <v>8844</v>
      </c>
      <c r="D975" s="37" t="s">
        <v>8750</v>
      </c>
      <c r="E975" s="38" t="n">
        <v>320</v>
      </c>
      <c r="F975" s="38"/>
    </row>
    <row r="976" customFormat="false" ht="15" hidden="false" customHeight="false" outlineLevel="0" collapsed="false">
      <c r="B976" s="38" t="n">
        <v>972</v>
      </c>
      <c r="C976" s="37" t="s">
        <v>8845</v>
      </c>
      <c r="D976" s="37" t="s">
        <v>8846</v>
      </c>
      <c r="E976" s="38" t="n">
        <v>200</v>
      </c>
      <c r="F976" s="38"/>
    </row>
    <row r="977" customFormat="false" ht="15" hidden="false" customHeight="false" outlineLevel="0" collapsed="false">
      <c r="B977" s="38" t="n">
        <v>973</v>
      </c>
      <c r="C977" s="37" t="s">
        <v>8847</v>
      </c>
      <c r="D977" s="37" t="s">
        <v>8848</v>
      </c>
      <c r="E977" s="38" t="n">
        <v>173</v>
      </c>
      <c r="F977" s="38"/>
    </row>
    <row r="978" customFormat="false" ht="15" hidden="false" customHeight="false" outlineLevel="0" collapsed="false">
      <c r="B978" s="38" t="n">
        <v>974</v>
      </c>
      <c r="C978" s="37" t="s">
        <v>8849</v>
      </c>
      <c r="D978" s="37" t="s">
        <v>7803</v>
      </c>
      <c r="E978" s="38" t="n">
        <v>320</v>
      </c>
      <c r="F978" s="38"/>
    </row>
    <row r="979" customFormat="false" ht="15" hidden="false" customHeight="false" outlineLevel="0" collapsed="false">
      <c r="B979" s="38" t="n">
        <v>975</v>
      </c>
      <c r="C979" s="37" t="s">
        <v>8850</v>
      </c>
      <c r="D979" s="37" t="s">
        <v>8851</v>
      </c>
      <c r="E979" s="38" t="n">
        <v>320</v>
      </c>
      <c r="F979" s="38"/>
    </row>
    <row r="980" customFormat="false" ht="15" hidden="false" customHeight="false" outlineLevel="0" collapsed="false">
      <c r="B980" s="38" t="n">
        <v>976</v>
      </c>
      <c r="C980" s="37" t="s">
        <v>8852</v>
      </c>
      <c r="D980" s="37" t="s">
        <v>8853</v>
      </c>
      <c r="E980" s="38" t="n">
        <v>180</v>
      </c>
      <c r="F980" s="38"/>
    </row>
    <row r="981" customFormat="false" ht="15" hidden="false" customHeight="false" outlineLevel="0" collapsed="false">
      <c r="B981" s="38" t="n">
        <v>977</v>
      </c>
      <c r="C981" s="37" t="s">
        <v>8854</v>
      </c>
      <c r="D981" s="37" t="s">
        <v>8329</v>
      </c>
      <c r="E981" s="38" t="n">
        <v>196</v>
      </c>
      <c r="F981" s="38"/>
    </row>
    <row r="982" customFormat="false" ht="15" hidden="false" customHeight="false" outlineLevel="0" collapsed="false">
      <c r="B982" s="38" t="n">
        <v>978</v>
      </c>
      <c r="C982" s="37" t="s">
        <v>8855</v>
      </c>
      <c r="D982" s="37" t="s">
        <v>8856</v>
      </c>
      <c r="E982" s="38" t="n">
        <v>197</v>
      </c>
      <c r="F982" s="38"/>
    </row>
    <row r="983" customFormat="false" ht="15" hidden="false" customHeight="false" outlineLevel="0" collapsed="false">
      <c r="B983" s="38" t="n">
        <v>979</v>
      </c>
      <c r="C983" s="37" t="s">
        <v>8857</v>
      </c>
      <c r="D983" s="37" t="s">
        <v>7987</v>
      </c>
      <c r="E983" s="38" t="n">
        <v>213</v>
      </c>
      <c r="F983" s="38"/>
    </row>
    <row r="984" customFormat="false" ht="15" hidden="false" customHeight="false" outlineLevel="0" collapsed="false">
      <c r="B984" s="38" t="n">
        <v>980</v>
      </c>
      <c r="C984" s="37" t="s">
        <v>8858</v>
      </c>
      <c r="D984" s="37" t="s">
        <v>8582</v>
      </c>
      <c r="E984" s="38" t="n">
        <v>220</v>
      </c>
      <c r="F984" s="38"/>
    </row>
    <row r="985" customFormat="false" ht="15" hidden="false" customHeight="false" outlineLevel="0" collapsed="false">
      <c r="B985" s="38" t="n">
        <v>981</v>
      </c>
      <c r="C985" s="37" t="s">
        <v>8859</v>
      </c>
      <c r="D985" s="37" t="s">
        <v>8860</v>
      </c>
      <c r="E985" s="38" t="n">
        <v>170</v>
      </c>
      <c r="F985" s="38"/>
    </row>
    <row r="986" customFormat="false" ht="15" hidden="false" customHeight="false" outlineLevel="0" collapsed="false">
      <c r="B986" s="38" t="n">
        <v>982</v>
      </c>
      <c r="C986" s="37" t="s">
        <v>8861</v>
      </c>
      <c r="D986" s="37" t="s">
        <v>8862</v>
      </c>
      <c r="E986" s="38" t="n">
        <v>170</v>
      </c>
      <c r="F986" s="38"/>
    </row>
    <row r="987" customFormat="false" ht="15" hidden="false" customHeight="false" outlineLevel="0" collapsed="false">
      <c r="B987" s="38" t="n">
        <v>983</v>
      </c>
      <c r="C987" s="37" t="s">
        <v>8863</v>
      </c>
      <c r="D987" s="37" t="s">
        <v>7984</v>
      </c>
      <c r="E987" s="38" t="n">
        <v>167</v>
      </c>
      <c r="F987" s="38"/>
    </row>
    <row r="988" customFormat="false" ht="15" hidden="false" customHeight="false" outlineLevel="0" collapsed="false">
      <c r="B988" s="38" t="n">
        <v>984</v>
      </c>
      <c r="C988" s="37" t="s">
        <v>8864</v>
      </c>
      <c r="D988" s="37" t="s">
        <v>7780</v>
      </c>
      <c r="E988" s="38" t="n">
        <v>161</v>
      </c>
      <c r="F988" s="38"/>
    </row>
    <row r="989" customFormat="false" ht="15" hidden="false" customHeight="false" outlineLevel="0" collapsed="false">
      <c r="B989" s="38" t="n">
        <v>985</v>
      </c>
      <c r="C989" s="37" t="s">
        <v>8865</v>
      </c>
      <c r="D989" s="37" t="s">
        <v>8866</v>
      </c>
      <c r="E989" s="38" t="n">
        <v>181</v>
      </c>
      <c r="F989" s="38"/>
    </row>
    <row r="990" customFormat="false" ht="15" hidden="false" customHeight="false" outlineLevel="0" collapsed="false">
      <c r="B990" s="38" t="n">
        <v>986</v>
      </c>
      <c r="C990" s="37" t="s">
        <v>8867</v>
      </c>
      <c r="D990" s="37" t="s">
        <v>8868</v>
      </c>
      <c r="E990" s="38" t="n">
        <v>178</v>
      </c>
      <c r="F990" s="38"/>
    </row>
    <row r="991" customFormat="false" ht="15" hidden="false" customHeight="false" outlineLevel="0" collapsed="false">
      <c r="B991" s="38" t="n">
        <v>987</v>
      </c>
      <c r="C991" s="37" t="s">
        <v>8869</v>
      </c>
      <c r="D991" s="37" t="s">
        <v>7344</v>
      </c>
      <c r="E991" s="38" t="n">
        <v>176</v>
      </c>
      <c r="F991" s="38"/>
    </row>
    <row r="992" customFormat="false" ht="15" hidden="false" customHeight="false" outlineLevel="0" collapsed="false">
      <c r="B992" s="38" t="n">
        <v>988</v>
      </c>
      <c r="C992" s="37" t="s">
        <v>8870</v>
      </c>
      <c r="D992" s="37" t="s">
        <v>8871</v>
      </c>
      <c r="E992" s="38" t="n">
        <v>177</v>
      </c>
      <c r="F992" s="38"/>
    </row>
    <row r="993" customFormat="false" ht="15" hidden="false" customHeight="false" outlineLevel="0" collapsed="false">
      <c r="B993" s="38" t="n">
        <v>989</v>
      </c>
      <c r="C993" s="37" t="s">
        <v>8872</v>
      </c>
      <c r="D993" s="37" t="s">
        <v>8873</v>
      </c>
      <c r="E993" s="38" t="n">
        <v>168</v>
      </c>
      <c r="F993" s="38"/>
    </row>
    <row r="994" customFormat="false" ht="15" hidden="false" customHeight="false" outlineLevel="0" collapsed="false">
      <c r="B994" s="38" t="n">
        <v>990</v>
      </c>
      <c r="C994" s="37" t="s">
        <v>8874</v>
      </c>
      <c r="D994" s="37" t="s">
        <v>8875</v>
      </c>
      <c r="E994" s="38" t="n">
        <v>165</v>
      </c>
      <c r="F994" s="38"/>
    </row>
    <row r="995" customFormat="false" ht="15" hidden="false" customHeight="false" outlineLevel="0" collapsed="false">
      <c r="B995" s="38" t="n">
        <v>991</v>
      </c>
      <c r="C995" s="37" t="s">
        <v>8876</v>
      </c>
      <c r="D995" s="37" t="s">
        <v>8877</v>
      </c>
      <c r="E995" s="38" t="n">
        <v>178</v>
      </c>
      <c r="F995" s="38"/>
    </row>
    <row r="996" customFormat="false" ht="15" hidden="false" customHeight="false" outlineLevel="0" collapsed="false">
      <c r="B996" s="38" t="n">
        <v>992</v>
      </c>
      <c r="C996" s="37" t="s">
        <v>8878</v>
      </c>
      <c r="D996" s="37" t="s">
        <v>8879</v>
      </c>
      <c r="E996" s="38" t="n">
        <v>164</v>
      </c>
      <c r="F996" s="38"/>
    </row>
    <row r="997" customFormat="false" ht="15" hidden="false" customHeight="false" outlineLevel="0" collapsed="false">
      <c r="B997" s="38" t="n">
        <v>993</v>
      </c>
      <c r="C997" s="37" t="s">
        <v>8880</v>
      </c>
      <c r="D997" s="37" t="s">
        <v>8486</v>
      </c>
      <c r="E997" s="38" t="n">
        <v>212</v>
      </c>
      <c r="F997" s="38"/>
    </row>
    <row r="998" customFormat="false" ht="15" hidden="false" customHeight="false" outlineLevel="0" collapsed="false">
      <c r="B998" s="38" t="n">
        <v>994</v>
      </c>
      <c r="C998" s="37" t="s">
        <v>8881</v>
      </c>
      <c r="D998" s="37" t="s">
        <v>8882</v>
      </c>
      <c r="E998" s="38" t="n">
        <v>205</v>
      </c>
      <c r="F998" s="38"/>
    </row>
    <row r="999" customFormat="false" ht="15" hidden="false" customHeight="false" outlineLevel="0" collapsed="false">
      <c r="B999" s="38" t="n">
        <v>995</v>
      </c>
      <c r="C999" s="37" t="s">
        <v>8883</v>
      </c>
      <c r="D999" s="37" t="s">
        <v>8663</v>
      </c>
      <c r="E999" s="38" t="n">
        <v>320</v>
      </c>
      <c r="F999" s="38"/>
    </row>
    <row r="1000" customFormat="false" ht="15" hidden="false" customHeight="false" outlineLevel="0" collapsed="false">
      <c r="B1000" s="38" t="n">
        <v>996</v>
      </c>
      <c r="C1000" s="37" t="s">
        <v>8884</v>
      </c>
      <c r="D1000" s="37" t="s">
        <v>8567</v>
      </c>
      <c r="E1000" s="38" t="n">
        <v>184</v>
      </c>
      <c r="F1000" s="38"/>
    </row>
    <row r="1001" customFormat="false" ht="15" hidden="false" customHeight="false" outlineLevel="0" collapsed="false">
      <c r="B1001" s="38" t="n">
        <v>997</v>
      </c>
      <c r="C1001" s="37" t="s">
        <v>8885</v>
      </c>
      <c r="D1001" s="37" t="s">
        <v>8886</v>
      </c>
      <c r="E1001" s="38" t="n">
        <v>206</v>
      </c>
      <c r="F1001" s="38"/>
    </row>
    <row r="1002" customFormat="false" ht="15" hidden="false" customHeight="false" outlineLevel="0" collapsed="false">
      <c r="B1002" s="38" t="n">
        <v>998</v>
      </c>
      <c r="C1002" s="37" t="s">
        <v>8887</v>
      </c>
      <c r="D1002" s="37" t="s">
        <v>8888</v>
      </c>
      <c r="E1002" s="38" t="n">
        <v>166</v>
      </c>
      <c r="F1002" s="38"/>
    </row>
    <row r="1003" customFormat="false" ht="15" hidden="false" customHeight="false" outlineLevel="0" collapsed="false">
      <c r="B1003" s="38" t="n">
        <v>999</v>
      </c>
      <c r="C1003" s="37" t="s">
        <v>8889</v>
      </c>
      <c r="D1003" s="37" t="s">
        <v>8610</v>
      </c>
      <c r="E1003" s="38" t="n">
        <v>188</v>
      </c>
      <c r="F1003" s="38"/>
    </row>
    <row r="1004" customFormat="false" ht="15" hidden="false" customHeight="false" outlineLevel="0" collapsed="false">
      <c r="B1004" s="38" t="n">
        <v>1000</v>
      </c>
      <c r="C1004" s="37" t="s">
        <v>8890</v>
      </c>
      <c r="D1004" s="37" t="s">
        <v>8891</v>
      </c>
      <c r="E1004" s="38" t="n">
        <v>174</v>
      </c>
      <c r="F1004" s="38"/>
    </row>
    <row r="1005" customFormat="false" ht="15" hidden="false" customHeight="false" outlineLevel="0" collapsed="false">
      <c r="B1005" s="38" t="n">
        <v>1001</v>
      </c>
      <c r="C1005" s="37" t="s">
        <v>8892</v>
      </c>
      <c r="D1005" s="37" t="s">
        <v>8893</v>
      </c>
      <c r="E1005" s="38" t="n">
        <v>174</v>
      </c>
      <c r="F1005" s="38"/>
    </row>
    <row r="1006" customFormat="false" ht="15" hidden="false" customHeight="false" outlineLevel="0" collapsed="false">
      <c r="B1006" s="38" t="n">
        <v>1002</v>
      </c>
      <c r="C1006" s="37" t="s">
        <v>8894</v>
      </c>
      <c r="D1006" s="37" t="s">
        <v>7344</v>
      </c>
      <c r="E1006" s="38" t="n">
        <v>176</v>
      </c>
      <c r="F1006" s="38"/>
    </row>
    <row r="1007" customFormat="false" ht="15" hidden="false" customHeight="false" outlineLevel="0" collapsed="false">
      <c r="B1007" s="38" t="n">
        <v>1003</v>
      </c>
      <c r="C1007" s="37" t="s">
        <v>8895</v>
      </c>
      <c r="D1007" s="37" t="s">
        <v>8896</v>
      </c>
      <c r="E1007" s="38" t="n">
        <v>182</v>
      </c>
      <c r="F1007" s="38"/>
    </row>
    <row r="1008" customFormat="false" ht="15" hidden="false" customHeight="false" outlineLevel="0" collapsed="false">
      <c r="B1008" s="38" t="n">
        <v>1004</v>
      </c>
      <c r="C1008" s="37" t="s">
        <v>8897</v>
      </c>
      <c r="D1008" s="37" t="s">
        <v>8898</v>
      </c>
      <c r="E1008" s="38" t="n">
        <v>168</v>
      </c>
      <c r="F1008" s="38"/>
    </row>
    <row r="1009" customFormat="false" ht="15" hidden="false" customHeight="false" outlineLevel="0" collapsed="false">
      <c r="B1009" s="38" t="n">
        <v>1005</v>
      </c>
      <c r="C1009" s="37" t="s">
        <v>7097</v>
      </c>
      <c r="D1009" s="37" t="s">
        <v>8851</v>
      </c>
      <c r="E1009" s="38" t="n">
        <v>320</v>
      </c>
      <c r="F1009" s="38"/>
    </row>
    <row r="1010" customFormat="false" ht="15" hidden="false" customHeight="false" outlineLevel="0" collapsed="false">
      <c r="B1010" s="38" t="n">
        <v>1006</v>
      </c>
      <c r="C1010" s="37" t="s">
        <v>8899</v>
      </c>
      <c r="D1010" s="37" t="s">
        <v>7900</v>
      </c>
      <c r="E1010" s="38" t="n">
        <v>193</v>
      </c>
      <c r="F1010" s="38"/>
    </row>
    <row r="1011" customFormat="false" ht="15" hidden="false" customHeight="false" outlineLevel="0" collapsed="false">
      <c r="B1011" s="38" t="n">
        <v>1007</v>
      </c>
      <c r="C1011" s="37" t="s">
        <v>8900</v>
      </c>
      <c r="D1011" s="37" t="s">
        <v>8237</v>
      </c>
      <c r="E1011" s="38" t="n">
        <v>171</v>
      </c>
      <c r="F1011" s="38"/>
    </row>
    <row r="1012" customFormat="false" ht="15" hidden="false" customHeight="false" outlineLevel="0" collapsed="false">
      <c r="B1012" s="38" t="n">
        <v>1008</v>
      </c>
      <c r="C1012" s="37" t="s">
        <v>8901</v>
      </c>
      <c r="D1012" s="37" t="s">
        <v>8902</v>
      </c>
      <c r="E1012" s="38" t="n">
        <v>175</v>
      </c>
      <c r="F1012" s="38"/>
    </row>
    <row r="1013" customFormat="false" ht="15" hidden="false" customHeight="false" outlineLevel="0" collapsed="false">
      <c r="B1013" s="38" t="n">
        <v>1009</v>
      </c>
      <c r="C1013" s="37" t="s">
        <v>8903</v>
      </c>
      <c r="D1013" s="37" t="s">
        <v>8904</v>
      </c>
      <c r="E1013" s="38" t="n">
        <v>195</v>
      </c>
      <c r="F1013" s="38"/>
    </row>
    <row r="1014" customFormat="false" ht="15" hidden="false" customHeight="false" outlineLevel="0" collapsed="false">
      <c r="B1014" s="38" t="n">
        <v>1010</v>
      </c>
      <c r="C1014" s="37" t="s">
        <v>8905</v>
      </c>
      <c r="D1014" s="37" t="s">
        <v>7949</v>
      </c>
      <c r="E1014" s="38" t="n">
        <v>215</v>
      </c>
      <c r="F1014" s="38"/>
    </row>
    <row r="1015" customFormat="false" ht="15" hidden="false" customHeight="false" outlineLevel="0" collapsed="false">
      <c r="B1015" s="38" t="n">
        <v>1011</v>
      </c>
      <c r="C1015" s="37" t="s">
        <v>8906</v>
      </c>
      <c r="D1015" s="37" t="s">
        <v>8907</v>
      </c>
      <c r="E1015" s="38" t="n">
        <v>167</v>
      </c>
      <c r="F1015" s="38"/>
    </row>
    <row r="1016" customFormat="false" ht="15" hidden="false" customHeight="false" outlineLevel="0" collapsed="false">
      <c r="B1016" s="38" t="n">
        <v>1012</v>
      </c>
      <c r="C1016" s="37" t="s">
        <v>8908</v>
      </c>
      <c r="D1016" s="37" t="s">
        <v>8838</v>
      </c>
      <c r="E1016" s="38" t="n">
        <v>226</v>
      </c>
      <c r="F1016" s="38"/>
    </row>
    <row r="1017" customFormat="false" ht="15" hidden="false" customHeight="false" outlineLevel="0" collapsed="false">
      <c r="B1017" s="38" t="n">
        <v>1013</v>
      </c>
      <c r="C1017" s="37" t="s">
        <v>8909</v>
      </c>
      <c r="D1017" s="37" t="s">
        <v>8910</v>
      </c>
      <c r="E1017" s="38" t="n">
        <v>203</v>
      </c>
      <c r="F1017" s="38"/>
    </row>
    <row r="1018" customFormat="false" ht="15" hidden="false" customHeight="false" outlineLevel="0" collapsed="false">
      <c r="B1018" s="38" t="n">
        <v>1014</v>
      </c>
      <c r="C1018" s="37" t="s">
        <v>8911</v>
      </c>
      <c r="D1018" s="37" t="s">
        <v>8912</v>
      </c>
      <c r="E1018" s="38" t="n">
        <v>167</v>
      </c>
      <c r="F1018" s="38"/>
    </row>
    <row r="1019" customFormat="false" ht="15" hidden="false" customHeight="false" outlineLevel="0" collapsed="false">
      <c r="B1019" s="38" t="n">
        <v>1015</v>
      </c>
      <c r="C1019" s="37" t="s">
        <v>8913</v>
      </c>
      <c r="D1019" s="37" t="s">
        <v>8914</v>
      </c>
      <c r="E1019" s="38" t="n">
        <v>190</v>
      </c>
      <c r="F1019" s="38"/>
    </row>
    <row r="1020" customFormat="false" ht="15" hidden="false" customHeight="false" outlineLevel="0" collapsed="false">
      <c r="B1020" s="38" t="n">
        <v>1016</v>
      </c>
      <c r="C1020" s="37" t="s">
        <v>8915</v>
      </c>
      <c r="D1020" s="37" t="s">
        <v>8769</v>
      </c>
      <c r="E1020" s="38" t="n">
        <v>174</v>
      </c>
      <c r="F1020" s="38"/>
    </row>
    <row r="1021" customFormat="false" ht="15" hidden="false" customHeight="false" outlineLevel="0" collapsed="false">
      <c r="B1021" s="38" t="n">
        <v>1017</v>
      </c>
      <c r="C1021" s="37" t="s">
        <v>8916</v>
      </c>
      <c r="D1021" s="37" t="s">
        <v>8504</v>
      </c>
      <c r="E1021" s="38" t="n">
        <v>206</v>
      </c>
      <c r="F1021" s="38"/>
    </row>
    <row r="1022" customFormat="false" ht="15" hidden="false" customHeight="false" outlineLevel="0" collapsed="false">
      <c r="B1022" s="38" t="n">
        <v>1018</v>
      </c>
      <c r="C1022" s="37" t="s">
        <v>8917</v>
      </c>
      <c r="D1022" s="37" t="s">
        <v>8918</v>
      </c>
      <c r="E1022" s="38" t="n">
        <v>178</v>
      </c>
      <c r="F1022" s="38"/>
    </row>
    <row r="1023" customFormat="false" ht="15" hidden="false" customHeight="false" outlineLevel="0" collapsed="false">
      <c r="B1023" s="38" t="n">
        <v>1019</v>
      </c>
      <c r="C1023" s="37" t="s">
        <v>8919</v>
      </c>
      <c r="D1023" s="37" t="s">
        <v>8920</v>
      </c>
      <c r="E1023" s="38" t="n">
        <v>171</v>
      </c>
      <c r="F1023" s="38"/>
    </row>
    <row r="1024" customFormat="false" ht="15" hidden="false" customHeight="false" outlineLevel="0" collapsed="false">
      <c r="B1024" s="38" t="n">
        <v>1020</v>
      </c>
      <c r="C1024" s="37" t="s">
        <v>8921</v>
      </c>
      <c r="D1024" s="37" t="s">
        <v>8922</v>
      </c>
      <c r="E1024" s="38" t="n">
        <v>163</v>
      </c>
      <c r="F1024" s="38"/>
    </row>
    <row r="1025" customFormat="false" ht="15" hidden="false" customHeight="false" outlineLevel="0" collapsed="false">
      <c r="B1025" s="38" t="n">
        <v>1021</v>
      </c>
      <c r="C1025" s="37" t="s">
        <v>8923</v>
      </c>
      <c r="D1025" s="37" t="s">
        <v>7945</v>
      </c>
      <c r="E1025" s="38" t="n">
        <v>174</v>
      </c>
      <c r="F1025" s="38"/>
    </row>
    <row r="1026" customFormat="false" ht="15" hidden="false" customHeight="false" outlineLevel="0" collapsed="false">
      <c r="B1026" s="38" t="n">
        <v>1022</v>
      </c>
      <c r="C1026" s="37" t="s">
        <v>8924</v>
      </c>
      <c r="D1026" s="37" t="s">
        <v>7942</v>
      </c>
      <c r="E1026" s="38" t="n">
        <v>320</v>
      </c>
      <c r="F1026" s="38"/>
    </row>
    <row r="1027" customFormat="false" ht="15" hidden="false" customHeight="false" outlineLevel="0" collapsed="false">
      <c r="B1027" s="38" t="n">
        <v>1023</v>
      </c>
      <c r="C1027" s="37" t="s">
        <v>8925</v>
      </c>
      <c r="D1027" s="37" t="s">
        <v>8926</v>
      </c>
      <c r="E1027" s="38" t="n">
        <v>168</v>
      </c>
      <c r="F1027" s="38"/>
    </row>
    <row r="1028" customFormat="false" ht="15" hidden="false" customHeight="false" outlineLevel="0" collapsed="false">
      <c r="B1028" s="38" t="n">
        <v>1024</v>
      </c>
      <c r="C1028" s="37" t="s">
        <v>8927</v>
      </c>
      <c r="D1028" s="37" t="s">
        <v>8246</v>
      </c>
      <c r="E1028" s="38" t="n">
        <v>174</v>
      </c>
      <c r="F1028" s="38"/>
    </row>
    <row r="1029" customFormat="false" ht="15" hidden="false" customHeight="false" outlineLevel="0" collapsed="false">
      <c r="B1029" s="38" t="n">
        <v>1025</v>
      </c>
      <c r="C1029" s="37" t="s">
        <v>8928</v>
      </c>
      <c r="D1029" s="37" t="s">
        <v>8571</v>
      </c>
      <c r="E1029" s="38" t="n">
        <v>177</v>
      </c>
      <c r="F1029" s="38"/>
    </row>
    <row r="1030" customFormat="false" ht="15" hidden="false" customHeight="false" outlineLevel="0" collapsed="false">
      <c r="B1030" s="38" t="n">
        <v>1026</v>
      </c>
      <c r="C1030" s="37" t="s">
        <v>8929</v>
      </c>
      <c r="D1030" s="37" t="s">
        <v>8930</v>
      </c>
      <c r="E1030" s="38" t="n">
        <v>170</v>
      </c>
      <c r="F1030" s="38"/>
    </row>
    <row r="1031" customFormat="false" ht="15" hidden="false" customHeight="false" outlineLevel="0" collapsed="false">
      <c r="B1031" s="38" t="n">
        <v>1027</v>
      </c>
      <c r="C1031" s="37" t="s">
        <v>8931</v>
      </c>
      <c r="D1031" s="37" t="s">
        <v>7280</v>
      </c>
      <c r="E1031" s="38" t="n">
        <v>320</v>
      </c>
      <c r="F1031" s="38"/>
    </row>
    <row r="1032" customFormat="false" ht="15" hidden="false" customHeight="false" outlineLevel="0" collapsed="false">
      <c r="B1032" s="38" t="n">
        <v>1028</v>
      </c>
      <c r="C1032" s="37" t="s">
        <v>8932</v>
      </c>
      <c r="D1032" s="37" t="s">
        <v>8647</v>
      </c>
      <c r="E1032" s="38" t="n">
        <v>179</v>
      </c>
      <c r="F1032" s="38"/>
    </row>
    <row r="1033" customFormat="false" ht="15" hidden="false" customHeight="false" outlineLevel="0" collapsed="false">
      <c r="B1033" s="38" t="n">
        <v>1029</v>
      </c>
      <c r="C1033" s="37" t="s">
        <v>8933</v>
      </c>
      <c r="D1033" s="37" t="s">
        <v>8934</v>
      </c>
      <c r="E1033" s="38" t="n">
        <v>173</v>
      </c>
      <c r="F1033" s="38"/>
    </row>
    <row r="1034" customFormat="false" ht="15" hidden="false" customHeight="false" outlineLevel="0" collapsed="false">
      <c r="B1034" s="38" t="n">
        <v>1030</v>
      </c>
      <c r="C1034" s="37" t="s">
        <v>8935</v>
      </c>
      <c r="D1034" s="37" t="s">
        <v>8936</v>
      </c>
      <c r="E1034" s="38" t="n">
        <v>169</v>
      </c>
      <c r="F1034" s="38"/>
    </row>
    <row r="1035" customFormat="false" ht="15" hidden="false" customHeight="false" outlineLevel="0" collapsed="false">
      <c r="B1035" s="38" t="n">
        <v>1031</v>
      </c>
      <c r="C1035" s="37" t="s">
        <v>8937</v>
      </c>
      <c r="D1035" s="37" t="s">
        <v>7280</v>
      </c>
      <c r="E1035" s="38" t="n">
        <v>320</v>
      </c>
      <c r="F1035" s="38"/>
    </row>
    <row r="1036" customFormat="false" ht="15" hidden="false" customHeight="false" outlineLevel="0" collapsed="false">
      <c r="B1036" s="38" t="n">
        <v>1032</v>
      </c>
      <c r="C1036" s="37" t="s">
        <v>8938</v>
      </c>
      <c r="D1036" s="37" t="s">
        <v>8939</v>
      </c>
      <c r="E1036" s="38" t="n">
        <v>177</v>
      </c>
      <c r="F1036" s="38"/>
    </row>
    <row r="1037" customFormat="false" ht="15" hidden="false" customHeight="false" outlineLevel="0" collapsed="false">
      <c r="B1037" s="38" t="n">
        <v>1033</v>
      </c>
      <c r="C1037" s="37" t="s">
        <v>8940</v>
      </c>
      <c r="D1037" s="37" t="s">
        <v>7737</v>
      </c>
      <c r="E1037" s="38" t="n">
        <v>178</v>
      </c>
      <c r="F1037" s="38"/>
    </row>
    <row r="1038" customFormat="false" ht="15" hidden="false" customHeight="false" outlineLevel="0" collapsed="false">
      <c r="B1038" s="38" t="n">
        <v>1034</v>
      </c>
      <c r="C1038" s="37" t="s">
        <v>8941</v>
      </c>
      <c r="D1038" s="37" t="s">
        <v>8942</v>
      </c>
      <c r="E1038" s="38" t="n">
        <v>177</v>
      </c>
      <c r="F1038" s="38"/>
    </row>
    <row r="1039" customFormat="false" ht="15" hidden="false" customHeight="false" outlineLevel="0" collapsed="false">
      <c r="B1039" s="38" t="n">
        <v>1035</v>
      </c>
      <c r="C1039" s="37" t="s">
        <v>8943</v>
      </c>
      <c r="D1039" s="37" t="s">
        <v>8944</v>
      </c>
      <c r="E1039" s="38" t="n">
        <v>181</v>
      </c>
      <c r="F1039" s="38"/>
    </row>
    <row r="1040" customFormat="false" ht="15" hidden="false" customHeight="false" outlineLevel="0" collapsed="false">
      <c r="B1040" s="38" t="n">
        <v>1036</v>
      </c>
      <c r="C1040" s="37" t="s">
        <v>8945</v>
      </c>
      <c r="D1040" s="37" t="s">
        <v>8465</v>
      </c>
      <c r="E1040" s="38" t="n">
        <v>216</v>
      </c>
      <c r="F1040" s="38"/>
    </row>
    <row r="1041" customFormat="false" ht="15" hidden="false" customHeight="false" outlineLevel="0" collapsed="false">
      <c r="B1041" s="38" t="n">
        <v>1037</v>
      </c>
      <c r="C1041" s="37" t="s">
        <v>8946</v>
      </c>
      <c r="D1041" s="37" t="s">
        <v>8947</v>
      </c>
      <c r="E1041" s="38" t="n">
        <v>206</v>
      </c>
      <c r="F1041" s="38"/>
    </row>
    <row r="1042" customFormat="false" ht="15" hidden="false" customHeight="false" outlineLevel="0" collapsed="false">
      <c r="B1042" s="38" t="n">
        <v>1038</v>
      </c>
      <c r="C1042" s="37" t="s">
        <v>8948</v>
      </c>
      <c r="D1042" s="37" t="s">
        <v>7924</v>
      </c>
      <c r="E1042" s="38" t="n">
        <v>169</v>
      </c>
      <c r="F1042" s="38"/>
    </row>
    <row r="1043" customFormat="false" ht="15" hidden="false" customHeight="false" outlineLevel="0" collapsed="false">
      <c r="B1043" s="38" t="n">
        <v>1039</v>
      </c>
      <c r="C1043" s="37" t="s">
        <v>8949</v>
      </c>
      <c r="D1043" s="37" t="s">
        <v>8950</v>
      </c>
      <c r="E1043" s="38" t="n">
        <v>161</v>
      </c>
      <c r="F1043" s="38"/>
    </row>
    <row r="1044" customFormat="false" ht="15" hidden="false" customHeight="false" outlineLevel="0" collapsed="false">
      <c r="B1044" s="38" t="n">
        <v>1040</v>
      </c>
      <c r="C1044" s="37" t="s">
        <v>8951</v>
      </c>
      <c r="D1044" s="37" t="s">
        <v>8768</v>
      </c>
      <c r="E1044" s="38" t="n">
        <v>225</v>
      </c>
      <c r="F1044" s="38"/>
    </row>
    <row r="1045" customFormat="false" ht="15" hidden="false" customHeight="false" outlineLevel="0" collapsed="false">
      <c r="B1045" s="38" t="n">
        <v>1041</v>
      </c>
      <c r="C1045" s="37" t="s">
        <v>8952</v>
      </c>
      <c r="D1045" s="37" t="s">
        <v>8953</v>
      </c>
      <c r="E1045" s="38" t="n">
        <v>166</v>
      </c>
      <c r="F1045" s="38"/>
    </row>
    <row r="1046" customFormat="false" ht="15" hidden="false" customHeight="false" outlineLevel="0" collapsed="false">
      <c r="B1046" s="38" t="n">
        <v>1042</v>
      </c>
      <c r="C1046" s="37" t="s">
        <v>8954</v>
      </c>
      <c r="D1046" s="37" t="s">
        <v>8955</v>
      </c>
      <c r="E1046" s="38" t="n">
        <v>174</v>
      </c>
      <c r="F1046" s="38"/>
    </row>
    <row r="1047" customFormat="false" ht="15" hidden="false" customHeight="false" outlineLevel="0" collapsed="false">
      <c r="B1047" s="38" t="n">
        <v>1043</v>
      </c>
      <c r="C1047" s="37" t="s">
        <v>8956</v>
      </c>
      <c r="D1047" s="37" t="s">
        <v>8957</v>
      </c>
      <c r="E1047" s="38" t="n">
        <v>196</v>
      </c>
      <c r="F1047" s="38"/>
    </row>
    <row r="1048" customFormat="false" ht="15" hidden="false" customHeight="false" outlineLevel="0" collapsed="false">
      <c r="B1048" s="38" t="n">
        <v>1044</v>
      </c>
      <c r="C1048" s="37" t="s">
        <v>8958</v>
      </c>
      <c r="D1048" s="37" t="s">
        <v>8959</v>
      </c>
      <c r="E1048" s="38" t="n">
        <v>162</v>
      </c>
      <c r="F1048" s="38"/>
    </row>
    <row r="1049" customFormat="false" ht="15" hidden="false" customHeight="false" outlineLevel="0" collapsed="false">
      <c r="B1049" s="38" t="n">
        <v>1045</v>
      </c>
      <c r="C1049" s="37" t="s">
        <v>8960</v>
      </c>
      <c r="D1049" s="37" t="s">
        <v>8961</v>
      </c>
      <c r="E1049" s="38" t="n">
        <v>208</v>
      </c>
      <c r="F1049" s="38"/>
    </row>
    <row r="1050" customFormat="false" ht="15" hidden="false" customHeight="false" outlineLevel="0" collapsed="false">
      <c r="B1050" s="38" t="n">
        <v>1046</v>
      </c>
      <c r="C1050" s="37" t="s">
        <v>8962</v>
      </c>
      <c r="D1050" s="37" t="s">
        <v>7903</v>
      </c>
      <c r="E1050" s="38" t="n">
        <v>164</v>
      </c>
      <c r="F1050" s="38"/>
    </row>
    <row r="1051" customFormat="false" ht="15" hidden="false" customHeight="false" outlineLevel="0" collapsed="false">
      <c r="B1051" s="38" t="n">
        <v>1047</v>
      </c>
      <c r="C1051" s="37" t="s">
        <v>8963</v>
      </c>
      <c r="D1051" s="37" t="s">
        <v>8964</v>
      </c>
      <c r="E1051" s="38" t="n">
        <v>185</v>
      </c>
      <c r="F1051" s="38"/>
    </row>
    <row r="1052" customFormat="false" ht="15" hidden="false" customHeight="false" outlineLevel="0" collapsed="false">
      <c r="B1052" s="38" t="n">
        <v>1048</v>
      </c>
      <c r="C1052" s="37" t="s">
        <v>8965</v>
      </c>
      <c r="D1052" s="37" t="s">
        <v>8966</v>
      </c>
      <c r="E1052" s="38" t="n">
        <v>172</v>
      </c>
      <c r="F1052" s="38"/>
    </row>
    <row r="1053" customFormat="false" ht="15" hidden="false" customHeight="false" outlineLevel="0" collapsed="false">
      <c r="B1053" s="38" t="n">
        <v>1049</v>
      </c>
      <c r="C1053" s="37" t="s">
        <v>8967</v>
      </c>
      <c r="D1053" s="37" t="s">
        <v>8431</v>
      </c>
      <c r="E1053" s="38" t="n">
        <v>180</v>
      </c>
      <c r="F1053" s="38"/>
    </row>
    <row r="1054" customFormat="false" ht="15" hidden="false" customHeight="false" outlineLevel="0" collapsed="false">
      <c r="B1054" s="38" t="n">
        <v>1050</v>
      </c>
      <c r="C1054" s="37" t="s">
        <v>8968</v>
      </c>
      <c r="D1054" s="37" t="s">
        <v>8969</v>
      </c>
      <c r="E1054" s="38" t="n">
        <v>165</v>
      </c>
      <c r="F1054" s="38"/>
    </row>
    <row r="1055" customFormat="false" ht="15" hidden="false" customHeight="false" outlineLevel="0" collapsed="false">
      <c r="B1055" s="38" t="n">
        <v>1051</v>
      </c>
      <c r="C1055" s="37" t="s">
        <v>8970</v>
      </c>
      <c r="D1055" s="37" t="s">
        <v>8971</v>
      </c>
      <c r="E1055" s="38" t="n">
        <v>178</v>
      </c>
      <c r="F1055" s="38"/>
    </row>
    <row r="1056" customFormat="false" ht="15" hidden="false" customHeight="false" outlineLevel="0" collapsed="false">
      <c r="B1056" s="38" t="n">
        <v>1052</v>
      </c>
      <c r="C1056" s="37" t="s">
        <v>8972</v>
      </c>
      <c r="D1056" s="37" t="s">
        <v>8973</v>
      </c>
      <c r="E1056" s="38" t="n">
        <v>179</v>
      </c>
      <c r="F1056" s="38"/>
    </row>
    <row r="1057" customFormat="false" ht="15" hidden="false" customHeight="false" outlineLevel="0" collapsed="false">
      <c r="B1057" s="38" t="n">
        <v>1053</v>
      </c>
      <c r="C1057" s="37" t="s">
        <v>8974</v>
      </c>
      <c r="D1057" s="37" t="s">
        <v>8975</v>
      </c>
      <c r="E1057" s="38" t="n">
        <v>161</v>
      </c>
      <c r="F1057" s="38"/>
    </row>
    <row r="1058" customFormat="false" ht="15" hidden="false" customHeight="false" outlineLevel="0" collapsed="false">
      <c r="B1058" s="38" t="n">
        <v>1054</v>
      </c>
      <c r="C1058" s="37" t="s">
        <v>8976</v>
      </c>
      <c r="D1058" s="37" t="s">
        <v>8645</v>
      </c>
      <c r="E1058" s="38" t="n">
        <v>200</v>
      </c>
      <c r="F1058" s="38"/>
    </row>
    <row r="1059" customFormat="false" ht="15" hidden="false" customHeight="false" outlineLevel="0" collapsed="false">
      <c r="B1059" s="38" t="n">
        <v>1055</v>
      </c>
      <c r="C1059" s="37" t="s">
        <v>8977</v>
      </c>
      <c r="D1059" s="37" t="s">
        <v>8978</v>
      </c>
      <c r="E1059" s="38" t="n">
        <v>182</v>
      </c>
      <c r="F1059" s="38"/>
    </row>
    <row r="1060" customFormat="false" ht="15" hidden="false" customHeight="false" outlineLevel="0" collapsed="false">
      <c r="B1060" s="38" t="n">
        <v>1056</v>
      </c>
      <c r="C1060" s="37" t="s">
        <v>8979</v>
      </c>
      <c r="D1060" s="37" t="s">
        <v>8667</v>
      </c>
      <c r="E1060" s="38" t="n">
        <v>172</v>
      </c>
      <c r="F1060" s="38"/>
    </row>
    <row r="1061" customFormat="false" ht="15" hidden="false" customHeight="false" outlineLevel="0" collapsed="false">
      <c r="B1061" s="38" t="n">
        <v>1057</v>
      </c>
      <c r="C1061" s="37" t="s">
        <v>8980</v>
      </c>
      <c r="D1061" s="37" t="s">
        <v>8981</v>
      </c>
      <c r="E1061" s="38" t="n">
        <v>186</v>
      </c>
      <c r="F1061" s="38"/>
    </row>
    <row r="1062" customFormat="false" ht="15" hidden="false" customHeight="false" outlineLevel="0" collapsed="false">
      <c r="B1062" s="38" t="n">
        <v>1058</v>
      </c>
      <c r="C1062" s="37" t="s">
        <v>8982</v>
      </c>
      <c r="D1062" s="37" t="s">
        <v>7994</v>
      </c>
      <c r="E1062" s="38" t="n">
        <v>319</v>
      </c>
      <c r="F1062" s="38"/>
    </row>
    <row r="1063" customFormat="false" ht="15" hidden="false" customHeight="false" outlineLevel="0" collapsed="false">
      <c r="B1063" s="38" t="n">
        <v>1059</v>
      </c>
      <c r="C1063" s="37" t="s">
        <v>8983</v>
      </c>
      <c r="D1063" s="37" t="s">
        <v>8984</v>
      </c>
      <c r="E1063" s="38" t="n">
        <v>169</v>
      </c>
      <c r="F1063" s="38"/>
    </row>
    <row r="1064" customFormat="false" ht="15" hidden="false" customHeight="false" outlineLevel="0" collapsed="false">
      <c r="B1064" s="38" t="n">
        <v>1060</v>
      </c>
      <c r="C1064" s="37" t="s">
        <v>8985</v>
      </c>
      <c r="D1064" s="37" t="s">
        <v>8986</v>
      </c>
      <c r="E1064" s="38" t="n">
        <v>180</v>
      </c>
      <c r="F1064" s="38"/>
    </row>
    <row r="1065" customFormat="false" ht="15" hidden="false" customHeight="false" outlineLevel="0" collapsed="false">
      <c r="B1065" s="38" t="n">
        <v>1061</v>
      </c>
      <c r="C1065" s="37" t="s">
        <v>7179</v>
      </c>
      <c r="D1065" s="37" t="s">
        <v>8987</v>
      </c>
      <c r="E1065" s="38" t="n">
        <v>186</v>
      </c>
      <c r="F1065" s="38"/>
    </row>
    <row r="1066" customFormat="false" ht="15" hidden="false" customHeight="false" outlineLevel="0" collapsed="false">
      <c r="B1066" s="38" t="n">
        <v>1062</v>
      </c>
      <c r="C1066" s="37" t="s">
        <v>8988</v>
      </c>
      <c r="D1066" s="37" t="s">
        <v>8454</v>
      </c>
      <c r="E1066" s="38" t="n">
        <v>203</v>
      </c>
      <c r="F1066" s="38"/>
    </row>
    <row r="1067" customFormat="false" ht="15" hidden="false" customHeight="false" outlineLevel="0" collapsed="false">
      <c r="B1067" s="38" t="n">
        <v>1063</v>
      </c>
      <c r="C1067" s="37" t="s">
        <v>8989</v>
      </c>
      <c r="D1067" s="37" t="s">
        <v>8990</v>
      </c>
      <c r="E1067" s="38" t="n">
        <v>167</v>
      </c>
      <c r="F1067" s="38"/>
    </row>
    <row r="1068" customFormat="false" ht="15" hidden="false" customHeight="false" outlineLevel="0" collapsed="false">
      <c r="B1068" s="38" t="n">
        <v>1064</v>
      </c>
      <c r="C1068" s="37" t="s">
        <v>8991</v>
      </c>
      <c r="D1068" s="37" t="s">
        <v>7942</v>
      </c>
      <c r="E1068" s="38" t="n">
        <v>320</v>
      </c>
      <c r="F1068" s="38"/>
    </row>
    <row r="1069" customFormat="false" ht="15" hidden="false" customHeight="false" outlineLevel="0" collapsed="false">
      <c r="B1069" s="38" t="n">
        <v>1065</v>
      </c>
      <c r="C1069" s="37" t="s">
        <v>8992</v>
      </c>
      <c r="D1069" s="37" t="s">
        <v>8270</v>
      </c>
      <c r="E1069" s="38" t="n">
        <v>189</v>
      </c>
      <c r="F1069" s="38"/>
    </row>
    <row r="1070" customFormat="false" ht="15" hidden="false" customHeight="false" outlineLevel="0" collapsed="false">
      <c r="B1070" s="38" t="n">
        <v>1066</v>
      </c>
      <c r="C1070" s="37" t="s">
        <v>8993</v>
      </c>
      <c r="D1070" s="37" t="s">
        <v>8994</v>
      </c>
      <c r="E1070" s="38" t="n">
        <v>191</v>
      </c>
      <c r="F1070" s="38"/>
    </row>
    <row r="1071" customFormat="false" ht="15" hidden="false" customHeight="false" outlineLevel="0" collapsed="false">
      <c r="B1071" s="38" t="n">
        <v>1067</v>
      </c>
      <c r="C1071" s="37" t="s">
        <v>8995</v>
      </c>
      <c r="D1071" s="37" t="s">
        <v>8237</v>
      </c>
      <c r="E1071" s="38" t="n">
        <v>171</v>
      </c>
      <c r="F1071" s="38"/>
    </row>
    <row r="1072" customFormat="false" ht="15" hidden="false" customHeight="false" outlineLevel="0" collapsed="false">
      <c r="B1072" s="38" t="n">
        <v>1068</v>
      </c>
      <c r="C1072" s="37" t="s">
        <v>8996</v>
      </c>
      <c r="D1072" s="37" t="s">
        <v>8997</v>
      </c>
      <c r="E1072" s="38" t="n">
        <v>169</v>
      </c>
      <c r="F1072" s="38"/>
    </row>
    <row r="1073" customFormat="false" ht="15" hidden="false" customHeight="false" outlineLevel="0" collapsed="false">
      <c r="B1073" s="38" t="n">
        <v>1069</v>
      </c>
      <c r="C1073" s="37" t="s">
        <v>8998</v>
      </c>
      <c r="D1073" s="37" t="s">
        <v>8999</v>
      </c>
      <c r="E1073" s="38" t="n">
        <v>182</v>
      </c>
      <c r="F1073" s="38"/>
    </row>
    <row r="1074" customFormat="false" ht="15" hidden="false" customHeight="false" outlineLevel="0" collapsed="false">
      <c r="B1074" s="38" t="n">
        <v>1070</v>
      </c>
      <c r="C1074" s="37" t="s">
        <v>9000</v>
      </c>
      <c r="D1074" s="37" t="s">
        <v>7956</v>
      </c>
      <c r="E1074" s="38" t="n">
        <v>204</v>
      </c>
      <c r="F1074" s="38"/>
    </row>
    <row r="1075" customFormat="false" ht="15" hidden="false" customHeight="false" outlineLevel="0" collapsed="false">
      <c r="B1075" s="38" t="n">
        <v>1071</v>
      </c>
      <c r="C1075" s="37" t="s">
        <v>9001</v>
      </c>
      <c r="D1075" s="37" t="s">
        <v>9002</v>
      </c>
      <c r="E1075" s="38" t="n">
        <v>183</v>
      </c>
      <c r="F1075" s="38"/>
    </row>
    <row r="1076" customFormat="false" ht="15" hidden="false" customHeight="false" outlineLevel="0" collapsed="false">
      <c r="B1076" s="38" t="n">
        <v>1072</v>
      </c>
      <c r="C1076" s="37" t="s">
        <v>9003</v>
      </c>
      <c r="D1076" s="37" t="s">
        <v>8358</v>
      </c>
      <c r="E1076" s="38" t="n">
        <v>182</v>
      </c>
      <c r="F1076" s="38"/>
    </row>
    <row r="1077" customFormat="false" ht="15" hidden="false" customHeight="false" outlineLevel="0" collapsed="false">
      <c r="B1077" s="38" t="n">
        <v>1073</v>
      </c>
      <c r="C1077" s="37" t="s">
        <v>9004</v>
      </c>
      <c r="D1077" s="37" t="s">
        <v>9005</v>
      </c>
      <c r="E1077" s="38" t="n">
        <v>168</v>
      </c>
      <c r="F1077" s="38"/>
    </row>
    <row r="1078" customFormat="false" ht="15" hidden="false" customHeight="false" outlineLevel="0" collapsed="false">
      <c r="B1078" s="38" t="n">
        <v>1074</v>
      </c>
      <c r="C1078" s="37" t="s">
        <v>9006</v>
      </c>
      <c r="D1078" s="37" t="s">
        <v>8563</v>
      </c>
      <c r="E1078" s="38" t="n">
        <v>183</v>
      </c>
      <c r="F1078" s="38"/>
    </row>
    <row r="1079" customFormat="false" ht="15" hidden="false" customHeight="false" outlineLevel="0" collapsed="false">
      <c r="B1079" s="38" t="n">
        <v>1075</v>
      </c>
      <c r="C1079" s="37" t="s">
        <v>9007</v>
      </c>
      <c r="D1079" s="37" t="s">
        <v>8404</v>
      </c>
      <c r="E1079" s="38" t="n">
        <v>319</v>
      </c>
      <c r="F1079" s="38"/>
    </row>
    <row r="1080" customFormat="false" ht="15" hidden="false" customHeight="false" outlineLevel="0" collapsed="false">
      <c r="B1080" s="38" t="n">
        <v>1076</v>
      </c>
      <c r="C1080" s="37" t="s">
        <v>9008</v>
      </c>
      <c r="D1080" s="37" t="s">
        <v>9009</v>
      </c>
      <c r="E1080" s="38" t="n">
        <v>161</v>
      </c>
      <c r="F1080" s="38"/>
    </row>
    <row r="1081" customFormat="false" ht="15" hidden="false" customHeight="false" outlineLevel="0" collapsed="false">
      <c r="B1081" s="38" t="n">
        <v>1077</v>
      </c>
      <c r="C1081" s="37" t="s">
        <v>9010</v>
      </c>
      <c r="D1081" s="37" t="s">
        <v>8060</v>
      </c>
      <c r="E1081" s="38" t="n">
        <v>163</v>
      </c>
      <c r="F1081" s="38"/>
    </row>
    <row r="1082" customFormat="false" ht="15" hidden="false" customHeight="false" outlineLevel="0" collapsed="false">
      <c r="B1082" s="38" t="n">
        <v>1078</v>
      </c>
      <c r="C1082" s="37" t="s">
        <v>7198</v>
      </c>
      <c r="D1082" s="37" t="s">
        <v>8344</v>
      </c>
      <c r="E1082" s="38" t="n">
        <v>207</v>
      </c>
      <c r="F1082" s="38"/>
    </row>
    <row r="1083" customFormat="false" ht="15" hidden="false" customHeight="false" outlineLevel="0" collapsed="false">
      <c r="B1083" s="38" t="n">
        <v>1079</v>
      </c>
      <c r="C1083" s="37" t="s">
        <v>9011</v>
      </c>
      <c r="D1083" s="37" t="s">
        <v>9012</v>
      </c>
      <c r="E1083" s="38" t="n">
        <v>177</v>
      </c>
      <c r="F1083" s="38"/>
    </row>
    <row r="1084" customFormat="false" ht="15" hidden="false" customHeight="false" outlineLevel="0" collapsed="false">
      <c r="B1084" s="38" t="n">
        <v>1080</v>
      </c>
      <c r="C1084" s="37" t="s">
        <v>9013</v>
      </c>
      <c r="D1084" s="37" t="s">
        <v>8637</v>
      </c>
      <c r="E1084" s="38" t="n">
        <v>212</v>
      </c>
      <c r="F1084" s="38"/>
    </row>
    <row r="1085" customFormat="false" ht="15" hidden="false" customHeight="false" outlineLevel="0" collapsed="false">
      <c r="B1085" s="38" t="n">
        <v>1081</v>
      </c>
      <c r="C1085" s="37" t="s">
        <v>9014</v>
      </c>
      <c r="D1085" s="37" t="s">
        <v>9015</v>
      </c>
      <c r="E1085" s="38" t="n">
        <v>164</v>
      </c>
      <c r="F1085" s="38"/>
    </row>
    <row r="1086" customFormat="false" ht="15" hidden="false" customHeight="false" outlineLevel="0" collapsed="false">
      <c r="B1086" s="38" t="n">
        <v>1082</v>
      </c>
      <c r="C1086" s="37" t="s">
        <v>9016</v>
      </c>
      <c r="D1086" s="37" t="s">
        <v>9017</v>
      </c>
      <c r="E1086" s="38" t="n">
        <v>177</v>
      </c>
      <c r="F1086" s="38"/>
    </row>
    <row r="1087" customFormat="false" ht="15" hidden="false" customHeight="false" outlineLevel="0" collapsed="false">
      <c r="B1087" s="38" t="n">
        <v>1083</v>
      </c>
      <c r="C1087" s="37" t="s">
        <v>9018</v>
      </c>
      <c r="D1087" s="37" t="s">
        <v>9019</v>
      </c>
      <c r="E1087" s="38" t="n">
        <v>178</v>
      </c>
      <c r="F1087" s="38"/>
    </row>
    <row r="1088" customFormat="false" ht="15" hidden="false" customHeight="false" outlineLevel="0" collapsed="false">
      <c r="B1088" s="38" t="n">
        <v>1084</v>
      </c>
      <c r="C1088" s="37" t="s">
        <v>9020</v>
      </c>
      <c r="D1088" s="37" t="s">
        <v>9021</v>
      </c>
      <c r="E1088" s="38" t="n">
        <v>320</v>
      </c>
      <c r="F1088" s="38"/>
    </row>
    <row r="1089" customFormat="false" ht="15" hidden="false" customHeight="false" outlineLevel="0" collapsed="false">
      <c r="B1089" s="38" t="n">
        <v>1085</v>
      </c>
      <c r="C1089" s="37" t="s">
        <v>9022</v>
      </c>
      <c r="D1089" s="37" t="s">
        <v>9023</v>
      </c>
      <c r="E1089" s="38" t="n">
        <v>167</v>
      </c>
      <c r="F1089" s="38"/>
    </row>
    <row r="1090" customFormat="false" ht="15" hidden="false" customHeight="false" outlineLevel="0" collapsed="false">
      <c r="B1090" s="38" t="n">
        <v>1086</v>
      </c>
      <c r="C1090" s="37" t="s">
        <v>9024</v>
      </c>
      <c r="D1090" s="37" t="s">
        <v>9025</v>
      </c>
      <c r="E1090" s="38" t="n">
        <v>161</v>
      </c>
      <c r="F1090" s="38"/>
    </row>
    <row r="1091" customFormat="false" ht="15" hidden="false" customHeight="false" outlineLevel="0" collapsed="false">
      <c r="B1091" s="38" t="n">
        <v>1087</v>
      </c>
      <c r="C1091" s="37" t="s">
        <v>9026</v>
      </c>
      <c r="D1091" s="37" t="s">
        <v>9027</v>
      </c>
      <c r="E1091" s="38" t="n">
        <v>187</v>
      </c>
      <c r="F1091" s="38"/>
    </row>
    <row r="1092" customFormat="false" ht="15" hidden="false" customHeight="false" outlineLevel="0" collapsed="false">
      <c r="B1092" s="38" t="n">
        <v>1088</v>
      </c>
      <c r="C1092" s="37" t="s">
        <v>9028</v>
      </c>
      <c r="D1092" s="37" t="s">
        <v>9029</v>
      </c>
      <c r="E1092" s="38" t="n">
        <v>161</v>
      </c>
      <c r="F1092" s="38"/>
    </row>
    <row r="1093" customFormat="false" ht="15" hidden="false" customHeight="false" outlineLevel="0" collapsed="false">
      <c r="B1093" s="38" t="n">
        <v>1089</v>
      </c>
      <c r="C1093" s="37" t="s">
        <v>9030</v>
      </c>
      <c r="D1093" s="37" t="s">
        <v>9031</v>
      </c>
      <c r="E1093" s="38" t="n">
        <v>192</v>
      </c>
      <c r="F1093" s="38"/>
    </row>
    <row r="1094" customFormat="false" ht="15" hidden="false" customHeight="false" outlineLevel="0" collapsed="false">
      <c r="B1094" s="38" t="n">
        <v>1090</v>
      </c>
      <c r="C1094" s="37" t="s">
        <v>9032</v>
      </c>
      <c r="D1094" s="37" t="s">
        <v>8947</v>
      </c>
      <c r="E1094" s="38" t="n">
        <v>206</v>
      </c>
      <c r="F1094" s="38"/>
    </row>
    <row r="1095" customFormat="false" ht="15" hidden="false" customHeight="false" outlineLevel="0" collapsed="false">
      <c r="B1095" s="38" t="n">
        <v>1091</v>
      </c>
      <c r="C1095" s="37" t="s">
        <v>9033</v>
      </c>
      <c r="D1095" s="37" t="s">
        <v>9034</v>
      </c>
      <c r="E1095" s="38" t="n">
        <v>167</v>
      </c>
      <c r="F1095" s="38"/>
    </row>
    <row r="1096" customFormat="false" ht="15" hidden="false" customHeight="false" outlineLevel="0" collapsed="false">
      <c r="B1096" s="38" t="n">
        <v>1092</v>
      </c>
      <c r="C1096" s="37" t="s">
        <v>9035</v>
      </c>
      <c r="D1096" s="37" t="s">
        <v>9036</v>
      </c>
      <c r="E1096" s="38" t="n">
        <v>165</v>
      </c>
      <c r="F1096" s="38"/>
    </row>
    <row r="1097" customFormat="false" ht="15" hidden="false" customHeight="false" outlineLevel="0" collapsed="false">
      <c r="B1097" s="38" t="n">
        <v>1093</v>
      </c>
      <c r="C1097" s="37" t="s">
        <v>9037</v>
      </c>
      <c r="D1097" s="37" t="s">
        <v>7994</v>
      </c>
      <c r="E1097" s="38" t="n">
        <v>319</v>
      </c>
      <c r="F1097" s="38"/>
    </row>
    <row r="1098" customFormat="false" ht="15" hidden="false" customHeight="false" outlineLevel="0" collapsed="false">
      <c r="B1098" s="38" t="n">
        <v>1094</v>
      </c>
      <c r="C1098" s="37" t="s">
        <v>9038</v>
      </c>
      <c r="D1098" s="37" t="s">
        <v>8291</v>
      </c>
      <c r="E1098" s="38" t="n">
        <v>184</v>
      </c>
      <c r="F1098" s="38"/>
    </row>
    <row r="1099" customFormat="false" ht="15" hidden="false" customHeight="false" outlineLevel="0" collapsed="false">
      <c r="B1099" s="38" t="n">
        <v>1095</v>
      </c>
      <c r="C1099" s="37" t="s">
        <v>9039</v>
      </c>
      <c r="D1099" s="37" t="s">
        <v>9040</v>
      </c>
      <c r="E1099" s="38" t="n">
        <v>187</v>
      </c>
      <c r="F1099" s="38"/>
    </row>
    <row r="1100" customFormat="false" ht="15" hidden="false" customHeight="false" outlineLevel="0" collapsed="false">
      <c r="B1100" s="38" t="n">
        <v>1096</v>
      </c>
      <c r="C1100" s="37" t="s">
        <v>9041</v>
      </c>
      <c r="D1100" s="37" t="s">
        <v>7322</v>
      </c>
      <c r="E1100" s="38" t="n">
        <v>173</v>
      </c>
      <c r="F1100" s="38"/>
    </row>
    <row r="1101" customFormat="false" ht="15" hidden="false" customHeight="false" outlineLevel="0" collapsed="false">
      <c r="B1101" s="38" t="n">
        <v>1097</v>
      </c>
      <c r="C1101" s="37" t="s">
        <v>9042</v>
      </c>
      <c r="D1101" s="37" t="s">
        <v>9043</v>
      </c>
      <c r="E1101" s="38" t="n">
        <v>191</v>
      </c>
      <c r="F1101" s="38"/>
    </row>
    <row r="1102" customFormat="false" ht="15" hidden="false" customHeight="false" outlineLevel="0" collapsed="false">
      <c r="B1102" s="38" t="n">
        <v>1098</v>
      </c>
      <c r="C1102" s="37" t="s">
        <v>9044</v>
      </c>
      <c r="D1102" s="37" t="s">
        <v>9045</v>
      </c>
      <c r="E1102" s="38" t="n">
        <v>167</v>
      </c>
      <c r="F1102" s="38"/>
    </row>
    <row r="1103" customFormat="false" ht="15" hidden="false" customHeight="false" outlineLevel="0" collapsed="false">
      <c r="B1103" s="38" t="n">
        <v>1099</v>
      </c>
      <c r="C1103" s="37" t="s">
        <v>9046</v>
      </c>
      <c r="D1103" s="37" t="s">
        <v>9009</v>
      </c>
      <c r="E1103" s="38" t="n">
        <v>161</v>
      </c>
      <c r="F1103" s="38"/>
    </row>
    <row r="1104" customFormat="false" ht="15" hidden="false" customHeight="false" outlineLevel="0" collapsed="false">
      <c r="B1104" s="38" t="n">
        <v>1100</v>
      </c>
      <c r="C1104" s="37" t="s">
        <v>9047</v>
      </c>
      <c r="D1104" s="37" t="s">
        <v>9048</v>
      </c>
      <c r="E1104" s="38" t="n">
        <v>167</v>
      </c>
      <c r="F1104" s="38"/>
    </row>
    <row r="1105" customFormat="false" ht="15" hidden="false" customHeight="false" outlineLevel="0" collapsed="false">
      <c r="B1105" s="38" t="n">
        <v>1101</v>
      </c>
      <c r="C1105" s="37" t="s">
        <v>9049</v>
      </c>
      <c r="D1105" s="37" t="s">
        <v>8787</v>
      </c>
      <c r="E1105" s="38" t="n">
        <v>172</v>
      </c>
      <c r="F1105" s="38"/>
    </row>
    <row r="1106" customFormat="false" ht="15" hidden="false" customHeight="false" outlineLevel="0" collapsed="false">
      <c r="B1106" s="38" t="n">
        <v>1102</v>
      </c>
      <c r="C1106" s="37" t="s">
        <v>9050</v>
      </c>
      <c r="D1106" s="37" t="s">
        <v>8419</v>
      </c>
      <c r="E1106" s="38" t="n">
        <v>168</v>
      </c>
      <c r="F1106" s="38"/>
    </row>
    <row r="1107" customFormat="false" ht="15" hidden="false" customHeight="false" outlineLevel="0" collapsed="false">
      <c r="B1107" s="38" t="n">
        <v>1103</v>
      </c>
      <c r="C1107" s="37" t="s">
        <v>9051</v>
      </c>
      <c r="D1107" s="37" t="s">
        <v>9052</v>
      </c>
      <c r="E1107" s="38" t="n">
        <v>166</v>
      </c>
      <c r="F1107" s="38"/>
    </row>
    <row r="1108" customFormat="false" ht="15" hidden="false" customHeight="false" outlineLevel="0" collapsed="false">
      <c r="B1108" s="38" t="n">
        <v>1104</v>
      </c>
      <c r="C1108" s="37" t="s">
        <v>9053</v>
      </c>
      <c r="D1108" s="37" t="s">
        <v>8673</v>
      </c>
      <c r="E1108" s="38" t="n">
        <v>164</v>
      </c>
      <c r="F1108" s="38"/>
    </row>
    <row r="1109" customFormat="false" ht="15" hidden="false" customHeight="false" outlineLevel="0" collapsed="false">
      <c r="B1109" s="38" t="n">
        <v>1105</v>
      </c>
      <c r="C1109" s="37" t="s">
        <v>9054</v>
      </c>
      <c r="D1109" s="37" t="s">
        <v>7334</v>
      </c>
      <c r="E1109" s="38" t="n">
        <v>178</v>
      </c>
      <c r="F1109" s="38"/>
    </row>
    <row r="1110" customFormat="false" ht="15" hidden="false" customHeight="false" outlineLevel="0" collapsed="false">
      <c r="B1110" s="38" t="n">
        <v>1106</v>
      </c>
      <c r="C1110" s="37" t="s">
        <v>9055</v>
      </c>
      <c r="D1110" s="37" t="s">
        <v>9056</v>
      </c>
      <c r="E1110" s="38" t="n">
        <v>188</v>
      </c>
      <c r="F1110" s="38"/>
    </row>
    <row r="1111" customFormat="false" ht="15" hidden="false" customHeight="false" outlineLevel="0" collapsed="false">
      <c r="B1111" s="38" t="n">
        <v>1107</v>
      </c>
      <c r="C1111" s="37" t="s">
        <v>9057</v>
      </c>
      <c r="D1111" s="37" t="s">
        <v>9058</v>
      </c>
      <c r="E1111" s="38" t="n">
        <v>167</v>
      </c>
      <c r="F1111" s="38"/>
    </row>
    <row r="1112" customFormat="false" ht="15" hidden="false" customHeight="false" outlineLevel="0" collapsed="false">
      <c r="B1112" s="38" t="n">
        <v>1108</v>
      </c>
      <c r="C1112" s="37" t="s">
        <v>9059</v>
      </c>
      <c r="D1112" s="37" t="s">
        <v>7942</v>
      </c>
      <c r="E1112" s="38" t="n">
        <v>320</v>
      </c>
      <c r="F1112" s="38"/>
    </row>
    <row r="1113" customFormat="false" ht="15" hidden="false" customHeight="false" outlineLevel="0" collapsed="false">
      <c r="B1113" s="38" t="n">
        <v>1109</v>
      </c>
      <c r="C1113" s="37" t="s">
        <v>9060</v>
      </c>
      <c r="D1113" s="37" t="s">
        <v>9061</v>
      </c>
      <c r="E1113" s="38" t="n">
        <v>166</v>
      </c>
      <c r="F1113" s="38"/>
    </row>
    <row r="1114" customFormat="false" ht="15" hidden="false" customHeight="false" outlineLevel="0" collapsed="false">
      <c r="B1114" s="38" t="n">
        <v>1110</v>
      </c>
      <c r="C1114" s="37" t="s">
        <v>9062</v>
      </c>
      <c r="D1114" s="37" t="s">
        <v>9063</v>
      </c>
      <c r="E1114" s="38" t="n">
        <v>188</v>
      </c>
      <c r="F1114" s="38"/>
    </row>
    <row r="1115" customFormat="false" ht="15" hidden="false" customHeight="false" outlineLevel="0" collapsed="false">
      <c r="B1115" s="38" t="n">
        <v>1111</v>
      </c>
      <c r="C1115" s="37" t="s">
        <v>9064</v>
      </c>
      <c r="D1115" s="37" t="s">
        <v>8170</v>
      </c>
      <c r="E1115" s="38" t="n">
        <v>239</v>
      </c>
      <c r="F1115" s="38"/>
    </row>
    <row r="1116" customFormat="false" ht="15" hidden="false" customHeight="false" outlineLevel="0" collapsed="false">
      <c r="B1116" s="38" t="n">
        <v>1112</v>
      </c>
      <c r="C1116" s="37" t="s">
        <v>9065</v>
      </c>
      <c r="D1116" s="37" t="s">
        <v>8939</v>
      </c>
      <c r="E1116" s="38" t="n">
        <v>177</v>
      </c>
      <c r="F1116" s="38"/>
    </row>
    <row r="1117" customFormat="false" ht="15" hidden="false" customHeight="false" outlineLevel="0" collapsed="false">
      <c r="B1117" s="38" t="n">
        <v>1113</v>
      </c>
      <c r="C1117" s="37" t="s">
        <v>9066</v>
      </c>
      <c r="D1117" s="37" t="s">
        <v>9067</v>
      </c>
      <c r="E1117" s="38" t="n">
        <v>186</v>
      </c>
      <c r="F1117" s="38"/>
    </row>
    <row r="1118" customFormat="false" ht="15" hidden="false" customHeight="false" outlineLevel="0" collapsed="false">
      <c r="B1118" s="38" t="n">
        <v>1114</v>
      </c>
      <c r="C1118" s="37" t="s">
        <v>9068</v>
      </c>
      <c r="D1118" s="37" t="s">
        <v>7280</v>
      </c>
      <c r="E1118" s="38" t="n">
        <v>320</v>
      </c>
      <c r="F1118" s="38"/>
    </row>
    <row r="1119" customFormat="false" ht="15" hidden="false" customHeight="false" outlineLevel="0" collapsed="false">
      <c r="B1119" s="38" t="n">
        <v>1115</v>
      </c>
      <c r="C1119" s="37" t="s">
        <v>9069</v>
      </c>
      <c r="D1119" s="37" t="s">
        <v>8528</v>
      </c>
      <c r="E1119" s="38" t="n">
        <v>169</v>
      </c>
      <c r="F1119" s="38"/>
    </row>
    <row r="1120" customFormat="false" ht="15" hidden="false" customHeight="false" outlineLevel="0" collapsed="false">
      <c r="B1120" s="38" t="n">
        <v>1116</v>
      </c>
      <c r="C1120" s="37" t="s">
        <v>9070</v>
      </c>
      <c r="D1120" s="37" t="s">
        <v>7445</v>
      </c>
      <c r="E1120" s="38" t="n">
        <v>218</v>
      </c>
      <c r="F1120" s="38"/>
    </row>
    <row r="1121" customFormat="false" ht="15" hidden="false" customHeight="false" outlineLevel="0" collapsed="false">
      <c r="B1121" s="38" t="n">
        <v>1117</v>
      </c>
      <c r="C1121" s="37" t="s">
        <v>9071</v>
      </c>
      <c r="D1121" s="37" t="s">
        <v>7878</v>
      </c>
      <c r="E1121" s="38" t="n">
        <v>163</v>
      </c>
      <c r="F1121" s="38"/>
    </row>
    <row r="1122" customFormat="false" ht="15" hidden="false" customHeight="false" outlineLevel="0" collapsed="false">
      <c r="B1122" s="38" t="n">
        <v>1118</v>
      </c>
      <c r="C1122" s="37" t="s">
        <v>9072</v>
      </c>
      <c r="D1122" s="37" t="s">
        <v>9073</v>
      </c>
      <c r="E1122" s="38" t="n">
        <v>175</v>
      </c>
      <c r="F1122" s="38"/>
    </row>
    <row r="1123" customFormat="false" ht="15" hidden="false" customHeight="false" outlineLevel="0" collapsed="false">
      <c r="B1123" s="38" t="n">
        <v>1119</v>
      </c>
      <c r="C1123" s="37" t="s">
        <v>9074</v>
      </c>
      <c r="D1123" s="37" t="s">
        <v>9075</v>
      </c>
      <c r="E1123" s="38" t="n">
        <v>185</v>
      </c>
      <c r="F1123" s="38"/>
    </row>
    <row r="1124" customFormat="false" ht="15" hidden="false" customHeight="false" outlineLevel="0" collapsed="false">
      <c r="B1124" s="38" t="n">
        <v>1120</v>
      </c>
      <c r="C1124" s="37" t="s">
        <v>9076</v>
      </c>
      <c r="D1124" s="37" t="s">
        <v>8067</v>
      </c>
      <c r="E1124" s="38" t="n">
        <v>180</v>
      </c>
      <c r="F1124" s="38"/>
    </row>
    <row r="1125" customFormat="false" ht="15" hidden="false" customHeight="false" outlineLevel="0" collapsed="false">
      <c r="B1125" s="38" t="n">
        <v>1121</v>
      </c>
      <c r="C1125" s="37" t="s">
        <v>9077</v>
      </c>
      <c r="D1125" s="37" t="s">
        <v>9078</v>
      </c>
      <c r="E1125" s="38" t="n">
        <v>172</v>
      </c>
      <c r="F1125" s="38"/>
    </row>
    <row r="1126" customFormat="false" ht="15" hidden="false" customHeight="false" outlineLevel="0" collapsed="false">
      <c r="B1126" s="38" t="n">
        <v>1122</v>
      </c>
      <c r="C1126" s="37" t="s">
        <v>9079</v>
      </c>
      <c r="D1126" s="37" t="s">
        <v>7922</v>
      </c>
      <c r="E1126" s="38" t="n">
        <v>320</v>
      </c>
      <c r="F1126" s="38"/>
    </row>
    <row r="1127" customFormat="false" ht="15" hidden="false" customHeight="false" outlineLevel="0" collapsed="false">
      <c r="B1127" s="38" t="n">
        <v>1123</v>
      </c>
      <c r="C1127" s="37" t="s">
        <v>9080</v>
      </c>
      <c r="D1127" s="37" t="s">
        <v>9081</v>
      </c>
      <c r="E1127" s="38" t="n">
        <v>180</v>
      </c>
      <c r="F1127" s="38"/>
    </row>
    <row r="1128" customFormat="false" ht="15" hidden="false" customHeight="false" outlineLevel="0" collapsed="false">
      <c r="B1128" s="38" t="n">
        <v>1124</v>
      </c>
      <c r="C1128" s="37" t="s">
        <v>9082</v>
      </c>
      <c r="D1128" s="37" t="s">
        <v>9061</v>
      </c>
      <c r="E1128" s="38" t="n">
        <v>166</v>
      </c>
      <c r="F1128" s="38"/>
    </row>
    <row r="1129" customFormat="false" ht="15" hidden="false" customHeight="false" outlineLevel="0" collapsed="false">
      <c r="B1129" s="38" t="n">
        <v>1125</v>
      </c>
      <c r="C1129" s="37" t="s">
        <v>9083</v>
      </c>
      <c r="D1129" s="37" t="s">
        <v>9084</v>
      </c>
      <c r="E1129" s="38" t="n">
        <v>161</v>
      </c>
      <c r="F1129" s="38"/>
    </row>
    <row r="1130" customFormat="false" ht="15" hidden="false" customHeight="false" outlineLevel="0" collapsed="false">
      <c r="B1130" s="38" t="n">
        <v>1126</v>
      </c>
      <c r="C1130" s="37" t="s">
        <v>9085</v>
      </c>
      <c r="D1130" s="37" t="s">
        <v>8612</v>
      </c>
      <c r="E1130" s="38" t="n">
        <v>176</v>
      </c>
      <c r="F1130" s="38"/>
    </row>
    <row r="1131" customFormat="false" ht="15" hidden="false" customHeight="false" outlineLevel="0" collapsed="false">
      <c r="B1131" s="38" t="n">
        <v>1127</v>
      </c>
      <c r="C1131" s="37" t="s">
        <v>9086</v>
      </c>
      <c r="D1131" s="37" t="s">
        <v>7416</v>
      </c>
      <c r="E1131" s="38" t="n">
        <v>165</v>
      </c>
      <c r="F1131" s="38"/>
    </row>
    <row r="1132" customFormat="false" ht="15" hidden="false" customHeight="false" outlineLevel="0" collapsed="false">
      <c r="B1132" s="38" t="n">
        <v>1128</v>
      </c>
      <c r="C1132" s="37" t="s">
        <v>9087</v>
      </c>
      <c r="D1132" s="37" t="s">
        <v>8027</v>
      </c>
      <c r="E1132" s="38" t="n">
        <v>192</v>
      </c>
      <c r="F1132" s="38"/>
    </row>
    <row r="1133" customFormat="false" ht="15" hidden="false" customHeight="false" outlineLevel="0" collapsed="false">
      <c r="B1133" s="38" t="n">
        <v>1129</v>
      </c>
      <c r="C1133" s="37" t="s">
        <v>9088</v>
      </c>
      <c r="D1133" s="37" t="s">
        <v>7813</v>
      </c>
      <c r="E1133" s="38" t="n">
        <v>319</v>
      </c>
      <c r="F1133" s="38"/>
    </row>
    <row r="1134" customFormat="false" ht="15" hidden="false" customHeight="false" outlineLevel="0" collapsed="false">
      <c r="B1134" s="38" t="n">
        <v>1130</v>
      </c>
      <c r="C1134" s="37" t="s">
        <v>9089</v>
      </c>
      <c r="D1134" s="37" t="s">
        <v>9090</v>
      </c>
      <c r="E1134" s="38" t="n">
        <v>192</v>
      </c>
      <c r="F1134" s="38"/>
    </row>
    <row r="1135" customFormat="false" ht="15" hidden="false" customHeight="false" outlineLevel="0" collapsed="false">
      <c r="B1135" s="38" t="n">
        <v>1131</v>
      </c>
      <c r="C1135" s="37" t="s">
        <v>9091</v>
      </c>
      <c r="D1135" s="37" t="s">
        <v>9092</v>
      </c>
      <c r="E1135" s="38" t="n">
        <v>183</v>
      </c>
      <c r="F1135" s="38"/>
    </row>
    <row r="1136" customFormat="false" ht="15" hidden="false" customHeight="false" outlineLevel="0" collapsed="false">
      <c r="B1136" s="38" t="n">
        <v>1132</v>
      </c>
      <c r="C1136" s="37" t="s">
        <v>9093</v>
      </c>
      <c r="D1136" s="37" t="s">
        <v>9094</v>
      </c>
      <c r="E1136" s="38" t="n">
        <v>174</v>
      </c>
      <c r="F1136" s="38"/>
    </row>
    <row r="1137" customFormat="false" ht="15" hidden="false" customHeight="false" outlineLevel="0" collapsed="false">
      <c r="B1137" s="38" t="n">
        <v>1133</v>
      </c>
      <c r="C1137" s="37" t="s">
        <v>9095</v>
      </c>
      <c r="D1137" s="37" t="s">
        <v>9096</v>
      </c>
      <c r="E1137" s="38" t="n">
        <v>169</v>
      </c>
      <c r="F1137" s="38"/>
    </row>
    <row r="1138" customFormat="false" ht="15" hidden="false" customHeight="false" outlineLevel="0" collapsed="false">
      <c r="B1138" s="38" t="n">
        <v>1134</v>
      </c>
      <c r="C1138" s="37" t="s">
        <v>9097</v>
      </c>
      <c r="D1138" s="37" t="s">
        <v>9098</v>
      </c>
      <c r="E1138" s="38" t="n">
        <v>189</v>
      </c>
      <c r="F1138" s="38"/>
    </row>
    <row r="1139" customFormat="false" ht="15" hidden="false" customHeight="false" outlineLevel="0" collapsed="false">
      <c r="B1139" s="38" t="n">
        <v>1135</v>
      </c>
      <c r="C1139" s="37" t="s">
        <v>9099</v>
      </c>
      <c r="D1139" s="37" t="s">
        <v>9100</v>
      </c>
      <c r="E1139" s="38" t="n">
        <v>224</v>
      </c>
      <c r="F1139" s="38"/>
    </row>
    <row r="1140" customFormat="false" ht="15" hidden="false" customHeight="false" outlineLevel="0" collapsed="false">
      <c r="B1140" s="38" t="n">
        <v>1136</v>
      </c>
      <c r="C1140" s="37" t="s">
        <v>9101</v>
      </c>
      <c r="D1140" s="37" t="s">
        <v>9102</v>
      </c>
      <c r="E1140" s="38" t="n">
        <v>172</v>
      </c>
      <c r="F1140" s="38"/>
    </row>
    <row r="1141" customFormat="false" ht="15" hidden="false" customHeight="false" outlineLevel="0" collapsed="false">
      <c r="B1141" s="38" t="n">
        <v>1137</v>
      </c>
      <c r="C1141" s="37" t="s">
        <v>9103</v>
      </c>
      <c r="D1141" s="37" t="s">
        <v>9104</v>
      </c>
      <c r="E1141" s="38" t="n">
        <v>177</v>
      </c>
      <c r="F1141" s="38"/>
    </row>
    <row r="1142" customFormat="false" ht="15" hidden="false" customHeight="false" outlineLevel="0" collapsed="false">
      <c r="B1142" s="38" t="n">
        <v>1138</v>
      </c>
      <c r="C1142" s="37" t="s">
        <v>9105</v>
      </c>
      <c r="D1142" s="37" t="s">
        <v>8394</v>
      </c>
      <c r="E1142" s="38" t="n">
        <v>320</v>
      </c>
      <c r="F1142" s="38"/>
    </row>
    <row r="1143" customFormat="false" ht="15" hidden="false" customHeight="false" outlineLevel="0" collapsed="false">
      <c r="B1143" s="38" t="n">
        <v>1139</v>
      </c>
      <c r="C1143" s="37" t="s">
        <v>9106</v>
      </c>
      <c r="D1143" s="37" t="s">
        <v>8777</v>
      </c>
      <c r="E1143" s="38" t="n">
        <v>235</v>
      </c>
      <c r="F1143" s="38"/>
    </row>
    <row r="1144" customFormat="false" ht="15" hidden="false" customHeight="false" outlineLevel="0" collapsed="false">
      <c r="B1144" s="38" t="n">
        <v>1140</v>
      </c>
      <c r="C1144" s="37" t="s">
        <v>9107</v>
      </c>
      <c r="D1144" s="37" t="s">
        <v>9108</v>
      </c>
      <c r="E1144" s="38" t="n">
        <v>176</v>
      </c>
      <c r="F1144" s="38"/>
    </row>
    <row r="1145" customFormat="false" ht="15" hidden="false" customHeight="false" outlineLevel="0" collapsed="false">
      <c r="B1145" s="38" t="n">
        <v>1141</v>
      </c>
      <c r="C1145" s="37" t="s">
        <v>9109</v>
      </c>
      <c r="D1145" s="37" t="s">
        <v>7972</v>
      </c>
      <c r="E1145" s="38" t="n">
        <v>192</v>
      </c>
      <c r="F1145" s="38"/>
    </row>
    <row r="1146" customFormat="false" ht="15" hidden="false" customHeight="false" outlineLevel="0" collapsed="false">
      <c r="B1146" s="38" t="n">
        <v>1142</v>
      </c>
      <c r="C1146" s="37" t="s">
        <v>9110</v>
      </c>
      <c r="D1146" s="37" t="s">
        <v>9111</v>
      </c>
      <c r="E1146" s="38" t="n">
        <v>181</v>
      </c>
      <c r="F1146" s="38"/>
    </row>
    <row r="1147" customFormat="false" ht="15" hidden="false" customHeight="false" outlineLevel="0" collapsed="false">
      <c r="B1147" s="38" t="n">
        <v>1143</v>
      </c>
      <c r="C1147" s="37" t="s">
        <v>9112</v>
      </c>
      <c r="D1147" s="37" t="s">
        <v>9113</v>
      </c>
      <c r="E1147" s="38" t="n">
        <v>175</v>
      </c>
      <c r="F1147" s="38"/>
    </row>
    <row r="1148" customFormat="false" ht="15" hidden="false" customHeight="false" outlineLevel="0" collapsed="false">
      <c r="B1148" s="38" t="n">
        <v>1144</v>
      </c>
      <c r="C1148" s="37" t="s">
        <v>9114</v>
      </c>
      <c r="D1148" s="37" t="s">
        <v>9115</v>
      </c>
      <c r="E1148" s="38" t="n">
        <v>177</v>
      </c>
      <c r="F1148" s="38"/>
    </row>
    <row r="1149" customFormat="false" ht="15" hidden="false" customHeight="false" outlineLevel="0" collapsed="false">
      <c r="B1149" s="38" t="n">
        <v>1145</v>
      </c>
      <c r="C1149" s="37" t="s">
        <v>9116</v>
      </c>
      <c r="D1149" s="37" t="s">
        <v>9117</v>
      </c>
      <c r="E1149" s="38" t="n">
        <v>172</v>
      </c>
      <c r="F1149" s="38"/>
    </row>
    <row r="1150" customFormat="false" ht="15" hidden="false" customHeight="false" outlineLevel="0" collapsed="false">
      <c r="B1150" s="38" t="n">
        <v>1146</v>
      </c>
      <c r="C1150" s="37" t="s">
        <v>9118</v>
      </c>
      <c r="D1150" s="37" t="s">
        <v>9119</v>
      </c>
      <c r="E1150" s="38" t="n">
        <v>183</v>
      </c>
      <c r="F1150" s="38"/>
    </row>
    <row r="1151" customFormat="false" ht="15" hidden="false" customHeight="false" outlineLevel="0" collapsed="false">
      <c r="B1151" s="38" t="n">
        <v>1147</v>
      </c>
      <c r="C1151" s="37" t="s">
        <v>9120</v>
      </c>
      <c r="D1151" s="37" t="s">
        <v>7361</v>
      </c>
      <c r="E1151" s="38" t="n">
        <v>189</v>
      </c>
      <c r="F1151" s="38"/>
    </row>
    <row r="1152" customFormat="false" ht="15" hidden="false" customHeight="false" outlineLevel="0" collapsed="false">
      <c r="B1152" s="38" t="n">
        <v>1148</v>
      </c>
      <c r="C1152" s="37" t="s">
        <v>9121</v>
      </c>
      <c r="D1152" s="37" t="s">
        <v>7775</v>
      </c>
      <c r="E1152" s="38" t="n">
        <v>178</v>
      </c>
      <c r="F1152" s="38"/>
    </row>
    <row r="1153" customFormat="false" ht="15" hidden="false" customHeight="false" outlineLevel="0" collapsed="false">
      <c r="B1153" s="38" t="n">
        <v>1149</v>
      </c>
      <c r="C1153" s="37" t="s">
        <v>9122</v>
      </c>
      <c r="D1153" s="37" t="s">
        <v>8415</v>
      </c>
      <c r="E1153" s="38" t="n">
        <v>208</v>
      </c>
      <c r="F1153" s="38"/>
    </row>
    <row r="1154" customFormat="false" ht="15" hidden="false" customHeight="false" outlineLevel="0" collapsed="false">
      <c r="B1154" s="38" t="n">
        <v>1150</v>
      </c>
      <c r="C1154" s="37" t="s">
        <v>9123</v>
      </c>
      <c r="D1154" s="37" t="s">
        <v>9124</v>
      </c>
      <c r="E1154" s="38" t="n">
        <v>174</v>
      </c>
      <c r="F1154" s="38"/>
    </row>
    <row r="1155" customFormat="false" ht="15" hidden="false" customHeight="false" outlineLevel="0" collapsed="false">
      <c r="B1155" s="38" t="n">
        <v>1151</v>
      </c>
      <c r="C1155" s="37" t="s">
        <v>9125</v>
      </c>
      <c r="D1155" s="37" t="s">
        <v>8480</v>
      </c>
      <c r="E1155" s="38" t="n">
        <v>213</v>
      </c>
      <c r="F1155" s="38"/>
    </row>
    <row r="1156" customFormat="false" ht="15" hidden="false" customHeight="false" outlineLevel="0" collapsed="false">
      <c r="B1156" s="38" t="n">
        <v>1152</v>
      </c>
      <c r="C1156" s="37" t="s">
        <v>9126</v>
      </c>
      <c r="D1156" s="37" t="s">
        <v>9127</v>
      </c>
      <c r="E1156" s="38" t="n">
        <v>172</v>
      </c>
      <c r="F1156" s="38"/>
    </row>
    <row r="1157" customFormat="false" ht="15" hidden="false" customHeight="false" outlineLevel="0" collapsed="false">
      <c r="B1157" s="38" t="n">
        <v>1153</v>
      </c>
      <c r="C1157" s="37" t="s">
        <v>9128</v>
      </c>
      <c r="D1157" s="37" t="s">
        <v>8769</v>
      </c>
      <c r="E1157" s="38" t="n">
        <v>174</v>
      </c>
      <c r="F1157" s="38"/>
    </row>
    <row r="1158" customFormat="false" ht="15" hidden="false" customHeight="false" outlineLevel="0" collapsed="false">
      <c r="B1158" s="38" t="n">
        <v>1154</v>
      </c>
      <c r="C1158" s="37" t="s">
        <v>9129</v>
      </c>
      <c r="D1158" s="37" t="s">
        <v>9130</v>
      </c>
      <c r="E1158" s="38" t="n">
        <v>168</v>
      </c>
      <c r="F1158" s="38"/>
    </row>
    <row r="1159" customFormat="false" ht="15" hidden="false" customHeight="false" outlineLevel="0" collapsed="false">
      <c r="B1159" s="38" t="n">
        <v>1155</v>
      </c>
      <c r="C1159" s="37" t="s">
        <v>9131</v>
      </c>
      <c r="D1159" s="37" t="s">
        <v>9132</v>
      </c>
      <c r="E1159" s="38" t="n">
        <v>169</v>
      </c>
      <c r="F1159" s="38"/>
    </row>
    <row r="1160" customFormat="false" ht="15" hidden="false" customHeight="false" outlineLevel="0" collapsed="false">
      <c r="B1160" s="38" t="n">
        <v>1156</v>
      </c>
      <c r="C1160" s="37" t="s">
        <v>9133</v>
      </c>
      <c r="D1160" s="37" t="s">
        <v>9134</v>
      </c>
      <c r="E1160" s="38" t="n">
        <v>178</v>
      </c>
      <c r="F1160" s="38"/>
    </row>
    <row r="1161" customFormat="false" ht="15" hidden="false" customHeight="false" outlineLevel="0" collapsed="false">
      <c r="B1161" s="38" t="n">
        <v>1157</v>
      </c>
      <c r="C1161" s="37" t="s">
        <v>9135</v>
      </c>
      <c r="D1161" s="37" t="s">
        <v>9136</v>
      </c>
      <c r="E1161" s="38" t="n">
        <v>320</v>
      </c>
      <c r="F1161" s="38"/>
    </row>
    <row r="1162" customFormat="false" ht="15" hidden="false" customHeight="false" outlineLevel="0" collapsed="false">
      <c r="B1162" s="38" t="n">
        <v>1158</v>
      </c>
      <c r="C1162" s="37" t="s">
        <v>9137</v>
      </c>
      <c r="D1162" s="37" t="s">
        <v>9138</v>
      </c>
      <c r="E1162" s="38" t="n">
        <v>215</v>
      </c>
      <c r="F1162" s="38"/>
    </row>
    <row r="1163" customFormat="false" ht="15" hidden="false" customHeight="false" outlineLevel="0" collapsed="false">
      <c r="B1163" s="38" t="n">
        <v>1159</v>
      </c>
      <c r="C1163" s="37" t="s">
        <v>9139</v>
      </c>
      <c r="D1163" s="37" t="s">
        <v>9140</v>
      </c>
      <c r="E1163" s="38" t="n">
        <v>189</v>
      </c>
      <c r="F1163" s="38"/>
    </row>
    <row r="1164" customFormat="false" ht="15" hidden="false" customHeight="false" outlineLevel="0" collapsed="false">
      <c r="B1164" s="38" t="n">
        <v>1160</v>
      </c>
      <c r="C1164" s="37" t="s">
        <v>9141</v>
      </c>
      <c r="D1164" s="37" t="s">
        <v>9142</v>
      </c>
      <c r="E1164" s="38" t="n">
        <v>180</v>
      </c>
      <c r="F1164" s="38"/>
    </row>
    <row r="1165" customFormat="false" ht="15" hidden="false" customHeight="false" outlineLevel="0" collapsed="false">
      <c r="B1165" s="38" t="n">
        <v>1161</v>
      </c>
      <c r="C1165" s="37" t="s">
        <v>9143</v>
      </c>
      <c r="D1165" s="37" t="s">
        <v>9015</v>
      </c>
      <c r="E1165" s="38" t="n">
        <v>164</v>
      </c>
      <c r="F1165" s="38"/>
    </row>
    <row r="1166" customFormat="false" ht="15" hidden="false" customHeight="false" outlineLevel="0" collapsed="false">
      <c r="B1166" s="38" t="n">
        <v>1162</v>
      </c>
      <c r="C1166" s="37" t="s">
        <v>9144</v>
      </c>
      <c r="D1166" s="37" t="s">
        <v>9100</v>
      </c>
      <c r="E1166" s="38" t="n">
        <v>224</v>
      </c>
      <c r="F1166" s="38"/>
    </row>
    <row r="1167" customFormat="false" ht="15" hidden="false" customHeight="false" outlineLevel="0" collapsed="false">
      <c r="B1167" s="38" t="n">
        <v>1163</v>
      </c>
      <c r="C1167" s="37" t="s">
        <v>9145</v>
      </c>
      <c r="D1167" s="37" t="s">
        <v>9146</v>
      </c>
      <c r="E1167" s="38" t="n">
        <v>165</v>
      </c>
      <c r="F1167" s="38"/>
    </row>
    <row r="1168" customFormat="false" ht="15" hidden="false" customHeight="false" outlineLevel="0" collapsed="false">
      <c r="B1168" s="38" t="n">
        <v>1164</v>
      </c>
      <c r="C1168" s="37" t="s">
        <v>9147</v>
      </c>
      <c r="D1168" s="37" t="s">
        <v>7942</v>
      </c>
      <c r="E1168" s="38" t="n">
        <v>320</v>
      </c>
      <c r="F1168" s="38"/>
    </row>
    <row r="1169" customFormat="false" ht="15" hidden="false" customHeight="false" outlineLevel="0" collapsed="false">
      <c r="B1169" s="38" t="n">
        <v>1165</v>
      </c>
      <c r="C1169" s="37" t="s">
        <v>9148</v>
      </c>
      <c r="D1169" s="37" t="s">
        <v>9149</v>
      </c>
      <c r="E1169" s="38" t="n">
        <v>199</v>
      </c>
      <c r="F1169" s="38"/>
    </row>
    <row r="1170" customFormat="false" ht="15" hidden="false" customHeight="false" outlineLevel="0" collapsed="false">
      <c r="B1170" s="38" t="n">
        <v>1166</v>
      </c>
      <c r="C1170" s="37" t="s">
        <v>9150</v>
      </c>
      <c r="D1170" s="37" t="s">
        <v>7445</v>
      </c>
      <c r="E1170" s="38" t="n">
        <v>218</v>
      </c>
      <c r="F1170" s="38"/>
    </row>
    <row r="1171" customFormat="false" ht="15" hidden="false" customHeight="false" outlineLevel="0" collapsed="false">
      <c r="B1171" s="38" t="n">
        <v>1167</v>
      </c>
      <c r="C1171" s="37" t="s">
        <v>9151</v>
      </c>
      <c r="D1171" s="37" t="s">
        <v>9152</v>
      </c>
      <c r="E1171" s="38" t="n">
        <v>213</v>
      </c>
      <c r="F1171" s="38"/>
    </row>
    <row r="1172" customFormat="false" ht="15" hidden="false" customHeight="false" outlineLevel="0" collapsed="false">
      <c r="B1172" s="38" t="n">
        <v>1168</v>
      </c>
      <c r="C1172" s="37" t="s">
        <v>9153</v>
      </c>
      <c r="D1172" s="37" t="s">
        <v>8501</v>
      </c>
      <c r="E1172" s="38" t="n">
        <v>214</v>
      </c>
      <c r="F1172" s="38"/>
    </row>
    <row r="1173" customFormat="false" ht="15" hidden="false" customHeight="false" outlineLevel="0" collapsed="false">
      <c r="B1173" s="38" t="n">
        <v>1169</v>
      </c>
      <c r="C1173" s="37" t="s">
        <v>9154</v>
      </c>
      <c r="D1173" s="37" t="s">
        <v>9155</v>
      </c>
      <c r="E1173" s="38" t="n">
        <v>166</v>
      </c>
      <c r="F1173" s="38"/>
    </row>
    <row r="1174" customFormat="false" ht="15" hidden="false" customHeight="false" outlineLevel="0" collapsed="false">
      <c r="B1174" s="38" t="n">
        <v>1170</v>
      </c>
      <c r="C1174" s="37" t="s">
        <v>9156</v>
      </c>
      <c r="D1174" s="37" t="s">
        <v>9157</v>
      </c>
      <c r="E1174" s="38" t="n">
        <v>177</v>
      </c>
      <c r="F1174" s="38"/>
    </row>
    <row r="1175" customFormat="false" ht="15" hidden="false" customHeight="false" outlineLevel="0" collapsed="false">
      <c r="B1175" s="38" t="n">
        <v>1171</v>
      </c>
      <c r="C1175" s="37" t="s">
        <v>9158</v>
      </c>
      <c r="D1175" s="37" t="s">
        <v>9159</v>
      </c>
      <c r="E1175" s="38" t="n">
        <v>177</v>
      </c>
      <c r="F1175" s="38"/>
    </row>
    <row r="1176" customFormat="false" ht="15" hidden="false" customHeight="false" outlineLevel="0" collapsed="false">
      <c r="B1176" s="38" t="n">
        <v>1172</v>
      </c>
      <c r="C1176" s="37" t="s">
        <v>9160</v>
      </c>
      <c r="D1176" s="37" t="s">
        <v>9161</v>
      </c>
      <c r="E1176" s="38" t="n">
        <v>190</v>
      </c>
      <c r="F1176" s="38"/>
    </row>
    <row r="1177" customFormat="false" ht="15" hidden="false" customHeight="false" outlineLevel="0" collapsed="false">
      <c r="B1177" s="38" t="n">
        <v>1173</v>
      </c>
      <c r="C1177" s="37" t="s">
        <v>9162</v>
      </c>
      <c r="D1177" s="37" t="s">
        <v>9163</v>
      </c>
      <c r="E1177" s="38" t="n">
        <v>190</v>
      </c>
      <c r="F1177" s="38"/>
    </row>
    <row r="1178" customFormat="false" ht="15" hidden="false" customHeight="false" outlineLevel="0" collapsed="false">
      <c r="B1178" s="38" t="n">
        <v>1174</v>
      </c>
      <c r="C1178" s="37" t="s">
        <v>9164</v>
      </c>
      <c r="D1178" s="37" t="s">
        <v>9165</v>
      </c>
      <c r="E1178" s="38" t="n">
        <v>161</v>
      </c>
      <c r="F1178" s="38"/>
    </row>
    <row r="1179" customFormat="false" ht="15" hidden="false" customHeight="false" outlineLevel="0" collapsed="false">
      <c r="B1179" s="38" t="n">
        <v>1175</v>
      </c>
      <c r="C1179" s="37" t="s">
        <v>9166</v>
      </c>
      <c r="D1179" s="37" t="s">
        <v>8653</v>
      </c>
      <c r="E1179" s="38" t="n">
        <v>210</v>
      </c>
      <c r="F1179" s="38"/>
    </row>
    <row r="1180" customFormat="false" ht="15" hidden="false" customHeight="false" outlineLevel="0" collapsed="false">
      <c r="B1180" s="38" t="n">
        <v>1176</v>
      </c>
      <c r="C1180" s="37" t="s">
        <v>9167</v>
      </c>
      <c r="D1180" s="37" t="s">
        <v>9168</v>
      </c>
      <c r="E1180" s="38" t="n">
        <v>182</v>
      </c>
      <c r="F1180" s="38"/>
    </row>
    <row r="1181" customFormat="false" ht="15" hidden="false" customHeight="false" outlineLevel="0" collapsed="false">
      <c r="B1181" s="38" t="n">
        <v>1177</v>
      </c>
      <c r="C1181" s="37" t="s">
        <v>9169</v>
      </c>
      <c r="D1181" s="37" t="s">
        <v>9170</v>
      </c>
      <c r="E1181" s="38" t="n">
        <v>163</v>
      </c>
      <c r="F1181" s="38"/>
    </row>
    <row r="1182" customFormat="false" ht="15" hidden="false" customHeight="false" outlineLevel="0" collapsed="false">
      <c r="B1182" s="38" t="n">
        <v>1178</v>
      </c>
      <c r="C1182" s="37" t="s">
        <v>9171</v>
      </c>
      <c r="D1182" s="37" t="s">
        <v>8851</v>
      </c>
      <c r="E1182" s="38" t="n">
        <v>320</v>
      </c>
      <c r="F1182" s="38"/>
    </row>
    <row r="1183" customFormat="false" ht="15" hidden="false" customHeight="false" outlineLevel="0" collapsed="false">
      <c r="B1183" s="38" t="n">
        <v>1179</v>
      </c>
      <c r="C1183" s="37" t="s">
        <v>9172</v>
      </c>
      <c r="D1183" s="37" t="s">
        <v>9173</v>
      </c>
      <c r="E1183" s="38" t="n">
        <v>214</v>
      </c>
      <c r="F1183" s="38"/>
    </row>
    <row r="1184" customFormat="false" ht="15" hidden="false" customHeight="false" outlineLevel="0" collapsed="false">
      <c r="B1184" s="38" t="n">
        <v>1180</v>
      </c>
      <c r="C1184" s="37" t="s">
        <v>9174</v>
      </c>
      <c r="D1184" s="37" t="s">
        <v>8316</v>
      </c>
      <c r="E1184" s="38" t="n">
        <v>186</v>
      </c>
      <c r="F1184" s="38"/>
    </row>
    <row r="1185" customFormat="false" ht="15" hidden="false" customHeight="false" outlineLevel="0" collapsed="false">
      <c r="B1185" s="38" t="n">
        <v>1181</v>
      </c>
      <c r="C1185" s="37" t="s">
        <v>9175</v>
      </c>
      <c r="D1185" s="37" t="s">
        <v>9176</v>
      </c>
      <c r="E1185" s="38" t="n">
        <v>172</v>
      </c>
      <c r="F1185" s="38"/>
    </row>
    <row r="1186" customFormat="false" ht="15" hidden="false" customHeight="false" outlineLevel="0" collapsed="false">
      <c r="B1186" s="38" t="n">
        <v>1182</v>
      </c>
      <c r="C1186" s="37" t="s">
        <v>9177</v>
      </c>
      <c r="D1186" s="37" t="s">
        <v>9178</v>
      </c>
      <c r="E1186" s="38" t="n">
        <v>183</v>
      </c>
      <c r="F1186" s="38"/>
    </row>
    <row r="1187" customFormat="false" ht="15" hidden="false" customHeight="false" outlineLevel="0" collapsed="false">
      <c r="B1187" s="38" t="n">
        <v>1183</v>
      </c>
      <c r="C1187" s="37" t="s">
        <v>6894</v>
      </c>
      <c r="D1187" s="37" t="s">
        <v>7878</v>
      </c>
      <c r="E1187" s="38" t="n">
        <v>163</v>
      </c>
      <c r="F1187" s="38"/>
    </row>
    <row r="1188" customFormat="false" ht="15" hidden="false" customHeight="false" outlineLevel="0" collapsed="false">
      <c r="B1188" s="38" t="n">
        <v>1184</v>
      </c>
      <c r="C1188" s="37" t="s">
        <v>9179</v>
      </c>
      <c r="D1188" s="37" t="s">
        <v>7334</v>
      </c>
      <c r="E1188" s="38" t="n">
        <v>178</v>
      </c>
      <c r="F1188" s="38"/>
    </row>
    <row r="1189" customFormat="false" ht="15" hidden="false" customHeight="false" outlineLevel="0" collapsed="false">
      <c r="B1189" s="38" t="n">
        <v>1185</v>
      </c>
      <c r="C1189" s="37" t="s">
        <v>9180</v>
      </c>
      <c r="D1189" s="37" t="s">
        <v>9181</v>
      </c>
      <c r="E1189" s="38" t="n">
        <v>163</v>
      </c>
      <c r="F1189" s="38"/>
    </row>
    <row r="1190" customFormat="false" ht="15" hidden="false" customHeight="false" outlineLevel="0" collapsed="false">
      <c r="B1190" s="38" t="n">
        <v>1186</v>
      </c>
      <c r="C1190" s="37" t="s">
        <v>9182</v>
      </c>
      <c r="D1190" s="37" t="s">
        <v>7334</v>
      </c>
      <c r="E1190" s="38" t="n">
        <v>178</v>
      </c>
      <c r="F1190" s="38"/>
    </row>
    <row r="1191" customFormat="false" ht="15" hidden="false" customHeight="false" outlineLevel="0" collapsed="false">
      <c r="B1191" s="38" t="n">
        <v>1187</v>
      </c>
      <c r="C1191" s="37" t="s">
        <v>9183</v>
      </c>
      <c r="D1191" s="37" t="s">
        <v>8253</v>
      </c>
      <c r="E1191" s="38" t="n">
        <v>167</v>
      </c>
      <c r="F1191" s="38"/>
    </row>
    <row r="1192" customFormat="false" ht="15" hidden="false" customHeight="false" outlineLevel="0" collapsed="false">
      <c r="B1192" s="38" t="n">
        <v>1188</v>
      </c>
      <c r="C1192" s="37" t="s">
        <v>9184</v>
      </c>
      <c r="D1192" s="37" t="s">
        <v>8655</v>
      </c>
      <c r="E1192" s="38" t="n">
        <v>227</v>
      </c>
      <c r="F1192" s="38"/>
    </row>
    <row r="1193" customFormat="false" ht="15" hidden="false" customHeight="false" outlineLevel="0" collapsed="false">
      <c r="B1193" s="38" t="n">
        <v>1189</v>
      </c>
      <c r="C1193" s="37" t="s">
        <v>9185</v>
      </c>
      <c r="D1193" s="37" t="s">
        <v>8478</v>
      </c>
      <c r="E1193" s="38" t="n">
        <v>182</v>
      </c>
      <c r="F1193" s="38"/>
    </row>
    <row r="1194" customFormat="false" ht="15" hidden="false" customHeight="false" outlineLevel="0" collapsed="false">
      <c r="B1194" s="38" t="n">
        <v>1190</v>
      </c>
      <c r="C1194" s="37" t="s">
        <v>9186</v>
      </c>
      <c r="D1194" s="37" t="s">
        <v>7713</v>
      </c>
      <c r="E1194" s="38" t="n">
        <v>167</v>
      </c>
      <c r="F1194" s="38"/>
    </row>
    <row r="1195" customFormat="false" ht="15" hidden="false" customHeight="false" outlineLevel="0" collapsed="false">
      <c r="B1195" s="38" t="n">
        <v>1191</v>
      </c>
      <c r="C1195" s="37" t="s">
        <v>9187</v>
      </c>
      <c r="D1195" s="37" t="s">
        <v>9188</v>
      </c>
      <c r="E1195" s="38" t="n">
        <v>188</v>
      </c>
      <c r="F1195" s="38"/>
    </row>
    <row r="1196" customFormat="false" ht="15" hidden="false" customHeight="false" outlineLevel="0" collapsed="false">
      <c r="B1196" s="38" t="n">
        <v>1192</v>
      </c>
      <c r="C1196" s="37" t="s">
        <v>9189</v>
      </c>
      <c r="D1196" s="37" t="s">
        <v>8821</v>
      </c>
      <c r="E1196" s="38" t="n">
        <v>174</v>
      </c>
      <c r="F1196" s="38"/>
    </row>
    <row r="1197" customFormat="false" ht="15" hidden="false" customHeight="false" outlineLevel="0" collapsed="false">
      <c r="B1197" s="38" t="n">
        <v>1193</v>
      </c>
      <c r="C1197" s="37" t="s">
        <v>9190</v>
      </c>
      <c r="D1197" s="37" t="s">
        <v>7922</v>
      </c>
      <c r="E1197" s="38" t="n">
        <v>320</v>
      </c>
      <c r="F1197" s="38"/>
    </row>
    <row r="1198" customFormat="false" ht="15" hidden="false" customHeight="false" outlineLevel="0" collapsed="false">
      <c r="B1198" s="38" t="n">
        <v>1194</v>
      </c>
      <c r="C1198" s="37" t="s">
        <v>9191</v>
      </c>
      <c r="D1198" s="37" t="s">
        <v>9192</v>
      </c>
      <c r="E1198" s="38" t="n">
        <v>178</v>
      </c>
      <c r="F1198" s="38"/>
    </row>
    <row r="1199" customFormat="false" ht="15" hidden="false" customHeight="false" outlineLevel="0" collapsed="false">
      <c r="B1199" s="38" t="n">
        <v>1195</v>
      </c>
      <c r="C1199" s="37" t="s">
        <v>9193</v>
      </c>
      <c r="D1199" s="37" t="s">
        <v>9090</v>
      </c>
      <c r="E1199" s="38" t="n">
        <v>192</v>
      </c>
      <c r="F1199" s="38"/>
    </row>
    <row r="1200" customFormat="false" ht="15" hidden="false" customHeight="false" outlineLevel="0" collapsed="false">
      <c r="B1200" s="38" t="n">
        <v>1196</v>
      </c>
      <c r="C1200" s="37" t="s">
        <v>9194</v>
      </c>
      <c r="D1200" s="37" t="s">
        <v>9195</v>
      </c>
      <c r="E1200" s="38" t="n">
        <v>320</v>
      </c>
      <c r="F1200" s="38"/>
    </row>
    <row r="1201" customFormat="false" ht="15" hidden="false" customHeight="false" outlineLevel="0" collapsed="false">
      <c r="B1201" s="38" t="n">
        <v>1197</v>
      </c>
      <c r="C1201" s="37" t="s">
        <v>9196</v>
      </c>
      <c r="D1201" s="37" t="s">
        <v>9197</v>
      </c>
      <c r="E1201" s="38" t="n">
        <v>176</v>
      </c>
      <c r="F1201" s="38"/>
    </row>
    <row r="1202" customFormat="false" ht="15" hidden="false" customHeight="false" outlineLevel="0" collapsed="false">
      <c r="B1202" s="38" t="n">
        <v>1198</v>
      </c>
      <c r="C1202" s="37" t="s">
        <v>9198</v>
      </c>
      <c r="D1202" s="37" t="s">
        <v>9199</v>
      </c>
      <c r="E1202" s="38" t="n">
        <v>170</v>
      </c>
      <c r="F1202" s="38"/>
    </row>
    <row r="1203" customFormat="false" ht="15" hidden="false" customHeight="false" outlineLevel="0" collapsed="false">
      <c r="B1203" s="38" t="n">
        <v>1199</v>
      </c>
      <c r="C1203" s="37" t="s">
        <v>9200</v>
      </c>
      <c r="D1203" s="37" t="s">
        <v>9201</v>
      </c>
      <c r="E1203" s="38" t="n">
        <v>225</v>
      </c>
      <c r="F1203" s="38"/>
    </row>
    <row r="1204" customFormat="false" ht="15" hidden="false" customHeight="false" outlineLevel="0" collapsed="false">
      <c r="B1204" s="38" t="n">
        <v>1200</v>
      </c>
      <c r="C1204" s="37" t="s">
        <v>9202</v>
      </c>
      <c r="D1204" s="37" t="s">
        <v>8440</v>
      </c>
      <c r="E1204" s="38" t="n">
        <v>320</v>
      </c>
      <c r="F1204" s="38"/>
    </row>
    <row r="1205" customFormat="false" ht="15" hidden="false" customHeight="false" outlineLevel="0" collapsed="false">
      <c r="B1205" s="38" t="n">
        <v>1201</v>
      </c>
      <c r="C1205" s="37" t="s">
        <v>9203</v>
      </c>
      <c r="D1205" s="37" t="s">
        <v>9204</v>
      </c>
      <c r="E1205" s="38" t="n">
        <v>166</v>
      </c>
      <c r="F1205" s="38"/>
    </row>
    <row r="1206" customFormat="false" ht="15" hidden="false" customHeight="false" outlineLevel="0" collapsed="false">
      <c r="B1206" s="38" t="n">
        <v>1202</v>
      </c>
      <c r="C1206" s="37" t="s">
        <v>9205</v>
      </c>
      <c r="D1206" s="37" t="s">
        <v>9206</v>
      </c>
      <c r="E1206" s="38" t="n">
        <v>168</v>
      </c>
      <c r="F1206" s="38"/>
    </row>
    <row r="1207" customFormat="false" ht="15" hidden="false" customHeight="false" outlineLevel="0" collapsed="false">
      <c r="B1207" s="38" t="n">
        <v>1203</v>
      </c>
      <c r="C1207" s="37" t="s">
        <v>9207</v>
      </c>
      <c r="D1207" s="37" t="s">
        <v>9208</v>
      </c>
      <c r="E1207" s="38" t="n">
        <v>192</v>
      </c>
      <c r="F1207" s="38"/>
    </row>
    <row r="1208" customFormat="false" ht="15" hidden="false" customHeight="false" outlineLevel="0" collapsed="false">
      <c r="B1208" s="38" t="n">
        <v>1204</v>
      </c>
      <c r="C1208" s="37" t="s">
        <v>9209</v>
      </c>
      <c r="D1208" s="37" t="s">
        <v>8640</v>
      </c>
      <c r="E1208" s="38" t="n">
        <v>181</v>
      </c>
      <c r="F1208" s="38"/>
    </row>
    <row r="1209" customFormat="false" ht="15" hidden="false" customHeight="false" outlineLevel="0" collapsed="false">
      <c r="B1209" s="38" t="n">
        <v>1205</v>
      </c>
      <c r="C1209" s="37" t="s">
        <v>9210</v>
      </c>
      <c r="D1209" s="37" t="s">
        <v>8188</v>
      </c>
      <c r="E1209" s="38" t="n">
        <v>200</v>
      </c>
      <c r="F1209" s="38"/>
    </row>
    <row r="1210" customFormat="false" ht="15" hidden="false" customHeight="false" outlineLevel="0" collapsed="false">
      <c r="B1210" s="38" t="n">
        <v>1206</v>
      </c>
      <c r="C1210" s="37" t="s">
        <v>9211</v>
      </c>
      <c r="D1210" s="37" t="s">
        <v>7942</v>
      </c>
      <c r="E1210" s="38" t="n">
        <v>320</v>
      </c>
      <c r="F1210" s="38"/>
    </row>
    <row r="1211" customFormat="false" ht="15" hidden="false" customHeight="false" outlineLevel="0" collapsed="false">
      <c r="B1211" s="38" t="n">
        <v>1207</v>
      </c>
      <c r="C1211" s="37" t="s">
        <v>9212</v>
      </c>
      <c r="D1211" s="37" t="s">
        <v>8496</v>
      </c>
      <c r="E1211" s="38" t="n">
        <v>246</v>
      </c>
      <c r="F1211" s="38"/>
    </row>
    <row r="1212" customFormat="false" ht="15" hidden="false" customHeight="false" outlineLevel="0" collapsed="false">
      <c r="B1212" s="38" t="n">
        <v>1208</v>
      </c>
      <c r="C1212" s="37" t="s">
        <v>9213</v>
      </c>
      <c r="D1212" s="37" t="s">
        <v>7888</v>
      </c>
      <c r="E1212" s="38" t="n">
        <v>165</v>
      </c>
      <c r="F1212" s="38"/>
    </row>
    <row r="1213" customFormat="false" ht="15" hidden="false" customHeight="false" outlineLevel="0" collapsed="false">
      <c r="B1213" s="38" t="n">
        <v>1209</v>
      </c>
      <c r="C1213" s="37" t="s">
        <v>9214</v>
      </c>
      <c r="D1213" s="37" t="s">
        <v>9215</v>
      </c>
      <c r="E1213" s="38" t="n">
        <v>195</v>
      </c>
      <c r="F1213" s="38"/>
    </row>
    <row r="1214" customFormat="false" ht="15" hidden="false" customHeight="false" outlineLevel="0" collapsed="false">
      <c r="B1214" s="38" t="n">
        <v>1210</v>
      </c>
      <c r="C1214" s="37" t="s">
        <v>9216</v>
      </c>
      <c r="D1214" s="37" t="s">
        <v>9217</v>
      </c>
      <c r="E1214" s="38" t="n">
        <v>171</v>
      </c>
      <c r="F1214" s="38"/>
    </row>
    <row r="1215" customFormat="false" ht="15" hidden="false" customHeight="false" outlineLevel="0" collapsed="false">
      <c r="B1215" s="38" t="n">
        <v>1211</v>
      </c>
      <c r="C1215" s="37" t="s">
        <v>9218</v>
      </c>
      <c r="D1215" s="37" t="s">
        <v>7445</v>
      </c>
      <c r="E1215" s="38" t="n">
        <v>218</v>
      </c>
      <c r="F1215" s="38"/>
    </row>
    <row r="1216" customFormat="false" ht="15" hidden="false" customHeight="false" outlineLevel="0" collapsed="false">
      <c r="B1216" s="38" t="n">
        <v>1212</v>
      </c>
      <c r="C1216" s="37" t="s">
        <v>9219</v>
      </c>
      <c r="D1216" s="37" t="s">
        <v>9220</v>
      </c>
      <c r="E1216" s="38" t="n">
        <v>185</v>
      </c>
      <c r="F1216" s="38"/>
    </row>
    <row r="1217" customFormat="false" ht="15" hidden="false" customHeight="false" outlineLevel="0" collapsed="false">
      <c r="B1217" s="38" t="n">
        <v>1213</v>
      </c>
      <c r="C1217" s="37" t="s">
        <v>9221</v>
      </c>
      <c r="D1217" s="37" t="s">
        <v>8669</v>
      </c>
      <c r="E1217" s="38" t="n">
        <v>177</v>
      </c>
      <c r="F1217" s="38"/>
    </row>
    <row r="1218" customFormat="false" ht="15" hidden="false" customHeight="false" outlineLevel="0" collapsed="false">
      <c r="B1218" s="38" t="n">
        <v>1214</v>
      </c>
      <c r="C1218" s="37" t="s">
        <v>9222</v>
      </c>
      <c r="D1218" s="37" t="s">
        <v>9223</v>
      </c>
      <c r="E1218" s="38" t="n">
        <v>185</v>
      </c>
      <c r="F1218" s="38"/>
    </row>
    <row r="1219" customFormat="false" ht="15" hidden="false" customHeight="false" outlineLevel="0" collapsed="false">
      <c r="B1219" s="38" t="n">
        <v>1215</v>
      </c>
      <c r="C1219" s="37" t="s">
        <v>9224</v>
      </c>
      <c r="D1219" s="37" t="s">
        <v>9225</v>
      </c>
      <c r="E1219" s="38" t="n">
        <v>201</v>
      </c>
      <c r="F1219" s="38"/>
    </row>
    <row r="1220" customFormat="false" ht="15" hidden="false" customHeight="false" outlineLevel="0" collapsed="false">
      <c r="B1220" s="38" t="n">
        <v>1216</v>
      </c>
      <c r="C1220" s="37" t="s">
        <v>9226</v>
      </c>
      <c r="D1220" s="37" t="s">
        <v>9227</v>
      </c>
      <c r="E1220" s="38" t="n">
        <v>194</v>
      </c>
      <c r="F1220" s="38"/>
    </row>
  </sheetData>
  <mergeCells count="1">
    <mergeCell ref="B3:F3"/>
  </mergeCells>
  <hyperlinks>
    <hyperlink ref="C5" r:id="rId1" display="https://striking-viking.com/pages/contact-us"/>
    <hyperlink ref="C6" r:id="rId2" display="https://striking-viking.com/pages/become-a-reseller"/>
    <hyperlink ref="C7" r:id="rId3" display="https://striking-viking.com/collections/sprays"/>
    <hyperlink ref="C8" r:id="rId4" display="https://striking-viking.com/collections/after-shave-balm"/>
    <hyperlink ref="C9" r:id="rId5" display="https://striking-viking.com/collections/scissors-ontaki"/>
    <hyperlink ref="C10" r:id="rId6" display="https://striking-viking.com/pages/about-us"/>
    <hyperlink ref="C11" r:id="rId7" display="https://striking-viking.com/collections/combs"/>
    <hyperlink ref="C12" r:id="rId8" display="https://striking-viking.com/products/beard-growth-butter-with-biotin-4-oz-blue-ocean"/>
    <hyperlink ref="C13" r:id="rId9" display="https://striking-viking.com/products/striking-viking-boar-bristle-beard-brush-for-men-natural-beech-wood-grooming-brush"/>
    <hyperlink ref="C14" r:id="rId10" display="https://striking-viking.com/products/striking-viking-beard-filler-pencil-with-dual-tip-pen-brush-for-natural-beard-styling"/>
    <hyperlink ref="C15" r:id="rId11" display="https://striking-viking.com/es/collections/beard-care"/>
    <hyperlink ref="C16" r:id="rId12" display="https://striking-viking.com/de/collections/2026-deals"/>
    <hyperlink ref="C17" r:id="rId13" display="https://striking-viking.com/en-ca/pages/contact-us"/>
    <hyperlink ref="C18" r:id="rId14" display="https://striking-viking.com/es/products/striking-viking-beard-filler-pen-2-pack-waterproof-beard-pen-for-filling-gaps-covering-patches"/>
    <hyperlink ref="C19" r:id="rId15" display="https://striking-viking.com/fr/pages/become-a-reseller"/>
    <hyperlink ref="C20" r:id="rId16" display="https://striking-viking.com/fr/collections/beard-balm"/>
    <hyperlink ref="C21" r:id="rId17" display="https://striking-viking.com/no/collections/shaving"/>
    <hyperlink ref="C22" r:id="rId18" display="https://striking-viking.com/it/collections/tattoo-aftercare"/>
    <hyperlink ref="C23" r:id="rId19" display="https://striking-viking.com/de/collections/scissors-ontaki"/>
    <hyperlink ref="C24" r:id="rId20" display="https://striking-viking.com/es/products/striking-viking-sea-salt-hair-spray-strong-hold-citrus-texture-volume-beach-waves"/>
    <hyperlink ref="C25" r:id="rId21" display="https://striking-viking.com/es/collections/combs-and-brushes"/>
    <hyperlink ref="C26" r:id="rId22" display="https://striking-viking.com/sv/blogs/learn/beard-grooming-quintessential-regime-for-the-modern-man"/>
    <hyperlink ref="C27" r:id="rId23" display="https://striking-viking.com/en-ca/pages/about-us"/>
    <hyperlink ref="C28" r:id="rId24" display="https://striking-viking.com/fi/products/striking-viking-beard-filler-pen-2-pack-waterproof-beard-pen-for-filling-gaps-covering-patches"/>
    <hyperlink ref="C29" r:id="rId25" display="https://striking-viking.com/de/pages/become-a-reseller"/>
    <hyperlink ref="C30" r:id="rId26" display="https://striking-viking.com/fr/collections/combs-and-brushes"/>
    <hyperlink ref="C31" r:id="rId27" display="https://striking-viking.com/en-ca/collections/combs"/>
    <hyperlink ref="C32" r:id="rId28" display="https://striking-viking.com/it/collections/combs"/>
    <hyperlink ref="C33" r:id="rId29" display="https://striking-viking.com/it/collections/best-sellers-grooming-kit"/>
    <hyperlink ref="C34" r:id="rId30" display="https://striking-viking.com/de/pages/about-us"/>
    <hyperlink ref="C35" r:id="rId31" display="https://striking-viking.com/it/pages/contact-us"/>
    <hyperlink ref="C36" r:id="rId32" display="https://striking-viking.com/de"/>
    <hyperlink ref="C37" r:id="rId33" display="https://striking-viking.com/fi/collections/partavesi"/>
    <hyperlink ref="C38" r:id="rId34" display="https://striking-viking.com/es/collections/best-sellers-grooming-kit"/>
    <hyperlink ref="C39" r:id="rId35" display="https://striking-viking.com/it/products/striking-viking-beard-filler-pen-2-pack-waterproof-beard-pen-for-filling-gaps-covering-patches"/>
    <hyperlink ref="C40" r:id="rId36" display="https://striking-viking.com/fi/collections/partavoide"/>
    <hyperlink ref="C41" r:id="rId37" display="https://striking-viking.com/it/pages/about-us"/>
    <hyperlink ref="C42" r:id="rId38" display="https://striking-viking.com/es"/>
    <hyperlink ref="C43" r:id="rId39" display="https://striking-viking.com/fr/collections/2026-deals"/>
    <hyperlink ref="C44" r:id="rId40" display="https://striking-viking.com/de/collections/face-body"/>
    <hyperlink ref="C45" r:id="rId41" display="https://striking-viking.com/fi/collections/kammat"/>
    <hyperlink ref="C46" r:id="rId42" display="https://striking-viking.com/de/products/bartol-vanille-2"/>
    <hyperlink ref="C47" r:id="rId43" display="https://striking-viking.com/it"/>
    <hyperlink ref="C48" r:id="rId44" display="https://striking-viking.com/de/blogs/learn/beard-grooming-quintessential-regime-for-the-modern-man"/>
    <hyperlink ref="C49" r:id="rId45" display="https://striking-viking.com/sv/collections/beard-balm"/>
    <hyperlink ref="C50" r:id="rId46" display="https://striking-viking.com/fi/collections/parta-voide"/>
    <hyperlink ref="C51" r:id="rId47" display="https://striking-viking.com/it/products/striking-viking-beard-kit-caddy-complete-beard-grooming-kit"/>
    <hyperlink ref="C52" r:id="rId48" display="https://striking-viking.com/sv/pages/about-us"/>
    <hyperlink ref="C53" r:id="rId49" display="https://striking-viking.com/no/collections/beard-oil"/>
    <hyperlink ref="C54" r:id="rId50" display="https://striking-viking.com/es/blogs/learn/beard-grooming-quintessential-regime-for-the-modern-man"/>
    <hyperlink ref="C55" r:id="rId51" display="https://striking-viking.com/fi/collections/kasvot-keho"/>
    <hyperlink ref="C56" r:id="rId52" display="https://striking-viking.com/de/blogs/learn/grooming-kit-a-perfect-gift-for-the-modern-man"/>
    <hyperlink ref="C57" r:id="rId53" display="https://striking-viking.com/fi/collections/biotin-beard-growth"/>
    <hyperlink ref="C58" r:id="rId54" display="https://striking-viking.com/fi/collections/harjat"/>
    <hyperlink ref="C59" r:id="rId55" display="https://striking-viking.com/it/collections/beard-balm"/>
    <hyperlink ref="C60" r:id="rId56" display="https://striking-viking.com/fr/products/striking-viking-beard-kit-caddy-complete-beard-grooming-kit"/>
    <hyperlink ref="C61" r:id="rId57" display="https://striking-viking.com/no/pages/contact-us"/>
    <hyperlink ref="C62" r:id="rId58" display="https://striking-viking.com/it/collections/beard-growth-kits"/>
    <hyperlink ref="C63" r:id="rId59" display="https://striking-viking.com/it/collections/brushes"/>
    <hyperlink ref="C64" r:id="rId60" display="https://striking-viking.com/fi"/>
    <hyperlink ref="C65" r:id="rId61" display="https://striking-viking.com/de/collections/beard-wash"/>
    <hyperlink ref="C66" r:id="rId62" display="https://striking-viking.com/en-ca/products/striking-viking-blue-ocean-beard-oil-for-men-natural-beard-growth-oil-with-argan-jojoba"/>
    <hyperlink ref="C67" r:id="rId63" display="https://striking-viking.com/fi/collections/shaving"/>
    <hyperlink ref="C68" r:id="rId64" display="https://striking-viking.com/de/collections/beard-growth-kits"/>
    <hyperlink ref="C69" r:id="rId65" display="https://striking-viking.com/sv/collections/beard-wash"/>
    <hyperlink ref="C70" r:id="rId66" display="https://striking-viking.com/en-ca/pages/become-a-reseller"/>
    <hyperlink ref="C71" r:id="rId67" display="https://striking-viking.com/it/pages/cookie-policy"/>
    <hyperlink ref="C72" r:id="rId68" display="https://striking-viking.com/fr/products/striking-viking-terra-sol-beard-oil-for-men-natural-beard-growth-oil-with-argan-jojoba"/>
    <hyperlink ref="C73" r:id="rId69" display="https://striking-viking.com/es/products/striking-viking-blue-ocean-beard-oil-for-men-natural-beard-growth-oil-with-argan-jojoba"/>
    <hyperlink ref="C74" r:id="rId70" display="https://striking-viking.com/fi/products/striking-viking-mustache-wax-and-comb-kit"/>
    <hyperlink ref="C75" r:id="rId71" display="https://striking-viking.com/no/collections/combs"/>
    <hyperlink ref="C76" r:id="rId72" display="https://striking-viking.com/es/collections/brushes"/>
    <hyperlink ref="C77" r:id="rId73" display="https://striking-viking.com/fr/products/striking-viking-beard-filler-pen-2-pack-waterproof-beard-pen-for-filling-gaps-covering-patches"/>
    <hyperlink ref="C78" r:id="rId74" display="https://striking-viking.com/fi/blogs/learn/beard-grooming-quintessential-regime-for-the-modern-man"/>
    <hyperlink ref="C79" r:id="rId75" display="https://striking-viking.com/fi/collections/sprays"/>
    <hyperlink ref="C80" r:id="rId76" display="https://striking-viking.com/es/pages/data-sharing-opt-out"/>
    <hyperlink ref="C81" r:id="rId77" display="https://striking-viking.com/fi/collections/parta-oljy"/>
    <hyperlink ref="C82" r:id="rId78" display="https://striking-viking.com/es/products/striking-viking-terra-sol-beard-oil-for-men-natural-beard-growth-oil-with-argan-jojoba"/>
    <hyperlink ref="C83" r:id="rId79" display="https://striking-viking.com/no/pages/about-us"/>
    <hyperlink ref="C84" r:id="rId80" display="https://striking-viking.com/fr/collections/combs"/>
    <hyperlink ref="C85" r:id="rId81" display="https://striking-viking.com/es/collections/beard-growth-kits"/>
    <hyperlink ref="C86" r:id="rId82" display="https://striking-viking.com/sv/collections/biotin-beard-growth"/>
    <hyperlink ref="C87" r:id="rId83" display="https://striking-viking.com/fr/pages/contact-us"/>
    <hyperlink ref="C88" r:id="rId84" display="https://striking-viking.com/no/products/striking-viking-beard-filler-pen-2-pack-waterproof-beard-pen-for-filling-gaps-covering-patches"/>
    <hyperlink ref="C89" r:id="rId85" display="https://striking-viking.com/fi/collections/sakset-ontaki"/>
    <hyperlink ref="C90" r:id="rId86" display="https://striking-viking.com/de/collections/shaving"/>
    <hyperlink ref="C91" r:id="rId87" display="https://striking-viking.com/es/collections/face-body"/>
    <hyperlink ref="C92" r:id="rId88" display="https://striking-viking.com/es/collections/2026-deals"/>
    <hyperlink ref="C93" r:id="rId89" display="https://striking-viking.com/sv/collections/beard-oil"/>
    <hyperlink ref="C94" r:id="rId90" display="https://striking-viking.com/es/collections/hair-care"/>
    <hyperlink ref="C95" r:id="rId91" display="https://striking-viking.com/it/collections/beard-butter"/>
    <hyperlink ref="C96" r:id="rId92" display="https://striking-viking.com/en-ca/products/striking-viking-sea-salt-hair-spray-strong-hold-citrus-texture-volume-beach-waves"/>
    <hyperlink ref="C97" r:id="rId93" display="https://striking-viking.com/fr/collections/bundles"/>
    <hyperlink ref="C98" r:id="rId94" display="https://striking-viking.com/en-gb/pages/contact-us"/>
    <hyperlink ref="C99" r:id="rId95" display="https://striking-viking.com/de/products/schnurrbartwachs-und-kamm"/>
    <hyperlink ref="C100" r:id="rId96" display="https://striking-viking.com/products/striking-viking-terra-sol-beard-oil-for-men-natural-beard-growth-oil-with-argan-jojoba"/>
    <hyperlink ref="C101" r:id="rId97" display="https://striking-viking.com/en-ca/collections/after-shave-balm"/>
    <hyperlink ref="C102" r:id="rId98" display="https://striking-viking.com/fr"/>
    <hyperlink ref="C103" r:id="rId99" display="https://striking-viking.com/de/collections/beard-balm"/>
    <hyperlink ref="C104" r:id="rId100" display="https://striking-viking.com/fi/collections/hiusten-hoito"/>
    <hyperlink ref="C105" r:id="rId101" display="https://striking-viking.com/it/products/striking-viking-sea-salt-hair-spray-strong-hold-citrus-texture-volume-beach-waves"/>
    <hyperlink ref="C106" r:id="rId102" display="https://striking-viking.com/de/products/bartfullstift"/>
    <hyperlink ref="C107" r:id="rId103" display="https://striking-viking.com/sv/collections/sprays"/>
    <hyperlink ref="C108" r:id="rId104" display="https://striking-viking.com/sv/collections/hair-care"/>
    <hyperlink ref="C109" r:id="rId105" display="https://striking-viking.com/fr/collections/sprays"/>
    <hyperlink ref="C110" r:id="rId106" display="https://striking-viking.com/fr/collections/beard-filler-pens"/>
    <hyperlink ref="C111" r:id="rId107" display="https://striking-viking.com/sv/collections/scissors-ontaki"/>
    <hyperlink ref="C112" r:id="rId108" display="https://striking-viking.com/de/products/bartbalsam-manner-1"/>
    <hyperlink ref="C113" r:id="rId109" display="https://striking-viking.com/en-gb/pages/about-us"/>
    <hyperlink ref="C114" r:id="rId110" display="https://striking-viking.com/it/pages/become-a-reseller"/>
    <hyperlink ref="C115" r:id="rId111" display="https://striking-viking.com/en-ca/collections/scissors-ontaki"/>
    <hyperlink ref="C116" r:id="rId112" display="https://striking-viking.com/it/collections/bundles"/>
    <hyperlink ref="C117" r:id="rId113" display="https://striking-viking.com/de/collections/after-shave-balm"/>
    <hyperlink ref="C118" r:id="rId114" display="https://striking-viking.com/en-ca/collections/sprays"/>
    <hyperlink ref="C119" r:id="rId115" display="https://striking-viking.com/it/collections/hair-care"/>
    <hyperlink ref="C120" r:id="rId116" display="https://striking-viking.com/fi/collections/pakkaukset"/>
    <hyperlink ref="C121" r:id="rId117" display="https://striking-viking.com/no/collections/after-shave-balm"/>
    <hyperlink ref="C122" r:id="rId118" display="https://striking-viking.com/fr/collections/hair-care"/>
    <hyperlink ref="C123" r:id="rId119" display="https://striking-viking.com/it/pages/data-sharing-opt-out"/>
    <hyperlink ref="C124" r:id="rId120" display="https://striking-viking.com/en-gb/collections/scissors-ontaki"/>
    <hyperlink ref="C125" r:id="rId121" display="https://striking-viking.com/sv/collections/beard-care"/>
    <hyperlink ref="C126" r:id="rId122" display="https://striking-viking.com/es/collections/bundles"/>
    <hyperlink ref="C127" r:id="rId123" display="https://striking-viking.com/fr/collections/beard-butter"/>
    <hyperlink ref="C128" r:id="rId124" display="https://striking-viking.com/de/collections/bundles"/>
    <hyperlink ref="C129" r:id="rId125" display="https://striking-viking.com/de/pages/data-sharing-opt-out"/>
    <hyperlink ref="C130" r:id="rId126" display="https://striking-viking.com/fr/products/striking-viking-sea-salt-hair-spray-strong-hold-citrus-texture-volume-beach-waves"/>
    <hyperlink ref="C131" r:id="rId127" display="https://striking-viking.com/es/blogs/learn"/>
    <hyperlink ref="C132" r:id="rId128" display="https://striking-viking.com/de/products/striking-viking-sea-salt-spray-for-men-blue-ocean-natural-texture-volume-hair-spray"/>
    <hyperlink ref="C133" r:id="rId129" display="https://striking-viking.com/de/collections/beard-butter"/>
    <hyperlink ref="C134" r:id="rId130" display="https://striking-viking.com/fr/collections/beard-care"/>
    <hyperlink ref="C135" r:id="rId131" display="https://striking-viking.com/no/collections/bundles"/>
    <hyperlink ref="C136" r:id="rId132" display="https://striking-viking.com/no/collections/combs-and-brushes"/>
    <hyperlink ref="C137" r:id="rId133" display="https://striking-viking.com/es/collections/tattoo-aftercare"/>
    <hyperlink ref="C138" r:id="rId134" display="https://striking-viking.com/it/collections/powders"/>
    <hyperlink ref="C139" r:id="rId135" display="https://striking-viking.com/de/collections/combs-and-brushes"/>
    <hyperlink ref="C140" r:id="rId136" display="https://striking-viking.com/no/blogs/learn/beard-grooming-quintessential-regime-for-the-modern-man"/>
    <hyperlink ref="C141" r:id="rId137" display="https://striking-viking.com/es/collections/powders"/>
    <hyperlink ref="C142" r:id="rId138" display="https://striking-viking.com/sv"/>
    <hyperlink ref="C143" r:id="rId139" display="https://striking-viking.com/it/products/striking-viking-mustache-wax-and-comb-kit"/>
    <hyperlink ref="C144" r:id="rId140" display="https://striking-viking.com/es/collections/shaving"/>
    <hyperlink ref="C145" r:id="rId141" display="https://striking-viking.com/it/collections/biotin-beard-growth"/>
    <hyperlink ref="C146" r:id="rId142" display="https://striking-viking.com/de/blogs/learn"/>
    <hyperlink ref="C147" r:id="rId143" display="https://striking-viking.com/it/collections/shaving"/>
    <hyperlink ref="C148" r:id="rId144" display="https://striking-viking.com/fr/collections/scissors-ontaki"/>
    <hyperlink ref="C149" r:id="rId145" display="https://striking-viking.com/it/collections/beard-wash"/>
    <hyperlink ref="C150" r:id="rId146" display="https://striking-viking.com/fr/blogs/learn/grooming-kit-a-perfect-gift-for-the-modern-man"/>
    <hyperlink ref="C151" r:id="rId147" display="https://striking-viking.com/es/products/striking-viking-bergamot-thunder-beard-balm-for-men-natural-beard-balm-with-shea-butter"/>
    <hyperlink ref="C152" r:id="rId148" display="https://striking-viking.com/fr/pages/about-us"/>
    <hyperlink ref="C153" r:id="rId149" display="https://striking-viking.com/fr/collections/brushes"/>
    <hyperlink ref="C154" r:id="rId150" display="https://striking-viking.com/fi/collections/partakarvakasvupaketit"/>
    <hyperlink ref="C155" r:id="rId151" display="https://striking-viking.com/fr/pages/data-sharing-opt-out"/>
    <hyperlink ref="C156" r:id="rId152" display="https://striking-viking.com/en-gb/pages/become-a-reseller"/>
    <hyperlink ref="C157" r:id="rId153" display="https://striking-viking.com/es/collections/combs"/>
    <hyperlink ref="C158" r:id="rId154" display="https://striking-viking.com/de/collections/powders"/>
    <hyperlink ref="C159" r:id="rId155" display="https://striking-viking.com/no/collections/beard-balm"/>
    <hyperlink ref="C160" r:id="rId156" display="https://striking-viking.com/es/collections/beard-balm"/>
    <hyperlink ref="C161" r:id="rId157" display="https://striking-viking.com/de/collections/biotin-beard-growth"/>
    <hyperlink ref="C162" r:id="rId158" display="https://striking-viking.com/fr/collections/beard-growth-kits"/>
    <hyperlink ref="C163" r:id="rId159" display="https://striking-viking.com/es/products/striking-viking-beard-grooming-kit-with-toiletry-bag-8-piece-mens-grooming-set"/>
    <hyperlink ref="C164" r:id="rId160" display="https://striking-viking.com/fr/blogs/learn/level-up-your-beard-game-the-striking-viking-beard-filler-pen"/>
    <hyperlink ref="C165" r:id="rId161" display="https://striking-viking.com/fr/products/striking-viking-blue-ocean-beard-oil-for-men-natural-beard-growth-oil-with-argan-jojoba"/>
    <hyperlink ref="C166" r:id="rId162" display="https://striking-viking.com/it/collections/beard-filler-pens"/>
    <hyperlink ref="C167" r:id="rId163" display="https://striking-viking.com/no/collections/scissors-ontaki"/>
    <hyperlink ref="C168" r:id="rId164" display="https://striking-viking.com/es/pages/become-a-reseller"/>
    <hyperlink ref="C169" r:id="rId165" display="https://striking-viking.com/fr/collections/beard-oil"/>
    <hyperlink ref="C170" r:id="rId166" display="https://striking-viking.com/fi/pages/become-a-reseller"/>
    <hyperlink ref="C171" r:id="rId167" display="https://striking-viking.com/sv/pages/become-a-reseller"/>
    <hyperlink ref="C172" r:id="rId168" display="https://striking-viking.com/fi/products/striking-viking-beard-kit-caddy-complete-beard-grooming-kit"/>
    <hyperlink ref="C173" r:id="rId169" display="https://striking-viking.com/fi/collections/after-shave-balm"/>
    <hyperlink ref="C174" r:id="rId170" display="https://striking-viking.com/fr/collections/beard-wash"/>
    <hyperlink ref="C175" r:id="rId171" display="https://striking-viking.com/fr/products/striking-viking-bergamot-thunder-beard-balm-for-men-natural-beard-balm-with-shea-butter"/>
    <hyperlink ref="C176" r:id="rId172" display="https://striking-viking.com/fi/products/striking-viking-bergamot-thunder-beard-balm-for-men-natural-beard-balm-with-shea-butter"/>
    <hyperlink ref="C177" r:id="rId173" display="https://striking-viking.com/fr/collections/after-shave-balm"/>
    <hyperlink ref="C178" r:id="rId174" display="https://striking-viking.com/sv/collections/bundles"/>
    <hyperlink ref="C179" r:id="rId175" display="https://striking-viking.com/no/collections/sprays"/>
    <hyperlink ref="C180" r:id="rId176" display="https://striking-viking.com/de/pages/cookie-policy"/>
    <hyperlink ref="C181" r:id="rId177" display="https://striking-viking.com/es/collections/beard-oil"/>
    <hyperlink ref="C182" r:id="rId178" display="https://striking-viking.com/no/pages/cookie-policy"/>
    <hyperlink ref="C183" r:id="rId179" display="https://striking-viking.com/es/collections/scissors-ontaki"/>
    <hyperlink ref="C184" r:id="rId180" display="https://striking-viking.com/fi/products/striking-viking-beard-grooming-kit-with-toiletry-bag-8-piece-mens-grooming-set"/>
    <hyperlink ref="C185" r:id="rId181" display="https://striking-viking.com/it/collections/beard-oil"/>
    <hyperlink ref="C186" r:id="rId182" display="https://striking-viking.com/de/pages/contact-us"/>
    <hyperlink ref="C187" r:id="rId183" display="https://striking-viking.com/de/products/bartol-vanille-3"/>
    <hyperlink ref="C188" r:id="rId184" display="https://striking-viking.com/fr/collections/powders"/>
    <hyperlink ref="C189" r:id="rId185" display="https://striking-viking.com/es/collections/biotin-beard-growth"/>
    <hyperlink ref="C190" r:id="rId186" display="https://striking-viking.com/it/collections/2026-deals"/>
    <hyperlink ref="C191" r:id="rId187" display="https://striking-viking.com/es/products/striking-viking-beard-kit-caddy-complete-beard-grooming-kit"/>
    <hyperlink ref="C192" r:id="rId188" display="https://striking-viking.com/sv/pages/contact-us"/>
    <hyperlink ref="C193" r:id="rId189" display="https://striking-viking.com/de/collections/combs"/>
    <hyperlink ref="C194" r:id="rId190" display="https://striking-viking.com/es/pages/about-us"/>
    <hyperlink ref="C195" r:id="rId191" display="https://striking-viking.com/fi/collections/jauheet"/>
    <hyperlink ref="C196" r:id="rId192" display="https://striking-viking.com/it/products/striking-viking-terra-sol-beard-oil-for-men-natural-beard-growth-oil-with-argan-jojoba"/>
    <hyperlink ref="C197" r:id="rId193" display="https://striking-viking.com/fr/products/striking-viking-sea-salt-spray-for-men-blue-ocean-natural-texture-volume-hair-spray"/>
    <hyperlink ref="C198" r:id="rId194" display="https://striking-viking.com/it/products/striking-viking-blue-ocean-beard-oil-for-men-natural-beard-growth-oil-with-argan-jojoba"/>
    <hyperlink ref="C199" r:id="rId195" display="https://striking-viking.com/fi/pages/about-us"/>
    <hyperlink ref="C200" r:id="rId196" display="https://striking-viking.com/it/products/striking-viking-beard-grooming-kit-with-toiletry-bag-8-piece-mens-grooming-set"/>
    <hyperlink ref="C201" r:id="rId197" display="https://striking-viking.com/no/collections/beard-growth-kits"/>
    <hyperlink ref="C202" r:id="rId198" display="https://striking-viking.com/en-ca/products/striking-viking-terra-sol-beard-oil-for-men-natural-beard-growth-oil-with-argan-jojoba"/>
    <hyperlink ref="C203" r:id="rId199" display="https://striking-viking.com/de/collections/sprays"/>
    <hyperlink ref="C204" r:id="rId200" display="https://striking-viking.com/es/blogs/learn/grooming-kit-a-perfect-gift-for-the-modern-man"/>
    <hyperlink ref="C205" r:id="rId201" display="https://striking-viking.com/es/products/striking-viking-mustache-wax-and-comb-kit"/>
    <hyperlink ref="C206" r:id="rId202" display="https://striking-viking.com/fr/blogs/learn"/>
    <hyperlink ref="C207" r:id="rId203" display="https://striking-viking.com/fi/blogs/learn"/>
    <hyperlink ref="C208" r:id="rId204" display="https://striking-viking.com/fr/collections/best-sellers-grooming-kit"/>
    <hyperlink ref="C209" r:id="rId205" display="https://striking-viking.com/fr/blogs/learn/beard-grooming-quintessential-regime-for-the-modern-man"/>
    <hyperlink ref="C210" r:id="rId206" display="https://striking-viking.com/it/collections/face-body"/>
    <hyperlink ref="C211" r:id="rId207" display="https://striking-viking.com/sv/pages/data-sharing-opt-out"/>
    <hyperlink ref="C212" r:id="rId208" display="https://striking-viking.com/es/pages/cookie-policy"/>
    <hyperlink ref="C213" r:id="rId209" display="https://striking-viking.com/es/collections/after-shave-balm"/>
    <hyperlink ref="C214" r:id="rId210" display="https://striking-viking.com/fr/collections/biotin-beard-growth"/>
    <hyperlink ref="C215" r:id="rId211" display="https://striking-viking.com/it/collections/after-shave-balm"/>
    <hyperlink ref="C216" r:id="rId212" display="https://striking-viking.com/fi/products/striking-viking-terra-sol-beard-oil-for-men-natural-beard-growth-oil-with-argan-jojoba"/>
    <hyperlink ref="C217" r:id="rId213" display="https://striking-viking.com/sv/collections/beard-growth-kits"/>
    <hyperlink ref="C218" r:id="rId214" display="https://striking-viking.com/products/striking-viking-blue-ocean-beard-oil-for-men-natural-beard-growth-oil-with-argan-jojoba"/>
    <hyperlink ref="C219" r:id="rId215" display="https://striking-viking.com/fr/collections/shaving"/>
    <hyperlink ref="C220" r:id="rId216" display="https://striking-viking.com/fi/collections/kammat-ja-harjat"/>
    <hyperlink ref="C221" r:id="rId217" display="https://striking-viking.com/fi/collections/parta-ja-hiusten-hoito"/>
    <hyperlink ref="C222" r:id="rId218" display="https://striking-viking.com/no/collections/beard-care"/>
    <hyperlink ref="C223" r:id="rId219" display="https://striking-viking.com/fi/products/striking-viking-blue-ocean-beard-oil-for-men-natural-beard-growth-oil-with-argan-jojoba"/>
    <hyperlink ref="C224" r:id="rId220" display="https://striking-viking.com/de/collections/beard-oil"/>
    <hyperlink ref="C225" r:id="rId221" display="https://striking-viking.com/en-gb/collections/after-shave-balm"/>
    <hyperlink ref="C226" r:id="rId222" display="https://striking-viking.com/it/collections/scissors-ontaki"/>
    <hyperlink ref="C227" r:id="rId223" display="https://striking-viking.com/en-gb/collections/combs"/>
    <hyperlink ref="C228" r:id="rId224" display="https://striking-viking.com/fr/collections/face-body"/>
    <hyperlink ref="C229" r:id="rId225" display="https://striking-viking.com/fr/pages/cookie-policy"/>
    <hyperlink ref="C230" r:id="rId226" display="https://striking-viking.com/es/collections/beard-butter"/>
    <hyperlink ref="C231" r:id="rId227" display="https://striking-viking.com/de/collections/beard-care"/>
    <hyperlink ref="C232" r:id="rId228" display="https://striking-viking.com/it/blogs/learn"/>
    <hyperlink ref="C233" r:id="rId229" display="https://striking-viking.com/es/collections/sprays"/>
    <hyperlink ref="C234" r:id="rId230" display="https://striking-viking.com/it/products/striking-viking-bergamot-thunder-beard-balm-for-men-natural-beard-balm-with-shea-butter"/>
    <hyperlink ref="C235" r:id="rId231" display="https://striking-viking.com/sv/collections/after-shave-balm"/>
    <hyperlink ref="C236" r:id="rId232" display="https://striking-viking.com/fr/products/striking-viking-mustache-wax-and-comb-kit"/>
    <hyperlink ref="C237" r:id="rId233" display="https://striking-viking.com/fi/collections/2026-deals"/>
    <hyperlink ref="C238" r:id="rId234" display="https://striking-viking.com/fi/pages/contact-us"/>
    <hyperlink ref="C239" r:id="rId235" display="https://striking-viking.com/it/collections/beard-care"/>
    <hyperlink ref="C240" r:id="rId236" display="https://striking-viking.com/it/collections/combs-and-brushes"/>
    <hyperlink ref="C241" r:id="rId237" display="https://striking-viking.com/products/striking-viking-sea-salt-hair-spray-strong-hold-citrus-texture-volume-beach-waves"/>
    <hyperlink ref="C242" r:id="rId238" display="https://striking-viking.com/es/pages/contact-us"/>
    <hyperlink ref="C243" r:id="rId239" display="https://striking-viking.com/it/collections/sprays"/>
    <hyperlink ref="C244" r:id="rId240" display="https://striking-viking.com/en-gb/collections/sprays"/>
    <hyperlink ref="C245" r:id="rId241" display="https://striking-viking.com/sv/collections/combs"/>
    <hyperlink ref="C246" r:id="rId242" display="https://striking-viking.com/products/striking-viking-beard-growth-mastery-bundle-with-sandalwood-vanilla-biotin-oils-and-derma-roller"/>
    <hyperlink ref="C247" r:id="rId243" display="https://striking-viking.com/en-gb/products/striking-viking-vanilla-beard-growth-oil-with-biotin-castor-oil-for-fuller-beard-growth"/>
    <hyperlink ref="C248" r:id="rId244" display="https://striking-viking.com/products/striking-viking-vanilla-beard-growth-oil-with-biotin-castor-oil-for-fuller-beard-growth"/>
    <hyperlink ref="C249" r:id="rId245" display="https://striking-viking.com/products/striking-viking-vanilla-pre-shave-oil-for-men-smooth-razor-glide-skin-protection"/>
    <hyperlink ref="C250" r:id="rId246" display="https://striking-viking.com/en-gb/products/striking-viking-blue-ocean-beard-balm-for-men-natural-beard-balm-with-shea-butter-jojoba"/>
    <hyperlink ref="C251" r:id="rId247" display="https://striking-viking.com/de/pages/collab"/>
    <hyperlink ref="C252" r:id="rId248" display="https://striking-viking.com/it/products/striking-viking-vanilla-beard-balm"/>
    <hyperlink ref="C253" r:id="rId249" display="https://striking-viking.com/en-ca/products/striking-viking-boar-bristle-beard-brush-for-men-natural-beech-wood-grooming-brush"/>
    <hyperlink ref="C254" r:id="rId250" display="https://striking-viking.com/sv/blogs/learn/the-ultimate-beard-growth-routine-for-a-thicker-healthier-beard-2026-guide"/>
    <hyperlink ref="C255" r:id="rId251" display="https://striking-viking.com/de/products/bartbutter-vanille"/>
    <hyperlink ref="C256" r:id="rId252" display="https://striking-viking.com/fr/products/striking-viking-tea-tree-biotin-beard-shampoo-conditioner-set-for-healthy-beard-care"/>
    <hyperlink ref="C257" r:id="rId253" display="https://striking-viking.com/it/products/striking-viking-boar-bristle-beard-brush-for-men-natural-beech-wood-grooming-brush"/>
    <hyperlink ref="C258" r:id="rId254" display="https://striking-viking.com/en-gb/products/striking-viking-vanilla-pre-shave-oil-for-men-smooth-razor-glide-skin-protection"/>
    <hyperlink ref="C259" r:id="rId255" display="https://striking-viking.com/sv/pages/sign-up"/>
    <hyperlink ref="C260" r:id="rId256" display="https://striking-viking.com/en-ca/products/striking-viking-tea-tree-biotin-beard-shampoo-conditioner-set-for-healthy-beard-care"/>
    <hyperlink ref="C261" r:id="rId257" display="https://striking-viking.com/en-gb/products/striking-viking-beard-filler-pencil-with-dual-tip-pen-brush-for-natural-beard-styling"/>
    <hyperlink ref="C262" r:id="rId258" display="https://striking-viking.com/en-gb/products/striking-viking-sandalwood-beard-growth-bundle-with-titanium-derma-roller-beard-growth-serum"/>
    <hyperlink ref="C263" r:id="rId259" display="https://striking-viking.com/fi/blogs/learn/spring-style-refresh-how-to-update-your-beard-and-hair-for-warmer-weather"/>
    <hyperlink ref="C264" r:id="rId260" display="https://striking-viking.com/products/striking-viking-vanilla-beard-growth-bundle-with-biotin-beard-serum-titanium-derma-roller"/>
    <hyperlink ref="C265" r:id="rId261" display="https://striking-viking.com/en-gb/products/striking-viking-bergamot-thunder-beard-oil-for-men-natural-beard-growth-oil-with-argan-jojoba"/>
    <hyperlink ref="C266" r:id="rId262" display="https://striking-viking.com/en-gb/products/ontaki-german-steel-beard-mustache-scissors-professional-grooming-kit"/>
    <hyperlink ref="C267" r:id="rId263" display="https://striking-viking.com/products/gift-card-striking-viking"/>
    <hyperlink ref="C268" r:id="rId264" display="https://striking-viking.com/it/blogs/learn/spring-style-refresh-how-to-update-your-beard-and-hair-for-warmer-weather"/>
    <hyperlink ref="C269" r:id="rId265" display="https://striking-viking.com/it/products/striking-viking-vanilla-beard-growth-kit-with-biotin-oil-0-25mm-derma-roller"/>
    <hyperlink ref="C270" r:id="rId266" display="https://striking-viking.com/fi/collections/striking-deals"/>
    <hyperlink ref="C271" r:id="rId267" display="https://striking-viking.com/products/striking-viking-bergamot-thunder-beard-oil-for-men-natural-beard-growth-oil-with-argan-jojoba"/>
    <hyperlink ref="C272" r:id="rId268" display="https://striking-viking.com/en-gb/products/striking-viking-beard-growth-power-kit-with-biotin-beard-oil-shampoo-derma-roller"/>
    <hyperlink ref="C273" r:id="rId269" display="https://striking-viking.com/fi/products/striking-viking-wooden-beard-care-caddy-board-only"/>
    <hyperlink ref="C274" r:id="rId270" display="https://striking-viking.com/es/pages/sign-up"/>
    <hyperlink ref="C275" r:id="rId271" display="https://striking-viking.com/fr/products/striking-viking-wooden-beard-care-caddy-board-only"/>
    <hyperlink ref="C276" r:id="rId272" display="https://striking-viking.com/blogs/learn/16918829-the-ingredients-and-why-they-matter"/>
    <hyperlink ref="C277" r:id="rId273" display="https://striking-viking.com/de/products/bartbutter"/>
    <hyperlink ref="C278" r:id="rId274" display="https://striking-viking.com/products/beard-growth-butter-with-biotin-4-oz-sandalwood"/>
    <hyperlink ref="C279" r:id="rId275" display="https://striking-viking.com/it/blogs/learn/all-you-need-to-know-about-beard-filler-pens"/>
    <hyperlink ref="C280" r:id="rId276" display="https://striking-viking.com/en-ca/products/striking-viking-beard-shampoo-with-natural-peppermint-eucalyptus-for-refreshing-beard-care"/>
    <hyperlink ref="C281" r:id="rId277" display="https://striking-viking.com/en-ca/products/striking-viking-sandalwood-beard-shampoo-conditioner-set-hydrating-beard-care-for-men"/>
    <hyperlink ref="C282" r:id="rId278" display="https://striking-viking.com/en-gb/products/striking-viking-beard-rehab-growth-kit-with-sandalwood-beard-care-derma-roller"/>
    <hyperlink ref="C283" r:id="rId279" display="https://striking-viking.com/sv/blogs/learn/how-to-keep-your-tattoos-looking-bold-for-years-the-role-of-tattoo-balms"/>
    <hyperlink ref="C284" r:id="rId280" display="https://striking-viking.com/de/collections/striking-deals"/>
    <hyperlink ref="C285" r:id="rId281" display="https://striking-viking.com/en-gb/products/charlemagne-original-hair-pomade-for-men-strong-hold-water-based-styling-pomade-100ml"/>
    <hyperlink ref="C286" r:id="rId282" display="https://striking-viking.com/de/pages/free-moustache-beard-scissors"/>
    <hyperlink ref="C287" r:id="rId283" display="https://striking-viking.com/products/striking-viking-vanilla-beard-balm-2-pack-with-natural-organic-ingredients-for-beard-styling"/>
    <hyperlink ref="C288" r:id="rId284" display="https://striking-viking.com/products/striking-viking-beard-shampoo-with-natural-peppermint-eucalyptus-for-refreshing-beard-care"/>
    <hyperlink ref="C289" r:id="rId285" display="https://striking-viking.com/en-gb/products/striking-viking-sea-salt-hair-spray-strong-hold-citrus-texture-volume-beach-waves"/>
    <hyperlink ref="C290" r:id="rId286" display="https://striking-viking.com/blogs/learn/beard-grooming-tools-for-professional-styling-at-home"/>
    <hyperlink ref="C291" r:id="rId287" display="https://striking-viking.com/en-gb/products/striking-viking-tea-tree-biotin-beard-shampoo-for-clean-healthy-soft-beard-care-for-men"/>
    <hyperlink ref="C292" r:id="rId288" display="https://striking-viking.com/blogs/learn/striking-viking-beard-comb-for-routine-beard-management"/>
    <hyperlink ref="C293" r:id="rId289" display="https://striking-viking.com/products/striking-viking-sandalwood-beard-shampoo-conditioner-set-hydrating-beard-care-for-men"/>
    <hyperlink ref="C294" r:id="rId290" display="https://striking-viking.com/it/products/striking-viking-beard-oil-variety-4-pack-citrus-vanilla-cedarwood-sandalwood"/>
    <hyperlink ref="C295" r:id="rId291" display="https://striking-viking.com/it/products/striking-viking-sandalwood-beard-growth-kit-with-biotin-oil-0-25mm-derma-roller"/>
    <hyperlink ref="C296" r:id="rId292" display="https://striking-viking.com/es/pages/collab"/>
    <hyperlink ref="C297" r:id="rId293" display="https://striking-viking.com/en-gb/products/charlemagne-carbon-wide-tooth-comb-for-men-heat-resistant-carbon-fiber-hair-comb"/>
    <hyperlink ref="C298" r:id="rId294" display="https://striking-viking.com/sv/pages/collab"/>
    <hyperlink ref="C299" r:id="rId295" display="https://striking-viking.com/products/striking-viking-battle-ready-beard-care-kit-with-beard-oils-balms-beard-filler-pen"/>
    <hyperlink ref="C300" r:id="rId296" display="https://striking-viking.com/sv/collections/viking-beard-kits"/>
    <hyperlink ref="C301" r:id="rId297" display="https://striking-viking.com/de/products/bartbutter-vanille-1"/>
    <hyperlink ref="C302" r:id="rId298" display="https://striking-viking.com/blogs/learn/scented-beard-oil-by-striking-viking"/>
    <hyperlink ref="C303" r:id="rId299" display="https://striking-viking.com/fi/pages/collab"/>
    <hyperlink ref="C304" r:id="rId300" display="https://striking-viking.com/en-ca/products/striking-viking-sandalwood-beard-growth-bundle-with-titanium-derma-roller-beard-growth-serum"/>
    <hyperlink ref="C305" r:id="rId301" display="https://striking-viking.com/fi/blogs/learn/the-ultimate-beard-growth-routine-for-a-thicker-healthier-beard-2026-guide"/>
    <hyperlink ref="C306" r:id="rId302" display="https://striking-viking.com/it/products/striking-viking-beard-balm-variety-4-pack-citrus-vanilla-cedarwood-sandalwood"/>
    <hyperlink ref="C307" r:id="rId303" display="https://striking-viking.com/en-gb/blogs/learn/beard-grooming-tools-for-professional-styling-at-home"/>
    <hyperlink ref="C308" r:id="rId304" display="https://striking-viking.com/en-ca/products/beard-growth-balm-with-biotin-2-oz-vanilla"/>
    <hyperlink ref="C309" r:id="rId305" display="https://striking-viking.com/it/blogs/learn/beard-oil-vs-beard-balm-solving-the-modern-problem-for-gentlemen-with-beards"/>
    <hyperlink ref="C310" r:id="rId306" display="https://striking-viking.com/es/blogs/learn/the-ultimate-beard-growth-routine-for-a-thicker-healthier-beard-2026-guide"/>
    <hyperlink ref="C311" r:id="rId307" display="https://striking-viking.com/de/blogs/learn/the-ultimate-beard-growth-routine-for-a-thicker-healthier-beard-2026-guide"/>
    <hyperlink ref="C312" r:id="rId308" display="https://striking-viking.com/sv/collections/featured-products"/>
    <hyperlink ref="C313" r:id="rId309" display="https://striking-viking.com/en-ca/products/beard-growth-balm-with-biotin-2-oz-blue-ocean"/>
    <hyperlink ref="C314" r:id="rId310" display="https://striking-viking.com/en-gb/products/striking-viking-vanilla-beard-growth-bundle-with-biotin-beard-serum-titanium-derma-roller"/>
    <hyperlink ref="C315" r:id="rId311" display="https://striking-viking.com/es/products/striking-viking-wooden-beard-care-caddy-board-only"/>
    <hyperlink ref="C316" r:id="rId312" display="https://striking-viking.com/en-ca/products/striking-viking-beard-growth-mastery-bundle-with-sandalwood-vanilla-biotin-oils-and-derma-roller"/>
    <hyperlink ref="C317" r:id="rId313" display="https://striking-viking.com/en-ca/blogs/learn/beard-grooming-tools-for-professional-styling-at-home"/>
    <hyperlink ref="C318" r:id="rId314" display="https://striking-viking.com/en-gb/products/striking-viking-blue-ocean-beard-oil-for-men-natural-beard-growth-oil-with-argan-jojoba"/>
    <hyperlink ref="C319" r:id="rId315" display="https://striking-viking.com/products/beard-growth-balm-with-biotin-2-oz-blue-ocean"/>
    <hyperlink ref="C320" r:id="rId316" display="https://striking-viking.com/en-gb/products/striking-viking-beard-shampoo-with-natural-peppermint-eucalyptus-for-refreshing-beard-care"/>
    <hyperlink ref="C321" r:id="rId317" display="https://striking-viking.com/en-ca/products/striking-viking-terra-sol-beard-balm-for-men-natural-beard-balm-with-shea-butter-jojoba"/>
    <hyperlink ref="C322" r:id="rId318" display="https://striking-viking.com/fi/pages/sign-up"/>
    <hyperlink ref="C323" r:id="rId319" display="https://striking-viking.com/products/striking-viking-vanilla-beard-oil-with-natural-organic-oils-for-soft-healthy-beard-care"/>
    <hyperlink ref="C324" r:id="rId320" display="https://striking-viking.com/de/collections/subscribe-save"/>
    <hyperlink ref="C325" r:id="rId321" display="https://striking-viking.com/en-gb/products/striking-viking-sandalwood-pre-shave-oil-for-men-smooth-razor-glide-skin-protection"/>
    <hyperlink ref="C326" r:id="rId322" display="https://striking-viking.com/products/striking-viking-biotin-beard-growth-oil-for-men-unscented-beard-growth-serum"/>
    <hyperlink ref="C327" r:id="rId323" display="https://striking-viking.com/products/striking-viking-tea-tree-biotin-beard-shampoo-conditioner-set-for-healthy-beard-care"/>
    <hyperlink ref="C328" r:id="rId324" display="https://striking-viking.com/en-ca/products/striking-viking-vanilla-beard-oil-with-natural-organic-oils-for-soft-healthy-beard-care"/>
    <hyperlink ref="C329" r:id="rId325" display="https://striking-viking.com/en-gb/products/striking-viking-terra-sol-beard-oil-for-men-natural-beard-growth-oil-with-argan-jojoba"/>
    <hyperlink ref="C330" r:id="rId326" display="https://striking-viking.com/no/products/beard-growth-balm-with-biotin-2-oz-blue-ocean"/>
    <hyperlink ref="C331" r:id="rId327" display="https://striking-viking.com/en-gb/products/striking-viking-beard-growth-mastery-bundle-with-sandalwood-vanilla-biotin-oils-and-derma-roller"/>
    <hyperlink ref="C332" r:id="rId328" display="https://striking-viking.com/it/products/striking-viking-folding-wooden-comb-sandalwood-beard-hair-comb"/>
    <hyperlink ref="C333" r:id="rId329" display="https://striking-viking.com/de/pages/sign-up"/>
    <hyperlink ref="C334" r:id="rId330" display="https://striking-viking.com/no/products/beard-growth-balm-with-biotin-2-oz-vanilla"/>
    <hyperlink ref="C335" r:id="rId331" display="https://striking-viking.com/en-gb/products/striking-viking-battle-ready-beard-care-kit-with-beard-oils-balms-beard-filler-pen"/>
    <hyperlink ref="C336" r:id="rId332" display="https://striking-viking.com/it/blogs/learn/heads-shoulders-knees-and-toes-but-why-forget-the-beard"/>
    <hyperlink ref="C337" r:id="rId333" display="https://striking-viking.com/fr/products/striking-viking-peppermint-eucalyptus-beard-shampoo-conditioner-set-for-healthy-beard-care"/>
    <hyperlink ref="C338" r:id="rId334" display="https://striking-viking.com/no/blogs/learn/how-to-keep-your-tattoos-looking-bold-for-years-the-role-of-tattoo-balms"/>
    <hyperlink ref="C339" r:id="rId335" display="https://striking-viking.com/products/beard-growth-balm-with-biotin-2-oz-sandalwood"/>
    <hyperlink ref="C340" r:id="rId336" display="https://striking-viking.com/de/blogs/learn/spring-style-refresh-how-to-update-your-beard-and-hair-for-warmer-weather"/>
    <hyperlink ref="C341" r:id="rId337" display="https://striking-viking.com/it/products/striking-viking-cedarwood-beard-oil"/>
    <hyperlink ref="C342" r:id="rId338" display="https://striking-viking.com/es/blogs/learn/spring-style-refresh-how-to-update-your-beard-and-hair-for-warmer-weather"/>
    <hyperlink ref="C343" r:id="rId339" display="https://striking-viking.com/en-ca/products/striking-viking-tea-tree-biotin-beard-shampoo-for-clean-healthy-soft-beard-care-for-men"/>
    <hyperlink ref="C344" r:id="rId340" display="https://striking-viking.com/no/products/beard-growth-balm-with-biotin-2-oz-sandalwood"/>
    <hyperlink ref="C345" r:id="rId341" display="https://striking-viking.com/it/collections/subscribe-save"/>
    <hyperlink ref="C346" r:id="rId342" display="https://striking-viking.com/sv/products/striking-viking-terra-sol-beard-oil-for-men-natural-beard-growth-oil-with-argan-jojoba"/>
    <hyperlink ref="C347" r:id="rId343" display="https://striking-viking.com/it/blogs/learn/grooming-kit-a-perfect-gift-for-the-modern-man"/>
    <hyperlink ref="C348" r:id="rId344" display="https://striking-viking.com/it/blogs/learn/beard-grooming-quintessential-regime-for-the-modern-man"/>
    <hyperlink ref="C349" r:id="rId345" display="https://striking-viking.com/it/products/striking-viking-wooden-beard-care-caddy-board-only"/>
    <hyperlink ref="C350" r:id="rId346" display="https://striking-viking.com/sv/products/striking-viking-blue-ocean-beard-oil-for-men-natural-beard-growth-oil-with-argan-jojoba"/>
    <hyperlink ref="C351" r:id="rId347" display="https://striking-viking.com/fi/collections/viikinki-partasetit"/>
    <hyperlink ref="C352" r:id="rId348" display="https://striking-viking.com/en-gb/products/striking-viking-biotin-beard-growth-oil-for-men-unscented-beard-growth-serum"/>
    <hyperlink ref="C353" r:id="rId349" display="https://striking-viking.com/it/products/striking-viking-blue-ocean-beard-balm-for-men-natural-beard-balm-with-shea-butter-jojoba"/>
    <hyperlink ref="C354" r:id="rId350" display="https://striking-viking.com/de/products/bartol-vanille-1"/>
    <hyperlink ref="C355" r:id="rId351" display="https://striking-viking.com/en-ca/products/beard-growth-balm-with-biotin-2-oz-sandalwood"/>
    <hyperlink ref="C356" r:id="rId352" display="https://striking-viking.com/de/products/bartbalsam-manner-2"/>
    <hyperlink ref="C357" r:id="rId353" display="https://striking-viking.com/fr/products/beard-growth-balm-with-biotin-2-oz-blue-ocean"/>
    <hyperlink ref="C358" r:id="rId354" display="https://striking-viking.com/it/products/striking-viking-folding-wooden-beard-comb-for-men-anti-static-sandalwood-grooming-comb"/>
    <hyperlink ref="C359" r:id="rId355" display="https://striking-viking.com/en-ca/products/striking-viking-unscented-beard-oil-and-balm-kit-natural-beard-grooming-set-for-men"/>
    <hyperlink ref="C360" r:id="rId356" display="https://striking-viking.com/fi/collections/trending-now"/>
    <hyperlink ref="C361" r:id="rId357" display="https://striking-viking.com/fr/products/striking-viking-biotin-beard-growth-oil-for-men-unscented-beard-growth-serum"/>
    <hyperlink ref="C362" r:id="rId358" display="https://striking-viking.com/it/products/beard-growth-balm-with-biotin-2-oz-sandalwood"/>
    <hyperlink ref="C363" r:id="rId359" display="https://striking-viking.com/it/products/striking-viking-beard-filler-pen-2-pack-dual-tip-waterproof-beard-pen-for-natural-beard-filling"/>
    <hyperlink ref="C364" r:id="rId360" display="https://striking-viking.com/products/striking-viking-sandalwood-beard-growth-bundle-with-titanium-derma-roller-beard-growth-serum"/>
    <hyperlink ref="C365" r:id="rId361" display="https://striking-viking.com/it/products/striking-viking-beard-growth-oil-with-biotin-sandalwood"/>
    <hyperlink ref="C366" r:id="rId362" display="https://striking-viking.com/products/ontaki-facial-hair-grooming-scissors-2-pack-precision-beard-nose-mustache-trimming"/>
    <hyperlink ref="C367" r:id="rId363" display="https://striking-viking.com/fi/blogs/learn/heads-shoulders-knees-and-toes-but-why-forget-the-beard"/>
    <hyperlink ref="C368" r:id="rId364" display="https://striking-viking.com/products/beard-growth-butter-with-biotin-4-oz-vanilla"/>
    <hyperlink ref="C369" r:id="rId365" display="https://striking-viking.com/de/products/beard-growth-balm-with-biotin-2-oz-blue-ocean"/>
    <hyperlink ref="C370" r:id="rId366" display="https://striking-viking.com/fr/products/striking-viking-vanilla-beard-balm"/>
    <hyperlink ref="C371" r:id="rId367" display="https://striking-viking.com/fr/products/striking-viking-blue-ocean-beard-balm-for-men-natural-beard-balm-with-shea-butter-jojoba"/>
    <hyperlink ref="C372" r:id="rId368" display="https://striking-viking.com/products/striking-viking-matte-hair-pomade-for-men-linen-scent-water-based-medium-strong-hold"/>
    <hyperlink ref="C373" r:id="rId369" display="https://striking-viking.com/it/collections/viking-beard-kits"/>
    <hyperlink ref="C374" r:id="rId370" display="https://striking-viking.com/fr/products/striking-viking-beard-shampoo-conditioner-cologne-argan-jojoba-oil"/>
    <hyperlink ref="C375" r:id="rId371" display="https://striking-viking.com/products/striking-viking-terra-sol-beard-balm-for-men-natural-beard-balm-with-shea-butter-jojoba"/>
    <hyperlink ref="C376" r:id="rId372" display="https://striking-viking.com/fr/collections/trending-now"/>
    <hyperlink ref="C377" r:id="rId373" display="https://striking-viking.com/products/striking-viking-unscented-beard-butter-for-moisturizing-softening-daily-beard-care"/>
    <hyperlink ref="C378" r:id="rId374" display="https://striking-viking.com/de/products/bartkamm"/>
    <hyperlink ref="C379" r:id="rId375" display="https://striking-viking.com/es/collections/viking-beard-kits"/>
    <hyperlink ref="C380" r:id="rId376" display="https://striking-viking.com/sv/products/striking-viking-beard-rehab-growth-kit-with-sandalwood-beard-care-derma-roller"/>
    <hyperlink ref="C381" r:id="rId377" display="https://striking-viking.com/de/products/bartol-zedernholz"/>
    <hyperlink ref="C382" r:id="rId378" display="https://striking-viking.com/fi/products/striking-viking-sandalwood-beard-growth-kit-with-biotin-oil-0-25mm-derma-roller"/>
    <hyperlink ref="C383" r:id="rId379" display="https://striking-viking.com/en-gb/products/striking-viking-boar-bristle-beard-brush-for-men-natural-beech-wood-grooming-brush"/>
    <hyperlink ref="C384" r:id="rId380" display="https://striking-viking.com/it/products/striking-viking-sandalwood-beard-shampoo-conditioner-set-hydrating-beard-care-for-men"/>
    <hyperlink ref="C385" r:id="rId381" display="https://striking-viking.com/de/collections/viking-beard-kits"/>
    <hyperlink ref="C386" r:id="rId382" display="https://striking-viking.com/sv/products/gift-card-striking-viking"/>
    <hyperlink ref="C387" r:id="rId383" display="https://striking-viking.com/sv/blogs/learn/heads-shoulders-knees-and-toes-but-why-forget-the-beard"/>
    <hyperlink ref="C388" r:id="rId384" display="https://striking-viking.com/products/beard-butter-blue-ocean"/>
    <hyperlink ref="C389" r:id="rId385" display="https://striking-viking.com/fr/products/striking-viking-cedarwood-beard-oil"/>
    <hyperlink ref="C390" r:id="rId386" display="https://striking-viking.com/de/products/bartshampoo-und-spulung"/>
    <hyperlink ref="C391" r:id="rId387" display="https://striking-viking.com/products/striking-viking-blue-ocean-beard-balm-for-men-natural-beard-balm-with-shea-butter-jojoba"/>
    <hyperlink ref="C392" r:id="rId388" display="https://striking-viking.com/fr/products/beard-growth-balm-with-biotin-2-oz-sandalwood"/>
    <hyperlink ref="C393" r:id="rId389" display="https://striking-viking.com/fr/blogs/learn/how-to-keep-your-tattoos-looking-bold-for-years-the-role-of-tattoo-balms"/>
    <hyperlink ref="C394" r:id="rId390" display="https://striking-viking.com/fr/products/striking-viking-beard-filler-pen-2-pack-dual-tip-waterproof-beard-pen-for-natural-beard-filling"/>
    <hyperlink ref="C395" r:id="rId391" display="https://striking-viking.com/fr/products/striking-viking-boar-bristle-beard-brush-for-men-natural-beech-wood-grooming-brush"/>
    <hyperlink ref="C396" r:id="rId392" display="https://striking-viking.com/de/collections/trending-now"/>
    <hyperlink ref="C397" r:id="rId393" display="https://striking-viking.com/es/blogs/learn/why-your-beard-needs-more-than-just-a-comb"/>
    <hyperlink ref="C398" r:id="rId394" display="https://striking-viking.com/en-ca/products/striking-viking-unscented-beard-butter-for-moisturizing-softening-daily-beard-care"/>
    <hyperlink ref="C399" r:id="rId395" display="https://striking-viking.com/en-gb/products/striking-viking-folding-wooden-beard-comb-for-men-anti-static-sandalwood-grooming-comb"/>
    <hyperlink ref="C400" r:id="rId396" display="https://striking-viking.com/en-ca/products/striking-viking-biotin-beard-growth-oil-for-men-unscented-beard-growth-serum"/>
    <hyperlink ref="C401" r:id="rId397" display="https://striking-viking.com/products/2x-mustache-wax-comb-set-sandalwood"/>
    <hyperlink ref="C402" r:id="rId398" display="https://striking-viking.com/es/collections/new-in-oils-balms"/>
    <hyperlink ref="C403" r:id="rId399" display="https://striking-viking.com/products/ontaki-hair-thinning-shears-kit-7-inch-professional-hair-cutting-texturizing-set"/>
    <hyperlink ref="C404" r:id="rId400" display="https://striking-viking.com/fr/products/striking-viking-vanilla-beard-growth-kit-with-biotin-oil-0-25mm-derma-roller"/>
    <hyperlink ref="C405" r:id="rId401" display="https://striking-viking.com/fr/products/striking-viking-bergamot-thunder-beard-oil-for-men-natural-beard-growth-oil-with-argan-jojoba"/>
    <hyperlink ref="C406" r:id="rId402" display="https://striking-viking.com/de/products/bartbalsam-vielfalt-set"/>
    <hyperlink ref="C407" r:id="rId403" display="https://striking-viking.com/en-ca/products/striking-viking-battle-ready-beard-care-kit-with-beard-oils-balms-beard-filler-pen"/>
    <hyperlink ref="C408" r:id="rId404" display="https://striking-viking.com/de/products/beard-growth-balm-with-biotin-2-oz-sandalwood"/>
    <hyperlink ref="C409" r:id="rId405" display="https://striking-viking.com/en-ca/products/beard-growth-butter-with-biotin-4-oz-sandalwood"/>
    <hyperlink ref="C410" r:id="rId406" display="https://striking-viking.com/fr/products/striking-viking-terra-sol-beard-balm-for-men-natural-beard-balm-with-shea-butter-jojoba"/>
    <hyperlink ref="C411" r:id="rId407" display="https://striking-viking.com/fi/products/striking-viking-sandalwood-beard-growth-bundle-with-titanium-derma-roller-beard-growth-serum"/>
    <hyperlink ref="C412" r:id="rId408" display="https://striking-viking.com/fi/products/striking-viking-tea-tree-biotin-beard-shampoo-conditioner-set-for-healthy-beard-care"/>
    <hyperlink ref="C413" r:id="rId409" display="https://striking-viking.com/en-gb/products/beard-growth-balm-with-biotin-2-oz-blue-ocean"/>
    <hyperlink ref="C414" r:id="rId410" display="https://striking-viking.com/de/products/bartol-vielfalt-set"/>
    <hyperlink ref="C415" r:id="rId411" display="https://striking-viking.com/it/products/striking-viking-sandalwood-wooden-beard-comb-brown"/>
    <hyperlink ref="C416" r:id="rId412" display="https://striking-viking.com/products/ontaki-german-steel-beard-mustache-scissors-professional-grooming-kit"/>
    <hyperlink ref="C417" r:id="rId413" display="https://striking-viking.com/en-ca/products/striking-viking-vanilla-beard-growth-oil-with-biotin-castor-oil-for-fuller-beard-growth"/>
    <hyperlink ref="C418" r:id="rId414" display="https://striking-viking.com/fr/products/striking-viking-beard-filler-pencil-with-dual-tip-pen-brush-for-natural-beard-styling"/>
    <hyperlink ref="C419" r:id="rId415" display="https://striking-viking.com/en-ca/products/beard-growth-butter-with-biotin-4-oz-blue-ocean"/>
    <hyperlink ref="C420" r:id="rId416" display="https://striking-viking.com/en-gb/products/beard-growth-balm-with-biotin-2-oz-sandalwood"/>
    <hyperlink ref="C421" r:id="rId417" display="https://striking-viking.com/fr/products/striking-viking-matte-hair-pomade-for-men-linen-scent-water-based-medium-strong-hold"/>
    <hyperlink ref="C422" r:id="rId418" display="https://striking-viking.com/it/products/striking-viking-terra-sol-beard-balm-for-men-natural-beard-balm-with-shea-butter-jojoba"/>
    <hyperlink ref="C423" r:id="rId419" display="https://striking-viking.com/de/products/bartwuchs-kit"/>
    <hyperlink ref="C424" r:id="rId420" display="https://striking-viking.com/es/blogs/learn/pocket-blade-grooming-striking-viking-s-folding-beard-comb"/>
    <hyperlink ref="C425" r:id="rId421" display="https://striking-viking.com/es/blogs/learn/heads-shoulders-knees-and-toes-but-why-forget-the-beard"/>
    <hyperlink ref="C426" r:id="rId422" display="https://striking-viking.com/de/products/bartwuchs-set"/>
    <hyperlink ref="C427" r:id="rId423" display="https://striking-viking.com/it/products/beard-growth-balm-with-biotin-2-oz-vanilla"/>
    <hyperlink ref="C428" r:id="rId424" display="https://striking-viking.com/fr/products/striking-viking-sandalwood-beard-growth-kit-with-biotin-oil-0-25mm-derma-roller"/>
    <hyperlink ref="C429" r:id="rId425" display="https://striking-viking.com/en-gb/products/striking-viking-terra-sol-beard-balm-for-men-natural-beard-balm-with-shea-butter-jojoba"/>
    <hyperlink ref="C430" r:id="rId426" display="https://striking-viking.com/fr/products/striking-viking-vanilla-beard-growth-oil-with-biotin-castor-oil-for-fuller-beard-growth"/>
    <hyperlink ref="C431" r:id="rId427" display="https://striking-viking.com/fr/products/striking-viking-vanilla-beard-oil-balm-kit-for-soft-healthy-beard-care-for-men"/>
    <hyperlink ref="C432" r:id="rId428" display="https://striking-viking.com/de/collections/new-in-oils-balms"/>
    <hyperlink ref="C433" r:id="rId429" display="https://striking-viking.com/en-gb/products/striking-viking-vanilla-beard-balm-2-pack-with-natural-organic-ingredients-for-beard-styling"/>
    <hyperlink ref="C434" r:id="rId430" display="https://striking-viking.com/products/striking-viking-tea-tree-biotin-beard-shampoo-for-clean-healthy-soft-beard-care-for-men"/>
    <hyperlink ref="C435" r:id="rId431" display="https://striking-viking.com/en-ca/products/striking-viking-matte-hair-pomade-for-men-linen-scent-water-based-medium-strong-hold"/>
    <hyperlink ref="C436" r:id="rId432" display="https://striking-viking.com/products/beard-butter-bergamot-thunder"/>
    <hyperlink ref="C437" r:id="rId433" display="https://striking-viking.com/de/products/striking-viking-matte-hair-pomade-for-men-linen-scent-water-based-medium-strong-hold"/>
    <hyperlink ref="C438" r:id="rId434" display="https://striking-viking.com/de/products/beard-growth-balm-with-biotin-2-oz-vanilla"/>
    <hyperlink ref="C439" r:id="rId435" display="https://striking-viking.com/it/products/striking-viking-beard-filler-pencil-with-dual-tip-pen-brush-for-natural-beard-styling"/>
    <hyperlink ref="C440" r:id="rId436" display="https://striking-viking.com/it/products/striking-viking-biotin-beard-growth-oil-for-men-unscented-beard-growth-serum"/>
    <hyperlink ref="C441" r:id="rId437" display="https://striking-viking.com/de/products/klappbarer-holzkamm"/>
    <hyperlink ref="C442" r:id="rId438" display="https://striking-viking.com/es/blogs/learn/how-to-keep-your-tattoos-looking-bold-for-years-the-role-of-tattoo-balms"/>
    <hyperlink ref="C443" r:id="rId439" display="https://striking-viking.com/en-ca/products/striking-viking-folding-wooden-beard-comb-for-men-anti-static-sandalwood-grooming-comb"/>
    <hyperlink ref="C444" r:id="rId440" display="https://striking-viking.com/products/charlemagne-original-hair-pomade-for-men-strong-hold-water-based-styling-pomade-100ml"/>
    <hyperlink ref="C445" r:id="rId441" display="https://striking-viking.com/it/blogs/learn/how-to-keep-your-tattoos-looking-bold-for-years-the-role-of-tattoo-balms"/>
    <hyperlink ref="C446" r:id="rId442" display="https://striking-viking.com/it/products/striking-viking-vanilla-beard-oil-balm-kit-for-soft-healthy-beard-care-for-men"/>
    <hyperlink ref="C447" r:id="rId443" display="https://striking-viking.com/de/products/bartwasch-und-pflegeset-sandelholz"/>
    <hyperlink ref="C448" r:id="rId444" display="https://striking-viking.com/en-ca/products/striking-viking-blue-ocean-beard-balm-for-men-natural-beard-balm-with-shea-butter-jojoba"/>
    <hyperlink ref="C449" r:id="rId445" display="https://striking-viking.com/fr/products/striking-viking-sandalwood-beard-shampoo-conditioner-set-hydrating-beard-care-for-men"/>
    <hyperlink ref="C450" r:id="rId446" display="https://striking-viking.com/de/products/bartwuchsol-fur-manner-vanille"/>
    <hyperlink ref="C451" r:id="rId447" display="https://striking-viking.com/de/products/striking-viking-boar-bristle-beard-brush-for-men-natural-beech-wood-grooming-brush"/>
    <hyperlink ref="C452" r:id="rId448" display="https://striking-viking.com/en-ca/products/beard-growth-butter-with-biotin-4-oz-vanilla"/>
    <hyperlink ref="C453" r:id="rId449" display="https://striking-viking.com/de/products/striking-viking-biotin-beard-growth-oil-for-men-unscented-beard-growth-serum"/>
    <hyperlink ref="C454" r:id="rId450" display="https://striking-viking.com/products/beard-growth-balm-with-biotin-2-oz-vanilla"/>
    <hyperlink ref="C455" r:id="rId451" display="https://striking-viking.com/en-ca/products/charlemagne-carbon-wide-tooth-comb-for-men-heat-resistant-carbon-fiber-hair-comb"/>
    <hyperlink ref="C456" r:id="rId452" display="https://striking-viking.com/products/striking-viking-beard-rehab-growth-kit-with-sandalwood-beard-care-derma-roller"/>
    <hyperlink ref="C457" r:id="rId453" display="https://striking-viking.com/es/blogs/learn/unlock-your-beard-s-full-potential-beard-growth-kits-oils"/>
    <hyperlink ref="C458" r:id="rId454" display="https://striking-viking.com/fr/products/striking-viking-folding-wooden-beard-comb-for-men-anti-static-sandalwood-grooming-comb"/>
    <hyperlink ref="C459" r:id="rId455" display="https://striking-viking.com/products/striking-viking-folding-wooden-beard-comb-for-men-anti-static-sandalwood-grooming-comb"/>
    <hyperlink ref="C460" r:id="rId456" display="https://striking-viking.com/fi/blogs/learn/pocket-blade-grooming-striking-viking-s-folding-beard-comb"/>
    <hyperlink ref="C461" r:id="rId457" display="https://striking-viking.com/fi/products/striking-viking-hybrid-beard-growth-bundle-with-sandalwood-unscented-beard-oils-and-derma-roller"/>
    <hyperlink ref="C462" r:id="rId458" display="https://striking-viking.com/it/products/striking-viking-bergamot-thunder-beard-oil-for-men-natural-beard-growth-oil-with-argan-jojoba"/>
    <hyperlink ref="C463" r:id="rId459" display="https://striking-viking.com/fr/collections/viking-beard-kits"/>
    <hyperlink ref="C464" r:id="rId460" display="https://striking-viking.com/it/products/beard-growth-balm-with-biotin-2-oz-blue-ocean"/>
    <hyperlink ref="C465" r:id="rId461" display="https://striking-viking.com/en-ca/products/beard-butter-bergamot-thunder"/>
    <hyperlink ref="C466" r:id="rId462" display="https://striking-viking.com/fr/products/striking-viking-beard-oil-variety-4-pack-citrus-vanilla-cedarwood-sandalwood"/>
    <hyperlink ref="C467" r:id="rId463" display="https://striking-viking.com/de/products/striking-viking-beard-filler-pen-2-pack-dual-tip-waterproof-beard-pen-for-natural-beard-filling"/>
    <hyperlink ref="C468" r:id="rId464" display="https://striking-viking.com/en-ca/products/striking-viking-beard-filler-pencil-with-dual-tip-pen-brush-for-natural-beard-styling"/>
    <hyperlink ref="C469" r:id="rId465" display="https://striking-viking.com/en-ca/products/striking-viking-bergamot-thunder-beard-oil-for-men-natural-beard-growth-oil-with-argan-jojoba"/>
    <hyperlink ref="C470" r:id="rId466" display="https://striking-viking.com/de/blogs/learn/how-to-keep-your-tattoos-looking-bold-for-years-the-role-of-tattoo-balms"/>
    <hyperlink ref="C471" r:id="rId467" display="https://striking-viking.com/fi/collections/new-in-oils-balms"/>
    <hyperlink ref="C472" r:id="rId468" display="https://striking-viking.com/it/collections/trending-now"/>
    <hyperlink ref="C473" r:id="rId469" display="https://striking-viking.com/it/products/striking-viking-matte-hair-pomade-for-men-linen-scent-water-based-medium-strong-hold"/>
    <hyperlink ref="C474" r:id="rId470" display="https://striking-viking.com/de/products/bartwasch-und-pflegeset"/>
    <hyperlink ref="C475" r:id="rId471" display="https://striking-viking.com/en-gb/products/beard-growth-balm-with-biotin-2-oz-vanilla"/>
    <hyperlink ref="C476" r:id="rId472" display="https://striking-viking.com/es/blogs/learn/beard-oil-vs-beard-balm-solving-the-modern-problem-for-gentlemen-with-beards"/>
    <hyperlink ref="C477" r:id="rId473" display="https://striking-viking.com/es/collections/trending-now"/>
    <hyperlink ref="C478" r:id="rId474" display="https://striking-viking.com/fr/products/striking-viking-beard-balm-variety-4-pack-citrus-vanilla-cedarwood-sandalwood"/>
    <hyperlink ref="C479" r:id="rId475" display="https://striking-viking.com/it/products/striking-viking-vanilla-beard-growth-oil-with-biotin-castor-oil-for-fuller-beard-growth"/>
    <hyperlink ref="C480" r:id="rId476" display="https://striking-viking.com/de/products/bartol-und-balsam-vanille"/>
    <hyperlink ref="C481" r:id="rId477" display="https://striking-viking.com/de/products/bartbalsam-manner"/>
    <hyperlink ref="C482" r:id="rId478" display="https://striking-viking.com/products/ontaki-curved-fabric-scissors-6-5-inch-german-stainless-steel-embroidery-scissors"/>
    <hyperlink ref="C483" r:id="rId479" display="https://striking-viking.com/en-gb/products/striking-viking-matte-hair-pomade-for-men-linen-scent-water-based-medium-strong-hold"/>
    <hyperlink ref="C484" r:id="rId480" display="https://striking-viking.com/de/products/bartbalsam-manner-3"/>
    <hyperlink ref="C485" r:id="rId481" display="https://striking-viking.com/it/products/sandalwood-wooden-beard-comb-black-striking-viking"/>
    <hyperlink ref="C486" r:id="rId482" display="https://striking-viking.com/products/ontaki-japanese-steel-rounded-tip-beard-mustache-scissors-4-2-inch-grooming-kit"/>
    <hyperlink ref="C487" r:id="rId483" display="https://striking-viking.com/fr/products/beard-growth-balm-with-biotin-2-oz-vanilla"/>
    <hyperlink ref="C488" r:id="rId484" display="https://striking-viking.com/fr-ca/collections/hair-care"/>
    <hyperlink ref="C489" r:id="rId485" display="https://striking-viking.com/fr-ca/collections/sprays"/>
    <hyperlink ref="C490" r:id="rId486" display="https://striking-viking.com/fr-ca/collections/beard-butter"/>
    <hyperlink ref="C491" r:id="rId487" display="https://striking-viking.com/fr-ca/pages/contact-us"/>
    <hyperlink ref="C492" r:id="rId488" display="https://striking-viking.com/fr-ca/products/striking-viking-mustache-wax-and-comb-kit"/>
    <hyperlink ref="C493" r:id="rId489" display="https://striking-viking.com/fr-ca/pages/about-us"/>
    <hyperlink ref="C494" r:id="rId490" display="https://striking-viking.com/fr-ca/pages/cookie-policy"/>
    <hyperlink ref="C495" r:id="rId491" display="https://striking-viking.com/fr-ca/collections/bundles"/>
    <hyperlink ref="C496" r:id="rId492" display="https://striking-viking.com/fr-ca/collections/shaving"/>
    <hyperlink ref="C497" r:id="rId493" display="https://striking-viking.com/fr-ca/collections/biotin-beard-growth"/>
    <hyperlink ref="C498" r:id="rId494" display="https://striking-viking.com/fr-ca/pages/data-sharing-opt-out"/>
    <hyperlink ref="C499" r:id="rId495" display="https://striking-viking.com/fr-ca/collections/combs"/>
    <hyperlink ref="C500" r:id="rId496" display="https://striking-viking.com/fr-ca/collections/best-sellers-grooming-kit"/>
    <hyperlink ref="C501" r:id="rId497" display="https://striking-viking.com/fr-ca/collections/beard-filler-pens"/>
    <hyperlink ref="C502" r:id="rId498" display="https://striking-viking.com/fr-ca/collections/scissors-ontaki"/>
    <hyperlink ref="C503" r:id="rId499" display="https://striking-viking.com/fr-ca/collections/beard-wash"/>
    <hyperlink ref="C504" r:id="rId500" display="https://striking-viking.com/fr-ca/collections/after-shave-balm"/>
    <hyperlink ref="C505" r:id="rId501" display="https://striking-viking.com/fr-ca/collections/face-body"/>
    <hyperlink ref="C506" r:id="rId502" display="https://striking-viking.com/fr-ca/blogs/learn"/>
    <hyperlink ref="C507" r:id="rId503" display="https://striking-viking.com/fr-ca/collections/combs-and-brushes"/>
    <hyperlink ref="C508" r:id="rId504" display="https://striking-viking.com/fr-ca/collections/powders"/>
    <hyperlink ref="C509" r:id="rId505" display="https://striking-viking.com/fr-ca/collections/2026-deals"/>
    <hyperlink ref="C510" r:id="rId506" display="https://striking-viking.com/fr-ca/collections/brushes"/>
    <hyperlink ref="C511" r:id="rId507" display="https://striking-viking.com/fr-ca/collections/beard-growth-kits"/>
    <hyperlink ref="C512" r:id="rId508" display="https://striking-viking.com/fr-ca"/>
    <hyperlink ref="C513" r:id="rId509" display="https://striking-viking.com/fr-ca/pages/become-a-reseller"/>
    <hyperlink ref="C514" r:id="rId510" display="https://striking-viking.com/fr-ca/collections/beard-care"/>
    <hyperlink ref="C515" r:id="rId511" display="https://striking-viking.com/fr-ca/collections/beard-oil"/>
    <hyperlink ref="C516" r:id="rId512" display="https://striking-viking.com/fr-ca/collections/beard-balm"/>
    <hyperlink ref="C517" r:id="rId513" display="https://striking-viking.com/fr-ca/products/striking-viking-wooden-beard-care-caddy-board-only"/>
    <hyperlink ref="C518" r:id="rId514" display="https://striking-viking.com/fr-ca/products/striking-viking-sea-salt-hair-spray-strong-hold-citrus-texture-volume-beach-waves"/>
    <hyperlink ref="C519" r:id="rId515" display="https://striking-viking.com/fr-ca/products/striking-viking-blue-ocean-beard-oil-for-men-natural-beard-growth-oil-with-argan-jojoba"/>
    <hyperlink ref="C520" r:id="rId516" display="https://striking-viking.com/fr-ca/products/striking-viking-terra-sol-beard-oil-for-men-natural-beard-growth-oil-with-argan-jojoba"/>
    <hyperlink ref="C521" r:id="rId517" display="https://striking-viking.com/fr-ca/blogs/learn/level-up-your-beard-game-the-striking-viking-beard-filler-pen"/>
    <hyperlink ref="C522" r:id="rId518" display="https://striking-viking.com/fr-ca/products/striking-viking-bergamot-thunder-beard-balm-for-men-natural-beard-balm-with-shea-butter"/>
    <hyperlink ref="C523" r:id="rId519" display="https://striking-viking.com/fr-ca/products/striking-viking-beard-filler-pen-2-pack-waterproof-beard-pen-for-filling-gaps-covering-patches"/>
    <hyperlink ref="C524" r:id="rId520" display="https://striking-viking.com/fr-ca/products/striking-viking-beard-kit-caddy-complete-beard-grooming-kit"/>
    <hyperlink ref="C525" r:id="rId521" display="https://striking-viking.com/fr-ca/blogs/learn/grooming-kit-a-perfect-gift-for-the-modern-man"/>
    <hyperlink ref="C526" r:id="rId522" display="https://striking-viking.com/fr-ca/blogs/learn/beard-grooming-quintessential-regime-for-the-modern-man"/>
    <hyperlink ref="C527" r:id="rId523" display="https://striking-viking.com/fr-ca/products/striking-viking-sea-salt-spray-for-men-blue-ocean-natural-texture-volume-hair-spray"/>
    <hyperlink ref="C528" r:id="rId524" display="https://striking-viking.com/sv/pages/ilm-form-not-visible"/>
    <hyperlink ref="C529" r:id="rId525" display="https://striking-viking.com/de/products/ontaki-japanese-steel-rounded-tip-beard-mustache-scissors-4-2-inch-grooming-kit"/>
    <hyperlink ref="C530" r:id="rId526" display="https://striking-viking.com/de/pages/ilm2025"/>
    <hyperlink ref="C531" r:id="rId527" display="https://striking-viking.com/fr/blogs/learn/16918829-the-ingredients-and-why-they-matter"/>
    <hyperlink ref="C532" r:id="rId528" display="https://striking-viking.com/fi/products/striking-viking-cedarwood-beard-balm"/>
    <hyperlink ref="C533" r:id="rId529" display="https://striking-viking.com/fr/pages/collab"/>
    <hyperlink ref="C534" r:id="rId530" display="https://striking-viking.com/es/products/striking-viking-matte-hair-pomade-for-men-linen-scent-water-based-medium-strong-hold"/>
    <hyperlink ref="C535" r:id="rId531" display="https://striking-viking.com/fi/products/striking-viking-biotin-beard-growth-oil-for-men-unscented-beard-growth-serum"/>
    <hyperlink ref="C536" r:id="rId532" display="https://striking-viking.com/de/products/vanille-bartbalsam"/>
    <hyperlink ref="C537" r:id="rId533" display="https://striking-viking.com/it/products/striking-viking-beard-growth-kit-with-beard-roller-vanilla-unscented-biotin-oils-for-men"/>
    <hyperlink ref="C538" r:id="rId534" display="https://striking-viking.com/es/products/beard-growth-butter-with-biotin-4-oz-blue-ocean"/>
    <hyperlink ref="C539" r:id="rId535" display="https://striking-viking.com/en-ca/products/2x-mustache-wax-comb-set-sandalwood"/>
    <hyperlink ref="C540" r:id="rId536" display="https://striking-viking.com/fr-ca/pages/ilm-form-not-visible"/>
    <hyperlink ref="C541" r:id="rId537" display="https://striking-viking.com/no/products/striking-viking-sandalwood-beard-balm"/>
    <hyperlink ref="C542" r:id="rId538" display="https://striking-viking.com/no/products/striking-viking-sandalwood-beard-oil"/>
    <hyperlink ref="C543" r:id="rId539" display="https://striking-viking.com/fr-ca/products/striking-viking-sandalwood-shaving-cream-for-men-rich-lather-for-a-smooth-comfortable-shave"/>
    <hyperlink ref="C544" r:id="rId540" display="https://striking-viking.com/de/products/ontaki-curved-fabric-scissors-6-5-inch-german-stainless-steel-embroidery-scissors"/>
    <hyperlink ref="C545" r:id="rId541" display="https://striking-viking.com/fr-ca/products/striking-viking-peppermint-eucalyptus-beard-shampoo-conditioner-set-for-healthy-beard-care"/>
    <hyperlink ref="C546" r:id="rId542" display="https://striking-viking.com/de/blogs/learn/41241281-the-dude"/>
    <hyperlink ref="C547" r:id="rId543" display="https://striking-viking.com/fi/products/striking-viking-beard-shampoo-conditioner-cologne-argan-jojoba-oil"/>
    <hyperlink ref="C548" r:id="rId544" display="https://striking-viking.com/fi/collections/last-chance-bogo-free"/>
    <hyperlink ref="C549" r:id="rId545" display="https://striking-viking.com/fi/products/charlemagne-carbon-hair-comb-for-men-professional-heat-resistant-styling-detangling-comb"/>
    <hyperlink ref="C550" r:id="rId546" display="https://striking-viking.com/en-gb/blogs/learn/41234689-brian-wilson"/>
    <hyperlink ref="C551" r:id="rId547" display="https://striking-viking.com/es/products/ontaki-professional-thinning-texturizing-scissors-set-6-5-inch-japanese-alloy-steel"/>
    <hyperlink ref="C552" r:id="rId548" display="https://striking-viking.com/fi/products/ontaki-curved-fabric-scissors-6-5-inch-german-stainless-steel-embroidery-scissors"/>
    <hyperlink ref="C553" r:id="rId549" display="https://striking-viking.com/es/products/striking-viking-tea-tree-biotin-beard-wash-cologne-for-clean-fresh-healthy-beard-care"/>
    <hyperlink ref="C554" r:id="rId550" display="https://striking-viking.com/de/products/beard-growth-butter-with-biotin-4-oz-vanilla"/>
    <hyperlink ref="C555" r:id="rId551" display="https://striking-viking.com/es/products/ontaki-duckbill-applique-scissors-4-5-inch-carbon-steel-fabric-thread-cutting-scissors"/>
    <hyperlink ref="C556" r:id="rId552" display="https://striking-viking.com/es/pages/beard-filler-pens"/>
    <hyperlink ref="C557" r:id="rId553" display="https://striking-viking.com/fr-ca/products/striking-viking-vanilla-after-shave-balm-for-men-soothing-hydration-skin-care"/>
    <hyperlink ref="C558" r:id="rId554" display="https://striking-viking.com/fr/products/ontaki-japanese-steel-rounded-tip-beard-mustache-scissors-4-2-inch-grooming-kit"/>
    <hyperlink ref="C559" r:id="rId555" display="https://striking-viking.com/es/products/charlemagne-carbon-hair-comb-for-men-professional-heat-resistant-styling-detangling-comb"/>
    <hyperlink ref="C560" r:id="rId556" display="https://striking-viking.com/fr/products/striking-viking-beard-growth-mastery-bundle-with-sandalwood-vanilla-biotin-oils-and-derma-roller"/>
    <hyperlink ref="C561" r:id="rId557" display="https://striking-viking.com/es/products/striking-viking-unscented-after-shave-balm-for-men-soothing-hydration-skin-care"/>
    <hyperlink ref="C562" r:id="rId558" display="https://striking-viking.com/fi/products/beard-growth-balm-with-biotin-2-oz-vanilla"/>
    <hyperlink ref="C563" r:id="rId559" display="https://striking-viking.com/es/products/charlemagne-round-hair-brush-for-men-professional-styling-brush-for-volume-blow-drying"/>
    <hyperlink ref="C564" r:id="rId560" display="https://striking-viking.com/fi/pages/ilm-2025-sign-up"/>
    <hyperlink ref="C565" r:id="rId561" display="https://striking-viking.com/sv/products/charlemagne-original-hair-pomade-for-men-strong-hold-water-based-styling-pomade-100ml"/>
    <hyperlink ref="C566" r:id="rId562" display="https://striking-viking.com/en-ca/products/striking-viking-beard-rehab-growth-kit-with-sandalwood-beard-care-derma-roller"/>
    <hyperlink ref="C567" r:id="rId563" display="https://striking-viking.com/no/products/ontaki-curved-fabric-scissors-6-5-inch-german-stainless-steel-embroidery-scissors"/>
    <hyperlink ref="C568" r:id="rId564" display="https://striking-viking.com/it/products/striking-viking-hybrid-beard-growth-bundle-with-sandalwood-unscented-beard-oils-and-derma-roller"/>
    <hyperlink ref="C569" r:id="rId565" display="https://striking-viking.com/fr-ca/blogs/learn/striking-viking-beard-comb-for-routine-beard-management"/>
    <hyperlink ref="C570" r:id="rId566" display="https://striking-viking.com/it/products/beard-butter-bergamot-thunder"/>
    <hyperlink ref="C571" r:id="rId567" display="https://striking-viking.com/fr-ca/products/striking-viking-vanilla-beard-balm-2-pack-with-natural-organic-ingredients-for-beard-styling"/>
    <hyperlink ref="C572" r:id="rId568" display="https://striking-viking.com/fi/products/charlemagne-round-hair-brush-for-men-professional-styling-brush-for-volume-blow-drying"/>
    <hyperlink ref="C573" r:id="rId569" display="https://striking-viking.com/sv/pages/write-a-review"/>
    <hyperlink ref="C574" r:id="rId570" display="https://striking-viking.com/es/pages/free-moustache-beard-scissors"/>
    <hyperlink ref="C575" r:id="rId571" display="https://striking-viking.com/fr/products/beard-butter-blue-ocean"/>
    <hyperlink ref="C576" r:id="rId572" display="https://striking-viking.com/fi/products/striking-viking-beard-balm-variety-4-pack-citrus-vanilla-cedarwood-sandalwood"/>
    <hyperlink ref="C577" r:id="rId573" display="https://striking-viking.com/de/collections/charlemagne"/>
    <hyperlink ref="C578" r:id="rId574" display="https://striking-viking.com/fr-ca/products/striking-viking-beard-rehab-growth-kit-with-sandalwood-beard-care-derma-roller"/>
    <hyperlink ref="C579" r:id="rId575" display="https://striking-viking.com/fr-ca/products/striking-viking-vanilla-beard-oil-with-natural-organic-oils-for-soft-healthy-beard-care"/>
    <hyperlink ref="C580" r:id="rId576" display="https://striking-viking.com/fi/products/striking-viking-tea-tree-biotin-beard-wash-cologne-for-clean-fresh-healthy-beard-care"/>
    <hyperlink ref="C581" r:id="rId577" display="https://striking-viking.com/blogs/learn/essential-grooming-supplies-for-the-bearded-man"/>
    <hyperlink ref="C582" r:id="rId578" display="https://striking-viking.com/fi/products/charlemagne-original-hair-pomade-for-men-strong-hold-water-based-styling-pomade-100ml"/>
    <hyperlink ref="C583" r:id="rId579" display="https://striking-viking.com/fr-ca/blogs/learn/why-your-beard-needs-more-than-just-a-comb"/>
    <hyperlink ref="C584" r:id="rId580" display="https://striking-viking.com/fi/pages/spurit-subscriptions"/>
    <hyperlink ref="C585" r:id="rId581" display="https://striking-viking.com/sv/products/beard-growth-butter-with-biotin-4-oz-blue-ocean"/>
    <hyperlink ref="C586" r:id="rId582" display="https://striking-viking.com/fi/products/beard-growth-balm-with-biotin-2-oz-sandalwood"/>
    <hyperlink ref="C587" r:id="rId583" display="https://striking-viking.com/it/blogs/learn/top-10-beard-costumes-for-halloween"/>
    <hyperlink ref="C588" r:id="rId584" display="https://striking-viking.com/fr-ca/products/striking-viking-biotin-beard-growth-oil-for-men-unscented-beard-growth-serum"/>
    <hyperlink ref="C589" r:id="rId585" display="https://striking-viking.com/fr-ca/products/striking-viking-blue-ocean-beard-balm-for-men-natural-beard-balm-with-shea-butter-jojoba"/>
    <hyperlink ref="C590" r:id="rId586" display="https://striking-viking.com/fi/blogs/learn/16918829-the-ingredients-and-why-they-matter"/>
    <hyperlink ref="C591" r:id="rId587" display="https://striking-viking.com/es/pages/write-a-review"/>
    <hyperlink ref="C592" r:id="rId588" display="https://striking-viking.com/it/products/beard-growth-butter-with-biotin-4-oz-vanilla"/>
    <hyperlink ref="C593" r:id="rId589" display="https://striking-viking.com/en-ca/blogs/learn/striking-viking-beard-comb-for-routine-beard-management"/>
    <hyperlink ref="C594" r:id="rId590" display="https://striking-viking.com/es/products/round-hair-brush"/>
    <hyperlink ref="C595" r:id="rId591" display="https://striking-viking.com/es/products/striking-viking-beard-growth-kit-with-beard-roller-vanilla-unscented-biotin-oils-for-men"/>
    <hyperlink ref="C596" r:id="rId592" display="https://striking-viking.com/fi/products/ontaki-japanese-steel-beard-hair-scissors-5-5-inch-professional-grooming-shears"/>
    <hyperlink ref="C597" r:id="rId593" display="https://striking-viking.com/es/products/striking-viking-hair-styling-powder-for-men-light-hold-vanilla-natural-volume-texture"/>
    <hyperlink ref="C598" r:id="rId594" display="https://striking-viking.com/no/products/gift-card-striking-viking"/>
    <hyperlink ref="C599" r:id="rId595" display="https://striking-viking.com/de/pages/ilm-form-not-visible"/>
    <hyperlink ref="C600" r:id="rId596" display="https://striking-viking.com/fr-ca/products/ontaki-german-steel-beard-mustache-scissors-professional-grooming-kit"/>
    <hyperlink ref="C601" r:id="rId597" display="https://striking-viking.com/it/products/striking-viking-unscented-beard-butter-for-moisturizing-softening-daily-beard-care"/>
    <hyperlink ref="C602" r:id="rId598" display="https://striking-viking.com/products/charlemagne-carbon-hair-comb-for-men-professional-heat-resistant-styling-detangling-comb"/>
    <hyperlink ref="C603" r:id="rId599" display="https://striking-viking.com/fr-ca/products/striking-viking-unscented-beard-shampoo-conditioner-set-natural-beard-care-for-men"/>
    <hyperlink ref="C604" r:id="rId600" display="https://striking-viking.com/sv/products/charlemagne-carbon-wide-tooth-comb-for-men-heat-resistant-carbon-fiber-hair-comb"/>
    <hyperlink ref="C605" r:id="rId601" display="https://striking-viking.com/fr-ca/pages/collab"/>
    <hyperlink ref="C606" r:id="rId602" display="https://striking-viking.com/it/products/striking-viking-vanilla-beard-butter-for-soft-hydrated-healthy-beard-care-for-men"/>
    <hyperlink ref="C607" r:id="rId603" display="https://striking-viking.com/en-gb/products/ontaki-duckbill-applique-scissors-4-5-inch-carbon-steel-fabric-thread-cutting-scissors"/>
    <hyperlink ref="C608" r:id="rId604" display="https://striking-viking.com/fr-ca/products/carbon-hair-comb"/>
    <hyperlink ref="C609" r:id="rId605" display="https://striking-viking.com/de/products/bartbalsam"/>
    <hyperlink ref="C610" r:id="rId606" display="https://striking-viking.com/en-ca/blogs/learn/41234689-brian-wilson"/>
    <hyperlink ref="C611" r:id="rId607" display="https://striking-viking.com/fr/products/striking-viking-unscented-after-shave-balm-for-men-soothing-hydration-skin-care"/>
    <hyperlink ref="C612" r:id="rId608" display="https://striking-viking.com/es/products/ontaki-beard-mustache-scissors-with-finger-rest-5-inch-german-steel-grooming-kit"/>
    <hyperlink ref="C613" r:id="rId609" display="https://striking-viking.com/de/products/beard-growth-butter-with-biotin-4-oz-blue-ocean"/>
    <hyperlink ref="C614" r:id="rId610" display="https://striking-viking.com/fi/blogs/learn/essential-grooming-supplies-for-the-bearded-man"/>
    <hyperlink ref="C615" r:id="rId611" display="https://striking-viking.com/en-ca/products/charlemagne-round-hair-brush-for-men-professional-styling-brush-for-volume-blow-drying"/>
    <hyperlink ref="C616" r:id="rId612" display="https://striking-viking.com/no/blogs/learn/beard-grooming-tools-for-professional-styling-at-home"/>
    <hyperlink ref="C617" r:id="rId613" display="https://striking-viking.com/fi/products/gift-card-striking-viking"/>
    <hyperlink ref="C618" r:id="rId614" display="https://striking-viking.com/de/products/bartol-sandelholz"/>
    <hyperlink ref="C619" r:id="rId615" display="https://striking-viking.com/es/products/ontaki-japanese-steel-beard-mustache-scissors-5-5-inch-professional-grooming-kit"/>
    <hyperlink ref="C620" r:id="rId616" display="https://striking-viking.com/fr-ca/products/striking-viking-beard-growth-oil-with-biotin-sandalwood"/>
    <hyperlink ref="C621" r:id="rId617" display="https://striking-viking.com/sv/pages/ilm-2025-sign-up"/>
    <hyperlink ref="C622" r:id="rId618" display="https://striking-viking.com/it/products/striking-viking-vanilla-beard-balm-2-pack-with-natural-organic-ingredients-for-beard-styling"/>
    <hyperlink ref="C623" r:id="rId619" display="https://striking-viking.com/fi/pages/free-moustache-beard-scissors"/>
    <hyperlink ref="C624" r:id="rId620" display="https://striking-viking.com/no/products/carbon-hair-comb"/>
    <hyperlink ref="C625" r:id="rId621" display="https://striking-viking.com/it/products/striking-viking-unscented-shaving-cream-for-men-rich-lather-for-a-smooth-comfortable-shave"/>
    <hyperlink ref="C626" r:id="rId622" display="https://striking-viking.com/de/products/bartwasche-pfefferminze"/>
    <hyperlink ref="C627" r:id="rId623" display="https://striking-viking.com/fr/products/striking-viking-unscented-shaving-cream-for-men-rich-lather-for-a-smooth-comfortable-shave"/>
    <hyperlink ref="C628" r:id="rId624" display="https://striking-viking.com/de/products/bartwaschmittel"/>
    <hyperlink ref="C629" r:id="rId625" display="https://striking-viking.com/fi/products/beard-growth-butter-with-biotin-4-oz-sandalwood"/>
    <hyperlink ref="C630" r:id="rId626" display="https://striking-viking.com/es/products/striking-viking-beard-growth-oil-with-biotin-sandalwood"/>
    <hyperlink ref="C631" r:id="rId627" display="https://striking-viking.com/es/products/ontaki-curved-fabric-scissors-6-5-inch-german-stainless-steel-embroidery-scissors"/>
    <hyperlink ref="C632" r:id="rId628" display="https://striking-viking.com/fr-ca/products/ontaki-japanese-steel-beard-hair-scissors-5-5-inch-professional-grooming-shears"/>
    <hyperlink ref="C633" r:id="rId629" display="https://striking-viking.com/fi/blogs/learn/what-is-movember-unveiling-the-significance-behind-the-month-of-facial-fuzz"/>
    <hyperlink ref="C634" r:id="rId630" display="https://striking-viking.com/en-ca/blogs/learn/scented-beard-oil-by-striking-viking"/>
    <hyperlink ref="C635" r:id="rId631" display="https://striking-viking.com/en-ca/products/charlemagne-original-hair-pomade-for-men-strong-hold-water-based-styling-pomade-100ml"/>
    <hyperlink ref="C636" r:id="rId632" display="https://striking-viking.com/it/products/charlemagne-carbon-hair-comb-for-men-professional-heat-resistant-styling-detangling-comb"/>
    <hyperlink ref="C637" r:id="rId633" display="https://striking-viking.com/es/products/striking-viking-folding-wooden-beard-comb-for-men-anti-static-sandalwood-grooming-comb"/>
    <hyperlink ref="C638" r:id="rId634" display="https://striking-viking.com/it/collections/featured-products"/>
    <hyperlink ref="C639" r:id="rId635" display="https://striking-viking.com/no/products/beard-growth-butter-with-biotin-4-oz-sandalwood"/>
    <hyperlink ref="C640" r:id="rId636" display="https://striking-viking.com/no/products/beard-butter-bergamot-thunder"/>
    <hyperlink ref="C641" r:id="rId637" display="https://striking-viking.com/fr/collections/new-in-oils-balms"/>
    <hyperlink ref="C642" r:id="rId638" display="https://striking-viking.com/it/products/striking-viking-citrus-beard-oil"/>
    <hyperlink ref="C643" r:id="rId639" display="https://striking-viking.com/it/products/striking-viking-sandalwood-beard-growth-bundle-with-titanium-derma-roller-beard-growth-serum"/>
    <hyperlink ref="C644" r:id="rId640" display="https://striking-viking.com/fr-ca/collections/new-in-oils-balms"/>
    <hyperlink ref="C645" r:id="rId641" display="https://striking-viking.com/es/products/striking-viking-cedarwood-beard-balm"/>
    <hyperlink ref="C646" r:id="rId642" display="https://striking-viking.com/it/products/striking-viking-cedarwood-beard-balm"/>
    <hyperlink ref="C647" r:id="rId643" display="https://striking-viking.com/fr/products/striking-viking-hybrid-beard-growth-bundle-with-sandalwood-unscented-beard-oils-and-derma-roller"/>
    <hyperlink ref="C648" r:id="rId644" display="https://striking-viking.com/es/products/striking-viking-beard-filler-pencil-with-dual-tip-pen-brush-for-natural-beard-styling"/>
    <hyperlink ref="C649" r:id="rId645" display="https://striking-viking.com/en-ca/products/ontaki-japanese-steel-rounded-tip-beard-mustache-scissors-4-2-inch-grooming-kit"/>
    <hyperlink ref="C650" r:id="rId646" display="https://striking-viking.com/fi/products/striking-viking-citrus-beard-balm"/>
    <hyperlink ref="C651" r:id="rId647" display="https://striking-viking.com/fi/products/striking-viking-unscented-beard-oil-natural-organic-beard-care"/>
    <hyperlink ref="C652" r:id="rId648" display="https://striking-viking.com/it/products/striking-viking-unscented-beard-oil-and-balm-kit-natural-beard-grooming-set-for-men"/>
    <hyperlink ref="C653" r:id="rId649" display="https://striking-viking.com/fi/products/striking-viking-vanilla-beard-butter-for-soft-hydrated-healthy-beard-care-for-men"/>
    <hyperlink ref="C654" r:id="rId650" display="https://striking-viking.com/fr-ca/products/ontaki-hair-thinning-shears-kit-7-inch-professional-hair-cutting-texturizing-set"/>
    <hyperlink ref="C655" r:id="rId651" display="https://striking-viking.com/products/striking-viking-sandalwood-pre-shave-oil-for-men-smooth-razor-glide-skin-protection"/>
    <hyperlink ref="C656" r:id="rId652" display="https://striking-viking.com/sv/products/striking-viking-sandalwood-after-shave-balm-for-men-soothing-hydration-skin-care"/>
    <hyperlink ref="C657" r:id="rId653" display="https://striking-viking.com/fr/products/striking-viking-beard-and-mustache-scissors-kit-for-men"/>
    <hyperlink ref="C658" r:id="rId654" display="https://striking-viking.com/de/products/striking-viking-beard-rehab-growth-kit-with-sandalwood-beard-care-derma-roller"/>
    <hyperlink ref="C659" r:id="rId655" display="https://striking-viking.com/fi/products/striking-viking-beard-oil-variety-4-pack-citrus-vanilla-cedarwood-sandalwood"/>
    <hyperlink ref="C660" r:id="rId656" display="https://striking-viking.com/fi/products/charlemagne-carbon-wide-tooth-comb-for-men-heat-resistant-carbon-fiber-hair-comb"/>
    <hyperlink ref="C661" r:id="rId657" display="https://striking-viking.com/it/products/striking-viking-vanilla-pre-shave-oil-for-men-smooth-razor-glide-skin-protection"/>
    <hyperlink ref="C662" r:id="rId658" display="https://striking-viking.com/es/products/striking-viking-sandalwood-beard-oil-balm-kit-for-soft-healthy-beard-care-for-men"/>
    <hyperlink ref="C663" r:id="rId659" display="https://striking-viking.com/fr/blogs/learn/heads-shoulders-knees-and-toes-but-why-forget-the-beard"/>
    <hyperlink ref="C664" r:id="rId660" display="https://striking-viking.com/de/blogs/learn/essential-grooming-supplies-for-the-bearded-man"/>
    <hyperlink ref="C665" r:id="rId661" display="https://striking-viking.com/no/collections/striking-deals"/>
    <hyperlink ref="C666" r:id="rId662" display="https://striking-viking.com/it/products/charlemagne-round-hair-brush-for-men-professional-styling-brush-for-volume-blow-drying"/>
    <hyperlink ref="C667" r:id="rId663" display="https://striking-viking.com/es/products/sandalwood-wooden-beard-comb-black-striking-viking"/>
    <hyperlink ref="C668" r:id="rId664" display="https://striking-viking.com/products/striking-viking-beard-growth-power-kit-with-biotin-beard-oil-shampoo-derma-roller"/>
    <hyperlink ref="C669" r:id="rId665" display="https://striking-viking.com/sv/products/striking-viking-beard-shampoo-with-natural-peppermint-eucalyptus-for-refreshing-beard-care"/>
    <hyperlink ref="C670" r:id="rId666" display="https://striking-viking.com/it/blogs/learn/46928577-tips-to-protect-your-beard-from-the-cold"/>
    <hyperlink ref="C671" r:id="rId667" display="https://striking-viking.com/fr/blogs/learn/elevate-your-look-pomade"/>
    <hyperlink ref="C672" r:id="rId668" display="https://striking-viking.com/sv/pages/striking-viking-affiliate-program"/>
    <hyperlink ref="C673" r:id="rId669" display="https://striking-viking.com/de/collections/featured-products"/>
    <hyperlink ref="C674" r:id="rId670" display="https://striking-viking.com/fr-ca/products/striking-viking-boar-bristle-beard-brush-for-men-natural-beech-wood-grooming-brush"/>
    <hyperlink ref="C675" r:id="rId671" display="https://striking-viking.com/no/products/2x-mustache-wax-comb-set-sandalwood"/>
    <hyperlink ref="C676" r:id="rId672" display="https://striking-viking.com/fr/pages/free-moustache-beard-scissors"/>
    <hyperlink ref="C677" r:id="rId673" display="https://striking-viking.com/es/products/striking-viking-beard-oil-variety-4-pack-citrus-vanilla-cedarwood-sandalwood"/>
    <hyperlink ref="C678" r:id="rId674" display="https://striking-viking.com/de/pages/ilm-2025-sign-up"/>
    <hyperlink ref="C679" r:id="rId675" display="https://striking-viking.com/fi/products/striking-viking-sandalwood-beard-shampoo-for-clean-healthy-soft-beard-care-for-men"/>
    <hyperlink ref="C680" r:id="rId676" display="https://striking-viking.com/it/blogs/learn/16918829-the-ingredients-and-why-they-matter"/>
    <hyperlink ref="C681" r:id="rId677" display="https://striking-viking.com/it/blogs/learn/beard-grooming-tools-for-professional-styling-at-home"/>
    <hyperlink ref="C682" r:id="rId678" display="https://striking-viking.com/sv/blogs/learn/top-10-beard-costumes-for-halloween"/>
    <hyperlink ref="C683" r:id="rId679" display="https://striking-viking.com/fr-ca/products/striking-viking-tea-tree-biotin-beard-shampoo-conditioner-set-for-healthy-beard-care"/>
    <hyperlink ref="C684" r:id="rId680" display="https://striking-viking.com/de/blogs/learn/grooming-products-to-pamper-your-beard-flyaway"/>
    <hyperlink ref="C685" r:id="rId681" display="https://striking-viking.com/en-gb/products/ontaki-facial-hair-grooming-scissors-2-pack-precision-beard-nose-mustache-trimming"/>
    <hyperlink ref="C686" r:id="rId682" display="https://striking-viking.com/es/products/striking-viking-boar-bristle-beard-brush-for-men-natural-beech-wood-grooming-brush"/>
    <hyperlink ref="C687" r:id="rId683" display="https://striking-viking.com/fr-ca/products/striking-viking-unscented-shaving-cream-for-men-rich-lather-for-a-smooth-comfortable-shave"/>
    <hyperlink ref="C688" r:id="rId684" display="https://striking-viking.com/it/products/charlemagne-original-hair-pomade-for-men-strong-hold-water-based-styling-pomade-100ml"/>
    <hyperlink ref="C689" r:id="rId685" display="https://striking-viking.com/fr-ca/blogs/learn/top-10-beard-costumes-for-halloween"/>
    <hyperlink ref="C690" r:id="rId686" display="https://striking-viking.com/de/products/ontaki-japanese-steel-beard-hair-scissors-5-5-inch-professional-grooming-shears"/>
    <hyperlink ref="C691" r:id="rId687" display="https://striking-viking.com/de/blogs/learn/elevate-your-look-pomade"/>
    <hyperlink ref="C692" r:id="rId688" display="https://striking-viking.com/de/products/carbon-wide-tooth-comb"/>
    <hyperlink ref="C693" r:id="rId689" display="https://striking-viking.com/fr/pages/special-discount"/>
    <hyperlink ref="C694" r:id="rId690" display="https://striking-viking.com/fr-ca/collections/trending-now"/>
    <hyperlink ref="C695" r:id="rId691" display="https://striking-viking.com/fi/products/striking-viking-bergamot-thunder-beard-oil-for-men-natural-beard-growth-oil-with-argan-jojoba"/>
    <hyperlink ref="C696" r:id="rId692" display="https://striking-viking.com/en-ca/blogs/learn/16918829-the-ingredients-and-why-they-matter"/>
    <hyperlink ref="C697" r:id="rId693" display="https://striking-viking.com/de/blogs/learn/striking-viking-beard-comb-for-routine-beard-management"/>
    <hyperlink ref="C698" r:id="rId694" display="https://striking-viking.com/es/blogs/learn/41234689-brian-wilson"/>
    <hyperlink ref="C699" r:id="rId695" display="https://striking-viking.com/fr/products/beard-growth-butter-with-biotin-4-oz-sandalwood"/>
    <hyperlink ref="C700" r:id="rId696" display="https://striking-viking.com/no/blogs/learn/41234689-brian-wilson"/>
    <hyperlink ref="C701" r:id="rId697" display="https://striking-viking.com/fr/products/striking-viking-citrus-beard-balm"/>
    <hyperlink ref="C702" r:id="rId698" display="https://striking-viking.com/fr/collections/last-chance-bogo-free"/>
    <hyperlink ref="C703" r:id="rId699" display="https://striking-viking.com/es/products/striking-viking-cedarwood-beard-oil"/>
    <hyperlink ref="C704" r:id="rId700" display="https://striking-viking.com/it/collections/new-in-oils-balms"/>
    <hyperlink ref="C705" r:id="rId701" display="https://striking-viking.com/fr/products/ontaki-facial-hair-grooming-scissors-2-pack-precision-beard-nose-mustache-trimming"/>
    <hyperlink ref="C706" r:id="rId702" display="https://striking-viking.com/de/products/bartbalsam-zedernholz"/>
    <hyperlink ref="C707" r:id="rId703" display="https://striking-viking.com/fr/blogs/learn/why-your-beard-needs-more-than-just-a-comb"/>
    <hyperlink ref="C708" r:id="rId704" display="https://striking-viking.com/fr-ca/products/striking-viking-hair-styling-powder-for-men-strong-hold-vanilla-volume-texture"/>
    <hyperlink ref="C709" r:id="rId705" display="https://striking-viking.com/fi/products/striking-viking-blue-ocean-beard-balm-for-men-natural-beard-balm-with-shea-butter-jojoba"/>
    <hyperlink ref="C710" r:id="rId706" display="https://striking-viking.com/de/products/round-hair-brush"/>
    <hyperlink ref="C711" r:id="rId707" display="https://striking-viking.com/fr/pages/ilm2025"/>
    <hyperlink ref="C712" r:id="rId708" display="https://striking-viking.com/fr/collections/striking-deals"/>
    <hyperlink ref="C713" r:id="rId709" display="https://striking-viking.com/es/products/beard-growth-balm-with-biotin-2-oz-vanilla"/>
    <hyperlink ref="C714" r:id="rId710" display="https://striking-viking.com/it/products/carbon-hair-comb"/>
    <hyperlink ref="C715" r:id="rId711" display="https://striking-viking.com/fr-ca/blogs/learn/46928577-tips-to-protect-your-beard-from-the-cold"/>
    <hyperlink ref="C716" r:id="rId712" display="https://striking-viking.com/en-gb/blogs/learn/scented-beard-oil-by-striking-viking"/>
    <hyperlink ref="C717" r:id="rId713" display="https://striking-viking.com/sv/products/striking-viking-boar-bristle-beard-brush-for-men-natural-beech-wood-grooming-brush"/>
    <hyperlink ref="C718" r:id="rId714" display="https://striking-viking.com/fi/products/striking-viking-sandalwood-beard-oil"/>
    <hyperlink ref="C719" r:id="rId715" display="https://striking-viking.com/fi/products/striking-viking-vanilla-shaving-cream-for-men-rich-lather-for-a-smooth-comfortable-shave"/>
    <hyperlink ref="C720" r:id="rId716" display="https://striking-viking.com/fr/products/beard-growth-butter-with-biotin-4-oz-blue-ocean"/>
    <hyperlink ref="C721" r:id="rId717" display="https://striking-viking.com/fi/products/beard-growth-butter-with-biotin-4-oz-vanilla"/>
    <hyperlink ref="C722" r:id="rId718" display="https://striking-viking.com/fr-ca/products/striking-viking-vanilla-beard-growth-bundle-with-biotin-beard-serum-titanium-derma-roller"/>
    <hyperlink ref="C723" r:id="rId719" display="https://striking-viking.com/de/products/charlemagne-round-hair-brush-for-men-professional-styling-brush-for-volume-blow-drying"/>
    <hyperlink ref="C724" r:id="rId720" display="https://striking-viking.com/es/products/striking-viking-blue-ocean-beard-balm-for-men-natural-beard-balm-with-shea-butter-jojoba"/>
    <hyperlink ref="C725" r:id="rId721" display="https://striking-viking.com/blogs/learn/41234689-brian-wilson"/>
    <hyperlink ref="C726" r:id="rId722" display="https://striking-viking.com/fr-ca/pages/ilm2025"/>
    <hyperlink ref="C727" r:id="rId723" display="https://striking-viking.com/de/products/2x-mustache-wax-comb-set-sandalwood"/>
    <hyperlink ref="C728" r:id="rId724" display="https://striking-viking.com/es/collections/featured-products"/>
    <hyperlink ref="C729" r:id="rId725" display="https://striking-viking.com/fr/pages/ilm-2025-sign-up"/>
    <hyperlink ref="C730" r:id="rId726" display="https://striking-viking.com/fr-ca/products/striking-viking-vanilla-pre-shave-oil-for-men-smooth-razor-glide-skin-protection"/>
    <hyperlink ref="C731" r:id="rId727" display="https://striking-viking.com/fr/products/beard-growth-butter-with-biotin-4-oz-vanilla"/>
    <hyperlink ref="C732" r:id="rId728" display="https://striking-viking.com/it/products/gift-card-striking-viking"/>
    <hyperlink ref="C733" r:id="rId729" display="https://striking-viking.com/fr-ca/products/ontaki-beard-mustache-scissors-with-finger-rest-5-inch-german-steel-grooming-kit"/>
    <hyperlink ref="C734" r:id="rId730" display="https://striking-viking.com/fr-ca/products/striking-viking-sandalwood-beard-oil"/>
    <hyperlink ref="C735" r:id="rId731" display="https://striking-viking.com/fr-ca/products/striking-viking-vanilla-beard-oil-balm-kit-for-soft-healthy-beard-care-for-men"/>
    <hyperlink ref="C736" r:id="rId732" display="https://striking-viking.com/fr-ca/blogs/learn/41234689-brian-wilson"/>
    <hyperlink ref="C737" r:id="rId733" display="https://striking-viking.com/fr-ca/products/striking-viking-unscented-beard-butter-for-moisturizing-softening-daily-beard-care"/>
    <hyperlink ref="C738" r:id="rId734" display="https://striking-viking.com/de/products/ontaki-professional-thinning-texturizing-scissors-set-6-5-inch-japanese-alloy-steel"/>
    <hyperlink ref="C739" r:id="rId735" display="https://striking-viking.com/fi/products/sandalwood-wooden-beard-comb-black-striking-viking"/>
    <hyperlink ref="C740" r:id="rId736" display="https://striking-viking.com/es/products/carbon-hair-comb"/>
    <hyperlink ref="C741" r:id="rId737" display="https://striking-viking.com/fr/blogs/learn/top-10-beard-costumes-for-halloween"/>
    <hyperlink ref="C742" r:id="rId738" display="https://striking-viking.com/it/blogs/learn/elevate-your-look-pomade"/>
    <hyperlink ref="C743" r:id="rId739" display="https://striking-viking.com/fr/blogs/learn/41241281-the-dude"/>
    <hyperlink ref="C744" r:id="rId740" display="https://striking-viking.com/fr/products/ontaki-japanese-steel-beard-mustache-scissors-5-5-inch-professional-grooming-kit"/>
    <hyperlink ref="C745" r:id="rId741" display="https://striking-viking.com/fr-ca/products/beard-growth-butter-with-biotin-4-oz-vanilla"/>
    <hyperlink ref="C746" r:id="rId742" display="https://striking-viking.com/it/products/ontaki-japanese-steel-beard-hair-scissors-5-5-inch-professional-grooming-shears"/>
    <hyperlink ref="C747" r:id="rId743" display="https://striking-viking.com/it/products/beard-butter-blue-ocean"/>
    <hyperlink ref="C748" r:id="rId744" display="https://striking-viking.com/fr/products/striking-viking-beard-growth-kit-with-beard-roller-vanilla-unscented-biotin-oils-for-men"/>
    <hyperlink ref="C749" r:id="rId745" display="https://striking-viking.com/es/products/charlemagne-original-hair-pomade-for-men-strong-hold-water-based-styling-pomade-100ml"/>
    <hyperlink ref="C750" r:id="rId746" display="https://striking-viking.com/fr-ca/products/beard-growth-balm-with-biotin-2-oz-vanilla"/>
    <hyperlink ref="C751" r:id="rId747" display="https://striking-viking.com/it/products/striking-viking-tea-tree-biotin-beard-shampoo-for-clean-healthy-soft-beard-care-for-men"/>
    <hyperlink ref="C752" r:id="rId748" display="https://striking-viking.com/it/pages/write-a-review"/>
    <hyperlink ref="C753" r:id="rId749" display="https://striking-viking.com/de/products/charlemagne-carbon-hair-comb-for-men-professional-heat-resistant-styling-detangling-comb"/>
    <hyperlink ref="C754" r:id="rId750" display="https://striking-viking.com/fr-ca/pages/beard-filler-pens"/>
    <hyperlink ref="C755" r:id="rId751" display="https://striking-viking.com/fr-ca/collections/striking-deals"/>
    <hyperlink ref="C756" r:id="rId752" display="https://striking-viking.com/fi/products/ontaki-japanese-steel-rounded-tip-beard-mustache-scissors-4-2-inch-grooming-kit"/>
    <hyperlink ref="C757" r:id="rId753" display="https://striking-viking.com/fr/pages/striking-viking-affiliate-program"/>
    <hyperlink ref="C758" r:id="rId754" display="https://striking-viking.com/fr-ca/products/beard-growth-balm-with-biotin-2-oz-blue-ocean"/>
    <hyperlink ref="C759" r:id="rId755" display="https://striking-viking.com/fr/blogs/learn/essential-grooming-supplies-for-the-bearded-man"/>
    <hyperlink ref="C760" r:id="rId756" display="https://striking-viking.com/fr/products/ontaki-beard-mustache-scissors-with-finger-rest-5-inch-german-steel-grooming-kit"/>
    <hyperlink ref="C761" r:id="rId757" display="https://striking-viking.com/it/products/ontaki-german-steel-beard-mustache-scissors-professional-grooming-kit"/>
    <hyperlink ref="C762" r:id="rId758" display="https://striking-viking.com/sv/products/carbon-hair-comb"/>
    <hyperlink ref="C763" r:id="rId759" display="https://striking-viking.com/fi/products/hair-fiber-men"/>
    <hyperlink ref="C764" r:id="rId760" display="https://striking-viking.com/fi/products/striking-viking-sandalwood-after-shave-balm-for-men-soothing-hydration-skin-care"/>
    <hyperlink ref="C765" r:id="rId761" display="https://striking-viking.com/fr/products/striking-viking-battle-ready-beard-care-kit-with-beard-oils-balms-beard-filler-pen"/>
    <hyperlink ref="C766" r:id="rId762" display="https://striking-viking.com/de/blogs/learn/beard-grooming-tools-for-professional-styling-at-home"/>
    <hyperlink ref="C767" r:id="rId763" display="https://striking-viking.com/no/products/striking-viking-bergamot-thunder-beard-oil-for-men-natural-beard-growth-oil-with-argan-jojoba"/>
    <hyperlink ref="C768" r:id="rId764" display="https://striking-viking.com/es/products/beard-butter-blue-ocean"/>
    <hyperlink ref="C769" r:id="rId765" display="https://striking-viking.com/fr-ca/pages/spurit-invoices-cancelled"/>
    <hyperlink ref="C770" r:id="rId766" display="https://striking-viking.com/fi/products/round-hair-brush"/>
    <hyperlink ref="C771" r:id="rId767" display="https://striking-viking.com/fr-ca/products/striking-viking-battle-ready-beard-care-kit-with-beard-oils-balms-beard-filler-pen"/>
    <hyperlink ref="C772" r:id="rId768" display="https://striking-viking.com/en-ca/products/ontaki-german-steel-beard-mustache-scissors-professional-grooming-kit"/>
    <hyperlink ref="C773" r:id="rId769" display="https://striking-viking.com/fr/collections/subscribe-save"/>
    <hyperlink ref="C774" r:id="rId770" display="https://striking-viking.com/fr/products/striking-viking-vanilla-beard-oil-with-natural-organic-oils-for-soft-healthy-beard-care"/>
    <hyperlink ref="C775" r:id="rId771" display="https://striking-viking.com/sv/products/beard-growth-butter-with-biotin-4-oz-sandalwood"/>
    <hyperlink ref="C776" r:id="rId772" display="https://striking-viking.com/fr/products/striking-viking-vanilla-beard-growth-bundle-with-biotin-beard-serum-titanium-derma-roller"/>
    <hyperlink ref="C777" r:id="rId773" display="https://striking-viking.com/fr-ca/products/striking-viking-vanilla-beard-growth-kit-with-biotin-oil-0-25mm-derma-roller"/>
    <hyperlink ref="C778" r:id="rId774" display="https://striking-viking.com/de/pages/special-discount"/>
    <hyperlink ref="C779" r:id="rId775" display="https://striking-viking.com/sv/products/striking-viking-vanilla-beard-butter-for-soft-hydrated-healthy-beard-care-for-men"/>
    <hyperlink ref="C780" r:id="rId776" display="https://striking-viking.com/sv/products/ontaki-facial-hair-grooming-scissors-2-pack-precision-beard-nose-mustache-trimming"/>
    <hyperlink ref="C781" r:id="rId777" display="https://striking-viking.com/sv/pages/beard-filler-pens"/>
    <hyperlink ref="C782" r:id="rId778" display="https://striking-viking.com/it/pages/special-discount"/>
    <hyperlink ref="C783" r:id="rId779" display="https://striking-viking.com/es/products/ontaki-japanese-steel-beard-hair-scissors-5-5-inch-professional-grooming-shears"/>
    <hyperlink ref="C784" r:id="rId780" display="https://striking-viking.com/it/products/striking-viking-vanilla-shaving-cream-for-men-rich-lather-for-a-smooth-comfortable-shave"/>
    <hyperlink ref="C785" r:id="rId781" display="https://striking-viking.com/fr-ca/products/striking-viking-beard-filler-pen-2-pack-dual-tip-waterproof-beard-pen-for-natural-beard-filling"/>
    <hyperlink ref="C786" r:id="rId782" display="https://striking-viking.com/de/products/bartwasche-teebaum"/>
    <hyperlink ref="C787" r:id="rId783" display="https://striking-viking.com/it/products/ontaki-beard-mustache-scissors-with-finger-rest-5-inch-german-steel-grooming-kit"/>
    <hyperlink ref="C788" r:id="rId784" display="https://striking-viking.com/fr-ca/products/ontaki-japanese-steel-rounded-tip-beard-mustache-scissors-4-2-inch-grooming-kit"/>
    <hyperlink ref="C789" r:id="rId785" display="https://striking-viking.com/it/collections/last-chance-bogo-free"/>
    <hyperlink ref="C790" r:id="rId786" display="https://striking-viking.com/de/products/beard-butter-bergamot-thunder"/>
    <hyperlink ref="C791" r:id="rId787" display="https://striking-viking.com/sv/products/beard-growth-butter-with-biotin-4-oz-vanilla"/>
    <hyperlink ref="C792" r:id="rId788" display="https://striking-viking.com/es/products/striking-viking-vanilla-beard-butter-for-soft-hydrated-healthy-beard-care-for-men"/>
    <hyperlink ref="C793" r:id="rId789" display="https://striking-viking.com/es/products/charlemagne-carbon-wide-tooth-comb-for-men-heat-resistant-carbon-fiber-hair-comb"/>
    <hyperlink ref="C794" r:id="rId790" display="https://striking-viking.com/it/products/ontaki-facial-hair-grooming-scissors-2-pack-precision-beard-nose-mustache-trimming"/>
    <hyperlink ref="C795" r:id="rId791" display="https://striking-viking.com/fr/products/striking-viking-sandalwood-beard-oil-balm-kit-for-soft-healthy-beard-care-for-men"/>
    <hyperlink ref="C796" r:id="rId792" display="https://striking-viking.com/en-gb/products/ontaki-curved-fabric-scissors-6-5-inch-german-stainless-steel-embroidery-scissors"/>
    <hyperlink ref="C797" r:id="rId793" display="https://striking-viking.com/en-gb/products/charlemagne-round-hair-brush-for-men-professional-styling-brush-for-volume-blow-drying"/>
    <hyperlink ref="C798" r:id="rId794" display="https://striking-viking.com/fr-ca/products/striking-viking-vanilla-shaving-cream-for-men-rich-lather-for-a-smooth-comfortable-shave"/>
    <hyperlink ref="C799" r:id="rId795" display="https://striking-viking.com/fr-ca/products/striking-viking-sandalwood-pre-shave-oil-for-men-smooth-razor-glide-skin-protection"/>
    <hyperlink ref="C800" r:id="rId796" display="https://striking-viking.com/fr-ca/blogs/learn/the-ultimate-guide-to-tattoo-aftercare-with-striking-viking"/>
    <hyperlink ref="C801" r:id="rId797" display="https://striking-viking.com/de/products/aftershave-balsam-fur-manner-vanille"/>
    <hyperlink ref="C802" r:id="rId798" display="https://striking-viking.com/fi/products/striking-viking-battle-ready-beard-care-kit-with-beard-oils-balms-beard-filler-pen"/>
    <hyperlink ref="C803" r:id="rId799" display="https://striking-viking.com/de/blogs/learn/41234689-brian-wilson"/>
    <hyperlink ref="C804" r:id="rId800" display="https://striking-viking.com/en-gb/products/ontaki-japanese-steel-rounded-tip-beard-mustache-scissors-4-2-inch-grooming-kit"/>
    <hyperlink ref="C805" r:id="rId801" display="https://striking-viking.com/es/products/striking-viking-vanilla-beard-balm"/>
    <hyperlink ref="C806" r:id="rId802" display="https://striking-viking.com/fr/products/ontaki-duckbill-applique-scissors-4-5-inch-carbon-steel-fabric-thread-cutting-scissors"/>
    <hyperlink ref="C807" r:id="rId803" display="https://striking-viking.com/it/products/striking-viking-beard-rehab-growth-kit-with-sandalwood-beard-care-derma-roller"/>
    <hyperlink ref="C808" r:id="rId804" display="https://striking-viking.com/es/products/striking-viking-beard-growth-mastery-bundle-with-sandalwood-vanilla-biotin-oils-and-derma-roller"/>
    <hyperlink ref="C809" r:id="rId805" display="https://striking-viking.com/fr/products/striking-viking-sandalwood-pre-shave-oil-for-men-smooth-razor-glide-skin-protection"/>
    <hyperlink ref="C810" r:id="rId806" display="https://striking-viking.com/fr/pages/write-a-review"/>
    <hyperlink ref="C811" r:id="rId807" display="https://striking-viking.com/it/products/striking-viking-sandalwood-beard-oil"/>
    <hyperlink ref="C812" r:id="rId808" display="https://striking-viking.com/fr-ca/products/striking-viking-sandalwood-beard-shampoo-conditioner-set-hydrating-beard-care-for-men"/>
    <hyperlink ref="C813" r:id="rId809" display="https://striking-viking.com/it/collections/striking-deals"/>
    <hyperlink ref="C814" r:id="rId810" display="https://striking-viking.com/fi/products/striking-viking-beard-growth-mastery-bundle-with-sandalwood-vanilla-biotin-oils-and-derma-roller"/>
    <hyperlink ref="C815" r:id="rId811" display="https://striking-viking.com/it/blogs/learn/essential-grooming-supplies-for-the-bearded-man"/>
    <hyperlink ref="C816" r:id="rId812" display="https://striking-viking.com/fr-ca/pages/sign-up"/>
    <hyperlink ref="C817" r:id="rId813" display="https://striking-viking.com/fr/products/striking-viking-tea-tree-biotin-beard-shampoo-for-clean-healthy-soft-beard-care-for-men"/>
    <hyperlink ref="C818" r:id="rId814" display="https://striking-viking.com/fi/products/beard-butter-blue-ocean"/>
    <hyperlink ref="C819" r:id="rId815" display="https://striking-viking.com/fi/blogs/learn/top-10-beard-costumes-for-halloween"/>
    <hyperlink ref="C820" r:id="rId816" display="https://striking-viking.com/it/products/ontaki-japanese-steel-rounded-tip-beard-mustache-scissors-4-2-inch-grooming-kit"/>
    <hyperlink ref="C821" r:id="rId817" display="https://striking-viking.com/fr-ca/collections/viking-beard-kits"/>
    <hyperlink ref="C822" r:id="rId818" display="https://striking-viking.com/fr/products/ontaki-german-steel-beard-mustache-scissors-professional-grooming-kit"/>
    <hyperlink ref="C823" r:id="rId819" display="https://striking-viking.com/fr-ca/collections/last-chance-bogo-free"/>
    <hyperlink ref="C824" r:id="rId820" display="https://striking-viking.com/fr/products/striking-viking-unscented-pre-shave-oil-for-men-smooth-razor-glide-skin-protection"/>
    <hyperlink ref="C825" r:id="rId821" display="https://striking-viking.com/fr/products/round-hair-brush"/>
    <hyperlink ref="C826" r:id="rId822" display="https://striking-viking.com/no/products/beard-growth-butter-with-biotin-4-oz-blue-ocean"/>
    <hyperlink ref="C827" r:id="rId823" display="https://striking-viking.com/en-gb/products/striking-viking-vanilla-beard-oil-with-natural-organic-oils-for-soft-healthy-beard-care"/>
    <hyperlink ref="C828" r:id="rId824" display="https://striking-viking.com/de/products/beard-butter-blue-ocean"/>
    <hyperlink ref="C829" r:id="rId825" display="https://striking-viking.com/es/products/beard-growth-butter-with-biotin-4-oz-sandalwood"/>
    <hyperlink ref="C830" r:id="rId826" display="https://striking-viking.com/es/products/striking-viking-beard-filler-pen-2-pack-dual-tip-waterproof-beard-pen-for-natural-beard-filling"/>
    <hyperlink ref="C831" r:id="rId827" display="https://striking-viking.com/sv/products/striking-viking-battle-ready-beard-care-kit-with-beard-oils-balms-beard-filler-pen"/>
    <hyperlink ref="C832" r:id="rId828" display="https://striking-viking.com/it/pages/collab"/>
    <hyperlink ref="C833" r:id="rId829" display="https://striking-viking.com/de/products/striking-viking-hybrid-beard-growth-bundle-with-sandalwood-unscented-beard-oils-and-derma-roller"/>
    <hyperlink ref="C834" r:id="rId830" display="https://striking-viking.com/it/pages/striking-viking-affiliate-program"/>
    <hyperlink ref="C835" r:id="rId831" display="https://striking-viking.com/en-gb/products/beard-growth-butter-with-biotin-4-oz-vanilla"/>
    <hyperlink ref="C836" r:id="rId832" display="https://striking-viking.com/no/products/striking-viking-beard-shampoo-conditioner-cologne-argan-jojoba-oil"/>
    <hyperlink ref="C837" r:id="rId833" display="https://striking-viking.com/it/blogs/learn/41234689-brian-wilson"/>
    <hyperlink ref="C838" r:id="rId834" display="https://striking-viking.com/es/products/striking-viking-sandalwood-beard-balm"/>
    <hyperlink ref="C839" r:id="rId835" display="https://striking-viking.com/no/products/beard-growth-butter-with-biotin-4-oz-vanilla"/>
    <hyperlink ref="C840" r:id="rId836" display="https://striking-viking.com/es/products/striking-viking-vanilla-beard-oil-with-natural-organic-oils-for-soft-healthy-beard-care"/>
    <hyperlink ref="C841" r:id="rId837" display="https://striking-viking.com/fr/collections/featured-products"/>
    <hyperlink ref="C842" r:id="rId838" display="https://striking-viking.com/en-ca/products/striking-viking-sandalwood-pre-shave-oil-for-men-smooth-razor-glide-skin-protection"/>
    <hyperlink ref="C843" r:id="rId839" display="https://striking-viking.com/fr/products/striking-viking-sandalwood-after-shave-balm-for-men-soothing-hydration-skin-care"/>
    <hyperlink ref="C844" r:id="rId840" display="https://striking-viking.com/sv/pages/free-moustache-beard-scissors"/>
    <hyperlink ref="C845" r:id="rId841" display="https://striking-viking.com/de/collections/last-chance-bogo-free"/>
    <hyperlink ref="C846" r:id="rId842" display="https://striking-viking.com/fr-ca/blogs/learn/16918829-the-ingredients-and-why-they-matter"/>
    <hyperlink ref="C847" r:id="rId843" display="https://striking-viking.com/products/charlemagne-round-hair-brush-for-men-professional-styling-brush-for-volume-blow-drying"/>
    <hyperlink ref="C848" r:id="rId844" display="https://striking-viking.com/fr-ca/products/striking-viking-beard-shampoo-with-natural-peppermint-eucalyptus-for-refreshing-beard-care"/>
    <hyperlink ref="C849" r:id="rId845" display="https://striking-viking.com/fr-ca/products/striking-viking-vanilla-beard-butter-for-soft-hydrated-healthy-beard-care-for-men"/>
    <hyperlink ref="C850" r:id="rId846" display="https://striking-viking.com/sv/products/beard-growth-balm-with-biotin-2-oz-sandalwood"/>
    <hyperlink ref="C851" r:id="rId847" display="https://striking-viking.com/en-ca/blogs/learn/essential-grooming-supplies-for-the-bearded-man"/>
    <hyperlink ref="C852" r:id="rId848" display="https://striking-viking.com/it/pages/ilm-2025-sign-up"/>
    <hyperlink ref="C853" r:id="rId849" display="https://striking-viking.com/fr/products/striking-viking-beard-rehab-growth-kit-with-sandalwood-beard-care-derma-roller"/>
    <hyperlink ref="C854" r:id="rId850" display="https://striking-viking.com/fr/products/striking-viking-unscented-beard-oil-and-balm-kit-natural-beard-grooming-set-for-men"/>
    <hyperlink ref="C855" r:id="rId851" display="https://striking-viking.com/fr-ca/products/striking-viking-beard-growth-power-kit-with-biotin-beard-oil-shampoo-derma-roller"/>
    <hyperlink ref="C856" r:id="rId852" display="https://striking-viking.com/fr-ca/products/striking-viking-beard-filler-pencil-with-dual-tip-pen-brush-for-natural-beard-styling"/>
    <hyperlink ref="C857" r:id="rId853" display="https://striking-viking.com/fi/products/striking-viking-sandalwood-beard-balm"/>
    <hyperlink ref="C858" r:id="rId854" display="https://striking-viking.com/fr/products/gift-card-striking-viking"/>
    <hyperlink ref="C859" r:id="rId855" display="https://striking-viking.com/en-gb/blogs/learn/16918829-the-ingredients-and-why-they-matter"/>
    <hyperlink ref="C860" r:id="rId856" display="https://striking-viking.com/fr/products/beard-butter-bergamot-thunder"/>
    <hyperlink ref="C861" r:id="rId857" display="https://striking-viking.com/sv/products/striking-viking-sandalwood-shaving-cream-for-men-rich-lather-for-a-smooth-comfortable-shave"/>
    <hyperlink ref="C862" r:id="rId858" display="https://striking-viking.com/fr/products/carbon-wide-tooth-comb"/>
    <hyperlink ref="C863" r:id="rId859" display="https://striking-viking.com/fr-ca/products/striking-viking-tea-tree-biotin-beard-wash-cologne-for-clean-fresh-healthy-beard-care"/>
    <hyperlink ref="C864" r:id="rId860" display="https://striking-viking.com/it/products/striking-viking-vanilla-beard-growth-bundle-with-biotin-beard-serum-titanium-derma-roller"/>
    <hyperlink ref="C865" r:id="rId861" display="https://striking-viking.com/fr/products/gift-wrapping"/>
    <hyperlink ref="C866" r:id="rId862" display="https://striking-viking.com/es/products/striking-viking-unscented-beard-oil-natural-organic-beard-care"/>
    <hyperlink ref="C867" r:id="rId863" display="https://striking-viking.com/es/products/striking-viking-beard-growth-power-kit-with-biotin-beard-oil-shampoo-derma-roller"/>
    <hyperlink ref="C868" r:id="rId864" display="https://striking-viking.com/de/products/bartol-und-balsam"/>
    <hyperlink ref="C869" r:id="rId865" display="https://striking-viking.com/fi/products/striking-viking-beard-shampoo-with-natural-peppermint-eucalyptus-for-refreshing-beard-care"/>
    <hyperlink ref="C870" r:id="rId866" display="https://striking-viking.com/fi/collections/esitellyt-tuotteet"/>
    <hyperlink ref="C871" r:id="rId867" display="https://striking-viking.com/fr/products/striking-viking-sandalwood-beard-growth-bundle-with-titanium-derma-roller-beard-growth-serum"/>
    <hyperlink ref="C872" r:id="rId868" display="https://striking-viking.com/fr-ca/products/striking-viking-vanilla-beard-balm"/>
    <hyperlink ref="C873" r:id="rId869" display="https://striking-viking.com/en-ca/products/striking-viking-beard-growth-power-kit-with-biotin-beard-oil-shampoo-derma-roller"/>
    <hyperlink ref="C874" r:id="rId870" display="https://striking-viking.com/es/products/striking-viking-beard-shampoo-with-natural-peppermint-eucalyptus-for-refreshing-beard-care"/>
    <hyperlink ref="C875" r:id="rId871" display="https://striking-viking.com/sv/products/striking-viking-cedarwood-beard-balm"/>
    <hyperlink ref="C876" r:id="rId872" display="https://striking-viking.com/fr/products/charlemagne-carbon-wide-tooth-comb-for-men-heat-resistant-carbon-fiber-hair-comb"/>
    <hyperlink ref="C877" r:id="rId873" display="https://striking-viking.com/products/charlemagne-carbon-wide-tooth-comb-for-men-heat-resistant-carbon-fiber-hair-comb"/>
    <hyperlink ref="C878" r:id="rId874" display="https://striking-viking.com/es/collections/subscribe-save"/>
    <hyperlink ref="C879" r:id="rId875" display="https://striking-viking.com/es/pages/ilm-form-not-visible"/>
    <hyperlink ref="C880" r:id="rId876" display="https://striking-viking.com/no/products/striking-viking-sandalwood-shaving-cream-for-men-rich-lather-for-a-smooth-comfortable-shave"/>
    <hyperlink ref="C881" r:id="rId877" display="https://striking-viking.com/fr/pages/spurit-invoices-cancelled"/>
    <hyperlink ref="C882" r:id="rId878" display="https://striking-viking.com/fi/pages/ilm2025"/>
    <hyperlink ref="C883" r:id="rId879" display="https://striking-viking.com/de/products/beard-growth-butter-with-biotin-4-oz-sandalwood"/>
    <hyperlink ref="C884" r:id="rId880" display="https://striking-viking.com/fr-ca/products/beard-growth-balm-with-biotin-2-oz-sandalwood"/>
    <hyperlink ref="C885" r:id="rId881" display="https://striking-viking.com/fr-ca/pages/free-moustache-beard-scissors"/>
    <hyperlink ref="C886" r:id="rId882" display="https://striking-viking.com/es/blogs/learn/scented-beard-oil-by-striking-viking"/>
    <hyperlink ref="C887" r:id="rId883" display="https://striking-viking.com/fr-ca/products/striking-viking-hair-styling-powder-for-men-light-hold-vanilla-natural-volume-texture"/>
    <hyperlink ref="C888" r:id="rId884" display="https://striking-viking.com/fr/products/carbon-hair-comb"/>
    <hyperlink ref="C889" r:id="rId885" display="https://striking-viking.com/fr-ca/products/striking-viking-tea-tree-biotin-beard-shampoo-for-clean-healthy-soft-beard-care-for-men"/>
    <hyperlink ref="C890" r:id="rId886" display="https://striking-viking.com/es/products/striking-viking-vanilla-pre-shave-oil-for-men-smooth-razor-glide-skin-protection"/>
    <hyperlink ref="C891" r:id="rId887" display="https://striking-viking.com/it/products/round-hair-brush"/>
    <hyperlink ref="C892" r:id="rId888" display="https://striking-viking.com/es/products/striking-viking-sandalwood-beard-oil"/>
    <hyperlink ref="C893" r:id="rId889" display="https://striking-viking.com/fr-ca/products/striking-viking-sandalwood-beard-growth-bundle-with-titanium-derma-roller-beard-growth-serum"/>
    <hyperlink ref="C894" r:id="rId890" display="https://striking-viking.com/fi/collections/charlemagne"/>
    <hyperlink ref="C895" r:id="rId891" display="https://striking-viking.com/es/products/gift-card-striking-viking"/>
    <hyperlink ref="C896" r:id="rId892" display="https://striking-viking.com/fi/blogs/learn/beard-grooming-tools-for-professional-styling-at-home"/>
    <hyperlink ref="C897" r:id="rId893" display="https://striking-viking.com/es/products/striking-viking-unscented-beard-balm-natural-beard-styling-conditioning"/>
    <hyperlink ref="C898" r:id="rId894" display="https://striking-viking.com/it/products/striking-viking-unscented-beard-shampoo-conditioner-set-natural-beard-care-for-men"/>
    <hyperlink ref="C899" r:id="rId895" display="https://striking-viking.com/fi/products/striking-viking-beard-rehab-growth-kit-with-sandalwood-beard-care-derma-roller"/>
    <hyperlink ref="C900" r:id="rId896" display="https://striking-viking.com/fr-ca/pages/write-a-review"/>
    <hyperlink ref="C901" r:id="rId897" display="https://striking-viking.com/it/products/beard-growth-butter-with-biotin-4-oz-sandalwood"/>
    <hyperlink ref="C902" r:id="rId898" display="https://striking-viking.com/fr/products/charlemagne-carbon-hair-comb-for-men-professional-heat-resistant-styling-detangling-comb"/>
    <hyperlink ref="C903" r:id="rId899" display="https://striking-viking.com/fr/products/striking-viking-sandalwood-shaving-cream-for-men-rich-lather-for-a-smooth-comfortable-shave"/>
    <hyperlink ref="C904" r:id="rId900" display="https://striking-viking.com/no/products/beard-butter-blue-ocean"/>
    <hyperlink ref="C905" r:id="rId901" display="https://striking-viking.com/sv/blogs/learn/beard-grooming-tools-for-professional-styling-at-home"/>
    <hyperlink ref="C906" r:id="rId902" display="https://striking-viking.com/no/products/charlemagne-original-hair-pomade-for-men-strong-hold-water-based-styling-pomade-100ml"/>
    <hyperlink ref="C907" r:id="rId903" display="https://striking-viking.com/de/products/striking-viking-hair-styling-powder-for-men-light-hold-vanilla-natural-volume-texture"/>
    <hyperlink ref="C908" r:id="rId904" display="https://striking-viking.com/fi/products/striking-viking-folding-wooden-comb-sandalwood-beard-hair-comb"/>
    <hyperlink ref="C909" r:id="rId905" display="https://striking-viking.com/fr/blogs/learn/striking-viking-beard-comb-for-routine-beard-management"/>
    <hyperlink ref="C910" r:id="rId906" display="https://striking-viking.com/products/ontaki-duckbill-applique-scissors-4-5-inch-carbon-steel-fabric-thread-cutting-scissors"/>
    <hyperlink ref="C911" r:id="rId907" display="https://striking-viking.com/no/products/striking-viking-vanilla-beard-balm-2-pack-with-natural-organic-ingredients-for-beard-styling"/>
    <hyperlink ref="C912" r:id="rId908" display="https://striking-viking.com/it/products/striking-viking-unscented-beard-oil-natural-organic-beard-care"/>
    <hyperlink ref="C913" r:id="rId909" display="https://striking-viking.com/fr-ca/products/beard-butter-blue-ocean"/>
    <hyperlink ref="C914" r:id="rId910" display="https://striking-viking.com/fr/products/2x-mustache-wax-comb-set-sandalwood"/>
    <hyperlink ref="C915" r:id="rId911" display="https://striking-viking.com/sv/products/beard-butter-blue-ocean"/>
    <hyperlink ref="C916" r:id="rId912" display="https://striking-viking.com/it/products/striking-viking-sandalwood-shaving-cream-for-men-rich-lather-for-a-smooth-comfortable-shave"/>
    <hyperlink ref="C917" r:id="rId913" display="https://striking-viking.com/fi/products/striking-viking-cedarwood-beard-oil"/>
    <hyperlink ref="C918" r:id="rId914" display="https://striking-viking.com/fr-ca/products/striking-viking-beard-and-mustache-scissors-kit-for-men"/>
    <hyperlink ref="C919" r:id="rId915" display="https://striking-viking.com/fr-ca/products/striking-viking-citrus-beard-balm"/>
    <hyperlink ref="C920" r:id="rId916" display="https://striking-viking.com/es/products/beard-growth-balm-with-biotin-2-oz-sandalwood"/>
    <hyperlink ref="C921" r:id="rId917" display="https://striking-viking.com/en-gb/products/beard-growth-butter-with-biotin-4-oz-sandalwood"/>
    <hyperlink ref="C922" r:id="rId918" display="https://striking-viking.com/de/products/carbon-hair-comb"/>
    <hyperlink ref="C923" r:id="rId919" display="https://striking-viking.com/fi/pages/ilm-form-not-visible"/>
    <hyperlink ref="C924" r:id="rId920" display="https://striking-viking.com/fr/products/striking-viking-vanilla-after-shave-balm-for-men-soothing-hydration-skin-care"/>
    <hyperlink ref="C925" r:id="rId921" display="https://striking-viking.com/it/pages/free-moustache-beard-scissors"/>
    <hyperlink ref="C926" r:id="rId922" display="https://striking-viking.com/sv/products/striking-viking-cedarwood-beard-oil"/>
    <hyperlink ref="C927" r:id="rId923" display="https://striking-viking.com/fr-ca/blogs/learn/the-ultimate-beard-growth-routine-for-a-thicker-healthier-beard-2026-guide"/>
    <hyperlink ref="C928" r:id="rId924" display="https://striking-viking.com/blogs/learn/top-10-beard-costumes-for-halloween"/>
    <hyperlink ref="C929" r:id="rId925" display="https://striking-viking.com/fr/products/striking-viking-unscented-beard-shampoo-conditioner-set-natural-beard-care-for-men"/>
    <hyperlink ref="C930" r:id="rId926" display="https://striking-viking.com/fr-ca/blogs/learn/how-to-keep-your-tattoos-looking-bold-for-years-the-role-of-tattoo-balms"/>
    <hyperlink ref="C931" r:id="rId927" display="https://striking-viking.com/es/products/striking-viking-biotin-beard-growth-oil-for-men-unscented-beard-growth-serum"/>
    <hyperlink ref="C932" r:id="rId928" display="https://striking-viking.com/de/products/bartwasch-und-pflege"/>
    <hyperlink ref="C933" r:id="rId929" display="https://striking-viking.com/fr/products/ontaki-curved-fabric-scissors-6-5-inch-german-stainless-steel-embroidery-scissors"/>
    <hyperlink ref="C934" r:id="rId930" display="https://striking-viking.com/es/products/striking-viking-beard-shampoo-conditioner-cologne-argan-jojoba-oil"/>
    <hyperlink ref="C935" r:id="rId931" display="https://striking-viking.com/es/pages/striking-viking-affiliate-program"/>
    <hyperlink ref="C936" r:id="rId932" display="https://striking-viking.com/es/products/beard-growth-butter-with-biotin-4-oz-vanilla"/>
    <hyperlink ref="C937" r:id="rId933" display="https://striking-viking.com/en-gb/products/ontaki-hair-thinning-shears-kit-7-inch-professional-hair-cutting-texturizing-set"/>
    <hyperlink ref="C938" r:id="rId934" display="https://striking-viking.com/es/products/ontaki-facial-hair-grooming-scissors-2-pack-precision-beard-nose-mustache-trimming"/>
    <hyperlink ref="C939" r:id="rId935" display="https://striking-viking.com/fr/blogs/learn/spring-style-refresh-how-to-update-your-beard-and-hair-for-warmer-weather"/>
    <hyperlink ref="C940" r:id="rId936" display="https://striking-viking.com/fr-ca/products/charlemagne-carbon-wide-tooth-comb-for-men-heat-resistant-carbon-fiber-hair-comb"/>
    <hyperlink ref="C941" r:id="rId937" display="https://striking-viking.com/sv/products/striking-viking-blue-ocean-beard-balm-for-men-natural-beard-balm-with-shea-butter-jojoba"/>
    <hyperlink ref="C942" r:id="rId938" display="https://striking-viking.com/de/products/ontaki-duckbill-applique-scissors-4-5-inch-carbon-steel-fabric-thread-cutting-scissors"/>
    <hyperlink ref="C943" r:id="rId939" display="https://striking-viking.com/no/blogs/learn/heads-shoulders-knees-and-toes-but-why-forget-the-beard"/>
    <hyperlink ref="C944" r:id="rId940" display="https://striking-viking.com/fi/pages/special-discount"/>
    <hyperlink ref="C945" r:id="rId941" display="https://striking-viking.com/fi/pages/beard-filler-pens"/>
    <hyperlink ref="C946" r:id="rId942" display="https://striking-viking.com/sv/pages/ilm2025"/>
    <hyperlink ref="C947" r:id="rId943" display="https://striking-viking.com/en-gb/products/beard-butter-bergamot-thunder"/>
    <hyperlink ref="C948" r:id="rId944" display="https://striking-viking.com/fr/products/striking-viking-unscented-beard-butter-for-moisturizing-softening-daily-beard-care"/>
    <hyperlink ref="C949" r:id="rId945" display="https://striking-viking.com/es/blogs/learn/top-10-beard-costumes-for-halloween"/>
    <hyperlink ref="C950" r:id="rId946" display="https://striking-viking.com/fi/blogs/learn/41241281-the-dude"/>
    <hyperlink ref="C951" r:id="rId947" display="https://striking-viking.com/es/products/beard-butter-bergamot-thunder"/>
    <hyperlink ref="C952" r:id="rId948" display="https://striking-viking.com/it/products/striking-viking-unscented-after-shave-balm-for-men-soothing-hydration-skin-care"/>
    <hyperlink ref="C953" r:id="rId949" display="https://striking-viking.com/en-gb/blogs/learn/essential-grooming-supplies-for-the-bearded-man"/>
    <hyperlink ref="C954" r:id="rId950" display="https://striking-viking.com/de/products/ontaki-german-steel-beard-mustache-scissors-professional-grooming-kit"/>
    <hyperlink ref="C955" r:id="rId951" display="https://striking-viking.com/de/blogs/learn/16918829-the-ingredients-and-why-they-matter"/>
    <hyperlink ref="C956" r:id="rId952" display="https://striking-viking.com/it/blogs/learn/striking-viking-beard-comb-for-routine-beard-management"/>
    <hyperlink ref="C957" r:id="rId953" display="https://striking-viking.com/sv/blogs/learn/16918829-the-ingredients-and-why-they-matter"/>
    <hyperlink ref="C958" r:id="rId954" display="https://striking-viking.com/es/pages/special-discount"/>
    <hyperlink ref="C959" r:id="rId955" display="https://striking-viking.com/it/pages/sign-up"/>
    <hyperlink ref="C960" r:id="rId956" display="https://striking-viking.com/fr/products/striking-viking-sandalwood-beard-shampoo-for-clean-healthy-soft-beard-care-for-men"/>
    <hyperlink ref="C961" r:id="rId957" display="https://striking-viking.com/es/products/beard-growth-balm-with-biotin-2-oz-blue-ocean"/>
    <hyperlink ref="C962" r:id="rId958" display="https://striking-viking.com/it/products/striking-viking-sandalwood-beard-shampoo-for-clean-healthy-soft-beard-care-for-men"/>
    <hyperlink ref="C963" r:id="rId959" display="https://striking-viking.com/fr/products/striking-viking-sandalwood-beard-oil"/>
    <hyperlink ref="C964" r:id="rId960" display="https://striking-viking.com/de/blogs/learn/top-10-beard-costumes-for-halloween"/>
    <hyperlink ref="C965" r:id="rId961" display="https://striking-viking.com/fi/products/striking-viking-unscented-after-shave-balm-for-men-soothing-hydration-skin-care"/>
    <hyperlink ref="C966" r:id="rId962" display="https://striking-viking.com/sv/products/striking-viking-vanilla-beard-balm"/>
    <hyperlink ref="C967" r:id="rId963" display="https://striking-viking.com/es/blogs/learn/elevate-your-look-pomade"/>
    <hyperlink ref="C968" r:id="rId964" display="https://striking-viking.com/fr/products/striking-viking-hair-styling-powder-for-men-light-hold-vanilla-natural-volume-texture"/>
    <hyperlink ref="C969" r:id="rId965" display="https://striking-viking.com/fr-ca/products/striking-viking-beard-oil-variety-4-pack-citrus-vanilla-cedarwood-sandalwood"/>
    <hyperlink ref="C970" r:id="rId966" display="https://striking-viking.com/fi/products/beard-growth-balm-with-biotin-2-oz-blue-ocean"/>
    <hyperlink ref="C971" r:id="rId967" display="https://striking-viking.com/fr-ca/products/charlemagne-round-hair-brush-for-men-professional-styling-brush-for-volume-blow-drying"/>
    <hyperlink ref="C972" r:id="rId968" display="https://striking-viking.com/fr-ca/products/charlemagne-carbon-hair-comb-for-men-professional-heat-resistant-styling-detangling-comb"/>
    <hyperlink ref="C973" r:id="rId969" display="https://striking-viking.com/it/products/striking-viking-sandalwood-beard-oil-balm-kit-for-soft-healthy-beard-care-for-men"/>
    <hyperlink ref="C974" r:id="rId970" display="https://striking-viking.com/es/collections/striking-deals"/>
    <hyperlink ref="C975" r:id="rId971" display="https://striking-viking.com/fr-ca/products/2x-mustache-wax-comb-set-sandalwood"/>
    <hyperlink ref="C976" r:id="rId972" display="https://striking-viking.com/de/products/rasiercreme-fur-manner-1"/>
    <hyperlink ref="C977" r:id="rId973" display="https://striking-viking.com/fi/products/striking-viking-beard-filler-pen-2-pack-dual-tip-waterproof-beard-pen-for-natural-beard-filling"/>
    <hyperlink ref="C978" r:id="rId974" display="https://striking-viking.com/sv/products/beard-growth-balm-with-biotin-2-oz-vanilla"/>
    <hyperlink ref="C979" r:id="rId975" display="https://striking-viking.com/en-ca/pages/special-discount"/>
    <hyperlink ref="C980" r:id="rId976" display="https://striking-viking.com/fi/products/striking-viking-tea-tree-biotin-beard-shampoo-for-clean-healthy-soft-beard-care-for-men"/>
    <hyperlink ref="C981" r:id="rId977" display="https://striking-viking.com/fr/products/ontaki-hair-thinning-shears-kit-7-inch-professional-hair-cutting-texturizing-set"/>
    <hyperlink ref="C982" r:id="rId978" display="https://striking-viking.com/it/products/striking-viking-hair-styling-powder-for-men-light-hold-vanilla-natural-volume-texture"/>
    <hyperlink ref="C983" r:id="rId979" display="https://striking-viking.com/fr-ca/products/striking-viking-vanilla-beard-growth-oil-with-biotin-castor-oil-for-fuller-beard-growth"/>
    <hyperlink ref="C984" r:id="rId980" display="https://striking-viking.com/fr-ca/products/ontaki-duckbill-applique-scissors-4-5-inch-carbon-steel-fabric-thread-cutting-scissors"/>
    <hyperlink ref="C985" r:id="rId981" display="https://striking-viking.com/es/products/striking-viking-hair-styling-powder-for-men-strong-hold-vanilla-volume-texture"/>
    <hyperlink ref="C986" r:id="rId982" display="https://striking-viking.com/de/products/bartol-unparfumiert"/>
    <hyperlink ref="C987" r:id="rId983" display="https://striking-viking.com/fr-ca/products/striking-viking-sandalwood-beard-growth-kit-with-biotin-oil-0-25mm-derma-roller"/>
    <hyperlink ref="C988" r:id="rId984" display="https://striking-viking.com/en-gb/blogs/learn/striking-viking-beard-comb-for-routine-beard-management"/>
    <hyperlink ref="C989" r:id="rId985" display="https://striking-viking.com/it/blogs/learn/the-ultimate-beard-growth-routine-for-a-thicker-healthier-beard-2026-guide"/>
    <hyperlink ref="C990" r:id="rId986" display="https://striking-viking.com/sv/products/striking-viking-sandalwood-beard-balm"/>
    <hyperlink ref="C991" r:id="rId987" display="https://striking-viking.com/it/pages/ilm-form-not-visible"/>
    <hyperlink ref="C992" r:id="rId988" display="https://striking-viking.com/it/products/striking-viking-beard-growth-power-kit-with-biotin-beard-oil-shampoo-derma-roller"/>
    <hyperlink ref="C993" r:id="rId989" display="https://striking-viking.com/fi/products/ontaki-facial-hair-grooming-scissors-2-pack-precision-beard-nose-mustache-trimming"/>
    <hyperlink ref="C994" r:id="rId990" display="https://striking-viking.com/es/blogs/learn/41241281-the-dude"/>
    <hyperlink ref="C995" r:id="rId991" display="https://striking-viking.com/sv/products/striking-viking-beard-shampoo-conditioner-cologne-argan-jojoba-oil"/>
    <hyperlink ref="C996" r:id="rId992" display="https://striking-viking.com/fi/products/striking-viking-sandalwood-beard-oil-balm-kit-for-soft-healthy-beard-care-for-men"/>
    <hyperlink ref="C997" r:id="rId993" display="https://striking-viking.com/fr-ca/products/striking-viking-beard-growth-kit-with-beard-roller-vanilla-unscented-biotin-oils-for-men"/>
    <hyperlink ref="C998" r:id="rId994" display="https://striking-viking.com/es/products/striking-viking-vanilla-beard-balm-2-pack-with-natural-organic-ingredients-for-beard-styling"/>
    <hyperlink ref="C999" r:id="rId995" display="https://striking-viking.com/fr-ca/products/beard-butter-bergamot-thunder"/>
    <hyperlink ref="C1000" r:id="rId996" display="https://striking-viking.com/fr/products/striking-viking-vanilla-shaving-cream-for-men-rich-lather-for-a-smooth-comfortable-shave"/>
    <hyperlink ref="C1001" r:id="rId997" display="https://striking-viking.com/it/products/striking-viking-unscented-pre-shave-oil-for-men-smooth-razor-glide-skin-protection"/>
    <hyperlink ref="C1002" r:id="rId998" display="https://striking-viking.com/sv/products/ontaki-curved-fabric-scissors-6-5-inch-german-stainless-steel-embroidery-scissors"/>
    <hyperlink ref="C1003" r:id="rId999" display="https://striking-viking.com/fr-ca/products/striking-viking-unscented-pre-shave-oil-for-men-smooth-razor-glide-skin-protection"/>
    <hyperlink ref="C1004" r:id="rId1000" display="https://striking-viking.com/es/products/striking-viking-peppermint-eucalyptus-beard-shampoo-conditioner-set-for-healthy-beard-care"/>
    <hyperlink ref="C1005" r:id="rId1001" display="https://striking-viking.com/es/products/ontaki-german-steel-beard-mustache-scissors-professional-grooming-kit"/>
    <hyperlink ref="C1006" r:id="rId1002" display="https://striking-viking.com/it/pages/ilm2025"/>
    <hyperlink ref="C1007" r:id="rId1003" display="https://striking-viking.com/fi/products/carbon-hair-comb"/>
    <hyperlink ref="C1008" r:id="rId1004" display="https://striking-viking.com/fi/collections/subscribe-save"/>
    <hyperlink ref="C1009" r:id="rId1005" display="https://striking-viking.com/pages/special-discount"/>
    <hyperlink ref="C1010" r:id="rId1006" display="https://striking-viking.com/fr-ca/products/striking-viking-beard-shampoo-conditioner-cologne-argan-jojoba-oil"/>
    <hyperlink ref="C1011" r:id="rId1007" display="https://striking-viking.com/en-gb/products/charlemagne-carbon-hair-comb-for-men-professional-heat-resistant-styling-detangling-comb"/>
    <hyperlink ref="C1012" r:id="rId1008" display="https://striking-viking.com/fi/products/striking-viking-boar-bristle-beard-brush-for-men-natural-beech-wood-grooming-brush"/>
    <hyperlink ref="C1013" r:id="rId1009" display="https://striking-viking.com/it/products/ontaki-curved-fabric-scissors-6-5-inch-german-stainless-steel-embroidery-scissors"/>
    <hyperlink ref="C1014" r:id="rId1010" display="https://striking-viking.com/fr-ca/products/striking-viking-bergamot-thunder-beard-oil-for-men-natural-beard-growth-oil-with-argan-jojoba"/>
    <hyperlink ref="C1015" r:id="rId1011" display="https://striking-viking.com/es/blogs/learn/the-ultimate-guide-to-tattoo-aftercare-with-striking-viking"/>
    <hyperlink ref="C1016" r:id="rId1012" display="https://striking-viking.com/fr/products/charlemagne-round-hair-brush-for-men-professional-styling-brush-for-volume-blow-drying"/>
    <hyperlink ref="C1017" r:id="rId1013" display="https://striking-viking.com/it/products/striking-viking-sandalwood-beard-balm"/>
    <hyperlink ref="C1018" r:id="rId1014" display="https://striking-viking.com/es/products/striking-viking-vanilla-beard-growth-bundle-with-biotin-beard-serum-titanium-derma-roller"/>
    <hyperlink ref="C1019" r:id="rId1015" display="https://striking-viking.com/es/products/striking-viking-tea-tree-biotin-beard-shampoo-for-clean-healthy-soft-beard-care-for-men"/>
    <hyperlink ref="C1020" r:id="rId1016" display="https://striking-viking.com/en-ca/blogs/learn/top-10-beard-costumes-for-halloween"/>
    <hyperlink ref="C1021" r:id="rId1017" display="https://striking-viking.com/fr-ca/blogs/learn/essential-grooming-supplies-for-the-bearded-man"/>
    <hyperlink ref="C1022" r:id="rId1018" display="https://striking-viking.com/fi/blogs/learn/striking-viking-beard-comb-for-routine-beard-management"/>
    <hyperlink ref="C1023" r:id="rId1019" display="https://striking-viking.com/sv/products/striking-viking-unscented-beard-balm-natural-beard-styling-conditioning"/>
    <hyperlink ref="C1024" r:id="rId1020" display="https://striking-viking.com/no/products/striking-viking-cedarwood-beard-oil"/>
    <hyperlink ref="C1025" r:id="rId1021" display="https://striking-viking.com/en-ca/products/ontaki-hair-thinning-shears-kit-7-inch-professional-hair-cutting-texturizing-set"/>
    <hyperlink ref="C1026" r:id="rId1022" display="https://striking-viking.com/sv/products/2x-mustache-wax-comb-set-sandalwood"/>
    <hyperlink ref="C1027" r:id="rId1023" display="https://striking-viking.com/de/products/striking-viking-unscented-beard-shampoo-conditioner-set-natural-beard-care-for-men"/>
    <hyperlink ref="C1028" r:id="rId1024" display="https://striking-viking.com/en-ca/products/ontaki-duckbill-applique-scissors-4-5-inch-carbon-steel-fabric-thread-cutting-scissors"/>
    <hyperlink ref="C1029" r:id="rId1025" display="https://striking-viking.com/fr/blogs/learn/the-ultimate-guide-to-tattoo-aftercare-with-striking-viking"/>
    <hyperlink ref="C1030" r:id="rId1026" display="https://striking-viking.com/it/products/striking-viking-tea-tree-biotin-beard-wash-cologne-for-clean-fresh-healthy-beard-care"/>
    <hyperlink ref="C1031" r:id="rId1027" display="https://striking-viking.com/en-gb/products/beard-growth-butter-with-biotin-4-oz-blue-ocean"/>
    <hyperlink ref="C1032" r:id="rId1028" display="https://striking-viking.com/fr/products/striking-viking-vanilla-beard-butter-for-soft-hydrated-healthy-beard-care-for-men"/>
    <hyperlink ref="C1033" r:id="rId1029" display="https://striking-viking.com/fi/products/striking-viking-unscented-pre-shave-oil-for-men-smooth-razor-glide-skin-protection"/>
    <hyperlink ref="C1034" r:id="rId1030" display="https://striking-viking.com/de/products/pre-shave-ol-manner-vanille"/>
    <hyperlink ref="C1035" r:id="rId1031" display="https://striking-viking.com/fi/products/beard-growth-butter-with-biotin-4-oz-blue-ocean"/>
    <hyperlink ref="C1036" r:id="rId1032" display="https://striking-viking.com/fr/products/striking-viking-citrus-beard-oil"/>
    <hyperlink ref="C1037" r:id="rId1033" display="https://striking-viking.com/en-ca/products/striking-viking-vanilla-beard-growth-bundle-with-biotin-beard-serum-titanium-derma-roller"/>
    <hyperlink ref="C1038" r:id="rId1034" display="https://striking-viking.com/sv/blogs/learn/essential-grooming-supplies-for-the-bearded-man"/>
    <hyperlink ref="C1039" r:id="rId1035" display="https://striking-viking.com/no/products/striking-viking-cedarwood-beard-balm"/>
    <hyperlink ref="C1040" r:id="rId1036" display="https://striking-viking.com/fr/blogs/learn/41234689-brian-wilson"/>
    <hyperlink ref="C1041" r:id="rId1037" display="https://striking-viking.com/fr-ca/blogs/learn/scented-beard-oil-by-striking-viking"/>
    <hyperlink ref="C1042" r:id="rId1038" display="https://striking-viking.com/fr-ca/products/striking-viking-cedarwood-beard-oil"/>
    <hyperlink ref="C1043" r:id="rId1039" display="https://striking-viking.com/it/products/striking-viking-unscented-beard-balm-natural-beard-styling-conditioning"/>
    <hyperlink ref="C1044" r:id="rId1040" display="https://striking-viking.com/fr/blogs/learn/the-ultimate-beard-growth-routine-for-a-thicker-healthier-beard-2026-guide"/>
    <hyperlink ref="C1045" r:id="rId1041" display="https://striking-viking.com/it/products/ontaki-duckbill-applique-scissors-4-5-inch-carbon-steel-fabric-thread-cutting-scissors"/>
    <hyperlink ref="C1046" r:id="rId1042" display="https://striking-viking.com/es/products/striking-viking-vanilla-shaving-cream-for-men-rich-lather-for-a-smooth-comfortable-shave"/>
    <hyperlink ref="C1047" r:id="rId1043" display="https://striking-viking.com/de/products/charlemagne-carbon-wide-tooth-comb-for-men-heat-resistant-carbon-fiber-hair-comb"/>
    <hyperlink ref="C1048" r:id="rId1044" display="https://striking-viking.com/sv/products/striking-viking-tea-tree-biotin-beard-wash-cologne-for-clean-fresh-healthy-beard-care"/>
    <hyperlink ref="C1049" r:id="rId1045" display="https://striking-viking.com/it/blogs/learn/scented-beard-oil-by-striking-viking"/>
    <hyperlink ref="C1050" r:id="rId1046" display="https://striking-viking.com/en-gb/products/striking-viking-unscented-beard-butter-for-moisturizing-softening-daily-beard-care"/>
    <hyperlink ref="C1051" r:id="rId1047" display="https://striking-viking.com/fi/products/striking-viking-unscented-beard-butter-for-moisturizing-softening-daily-beard-care"/>
    <hyperlink ref="C1052" r:id="rId1048" display="https://striking-viking.com/sv/blogs/learn/41241281-the-dude"/>
    <hyperlink ref="C1053" r:id="rId1049" display="https://striking-viking.com/fr/blogs/learn/46928577-tips-to-protect-your-beard-from-the-cold"/>
    <hyperlink ref="C1054" r:id="rId1050" display="https://striking-viking.com/de/blogs/learn/how-to-choose-the-right-hair-cutting-scissors-for-home-or-salon-use"/>
    <hyperlink ref="C1055" r:id="rId1051" display="https://striking-viking.com/de/products/bartbalsam-zitrus"/>
    <hyperlink ref="C1056" r:id="rId1052" display="https://striking-viking.com/de/blogs/learn/scented-beard-oil-by-striking-viking"/>
    <hyperlink ref="C1057" r:id="rId1053" display="https://striking-viking.com/it/products/striking-viking-sandalwood-beard-butter-for-soft-hydrated-healthy-beard-care-for-men"/>
    <hyperlink ref="C1058" r:id="rId1054" display="https://striking-viking.com/fr/products/striking-viking-beard-shampoo-with-natural-peppermint-eucalyptus-for-refreshing-beard-care"/>
    <hyperlink ref="C1059" r:id="rId1055" display="https://striking-viking.com/es/products/striking-viking-sandalwood-beard-butter-for-soft-hydrated-healthy-beard-care-for-men"/>
    <hyperlink ref="C1060" r:id="rId1056" display="https://striking-viking.com/fr-ca/products/carbon-wide-tooth-comb"/>
    <hyperlink ref="C1061" r:id="rId1057" display="https://striking-viking.com/it/products/striking-viking-citrus-beard-balm"/>
    <hyperlink ref="C1062" r:id="rId1058" display="https://striking-viking.com/fi/products/beard-butter-bergamot-thunder"/>
    <hyperlink ref="C1063" r:id="rId1059" display="https://striking-viking.com/es/products/striking-viking-sandalwood-beard-shampoo-for-clean-healthy-soft-beard-care-for-men"/>
    <hyperlink ref="C1064" r:id="rId1060" display="https://striking-viking.com/sv/blogs/learn/41234689-brian-wilson"/>
    <hyperlink ref="C1065" r:id="rId1061" display="https://striking-viking.com/de/blogs/learn/heads-shoulders-knees-and-toes-but-why-forget-the-beard"/>
    <hyperlink ref="C1066" r:id="rId1062" display="https://striking-viking.com/fr/products/striking-viking-vanilla-pre-shave-oil-for-men-smooth-razor-glide-skin-protection"/>
    <hyperlink ref="C1067" r:id="rId1063" display="https://striking-viking.com/de/products/charlemagne-original-hair-pomade-for-men-strong-hold-water-based-styling-pomade-100ml"/>
    <hyperlink ref="C1068" r:id="rId1064" display="https://striking-viking.com/en-gb/products/2x-mustache-wax-comb-set-sandalwood"/>
    <hyperlink ref="C1069" r:id="rId1065" display="https://striking-viking.com/fr/products/striking-viking-beard-growth-oil-with-biotin-sandalwood"/>
    <hyperlink ref="C1070" r:id="rId1066" display="https://striking-viking.com/es/products/striking-viking-citrus-beard-balm"/>
    <hyperlink ref="C1071" r:id="rId1067" display="https://striking-viking.com/en-ca/products/charlemagne-carbon-hair-comb-for-men-professional-heat-resistant-styling-detangling-comb"/>
    <hyperlink ref="C1072" r:id="rId1068" display="https://striking-viking.com/fi/pages/striking-viking-affiliate-program"/>
    <hyperlink ref="C1073" r:id="rId1069" display="https://striking-viking.com/no/blogs/learn/top-10-beard-costumes-for-halloween"/>
    <hyperlink ref="C1074" r:id="rId1070" display="https://striking-viking.com/fr-ca/products/striking-viking-terra-sol-beard-balm-for-men-natural-beard-balm-with-shea-butter-jojoba"/>
    <hyperlink ref="C1075" r:id="rId1071" display="https://striking-viking.com/de/products/after-shave-balsam-fur-manner"/>
    <hyperlink ref="C1076" r:id="rId1072" display="https://striking-viking.com/fr-ca/blogs/learn/elevate-your-look-pomade"/>
    <hyperlink ref="C1077" r:id="rId1073" display="https://striking-viking.com/fi/products/striking-viking-vanilla-beard-balm-2-pack-with-natural-organic-ingredients-for-beard-styling"/>
    <hyperlink ref="C1078" r:id="rId1074" display="https://striking-viking.com/fr-ca/products/striking-viking-sandalwood-beard-oil-balm-kit-for-soft-healthy-beard-care-for-men"/>
    <hyperlink ref="C1079" r:id="rId1075" display="https://striking-viking.com/fr-ca/products/beard-growth-butter-with-biotin-4-oz-sandalwood"/>
    <hyperlink ref="C1080" r:id="rId1076" display="https://striking-viking.com/fr/products/striking-viking-sandalwood-beard-balm"/>
    <hyperlink ref="C1081" r:id="rId1077" display="https://striking-viking.com/fr-ca/products/striking-viking-beard-balm-variety-4-pack-citrus-vanilla-cedarwood-sandalwood"/>
    <hyperlink ref="C1082" r:id="rId1078" display="https://striking-viking.com/fr-ca/blogs/learn/heads-shoulders-knees-and-toes-but-why-forget-the-beard"/>
    <hyperlink ref="C1083" r:id="rId1079" display="https://striking-viking.com/de/products/bartbalsam-geruchsneutral"/>
    <hyperlink ref="C1084" r:id="rId1080" display="https://striking-viking.com/fr-ca/collections/featured-products"/>
    <hyperlink ref="C1085" r:id="rId1081" display="https://striking-viking.com/fr/collections/charlemagne"/>
    <hyperlink ref="C1086" r:id="rId1082" display="https://striking-viking.com/es/products/striking-viking-sandalwood-beard-growth-bundle-with-titanium-derma-roller-beard-growth-serum"/>
    <hyperlink ref="C1087" r:id="rId1083" display="https://striking-viking.com/fi/products/striking-viking-vanilla-beard-growth-kit-with-biotin-oil-0-25mm-derma-roller"/>
    <hyperlink ref="C1088" r:id="rId1084" display="https://striking-viking.com/sv/pages/special-discount"/>
    <hyperlink ref="C1089" r:id="rId1085" display="https://striking-viking.com/no/products/ontaki-duckbill-applique-scissors-4-5-inch-carbon-steel-fabric-thread-cutting-scissors"/>
    <hyperlink ref="C1090" r:id="rId1086" display="https://striking-viking.com/no/blogs/learn/elevate-your-look-pomade"/>
    <hyperlink ref="C1091" r:id="rId1087" display="https://striking-viking.com/es/products/striking-viking-citrus-beard-oil"/>
    <hyperlink ref="C1092" r:id="rId1088" display="https://striking-viking.com/fi/products/ontaki-beard-mustache-scissors-with-finger-rest-5-inch-german-steel-grooming-kit"/>
    <hyperlink ref="C1093" r:id="rId1089" display="https://striking-viking.com/fi/products/striking-viking-matte-hair-pomade-for-men-linen-scent-water-based-medium-strong-hold"/>
    <hyperlink ref="C1094" r:id="rId1090" display="https://striking-viking.com/fr/blogs/learn/scented-beard-oil-by-striking-viking"/>
    <hyperlink ref="C1095" r:id="rId1091" display="https://striking-viking.com/fi/products/striking-viking-unscented-beard-shampoo-conditioner-set-natural-beard-care-for-men"/>
    <hyperlink ref="C1096" r:id="rId1092" display="https://striking-viking.com/no/products/striking-viking-unscented-beard-balm-natural-beard-styling-conditioning"/>
    <hyperlink ref="C1097" r:id="rId1093" display="https://striking-viking.com/sv/products/beard-butter-bergamot-thunder"/>
    <hyperlink ref="C1098" r:id="rId1094" display="https://striking-viking.com/fr/products/ontaki-japanese-steel-beard-hair-scissors-5-5-inch-professional-grooming-shears"/>
    <hyperlink ref="C1099" r:id="rId1095" display="https://striking-viking.com/it/pages/beard-filler-pens"/>
    <hyperlink ref="C1100" r:id="rId1096" display="https://striking-viking.com/de/pages/write-a-review"/>
    <hyperlink ref="C1101" r:id="rId1097" display="https://striking-viking.com/it/products/charlemagne-carbon-wide-tooth-comb-for-men-heat-resistant-carbon-fiber-hair-comb"/>
    <hyperlink ref="C1102" r:id="rId1098" display="https://striking-viking.com/es/products/carbon-wide-tooth-comb"/>
    <hyperlink ref="C1103" r:id="rId1099" display="https://striking-viking.com/fr-ca/products/striking-viking-sandalwood-beard-balm"/>
    <hyperlink ref="C1104" r:id="rId1100" display="https://striking-viking.com/sv/products/striking-viking-bergamot-thunder-beard-oil-for-men-natural-beard-growth-oil-with-argan-jojoba"/>
    <hyperlink ref="C1105" r:id="rId1101" display="https://striking-viking.com/fr-ca/blogs/learn/spring-style-refresh-how-to-update-your-beard-and-hair-for-warmer-weather"/>
    <hyperlink ref="C1106" r:id="rId1102" display="https://striking-viking.com/fr/products/striking-viking-hair-styling-powder-for-men-strong-hold-vanilla-volume-texture"/>
    <hyperlink ref="C1107" r:id="rId1103" display="https://striking-viking.com/sv/products/striking-viking-sandalwood-beard-oil"/>
    <hyperlink ref="C1108" r:id="rId1104" display="https://striking-viking.com/fr-ca/products/gift-wrapping"/>
    <hyperlink ref="C1109" r:id="rId1105" display="https://striking-viking.com/es/pages/ilm2025"/>
    <hyperlink ref="C1110" r:id="rId1106" display="https://striking-viking.com/es/products/striking-viking-sandalwood-beard-shampoo-conditioner-set-hydrating-beard-care-for-men"/>
    <hyperlink ref="C1111" r:id="rId1107" display="https://striking-viking.com/de/blogs/learn/beard-oil-vs-beard-balm-solving-the-modern-problem-for-gentlemen-with-beards"/>
    <hyperlink ref="C1112" r:id="rId1108" display="https://striking-viking.com/es/products/2x-mustache-wax-comb-set-sandalwood"/>
    <hyperlink ref="C1113" r:id="rId1109" display="https://striking-viking.com/fr/blogs/learn/all-you-need-to-know-about-beard-filler-pens"/>
    <hyperlink ref="C1114" r:id="rId1110" display="https://striking-viking.com/es/products/striking-viking-tea-tree-biotin-beard-shampoo-conditioner-set-for-healthy-beard-care"/>
    <hyperlink ref="C1115" r:id="rId1111" display="https://striking-viking.com/fr-ca/products/striking-viking-beard-growth-mastery-bundle-with-sandalwood-vanilla-biotin-oils-and-derma-roller"/>
    <hyperlink ref="C1116" r:id="rId1112" display="https://striking-viking.com/fr-ca/products/striking-viking-citrus-beard-oil"/>
    <hyperlink ref="C1117" r:id="rId1113" display="https://striking-viking.com/fi/products/striking-viking-vanilla-beard-balm"/>
    <hyperlink ref="C1118" r:id="rId1114" display="https://striking-viking.com/it/products/beard-growth-butter-with-biotin-4-oz-blue-ocean"/>
    <hyperlink ref="C1119" r:id="rId1115" display="https://striking-viking.com/fr-ca/collections/subscribe-save"/>
    <hyperlink ref="C1120" r:id="rId1116" display="https://striking-viking.com/fr/pages/ilm-form-not-visible"/>
    <hyperlink ref="C1121" r:id="rId1117" display="https://striking-viking.com/en-gb/products/striking-viking-unscented-beard-oil-and-balm-kit-natural-beard-grooming-set-for-men"/>
    <hyperlink ref="C1122" r:id="rId1118" display="https://striking-viking.com/es/products/striking-viking-folding-wooden-comb-sandalwood-beard-hair-comb"/>
    <hyperlink ref="C1123" r:id="rId1119" display="https://striking-viking.com/it/products/striking-viking-battle-ready-beard-care-kit-with-beard-oils-balms-beard-filler-pen"/>
    <hyperlink ref="C1124" r:id="rId1120" display="https://striking-viking.com/en-ca/products/ontaki-curved-fabric-scissors-6-5-inch-german-stainless-steel-embroidery-scissors"/>
    <hyperlink ref="C1125" r:id="rId1121" display="https://striking-viking.com/it/products/striking-viking-sandalwood-after-shave-balm-for-men-soothing-hydration-skin-care"/>
    <hyperlink ref="C1126" r:id="rId1122" display="https://striking-viking.com/en-ca/products/beard-butter-blue-ocean"/>
    <hyperlink ref="C1127" r:id="rId1123" display="https://striking-viking.com/es/products/striking-viking-unscented-beard-shampoo-conditioner-set-natural-beard-care-for-men"/>
    <hyperlink ref="C1128" r:id="rId1124" display="https://striking-viking.com/fr-ca/blogs/learn/all-you-need-to-know-about-beard-filler-pens"/>
    <hyperlink ref="C1129" r:id="rId1125" display="https://striking-viking.com/no/products/striking-viking-beard-rehab-growth-kit-with-sandalwood-beard-care-derma-roller"/>
    <hyperlink ref="C1130" r:id="rId1126" display="https://striking-viking.com/fr-ca/products/round-hair-brush"/>
    <hyperlink ref="C1131" r:id="rId1127" display="https://striking-viking.com/sv/collections/last-chance-bogo-free"/>
    <hyperlink ref="C1132" r:id="rId1128" display="https://striking-viking.com/fr-ca/products/striking-viking-folding-wooden-beard-comb-for-men-anti-static-sandalwood-grooming-comb"/>
    <hyperlink ref="C1133" r:id="rId1129" display="https://striking-viking.com/sv/products/beard-growth-balm-with-biotin-2-oz-blue-ocean"/>
    <hyperlink ref="C1134" r:id="rId1130" display="https://striking-viking.com/fr/products/charlemagne-original-hair-pomade-for-men-strong-hold-water-based-styling-pomade-100ml"/>
    <hyperlink ref="C1135" r:id="rId1131" display="https://striking-viking.com/es/products/striking-viking-beard-rehab-growth-kit-with-sandalwood-beard-care-derma-roller"/>
    <hyperlink ref="C1136" r:id="rId1132" display="https://striking-viking.com/de/pages/beard-filler-pens"/>
    <hyperlink ref="C1137" r:id="rId1133" display="https://striking-viking.com/no/blogs/learn/essential-grooming-supplies-for-the-bearded-man"/>
    <hyperlink ref="C1138" r:id="rId1134" display="https://striking-viking.com/es/products/striking-viking-hybrid-beard-growth-bundle-with-sandalwood-unscented-beard-oils-and-derma-roller"/>
    <hyperlink ref="C1139" r:id="rId1135" display="https://striking-viking.com/fr/blogs/learn/beard-grooming-tools-for-professional-styling-at-home"/>
    <hyperlink ref="C1140" r:id="rId1136" display="https://striking-viking.com/sv/products/sandalwood-wooden-beard-comb-black-striking-viking"/>
    <hyperlink ref="C1141" r:id="rId1137" display="https://striking-viking.com/es/products/striking-viking-unscented-beard-butter-for-moisturizing-softening-daily-beard-care"/>
    <hyperlink ref="C1142" r:id="rId1138" display="https://striking-viking.com/fr-ca/pages/special-discount"/>
    <hyperlink ref="C1143" r:id="rId1139" display="https://striking-viking.com/fr-ca/products/ontaki-curved-fabric-scissors-6-5-inch-german-stainless-steel-embroidery-scissors"/>
    <hyperlink ref="C1144" r:id="rId1140" display="https://striking-viking.com/fi/products/striking-viking-vanilla-after-shave-balm-for-men-soothing-hydration-skin-care"/>
    <hyperlink ref="C1145" r:id="rId1141" display="https://striking-viking.com/fr-ca/products/striking-viking-matte-hair-pomade-for-men-linen-scent-water-based-medium-strong-hold"/>
    <hyperlink ref="C1146" r:id="rId1142" display="https://striking-viking.com/fi/products/striking-viking-folding-wooden-beard-comb-for-men-anti-static-sandalwood-grooming-comb"/>
    <hyperlink ref="C1147" r:id="rId1143" display="https://striking-viking.com/es/products/striking-viking-sandalwood-after-shave-balm-for-men-soothing-hydration-skin-care"/>
    <hyperlink ref="C1148" r:id="rId1144" display="https://striking-viking.com/de/products/striking-viking-unscented-beard-oil-and-balm-kit-natural-beard-grooming-set-for-men"/>
    <hyperlink ref="C1149" r:id="rId1145" display="https://striking-viking.com/es/products/striking-viking-unscented-beard-oil-and-balm-kit-natural-beard-grooming-set-for-men"/>
    <hyperlink ref="C1150" r:id="rId1146" display="https://striking-viking.com/es/products/striking-viking-vanilla-beard-growth-oil-with-biotin-castor-oil-for-fuller-beard-growth"/>
    <hyperlink ref="C1151" r:id="rId1147" display="https://striking-viking.com/fi/pages/write-a-review"/>
    <hyperlink ref="C1152" r:id="rId1148" display="https://striking-viking.com/en-ca/products/striking-viking-vanilla-beard-balm-2-pack-with-natural-organic-ingredients-for-beard-styling"/>
    <hyperlink ref="C1153" r:id="rId1149" display="https://striking-viking.com/fr-ca/products/ontaki-facial-hair-grooming-scissors-2-pack-precision-beard-nose-mustache-trimming"/>
    <hyperlink ref="C1154" r:id="rId1150" display="https://striking-viking.com/fi/products/striking-viking-sandalwood-shaving-cream-for-men-rich-lather-for-a-smooth-comfortable-shave"/>
    <hyperlink ref="C1155" r:id="rId1151" display="https://striking-viking.com/fr-ca/products/ontaki-japanese-steel-beard-mustache-scissors-5-5-inch-professional-grooming-kit"/>
    <hyperlink ref="C1156" r:id="rId1152" display="https://striking-viking.com/no/blogs/learn/16918829-the-ingredients-and-why-they-matter"/>
    <hyperlink ref="C1157" r:id="rId1153" display="https://striking-viking.com/en-gb/blogs/learn/top-10-beard-costumes-for-halloween"/>
    <hyperlink ref="C1158" r:id="rId1154" display="https://striking-viking.com/fi/blogs/learn/the-ultimate-guide-to-tattoo-aftercare-with-striking-viking"/>
    <hyperlink ref="C1159" r:id="rId1155" display="https://striking-viking.com/sv/products/striking-viking-biotin-beard-growth-oil-for-men-unscented-beard-growth-serum"/>
    <hyperlink ref="C1160" r:id="rId1156" display="https://striking-viking.com/es/products/striking-viking-sandalwood-shaving-cream-for-men-rich-lather-for-a-smooth-comfortable-shave"/>
    <hyperlink ref="C1161" r:id="rId1157" display="https://striking-viking.com/no/pages/special-discount"/>
    <hyperlink ref="C1162" r:id="rId1158" display="https://striking-viking.com/es/products/striking-viking-bergamot-thunder-beard-oil-for-men-natural-beard-growth-oil-with-argan-jojoba"/>
    <hyperlink ref="C1163" r:id="rId1159" display="https://striking-viking.com/es/products/striking-viking-unscented-pre-shave-oil-for-men-smooth-razor-glide-skin-protection"/>
    <hyperlink ref="C1164" r:id="rId1160" display="https://striking-viking.com/de/products/after-shave-balsam"/>
    <hyperlink ref="C1165" r:id="rId1161" display="https://striking-viking.com/fr-ca/collections/charlemagne"/>
    <hyperlink ref="C1166" r:id="rId1162" display="https://striking-viking.com/fr-ca/blogs/learn/beard-grooming-tools-for-professional-styling-at-home"/>
    <hyperlink ref="C1167" r:id="rId1163" display="https://striking-viking.com/fi/products/striking-viking-vanilla-beard-growth-oil-with-biotin-castor-oil-for-fuller-beard-growth"/>
    <hyperlink ref="C1168" r:id="rId1164" display="https://striking-viking.com/it/products/2x-mustache-wax-comb-set-sandalwood"/>
    <hyperlink ref="C1169" r:id="rId1165" display="https://striking-viking.com/fi/blogs/learn/41234689-brian-wilson"/>
    <hyperlink ref="C1170" r:id="rId1166" display="https://striking-viking.com/fr/pages/sign-up"/>
    <hyperlink ref="C1171" r:id="rId1167" display="https://striking-viking.com/es/blogs/learn/essential-grooming-supplies-for-the-bearded-man"/>
    <hyperlink ref="C1172" r:id="rId1168" display="https://striking-viking.com/fr-ca/pages/striking-viking-affiliate-program"/>
    <hyperlink ref="C1173" r:id="rId1169" display="https://striking-viking.com/de/products/pre-shave-ol-manner"/>
    <hyperlink ref="C1174" r:id="rId1170" display="https://striking-viking.com/fi/blogs/learn/scented-beard-oil-by-striking-viking"/>
    <hyperlink ref="C1175" r:id="rId1171" display="https://striking-viking.com/de/products/haarfasern-fur-manner"/>
    <hyperlink ref="C1176" r:id="rId1172" display="https://striking-viking.com/fi/products/striking-viking-terra-sol-beard-balm-for-men-natural-beard-balm-with-shea-butter-jojoba"/>
    <hyperlink ref="C1177" r:id="rId1173" display="https://striking-viking.com/es/blogs/learn/striking-viking-beard-comb-for-routine-beard-management"/>
    <hyperlink ref="C1178" r:id="rId1174" display="https://striking-viking.com/sv/products/striking-viking-citrus-beard-balm"/>
    <hyperlink ref="C1179" r:id="rId1175" display="https://striking-viking.com/fr-ca/products/striking-viking-unscented-beard-oil-and-balm-kit-natural-beard-grooming-set-for-men"/>
    <hyperlink ref="C1180" r:id="rId1176" display="https://striking-viking.com/es/products/striking-viking-terra-sol-beard-balm-for-men-natural-beard-balm-with-shea-butter-jojoba"/>
    <hyperlink ref="C1181" r:id="rId1177" display="https://striking-viking.com/es/products/striking-viking-battle-ready-beard-care-kit-with-beard-oils-balms-beard-filler-pen"/>
    <hyperlink ref="C1182" r:id="rId1178" display="https://striking-viking.com/en-gb/pages/special-discount"/>
    <hyperlink ref="C1183" r:id="rId1179" display="https://striking-viking.com/de/pages/striking-viking-affiliate-program"/>
    <hyperlink ref="C1184" r:id="rId1180" display="https://striking-viking.com/fr-ca/products/striking-viking-hybrid-beard-growth-bundle-with-sandalwood-unscented-beard-oils-and-derma-roller"/>
    <hyperlink ref="C1185" r:id="rId1181" display="https://striking-viking.com/no/products/striking-viking-beard-balm-variety-4-pack-citrus-vanilla-cedarwood-sandalwood"/>
    <hyperlink ref="C1186" r:id="rId1182" display="https://striking-viking.com/fi/products/striking-viking-hair-styling-powder-for-men-light-hold-vanilla-natural-volume-texture"/>
    <hyperlink ref="C1187" r:id="rId1183" display="https://striking-viking.com/products/striking-viking-unscented-beard-oil-and-balm-kit-natural-beard-grooming-set-for-men"/>
    <hyperlink ref="C1188" r:id="rId1184" display="https://striking-viking.com/es/pages/ilm-2025-sign-up"/>
    <hyperlink ref="C1189" r:id="rId1185" display="https://striking-viking.com/sv/products/striking-viking-beard-balm-variety-4-pack-citrus-vanilla-cedarwood-sandalwood"/>
    <hyperlink ref="C1190" r:id="rId1186" display="https://striking-viking.com/es/collections/last-chance-bogo-free"/>
    <hyperlink ref="C1191" r:id="rId1187" display="https://striking-viking.com/fr-ca/products/striking-viking-unscented-after-shave-balm-for-men-soothing-hydration-skin-care"/>
    <hyperlink ref="C1192" r:id="rId1188" display="https://striking-viking.com/fr/products/striking-viking-beard-growth-power-kit-with-biotin-beard-oil-shampoo-derma-roller"/>
    <hyperlink ref="C1193" r:id="rId1189" display="https://striking-viking.com/fr-ca/blogs/learn/41241281-the-dude"/>
    <hyperlink ref="C1194" r:id="rId1190" display="https://striking-viking.com/en-ca/products/striking-viking-vanilla-pre-shave-oil-for-men-smooth-razor-glide-skin-protection"/>
    <hyperlink ref="C1195" r:id="rId1191" display="https://striking-viking.com/fi/blogs/learn/elevate-your-look-pomade"/>
    <hyperlink ref="C1196" r:id="rId1192" display="https://striking-viking.com/fr-ca/products/striking-viking-sandalwood-beard-shampoo-for-clean-healthy-soft-beard-care-for-men"/>
    <hyperlink ref="C1197" r:id="rId1193" display="https://striking-viking.com/en-gb/products/beard-butter-blue-ocean"/>
    <hyperlink ref="C1198" r:id="rId1194" display="https://striking-viking.com/de/blogs/learn/46928577-tips-to-protect-your-beard-from-the-cold"/>
    <hyperlink ref="C1199" r:id="rId1195" display="https://striking-viking.com/fr-ca/products/charlemagne-original-hair-pomade-for-men-strong-hold-water-based-styling-pomade-100ml"/>
    <hyperlink ref="C1200" r:id="rId1196" display="https://striking-viking.com/de/products/gift-card-striking-viking"/>
    <hyperlink ref="C1201" r:id="rId1197" display="https://striking-viking.com/it/products/striking-viking-beard-growth-mastery-bundle-with-sandalwood-vanilla-biotin-oils-and-derma-roller"/>
    <hyperlink ref="C1202" r:id="rId1198" display="https://striking-viking.com/it/products/striking-viking-vanilla-after-shave-balm-for-men-soothing-hydration-skin-care"/>
    <hyperlink ref="C1203" r:id="rId1199" display="https://striking-viking.com/es/blogs/learn/beard-grooming-tools-for-professional-styling-at-home"/>
    <hyperlink ref="C1204" r:id="rId1200" display="https://striking-viking.com/fr-ca/products/beard-growth-butter-with-biotin-4-oz-blue-ocean"/>
    <hyperlink ref="C1205" r:id="rId1201" display="https://striking-viking.com/no/products/striking-viking-citrus-beard-oil"/>
    <hyperlink ref="C1206" r:id="rId1202" display="https://striking-viking.com/es/products/striking-viking-beard-balm-variety-4-pack-citrus-vanilla-cedarwood-sandalwood"/>
    <hyperlink ref="C1207" r:id="rId1203" display="https://striking-viking.com/it/products/striking-viking-hair-styling-powder-for-men-strong-hold-vanilla-volume-texture"/>
    <hyperlink ref="C1208" r:id="rId1204" display="https://striking-viking.com/fr-ca/products/striking-viking-sandalwood-after-shave-balm-for-men-soothing-hydration-skin-care"/>
    <hyperlink ref="C1209" r:id="rId1205" display="https://striking-viking.com/fr/products/striking-viking-vanilla-beard-balm-2-pack-with-natural-organic-ingredients-for-beard-styling"/>
    <hyperlink ref="C1210" r:id="rId1206" display="https://striking-viking.com/fi/products/2x-mustache-wax-comb-set-sandalwood"/>
    <hyperlink ref="C1211" r:id="rId1207" display="https://striking-viking.com/fr/pages/beard-filler-pens"/>
    <hyperlink ref="C1212" r:id="rId1208" display="https://striking-viking.com/en-ca/products/ontaki-facial-hair-grooming-scissors-2-pack-precision-beard-nose-mustache-trimming"/>
    <hyperlink ref="C1213" r:id="rId1209" display="https://striking-viking.com/es/products/striking-viking-vanilla-beard-growth-kit-with-biotin-oil-0-25mm-derma-roller"/>
    <hyperlink ref="C1214" r:id="rId1210" display="https://striking-viking.com/fi/products/striking-viking-beard-growth-oil-with-biotin-sandalwood"/>
    <hyperlink ref="C1215" r:id="rId1211" display="https://striking-viking.com/fr-ca/pages/ilm-2025-sign-up"/>
    <hyperlink ref="C1216" r:id="rId1212" display="https://striking-viking.com/it/products/striking-viking-beard-shampoo-with-natural-peppermint-eucalyptus-for-refreshing-beard-care"/>
    <hyperlink ref="C1217" r:id="rId1213" display="https://striking-viking.com/fr/products/striking-viking-tea-tree-biotin-beard-wash-cologne-for-clean-fresh-healthy-beard-care"/>
    <hyperlink ref="C1218" r:id="rId1214" display="https://striking-viking.com/es/products/striking-viking-sandalwood-wooden-beard-comb-brown"/>
    <hyperlink ref="C1219" r:id="rId1215" display="https://striking-viking.com/es/blogs/learn/16918829-the-ingredients-and-why-they-matter"/>
    <hyperlink ref="C1220" r:id="rId1216" display="https://striking-viking.com/es/products/striking-viking-sandalwood-beard-growth-kit-with-biotin-oil-0-25mm-derma-rol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G7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52.25"/>
    <col collapsed="false" customWidth="true" hidden="false" outlineLevel="0" max="3" min="3" style="0" width="102.75"/>
    <col collapsed="false" customWidth="true" hidden="false" outlineLevel="0" max="5" min="5" style="0" width="12.63"/>
    <col collapsed="false" customWidth="true" hidden="false" outlineLevel="0" max="7" min="7" style="0" width="22"/>
  </cols>
  <sheetData>
    <row r="1" customFormat="false" ht="15" hidden="false" customHeight="false" outlineLevel="0" collapsed="false">
      <c r="D1" s="72"/>
      <c r="E1" s="72"/>
      <c r="G1" s="26" t="str">
        <f aca="false">HYPERLINK("#'Master Overview'!A1","&lt;&lt; Master Overview")</f>
        <v>&lt;&lt; Master Overview</v>
      </c>
    </row>
    <row r="2" customFormat="false" ht="17.35" hidden="false" customHeight="false" outlineLevel="0" collapsed="false">
      <c r="B2" s="74" t="s">
        <v>135</v>
      </c>
      <c r="C2" s="74"/>
      <c r="D2" s="74"/>
      <c r="E2" s="74"/>
      <c r="G2" s="2" t="s">
        <v>9228</v>
      </c>
    </row>
    <row r="3" customFormat="false" ht="15" hidden="false" customHeight="false" outlineLevel="0" collapsed="false">
      <c r="B3" s="60" t="s">
        <v>274</v>
      </c>
      <c r="C3" s="60" t="s">
        <v>2506</v>
      </c>
      <c r="D3" s="59" t="s">
        <v>2507</v>
      </c>
      <c r="E3" s="59" t="s">
        <v>81</v>
      </c>
    </row>
    <row r="4" customFormat="false" ht="15" hidden="false" customHeight="false" outlineLevel="0" collapsed="false">
      <c r="B4" s="37" t="s">
        <v>7077</v>
      </c>
      <c r="C4" s="37" t="s">
        <v>9229</v>
      </c>
      <c r="D4" s="38" t="n">
        <v>74</v>
      </c>
      <c r="E4" s="38"/>
    </row>
    <row r="5" customFormat="false" ht="15" hidden="false" customHeight="false" outlineLevel="0" collapsed="false">
      <c r="B5" s="37" t="s">
        <v>7115</v>
      </c>
      <c r="C5" s="37" t="s">
        <v>9230</v>
      </c>
      <c r="D5" s="38" t="n">
        <v>71</v>
      </c>
      <c r="E5" s="38"/>
    </row>
    <row r="6" customFormat="false" ht="15" hidden="false" customHeight="false" outlineLevel="0" collapsed="false">
      <c r="B6" s="37" t="s">
        <v>7157</v>
      </c>
      <c r="C6" s="37" t="s">
        <v>9231</v>
      </c>
      <c r="D6" s="38" t="n">
        <v>78</v>
      </c>
      <c r="E6" s="38"/>
    </row>
    <row r="7" customFormat="false" ht="15" hidden="false" customHeight="false" outlineLevel="0" collapsed="false">
      <c r="B7" s="37" t="s">
        <v>7153</v>
      </c>
      <c r="C7" s="37" t="s">
        <v>9232</v>
      </c>
      <c r="D7" s="38" t="n">
        <v>75</v>
      </c>
      <c r="E7" s="38"/>
    </row>
    <row r="8" customFormat="false" ht="15" hidden="false" customHeight="false" outlineLevel="0" collapsed="false">
      <c r="B8" s="37" t="s">
        <v>7137</v>
      </c>
      <c r="C8" s="37" t="s">
        <v>9233</v>
      </c>
      <c r="D8" s="38" t="n">
        <v>71</v>
      </c>
      <c r="E8" s="38"/>
    </row>
    <row r="9" customFormat="false" ht="15" hidden="false" customHeight="false" outlineLevel="0" collapsed="false">
      <c r="B9" s="37" t="s">
        <v>7074</v>
      </c>
      <c r="C9" s="37" t="s">
        <v>9234</v>
      </c>
      <c r="D9" s="38" t="n">
        <v>71</v>
      </c>
      <c r="E9" s="38"/>
    </row>
    <row r="10" customFormat="false" ht="15" hidden="false" customHeight="false" outlineLevel="0" collapsed="false">
      <c r="B10" s="37" t="s">
        <v>7084</v>
      </c>
      <c r="C10" s="37" t="s">
        <v>9235</v>
      </c>
      <c r="D10" s="38" t="n">
        <v>74</v>
      </c>
      <c r="E10" s="38"/>
    </row>
    <row r="11" customFormat="false" ht="15" hidden="false" customHeight="false" outlineLevel="0" collapsed="false">
      <c r="B11" s="37" t="s">
        <v>7044</v>
      </c>
      <c r="C11" s="37" t="s">
        <v>9236</v>
      </c>
      <c r="D11" s="38" t="n">
        <v>74</v>
      </c>
      <c r="E11" s="38"/>
    </row>
    <row r="12" customFormat="false" ht="15" hidden="false" customHeight="false" outlineLevel="0" collapsed="false">
      <c r="B12" s="37" t="s">
        <v>7065</v>
      </c>
      <c r="C12" s="37" t="s">
        <v>9237</v>
      </c>
      <c r="D12" s="38" t="n">
        <v>71</v>
      </c>
      <c r="E12" s="38"/>
    </row>
    <row r="13" customFormat="false" ht="15" hidden="false" customHeight="false" outlineLevel="0" collapsed="false">
      <c r="B13" s="37" t="s">
        <v>7128</v>
      </c>
      <c r="C13" s="37" t="s">
        <v>9238</v>
      </c>
      <c r="D13" s="38" t="n">
        <v>71</v>
      </c>
      <c r="E13" s="38"/>
    </row>
    <row r="14" customFormat="false" ht="15" hidden="false" customHeight="false" outlineLevel="0" collapsed="false">
      <c r="B14" s="37" t="s">
        <v>7132</v>
      </c>
      <c r="C14" s="37" t="s">
        <v>9239</v>
      </c>
      <c r="D14" s="38" t="n">
        <v>89</v>
      </c>
      <c r="E14" s="38"/>
    </row>
    <row r="15" customFormat="false" ht="15" hidden="false" customHeight="false" outlineLevel="0" collapsed="false">
      <c r="B15" s="37" t="s">
        <v>7093</v>
      </c>
      <c r="C15" s="37" t="s">
        <v>9240</v>
      </c>
      <c r="D15" s="38" t="n">
        <v>74</v>
      </c>
      <c r="E15" s="38"/>
    </row>
    <row r="16" customFormat="false" ht="15" hidden="false" customHeight="false" outlineLevel="0" collapsed="false">
      <c r="B16" s="37" t="s">
        <v>7086</v>
      </c>
      <c r="C16" s="37" t="s">
        <v>9241</v>
      </c>
      <c r="D16" s="38" t="n">
        <v>76</v>
      </c>
      <c r="E16" s="38"/>
    </row>
    <row r="17" customFormat="false" ht="15" hidden="false" customHeight="false" outlineLevel="0" collapsed="false">
      <c r="B17" s="37" t="s">
        <v>7109</v>
      </c>
      <c r="C17" s="37" t="s">
        <v>9242</v>
      </c>
      <c r="D17" s="38" t="n">
        <v>73</v>
      </c>
      <c r="E17" s="38"/>
    </row>
    <row r="18" customFormat="false" ht="15" hidden="false" customHeight="false" outlineLevel="0" collapsed="false">
      <c r="B18" s="37" t="s">
        <v>7125</v>
      </c>
      <c r="C18" s="37" t="s">
        <v>9243</v>
      </c>
      <c r="D18" s="38" t="n">
        <v>81</v>
      </c>
      <c r="E18" s="38"/>
    </row>
    <row r="19" customFormat="false" ht="15" hidden="false" customHeight="false" outlineLevel="0" collapsed="false">
      <c r="B19" s="37" t="s">
        <v>7283</v>
      </c>
      <c r="C19" s="37" t="s">
        <v>9244</v>
      </c>
      <c r="D19" s="38" t="n">
        <v>99</v>
      </c>
      <c r="E19" s="38"/>
    </row>
    <row r="20" customFormat="false" ht="15" hidden="false" customHeight="false" outlineLevel="0" collapsed="false">
      <c r="B20" s="37" t="s">
        <v>7288</v>
      </c>
      <c r="C20" s="37" t="s">
        <v>9245</v>
      </c>
      <c r="D20" s="38" t="n">
        <v>86</v>
      </c>
      <c r="E20" s="38"/>
    </row>
    <row r="21" customFormat="false" ht="15" hidden="false" customHeight="false" outlineLevel="0" collapsed="false">
      <c r="B21" s="37" t="s">
        <v>7290</v>
      </c>
      <c r="C21" s="37" t="s">
        <v>9246</v>
      </c>
      <c r="D21" s="38" t="n">
        <v>85</v>
      </c>
      <c r="E21" s="38"/>
    </row>
    <row r="22" customFormat="false" ht="15" hidden="false" customHeight="false" outlineLevel="0" collapsed="false">
      <c r="B22" s="37" t="s">
        <v>7292</v>
      </c>
      <c r="C22" s="37" t="s">
        <v>9247</v>
      </c>
      <c r="D22" s="38" t="n">
        <v>76</v>
      </c>
      <c r="E22" s="38"/>
    </row>
    <row r="23" customFormat="false" ht="15" hidden="false" customHeight="false" outlineLevel="0" collapsed="false">
      <c r="B23" s="37" t="s">
        <v>7294</v>
      </c>
      <c r="C23" s="37" t="s">
        <v>9248</v>
      </c>
      <c r="D23" s="38" t="n">
        <v>83</v>
      </c>
      <c r="E23" s="38"/>
    </row>
    <row r="24" customFormat="false" ht="15" hidden="false" customHeight="false" outlineLevel="0" collapsed="false">
      <c r="B24" s="37" t="s">
        <v>7296</v>
      </c>
      <c r="C24" s="37" t="s">
        <v>9249</v>
      </c>
      <c r="D24" s="38" t="n">
        <v>85</v>
      </c>
      <c r="E24" s="38"/>
    </row>
    <row r="25" customFormat="false" ht="15" hidden="false" customHeight="false" outlineLevel="0" collapsed="false">
      <c r="B25" s="37" t="s">
        <v>7298</v>
      </c>
      <c r="C25" s="37" t="s">
        <v>9250</v>
      </c>
      <c r="D25" s="38" t="n">
        <v>88</v>
      </c>
      <c r="E25" s="38"/>
    </row>
    <row r="26" customFormat="false" ht="15" hidden="false" customHeight="false" outlineLevel="0" collapsed="false">
      <c r="B26" s="37" t="s">
        <v>7300</v>
      </c>
      <c r="C26" s="37" t="s">
        <v>9251</v>
      </c>
      <c r="D26" s="38" t="n">
        <v>81</v>
      </c>
      <c r="E26" s="38"/>
    </row>
    <row r="27" customFormat="false" ht="15" hidden="false" customHeight="false" outlineLevel="0" collapsed="false">
      <c r="B27" s="37" t="s">
        <v>7302</v>
      </c>
      <c r="C27" s="37" t="s">
        <v>9252</v>
      </c>
      <c r="D27" s="38" t="n">
        <v>98</v>
      </c>
      <c r="E27" s="38"/>
    </row>
    <row r="28" customFormat="false" ht="15" hidden="false" customHeight="false" outlineLevel="0" collapsed="false">
      <c r="B28" s="37" t="s">
        <v>7187</v>
      </c>
      <c r="C28" s="37" t="s">
        <v>9253</v>
      </c>
      <c r="D28" s="38" t="n">
        <v>85</v>
      </c>
      <c r="E28" s="38"/>
    </row>
    <row r="29" customFormat="false" ht="15" hidden="false" customHeight="false" outlineLevel="0" collapsed="false">
      <c r="B29" s="37" t="s">
        <v>9254</v>
      </c>
      <c r="C29" s="37" t="s">
        <v>9240</v>
      </c>
      <c r="D29" s="38" t="n">
        <v>74</v>
      </c>
      <c r="E29" s="38"/>
    </row>
    <row r="30" customFormat="false" ht="15" hidden="false" customHeight="false" outlineLevel="0" collapsed="false">
      <c r="B30" s="37" t="s">
        <v>9255</v>
      </c>
      <c r="C30" s="37" t="s">
        <v>9256</v>
      </c>
      <c r="D30" s="38" t="n">
        <v>83</v>
      </c>
      <c r="E30" s="38"/>
    </row>
    <row r="31" customFormat="false" ht="15" hidden="false" customHeight="false" outlineLevel="0" collapsed="false">
      <c r="B31" s="37" t="s">
        <v>7308</v>
      </c>
      <c r="C31" s="37" t="s">
        <v>9257</v>
      </c>
      <c r="D31" s="38" t="n">
        <v>104</v>
      </c>
      <c r="E31" s="38"/>
    </row>
    <row r="32" customFormat="false" ht="15" hidden="false" customHeight="false" outlineLevel="0" collapsed="false">
      <c r="B32" s="37" t="s">
        <v>7310</v>
      </c>
      <c r="C32" s="37" t="s">
        <v>9258</v>
      </c>
      <c r="D32" s="38" t="n">
        <v>92</v>
      </c>
      <c r="E32" s="38"/>
    </row>
    <row r="33" customFormat="false" ht="15" hidden="false" customHeight="false" outlineLevel="0" collapsed="false">
      <c r="B33" s="37" t="s">
        <v>7313</v>
      </c>
      <c r="C33" s="37" t="s">
        <v>9259</v>
      </c>
      <c r="D33" s="38" t="n">
        <v>83</v>
      </c>
      <c r="E33" s="38"/>
    </row>
    <row r="34" customFormat="false" ht="15" hidden="false" customHeight="false" outlineLevel="0" collapsed="false">
      <c r="B34" s="37" t="s">
        <v>7315</v>
      </c>
      <c r="C34" s="37" t="s">
        <v>9260</v>
      </c>
      <c r="D34" s="38" t="n">
        <v>94</v>
      </c>
      <c r="E34" s="38"/>
    </row>
    <row r="35" customFormat="false" ht="15" hidden="false" customHeight="false" outlineLevel="0" collapsed="false">
      <c r="B35" s="37" t="s">
        <v>9261</v>
      </c>
      <c r="C35" s="37" t="s">
        <v>9262</v>
      </c>
      <c r="D35" s="38" t="n">
        <v>71</v>
      </c>
      <c r="E35" s="38"/>
    </row>
    <row r="36" customFormat="false" ht="15" hidden="false" customHeight="false" outlineLevel="0" collapsed="false">
      <c r="B36" s="37" t="s">
        <v>9263</v>
      </c>
      <c r="C36" s="37" t="s">
        <v>9264</v>
      </c>
      <c r="D36" s="38" t="n">
        <v>75</v>
      </c>
      <c r="E36" s="38"/>
    </row>
    <row r="37" customFormat="false" ht="15" hidden="false" customHeight="false" outlineLevel="0" collapsed="false">
      <c r="B37" s="37" t="s">
        <v>7323</v>
      </c>
      <c r="C37" s="37" t="s">
        <v>9265</v>
      </c>
      <c r="D37" s="38" t="n">
        <v>94</v>
      </c>
      <c r="E37" s="38"/>
    </row>
    <row r="38" customFormat="false" ht="15" hidden="false" customHeight="false" outlineLevel="0" collapsed="false">
      <c r="B38" s="37" t="s">
        <v>7325</v>
      </c>
      <c r="C38" s="37" t="s">
        <v>9266</v>
      </c>
      <c r="D38" s="38" t="n">
        <v>103</v>
      </c>
      <c r="E38" s="38"/>
    </row>
    <row r="39" customFormat="false" ht="15" hidden="false" customHeight="false" outlineLevel="0" collapsed="false">
      <c r="B39" s="37" t="s">
        <v>7327</v>
      </c>
      <c r="C39" s="37" t="s">
        <v>9267</v>
      </c>
      <c r="D39" s="38" t="n">
        <v>89</v>
      </c>
      <c r="E39" s="38"/>
    </row>
    <row r="40" customFormat="false" ht="15" hidden="false" customHeight="false" outlineLevel="0" collapsed="false">
      <c r="B40" s="37" t="s">
        <v>9268</v>
      </c>
      <c r="C40" s="37" t="s">
        <v>9269</v>
      </c>
      <c r="D40" s="38" t="n">
        <v>72</v>
      </c>
      <c r="E40" s="38"/>
    </row>
    <row r="41" customFormat="false" ht="15" hidden="false" customHeight="false" outlineLevel="0" collapsed="false">
      <c r="B41" s="37" t="s">
        <v>9270</v>
      </c>
      <c r="C41" s="37" t="s">
        <v>9271</v>
      </c>
      <c r="D41" s="38" t="n">
        <v>75</v>
      </c>
      <c r="E41" s="38"/>
    </row>
    <row r="42" customFormat="false" ht="15" hidden="false" customHeight="false" outlineLevel="0" collapsed="false">
      <c r="B42" s="37" t="s">
        <v>7339</v>
      </c>
      <c r="C42" s="37" t="s">
        <v>9272</v>
      </c>
      <c r="D42" s="38" t="n">
        <v>78</v>
      </c>
      <c r="E42" s="38"/>
    </row>
    <row r="43" customFormat="false" ht="15" hidden="false" customHeight="false" outlineLevel="0" collapsed="false">
      <c r="B43" s="37" t="s">
        <v>9273</v>
      </c>
      <c r="C43" s="37" t="s">
        <v>9233</v>
      </c>
      <c r="D43" s="38" t="n">
        <v>71</v>
      </c>
      <c r="E43" s="38"/>
    </row>
    <row r="44" customFormat="false" ht="15" hidden="false" customHeight="false" outlineLevel="0" collapsed="false">
      <c r="B44" s="37" t="s">
        <v>9274</v>
      </c>
      <c r="C44" s="37" t="s">
        <v>9237</v>
      </c>
      <c r="D44" s="38" t="n">
        <v>71</v>
      </c>
      <c r="E44" s="38"/>
    </row>
    <row r="45" customFormat="false" ht="15" hidden="false" customHeight="false" outlineLevel="0" collapsed="false">
      <c r="B45" s="37" t="s">
        <v>7343</v>
      </c>
      <c r="C45" s="37" t="s">
        <v>9275</v>
      </c>
      <c r="D45" s="38" t="n">
        <v>72</v>
      </c>
      <c r="E45" s="38"/>
    </row>
    <row r="46" customFormat="false" ht="15" hidden="false" customHeight="false" outlineLevel="0" collapsed="false">
      <c r="B46" s="37" t="s">
        <v>9276</v>
      </c>
      <c r="C46" s="37" t="s">
        <v>9277</v>
      </c>
      <c r="D46" s="38" t="n">
        <v>72</v>
      </c>
      <c r="E46" s="38"/>
    </row>
    <row r="47" customFormat="false" ht="15" hidden="false" customHeight="false" outlineLevel="0" collapsed="false">
      <c r="B47" s="37" t="s">
        <v>7169</v>
      </c>
      <c r="C47" s="37" t="s">
        <v>9278</v>
      </c>
      <c r="D47" s="38" t="n">
        <v>100</v>
      </c>
      <c r="E47" s="38"/>
    </row>
    <row r="48" customFormat="false" ht="15" hidden="false" customHeight="false" outlineLevel="0" collapsed="false">
      <c r="B48" s="37" t="s">
        <v>7350</v>
      </c>
      <c r="C48" s="37" t="s">
        <v>9279</v>
      </c>
      <c r="D48" s="38" t="n">
        <v>76</v>
      </c>
      <c r="E48" s="38"/>
    </row>
    <row r="49" customFormat="false" ht="15" hidden="false" customHeight="false" outlineLevel="0" collapsed="false">
      <c r="B49" s="37" t="s">
        <v>7354</v>
      </c>
      <c r="C49" s="37" t="s">
        <v>9280</v>
      </c>
      <c r="D49" s="38" t="n">
        <v>81</v>
      </c>
      <c r="E49" s="38"/>
    </row>
    <row r="50" customFormat="false" ht="15" hidden="false" customHeight="false" outlineLevel="0" collapsed="false">
      <c r="B50" s="37" t="s">
        <v>7219</v>
      </c>
      <c r="C50" s="37" t="s">
        <v>9281</v>
      </c>
      <c r="D50" s="38" t="n">
        <v>98</v>
      </c>
      <c r="E50" s="38"/>
    </row>
    <row r="51" customFormat="false" ht="15" hidden="false" customHeight="false" outlineLevel="0" collapsed="false">
      <c r="B51" s="37" t="s">
        <v>7225</v>
      </c>
      <c r="C51" s="37" t="s">
        <v>9282</v>
      </c>
      <c r="D51" s="38" t="n">
        <v>71</v>
      </c>
      <c r="E51" s="38"/>
    </row>
    <row r="52" customFormat="false" ht="15" hidden="false" customHeight="false" outlineLevel="0" collapsed="false">
      <c r="B52" s="37" t="s">
        <v>9283</v>
      </c>
      <c r="C52" s="37" t="s">
        <v>9284</v>
      </c>
      <c r="D52" s="38" t="n">
        <v>75</v>
      </c>
      <c r="E52" s="38"/>
    </row>
    <row r="53" customFormat="false" ht="15" hidden="false" customHeight="false" outlineLevel="0" collapsed="false">
      <c r="B53" s="37" t="s">
        <v>7362</v>
      </c>
      <c r="C53" s="37" t="s">
        <v>9285</v>
      </c>
      <c r="D53" s="38" t="n">
        <v>75</v>
      </c>
      <c r="E53" s="38"/>
    </row>
    <row r="54" customFormat="false" ht="15" hidden="false" customHeight="false" outlineLevel="0" collapsed="false">
      <c r="B54" s="37" t="s">
        <v>9286</v>
      </c>
      <c r="C54" s="37" t="s">
        <v>9236</v>
      </c>
      <c r="D54" s="38" t="n">
        <v>74</v>
      </c>
      <c r="E54" s="38"/>
    </row>
    <row r="55" customFormat="false" ht="15" hidden="false" customHeight="false" outlineLevel="0" collapsed="false">
      <c r="B55" s="37" t="s">
        <v>7364</v>
      </c>
      <c r="C55" s="37" t="s">
        <v>9287</v>
      </c>
      <c r="D55" s="38" t="n">
        <v>72</v>
      </c>
      <c r="E55" s="38"/>
    </row>
    <row r="56" customFormat="false" ht="15" hidden="false" customHeight="false" outlineLevel="0" collapsed="false">
      <c r="B56" s="37" t="s">
        <v>7366</v>
      </c>
      <c r="C56" s="37" t="s">
        <v>9288</v>
      </c>
      <c r="D56" s="38" t="n">
        <v>71</v>
      </c>
      <c r="E56" s="38"/>
    </row>
    <row r="57" customFormat="false" ht="15" hidden="false" customHeight="false" outlineLevel="0" collapsed="false">
      <c r="B57" s="37" t="s">
        <v>7370</v>
      </c>
      <c r="C57" s="37" t="s">
        <v>9289</v>
      </c>
      <c r="D57" s="38" t="n">
        <v>82</v>
      </c>
      <c r="E57" s="38"/>
    </row>
    <row r="58" customFormat="false" ht="15" hidden="false" customHeight="false" outlineLevel="0" collapsed="false">
      <c r="B58" s="37" t="s">
        <v>7372</v>
      </c>
      <c r="C58" s="37" t="s">
        <v>9290</v>
      </c>
      <c r="D58" s="38" t="n">
        <v>98</v>
      </c>
      <c r="E58" s="38"/>
    </row>
    <row r="59" customFormat="false" ht="15" hidden="false" customHeight="false" outlineLevel="0" collapsed="false">
      <c r="B59" s="37" t="s">
        <v>9291</v>
      </c>
      <c r="C59" s="37" t="s">
        <v>9233</v>
      </c>
      <c r="D59" s="38" t="n">
        <v>71</v>
      </c>
      <c r="E59" s="38"/>
    </row>
    <row r="60" customFormat="false" ht="15" hidden="false" customHeight="false" outlineLevel="0" collapsed="false">
      <c r="B60" s="37" t="s">
        <v>7375</v>
      </c>
      <c r="C60" s="37" t="s">
        <v>9292</v>
      </c>
      <c r="D60" s="38" t="n">
        <v>78</v>
      </c>
      <c r="E60" s="38"/>
    </row>
    <row r="61" customFormat="false" ht="15" hidden="false" customHeight="false" outlineLevel="0" collapsed="false">
      <c r="B61" s="37" t="s">
        <v>7379</v>
      </c>
      <c r="C61" s="37" t="s">
        <v>9293</v>
      </c>
      <c r="D61" s="38" t="n">
        <v>91</v>
      </c>
      <c r="E61" s="38"/>
    </row>
    <row r="62" customFormat="false" ht="15" hidden="false" customHeight="false" outlineLevel="0" collapsed="false">
      <c r="B62" s="37" t="s">
        <v>7383</v>
      </c>
      <c r="C62" s="37" t="s">
        <v>9294</v>
      </c>
      <c r="D62" s="38" t="n">
        <v>78</v>
      </c>
      <c r="E62" s="38"/>
    </row>
    <row r="63" customFormat="false" ht="15" hidden="false" customHeight="false" outlineLevel="0" collapsed="false">
      <c r="B63" s="37" t="s">
        <v>7385</v>
      </c>
      <c r="C63" s="37" t="s">
        <v>9230</v>
      </c>
      <c r="D63" s="38" t="n">
        <v>71</v>
      </c>
      <c r="E63" s="38"/>
    </row>
    <row r="64" customFormat="false" ht="15" hidden="false" customHeight="false" outlineLevel="0" collapsed="false">
      <c r="B64" s="37" t="s">
        <v>7390</v>
      </c>
      <c r="C64" s="37" t="s">
        <v>9295</v>
      </c>
      <c r="D64" s="38" t="n">
        <v>72</v>
      </c>
      <c r="E64" s="38"/>
    </row>
    <row r="65" customFormat="false" ht="15" hidden="false" customHeight="false" outlineLevel="0" collapsed="false">
      <c r="B65" s="37" t="s">
        <v>7396</v>
      </c>
      <c r="C65" s="37" t="s">
        <v>9296</v>
      </c>
      <c r="D65" s="38" t="n">
        <v>92</v>
      </c>
      <c r="E65" s="38"/>
    </row>
    <row r="66" customFormat="false" ht="15" hidden="false" customHeight="false" outlineLevel="0" collapsed="false">
      <c r="B66" s="37" t="s">
        <v>7398</v>
      </c>
      <c r="C66" s="37" t="s">
        <v>9297</v>
      </c>
      <c r="D66" s="38" t="n">
        <v>83</v>
      </c>
      <c r="E66" s="38"/>
    </row>
    <row r="67" customFormat="false" ht="15" hidden="false" customHeight="false" outlineLevel="0" collapsed="false">
      <c r="B67" s="37" t="s">
        <v>7244</v>
      </c>
      <c r="C67" s="37" t="s">
        <v>9298</v>
      </c>
      <c r="D67" s="38" t="n">
        <v>86</v>
      </c>
      <c r="E67" s="38"/>
    </row>
    <row r="68" customFormat="false" ht="15" hidden="false" customHeight="false" outlineLevel="0" collapsed="false">
      <c r="B68" s="37" t="s">
        <v>7401</v>
      </c>
      <c r="C68" s="37" t="s">
        <v>9299</v>
      </c>
      <c r="D68" s="38" t="n">
        <v>82</v>
      </c>
      <c r="E68" s="38"/>
    </row>
    <row r="69" customFormat="false" ht="15" hidden="false" customHeight="false" outlineLevel="0" collapsed="false">
      <c r="B69" s="37" t="s">
        <v>7405</v>
      </c>
      <c r="C69" s="37" t="s">
        <v>9300</v>
      </c>
      <c r="D69" s="38" t="n">
        <v>81</v>
      </c>
      <c r="E69" s="38"/>
    </row>
    <row r="70" customFormat="false" ht="15" hidden="false" customHeight="false" outlineLevel="0" collapsed="false">
      <c r="B70" s="37" t="s">
        <v>7407</v>
      </c>
      <c r="C70" s="37" t="s">
        <v>9301</v>
      </c>
      <c r="D70" s="38" t="n">
        <v>72</v>
      </c>
      <c r="E70" s="38"/>
    </row>
    <row r="71" customFormat="false" ht="15" hidden="false" customHeight="false" outlineLevel="0" collapsed="false">
      <c r="B71" s="37" t="s">
        <v>9302</v>
      </c>
      <c r="C71" s="37" t="s">
        <v>9229</v>
      </c>
      <c r="D71" s="38" t="n">
        <v>74</v>
      </c>
      <c r="E71" s="38"/>
    </row>
    <row r="72" customFormat="false" ht="15" hidden="false" customHeight="false" outlineLevel="0" collapsed="false">
      <c r="B72" s="37" t="s">
        <v>7411</v>
      </c>
      <c r="C72" s="37" t="s">
        <v>9303</v>
      </c>
      <c r="D72" s="38" t="n">
        <v>87</v>
      </c>
      <c r="E72" s="38"/>
    </row>
    <row r="73" customFormat="false" ht="15" hidden="false" customHeight="false" outlineLevel="0" collapsed="false">
      <c r="B73" s="37" t="s">
        <v>7413</v>
      </c>
      <c r="C73" s="37" t="s">
        <v>9304</v>
      </c>
      <c r="D73" s="38" t="n">
        <v>97</v>
      </c>
      <c r="E73" s="38"/>
    </row>
    <row r="74" customFormat="false" ht="15" hidden="false" customHeight="false" outlineLevel="0" collapsed="false">
      <c r="B74" s="37" t="s">
        <v>7421</v>
      </c>
      <c r="C74" s="37" t="s">
        <v>9305</v>
      </c>
      <c r="D74" s="38" t="n">
        <v>90</v>
      </c>
      <c r="E74" s="38"/>
    </row>
    <row r="75" customFormat="false" ht="15" hidden="false" customHeight="false" outlineLevel="0" collapsed="false">
      <c r="B75" s="37" t="s">
        <v>9306</v>
      </c>
      <c r="C75" s="37" t="s">
        <v>9307</v>
      </c>
      <c r="D75" s="38" t="n">
        <v>74</v>
      </c>
      <c r="E75" s="38"/>
    </row>
    <row r="76" customFormat="false" ht="15" hidden="false" customHeight="false" outlineLevel="0" collapsed="false">
      <c r="B76" s="37" t="s">
        <v>9308</v>
      </c>
      <c r="C76" s="37" t="s">
        <v>9238</v>
      </c>
      <c r="D76" s="38" t="n">
        <v>71</v>
      </c>
      <c r="E76" s="38"/>
    </row>
    <row r="77" customFormat="false" ht="15" hidden="false" customHeight="false" outlineLevel="0" collapsed="false">
      <c r="B77" s="37" t="s">
        <v>7423</v>
      </c>
      <c r="C77" s="37" t="s">
        <v>9309</v>
      </c>
      <c r="D77" s="38" t="n">
        <v>77</v>
      </c>
      <c r="E77" s="38"/>
    </row>
    <row r="78" customFormat="false" ht="15" hidden="false" customHeight="false" outlineLevel="0" collapsed="false">
      <c r="B78" s="37" t="s">
        <v>9310</v>
      </c>
      <c r="C78" s="37" t="s">
        <v>9311</v>
      </c>
      <c r="D78" s="38" t="n">
        <v>82</v>
      </c>
      <c r="E78" s="38"/>
    </row>
    <row r="79" customFormat="false" ht="15" hidden="false" customHeight="false" outlineLevel="0" collapsed="false">
      <c r="B79" s="37" t="s">
        <v>7429</v>
      </c>
      <c r="C79" s="37" t="s">
        <v>9312</v>
      </c>
      <c r="D79" s="38" t="n">
        <v>78</v>
      </c>
      <c r="E79" s="38"/>
    </row>
    <row r="80" customFormat="false" ht="15" hidden="false" customHeight="false" outlineLevel="0" collapsed="false">
      <c r="B80" s="37" t="s">
        <v>7433</v>
      </c>
      <c r="C80" s="37" t="s">
        <v>9313</v>
      </c>
      <c r="D80" s="38" t="n">
        <v>82</v>
      </c>
      <c r="E80" s="38"/>
    </row>
    <row r="81" customFormat="false" ht="15" hidden="false" customHeight="false" outlineLevel="0" collapsed="false">
      <c r="B81" s="37" t="s">
        <v>7437</v>
      </c>
      <c r="C81" s="37" t="s">
        <v>9314</v>
      </c>
      <c r="D81" s="38" t="n">
        <v>100</v>
      </c>
      <c r="E81" s="38"/>
    </row>
    <row r="82" customFormat="false" ht="15" hidden="false" customHeight="false" outlineLevel="0" collapsed="false">
      <c r="B82" s="37" t="s">
        <v>9315</v>
      </c>
      <c r="C82" s="37" t="s">
        <v>9316</v>
      </c>
      <c r="D82" s="38" t="n">
        <v>77</v>
      </c>
      <c r="E82" s="38"/>
    </row>
    <row r="83" customFormat="false" ht="15" hidden="false" customHeight="false" outlineLevel="0" collapsed="false">
      <c r="B83" s="37" t="s">
        <v>7020</v>
      </c>
      <c r="C83" s="37" t="s">
        <v>9317</v>
      </c>
      <c r="D83" s="38" t="n">
        <v>85</v>
      </c>
      <c r="E83" s="38"/>
    </row>
    <row r="84" customFormat="false" ht="15" hidden="false" customHeight="false" outlineLevel="0" collapsed="false">
      <c r="B84" s="37" t="s">
        <v>7443</v>
      </c>
      <c r="C84" s="37" t="s">
        <v>9235</v>
      </c>
      <c r="D84" s="38" t="n">
        <v>74</v>
      </c>
      <c r="E84" s="38"/>
    </row>
    <row r="85" customFormat="false" ht="15" hidden="false" customHeight="false" outlineLevel="0" collapsed="false">
      <c r="B85" s="37" t="s">
        <v>9318</v>
      </c>
      <c r="C85" s="37" t="s">
        <v>9242</v>
      </c>
      <c r="D85" s="38" t="n">
        <v>73</v>
      </c>
      <c r="E85" s="38"/>
    </row>
    <row r="86" customFormat="false" ht="15" hidden="false" customHeight="false" outlineLevel="0" collapsed="false">
      <c r="B86" s="37" t="s">
        <v>9319</v>
      </c>
      <c r="C86" s="37" t="s">
        <v>9320</v>
      </c>
      <c r="D86" s="38" t="n">
        <v>75</v>
      </c>
      <c r="E86" s="38"/>
    </row>
    <row r="87" customFormat="false" ht="15" hidden="false" customHeight="false" outlineLevel="0" collapsed="false">
      <c r="B87" s="37" t="s">
        <v>9321</v>
      </c>
      <c r="C87" s="37" t="s">
        <v>9322</v>
      </c>
      <c r="D87" s="38" t="n">
        <v>87</v>
      </c>
      <c r="E87" s="38"/>
    </row>
    <row r="88" customFormat="false" ht="15" hidden="false" customHeight="false" outlineLevel="0" collapsed="false">
      <c r="B88" s="37" t="s">
        <v>7450</v>
      </c>
      <c r="C88" s="37" t="s">
        <v>9323</v>
      </c>
      <c r="D88" s="38" t="n">
        <v>73</v>
      </c>
      <c r="E88" s="38"/>
    </row>
    <row r="89" customFormat="false" ht="15" hidden="false" customHeight="false" outlineLevel="0" collapsed="false">
      <c r="B89" s="37" t="s">
        <v>7452</v>
      </c>
      <c r="C89" s="37" t="s">
        <v>9324</v>
      </c>
      <c r="D89" s="38" t="n">
        <v>72</v>
      </c>
      <c r="E89" s="38"/>
    </row>
    <row r="90" customFormat="false" ht="15" hidden="false" customHeight="false" outlineLevel="0" collapsed="false">
      <c r="B90" s="37" t="s">
        <v>7454</v>
      </c>
      <c r="C90" s="37" t="s">
        <v>9325</v>
      </c>
      <c r="D90" s="38" t="n">
        <v>75</v>
      </c>
      <c r="E90" s="38"/>
    </row>
    <row r="91" customFormat="false" ht="15" hidden="false" customHeight="false" outlineLevel="0" collapsed="false">
      <c r="B91" s="37" t="s">
        <v>9326</v>
      </c>
      <c r="C91" s="37" t="s">
        <v>9238</v>
      </c>
      <c r="D91" s="38" t="n">
        <v>71</v>
      </c>
      <c r="E91" s="38"/>
    </row>
    <row r="92" customFormat="false" ht="15" hidden="false" customHeight="false" outlineLevel="0" collapsed="false">
      <c r="B92" s="37" t="s">
        <v>7458</v>
      </c>
      <c r="C92" s="37" t="s">
        <v>9327</v>
      </c>
      <c r="D92" s="38" t="n">
        <v>94</v>
      </c>
      <c r="E92" s="38"/>
    </row>
    <row r="93" customFormat="false" ht="15" hidden="false" customHeight="false" outlineLevel="0" collapsed="false">
      <c r="B93" s="37" t="s">
        <v>7460</v>
      </c>
      <c r="C93" s="37" t="s">
        <v>9328</v>
      </c>
      <c r="D93" s="38" t="n">
        <v>91</v>
      </c>
      <c r="E93" s="38"/>
    </row>
    <row r="94" customFormat="false" ht="15" hidden="false" customHeight="false" outlineLevel="0" collapsed="false">
      <c r="B94" s="37" t="s">
        <v>7462</v>
      </c>
      <c r="C94" s="37" t="s">
        <v>9329</v>
      </c>
      <c r="D94" s="38" t="n">
        <v>82</v>
      </c>
      <c r="E94" s="38"/>
    </row>
    <row r="95" customFormat="false" ht="15" hidden="false" customHeight="false" outlineLevel="0" collapsed="false">
      <c r="B95" s="37" t="s">
        <v>7467</v>
      </c>
      <c r="C95" s="37" t="s">
        <v>9330</v>
      </c>
      <c r="D95" s="38" t="n">
        <v>97</v>
      </c>
      <c r="E95" s="38"/>
    </row>
    <row r="96" customFormat="false" ht="15" hidden="false" customHeight="false" outlineLevel="0" collapsed="false">
      <c r="B96" s="37" t="s">
        <v>9331</v>
      </c>
      <c r="C96" s="37" t="s">
        <v>9332</v>
      </c>
      <c r="D96" s="38" t="n">
        <v>73</v>
      </c>
      <c r="E96" s="38"/>
    </row>
    <row r="97" customFormat="false" ht="15" hidden="false" customHeight="false" outlineLevel="0" collapsed="false">
      <c r="B97" s="37" t="s">
        <v>7469</v>
      </c>
      <c r="C97" s="37" t="s">
        <v>9239</v>
      </c>
      <c r="D97" s="38" t="n">
        <v>89</v>
      </c>
      <c r="E97" s="38"/>
    </row>
    <row r="98" customFormat="false" ht="15" hidden="false" customHeight="false" outlineLevel="0" collapsed="false">
      <c r="B98" s="37" t="s">
        <v>7470</v>
      </c>
      <c r="C98" s="37" t="s">
        <v>9333</v>
      </c>
      <c r="D98" s="38" t="n">
        <v>84</v>
      </c>
      <c r="E98" s="38"/>
    </row>
    <row r="99" customFormat="false" ht="15" hidden="false" customHeight="false" outlineLevel="0" collapsed="false">
      <c r="B99" s="37" t="s">
        <v>7472</v>
      </c>
      <c r="C99" s="37" t="s">
        <v>9334</v>
      </c>
      <c r="D99" s="38" t="n">
        <v>82</v>
      </c>
      <c r="E99" s="38"/>
    </row>
    <row r="100" customFormat="false" ht="15" hidden="false" customHeight="false" outlineLevel="0" collapsed="false">
      <c r="B100" s="37" t="s">
        <v>7474</v>
      </c>
      <c r="C100" s="37" t="s">
        <v>9232</v>
      </c>
      <c r="D100" s="38" t="n">
        <v>75</v>
      </c>
      <c r="E100" s="38"/>
    </row>
    <row r="101" customFormat="false" ht="15" hidden="false" customHeight="false" outlineLevel="0" collapsed="false">
      <c r="B101" s="37" t="s">
        <v>7477</v>
      </c>
      <c r="C101" s="37" t="s">
        <v>9335</v>
      </c>
      <c r="D101" s="38" t="n">
        <v>71</v>
      </c>
      <c r="E101" s="38"/>
    </row>
    <row r="102" customFormat="false" ht="15" hidden="false" customHeight="false" outlineLevel="0" collapsed="false">
      <c r="B102" s="37" t="s">
        <v>7479</v>
      </c>
      <c r="C102" s="37" t="s">
        <v>9336</v>
      </c>
      <c r="D102" s="38" t="n">
        <v>82</v>
      </c>
      <c r="E102" s="38"/>
    </row>
    <row r="103" customFormat="false" ht="15" hidden="false" customHeight="false" outlineLevel="0" collapsed="false">
      <c r="B103" s="37" t="s">
        <v>7485</v>
      </c>
      <c r="C103" s="37" t="s">
        <v>9239</v>
      </c>
      <c r="D103" s="38" t="n">
        <v>89</v>
      </c>
      <c r="E103" s="38"/>
    </row>
    <row r="104" customFormat="false" ht="15" hidden="false" customHeight="false" outlineLevel="0" collapsed="false">
      <c r="B104" s="37" t="s">
        <v>9337</v>
      </c>
      <c r="C104" s="37" t="s">
        <v>9338</v>
      </c>
      <c r="D104" s="38" t="n">
        <v>73</v>
      </c>
      <c r="E104" s="38"/>
    </row>
    <row r="105" customFormat="false" ht="15" hidden="false" customHeight="false" outlineLevel="0" collapsed="false">
      <c r="B105" s="37" t="s">
        <v>7486</v>
      </c>
      <c r="C105" s="37" t="s">
        <v>9339</v>
      </c>
      <c r="D105" s="38" t="n">
        <v>75</v>
      </c>
      <c r="E105" s="38"/>
    </row>
    <row r="106" customFormat="false" ht="15" hidden="false" customHeight="false" outlineLevel="0" collapsed="false">
      <c r="B106" s="37" t="s">
        <v>7488</v>
      </c>
      <c r="C106" s="37" t="s">
        <v>9340</v>
      </c>
      <c r="D106" s="38" t="n">
        <v>86</v>
      </c>
      <c r="E106" s="38"/>
    </row>
    <row r="107" customFormat="false" ht="15" hidden="false" customHeight="false" outlineLevel="0" collapsed="false">
      <c r="B107" s="37" t="s">
        <v>7490</v>
      </c>
      <c r="C107" s="37" t="s">
        <v>9341</v>
      </c>
      <c r="D107" s="38" t="n">
        <v>73</v>
      </c>
      <c r="E107" s="38"/>
    </row>
    <row r="108" customFormat="false" ht="15" hidden="false" customHeight="false" outlineLevel="0" collapsed="false">
      <c r="B108" s="37" t="s">
        <v>7492</v>
      </c>
      <c r="C108" s="37" t="s">
        <v>9342</v>
      </c>
      <c r="D108" s="38" t="n">
        <v>82</v>
      </c>
      <c r="E108" s="38"/>
    </row>
    <row r="109" customFormat="false" ht="15" hidden="false" customHeight="false" outlineLevel="0" collapsed="false">
      <c r="B109" s="37" t="s">
        <v>9343</v>
      </c>
      <c r="C109" s="37" t="s">
        <v>9344</v>
      </c>
      <c r="D109" s="38" t="n">
        <v>73</v>
      </c>
      <c r="E109" s="38"/>
    </row>
    <row r="110" customFormat="false" ht="15" hidden="false" customHeight="false" outlineLevel="0" collapsed="false">
      <c r="B110" s="37" t="s">
        <v>7496</v>
      </c>
      <c r="C110" s="37" t="s">
        <v>9345</v>
      </c>
      <c r="D110" s="38" t="n">
        <v>72</v>
      </c>
      <c r="E110" s="38"/>
    </row>
    <row r="111" customFormat="false" ht="15" hidden="false" customHeight="false" outlineLevel="0" collapsed="false">
      <c r="B111" s="37" t="s">
        <v>9346</v>
      </c>
      <c r="C111" s="37" t="s">
        <v>9231</v>
      </c>
      <c r="D111" s="38" t="n">
        <v>78</v>
      </c>
      <c r="E111" s="38"/>
    </row>
    <row r="112" customFormat="false" ht="15" hidden="false" customHeight="false" outlineLevel="0" collapsed="false">
      <c r="B112" s="37" t="s">
        <v>9347</v>
      </c>
      <c r="C112" s="37" t="s">
        <v>9237</v>
      </c>
      <c r="D112" s="38" t="n">
        <v>71</v>
      </c>
      <c r="E112" s="38"/>
    </row>
    <row r="113" customFormat="false" ht="15" hidden="false" customHeight="false" outlineLevel="0" collapsed="false">
      <c r="B113" s="37" t="s">
        <v>9348</v>
      </c>
      <c r="C113" s="37" t="s">
        <v>9240</v>
      </c>
      <c r="D113" s="38" t="n">
        <v>74</v>
      </c>
      <c r="E113" s="38"/>
    </row>
    <row r="114" customFormat="false" ht="15" hidden="false" customHeight="false" outlineLevel="0" collapsed="false">
      <c r="B114" s="37" t="s">
        <v>7504</v>
      </c>
      <c r="C114" s="37" t="s">
        <v>9349</v>
      </c>
      <c r="D114" s="38" t="n">
        <v>92</v>
      </c>
      <c r="E114" s="38"/>
    </row>
    <row r="115" customFormat="false" ht="15" hidden="false" customHeight="false" outlineLevel="0" collapsed="false">
      <c r="B115" s="37" t="s">
        <v>7508</v>
      </c>
      <c r="C115" s="37" t="s">
        <v>9350</v>
      </c>
      <c r="D115" s="38" t="n">
        <v>80</v>
      </c>
      <c r="E115" s="38"/>
    </row>
    <row r="116" customFormat="false" ht="15" hidden="false" customHeight="false" outlineLevel="0" collapsed="false">
      <c r="B116" s="37" t="s">
        <v>9351</v>
      </c>
      <c r="C116" s="37" t="s">
        <v>9229</v>
      </c>
      <c r="D116" s="38" t="n">
        <v>74</v>
      </c>
      <c r="E116" s="38"/>
    </row>
    <row r="117" customFormat="false" ht="15" hidden="false" customHeight="false" outlineLevel="0" collapsed="false">
      <c r="B117" s="37" t="s">
        <v>9352</v>
      </c>
      <c r="C117" s="37" t="s">
        <v>9353</v>
      </c>
      <c r="D117" s="38" t="n">
        <v>79</v>
      </c>
      <c r="E117" s="38"/>
    </row>
    <row r="118" customFormat="false" ht="15" hidden="false" customHeight="false" outlineLevel="0" collapsed="false">
      <c r="B118" s="37" t="s">
        <v>7510</v>
      </c>
      <c r="C118" s="37" t="s">
        <v>9354</v>
      </c>
      <c r="D118" s="38" t="n">
        <v>85</v>
      </c>
      <c r="E118" s="38"/>
    </row>
    <row r="119" customFormat="false" ht="15" hidden="false" customHeight="false" outlineLevel="0" collapsed="false">
      <c r="B119" s="37" t="s">
        <v>7512</v>
      </c>
      <c r="C119" s="37" t="s">
        <v>9355</v>
      </c>
      <c r="D119" s="38" t="n">
        <v>93</v>
      </c>
      <c r="E119" s="38"/>
    </row>
    <row r="120" customFormat="false" ht="15" hidden="false" customHeight="false" outlineLevel="0" collapsed="false">
      <c r="B120" s="37" t="s">
        <v>7514</v>
      </c>
      <c r="C120" s="37" t="s">
        <v>9356</v>
      </c>
      <c r="D120" s="38" t="n">
        <v>80</v>
      </c>
      <c r="E120" s="38"/>
    </row>
    <row r="121" customFormat="false" ht="15" hidden="false" customHeight="false" outlineLevel="0" collapsed="false">
      <c r="B121" s="37" t="s">
        <v>7200</v>
      </c>
      <c r="C121" s="37" t="s">
        <v>9357</v>
      </c>
      <c r="D121" s="38" t="n">
        <v>93</v>
      </c>
      <c r="E121" s="38"/>
    </row>
    <row r="122" customFormat="false" ht="15" hidden="false" customHeight="false" outlineLevel="0" collapsed="false">
      <c r="B122" s="37" t="s">
        <v>7517</v>
      </c>
      <c r="C122" s="37" t="s">
        <v>9358</v>
      </c>
      <c r="D122" s="38" t="n">
        <v>83</v>
      </c>
      <c r="E122" s="38"/>
    </row>
    <row r="123" customFormat="false" ht="15" hidden="false" customHeight="false" outlineLevel="0" collapsed="false">
      <c r="B123" s="37" t="s">
        <v>9359</v>
      </c>
      <c r="C123" s="37" t="s">
        <v>9234</v>
      </c>
      <c r="D123" s="38" t="n">
        <v>71</v>
      </c>
      <c r="E123" s="38"/>
    </row>
    <row r="124" customFormat="false" ht="15" hidden="false" customHeight="false" outlineLevel="0" collapsed="false">
      <c r="B124" s="37" t="s">
        <v>9360</v>
      </c>
      <c r="C124" s="37" t="s">
        <v>9236</v>
      </c>
      <c r="D124" s="38" t="n">
        <v>74</v>
      </c>
      <c r="E124" s="38"/>
    </row>
    <row r="125" customFormat="false" ht="15" hidden="false" customHeight="false" outlineLevel="0" collapsed="false">
      <c r="B125" s="37" t="s">
        <v>7522</v>
      </c>
      <c r="C125" s="37" t="s">
        <v>9361</v>
      </c>
      <c r="D125" s="38" t="n">
        <v>103</v>
      </c>
      <c r="E125" s="38"/>
    </row>
    <row r="126" customFormat="false" ht="15" hidden="false" customHeight="false" outlineLevel="0" collapsed="false">
      <c r="B126" s="37" t="s">
        <v>7527</v>
      </c>
      <c r="C126" s="37" t="s">
        <v>9362</v>
      </c>
      <c r="D126" s="38" t="n">
        <v>77</v>
      </c>
      <c r="E126" s="38"/>
    </row>
    <row r="127" customFormat="false" ht="15" hidden="false" customHeight="false" outlineLevel="0" collapsed="false">
      <c r="B127" s="37" t="s">
        <v>7529</v>
      </c>
      <c r="C127" s="37" t="s">
        <v>9363</v>
      </c>
      <c r="D127" s="38" t="n">
        <v>108</v>
      </c>
      <c r="E127" s="38"/>
    </row>
    <row r="128" customFormat="false" ht="15" hidden="false" customHeight="false" outlineLevel="0" collapsed="false">
      <c r="B128" s="37" t="s">
        <v>7531</v>
      </c>
      <c r="C128" s="37" t="s">
        <v>9364</v>
      </c>
      <c r="D128" s="38" t="n">
        <v>86</v>
      </c>
      <c r="E128" s="38"/>
    </row>
    <row r="129" customFormat="false" ht="15" hidden="false" customHeight="false" outlineLevel="0" collapsed="false">
      <c r="B129" s="37" t="s">
        <v>7199</v>
      </c>
      <c r="C129" s="37" t="s">
        <v>9365</v>
      </c>
      <c r="D129" s="38" t="n">
        <v>78</v>
      </c>
      <c r="E129" s="38"/>
    </row>
    <row r="130" customFormat="false" ht="15" hidden="false" customHeight="false" outlineLevel="0" collapsed="false">
      <c r="B130" s="37" t="s">
        <v>7534</v>
      </c>
      <c r="C130" s="37" t="s">
        <v>9366</v>
      </c>
      <c r="D130" s="38" t="n">
        <v>75</v>
      </c>
      <c r="E130" s="38"/>
    </row>
    <row r="131" customFormat="false" ht="15" hidden="false" customHeight="false" outlineLevel="0" collapsed="false">
      <c r="B131" s="37" t="s">
        <v>7538</v>
      </c>
      <c r="C131" s="37" t="s">
        <v>9367</v>
      </c>
      <c r="D131" s="38" t="n">
        <v>99</v>
      </c>
      <c r="E131" s="38"/>
    </row>
    <row r="132" customFormat="false" ht="15" hidden="false" customHeight="false" outlineLevel="0" collapsed="false">
      <c r="B132" s="37" t="s">
        <v>7540</v>
      </c>
      <c r="C132" s="37" t="s">
        <v>9368</v>
      </c>
      <c r="D132" s="38" t="n">
        <v>72</v>
      </c>
      <c r="E132" s="38"/>
    </row>
    <row r="133" customFormat="false" ht="15" hidden="false" customHeight="false" outlineLevel="0" collapsed="false">
      <c r="B133" s="37" t="s">
        <v>7544</v>
      </c>
      <c r="C133" s="37" t="s">
        <v>9230</v>
      </c>
      <c r="D133" s="38" t="n">
        <v>71</v>
      </c>
      <c r="E133" s="38"/>
    </row>
    <row r="134" customFormat="false" ht="15" hidden="false" customHeight="false" outlineLevel="0" collapsed="false">
      <c r="B134" s="37" t="s">
        <v>7545</v>
      </c>
      <c r="C134" s="37" t="s">
        <v>9369</v>
      </c>
      <c r="D134" s="38" t="n">
        <v>89</v>
      </c>
      <c r="E134" s="38"/>
    </row>
    <row r="135" customFormat="false" ht="15" hidden="false" customHeight="false" outlineLevel="0" collapsed="false">
      <c r="B135" s="37" t="s">
        <v>7547</v>
      </c>
      <c r="C135" s="37" t="s">
        <v>9370</v>
      </c>
      <c r="D135" s="38" t="n">
        <v>78</v>
      </c>
      <c r="E135" s="38"/>
    </row>
    <row r="136" customFormat="false" ht="15" hidden="false" customHeight="false" outlineLevel="0" collapsed="false">
      <c r="B136" s="37" t="s">
        <v>7551</v>
      </c>
      <c r="C136" s="37" t="s">
        <v>9371</v>
      </c>
      <c r="D136" s="38" t="n">
        <v>73</v>
      </c>
      <c r="E136" s="38"/>
    </row>
    <row r="137" customFormat="false" ht="15" hidden="false" customHeight="false" outlineLevel="0" collapsed="false">
      <c r="B137" s="37" t="s">
        <v>7554</v>
      </c>
      <c r="C137" s="37" t="s">
        <v>9372</v>
      </c>
      <c r="D137" s="38" t="n">
        <v>89</v>
      </c>
      <c r="E137" s="38"/>
    </row>
    <row r="138" customFormat="false" ht="15" hidden="false" customHeight="false" outlineLevel="0" collapsed="false">
      <c r="B138" s="37" t="s">
        <v>7562</v>
      </c>
      <c r="C138" s="37" t="s">
        <v>9373</v>
      </c>
      <c r="D138" s="38" t="n">
        <v>76</v>
      </c>
      <c r="E138" s="38"/>
    </row>
    <row r="139" customFormat="false" ht="15" hidden="false" customHeight="false" outlineLevel="0" collapsed="false">
      <c r="B139" s="37" t="s">
        <v>7564</v>
      </c>
      <c r="C139" s="37" t="s">
        <v>9374</v>
      </c>
      <c r="D139" s="38" t="n">
        <v>78</v>
      </c>
      <c r="E139" s="38"/>
    </row>
    <row r="140" customFormat="false" ht="15" hidden="false" customHeight="false" outlineLevel="0" collapsed="false">
      <c r="B140" s="37" t="s">
        <v>7566</v>
      </c>
      <c r="C140" s="37" t="s">
        <v>9375</v>
      </c>
      <c r="D140" s="38" t="n">
        <v>94</v>
      </c>
      <c r="E140" s="38"/>
    </row>
    <row r="141" customFormat="false" ht="15" hidden="false" customHeight="false" outlineLevel="0" collapsed="false">
      <c r="B141" s="37" t="s">
        <v>7568</v>
      </c>
      <c r="C141" s="37" t="s">
        <v>9376</v>
      </c>
      <c r="D141" s="38" t="n">
        <v>87</v>
      </c>
      <c r="E141" s="38"/>
    </row>
    <row r="142" customFormat="false" ht="15" hidden="false" customHeight="false" outlineLevel="0" collapsed="false">
      <c r="B142" s="37" t="s">
        <v>7570</v>
      </c>
      <c r="C142" s="37" t="s">
        <v>9377</v>
      </c>
      <c r="D142" s="38" t="n">
        <v>78</v>
      </c>
      <c r="E142" s="38"/>
    </row>
    <row r="143" customFormat="false" ht="15" hidden="false" customHeight="false" outlineLevel="0" collapsed="false">
      <c r="B143" s="37" t="s">
        <v>7572</v>
      </c>
      <c r="C143" s="37" t="s">
        <v>9378</v>
      </c>
      <c r="D143" s="38" t="n">
        <v>72</v>
      </c>
      <c r="E143" s="38"/>
    </row>
    <row r="144" customFormat="false" ht="15" hidden="false" customHeight="false" outlineLevel="0" collapsed="false">
      <c r="B144" s="37" t="s">
        <v>7574</v>
      </c>
      <c r="C144" s="37" t="s">
        <v>9379</v>
      </c>
      <c r="D144" s="38" t="n">
        <v>72</v>
      </c>
      <c r="E144" s="38"/>
    </row>
    <row r="145" customFormat="false" ht="15" hidden="false" customHeight="false" outlineLevel="0" collapsed="false">
      <c r="B145" s="37" t="s">
        <v>7576</v>
      </c>
      <c r="C145" s="37" t="s">
        <v>9380</v>
      </c>
      <c r="D145" s="38" t="n">
        <v>98</v>
      </c>
      <c r="E145" s="38"/>
    </row>
    <row r="146" customFormat="false" ht="15" hidden="false" customHeight="false" outlineLevel="0" collapsed="false">
      <c r="B146" s="37" t="s">
        <v>7578</v>
      </c>
      <c r="C146" s="37" t="s">
        <v>9381</v>
      </c>
      <c r="D146" s="38" t="n">
        <v>94</v>
      </c>
      <c r="E146" s="38"/>
    </row>
    <row r="147" customFormat="false" ht="15" hidden="false" customHeight="false" outlineLevel="0" collapsed="false">
      <c r="B147" s="37" t="s">
        <v>9382</v>
      </c>
      <c r="C147" s="37" t="s">
        <v>9234</v>
      </c>
      <c r="D147" s="38" t="n">
        <v>71</v>
      </c>
      <c r="E147" s="38"/>
    </row>
    <row r="148" customFormat="false" ht="15" hidden="false" customHeight="false" outlineLevel="0" collapsed="false">
      <c r="B148" s="37" t="s">
        <v>7582</v>
      </c>
      <c r="C148" s="37" t="s">
        <v>9383</v>
      </c>
      <c r="D148" s="38" t="n">
        <v>73</v>
      </c>
      <c r="E148" s="38"/>
    </row>
    <row r="149" customFormat="false" ht="15" hidden="false" customHeight="false" outlineLevel="0" collapsed="false">
      <c r="B149" s="37" t="s">
        <v>7584</v>
      </c>
      <c r="C149" s="37" t="s">
        <v>9384</v>
      </c>
      <c r="D149" s="38" t="n">
        <v>76</v>
      </c>
      <c r="E149" s="38"/>
    </row>
    <row r="150" customFormat="false" ht="15" hidden="false" customHeight="false" outlineLevel="0" collapsed="false">
      <c r="B150" s="37" t="s">
        <v>7588</v>
      </c>
      <c r="C150" s="37" t="s">
        <v>9385</v>
      </c>
      <c r="D150" s="38" t="n">
        <v>79</v>
      </c>
      <c r="E150" s="38"/>
    </row>
    <row r="151" customFormat="false" ht="15" hidden="false" customHeight="false" outlineLevel="0" collapsed="false">
      <c r="B151" s="37" t="s">
        <v>9386</v>
      </c>
      <c r="C151" s="37" t="s">
        <v>9387</v>
      </c>
      <c r="D151" s="38" t="n">
        <v>74</v>
      </c>
      <c r="E151" s="38"/>
    </row>
    <row r="152" customFormat="false" ht="15" hidden="false" customHeight="false" outlineLevel="0" collapsed="false">
      <c r="B152" s="37" t="s">
        <v>9388</v>
      </c>
      <c r="C152" s="37" t="s">
        <v>9389</v>
      </c>
      <c r="D152" s="38" t="n">
        <v>78</v>
      </c>
      <c r="E152" s="38"/>
    </row>
    <row r="153" customFormat="false" ht="15" hidden="false" customHeight="false" outlineLevel="0" collapsed="false">
      <c r="B153" s="37" t="s">
        <v>7592</v>
      </c>
      <c r="C153" s="37" t="s">
        <v>9390</v>
      </c>
      <c r="D153" s="38" t="n">
        <v>97</v>
      </c>
      <c r="E153" s="38"/>
    </row>
    <row r="154" customFormat="false" ht="15" hidden="false" customHeight="false" outlineLevel="0" collapsed="false">
      <c r="B154" s="37" t="s">
        <v>7596</v>
      </c>
      <c r="C154" s="37" t="s">
        <v>9391</v>
      </c>
      <c r="D154" s="38" t="n">
        <v>93</v>
      </c>
      <c r="E154" s="38"/>
    </row>
    <row r="155" customFormat="false" ht="15" hidden="false" customHeight="false" outlineLevel="0" collapsed="false">
      <c r="B155" s="37" t="s">
        <v>9392</v>
      </c>
      <c r="C155" s="37" t="s">
        <v>9393</v>
      </c>
      <c r="D155" s="38" t="n">
        <v>75</v>
      </c>
      <c r="E155" s="38"/>
    </row>
    <row r="156" customFormat="false" ht="15" hidden="false" customHeight="false" outlineLevel="0" collapsed="false">
      <c r="B156" s="37" t="s">
        <v>7600</v>
      </c>
      <c r="C156" s="37" t="s">
        <v>9394</v>
      </c>
      <c r="D156" s="38" t="n">
        <v>84</v>
      </c>
      <c r="E156" s="38"/>
    </row>
    <row r="157" customFormat="false" ht="15" hidden="false" customHeight="false" outlineLevel="0" collapsed="false">
      <c r="B157" s="37" t="s">
        <v>7606</v>
      </c>
      <c r="C157" s="37" t="s">
        <v>9395</v>
      </c>
      <c r="D157" s="38" t="n">
        <v>81</v>
      </c>
      <c r="E157" s="38"/>
    </row>
    <row r="158" customFormat="false" ht="15" hidden="false" customHeight="false" outlineLevel="0" collapsed="false">
      <c r="B158" s="37" t="s">
        <v>9396</v>
      </c>
      <c r="C158" s="37" t="s">
        <v>9242</v>
      </c>
      <c r="D158" s="38" t="n">
        <v>73</v>
      </c>
      <c r="E158" s="38"/>
    </row>
    <row r="159" customFormat="false" ht="15" hidden="false" customHeight="false" outlineLevel="0" collapsed="false">
      <c r="B159" s="37" t="s">
        <v>7611</v>
      </c>
      <c r="C159" s="37" t="s">
        <v>9397</v>
      </c>
      <c r="D159" s="38" t="n">
        <v>74</v>
      </c>
      <c r="E159" s="38"/>
    </row>
    <row r="160" customFormat="false" ht="15" hidden="false" customHeight="false" outlineLevel="0" collapsed="false">
      <c r="B160" s="37" t="s">
        <v>9398</v>
      </c>
      <c r="C160" s="37" t="s">
        <v>9399</v>
      </c>
      <c r="D160" s="38" t="n">
        <v>71</v>
      </c>
      <c r="E160" s="38"/>
    </row>
    <row r="161" customFormat="false" ht="15" hidden="false" customHeight="false" outlineLevel="0" collapsed="false">
      <c r="B161" s="37" t="s">
        <v>7619</v>
      </c>
      <c r="C161" s="37" t="s">
        <v>9400</v>
      </c>
      <c r="D161" s="38" t="n">
        <v>89</v>
      </c>
      <c r="E161" s="38"/>
    </row>
    <row r="162" customFormat="false" ht="15" hidden="false" customHeight="false" outlineLevel="0" collapsed="false">
      <c r="B162" s="37" t="s">
        <v>7633</v>
      </c>
      <c r="C162" s="37" t="s">
        <v>9317</v>
      </c>
      <c r="D162" s="38" t="n">
        <v>85</v>
      </c>
      <c r="E162" s="38"/>
    </row>
    <row r="163" customFormat="false" ht="15" hidden="false" customHeight="false" outlineLevel="0" collapsed="false">
      <c r="B163" s="37" t="s">
        <v>7634</v>
      </c>
      <c r="C163" s="37" t="s">
        <v>9401</v>
      </c>
      <c r="D163" s="38" t="n">
        <v>75</v>
      </c>
      <c r="E163" s="38"/>
    </row>
    <row r="164" customFormat="false" ht="15" hidden="false" customHeight="false" outlineLevel="0" collapsed="false">
      <c r="B164" s="37" t="s">
        <v>7209</v>
      </c>
      <c r="C164" s="37" t="s">
        <v>9402</v>
      </c>
      <c r="D164" s="38" t="n">
        <v>80</v>
      </c>
      <c r="E164" s="38"/>
    </row>
    <row r="165" customFormat="false" ht="15" hidden="false" customHeight="false" outlineLevel="0" collapsed="false">
      <c r="B165" s="37" t="s">
        <v>9403</v>
      </c>
      <c r="C165" s="37" t="s">
        <v>9404</v>
      </c>
      <c r="D165" s="38" t="n">
        <v>90</v>
      </c>
      <c r="E165" s="38"/>
    </row>
    <row r="166" customFormat="false" ht="15" hidden="false" customHeight="false" outlineLevel="0" collapsed="false">
      <c r="B166" s="37" t="s">
        <v>9405</v>
      </c>
      <c r="C166" s="37" t="s">
        <v>9241</v>
      </c>
      <c r="D166" s="38" t="n">
        <v>76</v>
      </c>
      <c r="E166" s="38"/>
    </row>
    <row r="167" customFormat="false" ht="15" hidden="false" customHeight="false" outlineLevel="0" collapsed="false">
      <c r="B167" s="37" t="s">
        <v>7637</v>
      </c>
      <c r="C167" s="37" t="s">
        <v>9406</v>
      </c>
      <c r="D167" s="38" t="n">
        <v>77</v>
      </c>
      <c r="E167" s="38"/>
    </row>
    <row r="168" customFormat="false" ht="15" hidden="false" customHeight="false" outlineLevel="0" collapsed="false">
      <c r="B168" s="37" t="s">
        <v>7643</v>
      </c>
      <c r="C168" s="37" t="s">
        <v>9407</v>
      </c>
      <c r="D168" s="38" t="n">
        <v>107</v>
      </c>
      <c r="E168" s="38"/>
    </row>
    <row r="169" customFormat="false" ht="15" hidden="false" customHeight="false" outlineLevel="0" collapsed="false">
      <c r="B169" s="37" t="s">
        <v>7211</v>
      </c>
      <c r="C169" s="37" t="s">
        <v>9408</v>
      </c>
      <c r="D169" s="38" t="n">
        <v>86</v>
      </c>
      <c r="E169" s="38"/>
    </row>
    <row r="170" customFormat="false" ht="15" hidden="false" customHeight="false" outlineLevel="0" collapsed="false">
      <c r="B170" s="37" t="s">
        <v>7652</v>
      </c>
      <c r="C170" s="37" t="s">
        <v>9409</v>
      </c>
      <c r="D170" s="38" t="n">
        <v>99</v>
      </c>
      <c r="E170" s="38"/>
    </row>
    <row r="171" customFormat="false" ht="15" hidden="false" customHeight="false" outlineLevel="0" collapsed="false">
      <c r="B171" s="37" t="s">
        <v>7655</v>
      </c>
      <c r="C171" s="37" t="s">
        <v>9410</v>
      </c>
      <c r="D171" s="38" t="n">
        <v>89</v>
      </c>
      <c r="E171" s="38"/>
    </row>
    <row r="172" customFormat="false" ht="15" hidden="false" customHeight="false" outlineLevel="0" collapsed="false">
      <c r="B172" s="37" t="s">
        <v>7661</v>
      </c>
      <c r="C172" s="37" t="s">
        <v>9411</v>
      </c>
      <c r="D172" s="38" t="n">
        <v>86</v>
      </c>
      <c r="E172" s="38"/>
    </row>
    <row r="173" customFormat="false" ht="15" hidden="false" customHeight="false" outlineLevel="0" collapsed="false">
      <c r="B173" s="37" t="s">
        <v>7663</v>
      </c>
      <c r="C173" s="37" t="s">
        <v>9412</v>
      </c>
      <c r="D173" s="38" t="n">
        <v>90</v>
      </c>
      <c r="E173" s="38"/>
    </row>
    <row r="174" customFormat="false" ht="15" hidden="false" customHeight="false" outlineLevel="0" collapsed="false">
      <c r="B174" s="37" t="s">
        <v>7665</v>
      </c>
      <c r="C174" s="37" t="s">
        <v>9413</v>
      </c>
      <c r="D174" s="38" t="n">
        <v>84</v>
      </c>
      <c r="E174" s="38"/>
    </row>
    <row r="175" customFormat="false" ht="15" hidden="false" customHeight="false" outlineLevel="0" collapsed="false">
      <c r="B175" s="37" t="s">
        <v>9414</v>
      </c>
      <c r="C175" s="37" t="s">
        <v>9241</v>
      </c>
      <c r="D175" s="38" t="n">
        <v>76</v>
      </c>
      <c r="E175" s="38"/>
    </row>
    <row r="176" customFormat="false" ht="15" hidden="false" customHeight="false" outlineLevel="0" collapsed="false">
      <c r="B176" s="37" t="s">
        <v>7667</v>
      </c>
      <c r="C176" s="37" t="s">
        <v>9415</v>
      </c>
      <c r="D176" s="38" t="n">
        <v>78</v>
      </c>
      <c r="E176" s="38"/>
    </row>
    <row r="177" customFormat="false" ht="15" hidden="false" customHeight="false" outlineLevel="0" collapsed="false">
      <c r="B177" s="37" t="s">
        <v>7669</v>
      </c>
      <c r="C177" s="37" t="s">
        <v>9416</v>
      </c>
      <c r="D177" s="38" t="n">
        <v>73</v>
      </c>
      <c r="E177" s="38"/>
    </row>
    <row r="178" customFormat="false" ht="15" hidden="false" customHeight="false" outlineLevel="0" collapsed="false">
      <c r="B178" s="37" t="s">
        <v>9417</v>
      </c>
      <c r="C178" s="37" t="s">
        <v>9231</v>
      </c>
      <c r="D178" s="38" t="n">
        <v>78</v>
      </c>
      <c r="E178" s="38"/>
    </row>
    <row r="179" customFormat="false" ht="15" hidden="false" customHeight="false" outlineLevel="0" collapsed="false">
      <c r="B179" s="37" t="s">
        <v>7673</v>
      </c>
      <c r="C179" s="37" t="s">
        <v>9235</v>
      </c>
      <c r="D179" s="38" t="n">
        <v>74</v>
      </c>
      <c r="E179" s="38"/>
    </row>
    <row r="180" customFormat="false" ht="15" hidden="false" customHeight="false" outlineLevel="0" collapsed="false">
      <c r="B180" s="37" t="s">
        <v>7674</v>
      </c>
      <c r="C180" s="37" t="s">
        <v>9418</v>
      </c>
      <c r="D180" s="38" t="n">
        <v>104</v>
      </c>
      <c r="E180" s="38"/>
    </row>
    <row r="181" customFormat="false" ht="15" hidden="false" customHeight="false" outlineLevel="0" collapsed="false">
      <c r="B181" s="37" t="s">
        <v>9419</v>
      </c>
      <c r="C181" s="37" t="s">
        <v>9420</v>
      </c>
      <c r="D181" s="38" t="n">
        <v>89</v>
      </c>
      <c r="E181" s="38"/>
    </row>
    <row r="182" customFormat="false" ht="15" hidden="false" customHeight="false" outlineLevel="0" collapsed="false">
      <c r="B182" s="37" t="s">
        <v>7677</v>
      </c>
      <c r="C182" s="37" t="s">
        <v>9421</v>
      </c>
      <c r="D182" s="38" t="n">
        <v>80</v>
      </c>
      <c r="E182" s="38"/>
    </row>
    <row r="183" customFormat="false" ht="15" hidden="false" customHeight="false" outlineLevel="0" collapsed="false">
      <c r="B183" s="37" t="s">
        <v>7681</v>
      </c>
      <c r="C183" s="37" t="s">
        <v>9422</v>
      </c>
      <c r="D183" s="38" t="n">
        <v>95</v>
      </c>
      <c r="E183" s="38"/>
    </row>
    <row r="184" customFormat="false" ht="15" hidden="false" customHeight="false" outlineLevel="0" collapsed="false">
      <c r="B184" s="37" t="s">
        <v>7683</v>
      </c>
      <c r="C184" s="37" t="s">
        <v>9423</v>
      </c>
      <c r="D184" s="38" t="n">
        <v>76</v>
      </c>
      <c r="E184" s="38"/>
    </row>
    <row r="185" customFormat="false" ht="15" hidden="false" customHeight="false" outlineLevel="0" collapsed="false">
      <c r="B185" s="37" t="s">
        <v>7687</v>
      </c>
      <c r="C185" s="37" t="s">
        <v>9424</v>
      </c>
      <c r="D185" s="38" t="n">
        <v>102</v>
      </c>
      <c r="E185" s="38"/>
    </row>
    <row r="186" customFormat="false" ht="15" hidden="false" customHeight="false" outlineLevel="0" collapsed="false">
      <c r="B186" s="37" t="s">
        <v>7689</v>
      </c>
      <c r="C186" s="37" t="s">
        <v>9425</v>
      </c>
      <c r="D186" s="38" t="n">
        <v>73</v>
      </c>
      <c r="E186" s="38"/>
    </row>
    <row r="187" customFormat="false" ht="15" hidden="false" customHeight="false" outlineLevel="0" collapsed="false">
      <c r="B187" s="37" t="s">
        <v>7691</v>
      </c>
      <c r="C187" s="37" t="s">
        <v>9426</v>
      </c>
      <c r="D187" s="38" t="n">
        <v>75</v>
      </c>
      <c r="E187" s="38"/>
    </row>
    <row r="188" customFormat="false" ht="15" hidden="false" customHeight="false" outlineLevel="0" collapsed="false">
      <c r="B188" s="37" t="s">
        <v>7693</v>
      </c>
      <c r="C188" s="37" t="s">
        <v>9427</v>
      </c>
      <c r="D188" s="38" t="n">
        <v>76</v>
      </c>
      <c r="E188" s="38"/>
    </row>
    <row r="189" customFormat="false" ht="15" hidden="false" customHeight="false" outlineLevel="0" collapsed="false">
      <c r="B189" s="37" t="s">
        <v>7699</v>
      </c>
      <c r="C189" s="37" t="s">
        <v>9428</v>
      </c>
      <c r="D189" s="38" t="n">
        <v>90</v>
      </c>
      <c r="E189" s="38"/>
    </row>
    <row r="190" customFormat="false" ht="15" hidden="false" customHeight="false" outlineLevel="0" collapsed="false">
      <c r="B190" s="37" t="s">
        <v>7701</v>
      </c>
      <c r="C190" s="37" t="s">
        <v>9429</v>
      </c>
      <c r="D190" s="38" t="n">
        <v>102</v>
      </c>
      <c r="E190" s="38"/>
    </row>
    <row r="191" customFormat="false" ht="15" hidden="false" customHeight="false" outlineLevel="0" collapsed="false">
      <c r="B191" s="37" t="s">
        <v>9430</v>
      </c>
      <c r="C191" s="37" t="s">
        <v>9431</v>
      </c>
      <c r="D191" s="38" t="n">
        <v>75</v>
      </c>
      <c r="E191" s="38"/>
    </row>
    <row r="192" customFormat="false" ht="15" hidden="false" customHeight="false" outlineLevel="0" collapsed="false">
      <c r="B192" s="37" t="s">
        <v>7705</v>
      </c>
      <c r="C192" s="37" t="s">
        <v>9432</v>
      </c>
      <c r="D192" s="38" t="n">
        <v>98</v>
      </c>
      <c r="E192" s="38"/>
    </row>
    <row r="193" customFormat="false" ht="15" hidden="false" customHeight="false" outlineLevel="0" collapsed="false">
      <c r="B193" s="37" t="s">
        <v>7707</v>
      </c>
      <c r="C193" s="37" t="s">
        <v>9232</v>
      </c>
      <c r="D193" s="38" t="n">
        <v>75</v>
      </c>
      <c r="E193" s="38"/>
    </row>
    <row r="194" customFormat="false" ht="15" hidden="false" customHeight="false" outlineLevel="0" collapsed="false">
      <c r="B194" s="37" t="s">
        <v>9433</v>
      </c>
      <c r="C194" s="37" t="s">
        <v>9434</v>
      </c>
      <c r="D194" s="38" t="n">
        <v>74</v>
      </c>
      <c r="E194" s="38"/>
    </row>
    <row r="195" customFormat="false" ht="15" hidden="false" customHeight="false" outlineLevel="0" collapsed="false">
      <c r="B195" s="37" t="s">
        <v>7108</v>
      </c>
      <c r="C195" s="37" t="s">
        <v>9435</v>
      </c>
      <c r="D195" s="38" t="n">
        <v>71</v>
      </c>
      <c r="E195" s="38"/>
    </row>
    <row r="196" customFormat="false" ht="15" hidden="false" customHeight="false" outlineLevel="0" collapsed="false">
      <c r="B196" s="37" t="s">
        <v>7714</v>
      </c>
      <c r="C196" s="37" t="s">
        <v>9436</v>
      </c>
      <c r="D196" s="38" t="n">
        <v>87</v>
      </c>
      <c r="E196" s="38"/>
    </row>
    <row r="197" customFormat="false" ht="15" hidden="false" customHeight="false" outlineLevel="0" collapsed="false">
      <c r="B197" s="37" t="s">
        <v>9437</v>
      </c>
      <c r="C197" s="37" t="s">
        <v>9438</v>
      </c>
      <c r="D197" s="38" t="n">
        <v>72</v>
      </c>
      <c r="E197" s="38"/>
    </row>
    <row r="198" customFormat="false" ht="15" hidden="false" customHeight="false" outlineLevel="0" collapsed="false">
      <c r="B198" s="37" t="s">
        <v>7720</v>
      </c>
      <c r="C198" s="37" t="s">
        <v>9439</v>
      </c>
      <c r="D198" s="38" t="n">
        <v>88</v>
      </c>
      <c r="E198" s="38"/>
    </row>
    <row r="199" customFormat="false" ht="15" hidden="false" customHeight="false" outlineLevel="0" collapsed="false">
      <c r="B199" s="37" t="s">
        <v>7724</v>
      </c>
      <c r="C199" s="37" t="s">
        <v>9440</v>
      </c>
      <c r="D199" s="38" t="n">
        <v>83</v>
      </c>
      <c r="E199" s="38"/>
    </row>
    <row r="200" customFormat="false" ht="15" hidden="false" customHeight="false" outlineLevel="0" collapsed="false">
      <c r="B200" s="37" t="s">
        <v>7726</v>
      </c>
      <c r="C200" s="37" t="s">
        <v>9441</v>
      </c>
      <c r="D200" s="38" t="n">
        <v>88</v>
      </c>
      <c r="E200" s="38"/>
    </row>
    <row r="201" customFormat="false" ht="15" hidden="false" customHeight="false" outlineLevel="0" collapsed="false">
      <c r="B201" s="37" t="s">
        <v>9442</v>
      </c>
      <c r="C201" s="37" t="s">
        <v>9443</v>
      </c>
      <c r="D201" s="38" t="n">
        <v>71</v>
      </c>
      <c r="E201" s="38"/>
    </row>
    <row r="202" customFormat="false" ht="15" hidden="false" customHeight="false" outlineLevel="0" collapsed="false">
      <c r="B202" s="37" t="s">
        <v>7050</v>
      </c>
      <c r="C202" s="37" t="s">
        <v>9434</v>
      </c>
      <c r="D202" s="38" t="n">
        <v>74</v>
      </c>
      <c r="E202" s="38"/>
    </row>
    <row r="203" customFormat="false" ht="15" hidden="false" customHeight="false" outlineLevel="0" collapsed="false">
      <c r="B203" s="37" t="s">
        <v>7735</v>
      </c>
      <c r="C203" s="37" t="s">
        <v>9444</v>
      </c>
      <c r="D203" s="38" t="n">
        <v>77</v>
      </c>
      <c r="E203" s="38"/>
    </row>
    <row r="204" customFormat="false" ht="15" hidden="false" customHeight="false" outlineLevel="0" collapsed="false">
      <c r="B204" s="37" t="s">
        <v>9445</v>
      </c>
      <c r="C204" s="37" t="s">
        <v>9446</v>
      </c>
      <c r="D204" s="38" t="n">
        <v>90</v>
      </c>
      <c r="E204" s="38"/>
    </row>
    <row r="205" customFormat="false" ht="15" hidden="false" customHeight="false" outlineLevel="0" collapsed="false">
      <c r="B205" s="37" t="s">
        <v>7104</v>
      </c>
      <c r="C205" s="37" t="s">
        <v>9447</v>
      </c>
      <c r="D205" s="38" t="n">
        <v>77</v>
      </c>
      <c r="E205" s="38"/>
    </row>
    <row r="206" customFormat="false" ht="15" hidden="false" customHeight="false" outlineLevel="0" collapsed="false">
      <c r="B206" s="37" t="s">
        <v>9448</v>
      </c>
      <c r="C206" s="37" t="s">
        <v>9449</v>
      </c>
      <c r="D206" s="38" t="n">
        <v>72</v>
      </c>
      <c r="E206" s="38"/>
    </row>
    <row r="207" customFormat="false" ht="15" hidden="false" customHeight="false" outlineLevel="0" collapsed="false">
      <c r="B207" s="37" t="s">
        <v>7740</v>
      </c>
      <c r="C207" s="37" t="s">
        <v>9450</v>
      </c>
      <c r="D207" s="38" t="n">
        <v>87</v>
      </c>
      <c r="E207" s="38"/>
    </row>
    <row r="208" customFormat="false" ht="15" hidden="false" customHeight="false" outlineLevel="0" collapsed="false">
      <c r="B208" s="37" t="s">
        <v>9451</v>
      </c>
      <c r="C208" s="37" t="s">
        <v>9452</v>
      </c>
      <c r="D208" s="38" t="n">
        <v>73</v>
      </c>
      <c r="E208" s="38"/>
    </row>
    <row r="209" customFormat="false" ht="15" hidden="false" customHeight="false" outlineLevel="0" collapsed="false">
      <c r="B209" s="37" t="s">
        <v>7743</v>
      </c>
      <c r="C209" s="37" t="s">
        <v>9453</v>
      </c>
      <c r="D209" s="38" t="n">
        <v>92</v>
      </c>
      <c r="E209" s="38"/>
    </row>
    <row r="210" customFormat="false" ht="15" hidden="false" customHeight="false" outlineLevel="0" collapsed="false">
      <c r="B210" s="37" t="s">
        <v>7745</v>
      </c>
      <c r="C210" s="37" t="s">
        <v>9454</v>
      </c>
      <c r="D210" s="38" t="n">
        <v>74</v>
      </c>
      <c r="E210" s="38"/>
    </row>
    <row r="211" customFormat="false" ht="15" hidden="false" customHeight="false" outlineLevel="0" collapsed="false">
      <c r="B211" s="37" t="s">
        <v>7269</v>
      </c>
      <c r="C211" s="37" t="s">
        <v>9243</v>
      </c>
      <c r="D211" s="38" t="n">
        <v>81</v>
      </c>
      <c r="E211" s="38"/>
    </row>
    <row r="212" customFormat="false" ht="15" hidden="false" customHeight="false" outlineLevel="0" collapsed="false">
      <c r="B212" s="37" t="s">
        <v>9455</v>
      </c>
      <c r="C212" s="37" t="s">
        <v>9456</v>
      </c>
      <c r="D212" s="38" t="n">
        <v>73</v>
      </c>
      <c r="E212" s="38"/>
    </row>
    <row r="213" customFormat="false" ht="15" hidden="false" customHeight="false" outlineLevel="0" collapsed="false">
      <c r="B213" s="37" t="s">
        <v>9457</v>
      </c>
      <c r="C213" s="37" t="s">
        <v>9458</v>
      </c>
      <c r="D213" s="38" t="n">
        <v>88</v>
      </c>
      <c r="E213" s="38"/>
    </row>
    <row r="214" customFormat="false" ht="15" hidden="false" customHeight="false" outlineLevel="0" collapsed="false">
      <c r="B214" s="37" t="s">
        <v>7751</v>
      </c>
      <c r="C214" s="37" t="s">
        <v>9459</v>
      </c>
      <c r="D214" s="38" t="n">
        <v>87</v>
      </c>
      <c r="E214" s="38"/>
    </row>
    <row r="215" customFormat="false" ht="15" hidden="false" customHeight="false" outlineLevel="0" collapsed="false">
      <c r="B215" s="37" t="s">
        <v>7754</v>
      </c>
      <c r="C215" s="37" t="s">
        <v>9460</v>
      </c>
      <c r="D215" s="38" t="n">
        <v>75</v>
      </c>
      <c r="E215" s="38"/>
    </row>
    <row r="216" customFormat="false" ht="15" hidden="false" customHeight="false" outlineLevel="0" collapsed="false">
      <c r="B216" s="37" t="s">
        <v>7071</v>
      </c>
      <c r="C216" s="37" t="s">
        <v>9461</v>
      </c>
      <c r="D216" s="38" t="n">
        <v>100</v>
      </c>
      <c r="E216" s="38"/>
    </row>
    <row r="217" customFormat="false" ht="15" hidden="false" customHeight="false" outlineLevel="0" collapsed="false">
      <c r="B217" s="37" t="s">
        <v>7757</v>
      </c>
      <c r="C217" s="37" t="s">
        <v>9462</v>
      </c>
      <c r="D217" s="38" t="n">
        <v>91</v>
      </c>
      <c r="E217" s="38"/>
    </row>
    <row r="218" customFormat="false" ht="15" hidden="false" customHeight="false" outlineLevel="0" collapsed="false">
      <c r="B218" s="37" t="s">
        <v>7760</v>
      </c>
      <c r="C218" s="37" t="s">
        <v>9463</v>
      </c>
      <c r="D218" s="38" t="n">
        <v>90</v>
      </c>
      <c r="E218" s="38"/>
    </row>
    <row r="219" customFormat="false" ht="15" hidden="false" customHeight="false" outlineLevel="0" collapsed="false">
      <c r="B219" s="37" t="s">
        <v>9464</v>
      </c>
      <c r="C219" s="37" t="s">
        <v>9465</v>
      </c>
      <c r="D219" s="38" t="n">
        <v>76</v>
      </c>
      <c r="E219" s="38"/>
    </row>
    <row r="220" customFormat="false" ht="15" hidden="false" customHeight="false" outlineLevel="0" collapsed="false">
      <c r="B220" s="37" t="s">
        <v>9466</v>
      </c>
      <c r="C220" s="37" t="s">
        <v>9435</v>
      </c>
      <c r="D220" s="38" t="n">
        <v>71</v>
      </c>
      <c r="E220" s="38"/>
    </row>
    <row r="221" customFormat="false" ht="15" hidden="false" customHeight="false" outlineLevel="0" collapsed="false">
      <c r="B221" s="37" t="s">
        <v>7768</v>
      </c>
      <c r="C221" s="37" t="s">
        <v>9467</v>
      </c>
      <c r="D221" s="38" t="n">
        <v>76</v>
      </c>
      <c r="E221" s="38"/>
    </row>
    <row r="222" customFormat="false" ht="15" hidden="false" customHeight="false" outlineLevel="0" collapsed="false">
      <c r="B222" s="37" t="s">
        <v>7772</v>
      </c>
      <c r="C222" s="37" t="s">
        <v>9468</v>
      </c>
      <c r="D222" s="38" t="n">
        <v>88</v>
      </c>
      <c r="E222" s="38"/>
    </row>
    <row r="223" customFormat="false" ht="15" hidden="false" customHeight="false" outlineLevel="0" collapsed="false">
      <c r="B223" s="37" t="s">
        <v>9469</v>
      </c>
      <c r="C223" s="37" t="s">
        <v>9470</v>
      </c>
      <c r="D223" s="38" t="n">
        <v>78</v>
      </c>
      <c r="E223" s="38"/>
    </row>
    <row r="224" customFormat="false" ht="15" hidden="false" customHeight="false" outlineLevel="0" collapsed="false">
      <c r="B224" s="37" t="s">
        <v>9471</v>
      </c>
      <c r="C224" s="37" t="s">
        <v>9435</v>
      </c>
      <c r="D224" s="38" t="n">
        <v>71</v>
      </c>
      <c r="E224" s="38"/>
    </row>
    <row r="225" customFormat="false" ht="15" hidden="false" customHeight="false" outlineLevel="0" collapsed="false">
      <c r="B225" s="37" t="s">
        <v>7117</v>
      </c>
      <c r="C225" s="37" t="s">
        <v>9458</v>
      </c>
      <c r="D225" s="38" t="n">
        <v>88</v>
      </c>
      <c r="E225" s="38"/>
    </row>
    <row r="226" customFormat="false" ht="15" hidden="false" customHeight="false" outlineLevel="0" collapsed="false">
      <c r="B226" s="37" t="s">
        <v>7152</v>
      </c>
      <c r="C226" s="37" t="s">
        <v>9472</v>
      </c>
      <c r="D226" s="38" t="n">
        <v>71</v>
      </c>
      <c r="E226" s="38"/>
    </row>
    <row r="227" customFormat="false" ht="15" hidden="false" customHeight="false" outlineLevel="0" collapsed="false">
      <c r="B227" s="37" t="s">
        <v>9473</v>
      </c>
      <c r="C227" s="37" t="s">
        <v>9435</v>
      </c>
      <c r="D227" s="38" t="n">
        <v>71</v>
      </c>
      <c r="E227" s="38"/>
    </row>
    <row r="228" customFormat="false" ht="15" hidden="false" customHeight="false" outlineLevel="0" collapsed="false">
      <c r="B228" s="37" t="s">
        <v>9474</v>
      </c>
      <c r="C228" s="37" t="s">
        <v>9434</v>
      </c>
      <c r="D228" s="38" t="n">
        <v>74</v>
      </c>
      <c r="E228" s="38"/>
    </row>
    <row r="229" customFormat="false" ht="15" hidden="false" customHeight="false" outlineLevel="0" collapsed="false">
      <c r="B229" s="37" t="s">
        <v>9475</v>
      </c>
      <c r="C229" s="37" t="s">
        <v>9476</v>
      </c>
      <c r="D229" s="38" t="n">
        <v>84</v>
      </c>
      <c r="E229" s="38"/>
    </row>
    <row r="230" customFormat="false" ht="15" hidden="false" customHeight="false" outlineLevel="0" collapsed="false">
      <c r="B230" s="37" t="s">
        <v>7783</v>
      </c>
      <c r="C230" s="37" t="s">
        <v>9477</v>
      </c>
      <c r="D230" s="38" t="n">
        <v>73</v>
      </c>
      <c r="E230" s="38"/>
    </row>
    <row r="231" customFormat="false" ht="15" hidden="false" customHeight="false" outlineLevel="0" collapsed="false">
      <c r="B231" s="37" t="s">
        <v>7786</v>
      </c>
      <c r="C231" s="37" t="s">
        <v>9478</v>
      </c>
      <c r="D231" s="38" t="n">
        <v>88</v>
      </c>
      <c r="E231" s="38"/>
    </row>
    <row r="232" customFormat="false" ht="15" hidden="false" customHeight="false" outlineLevel="0" collapsed="false">
      <c r="B232" s="37" t="s">
        <v>9479</v>
      </c>
      <c r="C232" s="37" t="s">
        <v>9470</v>
      </c>
      <c r="D232" s="38" t="n">
        <v>78</v>
      </c>
      <c r="E232" s="38"/>
    </row>
    <row r="233" customFormat="false" ht="15" hidden="false" customHeight="false" outlineLevel="0" collapsed="false">
      <c r="B233" s="37" t="s">
        <v>9480</v>
      </c>
      <c r="C233" s="37" t="s">
        <v>9481</v>
      </c>
      <c r="D233" s="38" t="n">
        <v>82</v>
      </c>
      <c r="E233" s="38"/>
    </row>
    <row r="234" customFormat="false" ht="15" hidden="false" customHeight="false" outlineLevel="0" collapsed="false">
      <c r="B234" s="37" t="s">
        <v>7792</v>
      </c>
      <c r="C234" s="37" t="s">
        <v>9482</v>
      </c>
      <c r="D234" s="38" t="n">
        <v>90</v>
      </c>
      <c r="E234" s="38"/>
    </row>
    <row r="235" customFormat="false" ht="15" hidden="false" customHeight="false" outlineLevel="0" collapsed="false">
      <c r="B235" s="37" t="s">
        <v>7140</v>
      </c>
      <c r="C235" s="37" t="s">
        <v>9483</v>
      </c>
      <c r="D235" s="38" t="n">
        <v>75</v>
      </c>
      <c r="E235" s="38"/>
    </row>
    <row r="236" customFormat="false" ht="15" hidden="false" customHeight="false" outlineLevel="0" collapsed="false">
      <c r="B236" s="37" t="s">
        <v>7181</v>
      </c>
      <c r="C236" s="37" t="s">
        <v>9243</v>
      </c>
      <c r="D236" s="38" t="n">
        <v>81</v>
      </c>
      <c r="E236" s="38"/>
    </row>
    <row r="237" customFormat="false" ht="15" hidden="false" customHeight="false" outlineLevel="0" collapsed="false">
      <c r="B237" s="37" t="s">
        <v>7797</v>
      </c>
      <c r="C237" s="37" t="s">
        <v>9484</v>
      </c>
      <c r="D237" s="38" t="n">
        <v>88</v>
      </c>
      <c r="E237" s="38"/>
    </row>
    <row r="238" customFormat="false" ht="15" hidden="false" customHeight="false" outlineLevel="0" collapsed="false">
      <c r="B238" s="37" t="s">
        <v>7799</v>
      </c>
      <c r="C238" s="37" t="s">
        <v>9485</v>
      </c>
      <c r="D238" s="38" t="n">
        <v>74</v>
      </c>
      <c r="E238" s="38"/>
    </row>
    <row r="239" customFormat="false" ht="15" hidden="false" customHeight="false" outlineLevel="0" collapsed="false">
      <c r="B239" s="37" t="s">
        <v>7801</v>
      </c>
      <c r="C239" s="37" t="s">
        <v>9472</v>
      </c>
      <c r="D239" s="38" t="n">
        <v>71</v>
      </c>
      <c r="E239" s="38"/>
    </row>
    <row r="240" customFormat="false" ht="15" hidden="false" customHeight="false" outlineLevel="0" collapsed="false">
      <c r="B240" s="37" t="s">
        <v>9486</v>
      </c>
      <c r="C240" s="37" t="s">
        <v>9481</v>
      </c>
      <c r="D240" s="38" t="n">
        <v>82</v>
      </c>
      <c r="E240" s="38"/>
    </row>
    <row r="241" customFormat="false" ht="15" hidden="false" customHeight="false" outlineLevel="0" collapsed="false">
      <c r="B241" s="37" t="s">
        <v>7062</v>
      </c>
      <c r="C241" s="37" t="s">
        <v>9481</v>
      </c>
      <c r="D241" s="38" t="n">
        <v>82</v>
      </c>
      <c r="E241" s="38"/>
    </row>
    <row r="242" customFormat="false" ht="15" hidden="false" customHeight="false" outlineLevel="0" collapsed="false">
      <c r="B242" s="37" t="s">
        <v>7052</v>
      </c>
      <c r="C242" s="37" t="s">
        <v>9470</v>
      </c>
      <c r="D242" s="38" t="n">
        <v>78</v>
      </c>
      <c r="E242" s="38"/>
    </row>
    <row r="243" customFormat="false" ht="15" hidden="false" customHeight="false" outlineLevel="0" collapsed="false">
      <c r="B243" s="37" t="s">
        <v>7804</v>
      </c>
      <c r="C243" s="37" t="s">
        <v>9487</v>
      </c>
      <c r="D243" s="38" t="n">
        <v>86</v>
      </c>
      <c r="E243" s="38"/>
    </row>
    <row r="244" customFormat="false" ht="15" hidden="false" customHeight="false" outlineLevel="0" collapsed="false">
      <c r="B244" s="37" t="s">
        <v>7806</v>
      </c>
      <c r="C244" s="37" t="s">
        <v>9488</v>
      </c>
      <c r="D244" s="38" t="n">
        <v>88</v>
      </c>
      <c r="E244" s="38"/>
    </row>
    <row r="245" customFormat="false" ht="15" hidden="false" customHeight="false" outlineLevel="0" collapsed="false">
      <c r="B245" s="37" t="s">
        <v>6886</v>
      </c>
      <c r="C245" s="37" t="s">
        <v>9489</v>
      </c>
      <c r="D245" s="38" t="n">
        <v>79</v>
      </c>
      <c r="E245" s="38"/>
    </row>
    <row r="246" customFormat="false" ht="15" hidden="false" customHeight="false" outlineLevel="0" collapsed="false">
      <c r="B246" s="37" t="s">
        <v>9490</v>
      </c>
      <c r="C246" s="37" t="s">
        <v>9491</v>
      </c>
      <c r="D246" s="38" t="n">
        <v>88</v>
      </c>
      <c r="E246" s="38"/>
    </row>
    <row r="247" customFormat="false" ht="15" hidden="false" customHeight="false" outlineLevel="0" collapsed="false">
      <c r="B247" s="37" t="s">
        <v>7808</v>
      </c>
      <c r="C247" s="37" t="s">
        <v>9492</v>
      </c>
      <c r="D247" s="38" t="n">
        <v>88</v>
      </c>
      <c r="E247" s="38"/>
    </row>
    <row r="248" customFormat="false" ht="15" hidden="false" customHeight="false" outlineLevel="0" collapsed="false">
      <c r="B248" s="37" t="s">
        <v>7810</v>
      </c>
      <c r="C248" s="37" t="s">
        <v>9493</v>
      </c>
      <c r="D248" s="38" t="n">
        <v>90</v>
      </c>
      <c r="E248" s="38"/>
    </row>
    <row r="249" customFormat="false" ht="15" hidden="false" customHeight="false" outlineLevel="0" collapsed="false">
      <c r="B249" s="37" t="s">
        <v>7246</v>
      </c>
      <c r="C249" s="37" t="s">
        <v>9494</v>
      </c>
      <c r="D249" s="38" t="n">
        <v>79</v>
      </c>
      <c r="E249" s="38"/>
    </row>
    <row r="250" customFormat="false" ht="15" hidden="false" customHeight="false" outlineLevel="0" collapsed="false">
      <c r="B250" s="37" t="s">
        <v>7815</v>
      </c>
      <c r="C250" s="37" t="s">
        <v>9495</v>
      </c>
      <c r="D250" s="38" t="n">
        <v>76</v>
      </c>
      <c r="E250" s="38"/>
    </row>
    <row r="251" customFormat="false" ht="15" hidden="false" customHeight="false" outlineLevel="0" collapsed="false">
      <c r="B251" s="37" t="s">
        <v>7818</v>
      </c>
      <c r="C251" s="37" t="s">
        <v>9472</v>
      </c>
      <c r="D251" s="38" t="n">
        <v>71</v>
      </c>
      <c r="E251" s="38"/>
    </row>
    <row r="252" customFormat="false" ht="15" hidden="false" customHeight="false" outlineLevel="0" collapsed="false">
      <c r="B252" s="37" t="s">
        <v>7821</v>
      </c>
      <c r="C252" s="37" t="s">
        <v>9496</v>
      </c>
      <c r="D252" s="38" t="n">
        <v>87</v>
      </c>
      <c r="E252" s="38"/>
    </row>
    <row r="253" customFormat="false" ht="15" hidden="false" customHeight="false" outlineLevel="0" collapsed="false">
      <c r="B253" s="37" t="s">
        <v>9497</v>
      </c>
      <c r="C253" s="37" t="s">
        <v>9498</v>
      </c>
      <c r="D253" s="38" t="n">
        <v>83</v>
      </c>
      <c r="E253" s="38"/>
    </row>
    <row r="254" customFormat="false" ht="15" hidden="false" customHeight="false" outlineLevel="0" collapsed="false">
      <c r="B254" s="37" t="s">
        <v>9499</v>
      </c>
      <c r="C254" s="37" t="s">
        <v>9500</v>
      </c>
      <c r="D254" s="38" t="n">
        <v>84</v>
      </c>
      <c r="E254" s="38"/>
    </row>
    <row r="255" customFormat="false" ht="15" hidden="false" customHeight="false" outlineLevel="0" collapsed="false">
      <c r="B255" s="37" t="s">
        <v>9501</v>
      </c>
      <c r="C255" s="37" t="s">
        <v>9489</v>
      </c>
      <c r="D255" s="38" t="n">
        <v>79</v>
      </c>
      <c r="E255" s="38"/>
    </row>
    <row r="256" customFormat="false" ht="15" hidden="false" customHeight="false" outlineLevel="0" collapsed="false">
      <c r="B256" s="37" t="s">
        <v>7831</v>
      </c>
      <c r="C256" s="37" t="s">
        <v>9317</v>
      </c>
      <c r="D256" s="38" t="n">
        <v>85</v>
      </c>
      <c r="E256" s="38"/>
    </row>
    <row r="257" customFormat="false" ht="15" hidden="false" customHeight="false" outlineLevel="0" collapsed="false">
      <c r="B257" s="37" t="s">
        <v>7229</v>
      </c>
      <c r="C257" s="37" t="s">
        <v>9502</v>
      </c>
      <c r="D257" s="38" t="n">
        <v>85</v>
      </c>
      <c r="E257" s="38"/>
    </row>
    <row r="258" customFormat="false" ht="15" hidden="false" customHeight="false" outlineLevel="0" collapsed="false">
      <c r="B258" s="37" t="s">
        <v>7840</v>
      </c>
      <c r="C258" s="37" t="s">
        <v>9503</v>
      </c>
      <c r="D258" s="38" t="n">
        <v>76</v>
      </c>
      <c r="E258" s="38"/>
    </row>
    <row r="259" customFormat="false" ht="15" hidden="false" customHeight="false" outlineLevel="0" collapsed="false">
      <c r="B259" s="37" t="s">
        <v>7842</v>
      </c>
      <c r="C259" s="37" t="s">
        <v>9504</v>
      </c>
      <c r="D259" s="38" t="n">
        <v>78</v>
      </c>
      <c r="E259" s="38"/>
    </row>
    <row r="260" customFormat="false" ht="15" hidden="false" customHeight="false" outlineLevel="0" collapsed="false">
      <c r="B260" s="37" t="s">
        <v>7845</v>
      </c>
      <c r="C260" s="37" t="s">
        <v>9505</v>
      </c>
      <c r="D260" s="38" t="n">
        <v>97</v>
      </c>
      <c r="E260" s="38"/>
    </row>
    <row r="261" customFormat="false" ht="15" hidden="false" customHeight="false" outlineLevel="0" collapsed="false">
      <c r="B261" s="37" t="s">
        <v>7849</v>
      </c>
      <c r="C261" s="37" t="s">
        <v>9506</v>
      </c>
      <c r="D261" s="38" t="n">
        <v>93</v>
      </c>
      <c r="E261" s="38"/>
    </row>
    <row r="262" customFormat="false" ht="15" hidden="false" customHeight="false" outlineLevel="0" collapsed="false">
      <c r="B262" s="37" t="s">
        <v>7853</v>
      </c>
      <c r="C262" s="37" t="s">
        <v>9507</v>
      </c>
      <c r="D262" s="38" t="n">
        <v>93</v>
      </c>
      <c r="E262" s="38"/>
    </row>
    <row r="263" customFormat="false" ht="15" hidden="false" customHeight="false" outlineLevel="0" collapsed="false">
      <c r="B263" s="37" t="s">
        <v>7189</v>
      </c>
      <c r="C263" s="37" t="s">
        <v>9508</v>
      </c>
      <c r="D263" s="38" t="n">
        <v>98</v>
      </c>
      <c r="E263" s="38"/>
    </row>
    <row r="264" customFormat="false" ht="15" hidden="false" customHeight="false" outlineLevel="0" collapsed="false">
      <c r="B264" s="37" t="s">
        <v>7859</v>
      </c>
      <c r="C264" s="37" t="s">
        <v>9509</v>
      </c>
      <c r="D264" s="38" t="n">
        <v>77</v>
      </c>
      <c r="E264" s="38"/>
    </row>
    <row r="265" customFormat="false" ht="15" hidden="false" customHeight="false" outlineLevel="0" collapsed="false">
      <c r="B265" s="37" t="s">
        <v>7124</v>
      </c>
      <c r="C265" s="37" t="s">
        <v>9510</v>
      </c>
      <c r="D265" s="38" t="n">
        <v>75</v>
      </c>
      <c r="E265" s="38"/>
    </row>
    <row r="266" customFormat="false" ht="15" hidden="false" customHeight="false" outlineLevel="0" collapsed="false">
      <c r="B266" s="37" t="s">
        <v>7234</v>
      </c>
      <c r="C266" s="37" t="s">
        <v>9511</v>
      </c>
      <c r="D266" s="38" t="n">
        <v>73</v>
      </c>
      <c r="E266" s="38"/>
    </row>
    <row r="267" customFormat="false" ht="15" hidden="false" customHeight="false" outlineLevel="0" collapsed="false">
      <c r="B267" s="37" t="s">
        <v>7873</v>
      </c>
      <c r="C267" s="37" t="s">
        <v>9512</v>
      </c>
      <c r="D267" s="38" t="n">
        <v>72</v>
      </c>
      <c r="E267" s="38"/>
    </row>
    <row r="268" customFormat="false" ht="15" hidden="false" customHeight="false" outlineLevel="0" collapsed="false">
      <c r="B268" s="37" t="s">
        <v>7875</v>
      </c>
      <c r="C268" s="37" t="s">
        <v>9513</v>
      </c>
      <c r="D268" s="38" t="n">
        <v>72</v>
      </c>
      <c r="E268" s="38"/>
    </row>
    <row r="269" customFormat="false" ht="15" hidden="false" customHeight="false" outlineLevel="0" collapsed="false">
      <c r="B269" s="37" t="s">
        <v>6994</v>
      </c>
      <c r="C269" s="37" t="s">
        <v>9514</v>
      </c>
      <c r="D269" s="38" t="n">
        <v>88</v>
      </c>
      <c r="E269" s="38"/>
    </row>
    <row r="270" customFormat="false" ht="15" hidden="false" customHeight="false" outlineLevel="0" collapsed="false">
      <c r="B270" s="37" t="s">
        <v>7879</v>
      </c>
      <c r="C270" s="37" t="s">
        <v>9515</v>
      </c>
      <c r="D270" s="38" t="n">
        <v>79</v>
      </c>
      <c r="E270" s="38"/>
    </row>
    <row r="271" customFormat="false" ht="15" hidden="false" customHeight="false" outlineLevel="0" collapsed="false">
      <c r="B271" s="37" t="s">
        <v>9516</v>
      </c>
      <c r="C271" s="37" t="s">
        <v>9517</v>
      </c>
      <c r="D271" s="38" t="n">
        <v>74</v>
      </c>
      <c r="E271" s="38"/>
    </row>
    <row r="272" customFormat="false" ht="15" hidden="false" customHeight="false" outlineLevel="0" collapsed="false">
      <c r="B272" s="37" t="s">
        <v>7881</v>
      </c>
      <c r="C272" s="37" t="s">
        <v>9518</v>
      </c>
      <c r="D272" s="38" t="n">
        <v>73</v>
      </c>
      <c r="E272" s="38"/>
    </row>
    <row r="273" customFormat="false" ht="15" hidden="false" customHeight="false" outlineLevel="0" collapsed="false">
      <c r="B273" s="37" t="s">
        <v>9519</v>
      </c>
      <c r="C273" s="37" t="s">
        <v>9510</v>
      </c>
      <c r="D273" s="38" t="n">
        <v>75</v>
      </c>
      <c r="E273" s="38"/>
    </row>
    <row r="274" customFormat="false" ht="15" hidden="false" customHeight="false" outlineLevel="0" collapsed="false">
      <c r="B274" s="37" t="s">
        <v>7884</v>
      </c>
      <c r="C274" s="37" t="s">
        <v>9520</v>
      </c>
      <c r="D274" s="38" t="n">
        <v>99</v>
      </c>
      <c r="E274" s="38"/>
    </row>
    <row r="275" customFormat="false" ht="15" hidden="false" customHeight="false" outlineLevel="0" collapsed="false">
      <c r="B275" s="37" t="s">
        <v>9521</v>
      </c>
      <c r="C275" s="37" t="s">
        <v>9522</v>
      </c>
      <c r="D275" s="38" t="n">
        <v>89</v>
      </c>
      <c r="E275" s="38"/>
    </row>
    <row r="276" customFormat="false" ht="15" hidden="false" customHeight="false" outlineLevel="0" collapsed="false">
      <c r="B276" s="37" t="s">
        <v>6930</v>
      </c>
      <c r="C276" s="37" t="s">
        <v>9523</v>
      </c>
      <c r="D276" s="38" t="n">
        <v>87</v>
      </c>
      <c r="E276" s="38"/>
    </row>
    <row r="277" customFormat="false" ht="15" hidden="false" customHeight="false" outlineLevel="0" collapsed="false">
      <c r="B277" s="37" t="s">
        <v>7217</v>
      </c>
      <c r="C277" s="37" t="s">
        <v>9524</v>
      </c>
      <c r="D277" s="38" t="n">
        <v>98</v>
      </c>
      <c r="E277" s="38"/>
    </row>
    <row r="278" customFormat="false" ht="15" hidden="false" customHeight="false" outlineLevel="0" collapsed="false">
      <c r="B278" s="37" t="s">
        <v>9525</v>
      </c>
      <c r="C278" s="37" t="s">
        <v>9447</v>
      </c>
      <c r="D278" s="38" t="n">
        <v>77</v>
      </c>
      <c r="E278" s="38"/>
    </row>
    <row r="279" customFormat="false" ht="15" hidden="false" customHeight="false" outlineLevel="0" collapsed="false">
      <c r="B279" s="37" t="s">
        <v>7148</v>
      </c>
      <c r="C279" s="37" t="s">
        <v>9491</v>
      </c>
      <c r="D279" s="38" t="n">
        <v>88</v>
      </c>
      <c r="E279" s="38"/>
    </row>
    <row r="280" customFormat="false" ht="15" hidden="false" customHeight="false" outlineLevel="0" collapsed="false">
      <c r="B280" s="37" t="s">
        <v>7070</v>
      </c>
      <c r="C280" s="37" t="s">
        <v>9456</v>
      </c>
      <c r="D280" s="38" t="n">
        <v>73</v>
      </c>
      <c r="E280" s="38"/>
    </row>
    <row r="281" customFormat="false" ht="15" hidden="false" customHeight="false" outlineLevel="0" collapsed="false">
      <c r="B281" s="37" t="s">
        <v>9526</v>
      </c>
      <c r="C281" s="37" t="s">
        <v>9447</v>
      </c>
      <c r="D281" s="38" t="n">
        <v>77</v>
      </c>
      <c r="E281" s="38"/>
    </row>
    <row r="282" customFormat="false" ht="15" hidden="false" customHeight="false" outlineLevel="0" collapsed="false">
      <c r="B282" s="37" t="s">
        <v>7006</v>
      </c>
      <c r="C282" s="37" t="s">
        <v>9496</v>
      </c>
      <c r="D282" s="38" t="n">
        <v>87</v>
      </c>
      <c r="E282" s="38"/>
    </row>
    <row r="283" customFormat="false" ht="15" hidden="false" customHeight="false" outlineLevel="0" collapsed="false">
      <c r="B283" s="37" t="s">
        <v>7901</v>
      </c>
      <c r="C283" s="37" t="s">
        <v>9527</v>
      </c>
      <c r="D283" s="38" t="n">
        <v>88</v>
      </c>
      <c r="E283" s="38"/>
    </row>
    <row r="284" customFormat="false" ht="15" hidden="false" customHeight="false" outlineLevel="0" collapsed="false">
      <c r="B284" s="37" t="s">
        <v>7906</v>
      </c>
      <c r="C284" s="37" t="s">
        <v>9528</v>
      </c>
      <c r="D284" s="38" t="n">
        <v>72</v>
      </c>
      <c r="E284" s="38"/>
    </row>
    <row r="285" customFormat="false" ht="15" hidden="false" customHeight="false" outlineLevel="0" collapsed="false">
      <c r="B285" s="37" t="s">
        <v>9529</v>
      </c>
      <c r="C285" s="37" t="s">
        <v>9530</v>
      </c>
      <c r="D285" s="38" t="n">
        <v>74</v>
      </c>
      <c r="E285" s="38"/>
    </row>
    <row r="286" customFormat="false" ht="15" hidden="false" customHeight="false" outlineLevel="0" collapsed="false">
      <c r="B286" s="37" t="s">
        <v>7912</v>
      </c>
      <c r="C286" s="37" t="s">
        <v>9531</v>
      </c>
      <c r="D286" s="38" t="n">
        <v>73</v>
      </c>
      <c r="E286" s="38"/>
    </row>
    <row r="287" customFormat="false" ht="15" hidden="false" customHeight="false" outlineLevel="0" collapsed="false">
      <c r="B287" s="37" t="s">
        <v>9532</v>
      </c>
      <c r="C287" s="37" t="s">
        <v>9533</v>
      </c>
      <c r="D287" s="38" t="n">
        <v>79</v>
      </c>
      <c r="E287" s="38"/>
    </row>
    <row r="288" customFormat="false" ht="15" hidden="false" customHeight="false" outlineLevel="0" collapsed="false">
      <c r="B288" s="37" t="s">
        <v>6892</v>
      </c>
      <c r="C288" s="37" t="s">
        <v>9534</v>
      </c>
      <c r="D288" s="38" t="n">
        <v>88</v>
      </c>
      <c r="E288" s="38"/>
    </row>
    <row r="289" customFormat="false" ht="15" hidden="false" customHeight="false" outlineLevel="0" collapsed="false">
      <c r="B289" s="37" t="s">
        <v>7925</v>
      </c>
      <c r="C289" s="37" t="s">
        <v>9535</v>
      </c>
      <c r="D289" s="38" t="n">
        <v>78</v>
      </c>
      <c r="E289" s="38"/>
    </row>
    <row r="290" customFormat="false" ht="15" hidden="false" customHeight="false" outlineLevel="0" collapsed="false">
      <c r="B290" s="37" t="s">
        <v>6904</v>
      </c>
      <c r="C290" s="37" t="s">
        <v>9436</v>
      </c>
      <c r="D290" s="38" t="n">
        <v>87</v>
      </c>
      <c r="E290" s="38"/>
    </row>
    <row r="291" customFormat="false" ht="15" hidden="false" customHeight="false" outlineLevel="0" collapsed="false">
      <c r="B291" s="37" t="s">
        <v>7929</v>
      </c>
      <c r="C291" s="37" t="s">
        <v>9536</v>
      </c>
      <c r="D291" s="38" t="n">
        <v>98</v>
      </c>
      <c r="E291" s="38"/>
    </row>
    <row r="292" customFormat="false" ht="15" hidden="false" customHeight="false" outlineLevel="0" collapsed="false">
      <c r="B292" s="37" t="s">
        <v>7931</v>
      </c>
      <c r="C292" s="37" t="s">
        <v>9537</v>
      </c>
      <c r="D292" s="38" t="n">
        <v>104</v>
      </c>
      <c r="E292" s="38"/>
    </row>
    <row r="293" customFormat="false" ht="15" hidden="false" customHeight="false" outlineLevel="0" collapsed="false">
      <c r="B293" s="37" t="s">
        <v>7933</v>
      </c>
      <c r="C293" s="37" t="s">
        <v>9538</v>
      </c>
      <c r="D293" s="38" t="n">
        <v>79</v>
      </c>
      <c r="E293" s="38"/>
    </row>
    <row r="294" customFormat="false" ht="15" hidden="false" customHeight="false" outlineLevel="0" collapsed="false">
      <c r="B294" s="37" t="s">
        <v>7935</v>
      </c>
      <c r="C294" s="37" t="s">
        <v>9539</v>
      </c>
      <c r="D294" s="38" t="n">
        <v>74</v>
      </c>
      <c r="E294" s="38"/>
    </row>
    <row r="295" customFormat="false" ht="15" hidden="false" customHeight="false" outlineLevel="0" collapsed="false">
      <c r="B295" s="37" t="s">
        <v>7203</v>
      </c>
      <c r="C295" s="37" t="s">
        <v>9540</v>
      </c>
      <c r="D295" s="38" t="n">
        <v>94</v>
      </c>
      <c r="E295" s="38"/>
    </row>
    <row r="296" customFormat="false" ht="15" hidden="false" customHeight="false" outlineLevel="0" collapsed="false">
      <c r="B296" s="37" t="s">
        <v>7092</v>
      </c>
      <c r="C296" s="37" t="s">
        <v>9511</v>
      </c>
      <c r="D296" s="38" t="n">
        <v>73</v>
      </c>
      <c r="E296" s="38"/>
    </row>
    <row r="297" customFormat="false" ht="15" hidden="false" customHeight="false" outlineLevel="0" collapsed="false">
      <c r="B297" s="37" t="s">
        <v>9541</v>
      </c>
      <c r="C297" s="37" t="s">
        <v>9542</v>
      </c>
      <c r="D297" s="38" t="n">
        <v>73</v>
      </c>
      <c r="E297" s="38"/>
    </row>
    <row r="298" customFormat="false" ht="15" hidden="false" customHeight="false" outlineLevel="0" collapsed="false">
      <c r="B298" s="37" t="s">
        <v>9543</v>
      </c>
      <c r="C298" s="37" t="s">
        <v>9544</v>
      </c>
      <c r="D298" s="38" t="n">
        <v>74</v>
      </c>
      <c r="E298" s="38"/>
    </row>
    <row r="299" customFormat="false" ht="15" hidden="false" customHeight="false" outlineLevel="0" collapsed="false">
      <c r="B299" s="37" t="s">
        <v>6878</v>
      </c>
      <c r="C299" s="37" t="s">
        <v>9545</v>
      </c>
      <c r="D299" s="38" t="n">
        <v>88</v>
      </c>
      <c r="E299" s="38"/>
    </row>
    <row r="300" customFormat="false" ht="15" hidden="false" customHeight="false" outlineLevel="0" collapsed="false">
      <c r="B300" s="37" t="s">
        <v>7946</v>
      </c>
      <c r="C300" s="37" t="s">
        <v>9546</v>
      </c>
      <c r="D300" s="38" t="n">
        <v>79</v>
      </c>
      <c r="E300" s="38"/>
    </row>
    <row r="301" customFormat="false" ht="15" hidden="false" customHeight="false" outlineLevel="0" collapsed="false">
      <c r="B301" s="37" t="s">
        <v>9547</v>
      </c>
      <c r="C301" s="37" t="s">
        <v>9510</v>
      </c>
      <c r="D301" s="38" t="n">
        <v>75</v>
      </c>
      <c r="E301" s="38"/>
    </row>
    <row r="302" customFormat="false" ht="15" hidden="false" customHeight="false" outlineLevel="0" collapsed="false">
      <c r="B302" s="37" t="s">
        <v>9548</v>
      </c>
      <c r="C302" s="37" t="s">
        <v>9549</v>
      </c>
      <c r="D302" s="38" t="n">
        <v>77</v>
      </c>
      <c r="E302" s="38"/>
    </row>
    <row r="303" customFormat="false" ht="15" hidden="false" customHeight="false" outlineLevel="0" collapsed="false">
      <c r="B303" s="37" t="s">
        <v>6944</v>
      </c>
      <c r="C303" s="37" t="s">
        <v>9450</v>
      </c>
      <c r="D303" s="38" t="n">
        <v>87</v>
      </c>
      <c r="E303" s="38"/>
    </row>
    <row r="304" customFormat="false" ht="15" hidden="false" customHeight="false" outlineLevel="0" collapsed="false">
      <c r="B304" s="37" t="s">
        <v>7967</v>
      </c>
      <c r="C304" s="37" t="s">
        <v>9550</v>
      </c>
      <c r="D304" s="38" t="n">
        <v>86</v>
      </c>
      <c r="E304" s="38"/>
    </row>
    <row r="305" customFormat="false" ht="15" hidden="false" customHeight="false" outlineLevel="0" collapsed="false">
      <c r="B305" s="37" t="s">
        <v>7227</v>
      </c>
      <c r="C305" s="37" t="s">
        <v>9551</v>
      </c>
      <c r="D305" s="38" t="n">
        <v>96</v>
      </c>
      <c r="E305" s="38"/>
    </row>
    <row r="306" customFormat="false" ht="15" hidden="false" customHeight="false" outlineLevel="0" collapsed="false">
      <c r="B306" s="37" t="s">
        <v>9552</v>
      </c>
      <c r="C306" s="37" t="s">
        <v>9553</v>
      </c>
      <c r="D306" s="38" t="n">
        <v>78</v>
      </c>
      <c r="E306" s="38"/>
    </row>
    <row r="307" customFormat="false" ht="15" hidden="false" customHeight="false" outlineLevel="0" collapsed="false">
      <c r="B307" s="37" t="s">
        <v>7983</v>
      </c>
      <c r="C307" s="37" t="s">
        <v>9554</v>
      </c>
      <c r="D307" s="38" t="n">
        <v>78</v>
      </c>
      <c r="E307" s="38"/>
    </row>
    <row r="308" customFormat="false" ht="15" hidden="false" customHeight="false" outlineLevel="0" collapsed="false">
      <c r="B308" s="37" t="s">
        <v>7985</v>
      </c>
      <c r="C308" s="37" t="s">
        <v>9496</v>
      </c>
      <c r="D308" s="38" t="n">
        <v>87</v>
      </c>
      <c r="E308" s="38"/>
    </row>
    <row r="309" customFormat="false" ht="15" hidden="false" customHeight="false" outlineLevel="0" collapsed="false">
      <c r="B309" s="37" t="s">
        <v>9555</v>
      </c>
      <c r="C309" s="37" t="s">
        <v>9542</v>
      </c>
      <c r="D309" s="38" t="n">
        <v>73</v>
      </c>
      <c r="E309" s="38"/>
    </row>
    <row r="310" customFormat="false" ht="15" hidden="false" customHeight="false" outlineLevel="0" collapsed="false">
      <c r="B310" s="37" t="s">
        <v>7988</v>
      </c>
      <c r="C310" s="37" t="s">
        <v>9556</v>
      </c>
      <c r="D310" s="38" t="n">
        <v>80</v>
      </c>
      <c r="E310" s="38"/>
    </row>
    <row r="311" customFormat="false" ht="15" hidden="false" customHeight="false" outlineLevel="0" collapsed="false">
      <c r="B311" s="37" t="s">
        <v>9557</v>
      </c>
      <c r="C311" s="37" t="s">
        <v>9558</v>
      </c>
      <c r="D311" s="38" t="n">
        <v>75</v>
      </c>
      <c r="E311" s="38"/>
    </row>
    <row r="312" customFormat="false" ht="15" hidden="false" customHeight="false" outlineLevel="0" collapsed="false">
      <c r="B312" s="37" t="s">
        <v>7079</v>
      </c>
      <c r="C312" s="37" t="s">
        <v>9542</v>
      </c>
      <c r="D312" s="38" t="n">
        <v>73</v>
      </c>
      <c r="E312" s="38"/>
    </row>
    <row r="313" customFormat="false" ht="15" hidden="false" customHeight="false" outlineLevel="0" collapsed="false">
      <c r="B313" s="37" t="s">
        <v>7998</v>
      </c>
      <c r="C313" s="37" t="s">
        <v>9559</v>
      </c>
      <c r="D313" s="38" t="n">
        <v>95</v>
      </c>
      <c r="E313" s="38"/>
    </row>
    <row r="314" customFormat="false" ht="15" hidden="false" customHeight="false" outlineLevel="0" collapsed="false">
      <c r="B314" s="37" t="s">
        <v>9560</v>
      </c>
      <c r="C314" s="37" t="s">
        <v>9456</v>
      </c>
      <c r="D314" s="38" t="n">
        <v>73</v>
      </c>
      <c r="E314" s="38"/>
    </row>
    <row r="315" customFormat="false" ht="15" hidden="false" customHeight="false" outlineLevel="0" collapsed="false">
      <c r="B315" s="37" t="s">
        <v>8004</v>
      </c>
      <c r="C315" s="37" t="s">
        <v>9561</v>
      </c>
      <c r="D315" s="38" t="n">
        <v>96</v>
      </c>
      <c r="E315" s="38"/>
    </row>
    <row r="316" customFormat="false" ht="15" hidden="false" customHeight="false" outlineLevel="0" collapsed="false">
      <c r="B316" s="37" t="s">
        <v>7002</v>
      </c>
      <c r="C316" s="37" t="s">
        <v>9468</v>
      </c>
      <c r="D316" s="38" t="n">
        <v>88</v>
      </c>
      <c r="E316" s="38"/>
    </row>
    <row r="317" customFormat="false" ht="15" hidden="false" customHeight="false" outlineLevel="0" collapsed="false">
      <c r="B317" s="37" t="s">
        <v>8007</v>
      </c>
      <c r="C317" s="37" t="s">
        <v>9562</v>
      </c>
      <c r="D317" s="38" t="n">
        <v>81</v>
      </c>
      <c r="E317" s="38"/>
    </row>
    <row r="318" customFormat="false" ht="15" hidden="false" customHeight="false" outlineLevel="0" collapsed="false">
      <c r="B318" s="37" t="s">
        <v>8009</v>
      </c>
      <c r="C318" s="37" t="s">
        <v>9563</v>
      </c>
      <c r="D318" s="38" t="n">
        <v>71</v>
      </c>
      <c r="E318" s="38"/>
    </row>
    <row r="319" customFormat="false" ht="15" hidden="false" customHeight="false" outlineLevel="0" collapsed="false">
      <c r="B319" s="37" t="s">
        <v>8013</v>
      </c>
      <c r="C319" s="37" t="s">
        <v>9436</v>
      </c>
      <c r="D319" s="38" t="n">
        <v>87</v>
      </c>
      <c r="E319" s="38"/>
    </row>
    <row r="320" customFormat="false" ht="15" hidden="false" customHeight="false" outlineLevel="0" collapsed="false">
      <c r="B320" s="37" t="s">
        <v>8018</v>
      </c>
      <c r="C320" s="37" t="s">
        <v>9564</v>
      </c>
      <c r="D320" s="38" t="n">
        <v>74</v>
      </c>
      <c r="E320" s="38"/>
    </row>
    <row r="321" customFormat="false" ht="15" hidden="false" customHeight="false" outlineLevel="0" collapsed="false">
      <c r="B321" s="37" t="s">
        <v>9565</v>
      </c>
      <c r="C321" s="37" t="s">
        <v>9566</v>
      </c>
      <c r="D321" s="38" t="n">
        <v>87</v>
      </c>
      <c r="E321" s="38"/>
    </row>
    <row r="322" customFormat="false" ht="15" hidden="false" customHeight="false" outlineLevel="0" collapsed="false">
      <c r="B322" s="37" t="s">
        <v>8023</v>
      </c>
      <c r="C322" s="37" t="s">
        <v>9478</v>
      </c>
      <c r="D322" s="38" t="n">
        <v>88</v>
      </c>
      <c r="E322" s="38"/>
    </row>
    <row r="323" customFormat="false" ht="15" hidden="false" customHeight="false" outlineLevel="0" collapsed="false">
      <c r="B323" s="37" t="s">
        <v>8024</v>
      </c>
      <c r="C323" s="37" t="s">
        <v>9567</v>
      </c>
      <c r="D323" s="38" t="n">
        <v>83</v>
      </c>
      <c r="E323" s="38"/>
    </row>
    <row r="324" customFormat="false" ht="15" hidden="false" customHeight="false" outlineLevel="0" collapsed="false">
      <c r="B324" s="37" t="s">
        <v>7208</v>
      </c>
      <c r="C324" s="37" t="s">
        <v>9511</v>
      </c>
      <c r="D324" s="38" t="n">
        <v>73</v>
      </c>
      <c r="E324" s="38"/>
    </row>
    <row r="325" customFormat="false" ht="15" hidden="false" customHeight="false" outlineLevel="0" collapsed="false">
      <c r="B325" s="37" t="s">
        <v>8032</v>
      </c>
      <c r="C325" s="37" t="s">
        <v>9568</v>
      </c>
      <c r="D325" s="38" t="n">
        <v>73</v>
      </c>
      <c r="E325" s="38"/>
    </row>
    <row r="326" customFormat="false" ht="15" hidden="false" customHeight="false" outlineLevel="0" collapsed="false">
      <c r="B326" s="37" t="s">
        <v>9569</v>
      </c>
      <c r="C326" s="37" t="s">
        <v>9570</v>
      </c>
      <c r="D326" s="38" t="n">
        <v>85</v>
      </c>
      <c r="E326" s="38"/>
    </row>
    <row r="327" customFormat="false" ht="15" hidden="false" customHeight="false" outlineLevel="0" collapsed="false">
      <c r="B327" s="37" t="s">
        <v>7030</v>
      </c>
      <c r="C327" s="37" t="s">
        <v>9571</v>
      </c>
      <c r="D327" s="38" t="n">
        <v>88</v>
      </c>
      <c r="E327" s="38"/>
    </row>
    <row r="328" customFormat="false" ht="15" hidden="false" customHeight="false" outlineLevel="0" collapsed="false">
      <c r="B328" s="37" t="s">
        <v>9572</v>
      </c>
      <c r="C328" s="37" t="s">
        <v>9573</v>
      </c>
      <c r="D328" s="38" t="n">
        <v>79</v>
      </c>
      <c r="E328" s="38"/>
    </row>
    <row r="329" customFormat="false" ht="15" hidden="false" customHeight="false" outlineLevel="0" collapsed="false">
      <c r="B329" s="37" t="s">
        <v>8040</v>
      </c>
      <c r="C329" s="37" t="s">
        <v>9574</v>
      </c>
      <c r="D329" s="38" t="n">
        <v>72</v>
      </c>
      <c r="E329" s="38"/>
    </row>
    <row r="330" customFormat="false" ht="15" hidden="false" customHeight="false" outlineLevel="0" collapsed="false">
      <c r="B330" s="37" t="s">
        <v>8044</v>
      </c>
      <c r="C330" s="37" t="s">
        <v>9575</v>
      </c>
      <c r="D330" s="38" t="n">
        <v>72</v>
      </c>
      <c r="E330" s="38"/>
    </row>
    <row r="331" customFormat="false" ht="15" hidden="false" customHeight="false" outlineLevel="0" collapsed="false">
      <c r="B331" s="37" t="s">
        <v>8048</v>
      </c>
      <c r="C331" s="37" t="s">
        <v>9576</v>
      </c>
      <c r="D331" s="38" t="n">
        <v>83</v>
      </c>
      <c r="E331" s="38"/>
    </row>
    <row r="332" customFormat="false" ht="15" hidden="false" customHeight="false" outlineLevel="0" collapsed="false">
      <c r="B332" s="37" t="s">
        <v>6998</v>
      </c>
      <c r="C332" s="37" t="s">
        <v>9577</v>
      </c>
      <c r="D332" s="38" t="n">
        <v>88</v>
      </c>
      <c r="E332" s="38"/>
    </row>
    <row r="333" customFormat="false" ht="15" hidden="false" customHeight="false" outlineLevel="0" collapsed="false">
      <c r="B333" s="37" t="s">
        <v>8055</v>
      </c>
      <c r="C333" s="37" t="s">
        <v>9578</v>
      </c>
      <c r="D333" s="38" t="n">
        <v>87</v>
      </c>
      <c r="E333" s="38"/>
    </row>
    <row r="334" customFormat="false" ht="15" hidden="false" customHeight="false" outlineLevel="0" collapsed="false">
      <c r="B334" s="37" t="s">
        <v>7261</v>
      </c>
      <c r="C334" s="37" t="s">
        <v>9579</v>
      </c>
      <c r="D334" s="38" t="n">
        <v>81</v>
      </c>
      <c r="E334" s="38"/>
    </row>
    <row r="335" customFormat="false" ht="15" hidden="false" customHeight="false" outlineLevel="0" collapsed="false">
      <c r="B335" s="37" t="s">
        <v>8057</v>
      </c>
      <c r="C335" s="37" t="s">
        <v>9580</v>
      </c>
      <c r="D335" s="38" t="n">
        <v>90</v>
      </c>
      <c r="E335" s="38"/>
    </row>
    <row r="336" customFormat="false" ht="15" hidden="false" customHeight="false" outlineLevel="0" collapsed="false">
      <c r="B336" s="37" t="s">
        <v>8059</v>
      </c>
      <c r="C336" s="37" t="s">
        <v>9581</v>
      </c>
      <c r="D336" s="38" t="n">
        <v>74</v>
      </c>
      <c r="E336" s="38"/>
    </row>
    <row r="337" customFormat="false" ht="15" hidden="false" customHeight="false" outlineLevel="0" collapsed="false">
      <c r="B337" s="37" t="s">
        <v>8061</v>
      </c>
      <c r="C337" s="37" t="s">
        <v>9582</v>
      </c>
      <c r="D337" s="38" t="n">
        <v>82</v>
      </c>
      <c r="E337" s="38"/>
    </row>
    <row r="338" customFormat="false" ht="15" hidden="false" customHeight="false" outlineLevel="0" collapsed="false">
      <c r="B338" s="37" t="s">
        <v>6898</v>
      </c>
      <c r="C338" s="37" t="s">
        <v>9583</v>
      </c>
      <c r="D338" s="38" t="n">
        <v>88</v>
      </c>
      <c r="E338" s="38"/>
    </row>
    <row r="339" customFormat="false" ht="15" hidden="false" customHeight="false" outlineLevel="0" collapsed="false">
      <c r="B339" s="37" t="s">
        <v>6954</v>
      </c>
      <c r="C339" s="37" t="s">
        <v>9584</v>
      </c>
      <c r="D339" s="38" t="n">
        <v>88</v>
      </c>
      <c r="E339" s="38"/>
    </row>
    <row r="340" customFormat="false" ht="15" hidden="false" customHeight="false" outlineLevel="0" collapsed="false">
      <c r="B340" s="37" t="s">
        <v>9585</v>
      </c>
      <c r="C340" s="37" t="s">
        <v>9586</v>
      </c>
      <c r="D340" s="38" t="n">
        <v>73</v>
      </c>
      <c r="E340" s="38"/>
    </row>
    <row r="341" customFormat="false" ht="15" hidden="false" customHeight="false" outlineLevel="0" collapsed="false">
      <c r="B341" s="37" t="s">
        <v>8077</v>
      </c>
      <c r="C341" s="37" t="s">
        <v>9327</v>
      </c>
      <c r="D341" s="38" t="n">
        <v>94</v>
      </c>
      <c r="E341" s="38"/>
    </row>
    <row r="342" customFormat="false" ht="15" hidden="false" customHeight="false" outlineLevel="0" collapsed="false">
      <c r="B342" s="37" t="s">
        <v>8078</v>
      </c>
      <c r="C342" s="37" t="s">
        <v>9341</v>
      </c>
      <c r="D342" s="38" t="n">
        <v>73</v>
      </c>
      <c r="E342" s="38"/>
    </row>
    <row r="343" customFormat="false" ht="15" hidden="false" customHeight="false" outlineLevel="0" collapsed="false">
      <c r="B343" s="37" t="s">
        <v>8080</v>
      </c>
      <c r="C343" s="37" t="s">
        <v>9427</v>
      </c>
      <c r="D343" s="38" t="n">
        <v>76</v>
      </c>
      <c r="E343" s="38"/>
    </row>
    <row r="344" customFormat="false" ht="15" hidden="false" customHeight="false" outlineLevel="0" collapsed="false">
      <c r="B344" s="37" t="s">
        <v>8083</v>
      </c>
      <c r="C344" s="37" t="s">
        <v>9314</v>
      </c>
      <c r="D344" s="38" t="n">
        <v>100</v>
      </c>
      <c r="E344" s="38"/>
    </row>
    <row r="345" customFormat="false" ht="15" hidden="false" customHeight="false" outlineLevel="0" collapsed="false">
      <c r="B345" s="37" t="s">
        <v>8084</v>
      </c>
      <c r="C345" s="37" t="s">
        <v>9411</v>
      </c>
      <c r="D345" s="38" t="n">
        <v>86</v>
      </c>
      <c r="E345" s="38"/>
    </row>
    <row r="346" customFormat="false" ht="15" hidden="false" customHeight="false" outlineLevel="0" collapsed="false">
      <c r="B346" s="37" t="s">
        <v>8087</v>
      </c>
      <c r="C346" s="37" t="s">
        <v>9303</v>
      </c>
      <c r="D346" s="38" t="n">
        <v>87</v>
      </c>
      <c r="E346" s="38"/>
    </row>
    <row r="347" customFormat="false" ht="15" hidden="false" customHeight="false" outlineLevel="0" collapsed="false">
      <c r="B347" s="37" t="s">
        <v>8088</v>
      </c>
      <c r="C347" s="37" t="s">
        <v>9407</v>
      </c>
      <c r="D347" s="38" t="n">
        <v>107</v>
      </c>
      <c r="E347" s="38"/>
    </row>
    <row r="348" customFormat="false" ht="15" hidden="false" customHeight="false" outlineLevel="0" collapsed="false">
      <c r="B348" s="37" t="s">
        <v>8089</v>
      </c>
      <c r="C348" s="37" t="s">
        <v>9328</v>
      </c>
      <c r="D348" s="38" t="n">
        <v>91</v>
      </c>
      <c r="E348" s="38"/>
    </row>
    <row r="349" customFormat="false" ht="15" hidden="false" customHeight="false" outlineLevel="0" collapsed="false">
      <c r="B349" s="37" t="s">
        <v>8090</v>
      </c>
      <c r="C349" s="37" t="s">
        <v>9363</v>
      </c>
      <c r="D349" s="38" t="n">
        <v>108</v>
      </c>
      <c r="E349" s="38"/>
    </row>
    <row r="350" customFormat="false" ht="15" hidden="false" customHeight="false" outlineLevel="0" collapsed="false">
      <c r="B350" s="37" t="s">
        <v>8091</v>
      </c>
      <c r="C350" s="37" t="s">
        <v>9381</v>
      </c>
      <c r="D350" s="38" t="n">
        <v>94</v>
      </c>
      <c r="E350" s="38"/>
    </row>
    <row r="351" customFormat="false" ht="15" hidden="false" customHeight="false" outlineLevel="0" collapsed="false">
      <c r="B351" s="37" t="s">
        <v>9587</v>
      </c>
      <c r="C351" s="37" t="s">
        <v>9322</v>
      </c>
      <c r="D351" s="38" t="n">
        <v>87</v>
      </c>
      <c r="E351" s="38"/>
    </row>
    <row r="352" customFormat="false" ht="15" hidden="false" customHeight="false" outlineLevel="0" collapsed="false">
      <c r="B352" s="37" t="s">
        <v>8092</v>
      </c>
      <c r="C352" s="37" t="s">
        <v>9384</v>
      </c>
      <c r="D352" s="38" t="n">
        <v>76</v>
      </c>
      <c r="E352" s="38"/>
    </row>
    <row r="353" customFormat="false" ht="15" hidden="false" customHeight="false" outlineLevel="0" collapsed="false">
      <c r="B353" s="37" t="s">
        <v>8093</v>
      </c>
      <c r="C353" s="37" t="s">
        <v>9421</v>
      </c>
      <c r="D353" s="38" t="n">
        <v>80</v>
      </c>
      <c r="E353" s="38"/>
    </row>
    <row r="354" customFormat="false" ht="15" hidden="false" customHeight="false" outlineLevel="0" collapsed="false">
      <c r="B354" s="37" t="s">
        <v>8095</v>
      </c>
      <c r="C354" s="37" t="s">
        <v>9258</v>
      </c>
      <c r="D354" s="38" t="n">
        <v>92</v>
      </c>
      <c r="E354" s="38"/>
    </row>
    <row r="355" customFormat="false" ht="15" hidden="false" customHeight="false" outlineLevel="0" collapsed="false">
      <c r="B355" s="37" t="s">
        <v>8096</v>
      </c>
      <c r="C355" s="37" t="s">
        <v>9395</v>
      </c>
      <c r="D355" s="38" t="n">
        <v>81</v>
      </c>
      <c r="E355" s="38"/>
    </row>
    <row r="356" customFormat="false" ht="15" hidden="false" customHeight="false" outlineLevel="0" collapsed="false">
      <c r="B356" s="37" t="s">
        <v>8098</v>
      </c>
      <c r="C356" s="37" t="s">
        <v>9367</v>
      </c>
      <c r="D356" s="38" t="n">
        <v>99</v>
      </c>
      <c r="E356" s="38"/>
    </row>
    <row r="357" customFormat="false" ht="15" hidden="false" customHeight="false" outlineLevel="0" collapsed="false">
      <c r="B357" s="37" t="s">
        <v>8099</v>
      </c>
      <c r="C357" s="37" t="s">
        <v>9372</v>
      </c>
      <c r="D357" s="38" t="n">
        <v>89</v>
      </c>
      <c r="E357" s="38"/>
    </row>
    <row r="358" customFormat="false" ht="15" hidden="false" customHeight="false" outlineLevel="0" collapsed="false">
      <c r="B358" s="37" t="s">
        <v>8101</v>
      </c>
      <c r="C358" s="37" t="s">
        <v>9246</v>
      </c>
      <c r="D358" s="38" t="n">
        <v>85</v>
      </c>
      <c r="E358" s="38"/>
    </row>
    <row r="359" customFormat="false" ht="15" hidden="false" customHeight="false" outlineLevel="0" collapsed="false">
      <c r="B359" s="37" t="s">
        <v>8102</v>
      </c>
      <c r="C359" s="37" t="s">
        <v>9349</v>
      </c>
      <c r="D359" s="38" t="n">
        <v>92</v>
      </c>
      <c r="E359" s="38"/>
    </row>
    <row r="360" customFormat="false" ht="15" hidden="false" customHeight="false" outlineLevel="0" collapsed="false">
      <c r="B360" s="37" t="s">
        <v>8103</v>
      </c>
      <c r="C360" s="37" t="s">
        <v>9376</v>
      </c>
      <c r="D360" s="38" t="n">
        <v>87</v>
      </c>
      <c r="E360" s="38"/>
    </row>
    <row r="361" customFormat="false" ht="15" hidden="false" customHeight="false" outlineLevel="0" collapsed="false">
      <c r="B361" s="37" t="s">
        <v>8104</v>
      </c>
      <c r="C361" s="37" t="s">
        <v>9247</v>
      </c>
      <c r="D361" s="38" t="n">
        <v>76</v>
      </c>
      <c r="E361" s="38"/>
    </row>
    <row r="362" customFormat="false" ht="15" hidden="false" customHeight="false" outlineLevel="0" collapsed="false">
      <c r="B362" s="37" t="s">
        <v>8105</v>
      </c>
      <c r="C362" s="37" t="s">
        <v>9460</v>
      </c>
      <c r="D362" s="38" t="n">
        <v>75</v>
      </c>
      <c r="E362" s="38"/>
    </row>
    <row r="363" customFormat="false" ht="15" hidden="false" customHeight="false" outlineLevel="0" collapsed="false">
      <c r="B363" s="37" t="s">
        <v>8106</v>
      </c>
      <c r="C363" s="37" t="s">
        <v>9345</v>
      </c>
      <c r="D363" s="38" t="n">
        <v>72</v>
      </c>
      <c r="E363" s="38"/>
    </row>
    <row r="364" customFormat="false" ht="15" hidden="false" customHeight="false" outlineLevel="0" collapsed="false">
      <c r="B364" s="37" t="s">
        <v>9588</v>
      </c>
      <c r="C364" s="37" t="s">
        <v>9399</v>
      </c>
      <c r="D364" s="38" t="n">
        <v>71</v>
      </c>
      <c r="E364" s="38"/>
    </row>
    <row r="365" customFormat="false" ht="15" hidden="false" customHeight="false" outlineLevel="0" collapsed="false">
      <c r="B365" s="37" t="s">
        <v>8111</v>
      </c>
      <c r="C365" s="37" t="s">
        <v>9297</v>
      </c>
      <c r="D365" s="38" t="n">
        <v>83</v>
      </c>
      <c r="E365" s="38"/>
    </row>
    <row r="366" customFormat="false" ht="15" hidden="false" customHeight="false" outlineLevel="0" collapsed="false">
      <c r="B366" s="37" t="s">
        <v>8112</v>
      </c>
      <c r="C366" s="37" t="s">
        <v>9288</v>
      </c>
      <c r="D366" s="38" t="n">
        <v>71</v>
      </c>
      <c r="E366" s="38"/>
    </row>
    <row r="367" customFormat="false" ht="15" hidden="false" customHeight="false" outlineLevel="0" collapsed="false">
      <c r="B367" s="37" t="s">
        <v>7195</v>
      </c>
      <c r="C367" s="37" t="s">
        <v>9365</v>
      </c>
      <c r="D367" s="38" t="n">
        <v>78</v>
      </c>
      <c r="E367" s="38"/>
    </row>
    <row r="368" customFormat="false" ht="15" hidden="false" customHeight="false" outlineLevel="0" collapsed="false">
      <c r="B368" s="37" t="s">
        <v>7249</v>
      </c>
      <c r="C368" s="37" t="s">
        <v>9408</v>
      </c>
      <c r="D368" s="38" t="n">
        <v>86</v>
      </c>
      <c r="E368" s="38"/>
    </row>
    <row r="369" customFormat="false" ht="15" hidden="false" customHeight="false" outlineLevel="0" collapsed="false">
      <c r="B369" s="37" t="s">
        <v>9589</v>
      </c>
      <c r="C369" s="37" t="s">
        <v>9344</v>
      </c>
      <c r="D369" s="38" t="n">
        <v>73</v>
      </c>
      <c r="E369" s="38"/>
    </row>
    <row r="370" customFormat="false" ht="15" hidden="false" customHeight="false" outlineLevel="0" collapsed="false">
      <c r="B370" s="37" t="s">
        <v>8118</v>
      </c>
      <c r="C370" s="37" t="s">
        <v>9590</v>
      </c>
      <c r="D370" s="38" t="n">
        <v>115</v>
      </c>
      <c r="E370" s="38"/>
    </row>
    <row r="371" customFormat="false" ht="15" hidden="false" customHeight="false" outlineLevel="0" collapsed="false">
      <c r="B371" s="37" t="s">
        <v>9591</v>
      </c>
      <c r="C371" s="37" t="s">
        <v>9571</v>
      </c>
      <c r="D371" s="38" t="n">
        <v>88</v>
      </c>
      <c r="E371" s="38"/>
    </row>
    <row r="372" customFormat="false" ht="15" hidden="false" customHeight="false" outlineLevel="0" collapsed="false">
      <c r="B372" s="37" t="s">
        <v>9592</v>
      </c>
      <c r="C372" s="37" t="s">
        <v>9593</v>
      </c>
      <c r="D372" s="38" t="n">
        <v>82</v>
      </c>
      <c r="E372" s="38"/>
    </row>
    <row r="373" customFormat="false" ht="15" hidden="false" customHeight="false" outlineLevel="0" collapsed="false">
      <c r="B373" s="37" t="s">
        <v>8129</v>
      </c>
      <c r="C373" s="37" t="s">
        <v>9594</v>
      </c>
      <c r="D373" s="38" t="n">
        <v>74</v>
      </c>
      <c r="E373" s="38"/>
    </row>
    <row r="374" customFormat="false" ht="15" hidden="false" customHeight="false" outlineLevel="0" collapsed="false">
      <c r="B374" s="37" t="s">
        <v>8134</v>
      </c>
      <c r="C374" s="37" t="s">
        <v>9595</v>
      </c>
      <c r="D374" s="38" t="n">
        <v>74</v>
      </c>
      <c r="E374" s="38"/>
    </row>
    <row r="375" customFormat="false" ht="15" hidden="false" customHeight="false" outlineLevel="0" collapsed="false">
      <c r="B375" s="37" t="s">
        <v>8138</v>
      </c>
      <c r="C375" s="37" t="s">
        <v>9596</v>
      </c>
      <c r="D375" s="38" t="n">
        <v>77</v>
      </c>
      <c r="E375" s="38"/>
    </row>
    <row r="376" customFormat="false" ht="15" hidden="false" customHeight="false" outlineLevel="0" collapsed="false">
      <c r="B376" s="37" t="s">
        <v>8140</v>
      </c>
      <c r="C376" s="37" t="s">
        <v>9597</v>
      </c>
      <c r="D376" s="38" t="n">
        <v>84</v>
      </c>
      <c r="E376" s="38"/>
    </row>
    <row r="377" customFormat="false" ht="15" hidden="false" customHeight="false" outlineLevel="0" collapsed="false">
      <c r="B377" s="37" t="s">
        <v>8142</v>
      </c>
      <c r="C377" s="37" t="s">
        <v>9503</v>
      </c>
      <c r="D377" s="38" t="n">
        <v>76</v>
      </c>
      <c r="E377" s="38"/>
    </row>
    <row r="378" customFormat="false" ht="15" hidden="false" customHeight="false" outlineLevel="0" collapsed="false">
      <c r="B378" s="37" t="s">
        <v>8143</v>
      </c>
      <c r="C378" s="37" t="s">
        <v>9598</v>
      </c>
      <c r="D378" s="38" t="n">
        <v>100</v>
      </c>
      <c r="E378" s="38"/>
    </row>
    <row r="379" customFormat="false" ht="15" hidden="false" customHeight="false" outlineLevel="0" collapsed="false">
      <c r="B379" s="37" t="s">
        <v>8150</v>
      </c>
      <c r="C379" s="37" t="s">
        <v>9599</v>
      </c>
      <c r="D379" s="38" t="n">
        <v>83</v>
      </c>
      <c r="E379" s="38"/>
    </row>
    <row r="380" customFormat="false" ht="15" hidden="false" customHeight="false" outlineLevel="0" collapsed="false">
      <c r="B380" s="37" t="s">
        <v>8154</v>
      </c>
      <c r="C380" s="37" t="s">
        <v>9600</v>
      </c>
      <c r="D380" s="38" t="n">
        <v>89</v>
      </c>
      <c r="E380" s="38"/>
    </row>
    <row r="381" customFormat="false" ht="15" hidden="false" customHeight="false" outlineLevel="0" collapsed="false">
      <c r="B381" s="37" t="s">
        <v>8156</v>
      </c>
      <c r="C381" s="37" t="s">
        <v>9601</v>
      </c>
      <c r="D381" s="38" t="n">
        <v>87</v>
      </c>
      <c r="E381" s="38"/>
    </row>
    <row r="382" customFormat="false" ht="15" hidden="false" customHeight="false" outlineLevel="0" collapsed="false">
      <c r="B382" s="37" t="s">
        <v>8161</v>
      </c>
      <c r="C382" s="37" t="s">
        <v>9602</v>
      </c>
      <c r="D382" s="38" t="n">
        <v>99</v>
      </c>
      <c r="E382" s="38"/>
    </row>
    <row r="383" customFormat="false" ht="15" hidden="false" customHeight="false" outlineLevel="0" collapsed="false">
      <c r="B383" s="37" t="s">
        <v>8169</v>
      </c>
      <c r="C383" s="37" t="s">
        <v>9603</v>
      </c>
      <c r="D383" s="38" t="n">
        <v>73</v>
      </c>
      <c r="E383" s="38"/>
    </row>
    <row r="384" customFormat="false" ht="15" hidden="false" customHeight="false" outlineLevel="0" collapsed="false">
      <c r="B384" s="37" t="s">
        <v>8171</v>
      </c>
      <c r="C384" s="37" t="s">
        <v>9604</v>
      </c>
      <c r="D384" s="38" t="n">
        <v>96</v>
      </c>
      <c r="E384" s="38"/>
    </row>
    <row r="385" customFormat="false" ht="15" hidden="false" customHeight="false" outlineLevel="0" collapsed="false">
      <c r="B385" s="37" t="s">
        <v>9605</v>
      </c>
      <c r="C385" s="37" t="s">
        <v>9606</v>
      </c>
      <c r="D385" s="38" t="n">
        <v>90</v>
      </c>
      <c r="E385" s="38"/>
    </row>
    <row r="386" customFormat="false" ht="15" hidden="false" customHeight="false" outlineLevel="0" collapsed="false">
      <c r="B386" s="37" t="s">
        <v>9607</v>
      </c>
      <c r="C386" s="37" t="s">
        <v>9608</v>
      </c>
      <c r="D386" s="38" t="n">
        <v>84</v>
      </c>
      <c r="E386" s="38"/>
    </row>
    <row r="387" customFormat="false" ht="15" hidden="false" customHeight="false" outlineLevel="0" collapsed="false">
      <c r="B387" s="37" t="s">
        <v>8174</v>
      </c>
      <c r="C387" s="37" t="s">
        <v>9609</v>
      </c>
      <c r="D387" s="38" t="n">
        <v>75</v>
      </c>
      <c r="E387" s="38"/>
    </row>
    <row r="388" customFormat="false" ht="15" hidden="false" customHeight="false" outlineLevel="0" collapsed="false">
      <c r="B388" s="37" t="s">
        <v>8180</v>
      </c>
      <c r="C388" s="37" t="s">
        <v>9610</v>
      </c>
      <c r="D388" s="38" t="n">
        <v>86</v>
      </c>
      <c r="E388" s="38"/>
    </row>
    <row r="389" customFormat="false" ht="15" hidden="false" customHeight="false" outlineLevel="0" collapsed="false">
      <c r="B389" s="37" t="s">
        <v>8184</v>
      </c>
      <c r="C389" s="37" t="s">
        <v>9611</v>
      </c>
      <c r="D389" s="38" t="n">
        <v>89</v>
      </c>
      <c r="E389" s="38"/>
    </row>
    <row r="390" customFormat="false" ht="15" hidden="false" customHeight="false" outlineLevel="0" collapsed="false">
      <c r="B390" s="37" t="s">
        <v>8195</v>
      </c>
      <c r="C390" s="37" t="s">
        <v>9612</v>
      </c>
      <c r="D390" s="38" t="n">
        <v>73</v>
      </c>
      <c r="E390" s="38"/>
    </row>
    <row r="391" customFormat="false" ht="15" hidden="false" customHeight="false" outlineLevel="0" collapsed="false">
      <c r="B391" s="37" t="s">
        <v>9613</v>
      </c>
      <c r="C391" s="37" t="s">
        <v>9614</v>
      </c>
      <c r="D391" s="38" t="n">
        <v>72</v>
      </c>
      <c r="E391" s="38"/>
    </row>
    <row r="392" customFormat="false" ht="15" hidden="false" customHeight="false" outlineLevel="0" collapsed="false">
      <c r="B392" s="37" t="s">
        <v>8201</v>
      </c>
      <c r="C392" s="37" t="s">
        <v>9615</v>
      </c>
      <c r="D392" s="38" t="n">
        <v>73</v>
      </c>
      <c r="E392" s="38"/>
    </row>
    <row r="393" customFormat="false" ht="15" hidden="false" customHeight="false" outlineLevel="0" collapsed="false">
      <c r="B393" s="37" t="s">
        <v>7131</v>
      </c>
      <c r="C393" s="37" t="s">
        <v>9616</v>
      </c>
      <c r="D393" s="38" t="n">
        <v>80</v>
      </c>
      <c r="E393" s="38"/>
    </row>
    <row r="394" customFormat="false" ht="15" hidden="false" customHeight="false" outlineLevel="0" collapsed="false">
      <c r="B394" s="37" t="s">
        <v>7257</v>
      </c>
      <c r="C394" s="37" t="s">
        <v>9617</v>
      </c>
      <c r="D394" s="38" t="n">
        <v>84</v>
      </c>
      <c r="E394" s="38"/>
    </row>
    <row r="395" customFormat="false" ht="15" hidden="false" customHeight="false" outlineLevel="0" collapsed="false">
      <c r="B395" s="37" t="s">
        <v>7235</v>
      </c>
      <c r="C395" s="37" t="s">
        <v>9618</v>
      </c>
      <c r="D395" s="38" t="n">
        <v>76</v>
      </c>
      <c r="E395" s="38"/>
    </row>
    <row r="396" customFormat="false" ht="15" hidden="false" customHeight="false" outlineLevel="0" collapsed="false">
      <c r="B396" s="37" t="s">
        <v>8213</v>
      </c>
      <c r="C396" s="37" t="s">
        <v>9619</v>
      </c>
      <c r="D396" s="38" t="n">
        <v>92</v>
      </c>
      <c r="E396" s="38"/>
    </row>
    <row r="397" customFormat="false" ht="15" hidden="false" customHeight="false" outlineLevel="0" collapsed="false">
      <c r="B397" s="37" t="s">
        <v>9620</v>
      </c>
      <c r="C397" s="37" t="s">
        <v>9621</v>
      </c>
      <c r="D397" s="38" t="n">
        <v>74</v>
      </c>
      <c r="E397" s="38"/>
    </row>
    <row r="398" customFormat="false" ht="15" hidden="false" customHeight="false" outlineLevel="0" collapsed="false">
      <c r="B398" s="37" t="s">
        <v>8215</v>
      </c>
      <c r="C398" s="37" t="s">
        <v>9518</v>
      </c>
      <c r="D398" s="38" t="n">
        <v>73</v>
      </c>
      <c r="E398" s="38"/>
    </row>
    <row r="399" customFormat="false" ht="15" hidden="false" customHeight="false" outlineLevel="0" collapsed="false">
      <c r="B399" s="37" t="s">
        <v>8217</v>
      </c>
      <c r="C399" s="37" t="s">
        <v>9622</v>
      </c>
      <c r="D399" s="38" t="n">
        <v>100</v>
      </c>
      <c r="E399" s="38"/>
    </row>
    <row r="400" customFormat="false" ht="15" hidden="false" customHeight="false" outlineLevel="0" collapsed="false">
      <c r="B400" s="37" t="s">
        <v>9623</v>
      </c>
      <c r="C400" s="37" t="s">
        <v>9624</v>
      </c>
      <c r="D400" s="38" t="n">
        <v>85</v>
      </c>
      <c r="E400" s="38"/>
    </row>
    <row r="401" customFormat="false" ht="15" hidden="false" customHeight="false" outlineLevel="0" collapsed="false">
      <c r="B401" s="37" t="s">
        <v>8224</v>
      </c>
      <c r="C401" s="37" t="s">
        <v>9625</v>
      </c>
      <c r="D401" s="38" t="n">
        <v>85</v>
      </c>
      <c r="E401" s="38"/>
    </row>
    <row r="402" customFormat="false" ht="15" hidden="false" customHeight="false" outlineLevel="0" collapsed="false">
      <c r="B402" s="37" t="s">
        <v>7041</v>
      </c>
      <c r="C402" s="37" t="s">
        <v>9626</v>
      </c>
      <c r="D402" s="38" t="n">
        <v>88</v>
      </c>
      <c r="E402" s="38"/>
    </row>
    <row r="403" customFormat="false" ht="15" hidden="false" customHeight="false" outlineLevel="0" collapsed="false">
      <c r="B403" s="37" t="s">
        <v>8228</v>
      </c>
      <c r="C403" s="37" t="s">
        <v>9627</v>
      </c>
      <c r="D403" s="38" t="n">
        <v>94</v>
      </c>
      <c r="E403" s="38"/>
    </row>
    <row r="404" customFormat="false" ht="15" hidden="false" customHeight="false" outlineLevel="0" collapsed="false">
      <c r="B404" s="37" t="s">
        <v>8233</v>
      </c>
      <c r="C404" s="37" t="s">
        <v>9628</v>
      </c>
      <c r="D404" s="38" t="n">
        <v>74</v>
      </c>
      <c r="E404" s="38"/>
    </row>
    <row r="405" customFormat="false" ht="15" hidden="false" customHeight="false" outlineLevel="0" collapsed="false">
      <c r="B405" s="37" t="s">
        <v>8235</v>
      </c>
      <c r="C405" s="37" t="s">
        <v>9629</v>
      </c>
      <c r="D405" s="38" t="n">
        <v>76</v>
      </c>
      <c r="E405" s="38"/>
    </row>
    <row r="406" customFormat="false" ht="15" hidden="false" customHeight="false" outlineLevel="0" collapsed="false">
      <c r="B406" s="37" t="s">
        <v>6900</v>
      </c>
      <c r="C406" s="37" t="s">
        <v>9630</v>
      </c>
      <c r="D406" s="38" t="n">
        <v>88</v>
      </c>
      <c r="E406" s="38"/>
    </row>
    <row r="407" customFormat="false" ht="15" hidden="false" customHeight="false" outlineLevel="0" collapsed="false">
      <c r="B407" s="37" t="s">
        <v>8238</v>
      </c>
      <c r="C407" s="37" t="s">
        <v>9631</v>
      </c>
      <c r="D407" s="38" t="n">
        <v>92</v>
      </c>
      <c r="E407" s="38"/>
    </row>
    <row r="408" customFormat="false" ht="15" hidden="false" customHeight="false" outlineLevel="0" collapsed="false">
      <c r="B408" s="37" t="s">
        <v>8245</v>
      </c>
      <c r="C408" s="37" t="s">
        <v>9632</v>
      </c>
      <c r="D408" s="38" t="n">
        <v>88</v>
      </c>
      <c r="E408" s="38"/>
    </row>
    <row r="409" customFormat="false" ht="15" hidden="false" customHeight="false" outlineLevel="0" collapsed="false">
      <c r="B409" s="37" t="s">
        <v>8247</v>
      </c>
      <c r="C409" s="37" t="s">
        <v>9633</v>
      </c>
      <c r="D409" s="38" t="n">
        <v>74</v>
      </c>
      <c r="E409" s="38"/>
    </row>
    <row r="410" customFormat="false" ht="15" hidden="false" customHeight="false" outlineLevel="0" collapsed="false">
      <c r="B410" s="37" t="s">
        <v>8251</v>
      </c>
      <c r="C410" s="37" t="s">
        <v>9599</v>
      </c>
      <c r="D410" s="38" t="n">
        <v>83</v>
      </c>
      <c r="E410" s="38"/>
    </row>
    <row r="411" customFormat="false" ht="15" hidden="false" customHeight="false" outlineLevel="0" collapsed="false">
      <c r="B411" s="37" t="s">
        <v>7268</v>
      </c>
      <c r="C411" s="37" t="s">
        <v>9634</v>
      </c>
      <c r="D411" s="38" t="n">
        <v>79</v>
      </c>
      <c r="E411" s="38"/>
    </row>
    <row r="412" customFormat="false" ht="15" hidden="false" customHeight="false" outlineLevel="0" collapsed="false">
      <c r="B412" s="37" t="s">
        <v>8252</v>
      </c>
      <c r="C412" s="37" t="s">
        <v>9635</v>
      </c>
      <c r="D412" s="38" t="n">
        <v>78</v>
      </c>
      <c r="E412" s="38"/>
    </row>
    <row r="413" customFormat="false" ht="15" hidden="false" customHeight="false" outlineLevel="0" collapsed="false">
      <c r="B413" s="37" t="s">
        <v>8254</v>
      </c>
      <c r="C413" s="37" t="s">
        <v>9636</v>
      </c>
      <c r="D413" s="38" t="n">
        <v>76</v>
      </c>
      <c r="E413" s="38"/>
    </row>
    <row r="414" customFormat="false" ht="15" hidden="false" customHeight="false" outlineLevel="0" collapsed="false">
      <c r="B414" s="37" t="s">
        <v>8257</v>
      </c>
      <c r="C414" s="37" t="s">
        <v>9637</v>
      </c>
      <c r="D414" s="38" t="n">
        <v>84</v>
      </c>
      <c r="E414" s="38"/>
    </row>
    <row r="415" customFormat="false" ht="15" hidden="false" customHeight="false" outlineLevel="0" collapsed="false">
      <c r="B415" s="37" t="s">
        <v>8259</v>
      </c>
      <c r="C415" s="37" t="s">
        <v>9638</v>
      </c>
      <c r="D415" s="38" t="n">
        <v>87</v>
      </c>
      <c r="E415" s="38"/>
    </row>
    <row r="416" customFormat="false" ht="15" hidden="false" customHeight="false" outlineLevel="0" collapsed="false">
      <c r="B416" s="37" t="s">
        <v>9639</v>
      </c>
      <c r="C416" s="37" t="s">
        <v>9640</v>
      </c>
      <c r="D416" s="38" t="n">
        <v>78</v>
      </c>
      <c r="E416" s="38"/>
    </row>
    <row r="417" customFormat="false" ht="15" hidden="false" customHeight="false" outlineLevel="0" collapsed="false">
      <c r="B417" s="37" t="s">
        <v>8269</v>
      </c>
      <c r="C417" s="37" t="s">
        <v>9641</v>
      </c>
      <c r="D417" s="38" t="n">
        <v>79</v>
      </c>
      <c r="E417" s="38"/>
    </row>
    <row r="418" customFormat="false" ht="15" hidden="false" customHeight="false" outlineLevel="0" collapsed="false">
      <c r="B418" s="37" t="s">
        <v>8272</v>
      </c>
      <c r="C418" s="37" t="s">
        <v>9642</v>
      </c>
      <c r="D418" s="38" t="n">
        <v>88</v>
      </c>
      <c r="E418" s="38"/>
    </row>
    <row r="419" customFormat="false" ht="15" hidden="false" customHeight="false" outlineLevel="0" collapsed="false">
      <c r="B419" s="37" t="s">
        <v>9643</v>
      </c>
      <c r="C419" s="37" t="s">
        <v>9644</v>
      </c>
      <c r="D419" s="38" t="n">
        <v>78</v>
      </c>
      <c r="E419" s="38"/>
    </row>
    <row r="420" customFormat="false" ht="15" hidden="false" customHeight="false" outlineLevel="0" collapsed="false">
      <c r="B420" s="37" t="s">
        <v>8279</v>
      </c>
      <c r="C420" s="37" t="s">
        <v>9645</v>
      </c>
      <c r="D420" s="38" t="n">
        <v>72</v>
      </c>
      <c r="E420" s="38"/>
    </row>
    <row r="421" customFormat="false" ht="15" hidden="false" customHeight="false" outlineLevel="0" collapsed="false">
      <c r="B421" s="37" t="s">
        <v>8283</v>
      </c>
      <c r="C421" s="37" t="s">
        <v>9646</v>
      </c>
      <c r="D421" s="38" t="n">
        <v>74</v>
      </c>
      <c r="E421" s="38"/>
    </row>
    <row r="422" customFormat="false" ht="15" hidden="false" customHeight="false" outlineLevel="0" collapsed="false">
      <c r="B422" s="37" t="s">
        <v>9647</v>
      </c>
      <c r="C422" s="37" t="s">
        <v>9648</v>
      </c>
      <c r="D422" s="38" t="n">
        <v>71</v>
      </c>
      <c r="E422" s="38"/>
    </row>
    <row r="423" customFormat="false" ht="15" hidden="false" customHeight="false" outlineLevel="0" collapsed="false">
      <c r="B423" s="37" t="s">
        <v>8286</v>
      </c>
      <c r="C423" s="37" t="s">
        <v>9649</v>
      </c>
      <c r="D423" s="38" t="n">
        <v>72</v>
      </c>
      <c r="E423" s="38"/>
    </row>
    <row r="424" customFormat="false" ht="15" hidden="false" customHeight="false" outlineLevel="0" collapsed="false">
      <c r="B424" s="37" t="s">
        <v>8288</v>
      </c>
      <c r="C424" s="37" t="s">
        <v>9650</v>
      </c>
      <c r="D424" s="38" t="n">
        <v>100</v>
      </c>
      <c r="E424" s="38"/>
    </row>
    <row r="425" customFormat="false" ht="15" hidden="false" customHeight="false" outlineLevel="0" collapsed="false">
      <c r="B425" s="37" t="s">
        <v>9651</v>
      </c>
      <c r="C425" s="37" t="s">
        <v>9652</v>
      </c>
      <c r="D425" s="38" t="n">
        <v>72</v>
      </c>
      <c r="E425" s="38"/>
    </row>
    <row r="426" customFormat="false" ht="15" hidden="false" customHeight="false" outlineLevel="0" collapsed="false">
      <c r="B426" s="37" t="s">
        <v>8290</v>
      </c>
      <c r="C426" s="37" t="s">
        <v>9653</v>
      </c>
      <c r="D426" s="38" t="n">
        <v>71</v>
      </c>
      <c r="E426" s="38"/>
    </row>
    <row r="427" customFormat="false" ht="15" hidden="false" customHeight="false" outlineLevel="0" collapsed="false">
      <c r="B427" s="37" t="s">
        <v>9654</v>
      </c>
      <c r="C427" s="37" t="s">
        <v>9655</v>
      </c>
      <c r="D427" s="38" t="n">
        <v>71</v>
      </c>
      <c r="E427" s="38"/>
    </row>
    <row r="428" customFormat="false" ht="15" hidden="false" customHeight="false" outlineLevel="0" collapsed="false">
      <c r="B428" s="37" t="s">
        <v>8294</v>
      </c>
      <c r="C428" s="37" t="s">
        <v>9483</v>
      </c>
      <c r="D428" s="38" t="n">
        <v>75</v>
      </c>
      <c r="E428" s="38"/>
    </row>
    <row r="429" customFormat="false" ht="15" hidden="false" customHeight="false" outlineLevel="0" collapsed="false">
      <c r="B429" s="37" t="s">
        <v>8295</v>
      </c>
      <c r="C429" s="37" t="s">
        <v>9468</v>
      </c>
      <c r="D429" s="38" t="n">
        <v>88</v>
      </c>
      <c r="E429" s="38"/>
    </row>
    <row r="430" customFormat="false" ht="15" hidden="false" customHeight="false" outlineLevel="0" collapsed="false">
      <c r="B430" s="37" t="s">
        <v>8296</v>
      </c>
      <c r="C430" s="37" t="s">
        <v>9656</v>
      </c>
      <c r="D430" s="38" t="n">
        <v>85</v>
      </c>
      <c r="E430" s="38"/>
    </row>
    <row r="431" customFormat="false" ht="15" hidden="false" customHeight="false" outlineLevel="0" collapsed="false">
      <c r="B431" s="37" t="s">
        <v>8298</v>
      </c>
      <c r="C431" s="37" t="s">
        <v>9657</v>
      </c>
      <c r="D431" s="38" t="n">
        <v>72</v>
      </c>
      <c r="E431" s="38"/>
    </row>
    <row r="432" customFormat="false" ht="15" hidden="false" customHeight="false" outlineLevel="0" collapsed="false">
      <c r="B432" s="37" t="s">
        <v>9658</v>
      </c>
      <c r="C432" s="37" t="s">
        <v>9659</v>
      </c>
      <c r="D432" s="38" t="n">
        <v>87</v>
      </c>
      <c r="E432" s="38"/>
    </row>
    <row r="433" customFormat="false" ht="15" hidden="false" customHeight="false" outlineLevel="0" collapsed="false">
      <c r="B433" s="37" t="s">
        <v>9660</v>
      </c>
      <c r="C433" s="37" t="s">
        <v>9661</v>
      </c>
      <c r="D433" s="38" t="n">
        <v>76</v>
      </c>
      <c r="E433" s="38"/>
    </row>
    <row r="434" customFormat="false" ht="15" hidden="false" customHeight="false" outlineLevel="0" collapsed="false">
      <c r="B434" s="37" t="s">
        <v>8300</v>
      </c>
      <c r="C434" s="37" t="s">
        <v>9662</v>
      </c>
      <c r="D434" s="38" t="n">
        <v>92</v>
      </c>
      <c r="E434" s="38"/>
    </row>
    <row r="435" customFormat="false" ht="15" hidden="false" customHeight="false" outlineLevel="0" collapsed="false">
      <c r="B435" s="37" t="s">
        <v>9663</v>
      </c>
      <c r="C435" s="37" t="s">
        <v>9664</v>
      </c>
      <c r="D435" s="38" t="n">
        <v>79</v>
      </c>
      <c r="E435" s="38"/>
    </row>
    <row r="436" customFormat="false" ht="15" hidden="false" customHeight="false" outlineLevel="0" collapsed="false">
      <c r="B436" s="37" t="s">
        <v>8306</v>
      </c>
      <c r="C436" s="37" t="s">
        <v>9665</v>
      </c>
      <c r="D436" s="38" t="n">
        <v>74</v>
      </c>
      <c r="E436" s="38"/>
    </row>
    <row r="437" customFormat="false" ht="15" hidden="false" customHeight="false" outlineLevel="0" collapsed="false">
      <c r="B437" s="37" t="s">
        <v>9666</v>
      </c>
      <c r="C437" s="37" t="s">
        <v>9534</v>
      </c>
      <c r="D437" s="38" t="n">
        <v>88</v>
      </c>
      <c r="E437" s="38"/>
    </row>
    <row r="438" customFormat="false" ht="15" hidden="false" customHeight="false" outlineLevel="0" collapsed="false">
      <c r="B438" s="37" t="s">
        <v>8311</v>
      </c>
      <c r="C438" s="37" t="s">
        <v>9667</v>
      </c>
      <c r="D438" s="38" t="n">
        <v>81</v>
      </c>
      <c r="E438" s="38"/>
    </row>
    <row r="439" customFormat="false" ht="15" hidden="false" customHeight="false" outlineLevel="0" collapsed="false">
      <c r="B439" s="37" t="s">
        <v>8313</v>
      </c>
      <c r="C439" s="37" t="s">
        <v>9668</v>
      </c>
      <c r="D439" s="38" t="n">
        <v>91</v>
      </c>
      <c r="E439" s="38"/>
    </row>
    <row r="440" customFormat="false" ht="15" hidden="false" customHeight="false" outlineLevel="0" collapsed="false">
      <c r="B440" s="37" t="s">
        <v>8315</v>
      </c>
      <c r="C440" s="37" t="s">
        <v>9669</v>
      </c>
      <c r="D440" s="38" t="n">
        <v>74</v>
      </c>
      <c r="E440" s="38"/>
    </row>
    <row r="441" customFormat="false" ht="15" hidden="false" customHeight="false" outlineLevel="0" collapsed="false">
      <c r="B441" s="37" t="s">
        <v>8317</v>
      </c>
      <c r="C441" s="37" t="s">
        <v>9670</v>
      </c>
      <c r="D441" s="38" t="n">
        <v>83</v>
      </c>
      <c r="E441" s="38"/>
    </row>
    <row r="442" customFormat="false" ht="15" hidden="false" customHeight="false" outlineLevel="0" collapsed="false">
      <c r="B442" s="37" t="s">
        <v>8319</v>
      </c>
      <c r="C442" s="37" t="s">
        <v>9584</v>
      </c>
      <c r="D442" s="38" t="n">
        <v>88</v>
      </c>
      <c r="E442" s="38"/>
    </row>
    <row r="443" customFormat="false" ht="15" hidden="false" customHeight="false" outlineLevel="0" collapsed="false">
      <c r="B443" s="37" t="s">
        <v>8324</v>
      </c>
      <c r="C443" s="37" t="s">
        <v>9671</v>
      </c>
      <c r="D443" s="38" t="n">
        <v>76</v>
      </c>
      <c r="E443" s="38"/>
    </row>
    <row r="444" customFormat="false" ht="15" hidden="false" customHeight="false" outlineLevel="0" collapsed="false">
      <c r="B444" s="37" t="s">
        <v>8342</v>
      </c>
      <c r="C444" s="37" t="s">
        <v>9672</v>
      </c>
      <c r="D444" s="38" t="n">
        <v>79</v>
      </c>
      <c r="E444" s="38"/>
    </row>
    <row r="445" customFormat="false" ht="15" hidden="false" customHeight="false" outlineLevel="0" collapsed="false">
      <c r="B445" s="37" t="s">
        <v>9673</v>
      </c>
      <c r="C445" s="37" t="s">
        <v>9674</v>
      </c>
      <c r="D445" s="38" t="n">
        <v>78</v>
      </c>
      <c r="E445" s="38"/>
    </row>
    <row r="446" customFormat="false" ht="15" hidden="false" customHeight="false" outlineLevel="0" collapsed="false">
      <c r="B446" s="37" t="s">
        <v>9675</v>
      </c>
      <c r="C446" s="37" t="s">
        <v>9676</v>
      </c>
      <c r="D446" s="38" t="n">
        <v>76</v>
      </c>
      <c r="E446" s="38"/>
    </row>
    <row r="447" customFormat="false" ht="15" hidden="false" customHeight="false" outlineLevel="0" collapsed="false">
      <c r="B447" s="37" t="s">
        <v>7172</v>
      </c>
      <c r="C447" s="37" t="s">
        <v>9677</v>
      </c>
      <c r="D447" s="38" t="n">
        <v>91</v>
      </c>
      <c r="E447" s="38"/>
    </row>
    <row r="448" customFormat="false" ht="15" hidden="false" customHeight="false" outlineLevel="0" collapsed="false">
      <c r="B448" s="37" t="s">
        <v>8345</v>
      </c>
      <c r="C448" s="37" t="s">
        <v>9678</v>
      </c>
      <c r="D448" s="38" t="n">
        <v>90</v>
      </c>
      <c r="E448" s="38"/>
    </row>
    <row r="449" customFormat="false" ht="15" hidden="false" customHeight="false" outlineLevel="0" collapsed="false">
      <c r="B449" s="37" t="s">
        <v>9679</v>
      </c>
      <c r="C449" s="37" t="s">
        <v>9621</v>
      </c>
      <c r="D449" s="38" t="n">
        <v>74</v>
      </c>
      <c r="E449" s="38"/>
    </row>
    <row r="450" customFormat="false" ht="15" hidden="false" customHeight="false" outlineLevel="0" collapsed="false">
      <c r="B450" s="37" t="s">
        <v>8349</v>
      </c>
      <c r="C450" s="37" t="s">
        <v>9680</v>
      </c>
      <c r="D450" s="38" t="n">
        <v>77</v>
      </c>
      <c r="E450" s="38"/>
    </row>
    <row r="451" customFormat="false" ht="15" hidden="false" customHeight="false" outlineLevel="0" collapsed="false">
      <c r="B451" s="37" t="s">
        <v>8355</v>
      </c>
      <c r="C451" s="37" t="s">
        <v>9681</v>
      </c>
      <c r="D451" s="38" t="n">
        <v>113</v>
      </c>
      <c r="E451" s="38"/>
    </row>
    <row r="452" customFormat="false" ht="15" hidden="false" customHeight="false" outlineLevel="0" collapsed="false">
      <c r="B452" s="37" t="s">
        <v>8361</v>
      </c>
      <c r="C452" s="37" t="s">
        <v>9682</v>
      </c>
      <c r="D452" s="38" t="n">
        <v>85</v>
      </c>
      <c r="E452" s="38"/>
    </row>
    <row r="453" customFormat="false" ht="15" hidden="false" customHeight="false" outlineLevel="0" collapsed="false">
      <c r="B453" s="37" t="s">
        <v>8363</v>
      </c>
      <c r="C453" s="37" t="s">
        <v>9538</v>
      </c>
      <c r="D453" s="38" t="n">
        <v>79</v>
      </c>
      <c r="E453" s="38"/>
    </row>
    <row r="454" customFormat="false" ht="15" hidden="false" customHeight="false" outlineLevel="0" collapsed="false">
      <c r="B454" s="37" t="s">
        <v>9683</v>
      </c>
      <c r="C454" s="37" t="s">
        <v>9626</v>
      </c>
      <c r="D454" s="38" t="n">
        <v>88</v>
      </c>
      <c r="E454" s="38"/>
    </row>
    <row r="455" customFormat="false" ht="15" hidden="false" customHeight="false" outlineLevel="0" collapsed="false">
      <c r="B455" s="37" t="s">
        <v>8366</v>
      </c>
      <c r="C455" s="37" t="s">
        <v>9684</v>
      </c>
      <c r="D455" s="38" t="n">
        <v>73</v>
      </c>
      <c r="E455" s="38"/>
    </row>
    <row r="456" customFormat="false" ht="15" hidden="false" customHeight="false" outlineLevel="0" collapsed="false">
      <c r="B456" s="37" t="s">
        <v>8369</v>
      </c>
      <c r="C456" s="37" t="s">
        <v>9685</v>
      </c>
      <c r="D456" s="38" t="n">
        <v>74</v>
      </c>
      <c r="E456" s="38"/>
    </row>
    <row r="457" customFormat="false" ht="15" hidden="false" customHeight="false" outlineLevel="0" collapsed="false">
      <c r="B457" s="37" t="s">
        <v>8371</v>
      </c>
      <c r="C457" s="37" t="s">
        <v>9686</v>
      </c>
      <c r="D457" s="38" t="n">
        <v>115</v>
      </c>
      <c r="E457" s="38"/>
    </row>
    <row r="458" customFormat="false" ht="15" hidden="false" customHeight="false" outlineLevel="0" collapsed="false">
      <c r="B458" s="37" t="s">
        <v>9687</v>
      </c>
      <c r="C458" s="37" t="s">
        <v>9688</v>
      </c>
      <c r="D458" s="38" t="n">
        <v>97</v>
      </c>
      <c r="E458" s="38"/>
    </row>
    <row r="459" customFormat="false" ht="15" hidden="false" customHeight="false" outlineLevel="0" collapsed="false">
      <c r="B459" s="37" t="s">
        <v>8373</v>
      </c>
      <c r="C459" s="37" t="s">
        <v>9689</v>
      </c>
      <c r="D459" s="38" t="n">
        <v>88</v>
      </c>
      <c r="E459" s="38"/>
    </row>
    <row r="460" customFormat="false" ht="15" hidden="false" customHeight="false" outlineLevel="0" collapsed="false">
      <c r="B460" s="37" t="s">
        <v>8375</v>
      </c>
      <c r="C460" s="37" t="s">
        <v>9690</v>
      </c>
      <c r="D460" s="38" t="n">
        <v>91</v>
      </c>
      <c r="E460" s="38"/>
    </row>
    <row r="461" customFormat="false" ht="15" hidden="false" customHeight="false" outlineLevel="0" collapsed="false">
      <c r="B461" s="37" t="s">
        <v>8377</v>
      </c>
      <c r="C461" s="37" t="s">
        <v>9440</v>
      </c>
      <c r="D461" s="38" t="n">
        <v>83</v>
      </c>
      <c r="E461" s="38"/>
    </row>
    <row r="462" customFormat="false" ht="15" hidden="false" customHeight="false" outlineLevel="0" collapsed="false">
      <c r="B462" s="37" t="s">
        <v>7250</v>
      </c>
      <c r="C462" s="37" t="s">
        <v>9691</v>
      </c>
      <c r="D462" s="38" t="n">
        <v>81</v>
      </c>
      <c r="E462" s="38"/>
    </row>
    <row r="463" customFormat="false" ht="15" hidden="false" customHeight="false" outlineLevel="0" collapsed="false">
      <c r="B463" s="37" t="s">
        <v>8379</v>
      </c>
      <c r="C463" s="37" t="s">
        <v>9523</v>
      </c>
      <c r="D463" s="38" t="n">
        <v>87</v>
      </c>
      <c r="E463" s="38"/>
    </row>
    <row r="464" customFormat="false" ht="15" hidden="false" customHeight="false" outlineLevel="0" collapsed="false">
      <c r="B464" s="37" t="s">
        <v>8380</v>
      </c>
      <c r="C464" s="37" t="s">
        <v>9692</v>
      </c>
      <c r="D464" s="38" t="n">
        <v>82</v>
      </c>
      <c r="E464" s="38"/>
    </row>
    <row r="465" customFormat="false" ht="15" hidden="false" customHeight="false" outlineLevel="0" collapsed="false">
      <c r="B465" s="37" t="s">
        <v>8383</v>
      </c>
      <c r="C465" s="37" t="s">
        <v>9693</v>
      </c>
      <c r="D465" s="38" t="n">
        <v>79</v>
      </c>
      <c r="E465" s="38"/>
    </row>
    <row r="466" customFormat="false" ht="15" hidden="false" customHeight="false" outlineLevel="0" collapsed="false">
      <c r="B466" s="37" t="s">
        <v>9694</v>
      </c>
      <c r="C466" s="37" t="s">
        <v>9695</v>
      </c>
      <c r="D466" s="38" t="n">
        <v>78</v>
      </c>
      <c r="E466" s="38"/>
    </row>
    <row r="467" customFormat="false" ht="15" hidden="false" customHeight="false" outlineLevel="0" collapsed="false">
      <c r="B467" s="37" t="s">
        <v>8385</v>
      </c>
      <c r="C467" s="37" t="s">
        <v>9696</v>
      </c>
      <c r="D467" s="38" t="n">
        <v>108</v>
      </c>
      <c r="E467" s="38"/>
    </row>
    <row r="468" customFormat="false" ht="15" hidden="false" customHeight="false" outlineLevel="0" collapsed="false">
      <c r="B468" s="37" t="s">
        <v>8389</v>
      </c>
      <c r="C468" s="37" t="s">
        <v>9697</v>
      </c>
      <c r="D468" s="38" t="n">
        <v>73</v>
      </c>
      <c r="E468" s="38"/>
    </row>
    <row r="469" customFormat="false" ht="15" hidden="false" customHeight="false" outlineLevel="0" collapsed="false">
      <c r="B469" s="37" t="s">
        <v>8391</v>
      </c>
      <c r="C469" s="37" t="s">
        <v>9698</v>
      </c>
      <c r="D469" s="38" t="n">
        <v>71</v>
      </c>
      <c r="E469" s="38"/>
    </row>
    <row r="470" customFormat="false" ht="15" hidden="false" customHeight="false" outlineLevel="0" collapsed="false">
      <c r="B470" s="37" t="s">
        <v>8395</v>
      </c>
      <c r="C470" s="37" t="s">
        <v>9527</v>
      </c>
      <c r="D470" s="38" t="n">
        <v>88</v>
      </c>
      <c r="E470" s="38"/>
    </row>
    <row r="471" customFormat="false" ht="15" hidden="false" customHeight="false" outlineLevel="0" collapsed="false">
      <c r="B471" s="37" t="s">
        <v>8396</v>
      </c>
      <c r="C471" s="37" t="s">
        <v>9699</v>
      </c>
      <c r="D471" s="38" t="n">
        <v>72</v>
      </c>
      <c r="E471" s="38"/>
    </row>
    <row r="472" customFormat="false" ht="15" hidden="false" customHeight="false" outlineLevel="0" collapsed="false">
      <c r="B472" s="37" t="s">
        <v>8398</v>
      </c>
      <c r="C472" s="37" t="s">
        <v>9461</v>
      </c>
      <c r="D472" s="38" t="n">
        <v>100</v>
      </c>
      <c r="E472" s="38"/>
    </row>
    <row r="473" customFormat="false" ht="15" hidden="false" customHeight="false" outlineLevel="0" collapsed="false">
      <c r="B473" s="37" t="s">
        <v>7105</v>
      </c>
      <c r="C473" s="37" t="s">
        <v>9700</v>
      </c>
      <c r="D473" s="38" t="n">
        <v>85</v>
      </c>
      <c r="E473" s="38"/>
    </row>
    <row r="474" customFormat="false" ht="15" hidden="false" customHeight="false" outlineLevel="0" collapsed="false">
      <c r="B474" s="37" t="s">
        <v>8399</v>
      </c>
      <c r="C474" s="37" t="s">
        <v>9701</v>
      </c>
      <c r="D474" s="38" t="n">
        <v>95</v>
      </c>
      <c r="E474" s="38"/>
    </row>
    <row r="475" customFormat="false" ht="15" hidden="false" customHeight="false" outlineLevel="0" collapsed="false">
      <c r="B475" s="37" t="s">
        <v>8401</v>
      </c>
      <c r="C475" s="37" t="s">
        <v>9702</v>
      </c>
      <c r="D475" s="38" t="n">
        <v>94</v>
      </c>
      <c r="E475" s="38"/>
    </row>
    <row r="476" customFormat="false" ht="15" hidden="false" customHeight="false" outlineLevel="0" collapsed="false">
      <c r="B476" s="37" t="s">
        <v>9703</v>
      </c>
      <c r="C476" s="37" t="s">
        <v>9704</v>
      </c>
      <c r="D476" s="38" t="n">
        <v>79</v>
      </c>
      <c r="E476" s="38"/>
    </row>
    <row r="477" customFormat="false" ht="15" hidden="false" customHeight="false" outlineLevel="0" collapsed="false">
      <c r="B477" s="37" t="s">
        <v>9705</v>
      </c>
      <c r="C477" s="37" t="s">
        <v>9706</v>
      </c>
      <c r="D477" s="38" t="n">
        <v>90</v>
      </c>
      <c r="E477" s="38"/>
    </row>
    <row r="478" customFormat="false" ht="15" hidden="false" customHeight="false" outlineLevel="0" collapsed="false">
      <c r="B478" s="37" t="s">
        <v>8405</v>
      </c>
      <c r="C478" s="37" t="s">
        <v>9707</v>
      </c>
      <c r="D478" s="38" t="n">
        <v>82</v>
      </c>
      <c r="E478" s="38"/>
    </row>
    <row r="479" customFormat="false" ht="15" hidden="false" customHeight="false" outlineLevel="0" collapsed="false">
      <c r="B479" s="37" t="s">
        <v>7254</v>
      </c>
      <c r="C479" s="37" t="s">
        <v>9634</v>
      </c>
      <c r="D479" s="38" t="n">
        <v>79</v>
      </c>
      <c r="E479" s="38"/>
    </row>
    <row r="480" customFormat="false" ht="15" hidden="false" customHeight="false" outlineLevel="0" collapsed="false">
      <c r="B480" s="37" t="s">
        <v>8407</v>
      </c>
      <c r="C480" s="37" t="s">
        <v>9708</v>
      </c>
      <c r="D480" s="38" t="n">
        <v>78</v>
      </c>
      <c r="E480" s="38"/>
    </row>
    <row r="481" customFormat="false" ht="15" hidden="false" customHeight="false" outlineLevel="0" collapsed="false">
      <c r="B481" s="37" t="s">
        <v>8414</v>
      </c>
      <c r="C481" s="37" t="s">
        <v>9709</v>
      </c>
      <c r="D481" s="38" t="n">
        <v>76</v>
      </c>
      <c r="E481" s="38"/>
    </row>
    <row r="482" customFormat="false" ht="15" hidden="false" customHeight="false" outlineLevel="0" collapsed="false">
      <c r="B482" s="37" t="s">
        <v>7232</v>
      </c>
      <c r="C482" s="37" t="s">
        <v>9617</v>
      </c>
      <c r="D482" s="38" t="n">
        <v>84</v>
      </c>
      <c r="E482" s="38"/>
    </row>
    <row r="483" customFormat="false" ht="15" hidden="false" customHeight="false" outlineLevel="0" collapsed="false">
      <c r="B483" s="37" t="s">
        <v>8428</v>
      </c>
      <c r="C483" s="37" t="s">
        <v>9710</v>
      </c>
      <c r="D483" s="38" t="n">
        <v>84</v>
      </c>
      <c r="E483" s="38"/>
    </row>
    <row r="484" customFormat="false" ht="15" hidden="false" customHeight="false" outlineLevel="0" collapsed="false">
      <c r="B484" s="37" t="s">
        <v>8430</v>
      </c>
      <c r="C484" s="37" t="s">
        <v>9711</v>
      </c>
      <c r="D484" s="38" t="n">
        <v>107</v>
      </c>
      <c r="E484" s="38"/>
    </row>
    <row r="485" customFormat="false" ht="15" hidden="false" customHeight="false" outlineLevel="0" collapsed="false">
      <c r="B485" s="37" t="s">
        <v>8432</v>
      </c>
      <c r="C485" s="37" t="s">
        <v>9483</v>
      </c>
      <c r="D485" s="38" t="n">
        <v>75</v>
      </c>
      <c r="E485" s="38"/>
    </row>
    <row r="486" customFormat="false" ht="15" hidden="false" customHeight="false" outlineLevel="0" collapsed="false">
      <c r="B486" s="37" t="s">
        <v>8439</v>
      </c>
      <c r="C486" s="37" t="s">
        <v>9712</v>
      </c>
      <c r="D486" s="38" t="n">
        <v>73</v>
      </c>
      <c r="E486" s="38"/>
    </row>
    <row r="487" customFormat="false" ht="15" hidden="false" customHeight="false" outlineLevel="0" collapsed="false">
      <c r="B487" s="37" t="s">
        <v>9713</v>
      </c>
      <c r="C487" s="37" t="s">
        <v>9714</v>
      </c>
      <c r="D487" s="38" t="n">
        <v>109</v>
      </c>
      <c r="E487" s="38"/>
    </row>
    <row r="488" customFormat="false" ht="15" hidden="false" customHeight="false" outlineLevel="0" collapsed="false">
      <c r="B488" s="37" t="s">
        <v>7130</v>
      </c>
      <c r="C488" s="37" t="s">
        <v>9599</v>
      </c>
      <c r="D488" s="38" t="n">
        <v>83</v>
      </c>
      <c r="E488" s="38"/>
    </row>
    <row r="489" customFormat="false" ht="15" hidden="false" customHeight="false" outlineLevel="0" collapsed="false">
      <c r="B489" s="37" t="s">
        <v>9715</v>
      </c>
      <c r="C489" s="37" t="s">
        <v>9716</v>
      </c>
      <c r="D489" s="38" t="n">
        <v>80</v>
      </c>
      <c r="E489" s="38"/>
    </row>
    <row r="490" customFormat="false" ht="15" hidden="false" customHeight="false" outlineLevel="0" collapsed="false">
      <c r="B490" s="37" t="s">
        <v>9717</v>
      </c>
      <c r="C490" s="37" t="s">
        <v>9718</v>
      </c>
      <c r="D490" s="38" t="n">
        <v>86</v>
      </c>
      <c r="E490" s="38"/>
    </row>
    <row r="491" customFormat="false" ht="15" hidden="false" customHeight="false" outlineLevel="0" collapsed="false">
      <c r="B491" s="37" t="s">
        <v>8450</v>
      </c>
      <c r="C491" s="37" t="s">
        <v>9719</v>
      </c>
      <c r="D491" s="38" t="n">
        <v>97</v>
      </c>
      <c r="E491" s="38"/>
    </row>
    <row r="492" customFormat="false" ht="15" hidden="false" customHeight="false" outlineLevel="0" collapsed="false">
      <c r="B492" s="37" t="s">
        <v>9720</v>
      </c>
      <c r="C492" s="37" t="s">
        <v>9621</v>
      </c>
      <c r="D492" s="38" t="n">
        <v>74</v>
      </c>
      <c r="E492" s="38"/>
    </row>
    <row r="493" customFormat="false" ht="15" hidden="false" customHeight="false" outlineLevel="0" collapsed="false">
      <c r="B493" s="37" t="s">
        <v>8459</v>
      </c>
      <c r="C493" s="37" t="s">
        <v>9721</v>
      </c>
      <c r="D493" s="38" t="n">
        <v>74</v>
      </c>
      <c r="E493" s="38"/>
    </row>
    <row r="494" customFormat="false" ht="15" hidden="false" customHeight="false" outlineLevel="0" collapsed="false">
      <c r="B494" s="37" t="s">
        <v>8463</v>
      </c>
      <c r="C494" s="37" t="s">
        <v>9556</v>
      </c>
      <c r="D494" s="38" t="n">
        <v>80</v>
      </c>
      <c r="E494" s="38"/>
    </row>
    <row r="495" customFormat="false" ht="15" hidden="false" customHeight="false" outlineLevel="0" collapsed="false">
      <c r="B495" s="37" t="s">
        <v>8464</v>
      </c>
      <c r="C495" s="37" t="s">
        <v>9722</v>
      </c>
      <c r="D495" s="38" t="n">
        <v>99</v>
      </c>
      <c r="E495" s="38"/>
    </row>
    <row r="496" customFormat="false" ht="15" hidden="false" customHeight="false" outlineLevel="0" collapsed="false">
      <c r="B496" s="37" t="s">
        <v>8466</v>
      </c>
      <c r="C496" s="37" t="s">
        <v>9723</v>
      </c>
      <c r="D496" s="38" t="n">
        <v>76</v>
      </c>
      <c r="E496" s="38"/>
    </row>
    <row r="497" customFormat="false" ht="15" hidden="false" customHeight="false" outlineLevel="0" collapsed="false">
      <c r="B497" s="37" t="s">
        <v>8474</v>
      </c>
      <c r="C497" s="37" t="s">
        <v>9696</v>
      </c>
      <c r="D497" s="38" t="n">
        <v>108</v>
      </c>
      <c r="E497" s="38"/>
    </row>
    <row r="498" customFormat="false" ht="15" hidden="false" customHeight="false" outlineLevel="0" collapsed="false">
      <c r="B498" s="37" t="s">
        <v>8477</v>
      </c>
      <c r="C498" s="37" t="s">
        <v>9724</v>
      </c>
      <c r="D498" s="38" t="n">
        <v>87</v>
      </c>
      <c r="E498" s="38"/>
    </row>
    <row r="499" customFormat="false" ht="15" hidden="false" customHeight="false" outlineLevel="0" collapsed="false">
      <c r="B499" s="37" t="s">
        <v>8482</v>
      </c>
      <c r="C499" s="37" t="s">
        <v>9725</v>
      </c>
      <c r="D499" s="38" t="n">
        <v>76</v>
      </c>
      <c r="E499" s="38"/>
    </row>
    <row r="500" customFormat="false" ht="15" hidden="false" customHeight="false" outlineLevel="0" collapsed="false">
      <c r="B500" s="37" t="s">
        <v>8485</v>
      </c>
      <c r="C500" s="37" t="s">
        <v>9726</v>
      </c>
      <c r="D500" s="38" t="n">
        <v>79</v>
      </c>
      <c r="E500" s="38"/>
    </row>
    <row r="501" customFormat="false" ht="15" hidden="false" customHeight="false" outlineLevel="0" collapsed="false">
      <c r="B501" s="37" t="s">
        <v>8487</v>
      </c>
      <c r="C501" s="37" t="s">
        <v>9727</v>
      </c>
      <c r="D501" s="38" t="n">
        <v>75</v>
      </c>
      <c r="E501" s="38"/>
    </row>
    <row r="502" customFormat="false" ht="15" hidden="false" customHeight="false" outlineLevel="0" collapsed="false">
      <c r="B502" s="37" t="s">
        <v>8490</v>
      </c>
      <c r="C502" s="37" t="s">
        <v>9728</v>
      </c>
      <c r="D502" s="38" t="n">
        <v>74</v>
      </c>
      <c r="E502" s="38"/>
    </row>
    <row r="503" customFormat="false" ht="15" hidden="false" customHeight="false" outlineLevel="0" collapsed="false">
      <c r="B503" s="37" t="s">
        <v>8495</v>
      </c>
      <c r="C503" s="37" t="s">
        <v>9729</v>
      </c>
      <c r="D503" s="38" t="n">
        <v>134</v>
      </c>
      <c r="E503" s="38"/>
    </row>
    <row r="504" customFormat="false" ht="15" hidden="false" customHeight="false" outlineLevel="0" collapsed="false">
      <c r="B504" s="37" t="s">
        <v>8502</v>
      </c>
      <c r="C504" s="37" t="s">
        <v>9512</v>
      </c>
      <c r="D504" s="38" t="n">
        <v>72</v>
      </c>
      <c r="E504" s="38"/>
    </row>
    <row r="505" customFormat="false" ht="15" hidden="false" customHeight="false" outlineLevel="0" collapsed="false">
      <c r="B505" s="37" t="s">
        <v>8503</v>
      </c>
      <c r="C505" s="37" t="s">
        <v>9730</v>
      </c>
      <c r="D505" s="38" t="n">
        <v>113</v>
      </c>
      <c r="E505" s="38"/>
    </row>
    <row r="506" customFormat="false" ht="15" hidden="false" customHeight="false" outlineLevel="0" collapsed="false">
      <c r="B506" s="37" t="s">
        <v>8505</v>
      </c>
      <c r="C506" s="37" t="s">
        <v>9721</v>
      </c>
      <c r="D506" s="38" t="n">
        <v>74</v>
      </c>
      <c r="E506" s="38"/>
    </row>
    <row r="507" customFormat="false" ht="15" hidden="false" customHeight="false" outlineLevel="0" collapsed="false">
      <c r="B507" s="37" t="s">
        <v>8506</v>
      </c>
      <c r="C507" s="37" t="s">
        <v>9731</v>
      </c>
      <c r="D507" s="38" t="n">
        <v>72</v>
      </c>
      <c r="E507" s="38"/>
    </row>
    <row r="508" customFormat="false" ht="15" hidden="false" customHeight="false" outlineLevel="0" collapsed="false">
      <c r="B508" s="37" t="s">
        <v>8510</v>
      </c>
      <c r="C508" s="37" t="s">
        <v>9732</v>
      </c>
      <c r="D508" s="38" t="n">
        <v>71</v>
      </c>
      <c r="E508" s="38"/>
    </row>
    <row r="509" customFormat="false" ht="15" hidden="false" customHeight="false" outlineLevel="0" collapsed="false">
      <c r="B509" s="37" t="s">
        <v>8512</v>
      </c>
      <c r="C509" s="37" t="s">
        <v>9733</v>
      </c>
      <c r="D509" s="38" t="n">
        <v>83</v>
      </c>
      <c r="E509" s="38"/>
    </row>
    <row r="510" customFormat="false" ht="15" hidden="false" customHeight="false" outlineLevel="0" collapsed="false">
      <c r="B510" s="37" t="s">
        <v>9734</v>
      </c>
      <c r="C510" s="37" t="s">
        <v>9735</v>
      </c>
      <c r="D510" s="38" t="n">
        <v>80</v>
      </c>
      <c r="E510" s="38"/>
    </row>
    <row r="511" customFormat="false" ht="15" hidden="false" customHeight="false" outlineLevel="0" collapsed="false">
      <c r="B511" s="37" t="s">
        <v>8516</v>
      </c>
      <c r="C511" s="37" t="s">
        <v>9736</v>
      </c>
      <c r="D511" s="38" t="n">
        <v>71</v>
      </c>
      <c r="E511" s="38"/>
    </row>
    <row r="512" customFormat="false" ht="15" hidden="false" customHeight="false" outlineLevel="0" collapsed="false">
      <c r="B512" s="37" t="s">
        <v>8526</v>
      </c>
      <c r="C512" s="37" t="s">
        <v>9450</v>
      </c>
      <c r="D512" s="38" t="n">
        <v>87</v>
      </c>
      <c r="E512" s="38"/>
    </row>
    <row r="513" customFormat="false" ht="15" hidden="false" customHeight="false" outlineLevel="0" collapsed="false">
      <c r="B513" s="37" t="s">
        <v>8527</v>
      </c>
      <c r="C513" s="37" t="s">
        <v>9737</v>
      </c>
      <c r="D513" s="38" t="n">
        <v>79</v>
      </c>
      <c r="E513" s="38"/>
    </row>
    <row r="514" customFormat="false" ht="15" hidden="false" customHeight="false" outlineLevel="0" collapsed="false">
      <c r="B514" s="37" t="s">
        <v>8529</v>
      </c>
      <c r="C514" s="37" t="s">
        <v>9615</v>
      </c>
      <c r="D514" s="38" t="n">
        <v>73</v>
      </c>
      <c r="E514" s="38"/>
    </row>
    <row r="515" customFormat="false" ht="15" hidden="false" customHeight="false" outlineLevel="0" collapsed="false">
      <c r="B515" s="37" t="s">
        <v>9738</v>
      </c>
      <c r="C515" s="37" t="s">
        <v>9700</v>
      </c>
      <c r="D515" s="38" t="n">
        <v>85</v>
      </c>
      <c r="E515" s="38"/>
    </row>
    <row r="516" customFormat="false" ht="15" hidden="false" customHeight="false" outlineLevel="0" collapsed="false">
      <c r="B516" s="37" t="s">
        <v>8532</v>
      </c>
      <c r="C516" s="37" t="s">
        <v>9546</v>
      </c>
      <c r="D516" s="38" t="n">
        <v>79</v>
      </c>
      <c r="E516" s="38"/>
    </row>
    <row r="517" customFormat="false" ht="15" hidden="false" customHeight="false" outlineLevel="0" collapsed="false">
      <c r="B517" s="37" t="s">
        <v>8539</v>
      </c>
      <c r="C517" s="37" t="s">
        <v>9739</v>
      </c>
      <c r="D517" s="38" t="n">
        <v>86</v>
      </c>
      <c r="E517" s="38"/>
    </row>
    <row r="518" customFormat="false" ht="15" hidden="false" customHeight="false" outlineLevel="0" collapsed="false">
      <c r="B518" s="37" t="s">
        <v>8543</v>
      </c>
      <c r="C518" s="37" t="s">
        <v>9740</v>
      </c>
      <c r="D518" s="38" t="n">
        <v>72</v>
      </c>
      <c r="E518" s="38"/>
    </row>
    <row r="519" customFormat="false" ht="15" hidden="false" customHeight="false" outlineLevel="0" collapsed="false">
      <c r="B519" s="37" t="s">
        <v>9741</v>
      </c>
      <c r="C519" s="37" t="s">
        <v>9742</v>
      </c>
      <c r="D519" s="38" t="n">
        <v>84</v>
      </c>
      <c r="E519" s="38"/>
    </row>
    <row r="520" customFormat="false" ht="15" hidden="false" customHeight="false" outlineLevel="0" collapsed="false">
      <c r="B520" s="37" t="s">
        <v>8547</v>
      </c>
      <c r="C520" s="37" t="s">
        <v>9537</v>
      </c>
      <c r="D520" s="38" t="n">
        <v>104</v>
      </c>
      <c r="E520" s="38"/>
    </row>
    <row r="521" customFormat="false" ht="15" hidden="false" customHeight="false" outlineLevel="0" collapsed="false">
      <c r="B521" s="37" t="s">
        <v>9743</v>
      </c>
      <c r="C521" s="37" t="s">
        <v>9744</v>
      </c>
      <c r="D521" s="38" t="n">
        <v>85</v>
      </c>
      <c r="E521" s="38"/>
    </row>
    <row r="522" customFormat="false" ht="15" hidden="false" customHeight="false" outlineLevel="0" collapsed="false">
      <c r="B522" s="37" t="s">
        <v>8562</v>
      </c>
      <c r="C522" s="37" t="s">
        <v>9745</v>
      </c>
      <c r="D522" s="38" t="n">
        <v>76</v>
      </c>
      <c r="E522" s="38"/>
    </row>
    <row r="523" customFormat="false" ht="15" hidden="false" customHeight="false" outlineLevel="0" collapsed="false">
      <c r="B523" s="37" t="s">
        <v>8564</v>
      </c>
      <c r="C523" s="37" t="s">
        <v>9583</v>
      </c>
      <c r="D523" s="38" t="n">
        <v>88</v>
      </c>
      <c r="E523" s="38"/>
    </row>
    <row r="524" customFormat="false" ht="15" hidden="false" customHeight="false" outlineLevel="0" collapsed="false">
      <c r="B524" s="37" t="s">
        <v>8565</v>
      </c>
      <c r="C524" s="37" t="s">
        <v>9638</v>
      </c>
      <c r="D524" s="38" t="n">
        <v>87</v>
      </c>
      <c r="E524" s="38"/>
    </row>
    <row r="525" customFormat="false" ht="15" hidden="false" customHeight="false" outlineLevel="0" collapsed="false">
      <c r="B525" s="37" t="s">
        <v>8572</v>
      </c>
      <c r="C525" s="37" t="s">
        <v>9746</v>
      </c>
      <c r="D525" s="38" t="n">
        <v>71</v>
      </c>
      <c r="E525" s="38"/>
    </row>
    <row r="526" customFormat="false" ht="15" hidden="false" customHeight="false" outlineLevel="0" collapsed="false">
      <c r="B526" s="37" t="s">
        <v>8574</v>
      </c>
      <c r="C526" s="37" t="s">
        <v>9747</v>
      </c>
      <c r="D526" s="38" t="n">
        <v>75</v>
      </c>
      <c r="E526" s="38"/>
    </row>
    <row r="527" customFormat="false" ht="15" hidden="false" customHeight="false" outlineLevel="0" collapsed="false">
      <c r="B527" s="37" t="s">
        <v>8576</v>
      </c>
      <c r="C527" s="37" t="s">
        <v>9748</v>
      </c>
      <c r="D527" s="38" t="n">
        <v>89</v>
      </c>
      <c r="E527" s="38"/>
    </row>
    <row r="528" customFormat="false" ht="15" hidden="false" customHeight="false" outlineLevel="0" collapsed="false">
      <c r="B528" s="37" t="s">
        <v>8578</v>
      </c>
      <c r="C528" s="37" t="s">
        <v>9584</v>
      </c>
      <c r="D528" s="38" t="n">
        <v>88</v>
      </c>
      <c r="E528" s="38"/>
    </row>
    <row r="529" customFormat="false" ht="15" hidden="false" customHeight="false" outlineLevel="0" collapsed="false">
      <c r="B529" s="37" t="s">
        <v>8579</v>
      </c>
      <c r="C529" s="37" t="s">
        <v>9749</v>
      </c>
      <c r="D529" s="38" t="n">
        <v>72</v>
      </c>
      <c r="E529" s="38"/>
    </row>
    <row r="530" customFormat="false" ht="15" hidden="false" customHeight="false" outlineLevel="0" collapsed="false">
      <c r="B530" s="37" t="s">
        <v>9750</v>
      </c>
      <c r="C530" s="37" t="s">
        <v>9751</v>
      </c>
      <c r="D530" s="38" t="n">
        <v>74</v>
      </c>
      <c r="E530" s="38"/>
    </row>
    <row r="531" customFormat="false" ht="15" hidden="false" customHeight="false" outlineLevel="0" collapsed="false">
      <c r="B531" s="37" t="s">
        <v>9752</v>
      </c>
      <c r="C531" s="37" t="s">
        <v>9753</v>
      </c>
      <c r="D531" s="38" t="n">
        <v>88</v>
      </c>
      <c r="E531" s="38"/>
    </row>
    <row r="532" customFormat="false" ht="15" hidden="false" customHeight="false" outlineLevel="0" collapsed="false">
      <c r="B532" s="37" t="s">
        <v>8585</v>
      </c>
      <c r="C532" s="37" t="s">
        <v>9754</v>
      </c>
      <c r="D532" s="38" t="n">
        <v>74</v>
      </c>
      <c r="E532" s="38"/>
    </row>
    <row r="533" customFormat="false" ht="15" hidden="false" customHeight="false" outlineLevel="0" collapsed="false">
      <c r="B533" s="37" t="s">
        <v>9755</v>
      </c>
      <c r="C533" s="37" t="s">
        <v>9756</v>
      </c>
      <c r="D533" s="38" t="n">
        <v>74</v>
      </c>
      <c r="E533" s="38"/>
    </row>
    <row r="534" customFormat="false" ht="15" hidden="false" customHeight="false" outlineLevel="0" collapsed="false">
      <c r="B534" s="37" t="s">
        <v>8596</v>
      </c>
      <c r="C534" s="37" t="s">
        <v>9757</v>
      </c>
      <c r="D534" s="38" t="n">
        <v>106</v>
      </c>
      <c r="E534" s="38"/>
    </row>
    <row r="535" customFormat="false" ht="15" hidden="false" customHeight="false" outlineLevel="0" collapsed="false">
      <c r="B535" s="37" t="s">
        <v>8602</v>
      </c>
      <c r="C535" s="37" t="s">
        <v>9758</v>
      </c>
      <c r="D535" s="38" t="n">
        <v>84</v>
      </c>
      <c r="E535" s="38"/>
    </row>
    <row r="536" customFormat="false" ht="15" hidden="false" customHeight="false" outlineLevel="0" collapsed="false">
      <c r="B536" s="37" t="s">
        <v>8607</v>
      </c>
      <c r="C536" s="37" t="s">
        <v>9628</v>
      </c>
      <c r="D536" s="38" t="n">
        <v>74</v>
      </c>
      <c r="E536" s="38"/>
    </row>
    <row r="537" customFormat="false" ht="15" hidden="false" customHeight="false" outlineLevel="0" collapsed="false">
      <c r="B537" s="37" t="s">
        <v>8617</v>
      </c>
      <c r="C537" s="37" t="s">
        <v>9759</v>
      </c>
      <c r="D537" s="38" t="n">
        <v>99</v>
      </c>
      <c r="E537" s="38"/>
    </row>
    <row r="538" customFormat="false" ht="15" hidden="false" customHeight="false" outlineLevel="0" collapsed="false">
      <c r="B538" s="37" t="s">
        <v>7270</v>
      </c>
      <c r="C538" s="37" t="s">
        <v>9760</v>
      </c>
      <c r="D538" s="38" t="n">
        <v>83</v>
      </c>
      <c r="E538" s="38"/>
    </row>
    <row r="539" customFormat="false" ht="15" hidden="false" customHeight="false" outlineLevel="0" collapsed="false">
      <c r="B539" s="37" t="s">
        <v>9761</v>
      </c>
      <c r="C539" s="37" t="s">
        <v>9735</v>
      </c>
      <c r="D539" s="38" t="n">
        <v>80</v>
      </c>
      <c r="E539" s="38"/>
    </row>
    <row r="540" customFormat="false" ht="15" hidden="false" customHeight="false" outlineLevel="0" collapsed="false">
      <c r="B540" s="37" t="s">
        <v>8629</v>
      </c>
      <c r="C540" s="37" t="s">
        <v>9762</v>
      </c>
      <c r="D540" s="38" t="n">
        <v>106</v>
      </c>
      <c r="E540" s="38"/>
    </row>
    <row r="541" customFormat="false" ht="15" hidden="false" customHeight="false" outlineLevel="0" collapsed="false">
      <c r="B541" s="37" t="s">
        <v>8631</v>
      </c>
      <c r="C541" s="37" t="s">
        <v>9763</v>
      </c>
      <c r="D541" s="38" t="n">
        <v>82</v>
      </c>
      <c r="E541" s="38"/>
    </row>
    <row r="542" customFormat="false" ht="15" hidden="false" customHeight="false" outlineLevel="0" collapsed="false">
      <c r="B542" s="37" t="s">
        <v>8634</v>
      </c>
      <c r="C542" s="37" t="s">
        <v>9764</v>
      </c>
      <c r="D542" s="38" t="n">
        <v>78</v>
      </c>
      <c r="E542" s="38"/>
    </row>
    <row r="543" customFormat="false" ht="15" hidden="false" customHeight="false" outlineLevel="0" collapsed="false">
      <c r="B543" s="37" t="s">
        <v>9765</v>
      </c>
      <c r="C543" s="37" t="s">
        <v>9458</v>
      </c>
      <c r="D543" s="38" t="n">
        <v>88</v>
      </c>
      <c r="E543" s="38"/>
    </row>
    <row r="544" customFormat="false" ht="15" hidden="false" customHeight="false" outlineLevel="0" collapsed="false">
      <c r="B544" s="37" t="s">
        <v>8636</v>
      </c>
      <c r="C544" s="37" t="s">
        <v>9766</v>
      </c>
      <c r="D544" s="38" t="n">
        <v>110</v>
      </c>
      <c r="E544" s="38"/>
    </row>
    <row r="545" customFormat="false" ht="15" hidden="false" customHeight="false" outlineLevel="0" collapsed="false">
      <c r="B545" s="37" t="s">
        <v>9767</v>
      </c>
      <c r="C545" s="37" t="s">
        <v>9768</v>
      </c>
      <c r="D545" s="38" t="n">
        <v>74</v>
      </c>
      <c r="E545" s="38"/>
    </row>
    <row r="546" customFormat="false" ht="15" hidden="false" customHeight="false" outlineLevel="0" collapsed="false">
      <c r="B546" s="37" t="s">
        <v>8643</v>
      </c>
      <c r="C546" s="37" t="s">
        <v>9590</v>
      </c>
      <c r="D546" s="38" t="n">
        <v>115</v>
      </c>
      <c r="E546" s="38"/>
    </row>
    <row r="547" customFormat="false" ht="15" hidden="false" customHeight="false" outlineLevel="0" collapsed="false">
      <c r="B547" s="37" t="s">
        <v>9769</v>
      </c>
      <c r="C547" s="37" t="s">
        <v>9770</v>
      </c>
      <c r="D547" s="38" t="n">
        <v>80</v>
      </c>
      <c r="E547" s="38"/>
    </row>
    <row r="548" customFormat="false" ht="15" hidden="false" customHeight="false" outlineLevel="0" collapsed="false">
      <c r="B548" s="37" t="s">
        <v>6948</v>
      </c>
      <c r="C548" s="37" t="s">
        <v>9638</v>
      </c>
      <c r="D548" s="38" t="n">
        <v>87</v>
      </c>
      <c r="E548" s="38"/>
    </row>
    <row r="549" customFormat="false" ht="15" hidden="false" customHeight="false" outlineLevel="0" collapsed="false">
      <c r="B549" s="37" t="s">
        <v>8644</v>
      </c>
      <c r="C549" s="37" t="s">
        <v>9771</v>
      </c>
      <c r="D549" s="38" t="n">
        <v>76</v>
      </c>
      <c r="E549" s="38"/>
    </row>
    <row r="550" customFormat="false" ht="15" hidden="false" customHeight="false" outlineLevel="0" collapsed="false">
      <c r="B550" s="37" t="s">
        <v>9772</v>
      </c>
      <c r="C550" s="37" t="s">
        <v>9773</v>
      </c>
      <c r="D550" s="38" t="n">
        <v>75</v>
      </c>
      <c r="E550" s="38"/>
    </row>
    <row r="551" customFormat="false" ht="15" hidden="false" customHeight="false" outlineLevel="0" collapsed="false">
      <c r="B551" s="37" t="s">
        <v>8649</v>
      </c>
      <c r="C551" s="37" t="s">
        <v>9616</v>
      </c>
      <c r="D551" s="38" t="n">
        <v>80</v>
      </c>
      <c r="E551" s="38"/>
    </row>
    <row r="552" customFormat="false" ht="15" hidden="false" customHeight="false" outlineLevel="0" collapsed="false">
      <c r="B552" s="37" t="s">
        <v>8652</v>
      </c>
      <c r="C552" s="37" t="s">
        <v>9774</v>
      </c>
      <c r="D552" s="38" t="n">
        <v>84</v>
      </c>
      <c r="E552" s="38"/>
    </row>
    <row r="553" customFormat="false" ht="15" hidden="false" customHeight="false" outlineLevel="0" collapsed="false">
      <c r="B553" s="37" t="s">
        <v>8654</v>
      </c>
      <c r="C553" s="37" t="s">
        <v>9775</v>
      </c>
      <c r="D553" s="38" t="n">
        <v>81</v>
      </c>
      <c r="E553" s="38"/>
    </row>
    <row r="554" customFormat="false" ht="15" hidden="false" customHeight="false" outlineLevel="0" collapsed="false">
      <c r="B554" s="37" t="s">
        <v>8656</v>
      </c>
      <c r="C554" s="37" t="s">
        <v>9550</v>
      </c>
      <c r="D554" s="38" t="n">
        <v>86</v>
      </c>
      <c r="E554" s="38"/>
    </row>
    <row r="555" customFormat="false" ht="15" hidden="false" customHeight="false" outlineLevel="0" collapsed="false">
      <c r="B555" s="37" t="s">
        <v>8657</v>
      </c>
      <c r="C555" s="37" t="s">
        <v>9776</v>
      </c>
      <c r="D555" s="38" t="n">
        <v>78</v>
      </c>
      <c r="E555" s="38"/>
    </row>
    <row r="556" customFormat="false" ht="15" hidden="false" customHeight="false" outlineLevel="0" collapsed="false">
      <c r="B556" s="37" t="s">
        <v>9777</v>
      </c>
      <c r="C556" s="37" t="s">
        <v>9778</v>
      </c>
      <c r="D556" s="38" t="n">
        <v>79</v>
      </c>
      <c r="E556" s="38"/>
    </row>
    <row r="557" customFormat="false" ht="15" hidden="false" customHeight="false" outlineLevel="0" collapsed="false">
      <c r="B557" s="37" t="s">
        <v>8661</v>
      </c>
      <c r="C557" s="37" t="s">
        <v>9461</v>
      </c>
      <c r="D557" s="38" t="n">
        <v>100</v>
      </c>
      <c r="E557" s="38"/>
    </row>
    <row r="558" customFormat="false" ht="15" hidden="false" customHeight="false" outlineLevel="0" collapsed="false">
      <c r="B558" s="37" t="s">
        <v>9779</v>
      </c>
      <c r="C558" s="37" t="s">
        <v>9577</v>
      </c>
      <c r="D558" s="38" t="n">
        <v>88</v>
      </c>
      <c r="E558" s="38"/>
    </row>
    <row r="559" customFormat="false" ht="15" hidden="false" customHeight="false" outlineLevel="0" collapsed="false">
      <c r="B559" s="37" t="s">
        <v>8668</v>
      </c>
      <c r="C559" s="37" t="s">
        <v>9780</v>
      </c>
      <c r="D559" s="38" t="n">
        <v>85</v>
      </c>
      <c r="E559" s="38"/>
    </row>
    <row r="560" customFormat="false" ht="15" hidden="false" customHeight="false" outlineLevel="0" collapsed="false">
      <c r="B560" s="37" t="s">
        <v>8674</v>
      </c>
      <c r="C560" s="37" t="s">
        <v>9781</v>
      </c>
      <c r="D560" s="38" t="n">
        <v>76</v>
      </c>
      <c r="E560" s="38"/>
    </row>
    <row r="561" customFormat="false" ht="15" hidden="false" customHeight="false" outlineLevel="0" collapsed="false">
      <c r="B561" s="37" t="s">
        <v>8676</v>
      </c>
      <c r="C561" s="37" t="s">
        <v>9782</v>
      </c>
      <c r="D561" s="38" t="n">
        <v>84</v>
      </c>
      <c r="E561" s="38"/>
    </row>
    <row r="562" customFormat="false" ht="15" hidden="false" customHeight="false" outlineLevel="0" collapsed="false">
      <c r="B562" s="37" t="s">
        <v>9783</v>
      </c>
      <c r="C562" s="37" t="s">
        <v>9626</v>
      </c>
      <c r="D562" s="38" t="n">
        <v>88</v>
      </c>
      <c r="E562" s="38"/>
    </row>
    <row r="563" customFormat="false" ht="15" hidden="false" customHeight="false" outlineLevel="0" collapsed="false">
      <c r="B563" s="37" t="s">
        <v>8682</v>
      </c>
      <c r="C563" s="37" t="s">
        <v>9784</v>
      </c>
      <c r="D563" s="38" t="n">
        <v>91</v>
      </c>
      <c r="E563" s="38"/>
    </row>
    <row r="564" customFormat="false" ht="15" hidden="false" customHeight="false" outlineLevel="0" collapsed="false">
      <c r="B564" s="37" t="s">
        <v>9785</v>
      </c>
      <c r="C564" s="37" t="s">
        <v>9786</v>
      </c>
      <c r="D564" s="38" t="n">
        <v>81</v>
      </c>
      <c r="E564" s="38"/>
    </row>
    <row r="565" customFormat="false" ht="15" hidden="false" customHeight="false" outlineLevel="0" collapsed="false">
      <c r="B565" s="37" t="s">
        <v>8684</v>
      </c>
      <c r="C565" s="37" t="s">
        <v>9787</v>
      </c>
      <c r="D565" s="38" t="n">
        <v>74</v>
      </c>
      <c r="E565" s="38"/>
    </row>
    <row r="566" customFormat="false" ht="15" hidden="false" customHeight="false" outlineLevel="0" collapsed="false">
      <c r="B566" s="37" t="s">
        <v>9788</v>
      </c>
      <c r="C566" s="37" t="s">
        <v>9706</v>
      </c>
      <c r="D566" s="38" t="n">
        <v>90</v>
      </c>
      <c r="E566" s="38"/>
    </row>
    <row r="567" customFormat="false" ht="15" hidden="false" customHeight="false" outlineLevel="0" collapsed="false">
      <c r="B567" s="37" t="s">
        <v>7176</v>
      </c>
      <c r="C567" s="37" t="s">
        <v>9789</v>
      </c>
      <c r="D567" s="38" t="n">
        <v>75</v>
      </c>
      <c r="E567" s="38"/>
    </row>
    <row r="568" customFormat="false" ht="15" hidden="false" customHeight="false" outlineLevel="0" collapsed="false">
      <c r="B568" s="37" t="s">
        <v>6872</v>
      </c>
      <c r="C568" s="37" t="s">
        <v>9478</v>
      </c>
      <c r="D568" s="38" t="n">
        <v>88</v>
      </c>
      <c r="E568" s="38"/>
    </row>
    <row r="569" customFormat="false" ht="15" hidden="false" customHeight="false" outlineLevel="0" collapsed="false">
      <c r="B569" s="37" t="s">
        <v>8694</v>
      </c>
      <c r="C569" s="37" t="s">
        <v>9790</v>
      </c>
      <c r="D569" s="38" t="n">
        <v>96</v>
      </c>
      <c r="E569" s="38"/>
    </row>
    <row r="570" customFormat="false" ht="15" hidden="false" customHeight="false" outlineLevel="0" collapsed="false">
      <c r="B570" s="37" t="s">
        <v>9791</v>
      </c>
      <c r="C570" s="37" t="s">
        <v>9792</v>
      </c>
      <c r="D570" s="38" t="n">
        <v>78</v>
      </c>
      <c r="E570" s="38"/>
    </row>
    <row r="571" customFormat="false" ht="15" hidden="false" customHeight="false" outlineLevel="0" collapsed="false">
      <c r="B571" s="37" t="s">
        <v>8704</v>
      </c>
      <c r="C571" s="37" t="s">
        <v>9793</v>
      </c>
      <c r="D571" s="38" t="n">
        <v>87</v>
      </c>
      <c r="E571" s="38"/>
    </row>
    <row r="572" customFormat="false" ht="15" hidden="false" customHeight="false" outlineLevel="0" collapsed="false">
      <c r="B572" s="37" t="s">
        <v>8706</v>
      </c>
      <c r="C572" s="37" t="s">
        <v>9794</v>
      </c>
      <c r="D572" s="38" t="n">
        <v>90</v>
      </c>
      <c r="E572" s="38"/>
    </row>
    <row r="573" customFormat="false" ht="15" hidden="false" customHeight="false" outlineLevel="0" collapsed="false">
      <c r="B573" s="37" t="s">
        <v>8708</v>
      </c>
      <c r="C573" s="37" t="s">
        <v>9633</v>
      </c>
      <c r="D573" s="38" t="n">
        <v>74</v>
      </c>
      <c r="E573" s="38"/>
    </row>
    <row r="574" customFormat="false" ht="15" hidden="false" customHeight="false" outlineLevel="0" collapsed="false">
      <c r="B574" s="37" t="s">
        <v>9795</v>
      </c>
      <c r="C574" s="37" t="s">
        <v>9796</v>
      </c>
      <c r="D574" s="38" t="n">
        <v>71</v>
      </c>
      <c r="E574" s="38"/>
    </row>
    <row r="575" customFormat="false" ht="15" hidden="false" customHeight="false" outlineLevel="0" collapsed="false">
      <c r="B575" s="37" t="s">
        <v>8714</v>
      </c>
      <c r="C575" s="37" t="s">
        <v>9797</v>
      </c>
      <c r="D575" s="38" t="n">
        <v>78</v>
      </c>
      <c r="E575" s="38"/>
    </row>
    <row r="576" customFormat="false" ht="15" hidden="false" customHeight="false" outlineLevel="0" collapsed="false">
      <c r="B576" s="37" t="s">
        <v>8716</v>
      </c>
      <c r="C576" s="37" t="s">
        <v>9787</v>
      </c>
      <c r="D576" s="38" t="n">
        <v>74</v>
      </c>
      <c r="E576" s="38"/>
    </row>
    <row r="577" customFormat="false" ht="15" hidden="false" customHeight="false" outlineLevel="0" collapsed="false">
      <c r="B577" s="37" t="s">
        <v>9798</v>
      </c>
      <c r="C577" s="37" t="s">
        <v>9799</v>
      </c>
      <c r="D577" s="38" t="n">
        <v>83</v>
      </c>
      <c r="E577" s="38"/>
    </row>
    <row r="578" customFormat="false" ht="15" hidden="false" customHeight="false" outlineLevel="0" collapsed="false">
      <c r="B578" s="37" t="s">
        <v>9800</v>
      </c>
      <c r="C578" s="37" t="s">
        <v>9801</v>
      </c>
      <c r="D578" s="38" t="n">
        <v>75</v>
      </c>
      <c r="E578" s="38"/>
    </row>
    <row r="579" customFormat="false" ht="15" hidden="false" customHeight="false" outlineLevel="0" collapsed="false">
      <c r="B579" s="37" t="s">
        <v>8721</v>
      </c>
      <c r="C579" s="37" t="s">
        <v>9802</v>
      </c>
      <c r="D579" s="38" t="n">
        <v>78</v>
      </c>
      <c r="E579" s="38"/>
    </row>
    <row r="580" customFormat="false" ht="15" hidden="false" customHeight="false" outlineLevel="0" collapsed="false">
      <c r="B580" s="37" t="s">
        <v>8723</v>
      </c>
      <c r="C580" s="37" t="s">
        <v>9803</v>
      </c>
      <c r="D580" s="38" t="n">
        <v>82</v>
      </c>
      <c r="E580" s="38"/>
    </row>
    <row r="581" customFormat="false" ht="15" hidden="false" customHeight="false" outlineLevel="0" collapsed="false">
      <c r="B581" s="37" t="s">
        <v>8725</v>
      </c>
      <c r="C581" s="37" t="s">
        <v>9804</v>
      </c>
      <c r="D581" s="38" t="n">
        <v>87</v>
      </c>
      <c r="E581" s="38"/>
    </row>
    <row r="582" customFormat="false" ht="15" hidden="false" customHeight="false" outlineLevel="0" collapsed="false">
      <c r="B582" s="37" t="s">
        <v>8731</v>
      </c>
      <c r="C582" s="37" t="s">
        <v>9805</v>
      </c>
      <c r="D582" s="38" t="n">
        <v>81</v>
      </c>
      <c r="E582" s="38"/>
    </row>
    <row r="583" customFormat="false" ht="15" hidden="false" customHeight="false" outlineLevel="0" collapsed="false">
      <c r="B583" s="37" t="s">
        <v>8733</v>
      </c>
      <c r="C583" s="37" t="s">
        <v>9596</v>
      </c>
      <c r="D583" s="38" t="n">
        <v>77</v>
      </c>
      <c r="E583" s="38"/>
    </row>
    <row r="584" customFormat="false" ht="15" hidden="false" customHeight="false" outlineLevel="0" collapsed="false">
      <c r="B584" s="37" t="s">
        <v>8739</v>
      </c>
      <c r="C584" s="37" t="s">
        <v>9806</v>
      </c>
      <c r="D584" s="38" t="n">
        <v>88</v>
      </c>
      <c r="E584" s="38"/>
    </row>
    <row r="585" customFormat="false" ht="15" hidden="false" customHeight="false" outlineLevel="0" collapsed="false">
      <c r="B585" s="37" t="s">
        <v>8743</v>
      </c>
      <c r="C585" s="37" t="s">
        <v>9611</v>
      </c>
      <c r="D585" s="38" t="n">
        <v>89</v>
      </c>
      <c r="E585" s="38"/>
    </row>
    <row r="586" customFormat="false" ht="15" hidden="false" customHeight="false" outlineLevel="0" collapsed="false">
      <c r="B586" s="37" t="s">
        <v>6990</v>
      </c>
      <c r="C586" s="37" t="s">
        <v>9632</v>
      </c>
      <c r="D586" s="38" t="n">
        <v>88</v>
      </c>
      <c r="E586" s="38"/>
    </row>
    <row r="587" customFormat="false" ht="15" hidden="false" customHeight="false" outlineLevel="0" collapsed="false">
      <c r="B587" s="37" t="s">
        <v>8746</v>
      </c>
      <c r="C587" s="37" t="s">
        <v>9807</v>
      </c>
      <c r="D587" s="38" t="n">
        <v>78</v>
      </c>
      <c r="E587" s="38"/>
    </row>
    <row r="588" customFormat="false" ht="15" hidden="false" customHeight="false" outlineLevel="0" collapsed="false">
      <c r="B588" s="37" t="s">
        <v>8752</v>
      </c>
      <c r="C588" s="37" t="s">
        <v>9808</v>
      </c>
      <c r="D588" s="38" t="n">
        <v>71</v>
      </c>
      <c r="E588" s="38"/>
    </row>
    <row r="589" customFormat="false" ht="15" hidden="false" customHeight="false" outlineLevel="0" collapsed="false">
      <c r="B589" s="37" t="s">
        <v>8757</v>
      </c>
      <c r="C589" s="37" t="s">
        <v>9708</v>
      </c>
      <c r="D589" s="38" t="n">
        <v>78</v>
      </c>
      <c r="E589" s="38"/>
    </row>
    <row r="590" customFormat="false" ht="15" hidden="false" customHeight="false" outlineLevel="0" collapsed="false">
      <c r="B590" s="37" t="s">
        <v>9809</v>
      </c>
      <c r="C590" s="37" t="s">
        <v>9566</v>
      </c>
      <c r="D590" s="38" t="n">
        <v>87</v>
      </c>
      <c r="E590" s="38"/>
    </row>
    <row r="591" customFormat="false" ht="15" hidden="false" customHeight="false" outlineLevel="0" collapsed="false">
      <c r="B591" s="37" t="s">
        <v>8767</v>
      </c>
      <c r="C591" s="37" t="s">
        <v>9810</v>
      </c>
      <c r="D591" s="38" t="n">
        <v>87</v>
      </c>
      <c r="E591" s="38"/>
    </row>
    <row r="592" customFormat="false" ht="15" hidden="false" customHeight="false" outlineLevel="0" collapsed="false">
      <c r="B592" s="37" t="s">
        <v>7085</v>
      </c>
      <c r="C592" s="37" t="s">
        <v>9811</v>
      </c>
      <c r="D592" s="38" t="n">
        <v>85</v>
      </c>
      <c r="E592" s="38"/>
    </row>
    <row r="593" customFormat="false" ht="15" hidden="false" customHeight="false" outlineLevel="0" collapsed="false">
      <c r="B593" s="37" t="s">
        <v>8770</v>
      </c>
      <c r="C593" s="37" t="s">
        <v>9631</v>
      </c>
      <c r="D593" s="38" t="n">
        <v>92</v>
      </c>
      <c r="E593" s="38"/>
    </row>
    <row r="594" customFormat="false" ht="15" hidden="false" customHeight="false" outlineLevel="0" collapsed="false">
      <c r="B594" s="37" t="s">
        <v>8771</v>
      </c>
      <c r="C594" s="37" t="s">
        <v>9536</v>
      </c>
      <c r="D594" s="38" t="n">
        <v>98</v>
      </c>
      <c r="E594" s="38"/>
    </row>
    <row r="595" customFormat="false" ht="15" hidden="false" customHeight="false" outlineLevel="0" collapsed="false">
      <c r="B595" s="37" t="s">
        <v>8772</v>
      </c>
      <c r="C595" s="37" t="s">
        <v>9812</v>
      </c>
      <c r="D595" s="38" t="n">
        <v>72</v>
      </c>
      <c r="E595" s="38"/>
    </row>
    <row r="596" customFormat="false" ht="15" hidden="false" customHeight="false" outlineLevel="0" collapsed="false">
      <c r="B596" s="37" t="s">
        <v>8776</v>
      </c>
      <c r="C596" s="37" t="s">
        <v>9813</v>
      </c>
      <c r="D596" s="38" t="n">
        <v>97</v>
      </c>
      <c r="E596" s="38"/>
    </row>
    <row r="597" customFormat="false" ht="15" hidden="false" customHeight="false" outlineLevel="0" collapsed="false">
      <c r="B597" s="37" t="s">
        <v>8778</v>
      </c>
      <c r="C597" s="37" t="s">
        <v>9814</v>
      </c>
      <c r="D597" s="38" t="n">
        <v>88</v>
      </c>
      <c r="E597" s="38"/>
    </row>
    <row r="598" customFormat="false" ht="15" hidden="false" customHeight="false" outlineLevel="0" collapsed="false">
      <c r="B598" s="37" t="s">
        <v>8783</v>
      </c>
      <c r="C598" s="37" t="s">
        <v>9545</v>
      </c>
      <c r="D598" s="38" t="n">
        <v>88</v>
      </c>
      <c r="E598" s="38"/>
    </row>
    <row r="599" customFormat="false" ht="15" hidden="false" customHeight="false" outlineLevel="0" collapsed="false">
      <c r="B599" s="37" t="s">
        <v>9815</v>
      </c>
      <c r="C599" s="37" t="s">
        <v>9816</v>
      </c>
      <c r="D599" s="38" t="n">
        <v>81</v>
      </c>
      <c r="E599" s="38"/>
    </row>
    <row r="600" customFormat="false" ht="15" hidden="false" customHeight="false" outlineLevel="0" collapsed="false">
      <c r="B600" s="37" t="s">
        <v>8784</v>
      </c>
      <c r="C600" s="37" t="s">
        <v>9817</v>
      </c>
      <c r="D600" s="38" t="n">
        <v>76</v>
      </c>
      <c r="E600" s="38"/>
    </row>
    <row r="601" customFormat="false" ht="15" hidden="false" customHeight="false" outlineLevel="0" collapsed="false">
      <c r="B601" s="37" t="s">
        <v>7263</v>
      </c>
      <c r="C601" s="37" t="s">
        <v>9818</v>
      </c>
      <c r="D601" s="38" t="n">
        <v>85</v>
      </c>
      <c r="E601" s="38"/>
    </row>
    <row r="602" customFormat="false" ht="15" hidden="false" customHeight="false" outlineLevel="0" collapsed="false">
      <c r="B602" s="37" t="s">
        <v>9819</v>
      </c>
      <c r="C602" s="37" t="s">
        <v>9820</v>
      </c>
      <c r="D602" s="38" t="n">
        <v>83</v>
      </c>
      <c r="E602" s="38"/>
    </row>
    <row r="603" customFormat="false" ht="15" hidden="false" customHeight="false" outlineLevel="0" collapsed="false">
      <c r="B603" s="37" t="s">
        <v>9821</v>
      </c>
      <c r="C603" s="37" t="s">
        <v>9801</v>
      </c>
      <c r="D603" s="38" t="n">
        <v>75</v>
      </c>
      <c r="E603" s="38"/>
    </row>
    <row r="604" customFormat="false" ht="15" hidden="false" customHeight="false" outlineLevel="0" collapsed="false">
      <c r="B604" s="37" t="s">
        <v>8786</v>
      </c>
      <c r="C604" s="37" t="s">
        <v>9822</v>
      </c>
      <c r="D604" s="38" t="n">
        <v>110</v>
      </c>
      <c r="E604" s="38"/>
    </row>
    <row r="605" customFormat="false" ht="15" hidden="false" customHeight="false" outlineLevel="0" collapsed="false">
      <c r="B605" s="37" t="s">
        <v>9823</v>
      </c>
      <c r="C605" s="37" t="s">
        <v>9824</v>
      </c>
      <c r="D605" s="38" t="n">
        <v>85</v>
      </c>
      <c r="E605" s="38"/>
    </row>
    <row r="606" customFormat="false" ht="15" hidden="false" customHeight="false" outlineLevel="0" collapsed="false">
      <c r="B606" s="37" t="s">
        <v>7095</v>
      </c>
      <c r="C606" s="37" t="s">
        <v>9718</v>
      </c>
      <c r="D606" s="38" t="n">
        <v>86</v>
      </c>
      <c r="E606" s="38"/>
    </row>
    <row r="607" customFormat="false" ht="15" hidden="false" customHeight="false" outlineLevel="0" collapsed="false">
      <c r="B607" s="37" t="s">
        <v>8796</v>
      </c>
      <c r="C607" s="37" t="s">
        <v>9825</v>
      </c>
      <c r="D607" s="38" t="n">
        <v>84</v>
      </c>
      <c r="E607" s="38"/>
    </row>
    <row r="608" customFormat="false" ht="15" hidden="false" customHeight="false" outlineLevel="0" collapsed="false">
      <c r="B608" s="37" t="s">
        <v>7110</v>
      </c>
      <c r="C608" s="37" t="s">
        <v>9816</v>
      </c>
      <c r="D608" s="38" t="n">
        <v>81</v>
      </c>
      <c r="E608" s="38"/>
    </row>
    <row r="609" customFormat="false" ht="15" hidden="false" customHeight="false" outlineLevel="0" collapsed="false">
      <c r="B609" s="37" t="s">
        <v>8800</v>
      </c>
      <c r="C609" s="37" t="s">
        <v>9723</v>
      </c>
      <c r="D609" s="38" t="n">
        <v>76</v>
      </c>
      <c r="E609" s="38"/>
    </row>
    <row r="610" customFormat="false" ht="15" hidden="false" customHeight="false" outlineLevel="0" collapsed="false">
      <c r="B610" s="37" t="s">
        <v>9826</v>
      </c>
      <c r="C610" s="37" t="s">
        <v>9621</v>
      </c>
      <c r="D610" s="38" t="n">
        <v>74</v>
      </c>
      <c r="E610" s="38"/>
    </row>
    <row r="611" customFormat="false" ht="15" hidden="false" customHeight="false" outlineLevel="0" collapsed="false">
      <c r="B611" s="37" t="s">
        <v>8801</v>
      </c>
      <c r="C611" s="37" t="s">
        <v>9827</v>
      </c>
      <c r="D611" s="38" t="n">
        <v>106</v>
      </c>
      <c r="E611" s="38"/>
    </row>
    <row r="612" customFormat="false" ht="15" hidden="false" customHeight="false" outlineLevel="0" collapsed="false">
      <c r="B612" s="37" t="s">
        <v>8803</v>
      </c>
      <c r="C612" s="37" t="s">
        <v>9828</v>
      </c>
      <c r="D612" s="38" t="n">
        <v>82</v>
      </c>
      <c r="E612" s="38"/>
    </row>
    <row r="613" customFormat="false" ht="15" hidden="false" customHeight="false" outlineLevel="0" collapsed="false">
      <c r="B613" s="37" t="s">
        <v>9829</v>
      </c>
      <c r="C613" s="37" t="s">
        <v>9830</v>
      </c>
      <c r="D613" s="38" t="n">
        <v>76</v>
      </c>
      <c r="E613" s="38"/>
    </row>
    <row r="614" customFormat="false" ht="15" hidden="false" customHeight="false" outlineLevel="0" collapsed="false">
      <c r="B614" s="37" t="s">
        <v>8806</v>
      </c>
      <c r="C614" s="37" t="s">
        <v>9831</v>
      </c>
      <c r="D614" s="38" t="n">
        <v>75</v>
      </c>
      <c r="E614" s="38"/>
    </row>
    <row r="615" customFormat="false" ht="15" hidden="false" customHeight="false" outlineLevel="0" collapsed="false">
      <c r="B615" s="37" t="s">
        <v>9832</v>
      </c>
      <c r="C615" s="37" t="s">
        <v>9833</v>
      </c>
      <c r="D615" s="38" t="n">
        <v>72</v>
      </c>
      <c r="E615" s="38"/>
    </row>
    <row r="616" customFormat="false" ht="15" hidden="false" customHeight="false" outlineLevel="0" collapsed="false">
      <c r="B616" s="37" t="s">
        <v>8808</v>
      </c>
      <c r="C616" s="37" t="s">
        <v>9616</v>
      </c>
      <c r="D616" s="38" t="n">
        <v>80</v>
      </c>
      <c r="E616" s="38"/>
    </row>
    <row r="617" customFormat="false" ht="15" hidden="false" customHeight="false" outlineLevel="0" collapsed="false">
      <c r="B617" s="37" t="s">
        <v>8811</v>
      </c>
      <c r="C617" s="37" t="s">
        <v>9834</v>
      </c>
      <c r="D617" s="38" t="n">
        <v>105</v>
      </c>
      <c r="E617" s="38"/>
    </row>
    <row r="618" customFormat="false" ht="15" hidden="false" customHeight="false" outlineLevel="0" collapsed="false">
      <c r="B618" s="37" t="s">
        <v>8813</v>
      </c>
      <c r="C618" s="37" t="s">
        <v>9835</v>
      </c>
      <c r="D618" s="38" t="n">
        <v>93</v>
      </c>
      <c r="E618" s="38"/>
    </row>
    <row r="619" customFormat="false" ht="15" hidden="false" customHeight="false" outlineLevel="0" collapsed="false">
      <c r="B619" s="37" t="s">
        <v>8815</v>
      </c>
      <c r="C619" s="37" t="s">
        <v>9836</v>
      </c>
      <c r="D619" s="38" t="n">
        <v>102</v>
      </c>
      <c r="E619" s="38"/>
    </row>
    <row r="620" customFormat="false" ht="15" hidden="false" customHeight="false" outlineLevel="0" collapsed="false">
      <c r="B620" s="37" t="s">
        <v>9837</v>
      </c>
      <c r="C620" s="37" t="s">
        <v>9718</v>
      </c>
      <c r="D620" s="38" t="n">
        <v>86</v>
      </c>
      <c r="E620" s="38"/>
    </row>
    <row r="621" customFormat="false" ht="15" hidden="false" customHeight="false" outlineLevel="0" collapsed="false">
      <c r="B621" s="37" t="s">
        <v>8826</v>
      </c>
      <c r="C621" s="37" t="s">
        <v>9838</v>
      </c>
      <c r="D621" s="38" t="n">
        <v>90</v>
      </c>
      <c r="E621" s="38"/>
    </row>
    <row r="622" customFormat="false" ht="15" hidden="false" customHeight="false" outlineLevel="0" collapsed="false">
      <c r="B622" s="37" t="s">
        <v>8834</v>
      </c>
      <c r="C622" s="37" t="s">
        <v>9794</v>
      </c>
      <c r="D622" s="38" t="n">
        <v>90</v>
      </c>
      <c r="E622" s="38"/>
    </row>
    <row r="623" customFormat="false" ht="15" hidden="false" customHeight="false" outlineLevel="0" collapsed="false">
      <c r="B623" s="37" t="s">
        <v>9839</v>
      </c>
      <c r="C623" s="37" t="s">
        <v>9786</v>
      </c>
      <c r="D623" s="38" t="n">
        <v>81</v>
      </c>
      <c r="E623" s="38"/>
    </row>
    <row r="624" customFormat="false" ht="15" hidden="false" customHeight="false" outlineLevel="0" collapsed="false">
      <c r="B624" s="37" t="s">
        <v>9840</v>
      </c>
      <c r="C624" s="37" t="s">
        <v>9841</v>
      </c>
      <c r="D624" s="38" t="n">
        <v>95</v>
      </c>
      <c r="E624" s="38"/>
    </row>
    <row r="625" customFormat="false" ht="15" hidden="false" customHeight="false" outlineLevel="0" collapsed="false">
      <c r="B625" s="37" t="s">
        <v>8839</v>
      </c>
      <c r="C625" s="37" t="s">
        <v>9805</v>
      </c>
      <c r="D625" s="38" t="n">
        <v>81</v>
      </c>
      <c r="E625" s="38"/>
    </row>
    <row r="626" customFormat="false" ht="15" hidden="false" customHeight="false" outlineLevel="0" collapsed="false">
      <c r="B626" s="37" t="s">
        <v>8840</v>
      </c>
      <c r="C626" s="37" t="s">
        <v>9842</v>
      </c>
      <c r="D626" s="38" t="n">
        <v>73</v>
      </c>
      <c r="E626" s="38"/>
    </row>
    <row r="627" customFormat="false" ht="15" hidden="false" customHeight="false" outlineLevel="0" collapsed="false">
      <c r="B627" s="37" t="s">
        <v>8852</v>
      </c>
      <c r="C627" s="37" t="s">
        <v>9843</v>
      </c>
      <c r="D627" s="38" t="n">
        <v>72</v>
      </c>
      <c r="E627" s="38"/>
    </row>
    <row r="628" customFormat="false" ht="15" hidden="false" customHeight="false" outlineLevel="0" collapsed="false">
      <c r="B628" s="37" t="s">
        <v>9844</v>
      </c>
      <c r="C628" s="37" t="s">
        <v>9606</v>
      </c>
      <c r="D628" s="38" t="n">
        <v>90</v>
      </c>
      <c r="E628" s="38"/>
    </row>
    <row r="629" customFormat="false" ht="15" hidden="false" customHeight="false" outlineLevel="0" collapsed="false">
      <c r="B629" s="37" t="s">
        <v>9845</v>
      </c>
      <c r="C629" s="37" t="s">
        <v>9621</v>
      </c>
      <c r="D629" s="38" t="n">
        <v>74</v>
      </c>
      <c r="E629" s="38"/>
    </row>
    <row r="630" customFormat="false" ht="15" hidden="false" customHeight="false" outlineLevel="0" collapsed="false">
      <c r="B630" s="37" t="s">
        <v>9846</v>
      </c>
      <c r="C630" s="37" t="s">
        <v>9847</v>
      </c>
      <c r="D630" s="38" t="n">
        <v>79</v>
      </c>
      <c r="E630" s="38"/>
    </row>
    <row r="631" customFormat="false" ht="15" hidden="false" customHeight="false" outlineLevel="0" collapsed="false">
      <c r="B631" s="37" t="s">
        <v>9848</v>
      </c>
      <c r="C631" s="37" t="s">
        <v>9534</v>
      </c>
      <c r="D631" s="38" t="n">
        <v>88</v>
      </c>
      <c r="E631" s="38"/>
    </row>
    <row r="632" customFormat="false" ht="15" hidden="false" customHeight="false" outlineLevel="0" collapsed="false">
      <c r="B632" s="37" t="s">
        <v>8855</v>
      </c>
      <c r="C632" s="37" t="s">
        <v>9849</v>
      </c>
      <c r="D632" s="38" t="n">
        <v>108</v>
      </c>
      <c r="E632" s="38"/>
    </row>
    <row r="633" customFormat="false" ht="15" hidden="false" customHeight="false" outlineLevel="0" collapsed="false">
      <c r="B633" s="37" t="s">
        <v>9850</v>
      </c>
      <c r="C633" s="37" t="s">
        <v>9816</v>
      </c>
      <c r="D633" s="38" t="n">
        <v>81</v>
      </c>
      <c r="E633" s="38"/>
    </row>
    <row r="634" customFormat="false" ht="15" hidden="false" customHeight="false" outlineLevel="0" collapsed="false">
      <c r="B634" s="37" t="s">
        <v>8863</v>
      </c>
      <c r="C634" s="37" t="s">
        <v>9554</v>
      </c>
      <c r="D634" s="38" t="n">
        <v>78</v>
      </c>
      <c r="E634" s="38"/>
    </row>
    <row r="635" customFormat="false" ht="15" hidden="false" customHeight="false" outlineLevel="0" collapsed="false">
      <c r="B635" s="37" t="s">
        <v>8865</v>
      </c>
      <c r="C635" s="37" t="s">
        <v>9851</v>
      </c>
      <c r="D635" s="38" t="n">
        <v>88</v>
      </c>
      <c r="E635" s="38"/>
    </row>
    <row r="636" customFormat="false" ht="15" hidden="false" customHeight="false" outlineLevel="0" collapsed="false">
      <c r="B636" s="37" t="s">
        <v>8867</v>
      </c>
      <c r="C636" s="37" t="s">
        <v>9852</v>
      </c>
      <c r="D636" s="38" t="n">
        <v>72</v>
      </c>
      <c r="E636" s="38"/>
    </row>
    <row r="637" customFormat="false" ht="15" hidden="false" customHeight="false" outlineLevel="0" collapsed="false">
      <c r="B637" s="37" t="s">
        <v>8870</v>
      </c>
      <c r="C637" s="37" t="s">
        <v>9853</v>
      </c>
      <c r="D637" s="38" t="n">
        <v>74</v>
      </c>
      <c r="E637" s="38"/>
    </row>
    <row r="638" customFormat="false" ht="15" hidden="false" customHeight="false" outlineLevel="0" collapsed="false">
      <c r="B638" s="37" t="s">
        <v>8874</v>
      </c>
      <c r="C638" s="37" t="s">
        <v>9854</v>
      </c>
      <c r="D638" s="38" t="n">
        <v>87</v>
      </c>
      <c r="E638" s="38"/>
    </row>
    <row r="639" customFormat="false" ht="15" hidden="false" customHeight="false" outlineLevel="0" collapsed="false">
      <c r="B639" s="37" t="s">
        <v>8878</v>
      </c>
      <c r="C639" s="37" t="s">
        <v>9855</v>
      </c>
      <c r="D639" s="38" t="n">
        <v>72</v>
      </c>
      <c r="E639" s="38"/>
    </row>
    <row r="640" customFormat="false" ht="15" hidden="false" customHeight="false" outlineLevel="0" collapsed="false">
      <c r="B640" s="37" t="s">
        <v>8880</v>
      </c>
      <c r="C640" s="37" t="s">
        <v>9726</v>
      </c>
      <c r="D640" s="38" t="n">
        <v>79</v>
      </c>
      <c r="E640" s="38"/>
    </row>
    <row r="641" customFormat="false" ht="15" hidden="false" customHeight="false" outlineLevel="0" collapsed="false">
      <c r="B641" s="37" t="s">
        <v>9856</v>
      </c>
      <c r="C641" s="37" t="s">
        <v>9857</v>
      </c>
      <c r="D641" s="38" t="n">
        <v>73</v>
      </c>
      <c r="E641" s="38"/>
    </row>
    <row r="642" customFormat="false" ht="15" hidden="false" customHeight="false" outlineLevel="0" collapsed="false">
      <c r="B642" s="37" t="s">
        <v>8881</v>
      </c>
      <c r="C642" s="37" t="s">
        <v>9858</v>
      </c>
      <c r="D642" s="38" t="n">
        <v>77</v>
      </c>
      <c r="E642" s="38"/>
    </row>
    <row r="643" customFormat="false" ht="15" hidden="false" customHeight="false" outlineLevel="0" collapsed="false">
      <c r="B643" s="37" t="s">
        <v>9859</v>
      </c>
      <c r="C643" s="37" t="s">
        <v>9756</v>
      </c>
      <c r="D643" s="38" t="n">
        <v>74</v>
      </c>
      <c r="E643" s="38"/>
    </row>
    <row r="644" customFormat="false" ht="15" hidden="false" customHeight="false" outlineLevel="0" collapsed="false">
      <c r="B644" s="37" t="s">
        <v>8887</v>
      </c>
      <c r="C644" s="37" t="s">
        <v>9860</v>
      </c>
      <c r="D644" s="38" t="n">
        <v>77</v>
      </c>
      <c r="E644" s="38"/>
    </row>
    <row r="645" customFormat="false" ht="15" hidden="false" customHeight="false" outlineLevel="0" collapsed="false">
      <c r="B645" s="37" t="s">
        <v>8892</v>
      </c>
      <c r="C645" s="37" t="s">
        <v>9861</v>
      </c>
      <c r="D645" s="38" t="n">
        <v>71</v>
      </c>
      <c r="E645" s="38"/>
    </row>
    <row r="646" customFormat="false" ht="15" hidden="false" customHeight="false" outlineLevel="0" collapsed="false">
      <c r="B646" s="37" t="s">
        <v>9862</v>
      </c>
      <c r="C646" s="37" t="s">
        <v>9863</v>
      </c>
      <c r="D646" s="38" t="n">
        <v>79</v>
      </c>
      <c r="E646" s="38"/>
    </row>
    <row r="647" customFormat="false" ht="15" hidden="false" customHeight="false" outlineLevel="0" collapsed="false">
      <c r="B647" s="37" t="s">
        <v>7239</v>
      </c>
      <c r="C647" s="37" t="s">
        <v>9864</v>
      </c>
      <c r="D647" s="38" t="n">
        <v>81</v>
      </c>
      <c r="E647" s="38"/>
    </row>
    <row r="648" customFormat="false" ht="15" hidden="false" customHeight="false" outlineLevel="0" collapsed="false">
      <c r="B648" s="37" t="s">
        <v>8895</v>
      </c>
      <c r="C648" s="37" t="s">
        <v>9865</v>
      </c>
      <c r="D648" s="38" t="n">
        <v>71</v>
      </c>
      <c r="E648" s="38"/>
    </row>
    <row r="649" customFormat="false" ht="15" hidden="false" customHeight="false" outlineLevel="0" collapsed="false">
      <c r="B649" s="37" t="s">
        <v>9866</v>
      </c>
      <c r="C649" s="37" t="s">
        <v>9867</v>
      </c>
      <c r="D649" s="38" t="n">
        <v>74</v>
      </c>
      <c r="E649" s="38"/>
    </row>
    <row r="650" customFormat="false" ht="15" hidden="false" customHeight="false" outlineLevel="0" collapsed="false">
      <c r="B650" s="37" t="s">
        <v>8900</v>
      </c>
      <c r="C650" s="37" t="s">
        <v>9630</v>
      </c>
      <c r="D650" s="38" t="n">
        <v>88</v>
      </c>
      <c r="E650" s="38"/>
    </row>
    <row r="651" customFormat="false" ht="15" hidden="false" customHeight="false" outlineLevel="0" collapsed="false">
      <c r="B651" s="37" t="s">
        <v>8903</v>
      </c>
      <c r="C651" s="37" t="s">
        <v>9868</v>
      </c>
      <c r="D651" s="38" t="n">
        <v>101</v>
      </c>
      <c r="E651" s="38"/>
    </row>
    <row r="652" customFormat="false" ht="15" hidden="false" customHeight="false" outlineLevel="0" collapsed="false">
      <c r="B652" s="37" t="s">
        <v>8906</v>
      </c>
      <c r="C652" s="37" t="s">
        <v>9869</v>
      </c>
      <c r="D652" s="38" t="n">
        <v>73</v>
      </c>
      <c r="E652" s="38"/>
    </row>
    <row r="653" customFormat="false" ht="15" hidden="false" customHeight="false" outlineLevel="0" collapsed="false">
      <c r="B653" s="37" t="s">
        <v>8909</v>
      </c>
      <c r="C653" s="37" t="s">
        <v>9870</v>
      </c>
      <c r="D653" s="38" t="n">
        <v>73</v>
      </c>
      <c r="E653" s="38"/>
    </row>
    <row r="654" customFormat="false" ht="15" hidden="false" customHeight="false" outlineLevel="0" collapsed="false">
      <c r="B654" s="37" t="s">
        <v>8913</v>
      </c>
      <c r="C654" s="37" t="s">
        <v>9871</v>
      </c>
      <c r="D654" s="38" t="n">
        <v>77</v>
      </c>
      <c r="E654" s="38"/>
    </row>
    <row r="655" customFormat="false" ht="15" hidden="false" customHeight="false" outlineLevel="0" collapsed="false">
      <c r="B655" s="37" t="s">
        <v>8915</v>
      </c>
      <c r="C655" s="37" t="s">
        <v>9811</v>
      </c>
      <c r="D655" s="38" t="n">
        <v>85</v>
      </c>
      <c r="E655" s="38"/>
    </row>
    <row r="656" customFormat="false" ht="15" hidden="false" customHeight="false" outlineLevel="0" collapsed="false">
      <c r="B656" s="37" t="s">
        <v>8916</v>
      </c>
      <c r="C656" s="37" t="s">
        <v>9730</v>
      </c>
      <c r="D656" s="38" t="n">
        <v>113</v>
      </c>
      <c r="E656" s="38"/>
    </row>
    <row r="657" customFormat="false" ht="15" hidden="false" customHeight="false" outlineLevel="0" collapsed="false">
      <c r="B657" s="37" t="s">
        <v>8917</v>
      </c>
      <c r="C657" s="37" t="s">
        <v>9872</v>
      </c>
      <c r="D657" s="38" t="n">
        <v>89</v>
      </c>
      <c r="E657" s="38"/>
    </row>
    <row r="658" customFormat="false" ht="15" hidden="false" customHeight="false" outlineLevel="0" collapsed="false">
      <c r="B658" s="37" t="s">
        <v>8923</v>
      </c>
      <c r="C658" s="37" t="s">
        <v>9545</v>
      </c>
      <c r="D658" s="38" t="n">
        <v>88</v>
      </c>
      <c r="E658" s="38"/>
    </row>
    <row r="659" customFormat="false" ht="15" hidden="false" customHeight="false" outlineLevel="0" collapsed="false">
      <c r="B659" s="37" t="s">
        <v>8925</v>
      </c>
      <c r="C659" s="37" t="s">
        <v>9873</v>
      </c>
      <c r="D659" s="38" t="n">
        <v>82</v>
      </c>
      <c r="E659" s="38"/>
    </row>
    <row r="660" customFormat="false" ht="15" hidden="false" customHeight="false" outlineLevel="0" collapsed="false">
      <c r="B660" s="37" t="s">
        <v>9874</v>
      </c>
      <c r="C660" s="37" t="s">
        <v>9875</v>
      </c>
      <c r="D660" s="38" t="n">
        <v>83</v>
      </c>
      <c r="E660" s="38"/>
    </row>
    <row r="661" customFormat="false" ht="15" hidden="false" customHeight="false" outlineLevel="0" collapsed="false">
      <c r="B661" s="37" t="s">
        <v>8927</v>
      </c>
      <c r="C661" s="37" t="s">
        <v>9632</v>
      </c>
      <c r="D661" s="38" t="n">
        <v>88</v>
      </c>
      <c r="E661" s="38"/>
    </row>
    <row r="662" customFormat="false" ht="15" hidden="false" customHeight="false" outlineLevel="0" collapsed="false">
      <c r="B662" s="37" t="s">
        <v>9876</v>
      </c>
      <c r="C662" s="37" t="s">
        <v>9877</v>
      </c>
      <c r="D662" s="38" t="n">
        <v>83</v>
      </c>
      <c r="E662" s="38"/>
    </row>
    <row r="663" customFormat="false" ht="15" hidden="false" customHeight="false" outlineLevel="0" collapsed="false">
      <c r="B663" s="37" t="s">
        <v>9878</v>
      </c>
      <c r="C663" s="37" t="s">
        <v>9514</v>
      </c>
      <c r="D663" s="38" t="n">
        <v>88</v>
      </c>
      <c r="E663" s="38"/>
    </row>
    <row r="664" customFormat="false" ht="15" hidden="false" customHeight="false" outlineLevel="0" collapsed="false">
      <c r="B664" s="37" t="s">
        <v>8929</v>
      </c>
      <c r="C664" s="37" t="s">
        <v>9879</v>
      </c>
      <c r="D664" s="38" t="n">
        <v>85</v>
      </c>
      <c r="E664" s="38"/>
    </row>
    <row r="665" customFormat="false" ht="15" hidden="false" customHeight="false" outlineLevel="0" collapsed="false">
      <c r="B665" s="37" t="s">
        <v>9880</v>
      </c>
      <c r="C665" s="37" t="s">
        <v>9881</v>
      </c>
      <c r="D665" s="38" t="n">
        <v>79</v>
      </c>
      <c r="E665" s="38"/>
    </row>
    <row r="666" customFormat="false" ht="15" hidden="false" customHeight="false" outlineLevel="0" collapsed="false">
      <c r="B666" s="37" t="s">
        <v>9882</v>
      </c>
      <c r="C666" s="37" t="s">
        <v>9770</v>
      </c>
      <c r="D666" s="38" t="n">
        <v>80</v>
      </c>
      <c r="E666" s="38"/>
    </row>
    <row r="667" customFormat="false" ht="15" hidden="false" customHeight="false" outlineLevel="0" collapsed="false">
      <c r="B667" s="37" t="s">
        <v>8938</v>
      </c>
      <c r="C667" s="37" t="s">
        <v>9883</v>
      </c>
      <c r="D667" s="38" t="n">
        <v>80</v>
      </c>
      <c r="E667" s="38"/>
    </row>
    <row r="668" customFormat="false" ht="15" hidden="false" customHeight="false" outlineLevel="0" collapsed="false">
      <c r="B668" s="37" t="s">
        <v>8941</v>
      </c>
      <c r="C668" s="37" t="s">
        <v>9884</v>
      </c>
      <c r="D668" s="38" t="n">
        <v>81</v>
      </c>
      <c r="E668" s="38"/>
    </row>
    <row r="669" customFormat="false" ht="15" hidden="false" customHeight="false" outlineLevel="0" collapsed="false">
      <c r="B669" s="37" t="s">
        <v>8945</v>
      </c>
      <c r="C669" s="37" t="s">
        <v>9722</v>
      </c>
      <c r="D669" s="38" t="n">
        <v>99</v>
      </c>
      <c r="E669" s="38"/>
    </row>
    <row r="670" customFormat="false" ht="15" hidden="false" customHeight="false" outlineLevel="0" collapsed="false">
      <c r="B670" s="37" t="s">
        <v>8946</v>
      </c>
      <c r="C670" s="37" t="s">
        <v>9885</v>
      </c>
      <c r="D670" s="38" t="n">
        <v>80</v>
      </c>
      <c r="E670" s="38"/>
    </row>
    <row r="671" customFormat="false" ht="15" hidden="false" customHeight="false" outlineLevel="0" collapsed="false">
      <c r="B671" s="37" t="s">
        <v>8949</v>
      </c>
      <c r="C671" s="37" t="s">
        <v>9886</v>
      </c>
      <c r="D671" s="38" t="n">
        <v>86</v>
      </c>
      <c r="E671" s="38"/>
    </row>
    <row r="672" customFormat="false" ht="15" hidden="false" customHeight="false" outlineLevel="0" collapsed="false">
      <c r="B672" s="37" t="s">
        <v>8951</v>
      </c>
      <c r="C672" s="37" t="s">
        <v>9810</v>
      </c>
      <c r="D672" s="38" t="n">
        <v>87</v>
      </c>
      <c r="E672" s="38"/>
    </row>
    <row r="673" customFormat="false" ht="15" hidden="false" customHeight="false" outlineLevel="0" collapsed="false">
      <c r="B673" s="37" t="s">
        <v>8960</v>
      </c>
      <c r="C673" s="37" t="s">
        <v>9887</v>
      </c>
      <c r="D673" s="38" t="n">
        <v>85</v>
      </c>
      <c r="E673" s="38"/>
    </row>
    <row r="674" customFormat="false" ht="15" hidden="false" customHeight="false" outlineLevel="0" collapsed="false">
      <c r="B674" s="37" t="s">
        <v>8963</v>
      </c>
      <c r="C674" s="37" t="s">
        <v>9888</v>
      </c>
      <c r="D674" s="38" t="n">
        <v>72</v>
      </c>
      <c r="E674" s="38"/>
    </row>
    <row r="675" customFormat="false" ht="15" hidden="false" customHeight="false" outlineLevel="0" collapsed="false">
      <c r="B675" s="37" t="s">
        <v>8965</v>
      </c>
      <c r="C675" s="37" t="s">
        <v>9889</v>
      </c>
      <c r="D675" s="38" t="n">
        <v>90</v>
      </c>
      <c r="E675" s="38"/>
    </row>
    <row r="676" customFormat="false" ht="15" hidden="false" customHeight="false" outlineLevel="0" collapsed="false">
      <c r="B676" s="37" t="s">
        <v>8967</v>
      </c>
      <c r="C676" s="37" t="s">
        <v>9711</v>
      </c>
      <c r="D676" s="38" t="n">
        <v>107</v>
      </c>
      <c r="E676" s="38"/>
    </row>
    <row r="677" customFormat="false" ht="15" hidden="false" customHeight="false" outlineLevel="0" collapsed="false">
      <c r="B677" s="37" t="s">
        <v>8968</v>
      </c>
      <c r="C677" s="37" t="s">
        <v>9890</v>
      </c>
      <c r="D677" s="38" t="n">
        <v>79</v>
      </c>
      <c r="E677" s="38"/>
    </row>
    <row r="678" customFormat="false" ht="15" hidden="false" customHeight="false" outlineLevel="0" collapsed="false">
      <c r="B678" s="37" t="s">
        <v>8972</v>
      </c>
      <c r="C678" s="37" t="s">
        <v>9891</v>
      </c>
      <c r="D678" s="38" t="n">
        <v>74</v>
      </c>
      <c r="E678" s="38"/>
    </row>
    <row r="679" customFormat="false" ht="15" hidden="false" customHeight="false" outlineLevel="0" collapsed="false">
      <c r="B679" s="37" t="s">
        <v>8974</v>
      </c>
      <c r="C679" s="37" t="s">
        <v>9892</v>
      </c>
      <c r="D679" s="38" t="n">
        <v>82</v>
      </c>
      <c r="E679" s="38"/>
    </row>
    <row r="680" customFormat="false" ht="15" hidden="false" customHeight="false" outlineLevel="0" collapsed="false">
      <c r="B680" s="37" t="s">
        <v>8976</v>
      </c>
      <c r="C680" s="37" t="s">
        <v>9771</v>
      </c>
      <c r="D680" s="38" t="n">
        <v>76</v>
      </c>
      <c r="E680" s="38"/>
    </row>
    <row r="681" customFormat="false" ht="15" hidden="false" customHeight="false" outlineLevel="0" collapsed="false">
      <c r="B681" s="37" t="s">
        <v>8977</v>
      </c>
      <c r="C681" s="37" t="s">
        <v>9893</v>
      </c>
      <c r="D681" s="38" t="n">
        <v>80</v>
      </c>
      <c r="E681" s="38"/>
    </row>
    <row r="682" customFormat="false" ht="15" hidden="false" customHeight="false" outlineLevel="0" collapsed="false">
      <c r="B682" s="37" t="s">
        <v>8980</v>
      </c>
      <c r="C682" s="37" t="s">
        <v>9894</v>
      </c>
      <c r="D682" s="38" t="n">
        <v>73</v>
      </c>
      <c r="E682" s="38"/>
    </row>
    <row r="683" customFormat="false" ht="15" hidden="false" customHeight="false" outlineLevel="0" collapsed="false">
      <c r="B683" s="37" t="s">
        <v>8985</v>
      </c>
      <c r="C683" s="37" t="s">
        <v>9895</v>
      </c>
      <c r="D683" s="38" t="n">
        <v>78</v>
      </c>
      <c r="E683" s="38"/>
    </row>
    <row r="684" customFormat="false" ht="15" hidden="false" customHeight="false" outlineLevel="0" collapsed="false">
      <c r="B684" s="37" t="s">
        <v>7179</v>
      </c>
      <c r="C684" s="37" t="s">
        <v>9896</v>
      </c>
      <c r="D684" s="38" t="n">
        <v>95</v>
      </c>
      <c r="E684" s="38"/>
    </row>
    <row r="685" customFormat="false" ht="15" hidden="false" customHeight="false" outlineLevel="0" collapsed="false">
      <c r="B685" s="37" t="s">
        <v>9897</v>
      </c>
      <c r="C685" s="37" t="s">
        <v>9898</v>
      </c>
      <c r="D685" s="38" t="n">
        <v>77</v>
      </c>
      <c r="E685" s="38"/>
    </row>
    <row r="686" customFormat="false" ht="15" hidden="false" customHeight="false" outlineLevel="0" collapsed="false">
      <c r="B686" s="37" t="s">
        <v>8992</v>
      </c>
      <c r="C686" s="37" t="s">
        <v>9641</v>
      </c>
      <c r="D686" s="38" t="n">
        <v>79</v>
      </c>
      <c r="E686" s="38"/>
    </row>
    <row r="687" customFormat="false" ht="15" hidden="false" customHeight="false" outlineLevel="0" collapsed="false">
      <c r="B687" s="37" t="s">
        <v>8993</v>
      </c>
      <c r="C687" s="37" t="s">
        <v>9899</v>
      </c>
      <c r="D687" s="38" t="n">
        <v>72</v>
      </c>
      <c r="E687" s="38"/>
    </row>
    <row r="688" customFormat="false" ht="15" hidden="false" customHeight="false" outlineLevel="0" collapsed="false">
      <c r="B688" s="37" t="s">
        <v>8995</v>
      </c>
      <c r="C688" s="37" t="s">
        <v>9630</v>
      </c>
      <c r="D688" s="38" t="n">
        <v>88</v>
      </c>
      <c r="E688" s="38"/>
    </row>
    <row r="689" customFormat="false" ht="15" hidden="false" customHeight="false" outlineLevel="0" collapsed="false">
      <c r="B689" s="37" t="s">
        <v>8998</v>
      </c>
      <c r="C689" s="37" t="s">
        <v>9900</v>
      </c>
      <c r="D689" s="38" t="n">
        <v>91</v>
      </c>
      <c r="E689" s="38"/>
    </row>
    <row r="690" customFormat="false" ht="15" hidden="false" customHeight="false" outlineLevel="0" collapsed="false">
      <c r="B690" s="37" t="s">
        <v>9001</v>
      </c>
      <c r="C690" s="37" t="s">
        <v>9901</v>
      </c>
      <c r="D690" s="38" t="n">
        <v>79</v>
      </c>
      <c r="E690" s="38"/>
    </row>
    <row r="691" customFormat="false" ht="15" hidden="false" customHeight="false" outlineLevel="0" collapsed="false">
      <c r="B691" s="37" t="s">
        <v>9004</v>
      </c>
      <c r="C691" s="37" t="s">
        <v>9902</v>
      </c>
      <c r="D691" s="38" t="n">
        <v>71</v>
      </c>
      <c r="E691" s="38"/>
    </row>
    <row r="692" customFormat="false" ht="15" hidden="false" customHeight="false" outlineLevel="0" collapsed="false">
      <c r="B692" s="37" t="s">
        <v>9006</v>
      </c>
      <c r="C692" s="37" t="s">
        <v>9745</v>
      </c>
      <c r="D692" s="38" t="n">
        <v>76</v>
      </c>
      <c r="E692" s="38"/>
    </row>
    <row r="693" customFormat="false" ht="15" hidden="false" customHeight="false" outlineLevel="0" collapsed="false">
      <c r="B693" s="37" t="s">
        <v>9010</v>
      </c>
      <c r="C693" s="37" t="s">
        <v>9581</v>
      </c>
      <c r="D693" s="38" t="n">
        <v>74</v>
      </c>
      <c r="E693" s="38"/>
    </row>
    <row r="694" customFormat="false" ht="15" hidden="false" customHeight="false" outlineLevel="0" collapsed="false">
      <c r="B694" s="37" t="s">
        <v>7198</v>
      </c>
      <c r="C694" s="37" t="s">
        <v>9677</v>
      </c>
      <c r="D694" s="38" t="n">
        <v>91</v>
      </c>
      <c r="E694" s="38"/>
    </row>
    <row r="695" customFormat="false" ht="15" hidden="false" customHeight="false" outlineLevel="0" collapsed="false">
      <c r="B695" s="37" t="s">
        <v>9011</v>
      </c>
      <c r="C695" s="37" t="s">
        <v>9903</v>
      </c>
      <c r="D695" s="38" t="n">
        <v>73</v>
      </c>
      <c r="E695" s="38"/>
    </row>
    <row r="696" customFormat="false" ht="15" hidden="false" customHeight="false" outlineLevel="0" collapsed="false">
      <c r="B696" s="37" t="s">
        <v>9013</v>
      </c>
      <c r="C696" s="37" t="s">
        <v>9766</v>
      </c>
      <c r="D696" s="38" t="n">
        <v>110</v>
      </c>
      <c r="E696" s="38"/>
    </row>
    <row r="697" customFormat="false" ht="15" hidden="false" customHeight="false" outlineLevel="0" collapsed="false">
      <c r="B697" s="37" t="s">
        <v>9026</v>
      </c>
      <c r="C697" s="37" t="s">
        <v>9904</v>
      </c>
      <c r="D697" s="38" t="n">
        <v>104</v>
      </c>
      <c r="E697" s="38"/>
    </row>
    <row r="698" customFormat="false" ht="15" hidden="false" customHeight="false" outlineLevel="0" collapsed="false">
      <c r="B698" s="37" t="s">
        <v>9905</v>
      </c>
      <c r="C698" s="37" t="s">
        <v>9906</v>
      </c>
      <c r="D698" s="38" t="n">
        <v>81</v>
      </c>
      <c r="E698" s="38"/>
    </row>
    <row r="699" customFormat="false" ht="15" hidden="false" customHeight="false" outlineLevel="0" collapsed="false">
      <c r="B699" s="37" t="s">
        <v>9032</v>
      </c>
      <c r="C699" s="37" t="s">
        <v>9885</v>
      </c>
      <c r="D699" s="38" t="n">
        <v>80</v>
      </c>
      <c r="E699" s="38"/>
    </row>
    <row r="700" customFormat="false" ht="15" hidden="false" customHeight="false" outlineLevel="0" collapsed="false">
      <c r="B700" s="37" t="s">
        <v>9033</v>
      </c>
      <c r="C700" s="37" t="s">
        <v>9907</v>
      </c>
      <c r="D700" s="38" t="n">
        <v>82</v>
      </c>
      <c r="E700" s="38"/>
    </row>
    <row r="701" customFormat="false" ht="15" hidden="false" customHeight="false" outlineLevel="0" collapsed="false">
      <c r="B701" s="37" t="s">
        <v>9038</v>
      </c>
      <c r="C701" s="37" t="s">
        <v>9653</v>
      </c>
      <c r="D701" s="38" t="n">
        <v>71</v>
      </c>
      <c r="E701" s="38"/>
    </row>
    <row r="702" customFormat="false" ht="15" hidden="false" customHeight="false" outlineLevel="0" collapsed="false">
      <c r="B702" s="37" t="s">
        <v>9039</v>
      </c>
      <c r="C702" s="37" t="s">
        <v>9908</v>
      </c>
      <c r="D702" s="38" t="n">
        <v>109</v>
      </c>
      <c r="E702" s="38"/>
    </row>
    <row r="703" customFormat="false" ht="15" hidden="false" customHeight="false" outlineLevel="0" collapsed="false">
      <c r="B703" s="37" t="s">
        <v>9909</v>
      </c>
      <c r="C703" s="37" t="s">
        <v>9514</v>
      </c>
      <c r="D703" s="38" t="n">
        <v>88</v>
      </c>
      <c r="E703" s="38"/>
    </row>
    <row r="704" customFormat="false" ht="15" hidden="false" customHeight="false" outlineLevel="0" collapsed="false">
      <c r="B704" s="37" t="s">
        <v>9044</v>
      </c>
      <c r="C704" s="37" t="s">
        <v>9910</v>
      </c>
      <c r="D704" s="38" t="n">
        <v>73</v>
      </c>
      <c r="E704" s="38"/>
    </row>
    <row r="705" customFormat="false" ht="15" hidden="false" customHeight="false" outlineLevel="0" collapsed="false">
      <c r="B705" s="37" t="s">
        <v>9049</v>
      </c>
      <c r="C705" s="37" t="s">
        <v>9822</v>
      </c>
      <c r="D705" s="38" t="n">
        <v>110</v>
      </c>
      <c r="E705" s="38"/>
    </row>
    <row r="706" customFormat="false" ht="15" hidden="false" customHeight="false" outlineLevel="0" collapsed="false">
      <c r="B706" s="37" t="s">
        <v>9057</v>
      </c>
      <c r="C706" s="37" t="s">
        <v>9911</v>
      </c>
      <c r="D706" s="38" t="n">
        <v>71</v>
      </c>
      <c r="E706" s="38"/>
    </row>
    <row r="707" customFormat="false" ht="15" hidden="false" customHeight="false" outlineLevel="0" collapsed="false">
      <c r="B707" s="37" t="s">
        <v>9912</v>
      </c>
      <c r="C707" s="37" t="s">
        <v>9621</v>
      </c>
      <c r="D707" s="38" t="n">
        <v>74</v>
      </c>
      <c r="E707" s="38"/>
    </row>
    <row r="708" customFormat="false" ht="15" hidden="false" customHeight="false" outlineLevel="0" collapsed="false">
      <c r="B708" s="37" t="s">
        <v>9060</v>
      </c>
      <c r="C708" s="37" t="s">
        <v>9913</v>
      </c>
      <c r="D708" s="38" t="n">
        <v>94</v>
      </c>
      <c r="E708" s="38"/>
    </row>
    <row r="709" customFormat="false" ht="15" hidden="false" customHeight="false" outlineLevel="0" collapsed="false">
      <c r="B709" s="37" t="s">
        <v>9062</v>
      </c>
      <c r="C709" s="37" t="s">
        <v>9914</v>
      </c>
      <c r="D709" s="38" t="n">
        <v>81</v>
      </c>
      <c r="E709" s="38"/>
    </row>
    <row r="710" customFormat="false" ht="15" hidden="false" customHeight="false" outlineLevel="0" collapsed="false">
      <c r="B710" s="37" t="s">
        <v>9064</v>
      </c>
      <c r="C710" s="37" t="s">
        <v>9603</v>
      </c>
      <c r="D710" s="38" t="n">
        <v>73</v>
      </c>
      <c r="E710" s="38"/>
    </row>
    <row r="711" customFormat="false" ht="15" hidden="false" customHeight="false" outlineLevel="0" collapsed="false">
      <c r="B711" s="37" t="s">
        <v>9065</v>
      </c>
      <c r="C711" s="37" t="s">
        <v>9883</v>
      </c>
      <c r="D711" s="38" t="n">
        <v>80</v>
      </c>
      <c r="E711" s="38"/>
    </row>
    <row r="712" customFormat="false" ht="15" hidden="false" customHeight="false" outlineLevel="0" collapsed="false">
      <c r="B712" s="37" t="s">
        <v>9069</v>
      </c>
      <c r="C712" s="37" t="s">
        <v>9737</v>
      </c>
      <c r="D712" s="38" t="n">
        <v>79</v>
      </c>
      <c r="E712" s="38"/>
    </row>
    <row r="713" customFormat="false" ht="15" hidden="false" customHeight="false" outlineLevel="0" collapsed="false">
      <c r="B713" s="37" t="s">
        <v>9074</v>
      </c>
      <c r="C713" s="37" t="s">
        <v>9915</v>
      </c>
      <c r="D713" s="38" t="n">
        <v>76</v>
      </c>
      <c r="E713" s="38"/>
    </row>
    <row r="714" customFormat="false" ht="15" hidden="false" customHeight="false" outlineLevel="0" collapsed="false">
      <c r="B714" s="37" t="s">
        <v>9076</v>
      </c>
      <c r="C714" s="37" t="s">
        <v>9583</v>
      </c>
      <c r="D714" s="38" t="n">
        <v>88</v>
      </c>
      <c r="E714" s="38"/>
    </row>
    <row r="715" customFormat="false" ht="15" hidden="false" customHeight="false" outlineLevel="0" collapsed="false">
      <c r="B715" s="37" t="s">
        <v>9080</v>
      </c>
      <c r="C715" s="37" t="s">
        <v>9916</v>
      </c>
      <c r="D715" s="38" t="n">
        <v>97</v>
      </c>
      <c r="E715" s="38"/>
    </row>
    <row r="716" customFormat="false" ht="15" hidden="false" customHeight="false" outlineLevel="0" collapsed="false">
      <c r="B716" s="37" t="s">
        <v>9082</v>
      </c>
      <c r="C716" s="37" t="s">
        <v>9913</v>
      </c>
      <c r="D716" s="38" t="n">
        <v>94</v>
      </c>
      <c r="E716" s="38"/>
    </row>
    <row r="717" customFormat="false" ht="15" hidden="false" customHeight="false" outlineLevel="0" collapsed="false">
      <c r="B717" s="37" t="s">
        <v>9089</v>
      </c>
      <c r="C717" s="37" t="s">
        <v>9917</v>
      </c>
      <c r="D717" s="38" t="n">
        <v>73</v>
      </c>
      <c r="E717" s="38"/>
    </row>
    <row r="718" customFormat="false" ht="15" hidden="false" customHeight="false" outlineLevel="0" collapsed="false">
      <c r="B718" s="37" t="s">
        <v>9918</v>
      </c>
      <c r="C718" s="37" t="s">
        <v>9919</v>
      </c>
      <c r="D718" s="38" t="n">
        <v>72</v>
      </c>
      <c r="E718" s="38"/>
    </row>
    <row r="719" customFormat="false" ht="15" hidden="false" customHeight="false" outlineLevel="0" collapsed="false">
      <c r="B719" s="37" t="s">
        <v>9920</v>
      </c>
      <c r="C719" s="37" t="s">
        <v>9571</v>
      </c>
      <c r="D719" s="38" t="n">
        <v>88</v>
      </c>
      <c r="E719" s="38"/>
    </row>
    <row r="720" customFormat="false" ht="15" hidden="false" customHeight="false" outlineLevel="0" collapsed="false">
      <c r="B720" s="37" t="s">
        <v>9093</v>
      </c>
      <c r="C720" s="37" t="s">
        <v>9921</v>
      </c>
      <c r="D720" s="38" t="n">
        <v>85</v>
      </c>
      <c r="E720" s="38"/>
    </row>
    <row r="721" customFormat="false" ht="15" hidden="false" customHeight="false" outlineLevel="0" collapsed="false">
      <c r="B721" s="37" t="s">
        <v>9095</v>
      </c>
      <c r="C721" s="37" t="s">
        <v>9922</v>
      </c>
      <c r="D721" s="38" t="n">
        <v>82</v>
      </c>
      <c r="E721" s="38"/>
    </row>
    <row r="722" customFormat="false" ht="15" hidden="false" customHeight="false" outlineLevel="0" collapsed="false">
      <c r="B722" s="37" t="s">
        <v>9099</v>
      </c>
      <c r="C722" s="37" t="s">
        <v>9923</v>
      </c>
      <c r="D722" s="38" t="n">
        <v>84</v>
      </c>
      <c r="E722" s="38"/>
    </row>
    <row r="723" customFormat="false" ht="15" hidden="false" customHeight="false" outlineLevel="0" collapsed="false">
      <c r="B723" s="37" t="s">
        <v>9103</v>
      </c>
      <c r="C723" s="37" t="s">
        <v>9924</v>
      </c>
      <c r="D723" s="38" t="n">
        <v>79</v>
      </c>
      <c r="E723" s="38"/>
    </row>
    <row r="724" customFormat="false" ht="15" hidden="false" customHeight="false" outlineLevel="0" collapsed="false">
      <c r="B724" s="37" t="s">
        <v>9925</v>
      </c>
      <c r="C724" s="37" t="s">
        <v>9926</v>
      </c>
      <c r="D724" s="38" t="n">
        <v>75</v>
      </c>
      <c r="E724" s="38"/>
    </row>
    <row r="725" customFormat="false" ht="15" hidden="false" customHeight="false" outlineLevel="0" collapsed="false">
      <c r="B725" s="37" t="s">
        <v>9106</v>
      </c>
      <c r="C725" s="37" t="s">
        <v>9813</v>
      </c>
      <c r="D725" s="38" t="n">
        <v>97</v>
      </c>
      <c r="E725" s="38"/>
    </row>
    <row r="726" customFormat="false" ht="15" hidden="false" customHeight="false" outlineLevel="0" collapsed="false">
      <c r="B726" s="37" t="s">
        <v>9107</v>
      </c>
      <c r="C726" s="37" t="s">
        <v>9927</v>
      </c>
      <c r="D726" s="38" t="n">
        <v>80</v>
      </c>
      <c r="E726" s="38"/>
    </row>
    <row r="727" customFormat="false" ht="15" hidden="false" customHeight="false" outlineLevel="0" collapsed="false">
      <c r="B727" s="37" t="s">
        <v>9928</v>
      </c>
      <c r="C727" s="37" t="s">
        <v>9491</v>
      </c>
      <c r="D727" s="38" t="n">
        <v>88</v>
      </c>
      <c r="E727" s="38"/>
    </row>
    <row r="728" customFormat="false" ht="15" hidden="false" customHeight="false" outlineLevel="0" collapsed="false">
      <c r="B728" s="37" t="s">
        <v>9929</v>
      </c>
      <c r="C728" s="37" t="s">
        <v>9906</v>
      </c>
      <c r="D728" s="38" t="n">
        <v>81</v>
      </c>
      <c r="E728" s="38"/>
    </row>
    <row r="729" customFormat="false" ht="15" hidden="false" customHeight="false" outlineLevel="0" collapsed="false">
      <c r="B729" s="37" t="s">
        <v>9116</v>
      </c>
      <c r="C729" s="37" t="s">
        <v>9930</v>
      </c>
      <c r="D729" s="38" t="n">
        <v>81</v>
      </c>
      <c r="E729" s="38"/>
    </row>
    <row r="730" customFormat="false" ht="15" hidden="false" customHeight="false" outlineLevel="0" collapsed="false">
      <c r="B730" s="37" t="s">
        <v>9118</v>
      </c>
      <c r="C730" s="37" t="s">
        <v>9931</v>
      </c>
      <c r="D730" s="38" t="n">
        <v>87</v>
      </c>
      <c r="E730" s="38"/>
    </row>
    <row r="731" customFormat="false" ht="15" hidden="false" customHeight="false" outlineLevel="0" collapsed="false">
      <c r="B731" s="37" t="s">
        <v>9122</v>
      </c>
      <c r="C731" s="37" t="s">
        <v>9709</v>
      </c>
      <c r="D731" s="38" t="n">
        <v>76</v>
      </c>
      <c r="E731" s="38"/>
    </row>
    <row r="732" customFormat="false" ht="15" hidden="false" customHeight="false" outlineLevel="0" collapsed="false">
      <c r="B732" s="37" t="s">
        <v>9126</v>
      </c>
      <c r="C732" s="37" t="s">
        <v>9932</v>
      </c>
      <c r="D732" s="38" t="n">
        <v>103</v>
      </c>
      <c r="E732" s="38"/>
    </row>
    <row r="733" customFormat="false" ht="15" hidden="false" customHeight="false" outlineLevel="0" collapsed="false">
      <c r="B733" s="37" t="s">
        <v>9128</v>
      </c>
      <c r="C733" s="37" t="s">
        <v>9811</v>
      </c>
      <c r="D733" s="38" t="n">
        <v>85</v>
      </c>
      <c r="E733" s="38"/>
    </row>
    <row r="734" customFormat="false" ht="15" hidden="false" customHeight="false" outlineLevel="0" collapsed="false">
      <c r="B734" s="37" t="s">
        <v>9133</v>
      </c>
      <c r="C734" s="37" t="s">
        <v>9933</v>
      </c>
      <c r="D734" s="38" t="n">
        <v>77</v>
      </c>
      <c r="E734" s="38"/>
    </row>
    <row r="735" customFormat="false" ht="15" hidden="false" customHeight="false" outlineLevel="0" collapsed="false">
      <c r="B735" s="37" t="s">
        <v>9137</v>
      </c>
      <c r="C735" s="37" t="s">
        <v>9934</v>
      </c>
      <c r="D735" s="38" t="n">
        <v>74</v>
      </c>
      <c r="E735" s="38"/>
    </row>
    <row r="736" customFormat="false" ht="15" hidden="false" customHeight="false" outlineLevel="0" collapsed="false">
      <c r="B736" s="37" t="s">
        <v>9141</v>
      </c>
      <c r="C736" s="37" t="s">
        <v>9935</v>
      </c>
      <c r="D736" s="38" t="n">
        <v>81</v>
      </c>
      <c r="E736" s="38"/>
    </row>
    <row r="737" customFormat="false" ht="15" hidden="false" customHeight="false" outlineLevel="0" collapsed="false">
      <c r="B737" s="37" t="s">
        <v>9936</v>
      </c>
      <c r="C737" s="37" t="s">
        <v>9768</v>
      </c>
      <c r="D737" s="38" t="n">
        <v>74</v>
      </c>
      <c r="E737" s="38"/>
    </row>
    <row r="738" customFormat="false" ht="15" hidden="false" customHeight="false" outlineLevel="0" collapsed="false">
      <c r="B738" s="37" t="s">
        <v>9144</v>
      </c>
      <c r="C738" s="37" t="s">
        <v>9923</v>
      </c>
      <c r="D738" s="38" t="n">
        <v>84</v>
      </c>
      <c r="E738" s="38"/>
    </row>
    <row r="739" customFormat="false" ht="15" hidden="false" customHeight="false" outlineLevel="0" collapsed="false">
      <c r="B739" s="37" t="s">
        <v>9145</v>
      </c>
      <c r="C739" s="37" t="s">
        <v>9937</v>
      </c>
      <c r="D739" s="38" t="n">
        <v>74</v>
      </c>
      <c r="E739" s="38"/>
    </row>
    <row r="740" customFormat="false" ht="15" hidden="false" customHeight="false" outlineLevel="0" collapsed="false">
      <c r="B740" s="37" t="s">
        <v>9148</v>
      </c>
      <c r="C740" s="37" t="s">
        <v>9938</v>
      </c>
      <c r="D740" s="38" t="n">
        <v>83</v>
      </c>
      <c r="E740" s="38"/>
    </row>
    <row r="741" customFormat="false" ht="15" hidden="false" customHeight="false" outlineLevel="0" collapsed="false">
      <c r="B741" s="37" t="s">
        <v>9151</v>
      </c>
      <c r="C741" s="37" t="s">
        <v>9939</v>
      </c>
      <c r="D741" s="38" t="n">
        <v>113</v>
      </c>
      <c r="E741" s="38"/>
    </row>
    <row r="742" customFormat="false" ht="15" hidden="false" customHeight="false" outlineLevel="0" collapsed="false">
      <c r="B742" s="37" t="s">
        <v>9940</v>
      </c>
      <c r="C742" s="37" t="s">
        <v>9941</v>
      </c>
      <c r="D742" s="38" t="n">
        <v>90</v>
      </c>
      <c r="E742" s="38"/>
    </row>
    <row r="743" customFormat="false" ht="15" hidden="false" customHeight="false" outlineLevel="0" collapsed="false">
      <c r="B743" s="37" t="s">
        <v>9156</v>
      </c>
      <c r="C743" s="37" t="s">
        <v>9942</v>
      </c>
      <c r="D743" s="38" t="n">
        <v>75</v>
      </c>
      <c r="E743" s="38"/>
    </row>
    <row r="744" customFormat="false" ht="15" hidden="false" customHeight="false" outlineLevel="0" collapsed="false">
      <c r="B744" s="37" t="s">
        <v>9158</v>
      </c>
      <c r="C744" s="37" t="s">
        <v>9943</v>
      </c>
      <c r="D744" s="38" t="n">
        <v>75</v>
      </c>
      <c r="E744" s="38"/>
    </row>
    <row r="745" customFormat="false" ht="15" hidden="false" customHeight="false" outlineLevel="0" collapsed="false">
      <c r="B745" s="37" t="s">
        <v>9162</v>
      </c>
      <c r="C745" s="37" t="s">
        <v>9944</v>
      </c>
      <c r="D745" s="38" t="n">
        <v>93</v>
      </c>
      <c r="E745" s="38"/>
    </row>
    <row r="746" customFormat="false" ht="15" hidden="false" customHeight="false" outlineLevel="0" collapsed="false">
      <c r="B746" s="37" t="s">
        <v>7061</v>
      </c>
      <c r="C746" s="37" t="s">
        <v>9621</v>
      </c>
      <c r="D746" s="38" t="n">
        <v>74</v>
      </c>
      <c r="E746" s="38"/>
    </row>
    <row r="747" customFormat="false" ht="15" hidden="false" customHeight="false" outlineLevel="0" collapsed="false">
      <c r="B747" s="37" t="s">
        <v>9166</v>
      </c>
      <c r="C747" s="37" t="s">
        <v>9774</v>
      </c>
      <c r="D747" s="38" t="n">
        <v>84</v>
      </c>
      <c r="E747" s="38"/>
    </row>
    <row r="748" customFormat="false" ht="15" hidden="false" customHeight="false" outlineLevel="0" collapsed="false">
      <c r="B748" s="37" t="s">
        <v>9945</v>
      </c>
      <c r="C748" s="37" t="s">
        <v>9946</v>
      </c>
      <c r="D748" s="38" t="n">
        <v>109</v>
      </c>
      <c r="E748" s="38"/>
    </row>
    <row r="749" customFormat="false" ht="15" hidden="false" customHeight="false" outlineLevel="0" collapsed="false">
      <c r="B749" s="37" t="s">
        <v>9169</v>
      </c>
      <c r="C749" s="37" t="s">
        <v>9947</v>
      </c>
      <c r="D749" s="38" t="n">
        <v>88</v>
      </c>
      <c r="E749" s="38"/>
    </row>
    <row r="750" customFormat="false" ht="15" hidden="false" customHeight="false" outlineLevel="0" collapsed="false">
      <c r="B750" s="37" t="s">
        <v>9948</v>
      </c>
      <c r="C750" s="37" t="s">
        <v>9700</v>
      </c>
      <c r="D750" s="38" t="n">
        <v>85</v>
      </c>
      <c r="E750" s="38"/>
    </row>
    <row r="751" customFormat="false" ht="15" hidden="false" customHeight="false" outlineLevel="0" collapsed="false">
      <c r="B751" s="37" t="s">
        <v>9949</v>
      </c>
      <c r="C751" s="37" t="s">
        <v>9950</v>
      </c>
      <c r="D751" s="38" t="n">
        <v>88</v>
      </c>
      <c r="E751" s="38"/>
    </row>
    <row r="752" customFormat="false" ht="15" hidden="false" customHeight="false" outlineLevel="0" collapsed="false">
      <c r="B752" s="37" t="s">
        <v>9174</v>
      </c>
      <c r="C752" s="37" t="s">
        <v>9669</v>
      </c>
      <c r="D752" s="38" t="n">
        <v>74</v>
      </c>
      <c r="E752" s="38"/>
    </row>
    <row r="753" customFormat="false" ht="15" hidden="false" customHeight="false" outlineLevel="0" collapsed="false">
      <c r="B753" s="37" t="s">
        <v>9175</v>
      </c>
      <c r="C753" s="37" t="s">
        <v>9951</v>
      </c>
      <c r="D753" s="38" t="n">
        <v>72</v>
      </c>
      <c r="E753" s="38"/>
    </row>
    <row r="754" customFormat="false" ht="15" hidden="false" customHeight="false" outlineLevel="0" collapsed="false">
      <c r="B754" s="37" t="s">
        <v>9177</v>
      </c>
      <c r="C754" s="37" t="s">
        <v>9952</v>
      </c>
      <c r="D754" s="38" t="n">
        <v>88</v>
      </c>
      <c r="E754" s="38"/>
    </row>
    <row r="755" customFormat="false" ht="15" hidden="false" customHeight="false" outlineLevel="0" collapsed="false">
      <c r="B755" s="37" t="s">
        <v>9953</v>
      </c>
      <c r="C755" s="37" t="s">
        <v>9954</v>
      </c>
      <c r="D755" s="38" t="n">
        <v>76</v>
      </c>
      <c r="E755" s="38"/>
    </row>
    <row r="756" customFormat="false" ht="15" hidden="false" customHeight="false" outlineLevel="0" collapsed="false">
      <c r="B756" s="37" t="s">
        <v>9183</v>
      </c>
      <c r="C756" s="37" t="s">
        <v>9635</v>
      </c>
      <c r="D756" s="38" t="n">
        <v>78</v>
      </c>
      <c r="E756" s="38"/>
    </row>
    <row r="757" customFormat="false" ht="15" hidden="false" customHeight="false" outlineLevel="0" collapsed="false">
      <c r="B757" s="37" t="s">
        <v>9955</v>
      </c>
      <c r="C757" s="37" t="s">
        <v>9577</v>
      </c>
      <c r="D757" s="38" t="n">
        <v>88</v>
      </c>
      <c r="E757" s="38"/>
    </row>
    <row r="758" customFormat="false" ht="15" hidden="false" customHeight="false" outlineLevel="0" collapsed="false">
      <c r="B758" s="37" t="s">
        <v>9184</v>
      </c>
      <c r="C758" s="37" t="s">
        <v>9775</v>
      </c>
      <c r="D758" s="38" t="n">
        <v>81</v>
      </c>
      <c r="E758" s="38"/>
    </row>
    <row r="759" customFormat="false" ht="15" hidden="false" customHeight="false" outlineLevel="0" collapsed="false">
      <c r="B759" s="37" t="s">
        <v>9956</v>
      </c>
      <c r="C759" s="37" t="s">
        <v>9744</v>
      </c>
      <c r="D759" s="38" t="n">
        <v>85</v>
      </c>
      <c r="E759" s="38"/>
    </row>
    <row r="760" customFormat="false" ht="15" hidden="false" customHeight="false" outlineLevel="0" collapsed="false">
      <c r="B760" s="37" t="s">
        <v>9185</v>
      </c>
      <c r="C760" s="37" t="s">
        <v>9724</v>
      </c>
      <c r="D760" s="38" t="n">
        <v>87</v>
      </c>
      <c r="E760" s="38"/>
    </row>
    <row r="761" customFormat="false" ht="15" hidden="false" customHeight="false" outlineLevel="0" collapsed="false">
      <c r="B761" s="37" t="s">
        <v>9191</v>
      </c>
      <c r="C761" s="37" t="s">
        <v>9957</v>
      </c>
      <c r="D761" s="38" t="n">
        <v>95</v>
      </c>
      <c r="E761" s="38"/>
    </row>
    <row r="762" customFormat="false" ht="15" hidden="false" customHeight="false" outlineLevel="0" collapsed="false">
      <c r="B762" s="37" t="s">
        <v>9193</v>
      </c>
      <c r="C762" s="37" t="s">
        <v>9917</v>
      </c>
      <c r="D762" s="38" t="n">
        <v>73</v>
      </c>
      <c r="E762" s="38"/>
    </row>
    <row r="763" customFormat="false" ht="15" hidden="false" customHeight="false" outlineLevel="0" collapsed="false">
      <c r="B763" s="37" t="s">
        <v>9200</v>
      </c>
      <c r="C763" s="37" t="s">
        <v>9958</v>
      </c>
      <c r="D763" s="38" t="n">
        <v>93</v>
      </c>
      <c r="E763" s="38"/>
    </row>
    <row r="764" customFormat="false" ht="15" hidden="false" customHeight="false" outlineLevel="0" collapsed="false">
      <c r="B764" s="37" t="s">
        <v>9202</v>
      </c>
      <c r="C764" s="37" t="s">
        <v>9712</v>
      </c>
      <c r="D764" s="38" t="n">
        <v>73</v>
      </c>
      <c r="E764" s="38"/>
    </row>
    <row r="765" customFormat="false" ht="15" hidden="false" customHeight="false" outlineLevel="0" collapsed="false">
      <c r="B765" s="37" t="s">
        <v>9203</v>
      </c>
      <c r="C765" s="37" t="s">
        <v>9959</v>
      </c>
      <c r="D765" s="38" t="n">
        <v>78</v>
      </c>
      <c r="E765" s="38"/>
    </row>
    <row r="766" customFormat="false" ht="15" hidden="false" customHeight="false" outlineLevel="0" collapsed="false">
      <c r="B766" s="37" t="s">
        <v>9207</v>
      </c>
      <c r="C766" s="37" t="s">
        <v>9960</v>
      </c>
      <c r="D766" s="38" t="n">
        <v>76</v>
      </c>
      <c r="E766" s="38"/>
    </row>
    <row r="767" customFormat="false" ht="15" hidden="false" customHeight="false" outlineLevel="0" collapsed="false">
      <c r="B767" s="37" t="s">
        <v>9212</v>
      </c>
      <c r="C767" s="37" t="s">
        <v>9729</v>
      </c>
      <c r="D767" s="38" t="n">
        <v>134</v>
      </c>
      <c r="E767" s="38"/>
    </row>
    <row r="768" customFormat="false" ht="15" hidden="false" customHeight="false" outlineLevel="0" collapsed="false">
      <c r="B768" s="37" t="s">
        <v>9213</v>
      </c>
      <c r="C768" s="37" t="s">
        <v>9523</v>
      </c>
      <c r="D768" s="38" t="n">
        <v>87</v>
      </c>
      <c r="E768" s="38"/>
    </row>
    <row r="769" customFormat="false" ht="15" hidden="false" customHeight="false" outlineLevel="0" collapsed="false">
      <c r="B769" s="37" t="s">
        <v>9214</v>
      </c>
      <c r="C769" s="37" t="s">
        <v>9961</v>
      </c>
      <c r="D769" s="38" t="n">
        <v>85</v>
      </c>
      <c r="E769" s="38"/>
    </row>
    <row r="770" customFormat="false" ht="15" hidden="false" customHeight="false" outlineLevel="0" collapsed="false">
      <c r="B770" s="37" t="s">
        <v>9962</v>
      </c>
      <c r="C770" s="37" t="s">
        <v>9963</v>
      </c>
      <c r="D770" s="38" t="n">
        <v>75</v>
      </c>
      <c r="E770" s="38"/>
    </row>
    <row r="771" customFormat="false" ht="15" hidden="false" customHeight="false" outlineLevel="0" collapsed="false">
      <c r="B771" s="37" t="s">
        <v>9219</v>
      </c>
      <c r="C771" s="37" t="s">
        <v>9964</v>
      </c>
      <c r="D771" s="38" t="n">
        <v>73</v>
      </c>
      <c r="E771" s="38"/>
    </row>
    <row r="772" customFormat="false" ht="15" hidden="false" customHeight="false" outlineLevel="0" collapsed="false">
      <c r="B772" s="37" t="s">
        <v>9221</v>
      </c>
      <c r="C772" s="37" t="s">
        <v>9780</v>
      </c>
      <c r="D772" s="38" t="n">
        <v>85</v>
      </c>
      <c r="E772" s="38"/>
    </row>
    <row r="773" customFormat="false" ht="15" hidden="false" customHeight="false" outlineLevel="0" collapsed="false">
      <c r="B773" s="37" t="s">
        <v>9965</v>
      </c>
      <c r="C773" s="37" t="s">
        <v>9640</v>
      </c>
      <c r="D773" s="38" t="n">
        <v>78</v>
      </c>
      <c r="E773" s="38"/>
    </row>
    <row r="774" customFormat="false" ht="15" hidden="false" customHeight="false" outlineLevel="0" collapsed="false">
      <c r="B774" s="37" t="s">
        <v>9224</v>
      </c>
      <c r="C774" s="37" t="s">
        <v>9966</v>
      </c>
      <c r="D774" s="38" t="n">
        <v>123</v>
      </c>
      <c r="E774" s="38"/>
    </row>
    <row r="775" customFormat="false" ht="15" hidden="false" customHeight="false" outlineLevel="0" collapsed="false">
      <c r="B775" s="37" t="s">
        <v>9226</v>
      </c>
      <c r="C775" s="37" t="s">
        <v>9967</v>
      </c>
      <c r="D775" s="38" t="n">
        <v>82</v>
      </c>
      <c r="E775" s="38"/>
    </row>
  </sheetData>
  <mergeCells count="1">
    <mergeCell ref="B2:E2"/>
  </mergeCells>
  <hyperlinks>
    <hyperlink ref="B4" r:id="rId1" display="https://striking-viking.com/collections/best-sellers-grooming-kit"/>
    <hyperlink ref="B5" r:id="rId2" display="https://striking-viking.com/pages/become-a-reseller"/>
    <hyperlink ref="B6" r:id="rId3" display="https://striking-viking.com/collections/combs-and-brushes"/>
    <hyperlink ref="B7" r:id="rId4" display="https://striking-viking.com/collections/sprays"/>
    <hyperlink ref="B8" r:id="rId5" display="https://striking-viking.com/collections/beard-care"/>
    <hyperlink ref="B9" r:id="rId6" display="https://striking-viking.com/collections/beard-oil"/>
    <hyperlink ref="B10" r:id="rId7" display="https://striking-viking.com/collections/after-shave-balm"/>
    <hyperlink ref="B11" r:id="rId8" display="https://striking-viking.com/collections/face-body"/>
    <hyperlink ref="B12" r:id="rId9" display="https://striking-viking.com/collections/beard-filler-pens"/>
    <hyperlink ref="B13" r:id="rId10" display="https://striking-viking.com/collections/tattoo-aftercare"/>
    <hyperlink ref="B14" r:id="rId11" display="https://striking-viking.com/collections/scissors-ontaki"/>
    <hyperlink ref="B15" r:id="rId12" display="https://striking-viking.com/collections/shaving"/>
    <hyperlink ref="B16" r:id="rId13" display="https://striking-viking.com/collections/powders"/>
    <hyperlink ref="B17" r:id="rId14" display="https://striking-viking.com/collections/beard-wash"/>
    <hyperlink ref="B18" r:id="rId15" display="https://striking-viking.com/blogs/learn/beard-grooming-quintessential-regime-for-the-modern-man"/>
    <hyperlink ref="B19" r:id="rId16" display="https://striking-viking.com/es/collections/beard-care"/>
    <hyperlink ref="B20" r:id="rId17" display="https://striking-viking.com/es/products/striking-viking-beard-filler-pen-2-pack-waterproof-beard-pen-for-filling-gaps-covering-patches"/>
    <hyperlink ref="B21" r:id="rId18" display="https://striking-viking.com/fr/pages/become-a-reseller"/>
    <hyperlink ref="B22" r:id="rId19" display="https://striking-viking.com/fr/collections/beard-balm"/>
    <hyperlink ref="B23" r:id="rId20" display="https://striking-viking.com/no/collections/shaving"/>
    <hyperlink ref="B24" r:id="rId21" display="https://striking-viking.com/it/collections/tattoo-aftercare"/>
    <hyperlink ref="B25" r:id="rId22" display="https://striking-viking.com/de/collections/scissors-ontaki"/>
    <hyperlink ref="B26" r:id="rId23" display="https://striking-viking.com/es/products/striking-viking-sea-salt-hair-spray-strong-hold-citrus-texture-volume-beach-waves"/>
    <hyperlink ref="B27" r:id="rId24" display="https://striking-viking.com/es/collections/combs-and-brushes"/>
    <hyperlink ref="B28" r:id="rId25" display="https://striking-viking.com/sv/blogs/learn/beard-grooming-quintessential-regime-for-the-modern-man"/>
    <hyperlink ref="B29" r:id="rId26" display="https://striking-viking.com/en-gb/collections/shaving"/>
    <hyperlink ref="B30" r:id="rId27" display="https://striking-viking.com/es/collections/beard-wash"/>
    <hyperlink ref="B31" r:id="rId28" display="https://striking-viking.com/de/pages/become-a-reseller"/>
    <hyperlink ref="B32" r:id="rId29" display="https://striking-viking.com/fr/collections/combs-and-brushes"/>
    <hyperlink ref="B33" r:id="rId30" display="https://striking-viking.com/it/collections/combs"/>
    <hyperlink ref="B34" r:id="rId31" display="https://striking-viking.com/it/collections/best-sellers-grooming-kit"/>
    <hyperlink ref="B35" r:id="rId32" display="https://striking-viking.com/no/collections/tattoo-aftercare"/>
    <hyperlink ref="B36" r:id="rId33" display="https://striking-viking.com/no/collections/best-sellers-grooming-kit"/>
    <hyperlink ref="B37" r:id="rId34" display="https://striking-viking.com/fi/collections/partavesi"/>
    <hyperlink ref="B38" r:id="rId35" display="https://striking-viking.com/es/collections/best-sellers-grooming-kit"/>
    <hyperlink ref="B39" r:id="rId36" display="https://striking-viking.com/it/products/striking-viking-beard-filler-pen-2-pack-waterproof-beard-pen-for-filling-gaps-covering-patches"/>
    <hyperlink ref="B40" r:id="rId37" display="https://striking-viking.com/sv/collections/powders"/>
    <hyperlink ref="B41" r:id="rId38" display="https://striking-viking.com/de/collections/best-sellers-grooming-kit"/>
    <hyperlink ref="B42" r:id="rId39" display="https://striking-viking.com/fi/collections/kammat"/>
    <hyperlink ref="B43" r:id="rId40" display="https://striking-viking.com/en-ca/collections/beard-care"/>
    <hyperlink ref="B44" r:id="rId41" display="https://striking-viking.com/en-ca/collections/beard-filler-pens"/>
    <hyperlink ref="B45" r:id="rId42" display="https://striking-viking.com/it"/>
    <hyperlink ref="B46" r:id="rId43" display="https://striking-viking.com/sv/collections/brushes"/>
    <hyperlink ref="B47" r:id="rId44" display="https://striking-viking.com/de/blogs/learn/beard-grooming-quintessential-regime-for-the-modern-man"/>
    <hyperlink ref="B48" r:id="rId45" display="https://striking-viking.com/it/products/striking-viking-beard-kit-caddy-complete-beard-grooming-kit"/>
    <hyperlink ref="B49" r:id="rId46" display="https://striking-viking.com/no/collections/beard-oil"/>
    <hyperlink ref="B50" r:id="rId47" display="https://striking-viking.com/es/blogs/learn/beard-grooming-quintessential-regime-for-the-modern-man"/>
    <hyperlink ref="B51" r:id="rId48" display="https://striking-viking.com/de/blogs/learn/grooming-kit-a-perfect-gift-for-the-modern-man"/>
    <hyperlink ref="B52" r:id="rId49" display="https://striking-viking.com/es/blogs/learn/ride-the-wave-striking-viking-sea-salt-spray-for-effortless-men-s-style"/>
    <hyperlink ref="B53" r:id="rId50" display="https://striking-viking.com/fi/collections/harjat"/>
    <hyperlink ref="B54" r:id="rId51" display="https://striking-viking.com/en-ca/collections/face-body"/>
    <hyperlink ref="B55" r:id="rId52" display="https://striking-viking.com/it/collections/beard-balm"/>
    <hyperlink ref="B56" r:id="rId53" display="https://striking-viking.com/fr/products/striking-viking-beard-kit-caddy-complete-beard-grooming-kit"/>
    <hyperlink ref="B57" r:id="rId54" display="https://striking-viking.com/it/collections/beard-growth-kits"/>
    <hyperlink ref="B58" r:id="rId55" display="https://striking-viking.com/it/collections/brushes"/>
    <hyperlink ref="B59" r:id="rId56" display="https://striking-viking.com/en-gb/collections/beard-care"/>
    <hyperlink ref="B60" r:id="rId57" display="https://striking-viking.com/de/collections/beard-wash"/>
    <hyperlink ref="B61" r:id="rId58" display="https://striking-viking.com/fi/collections/shaving"/>
    <hyperlink ref="B62" r:id="rId59" display="https://striking-viking.com/sv/collections/beard-wash"/>
    <hyperlink ref="B63" r:id="rId60" display="https://striking-viking.com/en-ca/pages/become-a-reseller"/>
    <hyperlink ref="B64" r:id="rId61" display="https://striking-viking.com/es/products/striking-viking-blue-ocean-beard-oil-for-men-natural-beard-growth-oil-with-argan-jojoba"/>
    <hyperlink ref="B65" r:id="rId62" display="https://striking-viking.com/es/collections/brushes"/>
    <hyperlink ref="B66" r:id="rId63" display="https://striking-viking.com/fr/products/striking-viking-beard-filler-pen-2-pack-waterproof-beard-pen-for-filling-gaps-covering-patches"/>
    <hyperlink ref="B67" r:id="rId64" display="https://striking-viking.com/fi/blogs/learn/beard-grooming-quintessential-regime-for-the-modern-man"/>
    <hyperlink ref="B68" r:id="rId65" display="https://striking-viking.com/fi/collections/sprays"/>
    <hyperlink ref="B69" r:id="rId66" display="https://striking-viking.com/fi/collections/parta-oljy"/>
    <hyperlink ref="B70" r:id="rId67" display="https://striking-viking.com/es/products/striking-viking-terra-sol-beard-oil-for-men-natural-beard-growth-oil-with-argan-jojoba"/>
    <hyperlink ref="B71" r:id="rId68" display="https://striking-viking.com/en-gb/collections/best-sellers-grooming-kit"/>
    <hyperlink ref="B72" r:id="rId69" display="https://striking-viking.com/fr/collections/combs"/>
    <hyperlink ref="B73" r:id="rId70" display="https://striking-viking.com/es/collections/beard-growth-kits"/>
    <hyperlink ref="B74" r:id="rId71" display="https://striking-viking.com/fi/collections/sakset-ontaki"/>
    <hyperlink ref="B75" r:id="rId72" display="https://striking-viking.com/it/blogs/learn/ride-the-wave-striking-viking-sea-salt-spray-for-effortless-men-s-style"/>
    <hyperlink ref="B76" r:id="rId73" display="https://striking-viking.com/en-ca/collections/tattoo-aftercare"/>
    <hyperlink ref="B77" r:id="rId74" display="https://striking-viking.com/de/collections/shaving"/>
    <hyperlink ref="B78" r:id="rId75" display="https://striking-viking.com/no/pages/become-a-reseller"/>
    <hyperlink ref="B79" r:id="rId76" display="https://striking-viking.com/sv/collections/beard-oil"/>
    <hyperlink ref="B80" r:id="rId77" display="https://striking-viking.com/it/collections/beard-butter"/>
    <hyperlink ref="B81" r:id="rId78" display="https://striking-viking.com/fr/collections/bundles"/>
    <hyperlink ref="B82" r:id="rId79" display="https://striking-viking.com/de/collections/brushes"/>
    <hyperlink ref="B83" r:id="rId80" display="https://striking-viking.com/products/striking-viking-terra-sol-beard-oil-for-men-natural-beard-growth-oil-with-argan-jojoba"/>
    <hyperlink ref="B84" r:id="rId81" display="https://striking-viking.com/en-ca/collections/after-shave-balm"/>
    <hyperlink ref="B85" r:id="rId82" display="https://striking-viking.com/en-gb/collections/beard-wash"/>
    <hyperlink ref="B86" r:id="rId83" display="https://striking-viking.com/fi/collections/tattoo-aftercare"/>
    <hyperlink ref="B87" r:id="rId84" display="https://striking-viking.com/fr/collections/tattoo-aftercare"/>
    <hyperlink ref="B88" r:id="rId85" display="https://striking-viking.com/it/products/striking-viking-sea-salt-hair-spray-strong-hold-citrus-texture-volume-beach-waves"/>
    <hyperlink ref="B89" r:id="rId86" display="https://striking-viking.com/de/products/bartfullstift"/>
    <hyperlink ref="B90" r:id="rId87" display="https://striking-viking.com/sv/collections/sprays"/>
    <hyperlink ref="B91" r:id="rId88" display="https://striking-viking.com/en-gb/collections/tattoo-aftercare"/>
    <hyperlink ref="B92" r:id="rId89" display="https://striking-viking.com/fr/collections/sprays"/>
    <hyperlink ref="B93" r:id="rId90" display="https://striking-viking.com/fr/collections/beard-filler-pens"/>
    <hyperlink ref="B94" r:id="rId91" display="https://striking-viking.com/sv/collections/scissors-ontaki"/>
    <hyperlink ref="B95" r:id="rId92" display="https://striking-viking.com/it/pages/become-a-reseller"/>
    <hyperlink ref="B96" r:id="rId93" display="https://striking-viking.com/no/collections/powders"/>
    <hyperlink ref="B97" r:id="rId94" display="https://striking-viking.com/en-ca/collections/scissors-ontaki"/>
    <hyperlink ref="B98" r:id="rId95" display="https://striking-viking.com/it/collections/bundles"/>
    <hyperlink ref="B99" r:id="rId96" display="https://striking-viking.com/de/collections/after-shave-balm"/>
    <hyperlink ref="B100" r:id="rId97" display="https://striking-viking.com/en-ca/collections/sprays"/>
    <hyperlink ref="B101" r:id="rId98" display="https://striking-viking.com/fi/collections/pakkaukset"/>
    <hyperlink ref="B102" r:id="rId99" display="https://striking-viking.com/no/collections/after-shave-balm"/>
    <hyperlink ref="B103" r:id="rId100" display="https://striking-viking.com/en-gb/collections/scissors-ontaki"/>
    <hyperlink ref="B104" r:id="rId101" display="https://striking-viking.com/sv/collections/combs-and-brushes"/>
    <hyperlink ref="B105" r:id="rId102" display="https://striking-viking.com/sv/collections/beard-care"/>
    <hyperlink ref="B106" r:id="rId103" display="https://striking-viking.com/es/collections/bundles"/>
    <hyperlink ref="B107" r:id="rId104" display="https://striking-viking.com/fr/collections/beard-butter"/>
    <hyperlink ref="B108" r:id="rId105" display="https://striking-viking.com/de/collections/bundles"/>
    <hyperlink ref="B109" r:id="rId106" display="https://striking-viking.com/fr/blogs/learn/ride-the-wave-striking-viking-sea-salt-spray-for-effortless-men-s-style"/>
    <hyperlink ref="B110" r:id="rId107" display="https://striking-viking.com/fr/products/striking-viking-sea-salt-hair-spray-strong-hold-citrus-texture-volume-beach-waves"/>
    <hyperlink ref="B111" r:id="rId108" display="https://striking-viking.com/en-gb/collections/combs-and-brushes"/>
    <hyperlink ref="B112" r:id="rId109" display="https://striking-viking.com/en-gb/collections/beard-filler-pens"/>
    <hyperlink ref="B113" r:id="rId110" display="https://striking-viking.com/en-ca/collections/shaving"/>
    <hyperlink ref="B114" r:id="rId111" display="https://striking-viking.com/fr/collections/beard-care"/>
    <hyperlink ref="B115" r:id="rId112" display="https://striking-viking.com/no/collections/combs-and-brushes"/>
    <hyperlink ref="B116" r:id="rId113" display="https://striking-viking.com/en-ca/collections/best-sellers-grooming-kit"/>
    <hyperlink ref="B117" r:id="rId114" display="https://striking-viking.com/es/collections/beard-filler-pens"/>
    <hyperlink ref="B118" r:id="rId115" display="https://striking-viking.com/es/collections/tattoo-aftercare"/>
    <hyperlink ref="B119" r:id="rId116" display="https://striking-viking.com/it/collections/powders"/>
    <hyperlink ref="B120" r:id="rId117" display="https://striking-viking.com/de/collections/combs-and-brushes"/>
    <hyperlink ref="B121" r:id="rId118" display="https://striking-viking.com/no/blogs/learn/beard-grooming-quintessential-regime-for-the-modern-man"/>
    <hyperlink ref="B122" r:id="rId119" display="https://striking-viking.com/es/collections/powders"/>
    <hyperlink ref="B123" r:id="rId120" display="https://striking-viking.com/en-gb/collections/beard-oil"/>
    <hyperlink ref="B124" r:id="rId121" display="https://striking-viking.com/en-gb/collections/face-body"/>
    <hyperlink ref="B125" r:id="rId122" display="https://striking-viking.com/es/collections/shaving"/>
    <hyperlink ref="B126" r:id="rId123" display="https://striking-viking.com/it/collections/shaving"/>
    <hyperlink ref="B127" r:id="rId124" display="https://striking-viking.com/fr/collections/scissors-ontaki"/>
    <hyperlink ref="B128" r:id="rId125" display="https://striking-viking.com/it/collections/beard-wash"/>
    <hyperlink ref="B129" r:id="rId126" display="https://striking-viking.com/fr/blogs/learn/grooming-kit-a-perfect-gift-for-the-modern-man"/>
    <hyperlink ref="B130" r:id="rId127" display="https://striking-viking.com/es/products/striking-viking-bergamot-thunder-beard-balm-for-men-natural-beard-balm-with-shea-butter"/>
    <hyperlink ref="B131" r:id="rId128" display="https://striking-viking.com/fr/collections/brushes"/>
    <hyperlink ref="B132" r:id="rId129" display="https://striking-viking.com/fi/collections/partakarvakasvupaketit"/>
    <hyperlink ref="B133" r:id="rId130" display="https://striking-viking.com/en-gb/pages/become-a-reseller"/>
    <hyperlink ref="B134" r:id="rId131" display="https://striking-viking.com/es/collections/combs"/>
    <hyperlink ref="B135" r:id="rId132" display="https://striking-viking.com/de/collections/powders"/>
    <hyperlink ref="B136" r:id="rId133" display="https://striking-viking.com/es/collections/beard-balm"/>
    <hyperlink ref="B137" r:id="rId134" display="https://striking-viking.com/fr/collections/beard-growth-kits"/>
    <hyperlink ref="B138" r:id="rId135" display="https://striking-viking.com/it/collections/beard-filler-pens"/>
    <hyperlink ref="B139" r:id="rId136" display="https://striking-viking.com/no/collections/scissors-ontaki"/>
    <hyperlink ref="B140" r:id="rId137" display="https://striking-viking.com/es/pages/become-a-reseller"/>
    <hyperlink ref="B141" r:id="rId138" display="https://striking-viking.com/fr/collections/beard-oil"/>
    <hyperlink ref="B142" r:id="rId139" display="https://striking-viking.com/fi/pages/become-a-reseller"/>
    <hyperlink ref="B143" r:id="rId140" display="https://striking-viking.com/sv/pages/become-a-reseller"/>
    <hyperlink ref="B144" r:id="rId141" display="https://striking-viking.com/fi/products/striking-viking-beard-kit-caddy-complete-beard-grooming-kit"/>
    <hyperlink ref="B145" r:id="rId142" display="https://striking-viking.com/fi/collections/after-shave-balm"/>
    <hyperlink ref="B146" r:id="rId143" display="https://striking-viking.com/fr/collections/beard-wash"/>
    <hyperlink ref="B147" r:id="rId144" display="https://striking-viking.com/en-ca/collections/beard-oil"/>
    <hyperlink ref="B148" r:id="rId145" display="https://striking-viking.com/fi/products/striking-viking-bergamot-thunder-beard-balm-for-men-natural-beard-balm-with-shea-butter"/>
    <hyperlink ref="B149" r:id="rId146" display="https://striking-viking.com/fr/collections/after-shave-balm"/>
    <hyperlink ref="B150" r:id="rId147" display="https://striking-viking.com/no/collections/sprays"/>
    <hyperlink ref="B151" r:id="rId148" display="https://striking-viking.com/de/collections/tattoo-aftercare"/>
    <hyperlink ref="B152" r:id="rId149" display="https://striking-viking.com/no/collections/beard-wash"/>
    <hyperlink ref="B153" r:id="rId150" display="https://striking-viking.com/es/collections/beard-oil"/>
    <hyperlink ref="B154" r:id="rId151" display="https://striking-viking.com/es/collections/scissors-ontaki"/>
    <hyperlink ref="B155" r:id="rId152" display="https://striking-viking.com/sv/collections/best-sellers-grooming-kit"/>
    <hyperlink ref="B156" r:id="rId153" display="https://striking-viking.com/it/collections/beard-oil"/>
    <hyperlink ref="B157" r:id="rId154" display="https://striking-viking.com/fr/collections/powders"/>
    <hyperlink ref="B158" r:id="rId155" display="https://striking-viking.com/en-ca/collections/beard-wash"/>
    <hyperlink ref="B159" r:id="rId156" display="https://striking-viking.com/es/products/striking-viking-beard-kit-caddy-complete-beard-grooming-kit"/>
    <hyperlink ref="B160" r:id="rId157" display="https://striking-viking.com/fr/products/striking-viking-beard-grooming-kit-with-toiletry-bag-8-piece-mens-grooming-set"/>
    <hyperlink ref="B161" r:id="rId158" display="https://striking-viking.com/fi/collections/jauheet"/>
    <hyperlink ref="B162" r:id="rId159" display="https://striking-viking.com/en-ca/products/striking-viking-terra-sol-beard-oil-for-men-natural-beard-growth-oil-with-argan-jojoba"/>
    <hyperlink ref="B163" r:id="rId160" display="https://striking-viking.com/de/collections/sprays"/>
    <hyperlink ref="B164" r:id="rId161" display="https://striking-viking.com/es/blogs/learn/grooming-kit-a-perfect-gift-for-the-modern-man"/>
    <hyperlink ref="B165" r:id="rId162" display="https://striking-viking.com/no/collections/brushes"/>
    <hyperlink ref="B166" r:id="rId163" display="https://striking-viking.com/en-ca/collections/powders"/>
    <hyperlink ref="B167" r:id="rId164" display="https://striking-viking.com/es/products/striking-viking-mustache-wax-and-comb-kit"/>
    <hyperlink ref="B168" r:id="rId165" display="https://striking-viking.com/fr/collections/best-sellers-grooming-kit"/>
    <hyperlink ref="B169" r:id="rId166" display="https://striking-viking.com/fr/blogs/learn/beard-grooming-quintessential-regime-for-the-modern-man"/>
    <hyperlink ref="B170" r:id="rId167" display="https://striking-viking.com/es/collections/after-shave-balm"/>
    <hyperlink ref="B171" r:id="rId168" display="https://striking-viking.com/it/collections/after-shave-balm"/>
    <hyperlink ref="B172" r:id="rId169" display="https://striking-viking.com/fr/collections/shaving"/>
    <hyperlink ref="B173" r:id="rId170" display="https://striking-viking.com/fi/collections/kammat-ja-harjat"/>
    <hyperlink ref="B174" r:id="rId171" display="https://striking-viking.com/fi/collections/parta-ja-hiusten-hoito"/>
    <hyperlink ref="B175" r:id="rId172" display="https://striking-viking.com/en-gb/collections/powders"/>
    <hyperlink ref="B176" r:id="rId173" display="https://striking-viking.com/no/collections/beard-care"/>
    <hyperlink ref="B177" r:id="rId174" display="https://striking-viking.com/fi/products/striking-viking-blue-ocean-beard-oil-for-men-natural-beard-growth-oil-with-argan-jojoba"/>
    <hyperlink ref="B178" r:id="rId175" display="https://striking-viking.com/en-ca/collections/combs-and-brushes"/>
    <hyperlink ref="B179" r:id="rId176" display="https://striking-viking.com/en-gb/collections/after-shave-balm"/>
    <hyperlink ref="B180" r:id="rId177" display="https://striking-viking.com/it/collections/scissors-ontaki"/>
    <hyperlink ref="B181" r:id="rId178" display="https://striking-viking.com/fi/collections/parhaat-myynti-hoitotarvikkeet"/>
    <hyperlink ref="B182" r:id="rId179" display="https://striking-viking.com/fr/collections/face-body"/>
    <hyperlink ref="B183" r:id="rId180" display="https://striking-viking.com/es/collections/beard-butter"/>
    <hyperlink ref="B184" r:id="rId181" display="https://striking-viking.com/de/collections/beard-care"/>
    <hyperlink ref="B185" r:id="rId182" display="https://striking-viking.com/es/collections/sprays"/>
    <hyperlink ref="B186" r:id="rId183" display="https://striking-viking.com/it/products/striking-viking-bergamot-thunder-beard-balm-for-men-natural-beard-balm-with-shea-butter"/>
    <hyperlink ref="B187" r:id="rId184" display="https://striking-viking.com/sv/collections/after-shave-balm"/>
    <hyperlink ref="B188" r:id="rId185" display="https://striking-viking.com/fr/products/striking-viking-mustache-wax-and-comb-kit"/>
    <hyperlink ref="B189" r:id="rId186" display="https://striking-viking.com/it/collections/beard-care"/>
    <hyperlink ref="B190" r:id="rId187" display="https://striking-viking.com/it/collections/combs-and-brushes"/>
    <hyperlink ref="B191" r:id="rId188" display="https://striking-viking.com/sv/collections/shaving"/>
    <hyperlink ref="B192" r:id="rId189" display="https://striking-viking.com/it/collections/sprays"/>
    <hyperlink ref="B193" r:id="rId190" display="https://striking-viking.com/en-gb/collections/sprays"/>
    <hyperlink ref="B194" r:id="rId191" display="https://striking-viking.com/en-ca/blogs/learn/how-to-use-beard-balm-properly-a-complete-guide"/>
    <hyperlink ref="B195" r:id="rId192" display="https://striking-viking.com/blogs/learn/how-to-fill-in-a-patchy-beard"/>
    <hyperlink ref="B196" r:id="rId193" display="https://striking-viking.com/en-gb/products/striking-viking-blue-ocean-beard-balm-for-men-natural-beard-balm-with-shea-butter-jojoba"/>
    <hyperlink ref="B197" r:id="rId194" display="https://striking-viking.com/sv/collections/trending-now"/>
    <hyperlink ref="B198" r:id="rId195" display="https://striking-viking.com/sv/blogs/learn/the-ultimate-beard-growth-routine-for-a-thicker-healthier-beard-2026-guide"/>
    <hyperlink ref="B199" r:id="rId196" display="https://striking-viking.com/fr/products/striking-viking-tea-tree-biotin-beard-shampoo-conditioner-set-for-healthy-beard-care"/>
    <hyperlink ref="B200" r:id="rId197" display="https://striking-viking.com/it/products/striking-viking-boar-bristle-beard-brush-for-men-natural-beech-wood-grooming-brush"/>
    <hyperlink ref="B201" r:id="rId198" display="https://striking-viking.com/sv/collections/subscribe-save"/>
    <hyperlink ref="B202" r:id="rId199" display="https://striking-viking.com/blogs/learn/how-to-use-beard-balm-properly-a-complete-guide"/>
    <hyperlink ref="B203" r:id="rId200" display="https://striking-viking.com/fi/blogs/learn/spring-style-refresh-how-to-update-your-beard-and-hair-for-warmer-weather"/>
    <hyperlink ref="B204" r:id="rId201" display="https://striking-viking.com/de/blogs/learn/how-to-use-beard-balm-properly-a-complete-guide"/>
    <hyperlink ref="B205" r:id="rId202" display="https://striking-viking.com/products/striking-viking-unscented-after-shave-balm-for-men-soothing-hydration-skin-care"/>
    <hyperlink ref="B206" r:id="rId203" display="https://striking-viking.com/no/blogs/learn/the-ultimate-guide-to-tattoo-aftercare-with-striking-viking"/>
    <hyperlink ref="B207" r:id="rId204" display="https://striking-viking.com/en-gb/products/ontaki-german-steel-beard-mustache-scissors-professional-grooming-kit"/>
    <hyperlink ref="B208" r:id="rId205" display="https://striking-viking.com/fi/collections/parta-perusteet"/>
    <hyperlink ref="B209" r:id="rId206" display="https://striking-viking.com/it/blogs/learn/spring-style-refresh-how-to-update-your-beard-and-hair-for-warmer-weather"/>
    <hyperlink ref="B210" r:id="rId207" display="https://striking-viking.com/it/products/striking-viking-vanilla-beard-growth-kit-with-biotin-oil-0-25mm-derma-roller"/>
    <hyperlink ref="B211" r:id="rId208" display="https://striking-viking.com/en-ca/blogs/learn/beard-grooming-quintessential-regime-for-the-modern-man"/>
    <hyperlink ref="B212" r:id="rId209" display="https://striking-viking.com/en-ca/collections/trending-now"/>
    <hyperlink ref="B213" r:id="rId210" display="https://striking-viking.com/en-gb/blogs/learn/the-ultimate-beard-growth-routine-for-a-thicker-healthier-beard-2026-guide"/>
    <hyperlink ref="B214" r:id="rId211" display="https://striking-viking.com/fi/products/striking-viking-wooden-beard-care-caddy-board-only"/>
    <hyperlink ref="B215" r:id="rId212" display="https://striking-viking.com/fr/products/striking-viking-wooden-beard-care-caddy-board-only"/>
    <hyperlink ref="B216" r:id="rId213" display="https://striking-viking.com/blogs/learn/16918829-the-ingredients-and-why-they-matter"/>
    <hyperlink ref="B217" r:id="rId214" display="https://striking-viking.com/de/products/bartbutter"/>
    <hyperlink ref="B218" r:id="rId215" display="https://striking-viking.com/it/blogs/learn/all-you-need-to-know-about-beard-filler-pens"/>
    <hyperlink ref="B219" r:id="rId216" display="https://striking-viking.com/no/blogs/learn/spring-style-refresh-how-to-update-your-beard-and-hair-for-warmer-weather"/>
    <hyperlink ref="B220" r:id="rId217" display="https://striking-viking.com/no/blogs/learn/how-to-fill-in-a-patchy-beard"/>
    <hyperlink ref="B221" r:id="rId218" display="https://striking-viking.com/sv/blogs/learn/how-to-keep-your-tattoos-looking-bold-for-years-the-role-of-tattoo-balms"/>
    <hyperlink ref="B222" r:id="rId219" display="https://striking-viking.com/en-gb/products/charlemagne-original-hair-pomade-for-men-strong-hold-water-based-styling-pomade-100ml"/>
    <hyperlink ref="B223" r:id="rId220" display="https://striking-viking.com/en-ca/blogs/learn/spring-style-refresh-how-to-update-your-beard-and-hair-for-warmer-weather"/>
    <hyperlink ref="B224" r:id="rId221" display="https://striking-viking.com/en-gb/blogs/learn/how-to-fill-in-a-patchy-beard"/>
    <hyperlink ref="B225" r:id="rId222" display="https://striking-viking.com/blogs/learn/the-ultimate-beard-growth-routine-for-a-thicker-healthier-beard-2026-guide"/>
    <hyperlink ref="B226" r:id="rId223" display="https://striking-viking.com/blogs/learn/beard-grooming-tools-for-professional-styling-at-home"/>
    <hyperlink ref="B227" r:id="rId224" display="https://striking-viking.com/en-ca/blogs/learn/how-to-fill-in-a-patchy-beard"/>
    <hyperlink ref="B228" r:id="rId225" display="https://striking-viking.com/en-gb/blogs/learn/how-to-use-beard-balm-properly-a-complete-guide"/>
    <hyperlink ref="B229" r:id="rId226" display="https://striking-viking.com/sv/blogs/learn/spring-style-refresh-how-to-update-your-beard-and-hair-for-warmer-weather"/>
    <hyperlink ref="B230" r:id="rId227" display="https://striking-viking.com/it/products/striking-viking-sandalwood-beard-growth-kit-with-biotin-oil-0-25mm-derma-roller"/>
    <hyperlink ref="B231" r:id="rId228" display="https://striking-viking.com/en-gb/products/charlemagne-carbon-wide-tooth-comb-for-men-heat-resistant-carbon-fiber-hair-comb"/>
    <hyperlink ref="B232" r:id="rId229" display="https://striking-viking.com/en-gb/blogs/learn/spring-style-refresh-how-to-update-your-beard-and-hair-for-warmer-weather"/>
    <hyperlink ref="B233" r:id="rId230" display="https://striking-viking.com/en-ca/collections/featured-products"/>
    <hyperlink ref="B234" r:id="rId231" display="https://striking-viking.com/de/products/bartbutter-vanille-1"/>
    <hyperlink ref="B235" r:id="rId232" display="https://striking-viking.com/blogs/learn/scented-beard-oil-by-striking-viking"/>
    <hyperlink ref="B236" r:id="rId233" display="https://striking-viking.com/en-gb/blogs/learn/beard-grooming-quintessential-regime-for-the-modern-man"/>
    <hyperlink ref="B237" r:id="rId234" display="https://striking-viking.com/fi/blogs/learn/the-ultimate-beard-growth-routine-for-a-thicker-healthier-beard-2026-guide"/>
    <hyperlink ref="B238" r:id="rId235" display="https://striking-viking.com/it/products/striking-viking-beard-balm-variety-4-pack-citrus-vanilla-cedarwood-sandalwood"/>
    <hyperlink ref="B239" r:id="rId236" display="https://striking-viking.com/en-gb/blogs/learn/beard-grooming-tools-for-professional-styling-at-home"/>
    <hyperlink ref="B240" r:id="rId237" display="https://striking-viking.com/en-gb/collections/featured-products"/>
    <hyperlink ref="B241" r:id="rId238" display="https://striking-viking.com/collections/featured-products"/>
    <hyperlink ref="B242" r:id="rId239" display="https://striking-viking.com/blogs/learn/spring-style-refresh-how-to-update-your-beard-and-hair-for-warmer-weather"/>
    <hyperlink ref="B243" r:id="rId240" display="https://striking-viking.com/it/blogs/learn/beard-oil-vs-beard-balm-solving-the-modern-problem-for-gentlemen-with-beards"/>
    <hyperlink ref="B244" r:id="rId241" display="https://striking-viking.com/es/blogs/learn/the-ultimate-beard-growth-routine-for-a-thicker-healthier-beard-2026-guide"/>
    <hyperlink ref="B245" r:id="rId242" display="https://striking-viking.com/products/striking-viking-sandalwood-beard-shampoo-for-clean-healthy-soft-beard-care-for-men"/>
    <hyperlink ref="B246" r:id="rId243" display="https://striking-viking.com/en-gb/products/striking-viking-sandalwood-shaving-cream-for-men-rich-lather-for-a-smooth-comfortable-shave"/>
    <hyperlink ref="B247" r:id="rId244" display="https://striking-viking.com/de/blogs/learn/the-ultimate-beard-growth-routine-for-a-thicker-healthier-beard-2026-guide"/>
    <hyperlink ref="B248" r:id="rId245" display="https://striking-viking.com/sv/collections/featured-products"/>
    <hyperlink ref="B249" r:id="rId246" display="https://striking-viking.com/it/blogs/learn/why-your-beard-needs-more-than-just-a-comb"/>
    <hyperlink ref="B250" r:id="rId247" display="https://striking-viking.com/es/products/striking-viking-wooden-beard-care-caddy-board-only"/>
    <hyperlink ref="B251" r:id="rId248" display="https://striking-viking.com/en-ca/blogs/learn/beard-grooming-tools-for-professional-styling-at-home"/>
    <hyperlink ref="B252" r:id="rId249" display="https://striking-viking.com/en-ca/products/striking-viking-terra-sol-beard-balm-for-men-natural-beard-balm-with-shea-butter-jojoba"/>
    <hyperlink ref="B253" r:id="rId250" display="https://striking-viking.com/sv/blogs/learn/how-to-use-beard-balm-properly-a-complete-guide"/>
    <hyperlink ref="B254" r:id="rId251" display="https://striking-viking.com/fi/blogs/learn/how-to-use-beard-balm-properly-a-complete-guide"/>
    <hyperlink ref="B255" r:id="rId252" display="https://striking-viking.com/en-ca/products/striking-viking-sandalwood-beard-shampoo-for-clean-healthy-soft-beard-care-for-men"/>
    <hyperlink ref="B256" r:id="rId253" display="https://striking-viking.com/en-gb/products/striking-viking-terra-sol-beard-oil-for-men-natural-beard-growth-oil-with-argan-jojoba"/>
    <hyperlink ref="B257" r:id="rId254" display="https://striking-viking.com/it/blogs/learn/heads-shoulders-knees-and-toes-but-why-forget-the-beard"/>
    <hyperlink ref="B258" r:id="rId255" display="https://striking-viking.com/fr/products/striking-viking-peppermint-eucalyptus-beard-shampoo-conditioner-set-for-healthy-beard-care"/>
    <hyperlink ref="B259" r:id="rId256" display="https://striking-viking.com/no/blogs/learn/how-to-keep-your-tattoos-looking-bold-for-years-the-role-of-tattoo-balms"/>
    <hyperlink ref="B260" r:id="rId257" display="https://striking-viking.com/de/blogs/learn/spring-style-refresh-how-to-update-your-beard-and-hair-for-warmer-weather"/>
    <hyperlink ref="B261" r:id="rId258" display="https://striking-viking.com/es/blogs/learn/spring-style-refresh-how-to-update-your-beard-and-hair-for-warmer-weather"/>
    <hyperlink ref="B262" r:id="rId259" display="https://striking-viking.com/it/collections/subscribe-save"/>
    <hyperlink ref="B263" r:id="rId260" display="https://striking-viking.com/it/blogs/learn/beard-grooming-quintessential-regime-for-the-modern-man"/>
    <hyperlink ref="B264" r:id="rId261" display="https://striking-viking.com/it/products/striking-viking-wooden-beard-care-caddy-board-only"/>
    <hyperlink ref="B265" r:id="rId262" display="https://striking-viking.com/blogs/learn/all-you-need-to-know-about-beard-filler-pens"/>
    <hyperlink ref="B266" r:id="rId263" display="https://striking-viking.com/en-gb/blogs/learn/heads-shoulders-knees-and-toes-but-why-forget-the-beard"/>
    <hyperlink ref="B267" r:id="rId264" display="https://striking-viking.com/fr/products/beard-growth-balm-with-biotin-2-oz-blue-ocean"/>
    <hyperlink ref="B268" r:id="rId265" display="https://striking-viking.com/it/products/striking-viking-folding-wooden-beard-comb-for-men-anti-static-sandalwood-grooming-comb"/>
    <hyperlink ref="B269" r:id="rId266" display="https://striking-viking.com/products/ontaki-beard-mustache-scissors-with-finger-rest-5-inch-german-steel-grooming-kit"/>
    <hyperlink ref="B270" r:id="rId267" display="https://striking-viking.com/fi/collections/trending-now"/>
    <hyperlink ref="B271" r:id="rId268" display="https://striking-viking.com/fi/products/striking-viking-beard-growth-power-kit-with-biotin-beard-oil-shampoo-derma-roller"/>
    <hyperlink ref="B272" r:id="rId269" display="https://striking-viking.com/fr/products/striking-viking-biotin-beard-growth-oil-for-men-unscented-beard-growth-serum"/>
    <hyperlink ref="B273" r:id="rId270" display="https://striking-viking.com/en-gb/blogs/learn/all-you-need-to-know-about-beard-filler-pens"/>
    <hyperlink ref="B274" r:id="rId271" display="https://striking-viking.com/it/products/striking-viking-beard-filler-pen-2-pack-dual-tip-waterproof-beard-pen-for-natural-beard-filling"/>
    <hyperlink ref="B275" r:id="rId272" display="https://striking-viking.com/es/blogs/learn/all-you-need-to-know-about-beard-filler-pens"/>
    <hyperlink ref="B276" r:id="rId273" display="https://striking-viking.com/products/ontaki-facial-hair-grooming-scissors-2-pack-precision-beard-nose-mustache-trimming"/>
    <hyperlink ref="B277" r:id="rId274" display="https://striking-viking.com/fi/blogs/learn/heads-shoulders-knees-and-toes-but-why-forget-the-beard"/>
    <hyperlink ref="B278" r:id="rId275" display="https://striking-viking.com/en-ca/products/striking-viking-unscented-after-shave-balm-for-men-soothing-hydration-skin-care"/>
    <hyperlink ref="B279" r:id="rId276" display="https://striking-viking.com/products/striking-viking-sandalwood-shaving-cream-for-men-rich-lather-for-a-smooth-comfortable-shave"/>
    <hyperlink ref="B280" r:id="rId277" display="https://striking-viking.com/collections/trending-now"/>
    <hyperlink ref="B281" r:id="rId278" display="https://striking-viking.com/en-gb/products/striking-viking-unscented-after-shave-balm-for-men-soothing-hydration-skin-care"/>
    <hyperlink ref="B282" r:id="rId279" display="https://striking-viking.com/products/striking-viking-terra-sol-beard-balm-for-men-natural-beard-balm-with-shea-butter-jojoba"/>
    <hyperlink ref="B283" r:id="rId280" display="https://striking-viking.com/fr/collections/trending-now"/>
    <hyperlink ref="B284" r:id="rId281" display="https://striking-viking.com/es/collections/viking-beard-kits"/>
    <hyperlink ref="B285" r:id="rId282" display="https://striking-viking.com/fi/blogs/learn/unlock-your-beard-s-full-potential-beard-growth-kits-oils"/>
    <hyperlink ref="B286" r:id="rId283" display="https://striking-viking.com/fi/products/striking-viking-sandalwood-beard-growth-kit-with-biotin-oil-0-25mm-derma-roller"/>
    <hyperlink ref="B287" r:id="rId284" display="https://striking-viking.com/de/blogs/learn/unlock-your-beard-s-full-potential-beard-growth-kits-oils"/>
    <hyperlink ref="B288" r:id="rId285" display="https://striking-viking.com/products/ontaki-professional-thinning-texturizing-scissors-set-6-5-inch-japanese-alloy-steel"/>
    <hyperlink ref="B289" r:id="rId286" display="https://striking-viking.com/de/products/bartshampoo-und-spulung"/>
    <hyperlink ref="B290" r:id="rId287" display="https://striking-viking.com/products/striking-viking-blue-ocean-beard-balm-for-men-natural-beard-balm-with-shea-butter-jojoba"/>
    <hyperlink ref="B291" r:id="rId288" display="https://striking-viking.com/fr/blogs/learn/how-to-keep-your-tattoos-looking-bold-for-years-the-role-of-tattoo-balms"/>
    <hyperlink ref="B292" r:id="rId289" display="https://striking-viking.com/fr/products/striking-viking-beard-filler-pen-2-pack-dual-tip-waterproof-beard-pen-for-natural-beard-filling"/>
    <hyperlink ref="B293" r:id="rId290" display="https://striking-viking.com/fr/products/striking-viking-boar-bristle-beard-brush-for-men-natural-beech-wood-grooming-brush"/>
    <hyperlink ref="B294" r:id="rId291" display="https://striking-viking.com/de/collections/trending-now"/>
    <hyperlink ref="B295" r:id="rId292" display="https://striking-viking.com/es/blogs/learn/why-your-beard-needs-more-than-just-a-comb"/>
    <hyperlink ref="B296" r:id="rId293" display="https://striking-viking.com/blogs/learn/heads-shoulders-knees-and-toes-but-why-forget-the-beard"/>
    <hyperlink ref="B297" r:id="rId294" display="https://striking-viking.com/en-gb/blogs/learn/beard-oil-vs-beard-balm-solving-the-modern-problem-for-gentlemen-with-beards"/>
    <hyperlink ref="B298" r:id="rId295" display="https://striking-viking.com/sv/products/striking-viking-unscented-beard-shampoo-conditioner-set-natural-beard-care-for-men"/>
    <hyperlink ref="B299" r:id="rId296" display="https://striking-viking.com/products/ontaki-hair-thinning-shears-kit-7-inch-professional-hair-cutting-texturizing-set"/>
    <hyperlink ref="B300" r:id="rId297" display="https://striking-viking.com/fr/products/striking-viking-vanilla-beard-growth-kit-with-biotin-oil-0-25mm-derma-roller"/>
    <hyperlink ref="B301" r:id="rId298" display="https://striking-viking.com/en-ca/blogs/learn/all-you-need-to-know-about-beard-filler-pens"/>
    <hyperlink ref="B302" r:id="rId299" display="https://striking-viking.com/fi/blogs/learn/how-to-keep-your-tattoos-looking-bold-for-years-the-role-of-tattoo-balms"/>
    <hyperlink ref="B303" r:id="rId300" display="https://striking-viking.com/products/ontaki-german-steel-beard-mustache-scissors-professional-grooming-kit"/>
    <hyperlink ref="B304" r:id="rId301" display="https://striking-viking.com/fr/products/striking-viking-beard-filler-pencil-with-dual-tip-pen-brush-for-natural-beard-styling"/>
    <hyperlink ref="B305" r:id="rId302" display="https://striking-viking.com/es/blogs/learn/heads-shoulders-knees-and-toes-but-why-forget-the-beard"/>
    <hyperlink ref="B306" r:id="rId303" display="https://striking-viking.com/it/products/striking-viking-beard-shampoo-conditioner-cologne-argan-jojoba-oil"/>
    <hyperlink ref="B307" r:id="rId304" display="https://striking-viking.com/fr/products/striking-viking-sandalwood-beard-growth-kit-with-biotin-oil-0-25mm-derma-roller"/>
    <hyperlink ref="B308" r:id="rId305" display="https://striking-viking.com/en-gb/products/striking-viking-terra-sol-beard-balm-for-men-natural-beard-balm-with-shea-butter-jojoba"/>
    <hyperlink ref="B309" r:id="rId306" display="https://striking-viking.com/en-ca/blogs/learn/beard-oil-vs-beard-balm-solving-the-modern-problem-for-gentlemen-with-beards"/>
    <hyperlink ref="B310" r:id="rId307" display="https://striking-viking.com/fr/products/striking-viking-vanilla-beard-oil-balm-kit-for-soft-healthy-beard-care-for-men"/>
    <hyperlink ref="B311" r:id="rId308" display="https://striking-viking.com/fi/blogs/learn/all-you-need-to-know-about-beard-filler-pens"/>
    <hyperlink ref="B312" r:id="rId309" display="https://striking-viking.com/blogs/learn/beard-oil-vs-beard-balm-solving-the-modern-problem-for-gentlemen-with-beards"/>
    <hyperlink ref="B313" r:id="rId310" display="https://striking-viking.com/it/products/striking-viking-beard-filler-pencil-with-dual-tip-pen-brush-for-natural-beard-styling"/>
    <hyperlink ref="B314" r:id="rId311" display="https://striking-viking.com/en-gb/collections/trending-now"/>
    <hyperlink ref="B315" r:id="rId312" display="https://striking-viking.com/es/blogs/learn/how-to-keep-your-tattoos-looking-bold-for-years-the-role-of-tattoo-balms"/>
    <hyperlink ref="B316" r:id="rId313" display="https://striking-viking.com/products/charlemagne-original-hair-pomade-for-men-strong-hold-water-based-styling-pomade-100ml"/>
    <hyperlink ref="B317" r:id="rId314" display="https://striking-viking.com/it/blogs/learn/how-to-keep-your-tattoos-looking-bold-for-years-the-role-of-tattoo-balms"/>
    <hyperlink ref="B318" r:id="rId315" display="https://striking-viking.com/it/products/striking-viking-vanilla-beard-oil-balm-kit-for-soft-healthy-beard-care-for-men"/>
    <hyperlink ref="B319" r:id="rId316" display="https://striking-viking.com/en-ca/products/striking-viking-blue-ocean-beard-balm-for-men-natural-beard-balm-with-shea-butter-jojoba"/>
    <hyperlink ref="B320" r:id="rId317" display="https://striking-viking.com/de/products/striking-viking-boar-bristle-beard-brush-for-men-natural-beech-wood-grooming-brush"/>
    <hyperlink ref="B321" r:id="rId318" display="https://striking-viking.com/fr/blogs/learn/unlock-your-beard-s-full-potential-beard-growth-kits-oils"/>
    <hyperlink ref="B322" r:id="rId319" display="https://striking-viking.com/en-ca/products/charlemagne-carbon-wide-tooth-comb-for-men-heat-resistant-carbon-fiber-hair-comb"/>
    <hyperlink ref="B323" r:id="rId320" display="https://striking-viking.com/es/blogs/learn/unlock-your-beard-s-full-potential-beard-growth-kits-oils"/>
    <hyperlink ref="B324" r:id="rId321" display="https://striking-viking.com/en-ca/blogs/learn/heads-shoulders-knees-and-toes-but-why-forget-the-beard"/>
    <hyperlink ref="B325" r:id="rId322" display="https://striking-viking.com/it/products/striking-viking-bergamot-thunder-beard-oil-for-men-natural-beard-growth-oil-with-argan-jojoba"/>
    <hyperlink ref="B326" r:id="rId323" display="https://striking-viking.com/sv/blogs/learn/all-you-need-to-know-about-beard-filler-pens"/>
    <hyperlink ref="B327" r:id="rId324" display="https://striking-viking.com/products/ontaki-japanese-steel-beard-hair-scissors-5-5-inch-professional-grooming-shears"/>
    <hyperlink ref="B328" r:id="rId325" display="https://striking-viking.com/it/blogs/learn/unlock-your-beard-s-full-potential-beard-growth-kits-oils"/>
    <hyperlink ref="B329" r:id="rId326" display="https://striking-viking.com/de/products/striking-viking-beard-filler-pen-2-pack-dual-tip-waterproof-beard-pen-for-natural-beard-filling"/>
    <hyperlink ref="B330" r:id="rId327" display="https://striking-viking.com/de/blogs/learn/how-to-keep-your-tattoos-looking-bold-for-years-the-role-of-tattoo-balms"/>
    <hyperlink ref="B331" r:id="rId328" display="https://striking-viking.com/it/collections/trending-now"/>
    <hyperlink ref="B332" r:id="rId329" display="https://striking-viking.com/products/ontaki-japanese-steel-beard-mustache-scissors-5-5-inch-professional-grooming-kit"/>
    <hyperlink ref="B333" r:id="rId330" display="https://striking-viking.com/es/blogs/learn/beard-oil-vs-beard-balm-solving-the-modern-problem-for-gentlemen-with-beards"/>
    <hyperlink ref="B334" r:id="rId331" display="https://striking-viking.com/fi/blogs/learn/why-your-beard-needs-more-than-just-a-comb"/>
    <hyperlink ref="B335" r:id="rId332" display="https://striking-viking.com/es/collections/trending-now"/>
    <hyperlink ref="B336" r:id="rId333" display="https://striking-viking.com/fr/products/striking-viking-beard-balm-variety-4-pack-citrus-vanilla-cedarwood-sandalwood"/>
    <hyperlink ref="B337" r:id="rId334" display="https://striking-viking.com/it/products/striking-viking-vanilla-beard-growth-oil-with-biotin-castor-oil-for-fuller-beard-growth"/>
    <hyperlink ref="B338" r:id="rId335" display="https://striking-viking.com/products/ontaki-curved-fabric-scissors-6-5-inch-german-stainless-steel-embroidery-scissors"/>
    <hyperlink ref="B339" r:id="rId336" display="https://striking-viking.com/products/ontaki-japanese-steel-rounded-tip-beard-mustache-scissors-4-2-inch-grooming-kit"/>
    <hyperlink ref="B340" r:id="rId337" display="https://striking-viking.com/sv/blogs/learn/beard-oil-vs-beard-balm-solving-the-modern-problem-for-gentlemen-with-beards"/>
    <hyperlink ref="B341" r:id="rId338" display="https://striking-viking.com/fr-ca/collections/sprays"/>
    <hyperlink ref="B342" r:id="rId339" display="https://striking-viking.com/fr-ca/collections/beard-butter"/>
    <hyperlink ref="B343" r:id="rId340" display="https://striking-viking.com/fr-ca/products/striking-viking-mustache-wax-and-comb-kit"/>
    <hyperlink ref="B344" r:id="rId341" display="https://striking-viking.com/fr-ca/collections/bundles"/>
    <hyperlink ref="B345" r:id="rId342" display="https://striking-viking.com/fr-ca/collections/shaving"/>
    <hyperlink ref="B346" r:id="rId343" display="https://striking-viking.com/fr-ca/collections/combs"/>
    <hyperlink ref="B347" r:id="rId344" display="https://striking-viking.com/fr-ca/collections/best-sellers-grooming-kit"/>
    <hyperlink ref="B348" r:id="rId345" display="https://striking-viking.com/fr-ca/collections/beard-filler-pens"/>
    <hyperlink ref="B349" r:id="rId346" display="https://striking-viking.com/fr-ca/collections/scissors-ontaki"/>
    <hyperlink ref="B350" r:id="rId347" display="https://striking-viking.com/fr-ca/collections/beard-wash"/>
    <hyperlink ref="B351" r:id="rId348" display="https://striking-viking.com/fr-ca/collections/tattoo-aftercare"/>
    <hyperlink ref="B352" r:id="rId349" display="https://striking-viking.com/fr-ca/collections/after-shave-balm"/>
    <hyperlink ref="B353" r:id="rId350" display="https://striking-viking.com/fr-ca/collections/face-body"/>
    <hyperlink ref="B354" r:id="rId351" display="https://striking-viking.com/fr-ca/collections/combs-and-brushes"/>
    <hyperlink ref="B355" r:id="rId352" display="https://striking-viking.com/fr-ca/collections/powders"/>
    <hyperlink ref="B356" r:id="rId353" display="https://striking-viking.com/fr-ca/collections/brushes"/>
    <hyperlink ref="B357" r:id="rId354" display="https://striking-viking.com/fr-ca/collections/beard-growth-kits"/>
    <hyperlink ref="B358" r:id="rId355" display="https://striking-viking.com/fr-ca/pages/become-a-reseller"/>
    <hyperlink ref="B359" r:id="rId356" display="https://striking-viking.com/fr-ca/collections/beard-care"/>
    <hyperlink ref="B360" r:id="rId357" display="https://striking-viking.com/fr-ca/collections/beard-oil"/>
    <hyperlink ref="B361" r:id="rId358" display="https://striking-viking.com/fr-ca/collections/beard-balm"/>
    <hyperlink ref="B362" r:id="rId359" display="https://striking-viking.com/fr-ca/products/striking-viking-wooden-beard-care-caddy-board-only"/>
    <hyperlink ref="B363" r:id="rId360" display="https://striking-viking.com/fr-ca/products/striking-viking-sea-salt-hair-spray-strong-hold-citrus-texture-volume-beach-waves"/>
    <hyperlink ref="B364" r:id="rId361" display="https://striking-viking.com/fr-ca/products/striking-viking-beard-grooming-kit-with-toiletry-bag-8-piece-mens-grooming-set"/>
    <hyperlink ref="B365" r:id="rId362" display="https://striking-viking.com/fr-ca/products/striking-viking-beard-filler-pen-2-pack-waterproof-beard-pen-for-filling-gaps-covering-patches"/>
    <hyperlink ref="B366" r:id="rId363" display="https://striking-viking.com/fr-ca/products/striking-viking-beard-kit-caddy-complete-beard-grooming-kit"/>
    <hyperlink ref="B367" r:id="rId364" display="https://striking-viking.com/fr-ca/blogs/learn/grooming-kit-a-perfect-gift-for-the-modern-man"/>
    <hyperlink ref="B368" r:id="rId365" display="https://striking-viking.com/fr-ca/blogs/learn/beard-grooming-quintessential-regime-for-the-modern-man"/>
    <hyperlink ref="B369" r:id="rId366" display="https://striking-viking.com/fr-ca/blogs/learn/ride-the-wave-striking-viking-sea-salt-spray-for-effortless-men-s-style"/>
    <hyperlink ref="B370" r:id="rId367" display="https://striking-viking.com/fr/blogs/learn/16918829-the-ingredients-and-why-they-matter"/>
    <hyperlink ref="B371" r:id="rId368" display="https://striking-viking.com/en-ca/products/ontaki-japanese-steel-beard-hair-scissors-5-5-inch-professional-grooming-shears"/>
    <hyperlink ref="B372" r:id="rId369" display="https://striking-viking.com/fi/products/striking-viking-unscented-beard-oil-and-balm-kit-natural-beard-grooming-set-for-men"/>
    <hyperlink ref="B373" r:id="rId370" display="https://striking-viking.com/it/products/striking-viking-beard-growth-kit-with-beard-roller-vanilla-unscented-biotin-oils-for-men"/>
    <hyperlink ref="B374" r:id="rId371" display="https://striking-viking.com/no/products/striking-viking-sandalwood-beard-balm"/>
    <hyperlink ref="B375" r:id="rId372" display="https://striking-viking.com/fr-ca/products/striking-viking-sandalwood-shaving-cream-for-men-rich-lather-for-a-smooth-comfortable-shave"/>
    <hyperlink ref="B376" r:id="rId373" display="https://striking-viking.com/de/products/ontaki-curved-fabric-scissors-6-5-inch-german-stainless-steel-embroidery-scissors"/>
    <hyperlink ref="B377" r:id="rId374" display="https://striking-viking.com/fr-ca/products/striking-viking-peppermint-eucalyptus-beard-shampoo-conditioner-set-for-healthy-beard-care"/>
    <hyperlink ref="B378" r:id="rId375" display="https://striking-viking.com/de/blogs/learn/41241281-the-dude"/>
    <hyperlink ref="B379" r:id="rId376" display="https://striking-viking.com/en-gb/blogs/learn/41234689-brian-wilson"/>
    <hyperlink ref="B380" r:id="rId377" display="https://striking-viking.com/fi/products/ontaki-curved-fabric-scissors-6-5-inch-german-stainless-steel-embroidery-scissors"/>
    <hyperlink ref="B381" r:id="rId378" display="https://striking-viking.com/es/products/striking-viking-tea-tree-biotin-beard-wash-cologne-for-clean-fresh-healthy-beard-care"/>
    <hyperlink ref="B382" r:id="rId379" display="https://striking-viking.com/es/pages/beard-filler-pens"/>
    <hyperlink ref="B383" r:id="rId380" display="https://striking-viking.com/fr/products/striking-viking-beard-growth-mastery-bundle-with-sandalwood-vanilla-biotin-oils-and-derma-roller"/>
    <hyperlink ref="B384" r:id="rId381" display="https://striking-viking.com/es/products/striking-viking-unscented-after-shave-balm-for-men-soothing-hydration-skin-care"/>
    <hyperlink ref="B385" r:id="rId382" display="https://striking-viking.com/fr-ca/blogs/learn/how-to-use-beard-balm-properly-a-complete-guide"/>
    <hyperlink ref="B386" r:id="rId383" display="https://striking-viking.com/no/collections/featured-products"/>
    <hyperlink ref="B387" r:id="rId384" display="https://striking-viking.com/es/products/charlemagne-round-hair-brush-for-men-professional-styling-brush-for-volume-blow-drying"/>
    <hyperlink ref="B388" r:id="rId385" display="https://striking-viking.com/no/products/ontaki-curved-fabric-scissors-6-5-inch-german-stainless-steel-embroidery-scissors"/>
    <hyperlink ref="B389" r:id="rId386" display="https://striking-viking.com/fr-ca/blogs/learn/striking-viking-beard-comb-for-routine-beard-management"/>
    <hyperlink ref="B390" r:id="rId387" display="https://striking-viking.com/fi/products/striking-viking-beard-balm-variety-4-pack-citrus-vanilla-cedarwood-sandalwood"/>
    <hyperlink ref="B391" r:id="rId388" display="https://striking-viking.com/it/collections/beard-essentials"/>
    <hyperlink ref="B392" r:id="rId389" display="https://striking-viking.com/fr-ca/products/striking-viking-vanilla-beard-oil-with-natural-organic-oils-for-soft-healthy-beard-care"/>
    <hyperlink ref="B393" r:id="rId390" display="https://striking-viking.com/blogs/learn/essential-grooming-supplies-for-the-bearded-man"/>
    <hyperlink ref="B394" r:id="rId391" display="https://striking-viking.com/fr-ca/blogs/learn/why-your-beard-needs-more-than-just-a-comb"/>
    <hyperlink ref="B395" r:id="rId392" display="https://striking-viking.com/no/blogs/learn/why-your-beard-needs-more-than-just-a-comb"/>
    <hyperlink ref="B396" r:id="rId393" display="https://striking-viking.com/it/blogs/learn/top-10-beard-costumes-for-halloween"/>
    <hyperlink ref="B397" r:id="rId394" display="https://striking-viking.com/no/products/hair-fiber-men"/>
    <hyperlink ref="B398" r:id="rId395" display="https://striking-viking.com/fr-ca/products/striking-viking-biotin-beard-growth-oil-for-men-unscented-beard-growth-serum"/>
    <hyperlink ref="B399" r:id="rId396" display="https://striking-viking.com/fi/blogs/learn/16918829-the-ingredients-and-why-they-matter"/>
    <hyperlink ref="B400" r:id="rId397" display="https://striking-viking.com/sv/blogs/learn/46928577-tips-to-protect-your-beard-from-the-cold"/>
    <hyperlink ref="B401" r:id="rId398" display="https://striking-viking.com/es/products/striking-viking-beard-growth-kit-with-beard-roller-vanilla-unscented-biotin-oils-for-men"/>
    <hyperlink ref="B402" r:id="rId399" display="https://striking-viking.com/blogs/learn/46928577-tips-to-protect-your-beard-from-the-cold"/>
    <hyperlink ref="B403" r:id="rId400" display="https://striking-viking.com/es/products/striking-viking-hair-styling-powder-for-men-light-hold-vanilla-natural-volume-texture"/>
    <hyperlink ref="B404" r:id="rId401" display="https://striking-viking.com/fr-ca/products/ontaki-german-steel-beard-mustache-scissors-professional-grooming-kit"/>
    <hyperlink ref="B405" r:id="rId402" display="https://striking-viking.com/it/products/striking-viking-unscented-beard-butter-for-moisturizing-softening-daily-beard-care"/>
    <hyperlink ref="B406" r:id="rId403" display="https://striking-viking.com/products/charlemagne-carbon-hair-comb-for-men-professional-heat-resistant-styling-detangling-comb"/>
    <hyperlink ref="B407" r:id="rId404" display="https://striking-viking.com/fr-ca/products/striking-viking-unscented-beard-shampoo-conditioner-set-natural-beard-care-for-men"/>
    <hyperlink ref="B408" r:id="rId405" display="https://striking-viking.com/en-gb/products/ontaki-duckbill-applique-scissors-4-5-inch-carbon-steel-fabric-thread-cutting-scissors"/>
    <hyperlink ref="B409" r:id="rId406" display="https://striking-viking.com/fr-ca/products/carbon-hair-comb"/>
    <hyperlink ref="B410" r:id="rId407" display="https://striking-viking.com/en-ca/blogs/learn/41234689-brian-wilson"/>
    <hyperlink ref="B411" r:id="rId408" display="https://striking-viking.com/fr-ca/blogs/learn/grooming-products-to-pamper-your-beard-flyaway"/>
    <hyperlink ref="B412" r:id="rId409" display="https://striking-viking.com/fr/products/striking-viking-unscented-after-shave-balm-for-men-soothing-hydration-skin-care"/>
    <hyperlink ref="B413" r:id="rId410" display="https://striking-viking.com/es/products/ontaki-beard-mustache-scissors-with-finger-rest-5-inch-german-steel-grooming-kit"/>
    <hyperlink ref="B414" r:id="rId411" display="https://striking-viking.com/fi/blogs/learn/essential-grooming-supplies-for-the-bearded-man"/>
    <hyperlink ref="B415" r:id="rId412" display="https://striking-viking.com/en-ca/products/charlemagne-round-hair-brush-for-men-professional-styling-brush-for-volume-blow-drying"/>
    <hyperlink ref="B416" r:id="rId413" display="https://striking-viking.com/fr/products/striking-viking-unscented-beard-oil-natural-organic-beard-care"/>
    <hyperlink ref="B417" r:id="rId414" display="https://striking-viking.com/fr-ca/products/striking-viking-beard-growth-oil-with-biotin-sandalwood"/>
    <hyperlink ref="B418" r:id="rId415" display="https://striking-viking.com/it/products/striking-viking-vanilla-beard-balm-2-pack-with-natural-organic-ingredients-for-beard-styling"/>
    <hyperlink ref="B419" r:id="rId416" display="https://striking-viking.com/sv/products/striking-viking-hair-styling-powder-for-men-light-hold-vanilla-natural-volume-texture"/>
    <hyperlink ref="B420" r:id="rId417" display="https://striking-viking.com/de/products/bartwasche-pfefferminze"/>
    <hyperlink ref="B421" r:id="rId418" display="https://striking-viking.com/de/products/bartwaschmittel"/>
    <hyperlink ref="B422" r:id="rId419" display="https://striking-viking.com/no/products/striking-viking-unscented-after-shave-balm-for-men-soothing-hydration-skin-care"/>
    <hyperlink ref="B423" r:id="rId420" display="https://striking-viking.com/es/products/striking-viking-beard-growth-oil-with-biotin-sandalwood"/>
    <hyperlink ref="B424" r:id="rId421" display="https://striking-viking.com/es/products/ontaki-curved-fabric-scissors-6-5-inch-german-stainless-steel-embroidery-scissors"/>
    <hyperlink ref="B425" r:id="rId422" display="https://striking-viking.com/de/blogs/learn/what-are-the-best-beard-scissors-for-precision-grooming"/>
    <hyperlink ref="B426" r:id="rId423" display="https://striking-viking.com/fr-ca/products/ontaki-japanese-steel-beard-hair-scissors-5-5-inch-professional-grooming-shears"/>
    <hyperlink ref="B427" r:id="rId424" display="https://striking-viking.com/it/products/carbon-wide-tooth-comb"/>
    <hyperlink ref="B428" r:id="rId425" display="https://striking-viking.com/en-ca/blogs/learn/scented-beard-oil-by-striking-viking"/>
    <hyperlink ref="B429" r:id="rId426" display="https://striking-viking.com/en-ca/products/charlemagne-original-hair-pomade-for-men-strong-hold-water-based-styling-pomade-100ml"/>
    <hyperlink ref="B430" r:id="rId427" display="https://striking-viking.com/it/products/charlemagne-carbon-hair-comb-for-men-professional-heat-resistant-styling-detangling-comb"/>
    <hyperlink ref="B431" r:id="rId428" display="https://striking-viking.com/es/products/striking-viking-folding-wooden-beard-comb-for-men-anti-static-sandalwood-grooming-comb"/>
    <hyperlink ref="B432" r:id="rId429" display="https://striking-viking.com/no/blogs/learn/the-ultimate-beard-growth-routine-for-a-thicker-healthier-beard-2026-guide"/>
    <hyperlink ref="B433" r:id="rId430" display="https://striking-viking.com/no/blogs/learn/beard-oil-vs-beard-balm-solving-the-modern-problem-for-gentlemen-with-beards"/>
    <hyperlink ref="B434" r:id="rId431" display="https://striking-viking.com/it/collections/featured-products"/>
    <hyperlink ref="B435" r:id="rId432" display="https://striking-viking.com/no/products/striking-viking-hair-styling-powder-for-men-light-hold-vanilla-natural-volume-texture"/>
    <hyperlink ref="B436" r:id="rId433" display="https://striking-viking.com/it/products/striking-viking-citrus-beard-oil"/>
    <hyperlink ref="B437" r:id="rId434" display="https://striking-viking.com/en-gb/products/ontaki-professional-thinning-texturizing-scissors-set-6-5-inch-japanese-alloy-steel"/>
    <hyperlink ref="B438" r:id="rId435" display="https://striking-viking.com/es/products/striking-viking-cedarwood-beard-balm"/>
    <hyperlink ref="B439" r:id="rId436" display="https://striking-viking.com/it/products/striking-viking-cedarwood-beard-balm"/>
    <hyperlink ref="B440" r:id="rId437" display="https://striking-viking.com/fr/products/striking-viking-hybrid-beard-growth-bundle-with-sandalwood-unscented-beard-oils-and-derma-roller"/>
    <hyperlink ref="B441" r:id="rId438" display="https://striking-viking.com/es/products/striking-viking-beard-filler-pencil-with-dual-tip-pen-brush-for-natural-beard-styling"/>
    <hyperlink ref="B442" r:id="rId439" display="https://striking-viking.com/en-ca/products/ontaki-japanese-steel-rounded-tip-beard-mustache-scissors-4-2-inch-grooming-kit"/>
    <hyperlink ref="B443" r:id="rId440" display="https://striking-viking.com/it/products/striking-viking-unscented-beard-oil-and-balm-kit-natural-beard-grooming-set-for-men"/>
    <hyperlink ref="B444" r:id="rId441" display="https://striking-viking.com/es/products/striking-viking-sandalwood-beard-oil-balm-kit-for-soft-healthy-beard-care-for-men"/>
    <hyperlink ref="B445" r:id="rId442" display="https://striking-viking.com/it/blogs/learn/tame-the-wild-meet-the-striking-viking-sandalwood-beard-comb"/>
    <hyperlink ref="B446" r:id="rId443" display="https://striking-viking.com/no/products/striking-viking-beard-filler-pen-2-pack-dual-tip-waterproof-beard-pen-for-natural-beard-filling"/>
    <hyperlink ref="B447" r:id="rId444" display="https://striking-viking.com/fr/blogs/learn/heads-shoulders-knees-and-toes-but-why-forget-the-beard"/>
    <hyperlink ref="B448" r:id="rId445" display="https://striking-viking.com/de/blogs/learn/essential-grooming-supplies-for-the-bearded-man"/>
    <hyperlink ref="B449" r:id="rId446" display="https://striking-viking.com/sv/products/hair-fiber-men"/>
    <hyperlink ref="B450" r:id="rId447" display="https://striking-viking.com/it/products/charlemagne-round-hair-brush-for-men-professional-styling-brush-for-volume-blow-drying"/>
    <hyperlink ref="B451" r:id="rId448" display="https://striking-viking.com/it/blogs/learn/46928577-tips-to-protect-your-beard-from-the-cold"/>
    <hyperlink ref="B452" r:id="rId449" display="https://striking-viking.com/de/collections/featured-products"/>
    <hyperlink ref="B453" r:id="rId450" display="https://striking-viking.com/fr-ca/products/striking-viking-boar-bristle-beard-brush-for-men-natural-beech-wood-grooming-brush"/>
    <hyperlink ref="B454" r:id="rId451" display="https://striking-viking.com/en-ca/blogs/learn/46928577-tips-to-protect-your-beard-from-the-cold"/>
    <hyperlink ref="B455" r:id="rId452" display="https://striking-viking.com/es/products/striking-viking-beard-oil-variety-4-pack-citrus-vanilla-cedarwood-sandalwood"/>
    <hyperlink ref="B456" r:id="rId453" display="https://striking-viking.com/fi/products/striking-viking-sandalwood-beard-shampoo-for-clean-healthy-soft-beard-care-for-men"/>
    <hyperlink ref="B457" r:id="rId454" display="https://striking-viking.com/it/blogs/learn/16918829-the-ingredients-and-why-they-matter"/>
    <hyperlink ref="B458" r:id="rId455" display="https://striking-viking.com/es/blogs/learn/how-to-use-beard-balm-properly-a-complete-guide"/>
    <hyperlink ref="B459" r:id="rId456" display="https://striking-viking.com/it/blogs/learn/beard-grooming-tools-for-professional-styling-at-home"/>
    <hyperlink ref="B460" r:id="rId457" display="https://striking-viking.com/sv/blogs/learn/top-10-beard-costumes-for-halloween"/>
    <hyperlink ref="B461" r:id="rId458" display="https://striking-viking.com/fr-ca/products/striking-viking-tea-tree-biotin-beard-shampoo-conditioner-set-for-healthy-beard-care"/>
    <hyperlink ref="B462" r:id="rId459" display="https://striking-viking.com/de/blogs/learn/grooming-products-to-pamper-your-beard-flyaway"/>
    <hyperlink ref="B463" r:id="rId460" display="https://striking-viking.com/en-gb/products/ontaki-facial-hair-grooming-scissors-2-pack-precision-beard-nose-mustache-trimming"/>
    <hyperlink ref="B464" r:id="rId461" display="https://striking-viking.com/es/products/striking-viking-boar-bristle-beard-brush-for-men-natural-beech-wood-grooming-brush"/>
    <hyperlink ref="B465" r:id="rId462" display="https://striking-viking.com/it/products/charlemagne-original-hair-pomade-for-men-strong-hold-water-based-styling-pomade-100ml"/>
    <hyperlink ref="B466" r:id="rId463" display="https://striking-viking.com/fi/blogs/learn/the-ultimate-guide-to-grooming-with-ontaki-scissors"/>
    <hyperlink ref="B467" r:id="rId464" display="https://striking-viking.com/fr-ca/blogs/learn/top-10-beard-costumes-for-halloween"/>
    <hyperlink ref="B468" r:id="rId465" display="https://striking-viking.com/de/blogs/learn/elevate-your-look-pomade"/>
    <hyperlink ref="B469" r:id="rId466" display="https://striking-viking.com/de/products/carbon-wide-tooth-comb"/>
    <hyperlink ref="B470" r:id="rId467" display="https://striking-viking.com/fr-ca/collections/trending-now"/>
    <hyperlink ref="B471" r:id="rId468" display="https://striking-viking.com/fi/products/striking-viking-bergamot-thunder-beard-oil-for-men-natural-beard-growth-oil-with-argan-jojoba"/>
    <hyperlink ref="B472" r:id="rId469" display="https://striking-viking.com/en-ca/blogs/learn/16918829-the-ingredients-and-why-they-matter"/>
    <hyperlink ref="B473" r:id="rId470" display="https://striking-viking.com/blogs/learn/41241281-the-dude"/>
    <hyperlink ref="B474" r:id="rId471" display="https://striking-viking.com/de/blogs/learn/striking-viking-beard-comb-for-routine-beard-management"/>
    <hyperlink ref="B475" r:id="rId472" display="https://striking-viking.com/es/blogs/learn/41234689-brian-wilson"/>
    <hyperlink ref="B476" r:id="rId473" display="https://striking-viking.com/no/collections/trending-now"/>
    <hyperlink ref="B477" r:id="rId474" display="https://striking-viking.com/fr/blogs/learn/beard-oil-vs-beard-balm-solving-the-modern-problem-for-gentlemen-with-beards"/>
    <hyperlink ref="B478" r:id="rId475" display="https://striking-viking.com/no/blogs/learn/41234689-brian-wilson"/>
    <hyperlink ref="B479" r:id="rId476" display="https://striking-viking.com/fr/blogs/learn/grooming-products-to-pamper-your-beard-flyaway"/>
    <hyperlink ref="B480" r:id="rId477" display="https://striking-viking.com/fr/products/striking-viking-citrus-beard-balm"/>
    <hyperlink ref="B481" r:id="rId478" display="https://striking-viking.com/fr/products/ontaki-facial-hair-grooming-scissors-2-pack-precision-beard-nose-mustache-trimming"/>
    <hyperlink ref="B482" r:id="rId479" display="https://striking-viking.com/fr/blogs/learn/why-your-beard-needs-more-than-just-a-comb"/>
    <hyperlink ref="B483" r:id="rId480" display="https://striking-viking.com/it/products/carbon-hair-comb"/>
    <hyperlink ref="B484" r:id="rId481" display="https://striking-viking.com/fr-ca/blogs/learn/46928577-tips-to-protect-your-beard-from-the-cold"/>
    <hyperlink ref="B485" r:id="rId482" display="https://striking-viking.com/en-gb/blogs/learn/scented-beard-oil-by-striking-viking"/>
    <hyperlink ref="B486" r:id="rId483" display="https://striking-viking.com/fr/products/beard-growth-butter-with-biotin-4-oz-blue-ocean"/>
    <hyperlink ref="B487" r:id="rId484" display="https://striking-viking.com/es/blogs/learn/46928577-tips-to-protect-your-beard-from-the-cold"/>
    <hyperlink ref="B488" r:id="rId485" display="https://striking-viking.com/blogs/learn/41234689-brian-wilson"/>
    <hyperlink ref="B489" r:id="rId486" display="https://striking-viking.com/es/products/striking-viking-vanilla-beard-oil-balm-kit-for-soft-healthy-beard-care-for-men"/>
    <hyperlink ref="B490" r:id="rId487" display="https://striking-viking.com/en-ca/products/striking-viking-hair-styling-powder-for-men-light-hold-vanilla-natural-volume-texture"/>
    <hyperlink ref="B491" r:id="rId488" display="https://striking-viking.com/es/collections/featured-products"/>
    <hyperlink ref="B492" r:id="rId489" display="https://striking-viking.com/es/products/hair-fiber-men"/>
    <hyperlink ref="B493" r:id="rId490" display="https://striking-viking.com/fr-ca/products/ontaki-beard-mustache-scissors-with-finger-rest-5-inch-german-steel-grooming-kit"/>
    <hyperlink ref="B494" r:id="rId491" display="https://striking-viking.com/fr-ca/products/striking-viking-vanilla-beard-oil-balm-kit-for-soft-healthy-beard-care-for-men"/>
    <hyperlink ref="B495" r:id="rId492" display="https://striking-viking.com/fr-ca/blogs/learn/41234689-brian-wilson"/>
    <hyperlink ref="B496" r:id="rId493" display="https://striking-viking.com/fr-ca/products/striking-viking-unscented-beard-butter-for-moisturizing-softening-daily-beard-care"/>
    <hyperlink ref="B497" r:id="rId494" display="https://striking-viking.com/fr/blogs/learn/top-10-beard-costumes-for-halloween"/>
    <hyperlink ref="B498" r:id="rId495" display="https://striking-viking.com/fr/blogs/learn/41241281-the-dude"/>
    <hyperlink ref="B499" r:id="rId496" display="https://striking-viking.com/it/products/ontaki-japanese-steel-beard-hair-scissors-5-5-inch-professional-grooming-shears"/>
    <hyperlink ref="B500" r:id="rId497" display="https://striking-viking.com/fr/products/striking-viking-beard-growth-kit-with-beard-roller-vanilla-unscented-biotin-oils-for-men"/>
    <hyperlink ref="B501" r:id="rId498" display="https://striking-viking.com/es/products/charlemagne-original-hair-pomade-for-men-strong-hold-water-based-styling-pomade-100ml"/>
    <hyperlink ref="B502" r:id="rId499" display="https://striking-viking.com/it/products/striking-viking-tea-tree-biotin-beard-shampoo-for-clean-healthy-soft-beard-care-for-men"/>
    <hyperlink ref="B503" r:id="rId500" display="https://striking-viking.com/fr-ca/pages/beard-filler-pens"/>
    <hyperlink ref="B504" r:id="rId501" display="https://striking-viking.com/fr-ca/products/beard-growth-balm-with-biotin-2-oz-blue-ocean"/>
    <hyperlink ref="B505" r:id="rId502" display="https://striking-viking.com/fr/blogs/learn/essential-grooming-supplies-for-the-bearded-man"/>
    <hyperlink ref="B506" r:id="rId503" display="https://striking-viking.com/fr/products/ontaki-beard-mustache-scissors-with-finger-rest-5-inch-german-steel-grooming-kit"/>
    <hyperlink ref="B507" r:id="rId504" display="https://striking-viking.com/it/products/ontaki-german-steel-beard-mustache-scissors-professional-grooming-kit"/>
    <hyperlink ref="B508" r:id="rId505" display="https://striking-viking.com/fi/products/hair-fiber-men"/>
    <hyperlink ref="B509" r:id="rId506" display="https://striking-viking.com/fi/products/striking-viking-sandalwood-after-shave-balm-for-men-soothing-hydration-skin-care"/>
    <hyperlink ref="B510" r:id="rId507" display="https://striking-viking.com/fr-ca/products/striking-viking-sandalwood-beard-butter-for-soft-hydrated-healthy-beard-care-for-men"/>
    <hyperlink ref="B511" r:id="rId508" display="https://striking-viking.com/de/blogs/learn/beard-grooming-tools-for-professional-styling-at-home"/>
    <hyperlink ref="B512" r:id="rId509" display="https://striking-viking.com/en-ca/products/ontaki-german-steel-beard-mustache-scissors-professional-grooming-kit"/>
    <hyperlink ref="B513" r:id="rId510" display="https://striking-viking.com/fr/collections/subscribe-save"/>
    <hyperlink ref="B514" r:id="rId511" display="https://striking-viking.com/fr/products/striking-viking-vanilla-beard-oil-with-natural-organic-oils-for-soft-healthy-beard-care"/>
    <hyperlink ref="B515" r:id="rId512" display="https://striking-viking.com/en-gb/blogs/learn/41241281-the-dude"/>
    <hyperlink ref="B516" r:id="rId513" display="https://striking-viking.com/fr-ca/products/striking-viking-vanilla-beard-growth-kit-with-biotin-oil-0-25mm-derma-roller"/>
    <hyperlink ref="B517" r:id="rId514" display="https://striking-viking.com/sv/pages/beard-filler-pens"/>
    <hyperlink ref="B518" r:id="rId515" display="https://striking-viking.com/es/products/ontaki-japanese-steel-beard-hair-scissors-5-5-inch-professional-grooming-shears"/>
    <hyperlink ref="B519" r:id="rId516" display="https://striking-viking.com/no/blogs/learn/how-to-use-beard-balm-properly-a-complete-guide"/>
    <hyperlink ref="B520" r:id="rId517" display="https://striking-viking.com/fr-ca/products/striking-viking-beard-filler-pen-2-pack-dual-tip-waterproof-beard-pen-for-natural-beard-filling"/>
    <hyperlink ref="B521" r:id="rId518" display="https://striking-viking.com/fr-ca/blogs/learn/how-to-choose-the-right-hair-cutting-scissors-for-home-or-salon-use"/>
    <hyperlink ref="B522" r:id="rId519" display="https://striking-viking.com/fr/products/striking-viking-sandalwood-beard-oil-balm-kit-for-soft-healthy-beard-care-for-men"/>
    <hyperlink ref="B523" r:id="rId520" display="https://striking-viking.com/en-gb/products/ontaki-curved-fabric-scissors-6-5-inch-german-stainless-steel-embroidery-scissors"/>
    <hyperlink ref="B524" r:id="rId521" display="https://striking-viking.com/en-gb/products/charlemagne-round-hair-brush-for-men-professional-styling-brush-for-volume-blow-drying"/>
    <hyperlink ref="B525" r:id="rId522" display="https://striking-viking.com/de/products/aftershave-balsam-fur-manner-vanille"/>
    <hyperlink ref="B526" r:id="rId523" display="https://striking-viking.com/fi/products/striking-viking-battle-ready-beard-care-kit-with-beard-oils-balms-beard-filler-pen"/>
    <hyperlink ref="B527" r:id="rId524" display="https://striking-viking.com/de/blogs/learn/41234689-brian-wilson"/>
    <hyperlink ref="B528" r:id="rId525" display="https://striking-viking.com/en-gb/products/ontaki-japanese-steel-rounded-tip-beard-mustache-scissors-4-2-inch-grooming-kit"/>
    <hyperlink ref="B529" r:id="rId526" display="https://striking-viking.com/es/products/striking-viking-vanilla-beard-balm"/>
    <hyperlink ref="B530" r:id="rId527" display="https://striking-viking.com/no/products/striking-viking-tea-tree-biotin-beard-wash-cologne-for-clean-fresh-healthy-beard-care"/>
    <hyperlink ref="B531" r:id="rId528" display="https://striking-viking.com/no/blogs/learn/46928577-tips-to-protect-your-beard-from-the-cold"/>
    <hyperlink ref="B532" r:id="rId529" display="https://striking-viking.com/es/products/striking-viking-beard-growth-mastery-bundle-with-sandalwood-vanilla-biotin-oils-and-derma-roller"/>
    <hyperlink ref="B533" r:id="rId530" display="https://striking-viking.com/fr/products/striking-viking-cedarwood-beard-balm"/>
    <hyperlink ref="B534" r:id="rId531" display="https://striking-viking.com/it/blogs/learn/essential-grooming-supplies-for-the-bearded-man"/>
    <hyperlink ref="B535" r:id="rId532" display="https://striking-viking.com/fi/blogs/learn/top-10-beard-costumes-for-halloween"/>
    <hyperlink ref="B536" r:id="rId533" display="https://striking-viking.com/fr/products/ontaki-german-steel-beard-mustache-scissors-professional-grooming-kit"/>
    <hyperlink ref="B537" r:id="rId534" display="https://striking-viking.com/es/products/striking-viking-beard-filler-pen-2-pack-dual-tip-waterproof-beard-pen-for-natural-beard-filling"/>
    <hyperlink ref="B538" r:id="rId535" display="https://striking-viking.com/es/blogs/learn/grooming-products-to-pamper-your-beard-flyaway"/>
    <hyperlink ref="B539" r:id="rId536" display="https://striking-viking.com/fr/products/striking-viking-sandalwood-beard-butter-for-soft-hydrated-healthy-beard-care-for-men"/>
    <hyperlink ref="B540" r:id="rId537" display="https://striking-viking.com/it/blogs/learn/41234689-brian-wilson"/>
    <hyperlink ref="B541" r:id="rId538" display="https://striking-viking.com/es/products/striking-viking-sandalwood-beard-balm"/>
    <hyperlink ref="B542" r:id="rId539" display="https://striking-viking.com/es/products/striking-viking-vanilla-beard-oil-with-natural-organic-oils-for-soft-healthy-beard-care"/>
    <hyperlink ref="B543" r:id="rId540" display="https://striking-viking.com/en-ca/blogs/learn/the-ultimate-beard-growth-routine-for-a-thicker-healthier-beard-2026-guide"/>
    <hyperlink ref="B544" r:id="rId541" display="https://striking-viking.com/fr/collections/featured-products"/>
    <hyperlink ref="B545" r:id="rId542" display="https://striking-viking.com/fr/collections/beard-essentials"/>
    <hyperlink ref="B546" r:id="rId543" display="https://striking-viking.com/fr-ca/blogs/learn/16918829-the-ingredients-and-why-they-matter"/>
    <hyperlink ref="B547" r:id="rId544" display="https://striking-viking.com/fr/blogs/learn/tame-the-wild-meet-the-striking-viking-sandalwood-beard-comb"/>
    <hyperlink ref="B548" r:id="rId545" display="https://striking-viking.com/products/charlemagne-round-hair-brush-for-men-professional-styling-brush-for-volume-blow-drying"/>
    <hyperlink ref="B549" r:id="rId546" display="https://striking-viking.com/fr-ca/products/striking-viking-beard-shampoo-with-natural-peppermint-eucalyptus-for-refreshing-beard-care"/>
    <hyperlink ref="B550" r:id="rId547" display="https://striking-viking.com/fi/products/striking-viking-sandalwood-beard-butter-for-soft-hydrated-healthy-beard-care-for-men"/>
    <hyperlink ref="B551" r:id="rId548" display="https://striking-viking.com/en-ca/blogs/learn/essential-grooming-supplies-for-the-bearded-man"/>
    <hyperlink ref="B552" r:id="rId549" display="https://striking-viking.com/fr/products/striking-viking-unscented-beard-oil-and-balm-kit-natural-beard-grooming-set-for-men"/>
    <hyperlink ref="B553" r:id="rId550" display="https://striking-viking.com/fr-ca/products/striking-viking-beard-growth-power-kit-with-biotin-beard-oil-shampoo-derma-roller"/>
    <hyperlink ref="B554" r:id="rId551" display="https://striking-viking.com/fr-ca/products/striking-viking-beard-filler-pencil-with-dual-tip-pen-brush-for-natural-beard-styling"/>
    <hyperlink ref="B555" r:id="rId552" display="https://striking-viking.com/fi/products/striking-viking-sandalwood-beard-balm"/>
    <hyperlink ref="B556" r:id="rId553" display="https://striking-viking.com/sv/products/striking-viking-citrus-beard-oil"/>
    <hyperlink ref="B557" r:id="rId554" display="https://striking-viking.com/en-gb/blogs/learn/16918829-the-ingredients-and-why-they-matter"/>
    <hyperlink ref="B558" r:id="rId555" display="https://striking-viking.com/en-gb/products/ontaki-japanese-steel-beard-mustache-scissors-5-5-inch-professional-grooming-kit"/>
    <hyperlink ref="B559" r:id="rId556" display="https://striking-viking.com/fr-ca/products/striking-viking-tea-tree-biotin-beard-wash-cologne-for-clean-fresh-healthy-beard-care"/>
    <hyperlink ref="B560" r:id="rId557" display="https://striking-viking.com/es/products/striking-viking-unscented-beard-oil-natural-organic-beard-care"/>
    <hyperlink ref="B561" r:id="rId558" display="https://striking-viking.com/es/products/striking-viking-beard-growth-power-kit-with-biotin-beard-oil-shampoo-derma-roller"/>
    <hyperlink ref="B562" r:id="rId559" display="https://striking-viking.com/en-gb/blogs/learn/46928577-tips-to-protect-your-beard-from-the-cold"/>
    <hyperlink ref="B563" r:id="rId560" display="https://striking-viking.com/fi/collections/esitellyt-tuotteet"/>
    <hyperlink ref="B564" r:id="rId561" display="https://striking-viking.com/fr-ca/blogs/learn/what-are-the-best-beard-scissors-for-precision-grooming"/>
    <hyperlink ref="B565" r:id="rId562" display="https://striking-viking.com/fr/products/striking-viking-sandalwood-beard-growth-bundle-with-titanium-derma-roller-beard-growth-serum"/>
    <hyperlink ref="B566" r:id="rId563" display="https://striking-viking.com/fr-ca/blogs/learn/beard-oil-vs-beard-balm-solving-the-modern-problem-for-gentlemen-with-beards"/>
    <hyperlink ref="B567" r:id="rId564" display="https://striking-viking.com/de/blogs/learn/why-your-beard-needs-more-than-just-a-comb"/>
    <hyperlink ref="B568" r:id="rId565" display="https://striking-viking.com/products/charlemagne-carbon-wide-tooth-comb-for-men-heat-resistant-carbon-fiber-hair-comb"/>
    <hyperlink ref="B569" r:id="rId566" display="https://striking-viking.com/es/collections/subscribe-save"/>
    <hyperlink ref="B570" r:id="rId567" display="https://striking-viking.com/fi/products/striking-viking-vanilla-beard-oil-balm-kit-for-soft-healthy-beard-care-for-men"/>
    <hyperlink ref="B571" r:id="rId568" display="https://striking-viking.com/es/blogs/learn/scented-beard-oil-by-striking-viking"/>
    <hyperlink ref="B572" r:id="rId569" display="https://striking-viking.com/fr-ca/products/striking-viking-hair-styling-powder-for-men-light-hold-vanilla-natural-volume-texture"/>
    <hyperlink ref="B573" r:id="rId570" display="https://striking-viking.com/fr/products/carbon-hair-comb"/>
    <hyperlink ref="B574" r:id="rId571" display="https://striking-viking.com/es/collections/beard-essentials"/>
    <hyperlink ref="B575" r:id="rId572" display="https://striking-viking.com/es/products/striking-viking-sandalwood-beard-oil"/>
    <hyperlink ref="B576" r:id="rId573" display="https://striking-viking.com/fr-ca/products/striking-viking-sandalwood-beard-growth-bundle-with-titanium-derma-roller-beard-growth-serum"/>
    <hyperlink ref="B577" r:id="rId574" display="https://striking-viking.com/es/blogs/learn/what-are-the-best-beard-scissors-for-precision-grooming"/>
    <hyperlink ref="B578" r:id="rId575" display="https://striking-viking.com/fr/blogs/learn/the-ultimate-guide-to-grooming-with-ontaki-scissors"/>
    <hyperlink ref="B579" r:id="rId576" display="https://striking-viking.com/fi/blogs/learn/beard-grooming-tools-for-professional-styling-at-home"/>
    <hyperlink ref="B580" r:id="rId577" display="https://striking-viking.com/es/products/striking-viking-unscented-beard-balm-natural-beard-styling-conditioning"/>
    <hyperlink ref="B581" r:id="rId578" display="https://striking-viking.com/it/products/striking-viking-unscented-beard-shampoo-conditioner-set-natural-beard-care-for-men"/>
    <hyperlink ref="B582" r:id="rId579" display="https://striking-viking.com/fr/products/charlemagne-carbon-hair-comb-for-men-professional-heat-resistant-styling-detangling-comb"/>
    <hyperlink ref="B583" r:id="rId580" display="https://striking-viking.com/fr/products/striking-viking-sandalwood-shaving-cream-for-men-rich-lather-for-a-smooth-comfortable-shave"/>
    <hyperlink ref="B584" r:id="rId581" display="https://striking-viking.com/de/products/striking-viking-hair-styling-powder-for-men-light-hold-vanilla-natural-volume-texture"/>
    <hyperlink ref="B585" r:id="rId582" display="https://striking-viking.com/fr/blogs/learn/striking-viking-beard-comb-for-routine-beard-management"/>
    <hyperlink ref="B586" r:id="rId583" display="https://striking-viking.com/products/ontaki-duckbill-applique-scissors-4-5-inch-carbon-steel-fabric-thread-cutting-scissors"/>
    <hyperlink ref="B587" r:id="rId584" display="https://striking-viking.com/it/products/striking-viking-unscented-beard-oil-natural-organic-beard-care"/>
    <hyperlink ref="B588" r:id="rId585" display="https://striking-viking.com/it/products/striking-viking-sandalwood-shaving-cream-for-men-rich-lather-for-a-smooth-comfortable-shave"/>
    <hyperlink ref="B589" r:id="rId586" display="https://striking-viking.com/fr-ca/products/striking-viking-citrus-beard-balm"/>
    <hyperlink ref="B590" r:id="rId587" display="https://striking-viking.com/fr-ca/blogs/learn/unlock-your-beard-s-full-potential-beard-growth-kits-oils"/>
    <hyperlink ref="B591" r:id="rId588" display="https://striking-viking.com/fr-ca/blogs/learn/the-ultimate-beard-growth-routine-for-a-thicker-healthier-beard-2026-guide"/>
    <hyperlink ref="B592" r:id="rId589" display="https://striking-viking.com/blogs/learn/top-10-beard-costumes-for-halloween"/>
    <hyperlink ref="B593" r:id="rId590" display="https://striking-viking.com/fr/products/striking-viking-unscented-beard-shampoo-conditioner-set-natural-beard-care-for-men"/>
    <hyperlink ref="B594" r:id="rId591" display="https://striking-viking.com/fr-ca/blogs/learn/how-to-keep-your-tattoos-looking-bold-for-years-the-role-of-tattoo-balms"/>
    <hyperlink ref="B595" r:id="rId592" display="https://striking-viking.com/es/products/striking-viking-biotin-beard-growth-oil-for-men-unscented-beard-growth-serum"/>
    <hyperlink ref="B596" r:id="rId593" display="https://striking-viking.com/fr/products/ontaki-curved-fabric-scissors-6-5-inch-german-stainless-steel-embroidery-scissors"/>
    <hyperlink ref="B597" r:id="rId594" display="https://striking-viking.com/es/products/striking-viking-beard-shampoo-conditioner-cologne-argan-jojoba-oil"/>
    <hyperlink ref="B598" r:id="rId595" display="https://striking-viking.com/en-gb/products/ontaki-hair-thinning-shears-kit-7-inch-professional-hair-cutting-texturizing-set"/>
    <hyperlink ref="B599" r:id="rId596" display="https://striking-viking.com/en-ca/pages/beard-filler-pens"/>
    <hyperlink ref="B600" r:id="rId597" display="https://striking-viking.com/es/products/ontaki-facial-hair-grooming-scissors-2-pack-precision-beard-nose-mustache-trimming"/>
    <hyperlink ref="B601" r:id="rId598" display="https://striking-viking.com/sv/blogs/learn/grooming-products-to-pamper-your-beard-flyaway"/>
    <hyperlink ref="B602" r:id="rId599" display="https://striking-viking.com/no/blogs/learn/striking-viking-beard-comb-for-routine-beard-management"/>
    <hyperlink ref="B603" r:id="rId600" display="https://striking-viking.com/fr-ca/blogs/learn/the-ultimate-guide-to-grooming-with-ontaki-scissors"/>
    <hyperlink ref="B604" r:id="rId601" display="https://striking-viking.com/fr/blogs/learn/spring-style-refresh-how-to-update-your-beard-and-hair-for-warmer-weather"/>
    <hyperlink ref="B605" r:id="rId602" display="https://striking-viking.com/it/blogs/learn/how-to-choose-the-right-hair-cutting-scissors-for-home-or-salon-use"/>
    <hyperlink ref="B606" r:id="rId603" display="https://striking-viking.com/products/striking-viking-hair-styling-powder-for-men-light-hold-vanilla-natural-volume-texture"/>
    <hyperlink ref="B607" r:id="rId604" display="https://striking-viking.com/fi/pages/beard-filler-pens"/>
    <hyperlink ref="B608" r:id="rId605" display="https://striking-viking.com/pages/beard-filler-pens"/>
    <hyperlink ref="B609" r:id="rId606" display="https://striking-viking.com/fr/products/striking-viking-unscented-beard-butter-for-moisturizing-softening-daily-beard-care"/>
    <hyperlink ref="B610" r:id="rId607" display="https://striking-viking.com/en-ca/products/hair-fiber-men"/>
    <hyperlink ref="B611" r:id="rId608" display="https://striking-viking.com/es/blogs/learn/top-10-beard-costumes-for-halloween"/>
    <hyperlink ref="B612" r:id="rId609" display="https://striking-viking.com/fi/blogs/learn/41241281-the-dude"/>
    <hyperlink ref="B613" r:id="rId610" display="https://striking-viking.com/fi/products/carbon-wide-tooth-comb"/>
    <hyperlink ref="B614" r:id="rId611" display="https://striking-viking.com/it/products/striking-viking-unscented-after-shave-balm-for-men-soothing-hydration-skin-care"/>
    <hyperlink ref="B615" r:id="rId612" display="https://striking-viking.com/it/products/striking-viking-vanilla-beard-oil-with-natural-organic-oils-for-soft-healthy-beard-care"/>
    <hyperlink ref="B616" r:id="rId613" display="https://striking-viking.com/en-gb/blogs/learn/essential-grooming-supplies-for-the-bearded-man"/>
    <hyperlink ref="B617" r:id="rId614" display="https://striking-viking.com/de/blogs/learn/16918829-the-ingredients-and-why-they-matter"/>
    <hyperlink ref="B618" r:id="rId615" display="https://striking-viking.com/it/blogs/learn/striking-viking-beard-comb-for-routine-beard-management"/>
    <hyperlink ref="B619" r:id="rId616" display="https://striking-viking.com/sv/blogs/learn/16918829-the-ingredients-and-why-they-matter"/>
    <hyperlink ref="B620" r:id="rId617" display="https://striking-viking.com/en-gb/products/striking-viking-hair-styling-powder-for-men-light-hold-vanilla-natural-volume-texture"/>
    <hyperlink ref="B621" r:id="rId618" display="https://striking-viking.com/de/blogs/learn/top-10-beard-costumes-for-halloween"/>
    <hyperlink ref="B622" r:id="rId619" display="https://striking-viking.com/fr/products/striking-viking-hair-styling-powder-for-men-light-hold-vanilla-natural-volume-texture"/>
    <hyperlink ref="B623" r:id="rId620" display="https://striking-viking.com/fr/blogs/learn/what-are-the-best-beard-scissors-for-precision-grooming"/>
    <hyperlink ref="B624" r:id="rId621" display="https://striking-viking.com/fi/blogs/learn/46928577-tips-to-protect-your-beard-from-the-cold"/>
    <hyperlink ref="B625" r:id="rId622" display="https://striking-viking.com/fr-ca/products/charlemagne-carbon-hair-comb-for-men-professional-heat-resistant-styling-detangling-comb"/>
    <hyperlink ref="B626" r:id="rId623" display="https://striking-viking.com/it/products/striking-viking-sandalwood-beard-oil-balm-kit-for-soft-healthy-beard-care-for-men"/>
    <hyperlink ref="B627" r:id="rId624" display="https://striking-viking.com/fi/products/striking-viking-tea-tree-biotin-beard-shampoo-for-clean-healthy-soft-beard-care-for-men"/>
    <hyperlink ref="B628" r:id="rId625" display="https://striking-viking.com/fr/blogs/learn/how-to-use-beard-balm-properly-a-complete-guide"/>
    <hyperlink ref="B629" r:id="rId626" display="https://striking-viking.com/en-gb/products/hair-fiber-men"/>
    <hyperlink ref="B630" r:id="rId627" display="https://striking-viking.com/fi/products/striking-viking-unscented-beard-balm-natural-beard-styling-conditioning"/>
    <hyperlink ref="B631" r:id="rId628" display="https://striking-viking.com/en-ca/products/ontaki-professional-thinning-texturizing-scissors-set-6-5-inch-japanese-alloy-steel"/>
    <hyperlink ref="B632" r:id="rId629" display="https://striking-viking.com/it/products/striking-viking-hair-styling-powder-for-men-light-hold-vanilla-natural-volume-texture"/>
    <hyperlink ref="B633" r:id="rId630" display="https://striking-viking.com/en-gb/pages/beard-filler-pens"/>
    <hyperlink ref="B634" r:id="rId631" display="https://striking-viking.com/fr-ca/products/striking-viking-sandalwood-beard-growth-kit-with-biotin-oil-0-25mm-derma-roller"/>
    <hyperlink ref="B635" r:id="rId632" display="https://striking-viking.com/it/blogs/learn/the-ultimate-beard-growth-routine-for-a-thicker-healthier-beard-2026-guide"/>
    <hyperlink ref="B636" r:id="rId633" display="https://striking-viking.com/sv/products/striking-viking-sandalwood-beard-balm"/>
    <hyperlink ref="B637" r:id="rId634" display="https://striking-viking.com/it/products/striking-viking-beard-growth-power-kit-with-biotin-beard-oil-shampoo-derma-roller"/>
    <hyperlink ref="B638" r:id="rId635" display="https://striking-viking.com/es/blogs/learn/41241281-the-dude"/>
    <hyperlink ref="B639" r:id="rId636" display="https://striking-viking.com/fi/products/striking-viking-sandalwood-beard-oil-balm-kit-for-soft-healthy-beard-care-for-men"/>
    <hyperlink ref="B640" r:id="rId637" display="https://striking-viking.com/fr-ca/products/striking-viking-beard-growth-kit-with-beard-roller-vanilla-unscented-biotin-oils-for-men"/>
    <hyperlink ref="B641" r:id="rId638" display="https://striking-viking.com/it/blogs/learn/the-ultimate-guide-to-grooming-with-ontaki-scissors"/>
    <hyperlink ref="B642" r:id="rId639" display="https://striking-viking.com/es/products/striking-viking-vanilla-beard-balm-2-pack-with-natural-organic-ingredients-for-beard-styling"/>
    <hyperlink ref="B643" r:id="rId640" display="https://striking-viking.com/fr-ca/products/striking-viking-cedarwood-beard-balm"/>
    <hyperlink ref="B644" r:id="rId641" display="https://striking-viking.com/sv/products/ontaki-curved-fabric-scissors-6-5-inch-german-stainless-steel-embroidery-scissors"/>
    <hyperlink ref="B645" r:id="rId642" display="https://striking-viking.com/es/products/ontaki-german-steel-beard-mustache-scissors-professional-grooming-kit"/>
    <hyperlink ref="B646" r:id="rId643" display="https://striking-viking.com/de/blogs/learn/all-you-need-to-know-about-beard-filler-pens"/>
    <hyperlink ref="B647" r:id="rId644" display="https://striking-viking.com/no/blogs/learn/grooming-products-to-pamper-your-beard-flyaway"/>
    <hyperlink ref="B648" r:id="rId645" display="https://striking-viking.com/fi/products/carbon-hair-comb"/>
    <hyperlink ref="B649" r:id="rId646" display="https://striking-viking.com/no/products/striking-viking-unscented-beard-shampoo-conditioner-set-natural-beard-care-for-men"/>
    <hyperlink ref="B650" r:id="rId647" display="https://striking-viking.com/en-gb/products/charlemagne-carbon-hair-comb-for-men-professional-heat-resistant-styling-detangling-comb"/>
    <hyperlink ref="B651" r:id="rId648" display="https://striking-viking.com/it/products/ontaki-curved-fabric-scissors-6-5-inch-german-stainless-steel-embroidery-scissors"/>
    <hyperlink ref="B652" r:id="rId649" display="https://striking-viking.com/es/blogs/learn/the-ultimate-guide-to-tattoo-aftercare-with-striking-viking"/>
    <hyperlink ref="B653" r:id="rId650" display="https://striking-viking.com/it/products/striking-viking-sandalwood-beard-balm"/>
    <hyperlink ref="B654" r:id="rId651" display="https://striking-viking.com/es/products/striking-viking-tea-tree-biotin-beard-shampoo-for-clean-healthy-soft-beard-care-for-men"/>
    <hyperlink ref="B655" r:id="rId652" display="https://striking-viking.com/en-ca/blogs/learn/top-10-beard-costumes-for-halloween"/>
    <hyperlink ref="B656" r:id="rId653" display="https://striking-viking.com/fr-ca/blogs/learn/essential-grooming-supplies-for-the-bearded-man"/>
    <hyperlink ref="B657" r:id="rId654" display="https://striking-viking.com/fi/blogs/learn/striking-viking-beard-comb-for-routine-beard-management"/>
    <hyperlink ref="B658" r:id="rId655" display="https://striking-viking.com/en-ca/products/ontaki-hair-thinning-shears-kit-7-inch-professional-hair-cutting-texturizing-set"/>
    <hyperlink ref="B659" r:id="rId656" display="https://striking-viking.com/de/products/striking-viking-unscented-beard-shampoo-conditioner-set-natural-beard-care-for-men"/>
    <hyperlink ref="B660" r:id="rId657" display="https://striking-viking.com/de/collections/beard-essentials"/>
    <hyperlink ref="B661" r:id="rId658" display="https://striking-viking.com/en-ca/products/ontaki-duckbill-applique-scissors-4-5-inch-carbon-steel-fabric-thread-cutting-scissors"/>
    <hyperlink ref="B662" r:id="rId659" display="https://striking-viking.com/no/pages/beard-filler-pens"/>
    <hyperlink ref="B663" r:id="rId660" display="https://striking-viking.com/en-gb/products/ontaki-beard-mustache-scissors-with-finger-rest-5-inch-german-steel-grooming-kit"/>
    <hyperlink ref="B664" r:id="rId661" display="https://striking-viking.com/it/products/striking-viking-tea-tree-biotin-beard-wash-cologne-for-clean-fresh-healthy-beard-care"/>
    <hyperlink ref="B665" r:id="rId662" display="https://striking-viking.com/sv/blogs/learn/striking-viking-beard-comb-for-routine-beard-management"/>
    <hyperlink ref="B666" r:id="rId663" display="https://striking-viking.com/fr-ca/blogs/learn/tame-the-wild-meet-the-striking-viking-sandalwood-beard-comb"/>
    <hyperlink ref="B667" r:id="rId664" display="https://striking-viking.com/fr/products/striking-viking-citrus-beard-oil"/>
    <hyperlink ref="B668" r:id="rId665" display="https://striking-viking.com/sv/blogs/learn/essential-grooming-supplies-for-the-bearded-man"/>
    <hyperlink ref="B669" r:id="rId666" display="https://striking-viking.com/fr/blogs/learn/41234689-brian-wilson"/>
    <hyperlink ref="B670" r:id="rId667" display="https://striking-viking.com/fr-ca/blogs/learn/scented-beard-oil-by-striking-viking"/>
    <hyperlink ref="B671" r:id="rId668" display="https://striking-viking.com/it/products/striking-viking-unscented-beard-balm-natural-beard-styling-conditioning"/>
    <hyperlink ref="B672" r:id="rId669" display="https://striking-viking.com/fr/blogs/learn/the-ultimate-beard-growth-routine-for-a-thicker-healthier-beard-2026-guide"/>
    <hyperlink ref="B673" r:id="rId670" display="https://striking-viking.com/it/blogs/learn/scented-beard-oil-by-striking-viking"/>
    <hyperlink ref="B674" r:id="rId671" display="https://striking-viking.com/fi/products/striking-viking-unscented-beard-butter-for-moisturizing-softening-daily-beard-care"/>
    <hyperlink ref="B675" r:id="rId672" display="https://striking-viking.com/sv/blogs/learn/41241281-the-dude"/>
    <hyperlink ref="B676" r:id="rId673" display="https://striking-viking.com/fr/blogs/learn/46928577-tips-to-protect-your-beard-from-the-cold"/>
    <hyperlink ref="B677" r:id="rId674" display="https://striking-viking.com/de/blogs/learn/how-to-choose-the-right-hair-cutting-scissors-for-home-or-salon-use"/>
    <hyperlink ref="B678" r:id="rId675" display="https://striking-viking.com/de/blogs/learn/scented-beard-oil-by-striking-viking"/>
    <hyperlink ref="B679" r:id="rId676" display="https://striking-viking.com/it/products/striking-viking-sandalwood-beard-butter-for-soft-hydrated-healthy-beard-care-for-men"/>
    <hyperlink ref="B680" r:id="rId677" display="https://striking-viking.com/fr/products/striking-viking-beard-shampoo-with-natural-peppermint-eucalyptus-for-refreshing-beard-care"/>
    <hyperlink ref="B681" r:id="rId678" display="https://striking-viking.com/es/products/striking-viking-sandalwood-beard-butter-for-soft-hydrated-healthy-beard-care-for-men"/>
    <hyperlink ref="B682" r:id="rId679" display="https://striking-viking.com/it/products/striking-viking-citrus-beard-balm"/>
    <hyperlink ref="B683" r:id="rId680" display="https://striking-viking.com/sv/blogs/learn/41234689-brian-wilson"/>
    <hyperlink ref="B684" r:id="rId681" display="https://striking-viking.com/de/blogs/learn/heads-shoulders-knees-and-toes-but-why-forget-the-beard"/>
    <hyperlink ref="B685" r:id="rId682" display="https://striking-viking.com/no/blogs/learn/41241281-the-dude"/>
    <hyperlink ref="B686" r:id="rId683" display="https://striking-viking.com/fr/products/striking-viking-beard-growth-oil-with-biotin-sandalwood"/>
    <hyperlink ref="B687" r:id="rId684" display="https://striking-viking.com/es/products/striking-viking-citrus-beard-balm"/>
    <hyperlink ref="B688" r:id="rId685" display="https://striking-viking.com/en-ca/products/charlemagne-carbon-hair-comb-for-men-professional-heat-resistant-styling-detangling-comb"/>
    <hyperlink ref="B689" r:id="rId686" display="https://striking-viking.com/no/blogs/learn/top-10-beard-costumes-for-halloween"/>
    <hyperlink ref="B690" r:id="rId687" display="https://striking-viking.com/de/products/after-shave-balsam-fur-manner"/>
    <hyperlink ref="B691" r:id="rId688" display="https://striking-viking.com/fi/products/striking-viking-vanilla-beard-balm-2-pack-with-natural-organic-ingredients-for-beard-styling"/>
    <hyperlink ref="B692" r:id="rId689" display="https://striking-viking.com/fr-ca/products/striking-viking-sandalwood-beard-oil-balm-kit-for-soft-healthy-beard-care-for-men"/>
    <hyperlink ref="B693" r:id="rId690" display="https://striking-viking.com/fr-ca/products/striking-viking-beard-balm-variety-4-pack-citrus-vanilla-cedarwood-sandalwood"/>
    <hyperlink ref="B694" r:id="rId691" display="https://striking-viking.com/fr-ca/blogs/learn/heads-shoulders-knees-and-toes-but-why-forget-the-beard"/>
    <hyperlink ref="B695" r:id="rId692" display="https://striking-viking.com/de/products/bartbalsam-geruchsneutral"/>
    <hyperlink ref="B696" r:id="rId693" display="https://striking-viking.com/fr-ca/collections/featured-products"/>
    <hyperlink ref="B697" r:id="rId694" display="https://striking-viking.com/es/products/striking-viking-citrus-beard-oil"/>
    <hyperlink ref="B698" r:id="rId695" display="https://striking-viking.com/fr-ca/products/striking-viking-unscented-beard-balm-natural-beard-styling-conditioning"/>
    <hyperlink ref="B699" r:id="rId696" display="https://striking-viking.com/fr/blogs/learn/scented-beard-oil-by-striking-viking"/>
    <hyperlink ref="B700" r:id="rId697" display="https://striking-viking.com/fi/products/striking-viking-unscented-beard-shampoo-conditioner-set-natural-beard-care-for-men"/>
    <hyperlink ref="B701" r:id="rId698" display="https://striking-viking.com/fr/products/ontaki-japanese-steel-beard-hair-scissors-5-5-inch-professional-grooming-shears"/>
    <hyperlink ref="B702" r:id="rId699" display="https://striking-viking.com/it/pages/beard-filler-pens"/>
    <hyperlink ref="B703" r:id="rId700" display="https://striking-viking.com/en-ca/products/ontaki-beard-mustache-scissors-with-finger-rest-5-inch-german-steel-grooming-kit"/>
    <hyperlink ref="B704" r:id="rId701" display="https://striking-viking.com/es/products/carbon-wide-tooth-comb"/>
    <hyperlink ref="B705" r:id="rId702" display="https://striking-viking.com/fr-ca/blogs/learn/spring-style-refresh-how-to-update-your-beard-and-hair-for-warmer-weather"/>
    <hyperlink ref="B706" r:id="rId703" display="https://striking-viking.com/de/blogs/learn/beard-oil-vs-beard-balm-solving-the-modern-problem-for-gentlemen-with-beards"/>
    <hyperlink ref="B707" r:id="rId704" display="https://striking-viking.com/it/products/hair-fiber-men"/>
    <hyperlink ref="B708" r:id="rId705" display="https://striking-viking.com/fr/blogs/learn/all-you-need-to-know-about-beard-filler-pens"/>
    <hyperlink ref="B709" r:id="rId706" display="https://striking-viking.com/es/products/striking-viking-tea-tree-biotin-beard-shampoo-conditioner-set-for-healthy-beard-care"/>
    <hyperlink ref="B710" r:id="rId707" display="https://striking-viking.com/fr-ca/products/striking-viking-beard-growth-mastery-bundle-with-sandalwood-vanilla-biotin-oils-and-derma-roller"/>
    <hyperlink ref="B711" r:id="rId708" display="https://striking-viking.com/fr-ca/products/striking-viking-citrus-beard-oil"/>
    <hyperlink ref="B712" r:id="rId709" display="https://striking-viking.com/fr-ca/collections/subscribe-save"/>
    <hyperlink ref="B713" r:id="rId710" display="https://striking-viking.com/it/products/striking-viking-battle-ready-beard-care-kit-with-beard-oils-balms-beard-filler-pen"/>
    <hyperlink ref="B714" r:id="rId711" display="https://striking-viking.com/en-ca/products/ontaki-curved-fabric-scissors-6-5-inch-german-stainless-steel-embroidery-scissors"/>
    <hyperlink ref="B715" r:id="rId712" display="https://striking-viking.com/es/products/striking-viking-unscented-beard-shampoo-conditioner-set-natural-beard-care-for-men"/>
    <hyperlink ref="B716" r:id="rId713" display="https://striking-viking.com/fr-ca/blogs/learn/all-you-need-to-know-about-beard-filler-pens"/>
    <hyperlink ref="B717" r:id="rId714" display="https://striking-viking.com/fr/products/charlemagne-original-hair-pomade-for-men-strong-hold-water-based-styling-pomade-100ml"/>
    <hyperlink ref="B718" r:id="rId715" display="https://striking-viking.com/es/blogs/learn/the-ultimate-guide-to-grooming-with-ontaki-scissors"/>
    <hyperlink ref="B719" r:id="rId716" display="https://striking-viking.com/en-gb/products/ontaki-japanese-steel-beard-hair-scissors-5-5-inch-professional-grooming-shears"/>
    <hyperlink ref="B720" r:id="rId717" display="https://striking-viking.com/de/pages/beard-filler-pens"/>
    <hyperlink ref="B721" r:id="rId718" display="https://striking-viking.com/no/blogs/learn/essential-grooming-supplies-for-the-bearded-man"/>
    <hyperlink ref="B722" r:id="rId719" display="https://striking-viking.com/fr/blogs/learn/beard-grooming-tools-for-professional-styling-at-home"/>
    <hyperlink ref="B723" r:id="rId720" display="https://striking-viking.com/es/products/striking-viking-unscented-beard-butter-for-moisturizing-softening-daily-beard-care"/>
    <hyperlink ref="B724" r:id="rId721" display="https://striking-viking.com/no/blogs/learn/all-you-need-to-know-about-beard-filler-pens"/>
    <hyperlink ref="B725" r:id="rId722" display="https://striking-viking.com/fr-ca/products/ontaki-curved-fabric-scissors-6-5-inch-german-stainless-steel-embroidery-scissors"/>
    <hyperlink ref="B726" r:id="rId723" display="https://striking-viking.com/fi/products/striking-viking-vanilla-after-shave-balm-for-men-soothing-hydration-skin-care"/>
    <hyperlink ref="B727" r:id="rId724" display="https://striking-viking.com/en-ca/products/striking-viking-sandalwood-shaving-cream-for-men-rich-lather-for-a-smooth-comfortable-shave"/>
    <hyperlink ref="B728" r:id="rId725" display="https://striking-viking.com/fr/products/striking-viking-unscented-beard-balm-natural-beard-styling-conditioning"/>
    <hyperlink ref="B729" r:id="rId726" display="https://striking-viking.com/es/products/striking-viking-unscented-beard-oil-and-balm-kit-natural-beard-grooming-set-for-men"/>
    <hyperlink ref="B730" r:id="rId727" display="https://striking-viking.com/es/products/striking-viking-vanilla-beard-growth-oil-with-biotin-castor-oil-for-fuller-beard-growth"/>
    <hyperlink ref="B731" r:id="rId728" display="https://striking-viking.com/fr-ca/products/ontaki-facial-hair-grooming-scissors-2-pack-precision-beard-nose-mustache-trimming"/>
    <hyperlink ref="B732" r:id="rId729" display="https://striking-viking.com/no/blogs/learn/16918829-the-ingredients-and-why-they-matter"/>
    <hyperlink ref="B733" r:id="rId730" display="https://striking-viking.com/en-gb/blogs/learn/top-10-beard-costumes-for-halloween"/>
    <hyperlink ref="B734" r:id="rId731" display="https://striking-viking.com/es/products/striking-viking-sandalwood-shaving-cream-for-men-rich-lather-for-a-smooth-comfortable-shave"/>
    <hyperlink ref="B735" r:id="rId732" display="https://striking-viking.com/es/products/striking-viking-bergamot-thunder-beard-oil-for-men-natural-beard-growth-oil-with-argan-jojoba"/>
    <hyperlink ref="B736" r:id="rId733" display="https://striking-viking.com/de/products/after-shave-balsam"/>
    <hyperlink ref="B737" r:id="rId734" display="https://striking-viking.com/fr-ca/collections/beard-essentials"/>
    <hyperlink ref="B738" r:id="rId735" display="https://striking-viking.com/fr-ca/blogs/learn/beard-grooming-tools-for-professional-styling-at-home"/>
    <hyperlink ref="B739" r:id="rId736" display="https://striking-viking.com/fi/products/striking-viking-vanilla-beard-growth-oil-with-biotin-castor-oil-for-fuller-beard-growth"/>
    <hyperlink ref="B740" r:id="rId737" display="https://striking-viking.com/fi/blogs/learn/41234689-brian-wilson"/>
    <hyperlink ref="B741" r:id="rId738" display="https://striking-viking.com/es/blogs/learn/essential-grooming-supplies-for-the-bearded-man"/>
    <hyperlink ref="B742" r:id="rId739" display="https://striking-viking.com/it/blogs/learn/41241281-the-dude"/>
    <hyperlink ref="B743" r:id="rId740" display="https://striking-viking.com/fi/blogs/learn/scented-beard-oil-by-striking-viking"/>
    <hyperlink ref="B744" r:id="rId741" display="https://striking-viking.com/de/products/haarfasern-fur-manner"/>
    <hyperlink ref="B745" r:id="rId742" display="https://striking-viking.com/es/blogs/learn/striking-viking-beard-comb-for-routine-beard-management"/>
    <hyperlink ref="B746" r:id="rId743" display="https://striking-viking.com/products/hair-fiber-men"/>
    <hyperlink ref="B747" r:id="rId744" display="https://striking-viking.com/fr-ca/products/striking-viking-unscented-beard-oil-and-balm-kit-natural-beard-grooming-set-for-men"/>
    <hyperlink ref="B748" r:id="rId745" display="https://striking-viking.com/it/blogs/learn/how-to-use-beard-balm-properly-a-complete-guide"/>
    <hyperlink ref="B749" r:id="rId746" display="https://striking-viking.com/es/products/striking-viking-battle-ready-beard-care-kit-with-beard-oils-balms-beard-filler-pen"/>
    <hyperlink ref="B750" r:id="rId747" display="https://striking-viking.com/en-ca/blogs/learn/41241281-the-dude"/>
    <hyperlink ref="B751" r:id="rId748" display="https://striking-viking.com/es/blogs/learn/how-to-choose-the-right-hair-cutting-scissors-for-home-or-salon-use"/>
    <hyperlink ref="B752" r:id="rId749" display="https://striking-viking.com/fr-ca/products/striking-viking-hybrid-beard-growth-bundle-with-sandalwood-unscented-beard-oils-and-derma-roller"/>
    <hyperlink ref="B753" r:id="rId750" display="https://striking-viking.com/no/products/striking-viking-beard-balm-variety-4-pack-citrus-vanilla-cedarwood-sandalwood"/>
    <hyperlink ref="B754" r:id="rId751" display="https://striking-viking.com/fi/products/striking-viking-hair-styling-powder-for-men-light-hold-vanilla-natural-volume-texture"/>
    <hyperlink ref="B755" r:id="rId752" display="https://striking-viking.com/fi/products/striking-viking-beard-growth-kit-with-beard-roller-vanilla-unscented-biotin-oils-for-men"/>
    <hyperlink ref="B756" r:id="rId753" display="https://striking-viking.com/fr-ca/products/striking-viking-unscented-after-shave-balm-for-men-soothing-hydration-skin-care"/>
    <hyperlink ref="B757" r:id="rId754" display="https://striking-viking.com/en-ca/products/ontaki-japanese-steel-beard-mustache-scissors-5-5-inch-professional-grooming-kit"/>
    <hyperlink ref="B758" r:id="rId755" display="https://striking-viking.com/fr/products/striking-viking-beard-growth-power-kit-with-biotin-beard-oil-shampoo-derma-roller"/>
    <hyperlink ref="B759" r:id="rId756" display="https://striking-viking.com/fr/blogs/learn/how-to-choose-the-right-hair-cutting-scissors-for-home-or-salon-use"/>
    <hyperlink ref="B760" r:id="rId757" display="https://striking-viking.com/fr-ca/blogs/learn/41241281-the-dude"/>
    <hyperlink ref="B761" r:id="rId758" display="https://striking-viking.com/de/blogs/learn/46928577-tips-to-protect-your-beard-from-the-cold"/>
    <hyperlink ref="B762" r:id="rId759" display="https://striking-viking.com/fr-ca/products/charlemagne-original-hair-pomade-for-men-strong-hold-water-based-styling-pomade-100ml"/>
    <hyperlink ref="B763" r:id="rId760" display="https://striking-viking.com/es/blogs/learn/beard-grooming-tools-for-professional-styling-at-home"/>
    <hyperlink ref="B764" r:id="rId761" display="https://striking-viking.com/fr-ca/products/beard-growth-butter-with-biotin-4-oz-blue-ocean"/>
    <hyperlink ref="B765" r:id="rId762" display="https://striking-viking.com/no/products/striking-viking-citrus-beard-oil"/>
    <hyperlink ref="B766" r:id="rId763" display="https://striking-viking.com/it/products/striking-viking-hair-styling-powder-for-men-strong-hold-vanilla-volume-texture"/>
    <hyperlink ref="B767" r:id="rId764" display="https://striking-viking.com/fr/pages/beard-filler-pens"/>
    <hyperlink ref="B768" r:id="rId765" display="https://striking-viking.com/en-ca/products/ontaki-facial-hair-grooming-scissors-2-pack-precision-beard-nose-mustache-trimming"/>
    <hyperlink ref="B769" r:id="rId766" display="https://striking-viking.com/es/products/striking-viking-vanilla-beard-growth-kit-with-biotin-oil-0-25mm-derma-roller"/>
    <hyperlink ref="B770" r:id="rId767" display="https://striking-viking.com/it/blogs/learn/what-are-the-best-beard-scissors-for-precision-grooming"/>
    <hyperlink ref="B771" r:id="rId768" display="https://striking-viking.com/it/products/striking-viking-beard-shampoo-with-natural-peppermint-eucalyptus-for-refreshing-beard-care"/>
    <hyperlink ref="B772" r:id="rId769" display="https://striking-viking.com/fr/products/striking-viking-tea-tree-biotin-beard-wash-cologne-for-clean-fresh-healthy-beard-care"/>
    <hyperlink ref="B773" r:id="rId770" display="https://striking-viking.com/fr-ca/products/striking-viking-unscented-beard-oil-natural-organic-beard-care"/>
    <hyperlink ref="B774" r:id="rId771" display="https://striking-viking.com/es/blogs/learn/16918829-the-ingredients-and-why-they-matter"/>
    <hyperlink ref="B775" r:id="rId772" display="https://striking-viking.com/es/products/striking-viking-sandalwood-beard-growth-kit-with-biotin-oil-0-25mm-derma-rol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H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47"/>
    <col collapsed="false" customWidth="true" hidden="false" outlineLevel="0" max="8" min="8" style="0" width="22"/>
  </cols>
  <sheetData>
    <row r="1" customFormat="false" ht="17.35" hidden="false" customHeight="false" outlineLevel="0" collapsed="false">
      <c r="B1" s="75"/>
      <c r="C1" s="75"/>
      <c r="D1" s="75"/>
      <c r="E1" s="75"/>
      <c r="F1" s="75"/>
      <c r="H1" s="26" t="str">
        <f aca="false">HYPERLINK("#'Master Overview'!A1","&lt;&lt; Master Overview")</f>
        <v>&lt;&lt; Master Overview</v>
      </c>
    </row>
    <row r="2" customFormat="false" ht="17.35" hidden="false" customHeight="false" outlineLevel="0" collapsed="false">
      <c r="B2" s="76" t="s">
        <v>136</v>
      </c>
      <c r="C2" s="76"/>
      <c r="D2" s="76"/>
      <c r="E2" s="76"/>
      <c r="F2" s="76"/>
      <c r="H2" s="2" t="s">
        <v>9968</v>
      </c>
    </row>
    <row r="3" customFormat="false" ht="15" hidden="false" customHeight="false" outlineLevel="0" collapsed="false">
      <c r="B3" s="77" t="s">
        <v>9969</v>
      </c>
      <c r="C3" s="78" t="s">
        <v>274</v>
      </c>
      <c r="D3" s="77" t="s">
        <v>9970</v>
      </c>
      <c r="E3" s="78" t="s">
        <v>9971</v>
      </c>
      <c r="F3" s="79" t="s">
        <v>81</v>
      </c>
    </row>
    <row r="4" customFormat="false" ht="15" hidden="false" customHeight="false" outlineLevel="0" collapsed="false">
      <c r="B4" s="28" t="n">
        <v>1</v>
      </c>
      <c r="C4" s="37" t="s">
        <v>7147</v>
      </c>
      <c r="D4" s="38" t="s">
        <v>9972</v>
      </c>
      <c r="E4" s="37"/>
      <c r="F4" s="51"/>
    </row>
    <row r="5" customFormat="false" ht="15" hidden="false" customHeight="false" outlineLevel="0" collapsed="false">
      <c r="B5" s="28" t="n">
        <v>2</v>
      </c>
      <c r="C5" s="37" t="s">
        <v>7069</v>
      </c>
      <c r="D5" s="38" t="s">
        <v>9972</v>
      </c>
      <c r="E5" s="37"/>
      <c r="F5" s="51"/>
    </row>
    <row r="6" customFormat="false" ht="15" hidden="false" customHeight="false" outlineLevel="0" collapsed="false">
      <c r="B6" s="28" t="n">
        <v>3</v>
      </c>
      <c r="C6" s="37" t="s">
        <v>7087</v>
      </c>
      <c r="D6" s="38" t="s">
        <v>9972</v>
      </c>
      <c r="E6" s="37"/>
      <c r="F6" s="51"/>
    </row>
    <row r="7" customFormat="false" ht="15" hidden="false" customHeight="false" outlineLevel="0" collapsed="false">
      <c r="B7" s="28" t="n">
        <v>4</v>
      </c>
      <c r="C7" s="37" t="s">
        <v>7139</v>
      </c>
      <c r="D7" s="38" t="s">
        <v>9972</v>
      </c>
      <c r="E7" s="37"/>
      <c r="F7" s="51"/>
    </row>
    <row r="8" customFormat="false" ht="15" hidden="false" customHeight="false" outlineLevel="0" collapsed="false">
      <c r="B8" s="28" t="n">
        <v>5</v>
      </c>
      <c r="C8" s="37" t="s">
        <v>7285</v>
      </c>
      <c r="D8" s="38" t="s">
        <v>9972</v>
      </c>
      <c r="E8" s="37"/>
      <c r="F8" s="51"/>
    </row>
    <row r="9" customFormat="false" ht="15" hidden="false" customHeight="false" outlineLevel="0" collapsed="false">
      <c r="B9" s="28" t="n">
        <v>6</v>
      </c>
      <c r="C9" s="37" t="s">
        <v>7287</v>
      </c>
      <c r="D9" s="38" t="s">
        <v>9972</v>
      </c>
      <c r="E9" s="37"/>
      <c r="F9" s="51"/>
    </row>
    <row r="10" customFormat="false" ht="15" hidden="false" customHeight="false" outlineLevel="0" collapsed="false">
      <c r="B10" s="28" t="n">
        <v>7</v>
      </c>
      <c r="C10" s="37" t="s">
        <v>9973</v>
      </c>
      <c r="D10" s="38" t="s">
        <v>9972</v>
      </c>
      <c r="E10" s="37"/>
      <c r="F10" s="51"/>
    </row>
    <row r="11" customFormat="false" ht="15" hidden="false" customHeight="false" outlineLevel="0" collapsed="false">
      <c r="B11" s="28" t="n">
        <v>8</v>
      </c>
      <c r="C11" s="37" t="s">
        <v>9974</v>
      </c>
      <c r="D11" s="38" t="s">
        <v>9972</v>
      </c>
      <c r="E11" s="37"/>
      <c r="F11" s="51"/>
    </row>
    <row r="12" customFormat="false" ht="15" hidden="false" customHeight="false" outlineLevel="0" collapsed="false">
      <c r="B12" s="28" t="n">
        <v>9</v>
      </c>
      <c r="C12" s="37" t="s">
        <v>7319</v>
      </c>
      <c r="D12" s="38" t="s">
        <v>9972</v>
      </c>
      <c r="E12" s="37"/>
      <c r="F12" s="51"/>
    </row>
    <row r="13" customFormat="false" ht="15" hidden="false" customHeight="false" outlineLevel="0" collapsed="false">
      <c r="B13" s="28" t="n">
        <v>10</v>
      </c>
      <c r="C13" s="37" t="s">
        <v>7335</v>
      </c>
      <c r="D13" s="38" t="s">
        <v>9972</v>
      </c>
      <c r="E13" s="37"/>
      <c r="F13" s="51"/>
    </row>
    <row r="14" customFormat="false" ht="15" hidden="false" customHeight="false" outlineLevel="0" collapsed="false">
      <c r="B14" s="28" t="n">
        <v>11</v>
      </c>
      <c r="C14" s="37" t="s">
        <v>7368</v>
      </c>
      <c r="D14" s="38" t="s">
        <v>9972</v>
      </c>
      <c r="E14" s="37"/>
      <c r="F14" s="51"/>
    </row>
    <row r="15" customFormat="false" ht="15" hidden="false" customHeight="false" outlineLevel="0" collapsed="false">
      <c r="B15" s="28" t="n">
        <v>12</v>
      </c>
      <c r="C15" s="37" t="s">
        <v>9975</v>
      </c>
      <c r="D15" s="38" t="s">
        <v>9972</v>
      </c>
      <c r="E15" s="37"/>
      <c r="F15" s="51"/>
    </row>
    <row r="16" customFormat="false" ht="15" hidden="false" customHeight="false" outlineLevel="0" collapsed="false">
      <c r="B16" s="28" t="n">
        <v>13</v>
      </c>
      <c r="C16" s="37" t="s">
        <v>7417</v>
      </c>
      <c r="D16" s="38" t="s">
        <v>9972</v>
      </c>
      <c r="E16" s="37"/>
      <c r="F16" s="51"/>
    </row>
    <row r="17" customFormat="false" ht="15" hidden="false" customHeight="false" outlineLevel="0" collapsed="false">
      <c r="B17" s="28" t="n">
        <v>14</v>
      </c>
      <c r="C17" s="37" t="s">
        <v>7427</v>
      </c>
      <c r="D17" s="38" t="s">
        <v>9972</v>
      </c>
      <c r="E17" s="37"/>
      <c r="F17" s="51"/>
    </row>
    <row r="18" customFormat="false" ht="15" hidden="false" customHeight="false" outlineLevel="0" collapsed="false">
      <c r="B18" s="28" t="n">
        <v>15</v>
      </c>
      <c r="C18" s="37" t="s">
        <v>7439</v>
      </c>
      <c r="D18" s="38" t="s">
        <v>9972</v>
      </c>
      <c r="E18" s="37"/>
      <c r="F18" s="51"/>
    </row>
    <row r="19" customFormat="false" ht="15" hidden="false" customHeight="false" outlineLevel="0" collapsed="false">
      <c r="B19" s="28" t="n">
        <v>16</v>
      </c>
      <c r="C19" s="37" t="s">
        <v>9976</v>
      </c>
      <c r="D19" s="38" t="s">
        <v>9972</v>
      </c>
      <c r="E19" s="37"/>
      <c r="F19" s="51"/>
    </row>
    <row r="20" customFormat="false" ht="15" hidden="false" customHeight="false" outlineLevel="0" collapsed="false">
      <c r="B20" s="28" t="n">
        <v>17</v>
      </c>
      <c r="C20" s="37" t="s">
        <v>9977</v>
      </c>
      <c r="D20" s="38" t="s">
        <v>9972</v>
      </c>
      <c r="E20" s="37"/>
      <c r="F20" s="51"/>
    </row>
    <row r="21" customFormat="false" ht="15" hidden="false" customHeight="false" outlineLevel="0" collapsed="false">
      <c r="B21" s="28" t="n">
        <v>18</v>
      </c>
      <c r="C21" s="37" t="s">
        <v>9978</v>
      </c>
      <c r="D21" s="38" t="s">
        <v>9972</v>
      </c>
      <c r="E21" s="37"/>
      <c r="F21" s="51"/>
    </row>
    <row r="22" customFormat="false" ht="15" hidden="false" customHeight="false" outlineLevel="0" collapsed="false">
      <c r="B22" s="28" t="n">
        <v>19</v>
      </c>
      <c r="C22" s="37" t="s">
        <v>9979</v>
      </c>
      <c r="D22" s="38" t="s">
        <v>9972</v>
      </c>
      <c r="E22" s="37"/>
      <c r="F22" s="51"/>
    </row>
    <row r="23" customFormat="false" ht="15" hidden="false" customHeight="false" outlineLevel="0" collapsed="false">
      <c r="B23" s="28" t="n">
        <v>20</v>
      </c>
      <c r="C23" s="37" t="s">
        <v>7602</v>
      </c>
      <c r="D23" s="38" t="s">
        <v>9972</v>
      </c>
      <c r="E23" s="37"/>
      <c r="F23" s="51"/>
    </row>
    <row r="24" customFormat="false" ht="15" hidden="false" customHeight="false" outlineLevel="0" collapsed="false">
      <c r="B24" s="28" t="n">
        <v>21</v>
      </c>
      <c r="C24" s="37" t="s">
        <v>7609</v>
      </c>
      <c r="D24" s="38" t="s">
        <v>9972</v>
      </c>
      <c r="E24" s="37"/>
      <c r="F24" s="51"/>
    </row>
    <row r="25" customFormat="false" ht="15" hidden="false" customHeight="false" outlineLevel="0" collapsed="false">
      <c r="B25" s="28" t="n">
        <v>22</v>
      </c>
      <c r="C25" s="37" t="s">
        <v>7613</v>
      </c>
      <c r="D25" s="38" t="s">
        <v>9972</v>
      </c>
      <c r="E25" s="37"/>
      <c r="F25" s="51"/>
    </row>
    <row r="26" customFormat="false" ht="15" hidden="false" customHeight="false" outlineLevel="0" collapsed="false">
      <c r="B26" s="28" t="n">
        <v>23</v>
      </c>
      <c r="C26" s="37" t="s">
        <v>9980</v>
      </c>
      <c r="D26" s="38" t="s">
        <v>9972</v>
      </c>
      <c r="E26" s="37"/>
      <c r="F26" s="51"/>
    </row>
    <row r="27" customFormat="false" ht="15" hidden="false" customHeight="false" outlineLevel="0" collapsed="false">
      <c r="B27" s="28" t="n">
        <v>24</v>
      </c>
      <c r="C27" s="37" t="s">
        <v>9981</v>
      </c>
      <c r="D27" s="38" t="s">
        <v>9972</v>
      </c>
      <c r="E27" s="37"/>
      <c r="F27" s="51"/>
    </row>
    <row r="28" customFormat="false" ht="15" hidden="false" customHeight="false" outlineLevel="0" collapsed="false">
      <c r="B28" s="28" t="n">
        <v>25</v>
      </c>
      <c r="C28" s="37" t="s">
        <v>9982</v>
      </c>
      <c r="D28" s="38" t="s">
        <v>9972</v>
      </c>
      <c r="E28" s="37"/>
      <c r="F28" s="51"/>
    </row>
    <row r="29" customFormat="false" ht="15" hidden="false" customHeight="false" outlineLevel="0" collapsed="false">
      <c r="B29" s="28" t="n">
        <v>26</v>
      </c>
      <c r="C29" s="37" t="s">
        <v>9983</v>
      </c>
      <c r="D29" s="38" t="s">
        <v>9972</v>
      </c>
      <c r="E29" s="37"/>
      <c r="F29" s="51"/>
    </row>
    <row r="30" customFormat="false" ht="15" hidden="false" customHeight="false" outlineLevel="0" collapsed="false">
      <c r="B30" s="28" t="n">
        <v>27</v>
      </c>
      <c r="C30" s="37" t="s">
        <v>9984</v>
      </c>
      <c r="D30" s="38" t="s">
        <v>9972</v>
      </c>
      <c r="E30" s="37"/>
      <c r="F30" s="51"/>
    </row>
    <row r="31" customFormat="false" ht="15" hidden="false" customHeight="false" outlineLevel="0" collapsed="false">
      <c r="B31" s="28" t="n">
        <v>28</v>
      </c>
      <c r="C31" s="37" t="s">
        <v>9985</v>
      </c>
      <c r="D31" s="38" t="s">
        <v>9972</v>
      </c>
      <c r="E31" s="37"/>
      <c r="F31" s="51"/>
    </row>
    <row r="32" customFormat="false" ht="15" hidden="false" customHeight="false" outlineLevel="0" collapsed="false">
      <c r="B32" s="28" t="n">
        <v>29</v>
      </c>
      <c r="C32" s="37" t="s">
        <v>7695</v>
      </c>
      <c r="D32" s="38" t="s">
        <v>9972</v>
      </c>
      <c r="E32" s="37"/>
      <c r="F32" s="51"/>
    </row>
    <row r="33" customFormat="false" ht="15" hidden="false" customHeight="false" outlineLevel="0" collapsed="false">
      <c r="B33" s="28" t="n">
        <v>30</v>
      </c>
      <c r="C33" s="37" t="s">
        <v>7697</v>
      </c>
      <c r="D33" s="38" t="s">
        <v>9972</v>
      </c>
      <c r="E33" s="37"/>
      <c r="F33" s="51"/>
    </row>
    <row r="34" customFormat="false" ht="15" hidden="false" customHeight="false" outlineLevel="0" collapsed="false">
      <c r="B34" s="28" t="n">
        <v>31</v>
      </c>
      <c r="C34" s="37" t="s">
        <v>7703</v>
      </c>
      <c r="D34" s="38" t="s">
        <v>9972</v>
      </c>
      <c r="E34" s="37"/>
      <c r="F34" s="51"/>
    </row>
    <row r="35" customFormat="false" ht="15" hidden="false" customHeight="false" outlineLevel="0" collapsed="false">
      <c r="B35" s="28" t="n">
        <v>32</v>
      </c>
      <c r="C35" s="37" t="s">
        <v>9986</v>
      </c>
      <c r="D35" s="38" t="s">
        <v>9972</v>
      </c>
      <c r="E35" s="37"/>
      <c r="F35" s="51"/>
    </row>
    <row r="36" customFormat="false" ht="15" hidden="false" customHeight="false" outlineLevel="0" collapsed="false">
      <c r="B36" s="28" t="n">
        <v>33</v>
      </c>
      <c r="C36" s="37" t="s">
        <v>7729</v>
      </c>
      <c r="D36" s="38" t="s">
        <v>9972</v>
      </c>
      <c r="E36" s="37"/>
      <c r="F36" s="51"/>
    </row>
    <row r="37" customFormat="false" ht="15" hidden="false" customHeight="false" outlineLevel="0" collapsed="false">
      <c r="B37" s="28" t="n">
        <v>34</v>
      </c>
      <c r="C37" s="37" t="s">
        <v>9987</v>
      </c>
      <c r="D37" s="38" t="s">
        <v>9972</v>
      </c>
      <c r="E37" s="37"/>
      <c r="F37" s="51"/>
    </row>
    <row r="38" customFormat="false" ht="15" hidden="false" customHeight="false" outlineLevel="0" collapsed="false">
      <c r="B38" s="28" t="n">
        <v>35</v>
      </c>
      <c r="C38" s="37" t="s">
        <v>7753</v>
      </c>
      <c r="D38" s="38" t="s">
        <v>9972</v>
      </c>
      <c r="E38" s="37"/>
      <c r="F38" s="51"/>
    </row>
    <row r="39" customFormat="false" ht="15" hidden="false" customHeight="false" outlineLevel="0" collapsed="false">
      <c r="B39" s="28" t="n">
        <v>36</v>
      </c>
      <c r="C39" s="37" t="s">
        <v>7145</v>
      </c>
      <c r="D39" s="38" t="s">
        <v>9972</v>
      </c>
      <c r="E39" s="37"/>
      <c r="F39" s="51"/>
    </row>
    <row r="40" customFormat="false" ht="15" hidden="false" customHeight="false" outlineLevel="0" collapsed="false">
      <c r="B40" s="28" t="n">
        <v>37</v>
      </c>
      <c r="C40" s="37" t="s">
        <v>7774</v>
      </c>
      <c r="D40" s="38" t="s">
        <v>9972</v>
      </c>
      <c r="E40" s="37"/>
      <c r="F40" s="51"/>
    </row>
    <row r="41" customFormat="false" ht="15" hidden="false" customHeight="false" outlineLevel="0" collapsed="false">
      <c r="B41" s="28" t="n">
        <v>38</v>
      </c>
      <c r="C41" s="37" t="s">
        <v>7045</v>
      </c>
      <c r="D41" s="38" t="s">
        <v>9972</v>
      </c>
      <c r="E41" s="37"/>
      <c r="F41" s="51"/>
    </row>
    <row r="42" customFormat="false" ht="15" hidden="false" customHeight="false" outlineLevel="0" collapsed="false">
      <c r="B42" s="28" t="n">
        <v>39</v>
      </c>
      <c r="C42" s="37" t="s">
        <v>7823</v>
      </c>
      <c r="D42" s="38" t="s">
        <v>9972</v>
      </c>
      <c r="E42" s="37"/>
      <c r="F42" s="51"/>
    </row>
    <row r="43" customFormat="false" ht="15" hidden="false" customHeight="false" outlineLevel="0" collapsed="false">
      <c r="B43" s="28" t="n">
        <v>40</v>
      </c>
      <c r="C43" s="37" t="s">
        <v>9988</v>
      </c>
      <c r="D43" s="38" t="s">
        <v>9972</v>
      </c>
      <c r="E43" s="37"/>
      <c r="F43" s="51"/>
    </row>
    <row r="44" customFormat="false" ht="15" hidden="false" customHeight="false" outlineLevel="0" collapsed="false">
      <c r="B44" s="28" t="n">
        <v>41</v>
      </c>
      <c r="C44" s="37" t="s">
        <v>9989</v>
      </c>
      <c r="D44" s="38" t="s">
        <v>9972</v>
      </c>
      <c r="E44" s="37"/>
      <c r="F44" s="51"/>
    </row>
    <row r="45" customFormat="false" ht="15" hidden="false" customHeight="false" outlineLevel="0" collapsed="false">
      <c r="B45" s="28" t="n">
        <v>42</v>
      </c>
      <c r="C45" s="37" t="s">
        <v>9990</v>
      </c>
      <c r="D45" s="38" t="s">
        <v>9972</v>
      </c>
      <c r="E45" s="37"/>
      <c r="F45" s="51"/>
    </row>
    <row r="46" customFormat="false" ht="15" hidden="false" customHeight="false" outlineLevel="0" collapsed="false">
      <c r="B46" s="28" t="n">
        <v>43</v>
      </c>
      <c r="C46" s="37" t="s">
        <v>7836</v>
      </c>
      <c r="D46" s="38" t="s">
        <v>9972</v>
      </c>
      <c r="E46" s="37"/>
      <c r="F46" s="51"/>
    </row>
    <row r="47" customFormat="false" ht="15" hidden="false" customHeight="false" outlineLevel="0" collapsed="false">
      <c r="B47" s="28" t="n">
        <v>44</v>
      </c>
      <c r="C47" s="37" t="s">
        <v>9991</v>
      </c>
      <c r="D47" s="38" t="s">
        <v>9972</v>
      </c>
      <c r="E47" s="37"/>
      <c r="F47" s="51"/>
    </row>
    <row r="48" customFormat="false" ht="15" hidden="false" customHeight="false" outlineLevel="0" collapsed="false">
      <c r="B48" s="28" t="n">
        <v>45</v>
      </c>
      <c r="C48" s="37" t="s">
        <v>9992</v>
      </c>
      <c r="D48" s="38" t="s">
        <v>9972</v>
      </c>
      <c r="E48" s="37"/>
      <c r="F48" s="51"/>
    </row>
    <row r="49" customFormat="false" ht="15" hidden="false" customHeight="false" outlineLevel="0" collapsed="false">
      <c r="B49" s="28" t="n">
        <v>46</v>
      </c>
      <c r="C49" s="37" t="s">
        <v>7943</v>
      </c>
      <c r="D49" s="38" t="s">
        <v>9972</v>
      </c>
      <c r="E49" s="37"/>
      <c r="F49" s="51"/>
    </row>
    <row r="50" customFormat="false" ht="15" hidden="false" customHeight="false" outlineLevel="0" collapsed="false">
      <c r="B50" s="28" t="n">
        <v>47</v>
      </c>
      <c r="C50" s="37" t="s">
        <v>7990</v>
      </c>
      <c r="D50" s="38" t="s">
        <v>9972</v>
      </c>
      <c r="E50" s="37"/>
      <c r="F50" s="51"/>
    </row>
    <row r="51" customFormat="false" ht="15" hidden="false" customHeight="false" outlineLevel="0" collapsed="false">
      <c r="B51" s="28" t="n">
        <v>48</v>
      </c>
      <c r="C51" s="37" t="s">
        <v>8046</v>
      </c>
      <c r="D51" s="38" t="s">
        <v>9972</v>
      </c>
      <c r="E51" s="37"/>
      <c r="F51" s="51"/>
    </row>
    <row r="52" customFormat="false" ht="15" hidden="false" customHeight="false" outlineLevel="0" collapsed="false">
      <c r="B52" s="28" t="n">
        <v>49</v>
      </c>
      <c r="C52" s="37" t="s">
        <v>8079</v>
      </c>
      <c r="D52" s="38" t="s">
        <v>9972</v>
      </c>
      <c r="E52" s="37"/>
      <c r="F52" s="51"/>
    </row>
    <row r="53" customFormat="false" ht="15" hidden="false" customHeight="false" outlineLevel="0" collapsed="false">
      <c r="B53" s="28" t="n">
        <v>50</v>
      </c>
      <c r="C53" s="37" t="s">
        <v>8097</v>
      </c>
      <c r="D53" s="38" t="s">
        <v>9972</v>
      </c>
      <c r="E53" s="37"/>
      <c r="F53" s="51"/>
    </row>
    <row r="54" customFormat="false" ht="15" hidden="false" customHeight="false" outlineLevel="0" collapsed="false">
      <c r="B54" s="28" t="n">
        <v>51</v>
      </c>
      <c r="C54" s="37" t="s">
        <v>9993</v>
      </c>
      <c r="D54" s="38" t="s">
        <v>9972</v>
      </c>
      <c r="E54" s="37"/>
      <c r="F54" s="51"/>
    </row>
    <row r="55" customFormat="false" ht="15" hidden="false" customHeight="false" outlineLevel="0" collapsed="false">
      <c r="B55" s="28" t="n">
        <v>52</v>
      </c>
      <c r="C55" s="37" t="s">
        <v>8117</v>
      </c>
      <c r="D55" s="38" t="s">
        <v>9972</v>
      </c>
      <c r="E55" s="37"/>
      <c r="F55" s="51"/>
    </row>
    <row r="56" customFormat="false" ht="15" hidden="false" customHeight="false" outlineLevel="0" collapsed="false">
      <c r="B56" s="28" t="n">
        <v>53</v>
      </c>
      <c r="C56" s="37" t="s">
        <v>9994</v>
      </c>
      <c r="D56" s="38" t="s">
        <v>9972</v>
      </c>
      <c r="E56" s="37"/>
      <c r="F56" s="51"/>
    </row>
    <row r="57" customFormat="false" ht="15" hidden="false" customHeight="false" outlineLevel="0" collapsed="false">
      <c r="B57" s="28" t="n">
        <v>54</v>
      </c>
      <c r="C57" s="37" t="s">
        <v>8176</v>
      </c>
      <c r="D57" s="38" t="s">
        <v>9972</v>
      </c>
      <c r="E57" s="37"/>
      <c r="F57" s="51"/>
    </row>
    <row r="58" customFormat="false" ht="15" hidden="false" customHeight="false" outlineLevel="0" collapsed="false">
      <c r="B58" s="28" t="n">
        <v>55</v>
      </c>
      <c r="C58" s="37" t="s">
        <v>8192</v>
      </c>
      <c r="D58" s="38" t="s">
        <v>9972</v>
      </c>
      <c r="E58" s="37"/>
      <c r="F58" s="51"/>
    </row>
    <row r="59" customFormat="false" ht="15" hidden="false" customHeight="false" outlineLevel="0" collapsed="false">
      <c r="B59" s="28" t="n">
        <v>56</v>
      </c>
      <c r="C59" s="37" t="s">
        <v>8271</v>
      </c>
      <c r="D59" s="38" t="s">
        <v>9972</v>
      </c>
      <c r="E59" s="37"/>
      <c r="F59" s="51"/>
    </row>
    <row r="60" customFormat="false" ht="15" hidden="false" customHeight="false" outlineLevel="0" collapsed="false">
      <c r="B60" s="28" t="n">
        <v>57</v>
      </c>
      <c r="C60" s="37" t="s">
        <v>8274</v>
      </c>
      <c r="D60" s="38" t="s">
        <v>9972</v>
      </c>
      <c r="E60" s="37"/>
      <c r="F60" s="51"/>
    </row>
    <row r="61" customFormat="false" ht="15" hidden="false" customHeight="false" outlineLevel="0" collapsed="false">
      <c r="B61" s="28" t="n">
        <v>58</v>
      </c>
      <c r="C61" s="37" t="s">
        <v>8304</v>
      </c>
      <c r="D61" s="38" t="s">
        <v>9972</v>
      </c>
      <c r="E61" s="37"/>
      <c r="F61" s="51"/>
    </row>
    <row r="62" customFormat="false" ht="15" hidden="false" customHeight="false" outlineLevel="0" collapsed="false">
      <c r="B62" s="28" t="n">
        <v>59</v>
      </c>
      <c r="C62" s="37" t="s">
        <v>8310</v>
      </c>
      <c r="D62" s="38" t="s">
        <v>9972</v>
      </c>
      <c r="E62" s="37"/>
      <c r="F62" s="51"/>
    </row>
    <row r="63" customFormat="false" ht="15" hidden="false" customHeight="false" outlineLevel="0" collapsed="false">
      <c r="B63" s="28" t="n">
        <v>60</v>
      </c>
      <c r="C63" s="37" t="s">
        <v>9995</v>
      </c>
      <c r="D63" s="38" t="s">
        <v>9972</v>
      </c>
      <c r="E63" s="37"/>
      <c r="F63" s="51"/>
    </row>
    <row r="64" customFormat="false" ht="15" hidden="false" customHeight="false" outlineLevel="0" collapsed="false">
      <c r="B64" s="28" t="n">
        <v>61</v>
      </c>
      <c r="C64" s="37" t="s">
        <v>8365</v>
      </c>
      <c r="D64" s="38" t="s">
        <v>9972</v>
      </c>
      <c r="E64" s="37"/>
      <c r="F64" s="51"/>
    </row>
    <row r="65" customFormat="false" ht="15" hidden="false" customHeight="false" outlineLevel="0" collapsed="false">
      <c r="B65" s="28" t="n">
        <v>62</v>
      </c>
      <c r="C65" s="37" t="s">
        <v>8368</v>
      </c>
      <c r="D65" s="38" t="s">
        <v>9972</v>
      </c>
      <c r="E65" s="37"/>
      <c r="F65" s="51"/>
    </row>
    <row r="66" customFormat="false" ht="15" hidden="false" customHeight="false" outlineLevel="0" collapsed="false">
      <c r="B66" s="28" t="n">
        <v>63</v>
      </c>
      <c r="C66" s="37" t="s">
        <v>9996</v>
      </c>
      <c r="D66" s="38" t="s">
        <v>9972</v>
      </c>
      <c r="E66" s="37"/>
      <c r="F66" s="51"/>
    </row>
    <row r="67" customFormat="false" ht="15" hidden="false" customHeight="false" outlineLevel="0" collapsed="false">
      <c r="B67" s="28" t="n">
        <v>64</v>
      </c>
      <c r="C67" s="37" t="s">
        <v>8412</v>
      </c>
      <c r="D67" s="38" t="s">
        <v>9972</v>
      </c>
      <c r="E67" s="37"/>
      <c r="F67" s="51"/>
    </row>
    <row r="68" customFormat="false" ht="15" hidden="false" customHeight="false" outlineLevel="0" collapsed="false">
      <c r="B68" s="28" t="n">
        <v>65</v>
      </c>
      <c r="C68" s="37" t="s">
        <v>8424</v>
      </c>
      <c r="D68" s="38" t="s">
        <v>9972</v>
      </c>
      <c r="E68" s="37"/>
      <c r="F68" s="51"/>
    </row>
    <row r="69" customFormat="false" ht="15" hidden="false" customHeight="false" outlineLevel="0" collapsed="false">
      <c r="B69" s="28" t="n">
        <v>66</v>
      </c>
      <c r="C69" s="37" t="s">
        <v>9997</v>
      </c>
      <c r="D69" s="38" t="s">
        <v>9972</v>
      </c>
      <c r="E69" s="37"/>
      <c r="F69" s="51"/>
    </row>
    <row r="70" customFormat="false" ht="15" hidden="false" customHeight="false" outlineLevel="0" collapsed="false">
      <c r="B70" s="28" t="n">
        <v>67</v>
      </c>
      <c r="C70" s="37" t="s">
        <v>9998</v>
      </c>
      <c r="D70" s="38" t="s">
        <v>9972</v>
      </c>
      <c r="E70" s="37"/>
      <c r="F70" s="51"/>
    </row>
    <row r="71" customFormat="false" ht="15" hidden="false" customHeight="false" outlineLevel="0" collapsed="false">
      <c r="B71" s="28" t="n">
        <v>68</v>
      </c>
      <c r="C71" s="37" t="s">
        <v>8448</v>
      </c>
      <c r="D71" s="38" t="s">
        <v>9972</v>
      </c>
      <c r="E71" s="37"/>
      <c r="F71" s="51"/>
    </row>
    <row r="72" customFormat="false" ht="15" hidden="false" customHeight="false" outlineLevel="0" collapsed="false">
      <c r="B72" s="28" t="n">
        <v>69</v>
      </c>
      <c r="C72" s="37" t="s">
        <v>8452</v>
      </c>
      <c r="D72" s="38" t="s">
        <v>9972</v>
      </c>
      <c r="E72" s="37"/>
      <c r="F72" s="51"/>
    </row>
    <row r="73" customFormat="false" ht="15" hidden="false" customHeight="false" outlineLevel="0" collapsed="false">
      <c r="B73" s="28" t="n">
        <v>70</v>
      </c>
      <c r="C73" s="37" t="s">
        <v>9999</v>
      </c>
      <c r="D73" s="38" t="s">
        <v>9972</v>
      </c>
      <c r="E73" s="37"/>
      <c r="F73" s="51"/>
    </row>
    <row r="74" customFormat="false" ht="15" hidden="false" customHeight="false" outlineLevel="0" collapsed="false">
      <c r="B74" s="28" t="n">
        <v>71</v>
      </c>
      <c r="C74" s="37" t="s">
        <v>8598</v>
      </c>
      <c r="D74" s="38" t="s">
        <v>9972</v>
      </c>
      <c r="E74" s="37"/>
      <c r="F74" s="51"/>
    </row>
    <row r="75" customFormat="false" ht="15" hidden="false" customHeight="false" outlineLevel="0" collapsed="false">
      <c r="B75" s="28" t="n">
        <v>72</v>
      </c>
      <c r="C75" s="37" t="s">
        <v>8641</v>
      </c>
      <c r="D75" s="38" t="s">
        <v>9972</v>
      </c>
      <c r="E75" s="37"/>
      <c r="F75" s="51"/>
    </row>
    <row r="76" customFormat="false" ht="15" hidden="false" customHeight="false" outlineLevel="0" collapsed="false">
      <c r="B76" s="28" t="n">
        <v>73</v>
      </c>
      <c r="C76" s="37" t="s">
        <v>8650</v>
      </c>
      <c r="D76" s="38" t="s">
        <v>9972</v>
      </c>
      <c r="E76" s="37"/>
      <c r="F76" s="51"/>
    </row>
    <row r="77" customFormat="false" ht="15" hidden="false" customHeight="false" outlineLevel="0" collapsed="false">
      <c r="B77" s="28" t="n">
        <v>74</v>
      </c>
      <c r="C77" s="37" t="s">
        <v>8700</v>
      </c>
      <c r="D77" s="38" t="s">
        <v>9972</v>
      </c>
      <c r="E77" s="37"/>
      <c r="F77" s="51"/>
    </row>
    <row r="78" customFormat="false" ht="15" hidden="false" customHeight="false" outlineLevel="0" collapsed="false">
      <c r="B78" s="28" t="n">
        <v>75</v>
      </c>
      <c r="C78" s="37" t="s">
        <v>8703</v>
      </c>
      <c r="D78" s="38" t="s">
        <v>9972</v>
      </c>
      <c r="E78" s="37"/>
      <c r="F78" s="51"/>
    </row>
    <row r="79" customFormat="false" ht="15" hidden="false" customHeight="false" outlineLevel="0" collapsed="false">
      <c r="B79" s="28" t="n">
        <v>76</v>
      </c>
      <c r="C79" s="37" t="s">
        <v>8764</v>
      </c>
      <c r="D79" s="38" t="s">
        <v>9972</v>
      </c>
      <c r="E79" s="37"/>
      <c r="F79" s="51"/>
    </row>
    <row r="80" customFormat="false" ht="15" hidden="false" customHeight="false" outlineLevel="0" collapsed="false">
      <c r="B80" s="28" t="n">
        <v>77</v>
      </c>
      <c r="C80" s="37" t="s">
        <v>10000</v>
      </c>
      <c r="D80" s="38" t="s">
        <v>9972</v>
      </c>
      <c r="E80" s="37"/>
      <c r="F80" s="51"/>
    </row>
    <row r="81" customFormat="false" ht="15" hidden="false" customHeight="false" outlineLevel="0" collapsed="false">
      <c r="B81" s="28" t="n">
        <v>78</v>
      </c>
      <c r="C81" s="37" t="s">
        <v>8798</v>
      </c>
      <c r="D81" s="38" t="s">
        <v>9972</v>
      </c>
      <c r="E81" s="37"/>
      <c r="F81" s="51"/>
    </row>
    <row r="82" customFormat="false" ht="15" hidden="false" customHeight="false" outlineLevel="0" collapsed="false">
      <c r="B82" s="28" t="n">
        <v>79</v>
      </c>
      <c r="C82" s="37" t="s">
        <v>8819</v>
      </c>
      <c r="D82" s="38" t="s">
        <v>9972</v>
      </c>
      <c r="E82" s="37"/>
      <c r="F82" s="51"/>
    </row>
    <row r="83" customFormat="false" ht="15" hidden="false" customHeight="false" outlineLevel="0" collapsed="false">
      <c r="B83" s="28" t="n">
        <v>80</v>
      </c>
      <c r="C83" s="37" t="s">
        <v>8894</v>
      </c>
      <c r="D83" s="38" t="s">
        <v>9972</v>
      </c>
      <c r="E83" s="37"/>
      <c r="F83" s="51"/>
    </row>
    <row r="84" customFormat="false" ht="15" hidden="false" customHeight="false" outlineLevel="0" collapsed="false">
      <c r="B84" s="28" t="n">
        <v>81</v>
      </c>
      <c r="C84" s="37" t="s">
        <v>10001</v>
      </c>
      <c r="D84" s="38" t="s">
        <v>9972</v>
      </c>
      <c r="E84" s="37"/>
      <c r="F84" s="51"/>
    </row>
    <row r="85" customFormat="false" ht="15" hidden="false" customHeight="false" outlineLevel="0" collapsed="false">
      <c r="B85" s="28" t="n">
        <v>82</v>
      </c>
      <c r="C85" s="37" t="s">
        <v>9054</v>
      </c>
      <c r="D85" s="38" t="s">
        <v>9972</v>
      </c>
      <c r="E85" s="37"/>
      <c r="F85" s="51"/>
    </row>
    <row r="86" customFormat="false" ht="15" hidden="false" customHeight="false" outlineLevel="0" collapsed="false">
      <c r="B86" s="28" t="n">
        <v>83</v>
      </c>
      <c r="C86" s="37" t="s">
        <v>10002</v>
      </c>
      <c r="D86" s="38" t="s">
        <v>9972</v>
      </c>
      <c r="E86" s="37"/>
      <c r="F86" s="51"/>
    </row>
    <row r="87" customFormat="false" ht="15" hidden="false" customHeight="false" outlineLevel="0" collapsed="false">
      <c r="B87" s="28" t="n">
        <v>84</v>
      </c>
      <c r="C87" s="37" t="s">
        <v>7066</v>
      </c>
      <c r="D87" s="38" t="s">
        <v>9972</v>
      </c>
      <c r="E87" s="37"/>
      <c r="F87" s="51"/>
    </row>
    <row r="88" customFormat="false" ht="15" hidden="false" customHeight="false" outlineLevel="0" collapsed="false">
      <c r="B88" s="28" t="n">
        <v>85</v>
      </c>
      <c r="C88" s="37" t="s">
        <v>9150</v>
      </c>
      <c r="D88" s="38" t="s">
        <v>9972</v>
      </c>
      <c r="E88" s="37"/>
      <c r="F88" s="51"/>
    </row>
    <row r="89" customFormat="false" ht="15" hidden="false" customHeight="false" outlineLevel="0" collapsed="false">
      <c r="B89" s="28" t="n">
        <v>86</v>
      </c>
      <c r="C89" s="37" t="s">
        <v>7067</v>
      </c>
      <c r="D89" s="38" t="s">
        <v>9972</v>
      </c>
      <c r="E89" s="37"/>
      <c r="F89" s="51"/>
    </row>
    <row r="90" customFormat="false" ht="15" hidden="false" customHeight="false" outlineLevel="0" collapsed="false">
      <c r="B90" s="28" t="n">
        <v>87</v>
      </c>
      <c r="C90" s="37" t="s">
        <v>9179</v>
      </c>
      <c r="D90" s="38" t="s">
        <v>9972</v>
      </c>
      <c r="E90" s="37"/>
      <c r="F90" s="51"/>
    </row>
    <row r="91" customFormat="false" ht="15" hidden="false" customHeight="false" outlineLevel="0" collapsed="false">
      <c r="B91" s="28" t="n">
        <v>88</v>
      </c>
      <c r="C91" s="37" t="s">
        <v>9218</v>
      </c>
      <c r="D91" s="38" t="s">
        <v>9972</v>
      </c>
      <c r="E91" s="37"/>
      <c r="F91" s="51"/>
    </row>
  </sheetData>
  <mergeCells count="1">
    <mergeCell ref="B2:F2"/>
  </mergeCells>
  <hyperlinks>
    <hyperlink ref="C4" r:id="rId1" display="https://striking-viking.com/pages/contact-us"/>
    <hyperlink ref="C5" r:id="rId2" display="https://striking-viking.com/pages/faqs"/>
    <hyperlink ref="C6" r:id="rId3" display="https://striking-viking.com/pages/sign-up"/>
    <hyperlink ref="C7" r:id="rId4" display="https://striking-viking.com/collections/2026-deals"/>
    <hyperlink ref="C8" r:id="rId5" display="https://striking-viking.com/de/collections/2026-deals"/>
    <hyperlink ref="C9" r:id="rId6" display="https://striking-viking.com/en-ca/pages/contact-us"/>
    <hyperlink ref="C10" r:id="rId7" display="https://striking-viking.com/fr/pages/faqs"/>
    <hyperlink ref="C11" r:id="rId8" display="https://striking-viking.com/it/pages/faqs"/>
    <hyperlink ref="C12" r:id="rId9" display="https://striking-viking.com/it/pages/contact-us"/>
    <hyperlink ref="C13" r:id="rId10" display="https://striking-viking.com/fr/collections/2026-deals"/>
    <hyperlink ref="C14" r:id="rId11" display="https://striking-viking.com/no/pages/contact-us"/>
    <hyperlink ref="C15" r:id="rId12" display="https://striking-viking.com/sv/pages/faqs"/>
    <hyperlink ref="C16" r:id="rId13" display="https://striking-viking.com/fr/pages/contact-us"/>
    <hyperlink ref="C17" r:id="rId14" display="https://striking-viking.com/es/collections/2026-deals"/>
    <hyperlink ref="C18" r:id="rId15" display="https://striking-viking.com/en-gb/pages/contact-us"/>
    <hyperlink ref="C19" r:id="rId16" display="https://striking-viking.com/sv/collections/2026-deals"/>
    <hyperlink ref="C20" r:id="rId17" display="https://striking-viking.com/en-gb/pages/faqs"/>
    <hyperlink ref="C21" r:id="rId18" display="https://striking-viking.com/no/collections/2026-deals"/>
    <hyperlink ref="C22" r:id="rId19" display="https://striking-viking.com/es/pages/faqs"/>
    <hyperlink ref="C23" r:id="rId20" display="https://striking-viking.com/de/pages/contact-us"/>
    <hyperlink ref="C24" r:id="rId21" display="https://striking-viking.com/it/collections/2026-deals"/>
    <hyperlink ref="C25" r:id="rId22" display="https://striking-viking.com/sv/pages/contact-us"/>
    <hyperlink ref="C26" r:id="rId23" display="https://striking-viking.com/en-gb/collections/2026-deals"/>
    <hyperlink ref="C27" r:id="rId24" display="https://striking-viking.com/en-ca/pages/faqs"/>
    <hyperlink ref="C28" r:id="rId25" display="https://striking-viking.com/fi/pages/faqs"/>
    <hyperlink ref="C29" r:id="rId26" display="https://striking-viking.com/no/pages/faqs"/>
    <hyperlink ref="C30" r:id="rId27" display="https://striking-viking.com/en-ca/collections/2026-deals"/>
    <hyperlink ref="C31" r:id="rId28" display="https://striking-viking.com/de/pages/faqs"/>
    <hyperlink ref="C32" r:id="rId29" display="https://striking-viking.com/fi/collections/2026-deals"/>
    <hyperlink ref="C33" r:id="rId30" display="https://striking-viking.com/fi/pages/contact-us"/>
    <hyperlink ref="C34" r:id="rId31" display="https://striking-viking.com/es/pages/contact-us"/>
    <hyperlink ref="C35" r:id="rId32" display="https://striking-viking.com/en-gb/pages/sign-up"/>
    <hyperlink ref="C36" r:id="rId33" display="https://striking-viking.com/sv/pages/sign-up"/>
    <hyperlink ref="C37" r:id="rId34" display="https://striking-viking.com/en-ca/pages/sign-up"/>
    <hyperlink ref="C38" r:id="rId35" display="https://striking-viking.com/es/pages/sign-up"/>
    <hyperlink ref="C39" r:id="rId36" display="https://striking-viking.com/collections/new-in-oils-balms"/>
    <hyperlink ref="C40" r:id="rId37" display="https://striking-viking.com/de/pages/free-moustache-beard-scissors"/>
    <hyperlink ref="C41" r:id="rId38" display="https://striking-viking.com/pages/free-moustache-beard-scissors"/>
    <hyperlink ref="C42" r:id="rId39" display="https://striking-viking.com/fi/pages/sign-up"/>
    <hyperlink ref="C43" r:id="rId40" display="https://striking-viking.com/en-gb/pages/free-moustache-beard-scissors"/>
    <hyperlink ref="C44" r:id="rId41" display="https://striking-viking.com/sv/collections/new-in-oils-balms"/>
    <hyperlink ref="C45" r:id="rId42" display="https://striking-viking.com/en-ca/collections/new-in-oils-balms"/>
    <hyperlink ref="C46" r:id="rId43" display="https://striking-viking.com/de/pages/sign-up"/>
    <hyperlink ref="C47" r:id="rId44" display="https://striking-viking.com/en-ca/pages/free-moustache-beard-scissors"/>
    <hyperlink ref="C48" r:id="rId45" display="https://striking-viking.com/en-gb/collections/new-in-oils-balms"/>
    <hyperlink ref="C49" r:id="rId46" display="https://striking-viking.com/es/collections/new-in-oils-balms"/>
    <hyperlink ref="C50" r:id="rId47" display="https://striking-viking.com/de/collections/new-in-oils-balms"/>
    <hyperlink ref="C51" r:id="rId48" display="https://striking-viking.com/fi/collections/new-in-oils-balms"/>
    <hyperlink ref="C52" r:id="rId49" display="https://striking-viking.com/fr-ca/pages/contact-us"/>
    <hyperlink ref="C53" r:id="rId50" display="https://striking-viking.com/fr-ca/collections/2026-deals"/>
    <hyperlink ref="C54" r:id="rId51" display="https://striking-viking.com/fr-ca/pages/faqs"/>
    <hyperlink ref="C55" r:id="rId52" display="https://striking-viking.com/de/pages/ilm2025"/>
    <hyperlink ref="C56" r:id="rId53" display="https://striking-viking.com/no/pages/ilm2025"/>
    <hyperlink ref="C57" r:id="rId54" display="https://striking-viking.com/fi/pages/ilm-2025-sign-up"/>
    <hyperlink ref="C58" r:id="rId55" display="https://striking-viking.com/es/pages/free-moustache-beard-scissors"/>
    <hyperlink ref="C59" r:id="rId56" display="https://striking-viking.com/sv/pages/ilm-2025-sign-up"/>
    <hyperlink ref="C60" r:id="rId57" display="https://striking-viking.com/fi/pages/free-moustache-beard-scissors"/>
    <hyperlink ref="C61" r:id="rId58" display="https://striking-viking.com/fr/collections/new-in-oils-balms"/>
    <hyperlink ref="C62" r:id="rId59" display="https://striking-viking.com/fr-ca/collections/new-in-oils-balms"/>
    <hyperlink ref="C63" r:id="rId60" display="https://striking-viking.com/no/pages/ilm-2025-sign-up"/>
    <hyperlink ref="C64" r:id="rId61" display="https://striking-viking.com/fr/pages/free-moustache-beard-scissors"/>
    <hyperlink ref="C65" r:id="rId62" display="https://striking-viking.com/de/pages/ilm-2025-sign-up"/>
    <hyperlink ref="C66" r:id="rId63" display="https://striking-viking.com/en-ca/pages/ilm-2025-sign-up"/>
    <hyperlink ref="C67" r:id="rId64" display="https://striking-viking.com/it/collections/new-in-oils-balms"/>
    <hyperlink ref="C68" r:id="rId65" display="https://striking-viking.com/fr/pages/ilm2025"/>
    <hyperlink ref="C69" r:id="rId66" display="https://striking-viking.com/en-gb/pages/ilm2025"/>
    <hyperlink ref="C70" r:id="rId67" display="https://striking-viking.com/no/collections/new-in-oils-balms"/>
    <hyperlink ref="C71" r:id="rId68" display="https://striking-viking.com/fr-ca/pages/ilm2025"/>
    <hyperlink ref="C72" r:id="rId69" display="https://striking-viking.com/fr/pages/ilm-2025-sign-up"/>
    <hyperlink ref="C73" r:id="rId70" display="https://striking-viking.com/no/pages/free-moustache-beard-scissors"/>
    <hyperlink ref="C74" r:id="rId71" display="https://striking-viking.com/fr-ca/pages/sign-up"/>
    <hyperlink ref="C75" r:id="rId72" display="https://striking-viking.com/sv/pages/free-moustache-beard-scissors"/>
    <hyperlink ref="C76" r:id="rId73" display="https://striking-viking.com/it/pages/ilm-2025-sign-up"/>
    <hyperlink ref="C77" r:id="rId74" display="https://striking-viking.com/fi/pages/ilm2025"/>
    <hyperlink ref="C78" r:id="rId75" display="https://striking-viking.com/fr-ca/pages/free-moustache-beard-scissors"/>
    <hyperlink ref="C79" r:id="rId76" display="https://striking-viking.com/it/pages/free-moustache-beard-scissors"/>
    <hyperlink ref="C80" r:id="rId77" display="https://striking-viking.com/en-gb/pages/ilm-2025-sign-up"/>
    <hyperlink ref="C81" r:id="rId78" display="https://striking-viking.com/sv/pages/ilm2025"/>
    <hyperlink ref="C82" r:id="rId79" display="https://striking-viking.com/it/pages/sign-up"/>
    <hyperlink ref="C83" r:id="rId80" display="https://striking-viking.com/it/pages/ilm2025"/>
    <hyperlink ref="C84" r:id="rId81" display="https://striking-viking.com/no/pages/sign-up"/>
    <hyperlink ref="C85" r:id="rId82" display="https://striking-viking.com/es/pages/ilm2025"/>
    <hyperlink ref="C86" r:id="rId83" display="https://striking-viking.com/en-ca/pages/ilm2025"/>
    <hyperlink ref="C87" r:id="rId84" display="https://striking-viking.com/pages/ilm2025"/>
    <hyperlink ref="C88" r:id="rId85" display="https://striking-viking.com/fr/pages/sign-up"/>
    <hyperlink ref="C89" r:id="rId86" display="https://striking-viking.com/pages/ilm-2025-sign-up"/>
    <hyperlink ref="C90" r:id="rId87" display="https://striking-viking.com/es/pages/ilm-2025-sign-up"/>
    <hyperlink ref="C91" r:id="rId88" display="https://striking-viking.com/fr-ca/pages/ilm-2025-sign-u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C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83.38"/>
    <col collapsed="false" customWidth="true" hidden="false" outlineLevel="0" max="4" min="4" style="0" width="69.5"/>
    <col collapsed="false" customWidth="true" hidden="false" outlineLevel="0" max="5" min="5" style="0" width="29.75"/>
    <col collapsed="false" customWidth="true" hidden="false" outlineLevel="0" max="8" min="8" style="0" width="22"/>
  </cols>
  <sheetData>
    <row r="1" customFormat="false" ht="15" hidden="false" customHeight="false" outlineLevel="0" collapsed="false">
      <c r="E1" s="72"/>
      <c r="H1" s="26" t="str">
        <f aca="false">HYPERLINK("#'Master Overview'!A1","&lt;&lt; Master Overview")</f>
        <v>&lt;&lt; Master Overview</v>
      </c>
    </row>
    <row r="2" customFormat="false" ht="15" hidden="false" customHeight="false" outlineLevel="0" collapsed="false">
      <c r="E2" s="72"/>
      <c r="H2" s="2" t="s">
        <v>10003</v>
      </c>
    </row>
    <row r="3" customFormat="false" ht="17.35" hidden="false" customHeight="false" outlineLevel="0" collapsed="false">
      <c r="C3" s="76" t="s">
        <v>137</v>
      </c>
      <c r="D3" s="76"/>
      <c r="E3" s="76"/>
      <c r="F3" s="76"/>
    </row>
    <row r="4" customFormat="false" ht="15" hidden="false" customHeight="false" outlineLevel="0" collapsed="false">
      <c r="C4" s="80" t="s">
        <v>274</v>
      </c>
      <c r="D4" s="80" t="s">
        <v>3971</v>
      </c>
      <c r="E4" s="81" t="s">
        <v>3972</v>
      </c>
      <c r="F4" s="80" t="s">
        <v>81</v>
      </c>
    </row>
    <row r="5" customFormat="false" ht="15" hidden="false" customHeight="false" outlineLevel="0" collapsed="false">
      <c r="C5" s="82" t="s">
        <v>10004</v>
      </c>
      <c r="D5" s="82" t="s">
        <v>10005</v>
      </c>
      <c r="E5" s="83" t="n">
        <v>98</v>
      </c>
      <c r="F5" s="84"/>
    </row>
    <row r="6" customFormat="false" ht="15" hidden="false" customHeight="false" outlineLevel="0" collapsed="false">
      <c r="C6" s="82" t="s">
        <v>10006</v>
      </c>
      <c r="D6" s="82" t="s">
        <v>10007</v>
      </c>
      <c r="E6" s="83" t="n">
        <v>91</v>
      </c>
      <c r="F6" s="84"/>
    </row>
    <row r="7" customFormat="false" ht="15" hidden="false" customHeight="false" outlineLevel="0" collapsed="false">
      <c r="C7" s="82" t="s">
        <v>10008</v>
      </c>
      <c r="D7" s="82" t="s">
        <v>10009</v>
      </c>
      <c r="E7" s="83" t="n">
        <v>89</v>
      </c>
      <c r="F7" s="84"/>
    </row>
    <row r="8" customFormat="false" ht="15" hidden="false" customHeight="false" outlineLevel="0" collapsed="false">
      <c r="C8" s="82" t="s">
        <v>10010</v>
      </c>
      <c r="D8" s="82" t="s">
        <v>10011</v>
      </c>
      <c r="E8" s="83" t="n">
        <v>86</v>
      </c>
      <c r="F8" s="84"/>
    </row>
    <row r="9" customFormat="false" ht="15" hidden="false" customHeight="false" outlineLevel="0" collapsed="false">
      <c r="C9" s="82" t="s">
        <v>10012</v>
      </c>
      <c r="D9" s="82" t="s">
        <v>10013</v>
      </c>
      <c r="E9" s="83" t="n">
        <v>93</v>
      </c>
      <c r="F9" s="84"/>
    </row>
    <row r="10" customFormat="false" ht="15" hidden="false" customHeight="false" outlineLevel="0" collapsed="false">
      <c r="C10" s="82" t="s">
        <v>10014</v>
      </c>
      <c r="D10" s="82" t="s">
        <v>10015</v>
      </c>
      <c r="E10" s="83" t="n">
        <v>51</v>
      </c>
      <c r="F10" s="84"/>
    </row>
    <row r="11" customFormat="false" ht="15" hidden="false" customHeight="false" outlineLevel="0" collapsed="false">
      <c r="C11" s="82" t="s">
        <v>10016</v>
      </c>
      <c r="D11" s="82" t="s">
        <v>10017</v>
      </c>
      <c r="E11" s="83" t="n">
        <v>52</v>
      </c>
      <c r="F11" s="84"/>
    </row>
    <row r="12" customFormat="false" ht="15" hidden="false" customHeight="false" outlineLevel="0" collapsed="false">
      <c r="C12" s="82" t="s">
        <v>10018</v>
      </c>
      <c r="D12" s="82" t="s">
        <v>10019</v>
      </c>
      <c r="E12" s="83" t="n">
        <v>85</v>
      </c>
      <c r="F12" s="84"/>
    </row>
    <row r="13" customFormat="false" ht="15" hidden="false" customHeight="false" outlineLevel="0" collapsed="false">
      <c r="C13" s="82" t="s">
        <v>10020</v>
      </c>
      <c r="D13" s="82" t="s">
        <v>10021</v>
      </c>
      <c r="E13" s="83" t="n">
        <v>49</v>
      </c>
      <c r="F13" s="84"/>
    </row>
    <row r="14" customFormat="false" ht="15" hidden="false" customHeight="false" outlineLevel="0" collapsed="false">
      <c r="C14" s="82" t="s">
        <v>10022</v>
      </c>
      <c r="D14" s="82" t="s">
        <v>10023</v>
      </c>
      <c r="E14" s="83" t="n">
        <v>64</v>
      </c>
      <c r="F14" s="84"/>
    </row>
    <row r="15" customFormat="false" ht="15" hidden="false" customHeight="false" outlineLevel="0" collapsed="false">
      <c r="C15" s="82" t="s">
        <v>10024</v>
      </c>
      <c r="D15" s="82" t="s">
        <v>10025</v>
      </c>
      <c r="E15" s="83" t="n">
        <v>91</v>
      </c>
      <c r="F15" s="84"/>
    </row>
    <row r="16" customFormat="false" ht="15" hidden="false" customHeight="false" outlineLevel="0" collapsed="false">
      <c r="C16" s="82" t="s">
        <v>7149</v>
      </c>
      <c r="D16" s="82" t="s">
        <v>10026</v>
      </c>
      <c r="E16" s="83" t="n">
        <v>50</v>
      </c>
      <c r="F16" s="84"/>
    </row>
    <row r="17" customFormat="false" ht="15" hidden="false" customHeight="false" outlineLevel="0" collapsed="false">
      <c r="C17" s="82" t="s">
        <v>10027</v>
      </c>
      <c r="D17" s="82" t="s">
        <v>10028</v>
      </c>
      <c r="E17" s="83" t="n">
        <v>89</v>
      </c>
      <c r="F17" s="84"/>
    </row>
    <row r="18" customFormat="false" ht="15" hidden="false" customHeight="false" outlineLevel="0" collapsed="false">
      <c r="C18" s="82" t="s">
        <v>10029</v>
      </c>
      <c r="D18" s="82" t="s">
        <v>10030</v>
      </c>
      <c r="E18" s="83" t="n">
        <v>61</v>
      </c>
      <c r="F18" s="84"/>
    </row>
    <row r="19" customFormat="false" ht="15" hidden="false" customHeight="false" outlineLevel="0" collapsed="false">
      <c r="C19" s="82" t="s">
        <v>7160</v>
      </c>
      <c r="D19" s="82" t="s">
        <v>10028</v>
      </c>
      <c r="E19" s="83" t="n">
        <v>89</v>
      </c>
      <c r="F19" s="84"/>
    </row>
    <row r="20" customFormat="false" ht="15" hidden="false" customHeight="false" outlineLevel="0" collapsed="false">
      <c r="C20" s="82" t="s">
        <v>10031</v>
      </c>
      <c r="D20" s="82" t="s">
        <v>10026</v>
      </c>
      <c r="E20" s="83" t="n">
        <v>50</v>
      </c>
      <c r="F20" s="84"/>
    </row>
    <row r="21" customFormat="false" ht="15" hidden="false" customHeight="false" outlineLevel="0" collapsed="false">
      <c r="C21" s="82" t="s">
        <v>10032</v>
      </c>
      <c r="D21" s="82" t="s">
        <v>10017</v>
      </c>
      <c r="E21" s="83" t="n">
        <v>52</v>
      </c>
      <c r="F21" s="84"/>
    </row>
    <row r="22" customFormat="false" ht="15" hidden="false" customHeight="false" outlineLevel="0" collapsed="false">
      <c r="C22" s="82" t="s">
        <v>10033</v>
      </c>
      <c r="D22" s="82" t="s">
        <v>10034</v>
      </c>
      <c r="E22" s="83" t="n">
        <v>75</v>
      </c>
      <c r="F22" s="84"/>
    </row>
    <row r="23" customFormat="false" ht="15" hidden="false" customHeight="false" outlineLevel="0" collapsed="false">
      <c r="C23" s="82" t="s">
        <v>10035</v>
      </c>
      <c r="D23" s="82" t="s">
        <v>10036</v>
      </c>
      <c r="E23" s="83" t="n">
        <v>56</v>
      </c>
      <c r="F23" s="84"/>
    </row>
    <row r="24" customFormat="false" ht="15" hidden="false" customHeight="false" outlineLevel="0" collapsed="false">
      <c r="C24" s="82" t="s">
        <v>10037</v>
      </c>
      <c r="D24" s="82" t="s">
        <v>10038</v>
      </c>
      <c r="E24" s="83" t="n">
        <v>79</v>
      </c>
      <c r="F24" s="84"/>
    </row>
    <row r="25" customFormat="false" ht="15" hidden="false" customHeight="false" outlineLevel="0" collapsed="false">
      <c r="C25" s="82" t="s">
        <v>10039</v>
      </c>
      <c r="D25" s="82" t="s">
        <v>10040</v>
      </c>
      <c r="E25" s="83" t="n">
        <v>50</v>
      </c>
      <c r="F25" s="84"/>
    </row>
    <row r="26" customFormat="false" ht="15" hidden="false" customHeight="false" outlineLevel="0" collapsed="false">
      <c r="C26" s="82" t="s">
        <v>10041</v>
      </c>
      <c r="D26" s="82" t="s">
        <v>10042</v>
      </c>
      <c r="E26" s="83" t="n">
        <v>67</v>
      </c>
      <c r="F26" s="84"/>
    </row>
    <row r="27" customFormat="false" ht="15" hidden="false" customHeight="false" outlineLevel="0" collapsed="false">
      <c r="C27" s="82" t="s">
        <v>10043</v>
      </c>
      <c r="D27" s="82" t="s">
        <v>10044</v>
      </c>
      <c r="E27" s="83" t="n">
        <v>63</v>
      </c>
      <c r="F27" s="84"/>
    </row>
    <row r="28" customFormat="false" ht="15" hidden="false" customHeight="false" outlineLevel="0" collapsed="false">
      <c r="C28" s="82" t="s">
        <v>10045</v>
      </c>
      <c r="D28" s="82" t="s">
        <v>10046</v>
      </c>
      <c r="E28" s="83" t="n">
        <v>52</v>
      </c>
      <c r="F28" s="84"/>
    </row>
    <row r="29" customFormat="false" ht="15" hidden="false" customHeight="false" outlineLevel="0" collapsed="false">
      <c r="C29" s="82" t="s">
        <v>10047</v>
      </c>
      <c r="D29" s="82" t="s">
        <v>10048</v>
      </c>
      <c r="E29" s="83" t="n">
        <v>87</v>
      </c>
      <c r="F29" s="84"/>
    </row>
    <row r="30" customFormat="false" ht="15" hidden="false" customHeight="false" outlineLevel="0" collapsed="false">
      <c r="C30" s="82" t="s">
        <v>10049</v>
      </c>
      <c r="D30" s="82" t="s">
        <v>10050</v>
      </c>
      <c r="E30" s="83" t="n">
        <v>42</v>
      </c>
      <c r="F30" s="84"/>
    </row>
    <row r="31" customFormat="false" ht="15" hidden="false" customHeight="false" outlineLevel="0" collapsed="false">
      <c r="C31" s="82" t="s">
        <v>10051</v>
      </c>
      <c r="D31" s="82" t="s">
        <v>10052</v>
      </c>
      <c r="E31" s="83" t="n">
        <v>63</v>
      </c>
      <c r="F31" s="84"/>
    </row>
    <row r="32" customFormat="false" ht="15" hidden="false" customHeight="false" outlineLevel="0" collapsed="false">
      <c r="C32" s="82" t="s">
        <v>10053</v>
      </c>
      <c r="D32" s="82" t="s">
        <v>10054</v>
      </c>
      <c r="E32" s="83" t="n">
        <v>52</v>
      </c>
      <c r="F32" s="84"/>
    </row>
    <row r="33" customFormat="false" ht="15" hidden="false" customHeight="false" outlineLevel="0" collapsed="false">
      <c r="C33" s="82" t="s">
        <v>6874</v>
      </c>
      <c r="D33" s="82" t="s">
        <v>10044</v>
      </c>
      <c r="E33" s="83" t="n">
        <v>63</v>
      </c>
      <c r="F33" s="84"/>
    </row>
    <row r="34" customFormat="false" ht="15" hidden="false" customHeight="false" outlineLevel="0" collapsed="false">
      <c r="C34" s="82" t="s">
        <v>10055</v>
      </c>
      <c r="D34" s="82" t="s">
        <v>10056</v>
      </c>
      <c r="E34" s="83" t="n">
        <v>64</v>
      </c>
      <c r="F34" s="84"/>
    </row>
    <row r="35" customFormat="false" ht="15" hidden="false" customHeight="false" outlineLevel="0" collapsed="false">
      <c r="C35" s="82" t="s">
        <v>10057</v>
      </c>
      <c r="D35" s="82" t="s">
        <v>10058</v>
      </c>
      <c r="E35" s="83" t="n">
        <v>60</v>
      </c>
      <c r="F35" s="84"/>
    </row>
    <row r="36" customFormat="false" ht="15" hidden="false" customHeight="false" outlineLevel="0" collapsed="false">
      <c r="C36" s="82" t="s">
        <v>10059</v>
      </c>
      <c r="D36" s="82" t="s">
        <v>10026</v>
      </c>
      <c r="E36" s="83" t="n">
        <v>50</v>
      </c>
      <c r="F36" s="84"/>
    </row>
    <row r="37" customFormat="false" ht="15" hidden="false" customHeight="false" outlineLevel="0" collapsed="false">
      <c r="C37" s="82" t="s">
        <v>10060</v>
      </c>
      <c r="D37" s="82" t="s">
        <v>10061</v>
      </c>
      <c r="E37" s="83" t="n">
        <v>53</v>
      </c>
      <c r="F37" s="84"/>
    </row>
    <row r="38" customFormat="false" ht="15" hidden="false" customHeight="false" outlineLevel="0" collapsed="false">
      <c r="C38" s="82" t="s">
        <v>10062</v>
      </c>
      <c r="D38" s="82" t="s">
        <v>10063</v>
      </c>
      <c r="E38" s="83" t="n">
        <v>93</v>
      </c>
      <c r="F38" s="84"/>
    </row>
    <row r="39" customFormat="false" ht="15" hidden="false" customHeight="false" outlineLevel="0" collapsed="false">
      <c r="C39" s="82" t="s">
        <v>10064</v>
      </c>
      <c r="D39" s="82" t="s">
        <v>10044</v>
      </c>
      <c r="E39" s="83" t="n">
        <v>63</v>
      </c>
      <c r="F39" s="84"/>
    </row>
    <row r="40" customFormat="false" ht="15" hidden="false" customHeight="false" outlineLevel="0" collapsed="false">
      <c r="C40" s="82" t="s">
        <v>7141</v>
      </c>
      <c r="D40" s="82" t="s">
        <v>10017</v>
      </c>
      <c r="E40" s="83" t="n">
        <v>52</v>
      </c>
      <c r="F40" s="84"/>
    </row>
    <row r="41" customFormat="false" ht="15" hidden="false" customHeight="false" outlineLevel="0" collapsed="false">
      <c r="C41" s="82" t="s">
        <v>10065</v>
      </c>
      <c r="D41" s="82" t="s">
        <v>10066</v>
      </c>
      <c r="E41" s="83" t="n">
        <v>57</v>
      </c>
      <c r="F41" s="84"/>
    </row>
    <row r="42" customFormat="false" ht="15" hidden="false" customHeight="false" outlineLevel="0" collapsed="false">
      <c r="C42" s="82" t="s">
        <v>10067</v>
      </c>
      <c r="D42" s="82" t="s">
        <v>10068</v>
      </c>
      <c r="E42" s="83" t="n">
        <v>65</v>
      </c>
      <c r="F42" s="84"/>
    </row>
    <row r="43" customFormat="false" ht="15" hidden="false" customHeight="false" outlineLevel="0" collapsed="false">
      <c r="C43" s="82" t="s">
        <v>10069</v>
      </c>
      <c r="D43" s="82" t="s">
        <v>10040</v>
      </c>
      <c r="E43" s="83" t="n">
        <v>50</v>
      </c>
      <c r="F43" s="84"/>
    </row>
    <row r="44" customFormat="false" ht="15" hidden="false" customHeight="false" outlineLevel="0" collapsed="false">
      <c r="C44" s="82" t="s">
        <v>10070</v>
      </c>
      <c r="D44" s="82" t="s">
        <v>10054</v>
      </c>
      <c r="E44" s="83" t="n">
        <v>52</v>
      </c>
      <c r="F44" s="84"/>
    </row>
    <row r="45" customFormat="false" ht="15" hidden="false" customHeight="false" outlineLevel="0" collapsed="false">
      <c r="C45" s="82" t="s">
        <v>10071</v>
      </c>
      <c r="D45" s="82" t="s">
        <v>10072</v>
      </c>
      <c r="E45" s="83" t="n">
        <v>91</v>
      </c>
      <c r="F45" s="84"/>
    </row>
    <row r="46" customFormat="false" ht="15" hidden="false" customHeight="false" outlineLevel="0" collapsed="false">
      <c r="C46" s="82" t="s">
        <v>10073</v>
      </c>
      <c r="D46" s="82" t="s">
        <v>10028</v>
      </c>
      <c r="E46" s="83" t="n">
        <v>89</v>
      </c>
      <c r="F46" s="84"/>
    </row>
    <row r="47" customFormat="false" ht="15" hidden="false" customHeight="false" outlineLevel="0" collapsed="false">
      <c r="C47" s="82" t="s">
        <v>10074</v>
      </c>
      <c r="D47" s="82" t="s">
        <v>10075</v>
      </c>
      <c r="E47" s="83" t="n">
        <v>72</v>
      </c>
      <c r="F47" s="84"/>
    </row>
    <row r="48" customFormat="false" ht="15" hidden="false" customHeight="false" outlineLevel="0" collapsed="false">
      <c r="C48" s="82" t="s">
        <v>10076</v>
      </c>
      <c r="D48" s="82" t="s">
        <v>10019</v>
      </c>
      <c r="E48" s="83" t="n">
        <v>85</v>
      </c>
      <c r="F48" s="84"/>
    </row>
  </sheetData>
  <mergeCells count="1">
    <mergeCell ref="C3:F3"/>
  </mergeCells>
  <hyperlinks>
    <hyperlink ref="C5" r:id="rId1" display="https://striking-viking.com/de/blogs/learn/ride-the-wave-striking-viking-sea-salt-spray-for-effortless-men-s-style"/>
    <hyperlink ref="C6" r:id="rId2" display="https://striking-viking.com/fi/blogs/learn/ride-the-wave-striking-viking-sea-salt-spray-for-effortless-men-s-style"/>
    <hyperlink ref="C7" r:id="rId3" display="https://striking-viking.com/no/blogs/learn/ride-the-wave-striking-viking-sea-salt-spray-for-effortless-men-s-style"/>
    <hyperlink ref="C8" r:id="rId4" display="https://striking-viking.com/sv/blogs/learn/ride-the-wave-striking-viking-sea-salt-spray-for-effortless-men-s-style"/>
    <hyperlink ref="C9" r:id="rId5" display="https://striking-viking.com/sv/blogs/learn/the-ultimate-guide-to-grooming-with-ontaki-scissors"/>
    <hyperlink ref="C10" r:id="rId6" display="https://striking-viking.com/es/pages/spurit-reminders-cancelled"/>
    <hyperlink ref="C11" r:id="rId7" display="https://striking-viking.com/en-ca/pages/spurit-notifications-cancelled"/>
    <hyperlink ref="C12" r:id="rId8" display="https://striking-viking.com/fr/products/shipping-protection"/>
    <hyperlink ref="C13" r:id="rId9" display="https://striking-viking.com/no/pages/spurit-notifications-cancelled"/>
    <hyperlink ref="C14" r:id="rId10" display="https://striking-viking.com/es/products/shipping-protection"/>
    <hyperlink ref="C15" r:id="rId11" display="https://striking-viking.com/no/pages/spurit-merchant-notifications-cancelled"/>
    <hyperlink ref="C16" r:id="rId12" display="https://striking-viking.com/pages/spurit-reminders-cancelled"/>
    <hyperlink ref="C17" r:id="rId13" display="https://striking-viking.com/en-ca/pages/spurit-merchant-notifications-cancelled"/>
    <hyperlink ref="C18" r:id="rId14" display="https://striking-viking.com/it/pages/spurit-reminders-cancelled"/>
    <hyperlink ref="C19" r:id="rId15" display="https://striking-viking.com/pages/spurit-merchant-notifications-cancelled"/>
    <hyperlink ref="C20" r:id="rId16" display="https://striking-viking.com/en-ca/pages/spurit-reminders-cancelled"/>
    <hyperlink ref="C21" r:id="rId17" display="https://striking-viking.com/en-gb/pages/spurit-notifications-cancelled"/>
    <hyperlink ref="C22" r:id="rId18" display="https://striking-viking.com/it/products/shipping-protection"/>
    <hyperlink ref="C23" r:id="rId19" display="https://striking-viking.com/it/pages/spurit-notifications-cancelled"/>
    <hyperlink ref="C24" r:id="rId20" display="https://striking-viking.com/fi/products/shipping-protection"/>
    <hyperlink ref="C25" r:id="rId21" display="https://striking-viking.com/fr/pages/spurit-notifications-cancelled"/>
    <hyperlink ref="C26" r:id="rId22" display="https://striking-viking.com/de/pages/spurit-notifications-cancelled"/>
    <hyperlink ref="C27" r:id="rId23" display="https://striking-viking.com/en-ca/products/shipping-protection"/>
    <hyperlink ref="C28" r:id="rId24" display="https://striking-viking.com/no/pages/spurit-reminders-cancelled"/>
    <hyperlink ref="C29" r:id="rId25" display="https://striking-viking.com/de/products/shipping-protection"/>
    <hyperlink ref="C30" r:id="rId26" display="https://striking-viking.com/fi/pages/spurit-notifications-cancelled"/>
    <hyperlink ref="C31" r:id="rId27" display="https://striking-viking.com/fi/pages/spurit-reminders-cancelled"/>
    <hyperlink ref="C32" r:id="rId28" display="https://striking-viking.com/fr/pages/spurit-reminders-cancelled"/>
    <hyperlink ref="C33" r:id="rId29" display="https://striking-viking.com/products/shipping-protection"/>
    <hyperlink ref="C34" r:id="rId30" display="https://striking-viking.com/de/pages/spurit-reminders-cancelled"/>
    <hyperlink ref="C35" r:id="rId31" display="https://striking-viking.com/sv/pages/spurit-reminders-cancelled"/>
    <hyperlink ref="C36" r:id="rId32" display="https://striking-viking.com/en-gb/pages/spurit-reminders-cancelled"/>
    <hyperlink ref="C37" r:id="rId33" display="https://striking-viking.com/es/pages/spurit-notifications-cancelled"/>
    <hyperlink ref="C38" r:id="rId34" display="https://striking-viking.com/no/blogs/learn/the-ultimate-guide-to-grooming-with-ontaki-scissors"/>
    <hyperlink ref="C39" r:id="rId35" display="https://striking-viking.com/en-gb/products/shipping-protection"/>
    <hyperlink ref="C40" r:id="rId36" display="https://striking-viking.com/pages/spurit-notifications-cancelled"/>
    <hyperlink ref="C41" r:id="rId37" display="https://striking-viking.com/sv/pages/spurit-notifications-cancelled"/>
    <hyperlink ref="C42" r:id="rId38" display="https://striking-viking.com/no/products/shipping-protection"/>
    <hyperlink ref="C43" r:id="rId39" display="https://striking-viking.com/fr-ca/pages/spurit-notifications-cancelled"/>
    <hyperlink ref="C44" r:id="rId40" display="https://striking-viking.com/fr-ca/pages/spurit-reminders-cancelled"/>
    <hyperlink ref="C45" r:id="rId41" display="https://striking-viking.com/fi/pages/spurit-merchant-notifications-cancelled"/>
    <hyperlink ref="C46" r:id="rId42" display="https://striking-viking.com/en-gb/pages/spurit-merchant-notifications-cancelled"/>
    <hyperlink ref="C47" r:id="rId43" display="https://striking-viking.com/sv/products/shipping-protection"/>
    <hyperlink ref="C48" r:id="rId44" display="https://striking-viking.com/fr-ca/products/shipping-protec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50.75"/>
    <col collapsed="false" customWidth="true" hidden="false" outlineLevel="0" max="4" min="4" style="0" width="26.12"/>
    <col collapsed="false" customWidth="true" hidden="false" outlineLevel="0" max="7" min="7" style="0" width="22"/>
  </cols>
  <sheetData>
    <row r="1" customFormat="false" ht="15" hidden="false" customHeight="false" outlineLevel="0" collapsed="false">
      <c r="G1" s="26" t="str">
        <f aca="false">HYPERLINK("#'Master Overview'!A1","&lt;&lt; Master Overview")</f>
        <v>&lt;&lt; Master Overview</v>
      </c>
    </row>
    <row r="2" customFormat="false" ht="15" hidden="false" customHeight="false" outlineLevel="0" collapsed="false">
      <c r="G2" s="2" t="s">
        <v>10077</v>
      </c>
    </row>
    <row r="4" customFormat="false" ht="16.15" hidden="false" customHeight="false" outlineLevel="0" collapsed="false">
      <c r="B4" s="85" t="s">
        <v>138</v>
      </c>
      <c r="C4" s="85"/>
      <c r="D4" s="85"/>
      <c r="E4" s="85"/>
    </row>
    <row r="5" customFormat="false" ht="15" hidden="false" customHeight="false" outlineLevel="0" collapsed="false">
      <c r="B5" s="86" t="s">
        <v>6863</v>
      </c>
      <c r="C5" s="78" t="s">
        <v>274</v>
      </c>
      <c r="D5" s="78" t="s">
        <v>3971</v>
      </c>
      <c r="E5" s="78" t="s">
        <v>81</v>
      </c>
    </row>
    <row r="6" customFormat="false" ht="15" hidden="false" customHeight="false" outlineLevel="0" collapsed="false">
      <c r="B6" s="28" t="n">
        <v>1</v>
      </c>
      <c r="C6" s="37" t="s">
        <v>7143</v>
      </c>
      <c r="D6" s="37" t="s">
        <v>9972</v>
      </c>
      <c r="E6" s="38"/>
    </row>
    <row r="7" customFormat="false" ht="15" hidden="false" customHeight="false" outlineLevel="0" collapsed="false">
      <c r="B7" s="28" t="n">
        <v>2</v>
      </c>
      <c r="C7" s="37" t="s">
        <v>10078</v>
      </c>
      <c r="D7" s="37" t="s">
        <v>9972</v>
      </c>
      <c r="E7" s="38"/>
    </row>
    <row r="8" customFormat="false" ht="15" hidden="false" customHeight="false" outlineLevel="0" collapsed="false">
      <c r="B8" s="28" t="n">
        <v>3</v>
      </c>
      <c r="C8" s="37" t="s">
        <v>10079</v>
      </c>
      <c r="D8" s="37" t="s">
        <v>9972</v>
      </c>
      <c r="E8" s="38"/>
    </row>
    <row r="9" customFormat="false" ht="15" hidden="false" customHeight="false" outlineLevel="0" collapsed="false">
      <c r="B9" s="28" t="n">
        <v>4</v>
      </c>
      <c r="C9" s="37" t="s">
        <v>10080</v>
      </c>
      <c r="D9" s="37" t="s">
        <v>9972</v>
      </c>
      <c r="E9" s="38"/>
    </row>
    <row r="10" customFormat="false" ht="15" hidden="false" customHeight="false" outlineLevel="0" collapsed="false">
      <c r="B10" s="28" t="n">
        <v>5</v>
      </c>
      <c r="C10" s="37" t="s">
        <v>10081</v>
      </c>
      <c r="D10" s="37" t="s">
        <v>9972</v>
      </c>
      <c r="E10" s="38"/>
    </row>
    <row r="11" customFormat="false" ht="15" hidden="false" customHeight="false" outlineLevel="0" collapsed="false">
      <c r="B11" s="28" t="n">
        <v>6</v>
      </c>
      <c r="C11" s="37" t="s">
        <v>10082</v>
      </c>
      <c r="D11" s="37" t="s">
        <v>9972</v>
      </c>
      <c r="E11" s="38"/>
    </row>
    <row r="12" customFormat="false" ht="15" hidden="false" customHeight="false" outlineLevel="0" collapsed="false">
      <c r="B12" s="28" t="n">
        <v>7</v>
      </c>
      <c r="C12" s="37" t="s">
        <v>10083</v>
      </c>
      <c r="D12" s="37" t="s">
        <v>9972</v>
      </c>
      <c r="E12" s="38"/>
    </row>
    <row r="13" customFormat="false" ht="15" hidden="false" customHeight="false" outlineLevel="0" collapsed="false">
      <c r="B13" s="28" t="n">
        <v>8</v>
      </c>
      <c r="C13" s="37" t="s">
        <v>10084</v>
      </c>
      <c r="D13" s="37" t="s">
        <v>9972</v>
      </c>
      <c r="E13" s="38"/>
    </row>
    <row r="14" customFormat="false" ht="15" hidden="false" customHeight="false" outlineLevel="0" collapsed="false">
      <c r="B14" s="28" t="n">
        <v>9</v>
      </c>
      <c r="C14" s="37" t="s">
        <v>10085</v>
      </c>
      <c r="D14" s="37" t="s">
        <v>9972</v>
      </c>
      <c r="E14" s="38"/>
    </row>
    <row r="15" customFormat="false" ht="15" hidden="false" customHeight="false" outlineLevel="0" collapsed="false">
      <c r="B15" s="28" t="n">
        <v>10</v>
      </c>
      <c r="C15" s="37" t="s">
        <v>10086</v>
      </c>
      <c r="D15" s="37" t="s">
        <v>9972</v>
      </c>
      <c r="E15" s="38"/>
    </row>
  </sheetData>
  <mergeCells count="1">
    <mergeCell ref="B4:E4"/>
  </mergeCells>
  <hyperlinks>
    <hyperlink ref="C6" r:id="rId1" display="https://striking-viking.com/pages/spurit-subscriptions"/>
    <hyperlink ref="C7" r:id="rId2" display="https://striking-viking.com/en-gb/pages/spurit-subscriptions"/>
    <hyperlink ref="C8" r:id="rId3" display="https://striking-viking.com/no/pages/spurit-subscriptions"/>
    <hyperlink ref="C9" r:id="rId4" display="https://striking-viking.com/fr-ca/pages/spurit-subscriptions"/>
    <hyperlink ref="C10" r:id="rId5" display="https://striking-viking.com/es/pages/spurit-subscriptions"/>
    <hyperlink ref="C11" r:id="rId6" display="https://striking-viking.com/it/pages/spurit-subscriptions"/>
    <hyperlink ref="C12" r:id="rId7" display="https://striking-viking.com/en-ca/pages/spurit-subscriptions"/>
    <hyperlink ref="C13" r:id="rId8" display="https://striking-viking.com/fr/pages/spurit-subscriptions"/>
    <hyperlink ref="C14" r:id="rId9" display="https://striking-viking.com/de/pages/spurit-subscriptions"/>
    <hyperlink ref="C15" r:id="rId10" display="https://striking-viking.com/sv/pages/spurit-subscrip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I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54.12"/>
    <col collapsed="false" customWidth="true" hidden="false" outlineLevel="0" max="4" min="4" style="0" width="47.13"/>
    <col collapsed="false" customWidth="true" hidden="false" outlineLevel="0" max="9" min="9" style="0" width="22"/>
  </cols>
  <sheetData>
    <row r="1" customFormat="false" ht="15" hidden="false" customHeight="false" outlineLevel="0" collapsed="false">
      <c r="C1" s="52"/>
      <c r="I1" s="26" t="str">
        <f aca="false">HYPERLINK("#'Master Overview'!A1","&lt;&lt; Master Overview")</f>
        <v>&lt;&lt; Master Overview</v>
      </c>
    </row>
    <row r="2" customFormat="false" ht="18.55" hidden="false" customHeight="false" outlineLevel="0" collapsed="false">
      <c r="B2" s="87" t="s">
        <v>139</v>
      </c>
      <c r="C2" s="87"/>
      <c r="D2" s="87"/>
      <c r="E2" s="87"/>
      <c r="F2" s="87"/>
      <c r="G2" s="87"/>
      <c r="I2" s="2" t="s">
        <v>10087</v>
      </c>
    </row>
    <row r="3" customFormat="false" ht="15" hidden="false" customHeight="false" outlineLevel="0" collapsed="false">
      <c r="B3" s="88" t="s">
        <v>10088</v>
      </c>
      <c r="C3" s="89" t="s">
        <v>274</v>
      </c>
      <c r="D3" s="89" t="s">
        <v>9970</v>
      </c>
      <c r="E3" s="89" t="s">
        <v>9971</v>
      </c>
      <c r="F3" s="89" t="s">
        <v>4193</v>
      </c>
      <c r="G3" s="88" t="s">
        <v>81</v>
      </c>
    </row>
    <row r="4" customFormat="false" ht="15" hidden="false" customHeight="false" outlineLevel="0" collapsed="false">
      <c r="B4" s="51" t="n">
        <v>1</v>
      </c>
      <c r="C4" s="37" t="s">
        <v>7099</v>
      </c>
      <c r="D4" s="39" t="s">
        <v>10089</v>
      </c>
      <c r="E4" s="39" t="s">
        <v>10090</v>
      </c>
      <c r="F4" s="90" t="n">
        <v>2</v>
      </c>
      <c r="G4" s="51"/>
    </row>
    <row r="5" customFormat="false" ht="15" hidden="false" customHeight="false" outlineLevel="0" collapsed="false">
      <c r="B5" s="51" t="n">
        <v>2</v>
      </c>
      <c r="C5" s="37" t="s">
        <v>7137</v>
      </c>
      <c r="D5" s="39" t="s">
        <v>10091</v>
      </c>
      <c r="E5" s="39" t="s">
        <v>10092</v>
      </c>
      <c r="F5" s="90" t="n">
        <v>2</v>
      </c>
      <c r="G5" s="51"/>
    </row>
    <row r="6" customFormat="false" ht="15" hidden="false" customHeight="false" outlineLevel="0" collapsed="false">
      <c r="B6" s="51" t="n">
        <v>3</v>
      </c>
      <c r="C6" s="37" t="s">
        <v>7074</v>
      </c>
      <c r="D6" s="39" t="s">
        <v>10093</v>
      </c>
      <c r="E6" s="39" t="s">
        <v>10094</v>
      </c>
      <c r="F6" s="90" t="n">
        <v>2</v>
      </c>
      <c r="G6" s="51"/>
    </row>
    <row r="7" customFormat="false" ht="15" hidden="false" customHeight="false" outlineLevel="0" collapsed="false">
      <c r="B7" s="51" t="n">
        <v>4</v>
      </c>
      <c r="C7" s="37" t="s">
        <v>7008</v>
      </c>
      <c r="D7" s="39" t="s">
        <v>10095</v>
      </c>
      <c r="E7" s="39" t="s">
        <v>10096</v>
      </c>
      <c r="F7" s="90" t="n">
        <v>5</v>
      </c>
      <c r="G7" s="51"/>
    </row>
    <row r="8" customFormat="false" ht="15" hidden="false" customHeight="false" outlineLevel="0" collapsed="false">
      <c r="B8" s="51" t="n">
        <v>5</v>
      </c>
      <c r="C8" s="37" t="s">
        <v>7065</v>
      </c>
      <c r="D8" s="39" t="s">
        <v>10097</v>
      </c>
      <c r="E8" s="39" t="s">
        <v>10098</v>
      </c>
      <c r="F8" s="90" t="n">
        <v>2</v>
      </c>
      <c r="G8" s="51"/>
    </row>
    <row r="9" customFormat="false" ht="15" hidden="false" customHeight="false" outlineLevel="0" collapsed="false">
      <c r="B9" s="51" t="n">
        <v>6</v>
      </c>
      <c r="C9" s="37" t="s">
        <v>7053</v>
      </c>
      <c r="D9" s="39" t="s">
        <v>10099</v>
      </c>
      <c r="E9" s="39" t="s">
        <v>10100</v>
      </c>
      <c r="F9" s="90" t="n">
        <v>2</v>
      </c>
      <c r="G9" s="51"/>
    </row>
    <row r="10" customFormat="false" ht="15" hidden="false" customHeight="false" outlineLevel="0" collapsed="false">
      <c r="B10" s="51" t="n">
        <v>7</v>
      </c>
      <c r="C10" s="37" t="s">
        <v>7109</v>
      </c>
      <c r="D10" s="39" t="s">
        <v>10101</v>
      </c>
      <c r="E10" s="39" t="s">
        <v>10102</v>
      </c>
      <c r="F10" s="90" t="n">
        <v>2</v>
      </c>
      <c r="G10" s="51"/>
    </row>
    <row r="11" customFormat="false" ht="15" hidden="false" customHeight="false" outlineLevel="0" collapsed="false">
      <c r="B11" s="51" t="n">
        <v>8</v>
      </c>
      <c r="C11" s="37" t="s">
        <v>7088</v>
      </c>
      <c r="D11" s="39" t="s">
        <v>10103</v>
      </c>
      <c r="E11" s="39" t="s">
        <v>10104</v>
      </c>
      <c r="F11" s="90" t="n">
        <v>2</v>
      </c>
      <c r="G11" s="51"/>
    </row>
    <row r="12" customFormat="false" ht="15" hidden="false" customHeight="false" outlineLevel="0" collapsed="false">
      <c r="B12" s="51" t="n">
        <v>9</v>
      </c>
      <c r="C12" s="37" t="s">
        <v>7000</v>
      </c>
      <c r="D12" s="39" t="s">
        <v>10105</v>
      </c>
      <c r="E12" s="39" t="s">
        <v>10106</v>
      </c>
      <c r="F12" s="90" t="n">
        <v>2</v>
      </c>
      <c r="G12" s="51"/>
    </row>
    <row r="13" customFormat="false" ht="15" hidden="false" customHeight="false" outlineLevel="0" collapsed="false">
      <c r="B13" s="51" t="n">
        <v>10</v>
      </c>
      <c r="C13" s="37" t="s">
        <v>7283</v>
      </c>
      <c r="D13" s="39" t="s">
        <v>10107</v>
      </c>
      <c r="E13" s="39" t="s">
        <v>10108</v>
      </c>
      <c r="F13" s="90" t="n">
        <v>2</v>
      </c>
      <c r="G13" s="51"/>
    </row>
    <row r="14" customFormat="false" ht="15" hidden="false" customHeight="false" outlineLevel="0" collapsed="false">
      <c r="B14" s="51" t="n">
        <v>11</v>
      </c>
      <c r="C14" s="37" t="s">
        <v>7292</v>
      </c>
      <c r="D14" s="39" t="s">
        <v>10109</v>
      </c>
      <c r="E14" s="39" t="s">
        <v>10110</v>
      </c>
      <c r="F14" s="90" t="n">
        <v>2</v>
      </c>
      <c r="G14" s="51"/>
    </row>
    <row r="15" customFormat="false" ht="15" hidden="false" customHeight="false" outlineLevel="0" collapsed="false">
      <c r="B15" s="51" t="n">
        <v>12</v>
      </c>
      <c r="C15" s="37" t="s">
        <v>10111</v>
      </c>
      <c r="D15" s="39" t="s">
        <v>10089</v>
      </c>
      <c r="E15" s="39" t="s">
        <v>10090</v>
      </c>
      <c r="F15" s="90" t="n">
        <v>2</v>
      </c>
      <c r="G15" s="51"/>
    </row>
    <row r="16" customFormat="false" ht="15" hidden="false" customHeight="false" outlineLevel="0" collapsed="false">
      <c r="B16" s="51" t="n">
        <v>13</v>
      </c>
      <c r="C16" s="37" t="s">
        <v>10112</v>
      </c>
      <c r="D16" s="39" t="s">
        <v>10113</v>
      </c>
      <c r="E16" s="39" t="s">
        <v>10114</v>
      </c>
      <c r="F16" s="90" t="n">
        <v>2</v>
      </c>
      <c r="G16" s="51"/>
    </row>
    <row r="17" customFormat="false" ht="15" hidden="false" customHeight="false" outlineLevel="0" collapsed="false">
      <c r="B17" s="51" t="n">
        <v>14</v>
      </c>
      <c r="C17" s="37" t="s">
        <v>9255</v>
      </c>
      <c r="D17" s="39" t="s">
        <v>10115</v>
      </c>
      <c r="E17" s="39" t="s">
        <v>10116</v>
      </c>
      <c r="F17" s="90" t="n">
        <v>2</v>
      </c>
      <c r="G17" s="51"/>
    </row>
    <row r="18" customFormat="false" ht="15" hidden="false" customHeight="false" outlineLevel="0" collapsed="false">
      <c r="B18" s="51" t="n">
        <v>15</v>
      </c>
      <c r="C18" s="37" t="s">
        <v>10004</v>
      </c>
      <c r="D18" s="39" t="s">
        <v>10117</v>
      </c>
      <c r="E18" s="39" t="s">
        <v>10118</v>
      </c>
      <c r="F18" s="90" t="n">
        <v>2</v>
      </c>
      <c r="G18" s="51"/>
    </row>
    <row r="19" customFormat="false" ht="15" hidden="false" customHeight="false" outlineLevel="0" collapsed="false">
      <c r="B19" s="51" t="n">
        <v>16</v>
      </c>
      <c r="C19" s="37" t="s">
        <v>7321</v>
      </c>
      <c r="D19" s="39" t="s">
        <v>10119</v>
      </c>
      <c r="E19" s="39" t="s">
        <v>10120</v>
      </c>
      <c r="F19" s="90" t="n">
        <v>5</v>
      </c>
      <c r="G19" s="51"/>
    </row>
    <row r="20" customFormat="false" ht="15" hidden="false" customHeight="false" outlineLevel="0" collapsed="false">
      <c r="B20" s="51" t="n">
        <v>17</v>
      </c>
      <c r="C20" s="37" t="s">
        <v>7323</v>
      </c>
      <c r="D20" s="39" t="s">
        <v>10121</v>
      </c>
      <c r="E20" s="39" t="s">
        <v>10122</v>
      </c>
      <c r="F20" s="90" t="n">
        <v>2</v>
      </c>
      <c r="G20" s="51"/>
    </row>
    <row r="21" customFormat="false" ht="15" hidden="false" customHeight="false" outlineLevel="0" collapsed="false">
      <c r="B21" s="51" t="n">
        <v>18</v>
      </c>
      <c r="C21" s="37" t="s">
        <v>7329</v>
      </c>
      <c r="D21" s="39" t="s">
        <v>10123</v>
      </c>
      <c r="E21" s="39" t="s">
        <v>10124</v>
      </c>
      <c r="F21" s="90" t="n">
        <v>2</v>
      </c>
      <c r="G21" s="51"/>
    </row>
    <row r="22" customFormat="false" ht="15" hidden="false" customHeight="false" outlineLevel="0" collapsed="false">
      <c r="B22" s="51" t="n">
        <v>19</v>
      </c>
      <c r="C22" s="37" t="s">
        <v>7333</v>
      </c>
      <c r="D22" s="39" t="s">
        <v>10125</v>
      </c>
      <c r="E22" s="39" t="s">
        <v>10126</v>
      </c>
      <c r="F22" s="90" t="n">
        <v>5</v>
      </c>
      <c r="G22" s="51"/>
    </row>
    <row r="23" customFormat="false" ht="15" hidden="false" customHeight="false" outlineLevel="0" collapsed="false">
      <c r="B23" s="51" t="n">
        <v>20</v>
      </c>
      <c r="C23" s="37" t="s">
        <v>9273</v>
      </c>
      <c r="D23" s="39" t="s">
        <v>10091</v>
      </c>
      <c r="E23" s="39" t="s">
        <v>10092</v>
      </c>
      <c r="F23" s="90" t="n">
        <v>2</v>
      </c>
      <c r="G23" s="51"/>
    </row>
    <row r="24" customFormat="false" ht="15" hidden="false" customHeight="false" outlineLevel="0" collapsed="false">
      <c r="B24" s="51" t="n">
        <v>21</v>
      </c>
      <c r="C24" s="37" t="s">
        <v>9274</v>
      </c>
      <c r="D24" s="39" t="s">
        <v>10097</v>
      </c>
      <c r="E24" s="39" t="s">
        <v>10098</v>
      </c>
      <c r="F24" s="90" t="n">
        <v>2</v>
      </c>
      <c r="G24" s="51"/>
    </row>
    <row r="25" customFormat="false" ht="15" hidden="false" customHeight="false" outlineLevel="0" collapsed="false">
      <c r="B25" s="51" t="n">
        <v>22</v>
      </c>
      <c r="C25" s="37" t="s">
        <v>7343</v>
      </c>
      <c r="D25" s="39" t="s">
        <v>10127</v>
      </c>
      <c r="E25" s="39" t="s">
        <v>10128</v>
      </c>
      <c r="F25" s="90" t="n">
        <v>5</v>
      </c>
      <c r="G25" s="51"/>
    </row>
    <row r="26" customFormat="false" ht="15" hidden="false" customHeight="false" outlineLevel="0" collapsed="false">
      <c r="B26" s="51" t="n">
        <v>23</v>
      </c>
      <c r="C26" s="37" t="s">
        <v>7346</v>
      </c>
      <c r="D26" s="39" t="s">
        <v>10129</v>
      </c>
      <c r="E26" s="39" t="s">
        <v>10130</v>
      </c>
      <c r="F26" s="90" t="n">
        <v>2</v>
      </c>
      <c r="G26" s="51"/>
    </row>
    <row r="27" customFormat="false" ht="15" hidden="false" customHeight="false" outlineLevel="0" collapsed="false">
      <c r="B27" s="51" t="n">
        <v>24</v>
      </c>
      <c r="C27" s="37" t="s">
        <v>7348</v>
      </c>
      <c r="D27" s="39" t="s">
        <v>10131</v>
      </c>
      <c r="E27" s="39" t="s">
        <v>10132</v>
      </c>
      <c r="F27" s="90" t="n">
        <v>2</v>
      </c>
      <c r="G27" s="51"/>
    </row>
    <row r="28" customFormat="false" ht="15" hidden="false" customHeight="false" outlineLevel="0" collapsed="false">
      <c r="B28" s="51" t="n">
        <v>25</v>
      </c>
      <c r="C28" s="37" t="s">
        <v>7354</v>
      </c>
      <c r="D28" s="39" t="s">
        <v>10133</v>
      </c>
      <c r="E28" s="39" t="s">
        <v>10124</v>
      </c>
      <c r="F28" s="90" t="n">
        <v>2</v>
      </c>
      <c r="G28" s="51"/>
    </row>
    <row r="29" customFormat="false" ht="15" hidden="false" customHeight="false" outlineLevel="0" collapsed="false">
      <c r="B29" s="51" t="n">
        <v>26</v>
      </c>
      <c r="C29" s="37" t="s">
        <v>9283</v>
      </c>
      <c r="D29" s="39" t="s">
        <v>10134</v>
      </c>
      <c r="E29" s="39" t="s">
        <v>10135</v>
      </c>
      <c r="F29" s="90" t="n">
        <v>2</v>
      </c>
      <c r="G29" s="51"/>
    </row>
    <row r="30" customFormat="false" ht="15" hidden="false" customHeight="false" outlineLevel="0" collapsed="false">
      <c r="B30" s="51" t="n">
        <v>27</v>
      </c>
      <c r="C30" s="37" t="s">
        <v>7364</v>
      </c>
      <c r="D30" s="39" t="s">
        <v>10136</v>
      </c>
      <c r="E30" s="39" t="s">
        <v>10137</v>
      </c>
      <c r="F30" s="90" t="n">
        <v>2</v>
      </c>
      <c r="G30" s="51"/>
    </row>
    <row r="31" customFormat="false" ht="15" hidden="false" customHeight="false" outlineLevel="0" collapsed="false">
      <c r="B31" s="51" t="n">
        <v>28</v>
      </c>
      <c r="C31" s="37" t="s">
        <v>7374</v>
      </c>
      <c r="D31" s="39" t="s">
        <v>10138</v>
      </c>
      <c r="E31" s="39" t="s">
        <v>10139</v>
      </c>
      <c r="F31" s="90" t="n">
        <v>5</v>
      </c>
      <c r="G31" s="51"/>
    </row>
    <row r="32" customFormat="false" ht="15" hidden="false" customHeight="false" outlineLevel="0" collapsed="false">
      <c r="B32" s="51" t="n">
        <v>29</v>
      </c>
      <c r="C32" s="37" t="s">
        <v>9291</v>
      </c>
      <c r="D32" s="39" t="s">
        <v>10091</v>
      </c>
      <c r="E32" s="39" t="s">
        <v>10092</v>
      </c>
      <c r="F32" s="90" t="n">
        <v>2</v>
      </c>
      <c r="G32" s="51"/>
    </row>
    <row r="33" customFormat="false" ht="15" hidden="false" customHeight="false" outlineLevel="0" collapsed="false">
      <c r="B33" s="51" t="n">
        <v>30</v>
      </c>
      <c r="C33" s="37" t="s">
        <v>7375</v>
      </c>
      <c r="D33" s="39" t="s">
        <v>10140</v>
      </c>
      <c r="E33" s="39" t="s">
        <v>10141</v>
      </c>
      <c r="F33" s="90" t="n">
        <v>2</v>
      </c>
      <c r="G33" s="51"/>
    </row>
    <row r="34" customFormat="false" ht="15" hidden="false" customHeight="false" outlineLevel="0" collapsed="false">
      <c r="B34" s="51" t="n">
        <v>31</v>
      </c>
      <c r="C34" s="37" t="s">
        <v>10142</v>
      </c>
      <c r="D34" s="39" t="s">
        <v>10143</v>
      </c>
      <c r="E34" s="39" t="s">
        <v>10090</v>
      </c>
      <c r="F34" s="90" t="n">
        <v>2</v>
      </c>
      <c r="G34" s="51"/>
    </row>
    <row r="35" customFormat="false" ht="15" hidden="false" customHeight="false" outlineLevel="0" collapsed="false">
      <c r="B35" s="51" t="n">
        <v>32</v>
      </c>
      <c r="C35" s="37" t="s">
        <v>7383</v>
      </c>
      <c r="D35" s="39" t="s">
        <v>10144</v>
      </c>
      <c r="E35" s="39" t="s">
        <v>10102</v>
      </c>
      <c r="F35" s="90" t="n">
        <v>2</v>
      </c>
      <c r="G35" s="51"/>
    </row>
    <row r="36" customFormat="false" ht="15" hidden="false" customHeight="false" outlineLevel="0" collapsed="false">
      <c r="B36" s="51" t="n">
        <v>33</v>
      </c>
      <c r="C36" s="37" t="s">
        <v>10145</v>
      </c>
      <c r="D36" s="39" t="s">
        <v>10146</v>
      </c>
      <c r="E36" s="39" t="s">
        <v>10147</v>
      </c>
      <c r="F36" s="90" t="n">
        <v>2</v>
      </c>
      <c r="G36" s="51"/>
    </row>
    <row r="37" customFormat="false" ht="15" hidden="false" customHeight="false" outlineLevel="0" collapsed="false">
      <c r="B37" s="51" t="n">
        <v>34</v>
      </c>
      <c r="C37" s="37" t="s">
        <v>7405</v>
      </c>
      <c r="D37" s="39" t="s">
        <v>10148</v>
      </c>
      <c r="E37" s="39" t="s">
        <v>10094</v>
      </c>
      <c r="F37" s="90" t="n">
        <v>2</v>
      </c>
      <c r="G37" s="51"/>
    </row>
    <row r="38" customFormat="false" ht="15" hidden="false" customHeight="false" outlineLevel="0" collapsed="false">
      <c r="B38" s="51" t="n">
        <v>35</v>
      </c>
      <c r="C38" s="37" t="s">
        <v>9306</v>
      </c>
      <c r="D38" s="39" t="s">
        <v>10149</v>
      </c>
      <c r="E38" s="39" t="s">
        <v>10150</v>
      </c>
      <c r="F38" s="90" t="n">
        <v>2</v>
      </c>
      <c r="G38" s="51"/>
    </row>
    <row r="39" customFormat="false" ht="15" hidden="false" customHeight="false" outlineLevel="0" collapsed="false">
      <c r="B39" s="51" t="n">
        <v>36</v>
      </c>
      <c r="C39" s="37" t="s">
        <v>10151</v>
      </c>
      <c r="D39" s="39" t="s">
        <v>10099</v>
      </c>
      <c r="E39" s="39" t="s">
        <v>10100</v>
      </c>
      <c r="F39" s="90" t="n">
        <v>2</v>
      </c>
      <c r="G39" s="51"/>
    </row>
    <row r="40" customFormat="false" ht="15" hidden="false" customHeight="false" outlineLevel="0" collapsed="false">
      <c r="B40" s="51" t="n">
        <v>37</v>
      </c>
      <c r="C40" s="37" t="s">
        <v>7429</v>
      </c>
      <c r="D40" s="39" t="s">
        <v>10152</v>
      </c>
      <c r="E40" s="39" t="s">
        <v>10094</v>
      </c>
      <c r="F40" s="90" t="n">
        <v>2</v>
      </c>
      <c r="G40" s="51"/>
    </row>
    <row r="41" customFormat="false" ht="15" hidden="false" customHeight="false" outlineLevel="0" collapsed="false">
      <c r="B41" s="51" t="n">
        <v>38</v>
      </c>
      <c r="C41" s="37" t="s">
        <v>7433</v>
      </c>
      <c r="D41" s="39" t="s">
        <v>10153</v>
      </c>
      <c r="E41" s="39" t="s">
        <v>10154</v>
      </c>
      <c r="F41" s="90" t="n">
        <v>2</v>
      </c>
      <c r="G41" s="51"/>
    </row>
    <row r="42" customFormat="false" ht="15" hidden="false" customHeight="false" outlineLevel="0" collapsed="false">
      <c r="B42" s="51" t="n">
        <v>39</v>
      </c>
      <c r="C42" s="37" t="s">
        <v>9318</v>
      </c>
      <c r="D42" s="39" t="s">
        <v>10101</v>
      </c>
      <c r="E42" s="39" t="s">
        <v>10102</v>
      </c>
      <c r="F42" s="90" t="n">
        <v>2</v>
      </c>
      <c r="G42" s="51"/>
    </row>
    <row r="43" customFormat="false" ht="15" hidden="false" customHeight="false" outlineLevel="0" collapsed="false">
      <c r="B43" s="51" t="n">
        <v>40</v>
      </c>
      <c r="C43" s="37" t="s">
        <v>7444</v>
      </c>
      <c r="D43" s="39" t="s">
        <v>10155</v>
      </c>
      <c r="E43" s="39" t="s">
        <v>10156</v>
      </c>
      <c r="F43" s="90" t="n">
        <v>5</v>
      </c>
      <c r="G43" s="51"/>
    </row>
    <row r="44" customFormat="false" ht="15" hidden="false" customHeight="false" outlineLevel="0" collapsed="false">
      <c r="B44" s="51" t="n">
        <v>41</v>
      </c>
      <c r="C44" s="37" t="s">
        <v>7446</v>
      </c>
      <c r="D44" s="39" t="s">
        <v>10157</v>
      </c>
      <c r="E44" s="39" t="s">
        <v>10090</v>
      </c>
      <c r="F44" s="90" t="n">
        <v>2</v>
      </c>
      <c r="G44" s="51"/>
    </row>
    <row r="45" customFormat="false" ht="15" hidden="false" customHeight="false" outlineLevel="0" collapsed="false">
      <c r="B45" s="51" t="n">
        <v>42</v>
      </c>
      <c r="C45" s="37" t="s">
        <v>7460</v>
      </c>
      <c r="D45" s="39" t="s">
        <v>10158</v>
      </c>
      <c r="E45" s="39" t="s">
        <v>10159</v>
      </c>
      <c r="F45" s="90" t="n">
        <v>2</v>
      </c>
      <c r="G45" s="51"/>
    </row>
    <row r="46" customFormat="false" ht="15" hidden="false" customHeight="false" outlineLevel="0" collapsed="false">
      <c r="B46" s="51" t="n">
        <v>43</v>
      </c>
      <c r="C46" s="37" t="s">
        <v>10160</v>
      </c>
      <c r="D46" s="39" t="s">
        <v>10161</v>
      </c>
      <c r="E46" s="39" t="s">
        <v>10162</v>
      </c>
      <c r="F46" s="90" t="n">
        <v>5</v>
      </c>
      <c r="G46" s="51"/>
    </row>
    <row r="47" customFormat="false" ht="28.35" hidden="false" customHeight="false" outlineLevel="0" collapsed="false">
      <c r="B47" s="51" t="n">
        <v>44</v>
      </c>
      <c r="C47" s="37" t="s">
        <v>10163</v>
      </c>
      <c r="D47" s="39" t="s">
        <v>10099</v>
      </c>
      <c r="E47" s="39" t="s">
        <v>10100</v>
      </c>
      <c r="F47" s="90" t="n">
        <v>2</v>
      </c>
      <c r="G47" s="51"/>
    </row>
    <row r="48" customFormat="false" ht="15" hidden="false" customHeight="false" outlineLevel="0" collapsed="false">
      <c r="B48" s="51" t="n">
        <v>45</v>
      </c>
      <c r="C48" s="37" t="s">
        <v>7486</v>
      </c>
      <c r="D48" s="39" t="s">
        <v>10164</v>
      </c>
      <c r="E48" s="39" t="s">
        <v>10165</v>
      </c>
      <c r="F48" s="90" t="n">
        <v>2</v>
      </c>
      <c r="G48" s="51"/>
    </row>
    <row r="49" customFormat="false" ht="28.35" hidden="false" customHeight="false" outlineLevel="0" collapsed="false">
      <c r="B49" s="51" t="n">
        <v>46</v>
      </c>
      <c r="C49" s="37" t="s">
        <v>7490</v>
      </c>
      <c r="D49" s="39" t="s">
        <v>10166</v>
      </c>
      <c r="E49" s="39" t="s">
        <v>10167</v>
      </c>
      <c r="F49" s="90" t="n">
        <v>2</v>
      </c>
      <c r="G49" s="51"/>
    </row>
    <row r="50" customFormat="false" ht="28.35" hidden="false" customHeight="false" outlineLevel="0" collapsed="false">
      <c r="B50" s="51" t="n">
        <v>47</v>
      </c>
      <c r="C50" s="37" t="s">
        <v>9343</v>
      </c>
      <c r="D50" s="39" t="s">
        <v>10168</v>
      </c>
      <c r="E50" s="39" t="s">
        <v>10169</v>
      </c>
      <c r="F50" s="90" t="n">
        <v>2</v>
      </c>
      <c r="G50" s="51"/>
    </row>
    <row r="51" customFormat="false" ht="28.35" hidden="false" customHeight="false" outlineLevel="0" collapsed="false">
      <c r="B51" s="51" t="n">
        <v>48</v>
      </c>
      <c r="C51" s="37" t="s">
        <v>10170</v>
      </c>
      <c r="D51" s="39" t="s">
        <v>10171</v>
      </c>
      <c r="E51" s="39" t="s">
        <v>10172</v>
      </c>
      <c r="F51" s="90" t="n">
        <v>2</v>
      </c>
      <c r="G51" s="51"/>
    </row>
    <row r="52" customFormat="false" ht="15" hidden="false" customHeight="false" outlineLevel="0" collapsed="false">
      <c r="B52" s="51" t="n">
        <v>49</v>
      </c>
      <c r="C52" s="37" t="s">
        <v>10173</v>
      </c>
      <c r="D52" s="39" t="s">
        <v>10089</v>
      </c>
      <c r="E52" s="39" t="s">
        <v>10090</v>
      </c>
      <c r="F52" s="90" t="n">
        <v>2</v>
      </c>
      <c r="G52" s="51"/>
    </row>
    <row r="53" customFormat="false" ht="28.35" hidden="false" customHeight="false" outlineLevel="0" collapsed="false">
      <c r="B53" s="51" t="n">
        <v>50</v>
      </c>
      <c r="C53" s="37" t="s">
        <v>9347</v>
      </c>
      <c r="D53" s="39" t="s">
        <v>10097</v>
      </c>
      <c r="E53" s="39" t="s">
        <v>10098</v>
      </c>
      <c r="F53" s="90" t="n">
        <v>2</v>
      </c>
      <c r="G53" s="51"/>
    </row>
    <row r="54" customFormat="false" ht="15" hidden="false" customHeight="false" outlineLevel="0" collapsed="false">
      <c r="B54" s="51" t="n">
        <v>51</v>
      </c>
      <c r="C54" s="37" t="s">
        <v>7502</v>
      </c>
      <c r="D54" s="39" t="s">
        <v>10174</v>
      </c>
      <c r="E54" s="39" t="s">
        <v>10090</v>
      </c>
      <c r="F54" s="90" t="n">
        <v>2</v>
      </c>
      <c r="G54" s="51"/>
    </row>
    <row r="55" customFormat="false" ht="15" hidden="false" customHeight="false" outlineLevel="0" collapsed="false">
      <c r="B55" s="51" t="n">
        <v>52</v>
      </c>
      <c r="C55" s="37" t="s">
        <v>7504</v>
      </c>
      <c r="D55" s="39" t="s">
        <v>10175</v>
      </c>
      <c r="E55" s="39" t="s">
        <v>10176</v>
      </c>
      <c r="F55" s="90" t="n">
        <v>2</v>
      </c>
      <c r="G55" s="51"/>
    </row>
    <row r="56" customFormat="false" ht="15" hidden="false" customHeight="false" outlineLevel="0" collapsed="false">
      <c r="B56" s="51" t="n">
        <v>53</v>
      </c>
      <c r="C56" s="37" t="s">
        <v>9352</v>
      </c>
      <c r="D56" s="39" t="s">
        <v>10177</v>
      </c>
      <c r="E56" s="39" t="s">
        <v>10178</v>
      </c>
      <c r="F56" s="90" t="n">
        <v>2</v>
      </c>
      <c r="G56" s="51"/>
    </row>
    <row r="57" customFormat="false" ht="15" hidden="false" customHeight="false" outlineLevel="0" collapsed="false">
      <c r="B57" s="51" t="n">
        <v>54</v>
      </c>
      <c r="C57" s="37" t="s">
        <v>7519</v>
      </c>
      <c r="D57" s="39" t="s">
        <v>10179</v>
      </c>
      <c r="E57" s="39" t="s">
        <v>10180</v>
      </c>
      <c r="F57" s="90" t="n">
        <v>5</v>
      </c>
      <c r="G57" s="51"/>
    </row>
    <row r="58" customFormat="false" ht="15" hidden="false" customHeight="false" outlineLevel="0" collapsed="false">
      <c r="B58" s="51" t="n">
        <v>55</v>
      </c>
      <c r="C58" s="37" t="s">
        <v>9359</v>
      </c>
      <c r="D58" s="39" t="s">
        <v>10093</v>
      </c>
      <c r="E58" s="39" t="s">
        <v>10094</v>
      </c>
      <c r="F58" s="90" t="n">
        <v>2</v>
      </c>
      <c r="G58" s="51"/>
    </row>
    <row r="59" customFormat="false" ht="15" hidden="false" customHeight="false" outlineLevel="0" collapsed="false">
      <c r="B59" s="51" t="n">
        <v>56</v>
      </c>
      <c r="C59" s="37" t="s">
        <v>10006</v>
      </c>
      <c r="D59" s="39" t="s">
        <v>10181</v>
      </c>
      <c r="E59" s="39" t="s">
        <v>10182</v>
      </c>
      <c r="F59" s="90" t="n">
        <v>2</v>
      </c>
      <c r="G59" s="51"/>
    </row>
    <row r="60" customFormat="false" ht="15" hidden="false" customHeight="false" outlineLevel="0" collapsed="false">
      <c r="B60" s="51" t="n">
        <v>57</v>
      </c>
      <c r="C60" s="37" t="s">
        <v>7531</v>
      </c>
      <c r="D60" s="39" t="s">
        <v>10183</v>
      </c>
      <c r="E60" s="39" t="s">
        <v>10184</v>
      </c>
      <c r="F60" s="90" t="n">
        <v>2</v>
      </c>
      <c r="G60" s="51"/>
    </row>
    <row r="61" customFormat="false" ht="28.35" hidden="false" customHeight="false" outlineLevel="0" collapsed="false">
      <c r="B61" s="51" t="n">
        <v>58</v>
      </c>
      <c r="C61" s="37" t="s">
        <v>10185</v>
      </c>
      <c r="D61" s="39" t="s">
        <v>10103</v>
      </c>
      <c r="E61" s="39" t="s">
        <v>10104</v>
      </c>
      <c r="F61" s="90" t="n">
        <v>2</v>
      </c>
      <c r="G61" s="51"/>
    </row>
    <row r="62" customFormat="false" ht="68.65" hidden="false" customHeight="false" outlineLevel="0" collapsed="false">
      <c r="B62" s="51" t="n">
        <v>59</v>
      </c>
      <c r="C62" s="37" t="s">
        <v>10186</v>
      </c>
      <c r="D62" s="39" t="s">
        <v>10095</v>
      </c>
      <c r="E62" s="39" t="s">
        <v>10096</v>
      </c>
      <c r="F62" s="90" t="n">
        <v>5</v>
      </c>
      <c r="G62" s="51"/>
    </row>
    <row r="63" customFormat="false" ht="15" hidden="false" customHeight="false" outlineLevel="0" collapsed="false">
      <c r="B63" s="51" t="n">
        <v>60</v>
      </c>
      <c r="C63" s="37" t="s">
        <v>7549</v>
      </c>
      <c r="D63" s="39" t="s">
        <v>10187</v>
      </c>
      <c r="E63" s="39" t="s">
        <v>10100</v>
      </c>
      <c r="F63" s="90" t="n">
        <v>2</v>
      </c>
      <c r="G63" s="51"/>
    </row>
    <row r="64" customFormat="false" ht="28.35" hidden="false" customHeight="false" outlineLevel="0" collapsed="false">
      <c r="B64" s="51" t="n">
        <v>61</v>
      </c>
      <c r="C64" s="37" t="s">
        <v>7551</v>
      </c>
      <c r="D64" s="39" t="s">
        <v>10188</v>
      </c>
      <c r="E64" s="39" t="s">
        <v>10189</v>
      </c>
      <c r="F64" s="90" t="n">
        <v>2</v>
      </c>
      <c r="G64" s="51"/>
    </row>
    <row r="65" customFormat="false" ht="28.35" hidden="false" customHeight="false" outlineLevel="0" collapsed="false">
      <c r="B65" s="51" t="n">
        <v>62</v>
      </c>
      <c r="C65" s="37" t="s">
        <v>7562</v>
      </c>
      <c r="D65" s="39" t="s">
        <v>10190</v>
      </c>
      <c r="E65" s="39" t="s">
        <v>10191</v>
      </c>
      <c r="F65" s="90" t="n">
        <v>2</v>
      </c>
      <c r="G65" s="51"/>
    </row>
    <row r="66" customFormat="false" ht="28.35" hidden="false" customHeight="false" outlineLevel="0" collapsed="false">
      <c r="B66" s="51" t="n">
        <v>63</v>
      </c>
      <c r="C66" s="37" t="s">
        <v>10192</v>
      </c>
      <c r="D66" s="39" t="s">
        <v>10193</v>
      </c>
      <c r="E66" s="39" t="s">
        <v>10194</v>
      </c>
      <c r="F66" s="90" t="n">
        <v>2</v>
      </c>
      <c r="G66" s="51"/>
    </row>
    <row r="67" customFormat="false" ht="28.35" hidden="false" customHeight="false" outlineLevel="0" collapsed="false">
      <c r="B67" s="51" t="n">
        <v>64</v>
      </c>
      <c r="C67" s="37" t="s">
        <v>7568</v>
      </c>
      <c r="D67" s="39" t="s">
        <v>10195</v>
      </c>
      <c r="E67" s="39" t="s">
        <v>10196</v>
      </c>
      <c r="F67" s="90" t="n">
        <v>2</v>
      </c>
      <c r="G67" s="51"/>
    </row>
    <row r="68" customFormat="false" ht="15" hidden="false" customHeight="false" outlineLevel="0" collapsed="false">
      <c r="B68" s="51" t="n">
        <v>65</v>
      </c>
      <c r="C68" s="37" t="s">
        <v>7578</v>
      </c>
      <c r="D68" s="39" t="s">
        <v>10197</v>
      </c>
      <c r="E68" s="39" t="s">
        <v>10198</v>
      </c>
      <c r="F68" s="90" t="n">
        <v>2</v>
      </c>
      <c r="G68" s="51"/>
    </row>
    <row r="69" customFormat="false" ht="15" hidden="false" customHeight="false" outlineLevel="0" collapsed="false">
      <c r="B69" s="51" t="n">
        <v>66</v>
      </c>
      <c r="C69" s="37" t="s">
        <v>9382</v>
      </c>
      <c r="D69" s="39" t="s">
        <v>10093</v>
      </c>
      <c r="E69" s="39" t="s">
        <v>10094</v>
      </c>
      <c r="F69" s="90" t="n">
        <v>2</v>
      </c>
      <c r="G69" s="51"/>
    </row>
    <row r="70" customFormat="false" ht="15" hidden="false" customHeight="false" outlineLevel="0" collapsed="false">
      <c r="B70" s="51" t="n">
        <v>67</v>
      </c>
      <c r="C70" s="37" t="s">
        <v>9388</v>
      </c>
      <c r="D70" s="39" t="s">
        <v>10199</v>
      </c>
      <c r="E70" s="39" t="s">
        <v>10200</v>
      </c>
      <c r="F70" s="90" t="n">
        <v>2</v>
      </c>
      <c r="G70" s="51"/>
    </row>
    <row r="71" customFormat="false" ht="28.35" hidden="false" customHeight="false" outlineLevel="0" collapsed="false">
      <c r="B71" s="51" t="n">
        <v>68</v>
      </c>
      <c r="C71" s="37" t="s">
        <v>10201</v>
      </c>
      <c r="D71" s="39" t="s">
        <v>10202</v>
      </c>
      <c r="E71" s="39" t="s">
        <v>10203</v>
      </c>
      <c r="F71" s="90" t="n">
        <v>2</v>
      </c>
      <c r="G71" s="51"/>
    </row>
    <row r="72" customFormat="false" ht="28.35" hidden="false" customHeight="false" outlineLevel="0" collapsed="false">
      <c r="B72" s="51" t="n">
        <v>69</v>
      </c>
      <c r="C72" s="37" t="s">
        <v>7592</v>
      </c>
      <c r="D72" s="39" t="s">
        <v>10204</v>
      </c>
      <c r="E72" s="39" t="s">
        <v>10205</v>
      </c>
      <c r="F72" s="90" t="n">
        <v>2</v>
      </c>
      <c r="G72" s="51"/>
    </row>
    <row r="73" customFormat="false" ht="15" hidden="false" customHeight="false" outlineLevel="0" collapsed="false">
      <c r="B73" s="51" t="n">
        <v>70</v>
      </c>
      <c r="C73" s="37" t="s">
        <v>7600</v>
      </c>
      <c r="D73" s="39" t="s">
        <v>10206</v>
      </c>
      <c r="E73" s="39" t="s">
        <v>10207</v>
      </c>
      <c r="F73" s="90" t="n">
        <v>2</v>
      </c>
      <c r="G73" s="51"/>
    </row>
    <row r="74" customFormat="false" ht="15" hidden="false" customHeight="false" outlineLevel="0" collapsed="false">
      <c r="B74" s="51" t="n">
        <v>71</v>
      </c>
      <c r="C74" s="37" t="s">
        <v>9396</v>
      </c>
      <c r="D74" s="39" t="s">
        <v>10101</v>
      </c>
      <c r="E74" s="39" t="s">
        <v>10102</v>
      </c>
      <c r="F74" s="90" t="n">
        <v>2</v>
      </c>
      <c r="G74" s="51"/>
    </row>
    <row r="75" customFormat="false" ht="28.35" hidden="false" customHeight="false" outlineLevel="0" collapsed="false">
      <c r="B75" s="51" t="n">
        <v>72</v>
      </c>
      <c r="C75" s="37" t="s">
        <v>10008</v>
      </c>
      <c r="D75" s="39" t="s">
        <v>10208</v>
      </c>
      <c r="E75" s="39" t="s">
        <v>10209</v>
      </c>
      <c r="F75" s="90" t="n">
        <v>2</v>
      </c>
      <c r="G75" s="51"/>
    </row>
    <row r="76" customFormat="false" ht="15" hidden="false" customHeight="false" outlineLevel="0" collapsed="false">
      <c r="B76" s="51" t="n">
        <v>73</v>
      </c>
      <c r="C76" s="37" t="s">
        <v>7665</v>
      </c>
      <c r="D76" s="39" t="s">
        <v>10210</v>
      </c>
      <c r="E76" s="39" t="s">
        <v>10211</v>
      </c>
      <c r="F76" s="90" t="n">
        <v>2</v>
      </c>
      <c r="G76" s="51"/>
    </row>
    <row r="77" customFormat="false" ht="28.35" hidden="false" customHeight="false" outlineLevel="0" collapsed="false">
      <c r="B77" s="51" t="n">
        <v>74</v>
      </c>
      <c r="C77" s="37" t="s">
        <v>7667</v>
      </c>
      <c r="D77" s="39" t="s">
        <v>10212</v>
      </c>
      <c r="E77" s="39" t="s">
        <v>10213</v>
      </c>
      <c r="F77" s="90" t="n">
        <v>2</v>
      </c>
      <c r="G77" s="51"/>
    </row>
    <row r="78" customFormat="false" ht="15" hidden="false" customHeight="false" outlineLevel="0" collapsed="false">
      <c r="B78" s="51" t="n">
        <v>75</v>
      </c>
      <c r="C78" s="37" t="s">
        <v>10010</v>
      </c>
      <c r="D78" s="39" t="s">
        <v>10214</v>
      </c>
      <c r="E78" s="39" t="s">
        <v>10215</v>
      </c>
      <c r="F78" s="90" t="n">
        <v>2</v>
      </c>
      <c r="G78" s="51"/>
    </row>
    <row r="79" customFormat="false" ht="15" hidden="false" customHeight="false" outlineLevel="0" collapsed="false">
      <c r="B79" s="51" t="n">
        <v>76</v>
      </c>
      <c r="C79" s="37" t="s">
        <v>7671</v>
      </c>
      <c r="D79" s="39" t="s">
        <v>10216</v>
      </c>
      <c r="E79" s="39" t="s">
        <v>10217</v>
      </c>
      <c r="F79" s="90" t="n">
        <v>2</v>
      </c>
      <c r="G79" s="51"/>
    </row>
    <row r="80" customFormat="false" ht="15" hidden="false" customHeight="false" outlineLevel="0" collapsed="false">
      <c r="B80" s="51" t="n">
        <v>77</v>
      </c>
      <c r="C80" s="37" t="s">
        <v>7681</v>
      </c>
      <c r="D80" s="39" t="s">
        <v>10218</v>
      </c>
      <c r="E80" s="39" t="s">
        <v>10219</v>
      </c>
      <c r="F80" s="90" t="n">
        <v>2</v>
      </c>
      <c r="G80" s="51"/>
    </row>
    <row r="81" customFormat="false" ht="15" hidden="false" customHeight="false" outlineLevel="0" collapsed="false">
      <c r="B81" s="51" t="n">
        <v>78</v>
      </c>
      <c r="C81" s="37" t="s">
        <v>7683</v>
      </c>
      <c r="D81" s="39" t="s">
        <v>10220</v>
      </c>
      <c r="E81" s="39" t="s">
        <v>10092</v>
      </c>
      <c r="F81" s="90" t="n">
        <v>2</v>
      </c>
      <c r="G81" s="51"/>
    </row>
    <row r="82" customFormat="false" ht="15" hidden="false" customHeight="false" outlineLevel="0" collapsed="false">
      <c r="B82" s="51" t="n">
        <v>79</v>
      </c>
      <c r="C82" s="37" t="s">
        <v>7699</v>
      </c>
      <c r="D82" s="39" t="s">
        <v>10221</v>
      </c>
      <c r="E82" s="39" t="s">
        <v>10222</v>
      </c>
      <c r="F82" s="90" t="n">
        <v>2</v>
      </c>
      <c r="G82" s="51"/>
    </row>
    <row r="83" customFormat="false" ht="15" hidden="false" customHeight="false" outlineLevel="0" collapsed="false">
      <c r="B83" s="51" t="n">
        <v>80</v>
      </c>
      <c r="C83" s="37" t="s">
        <v>6958</v>
      </c>
      <c r="D83" s="39" t="s">
        <v>10223</v>
      </c>
      <c r="E83" s="39" t="s">
        <v>10224</v>
      </c>
      <c r="F83" s="90" t="n">
        <v>2</v>
      </c>
      <c r="G83" s="51"/>
    </row>
    <row r="84" customFormat="false" ht="15" hidden="false" customHeight="false" outlineLevel="0" collapsed="false">
      <c r="B84" s="51" t="n">
        <v>81</v>
      </c>
      <c r="C84" s="37" t="s">
        <v>7058</v>
      </c>
      <c r="D84" s="39" t="s">
        <v>10225</v>
      </c>
      <c r="E84" s="39" t="s">
        <v>10226</v>
      </c>
      <c r="F84" s="90" t="n">
        <v>2</v>
      </c>
      <c r="G84" s="51"/>
    </row>
    <row r="85" customFormat="false" ht="15" hidden="false" customHeight="false" outlineLevel="0" collapsed="false">
      <c r="B85" s="51" t="n">
        <v>82</v>
      </c>
      <c r="C85" s="37" t="s">
        <v>10227</v>
      </c>
      <c r="D85" s="39" t="s">
        <v>10228</v>
      </c>
      <c r="E85" s="39" t="s">
        <v>10229</v>
      </c>
      <c r="F85" s="90" t="n">
        <v>2</v>
      </c>
      <c r="G85" s="51"/>
    </row>
    <row r="86" customFormat="false" ht="15" hidden="false" customHeight="false" outlineLevel="0" collapsed="false">
      <c r="B86" s="51" t="n">
        <v>83</v>
      </c>
      <c r="C86" s="37" t="s">
        <v>7732</v>
      </c>
      <c r="D86" s="39" t="s">
        <v>10105</v>
      </c>
      <c r="E86" s="39" t="s">
        <v>10106</v>
      </c>
      <c r="F86" s="90" t="n">
        <v>2</v>
      </c>
      <c r="G86" s="51"/>
    </row>
    <row r="87" customFormat="false" ht="15" hidden="false" customHeight="false" outlineLevel="0" collapsed="false">
      <c r="B87" s="51" t="n">
        <v>84</v>
      </c>
      <c r="C87" s="37" t="s">
        <v>7733</v>
      </c>
      <c r="D87" s="39" t="s">
        <v>10230</v>
      </c>
      <c r="E87" s="39" t="s">
        <v>10231</v>
      </c>
      <c r="F87" s="90" t="n">
        <v>2</v>
      </c>
      <c r="G87" s="51"/>
    </row>
    <row r="88" customFormat="false" ht="15" hidden="false" customHeight="false" outlineLevel="0" collapsed="false">
      <c r="B88" s="51" t="n">
        <v>85</v>
      </c>
      <c r="C88" s="37" t="s">
        <v>6978</v>
      </c>
      <c r="D88" s="39" t="s">
        <v>10232</v>
      </c>
      <c r="E88" s="39" t="s">
        <v>10233</v>
      </c>
      <c r="F88" s="90" t="n">
        <v>2</v>
      </c>
      <c r="G88" s="51"/>
    </row>
    <row r="89" customFormat="false" ht="15" hidden="false" customHeight="false" outlineLevel="0" collapsed="false">
      <c r="B89" s="51" t="n">
        <v>86</v>
      </c>
      <c r="C89" s="37" t="s">
        <v>10234</v>
      </c>
      <c r="D89" s="39" t="s">
        <v>10235</v>
      </c>
      <c r="E89" s="39" t="s">
        <v>10236</v>
      </c>
      <c r="F89" s="90" t="n">
        <v>2</v>
      </c>
      <c r="G89" s="51"/>
    </row>
    <row r="90" customFormat="false" ht="15" hidden="false" customHeight="false" outlineLevel="0" collapsed="false">
      <c r="B90" s="51" t="n">
        <v>87</v>
      </c>
      <c r="C90" s="37" t="s">
        <v>10237</v>
      </c>
      <c r="D90" s="39" t="s">
        <v>10238</v>
      </c>
      <c r="E90" s="39" t="s">
        <v>10239</v>
      </c>
      <c r="F90" s="90" t="n">
        <v>2</v>
      </c>
      <c r="G90" s="51"/>
    </row>
    <row r="91" customFormat="false" ht="15" hidden="false" customHeight="false" outlineLevel="0" collapsed="false">
      <c r="B91" s="51" t="n">
        <v>88</v>
      </c>
      <c r="C91" s="37" t="s">
        <v>10240</v>
      </c>
      <c r="D91" s="39" t="s">
        <v>10103</v>
      </c>
      <c r="E91" s="39" t="s">
        <v>10104</v>
      </c>
      <c r="F91" s="90" t="n">
        <v>2</v>
      </c>
      <c r="G91" s="51"/>
    </row>
    <row r="92" customFormat="false" ht="15" hidden="false" customHeight="false" outlineLevel="0" collapsed="false">
      <c r="B92" s="51" t="n">
        <v>89</v>
      </c>
      <c r="C92" s="37" t="s">
        <v>7745</v>
      </c>
      <c r="D92" s="39" t="s">
        <v>10241</v>
      </c>
      <c r="E92" s="39" t="s">
        <v>10242</v>
      </c>
      <c r="F92" s="90" t="n">
        <v>2</v>
      </c>
      <c r="G92" s="51"/>
    </row>
    <row r="93" customFormat="false" ht="15" hidden="false" customHeight="false" outlineLevel="0" collapsed="false">
      <c r="B93" s="51" t="n">
        <v>90</v>
      </c>
      <c r="C93" s="37" t="s">
        <v>10243</v>
      </c>
      <c r="D93" s="39" t="s">
        <v>10244</v>
      </c>
      <c r="E93" s="39" t="s">
        <v>10245</v>
      </c>
      <c r="F93" s="90" t="n">
        <v>2</v>
      </c>
      <c r="G93" s="51"/>
    </row>
    <row r="94" customFormat="false" ht="15" hidden="false" customHeight="false" outlineLevel="0" collapsed="false">
      <c r="B94" s="51" t="n">
        <v>91</v>
      </c>
      <c r="C94" s="37" t="s">
        <v>10246</v>
      </c>
      <c r="D94" s="39" t="s">
        <v>10247</v>
      </c>
      <c r="E94" s="39" t="s">
        <v>10248</v>
      </c>
      <c r="F94" s="90" t="n">
        <v>2</v>
      </c>
      <c r="G94" s="51"/>
    </row>
    <row r="95" customFormat="false" ht="15" hidden="false" customHeight="false" outlineLevel="0" collapsed="false">
      <c r="B95" s="51" t="n">
        <v>92</v>
      </c>
      <c r="C95" s="37" t="s">
        <v>6986</v>
      </c>
      <c r="D95" s="39" t="s">
        <v>10249</v>
      </c>
      <c r="E95" s="39" t="s">
        <v>10250</v>
      </c>
      <c r="F95" s="90" t="n">
        <v>2</v>
      </c>
      <c r="G95" s="51"/>
    </row>
    <row r="96" customFormat="false" ht="15" hidden="false" customHeight="false" outlineLevel="0" collapsed="false">
      <c r="B96" s="51" t="n">
        <v>93</v>
      </c>
      <c r="C96" s="37" t="s">
        <v>6884</v>
      </c>
      <c r="D96" s="39" t="s">
        <v>10251</v>
      </c>
      <c r="E96" s="39" t="s">
        <v>10252</v>
      </c>
      <c r="F96" s="90" t="n">
        <v>2</v>
      </c>
      <c r="G96" s="51"/>
    </row>
    <row r="97" customFormat="false" ht="15" hidden="false" customHeight="false" outlineLevel="0" collapsed="false">
      <c r="B97" s="51" t="n">
        <v>94</v>
      </c>
      <c r="C97" s="37" t="s">
        <v>7762</v>
      </c>
      <c r="D97" s="39" t="s">
        <v>10253</v>
      </c>
      <c r="E97" s="39" t="s">
        <v>10254</v>
      </c>
      <c r="F97" s="90" t="n">
        <v>2</v>
      </c>
      <c r="G97" s="51"/>
    </row>
    <row r="98" customFormat="false" ht="15" hidden="false" customHeight="false" outlineLevel="0" collapsed="false">
      <c r="B98" s="51" t="n">
        <v>95</v>
      </c>
      <c r="C98" s="37" t="s">
        <v>10255</v>
      </c>
      <c r="D98" s="39" t="s">
        <v>10256</v>
      </c>
      <c r="E98" s="39" t="s">
        <v>10257</v>
      </c>
      <c r="F98" s="90" t="n">
        <v>2</v>
      </c>
      <c r="G98" s="51"/>
    </row>
    <row r="99" customFormat="false" ht="15" hidden="false" customHeight="false" outlineLevel="0" collapsed="false">
      <c r="B99" s="51" t="n">
        <v>96</v>
      </c>
      <c r="C99" s="37" t="s">
        <v>6956</v>
      </c>
      <c r="D99" s="39" t="s">
        <v>10253</v>
      </c>
      <c r="E99" s="39" t="s">
        <v>10254</v>
      </c>
      <c r="F99" s="90" t="n">
        <v>2</v>
      </c>
      <c r="G99" s="51"/>
    </row>
    <row r="100" customFormat="false" ht="15" hidden="false" customHeight="false" outlineLevel="0" collapsed="false">
      <c r="B100" s="51" t="n">
        <v>97</v>
      </c>
      <c r="C100" s="37" t="s">
        <v>10258</v>
      </c>
      <c r="D100" s="39" t="s">
        <v>10259</v>
      </c>
      <c r="E100" s="39" t="s">
        <v>10260</v>
      </c>
      <c r="F100" s="90" t="n">
        <v>2</v>
      </c>
      <c r="G100" s="51"/>
    </row>
    <row r="101" customFormat="false" ht="15" hidden="false" customHeight="false" outlineLevel="0" collapsed="false">
      <c r="B101" s="51" t="n">
        <v>98</v>
      </c>
      <c r="C101" s="37" t="s">
        <v>10261</v>
      </c>
      <c r="D101" s="39" t="s">
        <v>10262</v>
      </c>
      <c r="E101" s="39" t="s">
        <v>10263</v>
      </c>
      <c r="F101" s="90" t="n">
        <v>2</v>
      </c>
      <c r="G101" s="51"/>
    </row>
    <row r="102" customFormat="false" ht="15" hidden="false" customHeight="false" outlineLevel="0" collapsed="false">
      <c r="B102" s="51" t="n">
        <v>99</v>
      </c>
      <c r="C102" s="37" t="s">
        <v>10264</v>
      </c>
      <c r="D102" s="39" t="s">
        <v>10265</v>
      </c>
      <c r="E102" s="39" t="s">
        <v>10266</v>
      </c>
      <c r="F102" s="90" t="n">
        <v>2</v>
      </c>
      <c r="G102" s="51"/>
    </row>
    <row r="103" customFormat="false" ht="15" hidden="false" customHeight="false" outlineLevel="0" collapsed="false">
      <c r="B103" s="51" t="n">
        <v>100</v>
      </c>
      <c r="C103" s="37" t="s">
        <v>7783</v>
      </c>
      <c r="D103" s="39" t="s">
        <v>10267</v>
      </c>
      <c r="E103" s="39" t="s">
        <v>10268</v>
      </c>
      <c r="F103" s="90" t="n">
        <v>2</v>
      </c>
      <c r="G103" s="51"/>
    </row>
    <row r="104" customFormat="false" ht="15" hidden="false" customHeight="false" outlineLevel="0" collapsed="false">
      <c r="B104" s="51" t="n">
        <v>101</v>
      </c>
      <c r="C104" s="37" t="s">
        <v>10269</v>
      </c>
      <c r="D104" s="39" t="s">
        <v>10259</v>
      </c>
      <c r="E104" s="39" t="s">
        <v>10260</v>
      </c>
      <c r="F104" s="90" t="n">
        <v>2</v>
      </c>
      <c r="G104" s="51"/>
    </row>
    <row r="105" customFormat="false" ht="15" hidden="false" customHeight="false" outlineLevel="0" collapsed="false">
      <c r="B105" s="51" t="n">
        <v>102</v>
      </c>
      <c r="C105" s="37" t="s">
        <v>10270</v>
      </c>
      <c r="D105" s="39" t="s">
        <v>10251</v>
      </c>
      <c r="E105" s="39" t="s">
        <v>10252</v>
      </c>
      <c r="F105" s="90" t="n">
        <v>2</v>
      </c>
      <c r="G105" s="51"/>
    </row>
    <row r="106" customFormat="false" ht="15" hidden="false" customHeight="false" outlineLevel="0" collapsed="false">
      <c r="B106" s="51" t="n">
        <v>103</v>
      </c>
      <c r="C106" s="37" t="s">
        <v>7790</v>
      </c>
      <c r="D106" s="39" t="s">
        <v>10271</v>
      </c>
      <c r="E106" s="39" t="s">
        <v>10205</v>
      </c>
      <c r="F106" s="90" t="n">
        <v>2</v>
      </c>
      <c r="G106" s="51"/>
    </row>
    <row r="107" customFormat="false" ht="15" hidden="false" customHeight="false" outlineLevel="0" collapsed="false">
      <c r="B107" s="51" t="n">
        <v>104</v>
      </c>
      <c r="C107" s="37" t="s">
        <v>10272</v>
      </c>
      <c r="D107" s="39" t="s">
        <v>10249</v>
      </c>
      <c r="E107" s="39" t="s">
        <v>10250</v>
      </c>
      <c r="F107" s="90" t="n">
        <v>2</v>
      </c>
      <c r="G107" s="51"/>
    </row>
    <row r="108" customFormat="false" ht="15" hidden="false" customHeight="false" outlineLevel="0" collapsed="false">
      <c r="B108" s="51" t="n">
        <v>105</v>
      </c>
      <c r="C108" s="37" t="s">
        <v>7796</v>
      </c>
      <c r="D108" s="39" t="s">
        <v>10230</v>
      </c>
      <c r="E108" s="39" t="s">
        <v>10231</v>
      </c>
      <c r="F108" s="90" t="n">
        <v>2</v>
      </c>
      <c r="G108" s="51"/>
    </row>
    <row r="109" customFormat="false" ht="15" hidden="false" customHeight="false" outlineLevel="0" collapsed="false">
      <c r="B109" s="51" t="n">
        <v>106</v>
      </c>
      <c r="C109" s="37" t="s">
        <v>10273</v>
      </c>
      <c r="D109" s="39" t="s">
        <v>10274</v>
      </c>
      <c r="E109" s="39" t="s">
        <v>10275</v>
      </c>
      <c r="F109" s="90" t="n">
        <v>2</v>
      </c>
      <c r="G109" s="51"/>
    </row>
    <row r="110" customFormat="false" ht="15" hidden="false" customHeight="false" outlineLevel="0" collapsed="false">
      <c r="B110" s="51" t="n">
        <v>107</v>
      </c>
      <c r="C110" s="37" t="s">
        <v>10276</v>
      </c>
      <c r="D110" s="39" t="s">
        <v>10244</v>
      </c>
      <c r="E110" s="39" t="s">
        <v>10245</v>
      </c>
      <c r="F110" s="90" t="n">
        <v>2</v>
      </c>
      <c r="G110" s="51"/>
    </row>
    <row r="111" customFormat="false" ht="15" hidden="false" customHeight="false" outlineLevel="0" collapsed="false">
      <c r="B111" s="51" t="n">
        <v>108</v>
      </c>
      <c r="C111" s="37" t="s">
        <v>10277</v>
      </c>
      <c r="D111" s="39" t="s">
        <v>10249</v>
      </c>
      <c r="E111" s="39" t="s">
        <v>10250</v>
      </c>
      <c r="F111" s="90" t="n">
        <v>2</v>
      </c>
      <c r="G111" s="51"/>
    </row>
    <row r="112" customFormat="false" ht="15" hidden="false" customHeight="false" outlineLevel="0" collapsed="false">
      <c r="B112" s="51" t="n">
        <v>109</v>
      </c>
      <c r="C112" s="37" t="s">
        <v>7134</v>
      </c>
      <c r="D112" s="39" t="s">
        <v>10244</v>
      </c>
      <c r="E112" s="39" t="s">
        <v>10245</v>
      </c>
      <c r="F112" s="90" t="n">
        <v>2</v>
      </c>
      <c r="G112" s="51"/>
    </row>
    <row r="113" customFormat="false" ht="15" hidden="false" customHeight="false" outlineLevel="0" collapsed="false">
      <c r="B113" s="51" t="n">
        <v>110</v>
      </c>
      <c r="C113" s="37" t="s">
        <v>7814</v>
      </c>
      <c r="D113" s="39" t="s">
        <v>10232</v>
      </c>
      <c r="E113" s="39" t="s">
        <v>10233</v>
      </c>
      <c r="F113" s="90" t="n">
        <v>2</v>
      </c>
      <c r="G113" s="51"/>
    </row>
    <row r="114" customFormat="false" ht="15" hidden="false" customHeight="false" outlineLevel="0" collapsed="false">
      <c r="B114" s="51" t="n">
        <v>111</v>
      </c>
      <c r="C114" s="37" t="s">
        <v>7817</v>
      </c>
      <c r="D114" s="39" t="s">
        <v>10223</v>
      </c>
      <c r="E114" s="39" t="s">
        <v>10224</v>
      </c>
      <c r="F114" s="90" t="n">
        <v>2</v>
      </c>
      <c r="G114" s="51"/>
    </row>
    <row r="115" customFormat="false" ht="15" hidden="false" customHeight="false" outlineLevel="0" collapsed="false">
      <c r="B115" s="51" t="n">
        <v>112</v>
      </c>
      <c r="C115" s="37" t="s">
        <v>7820</v>
      </c>
      <c r="D115" s="39" t="s">
        <v>10253</v>
      </c>
      <c r="E115" s="39" t="s">
        <v>10254</v>
      </c>
      <c r="F115" s="90" t="n">
        <v>2</v>
      </c>
      <c r="G115" s="51"/>
    </row>
    <row r="116" customFormat="false" ht="15" hidden="false" customHeight="false" outlineLevel="0" collapsed="false">
      <c r="B116" s="51" t="n">
        <v>113</v>
      </c>
      <c r="C116" s="37" t="s">
        <v>6980</v>
      </c>
      <c r="D116" s="39" t="s">
        <v>10247</v>
      </c>
      <c r="E116" s="39" t="s">
        <v>10248</v>
      </c>
      <c r="F116" s="90" t="n">
        <v>2</v>
      </c>
      <c r="G116" s="51"/>
    </row>
    <row r="117" customFormat="false" ht="15" hidden="false" customHeight="false" outlineLevel="0" collapsed="false">
      <c r="B117" s="51" t="n">
        <v>114</v>
      </c>
      <c r="C117" s="37" t="s">
        <v>10278</v>
      </c>
      <c r="D117" s="39" t="s">
        <v>10279</v>
      </c>
      <c r="E117" s="39" t="s">
        <v>10280</v>
      </c>
      <c r="F117" s="90" t="n">
        <v>2</v>
      </c>
      <c r="G117" s="51"/>
    </row>
    <row r="118" customFormat="false" ht="15" hidden="false" customHeight="false" outlineLevel="0" collapsed="false">
      <c r="B118" s="51" t="n">
        <v>115</v>
      </c>
      <c r="C118" s="37" t="s">
        <v>7833</v>
      </c>
      <c r="D118" s="39" t="s">
        <v>10223</v>
      </c>
      <c r="E118" s="39" t="s">
        <v>10224</v>
      </c>
      <c r="F118" s="90" t="n">
        <v>2</v>
      </c>
      <c r="G118" s="51"/>
    </row>
    <row r="119" customFormat="false" ht="15" hidden="false" customHeight="false" outlineLevel="0" collapsed="false">
      <c r="B119" s="51" t="n">
        <v>116</v>
      </c>
      <c r="C119" s="37" t="s">
        <v>7126</v>
      </c>
      <c r="D119" s="39" t="s">
        <v>10274</v>
      </c>
      <c r="E119" s="39" t="s">
        <v>10275</v>
      </c>
      <c r="F119" s="90" t="n">
        <v>2</v>
      </c>
      <c r="G119" s="51"/>
    </row>
    <row r="120" customFormat="false" ht="15" hidden="false" customHeight="false" outlineLevel="0" collapsed="false">
      <c r="B120" s="51" t="n">
        <v>117</v>
      </c>
      <c r="C120" s="37" t="s">
        <v>7863</v>
      </c>
      <c r="D120" s="39" t="s">
        <v>10281</v>
      </c>
      <c r="E120" s="39" t="s">
        <v>10282</v>
      </c>
      <c r="F120" s="90" t="n">
        <v>2</v>
      </c>
      <c r="G120" s="51"/>
    </row>
    <row r="121" customFormat="false" ht="15" hidden="false" customHeight="false" outlineLevel="0" collapsed="false">
      <c r="B121" s="51" t="n">
        <v>118</v>
      </c>
      <c r="C121" s="37" t="s">
        <v>10283</v>
      </c>
      <c r="D121" s="39" t="s">
        <v>10284</v>
      </c>
      <c r="E121" s="39" t="s">
        <v>10285</v>
      </c>
      <c r="F121" s="90" t="n">
        <v>2</v>
      </c>
      <c r="G121" s="51"/>
    </row>
    <row r="122" customFormat="false" ht="15" hidden="false" customHeight="false" outlineLevel="0" collapsed="false">
      <c r="B122" s="51" t="n">
        <v>119</v>
      </c>
      <c r="C122" s="37" t="s">
        <v>7884</v>
      </c>
      <c r="D122" s="39" t="s">
        <v>10286</v>
      </c>
      <c r="E122" s="39" t="s">
        <v>10287</v>
      </c>
      <c r="F122" s="90" t="n">
        <v>11</v>
      </c>
      <c r="G122" s="51"/>
    </row>
    <row r="123" customFormat="false" ht="15" hidden="false" customHeight="false" outlineLevel="0" collapsed="false">
      <c r="B123" s="51" t="n">
        <v>120</v>
      </c>
      <c r="C123" s="37" t="s">
        <v>6942</v>
      </c>
      <c r="D123" s="39" t="s">
        <v>10230</v>
      </c>
      <c r="E123" s="39" t="s">
        <v>10231</v>
      </c>
      <c r="F123" s="90" t="n">
        <v>2</v>
      </c>
      <c r="G123" s="51"/>
    </row>
    <row r="124" customFormat="false" ht="15" hidden="false" customHeight="false" outlineLevel="0" collapsed="false">
      <c r="B124" s="51" t="n">
        <v>121</v>
      </c>
      <c r="C124" s="37" t="s">
        <v>7897</v>
      </c>
      <c r="D124" s="39" t="s">
        <v>10288</v>
      </c>
      <c r="E124" s="39" t="s">
        <v>10289</v>
      </c>
      <c r="F124" s="90" t="n">
        <v>2</v>
      </c>
      <c r="G124" s="51"/>
    </row>
    <row r="125" customFormat="false" ht="15" hidden="false" customHeight="false" outlineLevel="0" collapsed="false">
      <c r="B125" s="51" t="n">
        <v>122</v>
      </c>
      <c r="C125" s="37" t="s">
        <v>7024</v>
      </c>
      <c r="D125" s="39" t="s">
        <v>10290</v>
      </c>
      <c r="E125" s="39" t="s">
        <v>10291</v>
      </c>
      <c r="F125" s="90" t="n">
        <v>4</v>
      </c>
      <c r="G125" s="51"/>
    </row>
    <row r="126" customFormat="false" ht="15" hidden="false" customHeight="false" outlineLevel="0" collapsed="false">
      <c r="B126" s="51" t="n">
        <v>123</v>
      </c>
      <c r="C126" s="37" t="s">
        <v>10292</v>
      </c>
      <c r="D126" s="39" t="s">
        <v>10274</v>
      </c>
      <c r="E126" s="39" t="s">
        <v>10275</v>
      </c>
      <c r="F126" s="90" t="n">
        <v>2</v>
      </c>
      <c r="G126" s="51"/>
    </row>
    <row r="127" customFormat="false" ht="15" hidden="false" customHeight="false" outlineLevel="0" collapsed="false">
      <c r="B127" s="51" t="n">
        <v>124</v>
      </c>
      <c r="C127" s="37" t="s">
        <v>7906</v>
      </c>
      <c r="D127" s="39" t="s">
        <v>10293</v>
      </c>
      <c r="E127" s="39" t="s">
        <v>10294</v>
      </c>
      <c r="F127" s="90" t="n">
        <v>2</v>
      </c>
      <c r="G127" s="51"/>
    </row>
    <row r="128" customFormat="false" ht="15" hidden="false" customHeight="false" outlineLevel="0" collapsed="false">
      <c r="B128" s="51" t="n">
        <v>125</v>
      </c>
      <c r="C128" s="37" t="s">
        <v>7908</v>
      </c>
      <c r="D128" s="39" t="s">
        <v>10295</v>
      </c>
      <c r="E128" s="39" t="s">
        <v>10296</v>
      </c>
      <c r="F128" s="90" t="n">
        <v>2</v>
      </c>
      <c r="G128" s="51"/>
    </row>
    <row r="129" customFormat="false" ht="15" hidden="false" customHeight="false" outlineLevel="0" collapsed="false">
      <c r="B129" s="51" t="n">
        <v>126</v>
      </c>
      <c r="C129" s="37" t="s">
        <v>9529</v>
      </c>
      <c r="D129" s="39" t="s">
        <v>10297</v>
      </c>
      <c r="E129" s="39" t="s">
        <v>10298</v>
      </c>
      <c r="F129" s="90" t="n">
        <v>2</v>
      </c>
      <c r="G129" s="51"/>
    </row>
    <row r="130" customFormat="false" ht="15" hidden="false" customHeight="false" outlineLevel="0" collapsed="false">
      <c r="B130" s="51" t="n">
        <v>127</v>
      </c>
      <c r="C130" s="37" t="s">
        <v>7912</v>
      </c>
      <c r="D130" s="39" t="s">
        <v>10299</v>
      </c>
      <c r="E130" s="39" t="s">
        <v>10300</v>
      </c>
      <c r="F130" s="90" t="n">
        <v>2</v>
      </c>
      <c r="G130" s="51"/>
    </row>
    <row r="131" customFormat="false" ht="15" hidden="false" customHeight="false" outlineLevel="0" collapsed="false">
      <c r="B131" s="51" t="n">
        <v>128</v>
      </c>
      <c r="C131" s="37" t="s">
        <v>9532</v>
      </c>
      <c r="D131" s="39" t="s">
        <v>10301</v>
      </c>
      <c r="E131" s="39" t="s">
        <v>10302</v>
      </c>
      <c r="F131" s="90" t="n">
        <v>2</v>
      </c>
      <c r="G131" s="51"/>
    </row>
    <row r="132" customFormat="false" ht="15" hidden="false" customHeight="false" outlineLevel="0" collapsed="false">
      <c r="B132" s="51" t="n">
        <v>129</v>
      </c>
      <c r="C132" s="37" t="s">
        <v>7917</v>
      </c>
      <c r="D132" s="39" t="s">
        <v>10303</v>
      </c>
      <c r="E132" s="39" t="s">
        <v>10304</v>
      </c>
      <c r="F132" s="90" t="n">
        <v>2</v>
      </c>
      <c r="G132" s="51"/>
    </row>
    <row r="133" customFormat="false" ht="15" hidden="false" customHeight="false" outlineLevel="0" collapsed="false">
      <c r="B133" s="51" t="n">
        <v>130</v>
      </c>
      <c r="C133" s="37" t="s">
        <v>10305</v>
      </c>
      <c r="D133" s="39" t="s">
        <v>10306</v>
      </c>
      <c r="E133" s="39" t="s">
        <v>10307</v>
      </c>
      <c r="F133" s="90" t="n">
        <v>11</v>
      </c>
      <c r="G133" s="51"/>
    </row>
    <row r="134" customFormat="false" ht="15" hidden="false" customHeight="false" outlineLevel="0" collapsed="false">
      <c r="B134" s="51" t="n">
        <v>131</v>
      </c>
      <c r="C134" s="37" t="s">
        <v>7938</v>
      </c>
      <c r="D134" s="39" t="s">
        <v>10290</v>
      </c>
      <c r="E134" s="39" t="s">
        <v>10291</v>
      </c>
      <c r="F134" s="90" t="n">
        <v>4</v>
      </c>
      <c r="G134" s="51"/>
    </row>
    <row r="135" customFormat="false" ht="15" hidden="false" customHeight="false" outlineLevel="0" collapsed="false">
      <c r="B135" s="51" t="n">
        <v>132</v>
      </c>
      <c r="C135" s="37" t="s">
        <v>7946</v>
      </c>
      <c r="D135" s="39" t="s">
        <v>10308</v>
      </c>
      <c r="E135" s="39" t="s">
        <v>10309</v>
      </c>
      <c r="F135" s="90" t="n">
        <v>2</v>
      </c>
      <c r="G135" s="51"/>
    </row>
    <row r="136" customFormat="false" ht="15" hidden="false" customHeight="false" outlineLevel="0" collapsed="false">
      <c r="B136" s="51" t="n">
        <v>133</v>
      </c>
      <c r="C136" s="37" t="s">
        <v>7957</v>
      </c>
      <c r="D136" s="39" t="s">
        <v>10310</v>
      </c>
      <c r="E136" s="39" t="s">
        <v>10311</v>
      </c>
      <c r="F136" s="90" t="n">
        <v>2</v>
      </c>
      <c r="G136" s="51"/>
    </row>
    <row r="137" customFormat="false" ht="15" hidden="false" customHeight="false" outlineLevel="0" collapsed="false">
      <c r="B137" s="51" t="n">
        <v>134</v>
      </c>
      <c r="C137" s="37" t="s">
        <v>10312</v>
      </c>
      <c r="D137" s="39" t="s">
        <v>10313</v>
      </c>
      <c r="E137" s="39" t="s">
        <v>10314</v>
      </c>
      <c r="F137" s="90" t="n">
        <v>2</v>
      </c>
      <c r="G137" s="51"/>
    </row>
    <row r="138" customFormat="false" ht="15" hidden="false" customHeight="false" outlineLevel="0" collapsed="false">
      <c r="B138" s="51" t="n">
        <v>135</v>
      </c>
      <c r="C138" s="37" t="s">
        <v>7967</v>
      </c>
      <c r="D138" s="39" t="s">
        <v>10315</v>
      </c>
      <c r="E138" s="39" t="s">
        <v>10316</v>
      </c>
      <c r="F138" s="90" t="n">
        <v>2</v>
      </c>
      <c r="G138" s="51"/>
    </row>
    <row r="139" customFormat="false" ht="15" hidden="false" customHeight="false" outlineLevel="0" collapsed="false">
      <c r="B139" s="51" t="n">
        <v>136</v>
      </c>
      <c r="C139" s="37" t="s">
        <v>7975</v>
      </c>
      <c r="D139" s="39" t="s">
        <v>10317</v>
      </c>
      <c r="E139" s="39" t="s">
        <v>10318</v>
      </c>
      <c r="F139" s="90" t="n">
        <v>2</v>
      </c>
      <c r="G139" s="51"/>
    </row>
    <row r="140" customFormat="false" ht="15" hidden="false" customHeight="false" outlineLevel="0" collapsed="false">
      <c r="B140" s="51" t="n">
        <v>137</v>
      </c>
      <c r="C140" s="37" t="s">
        <v>7980</v>
      </c>
      <c r="D140" s="39" t="s">
        <v>10319</v>
      </c>
      <c r="E140" s="39" t="s">
        <v>10320</v>
      </c>
      <c r="F140" s="90" t="n">
        <v>2</v>
      </c>
      <c r="G140" s="51"/>
    </row>
    <row r="141" customFormat="false" ht="15" hidden="false" customHeight="false" outlineLevel="0" collapsed="false">
      <c r="B141" s="51" t="n">
        <v>138</v>
      </c>
      <c r="C141" s="37" t="s">
        <v>7983</v>
      </c>
      <c r="D141" s="39" t="s">
        <v>10321</v>
      </c>
      <c r="E141" s="39" t="s">
        <v>10322</v>
      </c>
      <c r="F141" s="90" t="n">
        <v>2</v>
      </c>
      <c r="G141" s="51"/>
    </row>
    <row r="142" customFormat="false" ht="15" hidden="false" customHeight="false" outlineLevel="0" collapsed="false">
      <c r="B142" s="51" t="n">
        <v>139</v>
      </c>
      <c r="C142" s="37" t="s">
        <v>10323</v>
      </c>
      <c r="D142" s="39" t="s">
        <v>10225</v>
      </c>
      <c r="E142" s="39" t="s">
        <v>10226</v>
      </c>
      <c r="F142" s="90" t="n">
        <v>2</v>
      </c>
      <c r="G142" s="51"/>
    </row>
    <row r="143" customFormat="false" ht="15" hidden="false" customHeight="false" outlineLevel="0" collapsed="false">
      <c r="B143" s="51" t="n">
        <v>140</v>
      </c>
      <c r="C143" s="37" t="s">
        <v>7998</v>
      </c>
      <c r="D143" s="39" t="s">
        <v>10324</v>
      </c>
      <c r="E143" s="39" t="s">
        <v>10325</v>
      </c>
      <c r="F143" s="90" t="n">
        <v>11</v>
      </c>
      <c r="G143" s="51"/>
    </row>
    <row r="144" customFormat="false" ht="15" hidden="false" customHeight="false" outlineLevel="0" collapsed="false">
      <c r="B144" s="51" t="n">
        <v>141</v>
      </c>
      <c r="C144" s="37" t="s">
        <v>9565</v>
      </c>
      <c r="D144" s="39" t="s">
        <v>10326</v>
      </c>
      <c r="E144" s="39" t="s">
        <v>10327</v>
      </c>
      <c r="F144" s="90" t="n">
        <v>2</v>
      </c>
      <c r="G144" s="51"/>
    </row>
    <row r="145" customFormat="false" ht="15" hidden="false" customHeight="false" outlineLevel="0" collapsed="false">
      <c r="B145" s="51" t="n">
        <v>142</v>
      </c>
      <c r="C145" s="37" t="s">
        <v>8024</v>
      </c>
      <c r="D145" s="39" t="s">
        <v>10328</v>
      </c>
      <c r="E145" s="39" t="s">
        <v>10329</v>
      </c>
      <c r="F145" s="90" t="n">
        <v>2</v>
      </c>
      <c r="G145" s="51"/>
    </row>
    <row r="146" customFormat="false" ht="15" hidden="false" customHeight="false" outlineLevel="0" collapsed="false">
      <c r="B146" s="51" t="n">
        <v>143</v>
      </c>
      <c r="C146" s="37" t="s">
        <v>10330</v>
      </c>
      <c r="D146" s="39" t="s">
        <v>10331</v>
      </c>
      <c r="E146" s="39" t="s">
        <v>10332</v>
      </c>
      <c r="F146" s="90" t="n">
        <v>2</v>
      </c>
      <c r="G146" s="51"/>
    </row>
    <row r="147" customFormat="false" ht="15" hidden="false" customHeight="false" outlineLevel="0" collapsed="false">
      <c r="B147" s="51" t="n">
        <v>144</v>
      </c>
      <c r="C147" s="37" t="s">
        <v>8030</v>
      </c>
      <c r="D147" s="39" t="s">
        <v>10333</v>
      </c>
      <c r="E147" s="39" t="s">
        <v>10334</v>
      </c>
      <c r="F147" s="90" t="n">
        <v>2</v>
      </c>
      <c r="G147" s="51"/>
    </row>
    <row r="148" customFormat="false" ht="15" hidden="false" customHeight="false" outlineLevel="0" collapsed="false">
      <c r="B148" s="51" t="n">
        <v>145</v>
      </c>
      <c r="C148" s="37" t="s">
        <v>8034</v>
      </c>
      <c r="D148" s="39" t="s">
        <v>10335</v>
      </c>
      <c r="E148" s="39" t="s">
        <v>10336</v>
      </c>
      <c r="F148" s="90" t="n">
        <v>2</v>
      </c>
      <c r="G148" s="51"/>
    </row>
    <row r="149" customFormat="false" ht="15" hidden="false" customHeight="false" outlineLevel="0" collapsed="false">
      <c r="B149" s="51" t="n">
        <v>146</v>
      </c>
      <c r="C149" s="37" t="s">
        <v>10337</v>
      </c>
      <c r="D149" s="39" t="s">
        <v>10338</v>
      </c>
      <c r="E149" s="39" t="s">
        <v>10339</v>
      </c>
      <c r="F149" s="90" t="n">
        <v>2</v>
      </c>
      <c r="G149" s="51"/>
    </row>
    <row r="150" customFormat="false" ht="15" hidden="false" customHeight="false" outlineLevel="0" collapsed="false">
      <c r="B150" s="51" t="n">
        <v>147</v>
      </c>
      <c r="C150" s="37" t="s">
        <v>9572</v>
      </c>
      <c r="D150" s="39" t="s">
        <v>10340</v>
      </c>
      <c r="E150" s="39" t="s">
        <v>10341</v>
      </c>
      <c r="F150" s="90" t="n">
        <v>2</v>
      </c>
      <c r="G150" s="51"/>
    </row>
    <row r="151" customFormat="false" ht="15" hidden="false" customHeight="false" outlineLevel="0" collapsed="false">
      <c r="B151" s="51" t="n">
        <v>148</v>
      </c>
      <c r="C151" s="37" t="s">
        <v>8040</v>
      </c>
      <c r="D151" s="39" t="s">
        <v>10342</v>
      </c>
      <c r="E151" s="39" t="s">
        <v>10343</v>
      </c>
      <c r="F151" s="90" t="n">
        <v>11</v>
      </c>
      <c r="G151" s="51"/>
    </row>
    <row r="152" customFormat="false" ht="15" hidden="false" customHeight="false" outlineLevel="0" collapsed="false">
      <c r="B152" s="51" t="n">
        <v>149</v>
      </c>
      <c r="C152" s="37" t="s">
        <v>8042</v>
      </c>
      <c r="D152" s="39" t="s">
        <v>10105</v>
      </c>
      <c r="E152" s="39" t="s">
        <v>10106</v>
      </c>
      <c r="F152" s="90" t="n">
        <v>2</v>
      </c>
      <c r="G152" s="51"/>
    </row>
    <row r="153" customFormat="false" ht="15" hidden="false" customHeight="false" outlineLevel="0" collapsed="false">
      <c r="B153" s="51" t="n">
        <v>150</v>
      </c>
      <c r="C153" s="37" t="s">
        <v>10344</v>
      </c>
      <c r="D153" s="39" t="s">
        <v>10225</v>
      </c>
      <c r="E153" s="39" t="s">
        <v>10226</v>
      </c>
      <c r="F153" s="90" t="n">
        <v>2</v>
      </c>
      <c r="G153" s="51"/>
    </row>
    <row r="154" customFormat="false" ht="15" hidden="false" customHeight="false" outlineLevel="0" collapsed="false">
      <c r="B154" s="51" t="n">
        <v>151</v>
      </c>
      <c r="C154" s="37" t="s">
        <v>6869</v>
      </c>
      <c r="D154" s="39" t="s">
        <v>10259</v>
      </c>
      <c r="E154" s="39" t="s">
        <v>10260</v>
      </c>
      <c r="F154" s="90" t="n">
        <v>2</v>
      </c>
      <c r="G154" s="51"/>
    </row>
    <row r="155" customFormat="false" ht="15" hidden="false" customHeight="false" outlineLevel="0" collapsed="false">
      <c r="B155" s="51" t="n">
        <v>152</v>
      </c>
      <c r="C155" s="37" t="s">
        <v>8078</v>
      </c>
      <c r="D155" s="39" t="s">
        <v>10166</v>
      </c>
      <c r="E155" s="39" t="s">
        <v>10167</v>
      </c>
      <c r="F155" s="90" t="n">
        <v>2</v>
      </c>
      <c r="G155" s="51"/>
    </row>
    <row r="156" customFormat="false" ht="15" hidden="false" customHeight="false" outlineLevel="0" collapsed="false">
      <c r="B156" s="51" t="n">
        <v>153</v>
      </c>
      <c r="C156" s="37" t="s">
        <v>8089</v>
      </c>
      <c r="D156" s="39" t="s">
        <v>10158</v>
      </c>
      <c r="E156" s="39" t="s">
        <v>10159</v>
      </c>
      <c r="F156" s="90" t="n">
        <v>2</v>
      </c>
      <c r="G156" s="51"/>
    </row>
    <row r="157" customFormat="false" ht="15" hidden="false" customHeight="false" outlineLevel="0" collapsed="false">
      <c r="B157" s="51" t="n">
        <v>154</v>
      </c>
      <c r="C157" s="37" t="s">
        <v>8091</v>
      </c>
      <c r="D157" s="39" t="s">
        <v>10197</v>
      </c>
      <c r="E157" s="39" t="s">
        <v>10198</v>
      </c>
      <c r="F157" s="90" t="n">
        <v>2</v>
      </c>
      <c r="G157" s="51"/>
    </row>
    <row r="158" customFormat="false" ht="15" hidden="false" customHeight="false" outlineLevel="0" collapsed="false">
      <c r="B158" s="51" t="n">
        <v>155</v>
      </c>
      <c r="C158" s="37" t="s">
        <v>8100</v>
      </c>
      <c r="D158" s="39" t="s">
        <v>10155</v>
      </c>
      <c r="E158" s="39" t="s">
        <v>10156</v>
      </c>
      <c r="F158" s="90" t="n">
        <v>5</v>
      </c>
      <c r="G158" s="51"/>
    </row>
    <row r="159" customFormat="false" ht="15" hidden="false" customHeight="false" outlineLevel="0" collapsed="false">
      <c r="B159" s="51" t="n">
        <v>156</v>
      </c>
      <c r="C159" s="37" t="s">
        <v>8102</v>
      </c>
      <c r="D159" s="39" t="s">
        <v>10175</v>
      </c>
      <c r="E159" s="39" t="s">
        <v>10176</v>
      </c>
      <c r="F159" s="90" t="n">
        <v>2</v>
      </c>
      <c r="G159" s="51"/>
    </row>
    <row r="160" customFormat="false" ht="15" hidden="false" customHeight="false" outlineLevel="0" collapsed="false">
      <c r="B160" s="51" t="n">
        <v>157</v>
      </c>
      <c r="C160" s="37" t="s">
        <v>8103</v>
      </c>
      <c r="D160" s="39" t="s">
        <v>10195</v>
      </c>
      <c r="E160" s="39" t="s">
        <v>10196</v>
      </c>
      <c r="F160" s="90" t="n">
        <v>2</v>
      </c>
      <c r="G160" s="51"/>
    </row>
    <row r="161" customFormat="false" ht="15" hidden="false" customHeight="false" outlineLevel="0" collapsed="false">
      <c r="B161" s="51" t="n">
        <v>158</v>
      </c>
      <c r="C161" s="37" t="s">
        <v>8104</v>
      </c>
      <c r="D161" s="39" t="s">
        <v>10109</v>
      </c>
      <c r="E161" s="39" t="s">
        <v>10110</v>
      </c>
      <c r="F161" s="90" t="n">
        <v>2</v>
      </c>
      <c r="G161" s="51"/>
    </row>
    <row r="162" customFormat="false" ht="15" hidden="false" customHeight="false" outlineLevel="0" collapsed="false">
      <c r="B162" s="51" t="n">
        <v>159</v>
      </c>
      <c r="C162" s="37" t="s">
        <v>9589</v>
      </c>
      <c r="D162" s="39" t="s">
        <v>10168</v>
      </c>
      <c r="E162" s="39" t="s">
        <v>10169</v>
      </c>
      <c r="F162" s="90" t="n">
        <v>2</v>
      </c>
      <c r="G162" s="51"/>
    </row>
    <row r="163" customFormat="false" ht="15" hidden="false" customHeight="false" outlineLevel="0" collapsed="false">
      <c r="B163" s="51" t="n">
        <v>160</v>
      </c>
      <c r="C163" s="37" t="s">
        <v>8115</v>
      </c>
      <c r="D163" s="39" t="s">
        <v>10345</v>
      </c>
      <c r="E163" s="39" t="s">
        <v>10346</v>
      </c>
      <c r="F163" s="90" t="n">
        <v>2</v>
      </c>
      <c r="G163" s="51"/>
    </row>
    <row r="164" customFormat="false" ht="15" hidden="false" customHeight="false" outlineLevel="0" collapsed="false">
      <c r="B164" s="51" t="n">
        <v>161</v>
      </c>
      <c r="C164" s="37" t="s">
        <v>8129</v>
      </c>
      <c r="D164" s="39" t="s">
        <v>10347</v>
      </c>
      <c r="E164" s="39" t="s">
        <v>10348</v>
      </c>
      <c r="F164" s="90" t="n">
        <v>2</v>
      </c>
      <c r="G164" s="51"/>
    </row>
    <row r="165" customFormat="false" ht="15" hidden="false" customHeight="false" outlineLevel="0" collapsed="false">
      <c r="B165" s="51" t="n">
        <v>162</v>
      </c>
      <c r="C165" s="37" t="s">
        <v>8136</v>
      </c>
      <c r="D165" s="39" t="s">
        <v>10349</v>
      </c>
      <c r="E165" s="39" t="s">
        <v>10350</v>
      </c>
      <c r="F165" s="90" t="n">
        <v>2</v>
      </c>
      <c r="G165" s="51"/>
    </row>
    <row r="166" customFormat="false" ht="15" hidden="false" customHeight="false" outlineLevel="0" collapsed="false">
      <c r="B166" s="51" t="n">
        <v>163</v>
      </c>
      <c r="C166" s="37" t="s">
        <v>8159</v>
      </c>
      <c r="D166" s="39" t="s">
        <v>10351</v>
      </c>
      <c r="E166" s="39" t="s">
        <v>10352</v>
      </c>
      <c r="F166" s="90" t="n">
        <v>2</v>
      </c>
      <c r="G166" s="51"/>
    </row>
    <row r="167" customFormat="false" ht="15" hidden="false" customHeight="false" outlineLevel="0" collapsed="false">
      <c r="B167" s="51" t="n">
        <v>164</v>
      </c>
      <c r="C167" s="37" t="s">
        <v>8169</v>
      </c>
      <c r="D167" s="39" t="s">
        <v>10353</v>
      </c>
      <c r="E167" s="39" t="s">
        <v>10354</v>
      </c>
      <c r="F167" s="90" t="n">
        <v>2</v>
      </c>
      <c r="G167" s="51"/>
    </row>
    <row r="168" customFormat="false" ht="15" hidden="false" customHeight="false" outlineLevel="0" collapsed="false">
      <c r="B168" s="51" t="n">
        <v>165</v>
      </c>
      <c r="C168" s="37" t="s">
        <v>8182</v>
      </c>
      <c r="D168" s="39" t="s">
        <v>10355</v>
      </c>
      <c r="E168" s="39" t="s">
        <v>10356</v>
      </c>
      <c r="F168" s="90" t="n">
        <v>2</v>
      </c>
      <c r="G168" s="51"/>
    </row>
    <row r="169" customFormat="false" ht="15" hidden="false" customHeight="false" outlineLevel="0" collapsed="false">
      <c r="B169" s="51" t="n">
        <v>166</v>
      </c>
      <c r="C169" s="37" t="s">
        <v>10357</v>
      </c>
      <c r="D169" s="39" t="s">
        <v>10358</v>
      </c>
      <c r="E169" s="39" t="s">
        <v>10359</v>
      </c>
      <c r="F169" s="90" t="n">
        <v>2</v>
      </c>
      <c r="G169" s="51"/>
    </row>
    <row r="170" customFormat="false" ht="15" hidden="false" customHeight="false" outlineLevel="0" collapsed="false">
      <c r="B170" s="51" t="n">
        <v>167</v>
      </c>
      <c r="C170" s="37" t="s">
        <v>8224</v>
      </c>
      <c r="D170" s="39" t="s">
        <v>10360</v>
      </c>
      <c r="E170" s="39" t="s">
        <v>10361</v>
      </c>
      <c r="F170" s="90" t="n">
        <v>2</v>
      </c>
      <c r="G170" s="51"/>
    </row>
    <row r="171" customFormat="false" ht="15" hidden="false" customHeight="false" outlineLevel="0" collapsed="false">
      <c r="B171" s="51" t="n">
        <v>168</v>
      </c>
      <c r="C171" s="37" t="s">
        <v>10362</v>
      </c>
      <c r="D171" s="39" t="s">
        <v>10363</v>
      </c>
      <c r="E171" s="39" t="s">
        <v>10364</v>
      </c>
      <c r="F171" s="90" t="n">
        <v>2</v>
      </c>
      <c r="G171" s="51"/>
    </row>
    <row r="172" customFormat="false" ht="15" hidden="false" customHeight="false" outlineLevel="0" collapsed="false">
      <c r="B172" s="51" t="n">
        <v>169</v>
      </c>
      <c r="C172" s="37" t="s">
        <v>8265</v>
      </c>
      <c r="D172" s="39" t="s">
        <v>10365</v>
      </c>
      <c r="E172" s="39" t="s">
        <v>10366</v>
      </c>
      <c r="F172" s="90" t="n">
        <v>2</v>
      </c>
      <c r="G172" s="51"/>
    </row>
    <row r="173" customFormat="false" ht="15" hidden="false" customHeight="false" outlineLevel="0" collapsed="false">
      <c r="B173" s="51" t="n">
        <v>170</v>
      </c>
      <c r="C173" s="37" t="s">
        <v>10367</v>
      </c>
      <c r="D173" s="39" t="s">
        <v>10368</v>
      </c>
      <c r="E173" s="39" t="s">
        <v>10369</v>
      </c>
      <c r="F173" s="90" t="n">
        <v>2</v>
      </c>
      <c r="G173" s="51"/>
    </row>
    <row r="174" customFormat="false" ht="15" hidden="false" customHeight="false" outlineLevel="0" collapsed="false">
      <c r="B174" s="51" t="n">
        <v>171</v>
      </c>
      <c r="C174" s="37" t="s">
        <v>10370</v>
      </c>
      <c r="D174" s="39" t="s">
        <v>10371</v>
      </c>
      <c r="E174" s="39" t="s">
        <v>10372</v>
      </c>
      <c r="F174" s="90" t="n">
        <v>2</v>
      </c>
      <c r="G174" s="51"/>
    </row>
    <row r="175" customFormat="false" ht="15" hidden="false" customHeight="false" outlineLevel="0" collapsed="false">
      <c r="B175" s="51" t="n">
        <v>172</v>
      </c>
      <c r="C175" s="37" t="s">
        <v>8308</v>
      </c>
      <c r="D175" s="39" t="s">
        <v>10373</v>
      </c>
      <c r="E175" s="39" t="s">
        <v>10374</v>
      </c>
      <c r="F175" s="90" t="n">
        <v>2</v>
      </c>
      <c r="G175" s="51"/>
    </row>
    <row r="176" customFormat="false" ht="15" hidden="false" customHeight="false" outlineLevel="0" collapsed="false">
      <c r="B176" s="51" t="n">
        <v>173</v>
      </c>
      <c r="C176" s="37" t="s">
        <v>10375</v>
      </c>
      <c r="D176" s="39" t="s">
        <v>10376</v>
      </c>
      <c r="E176" s="39" t="s">
        <v>10377</v>
      </c>
      <c r="F176" s="90" t="n">
        <v>2</v>
      </c>
      <c r="G176" s="51"/>
    </row>
    <row r="177" customFormat="false" ht="15" hidden="false" customHeight="false" outlineLevel="0" collapsed="false">
      <c r="B177" s="51" t="n">
        <v>174</v>
      </c>
      <c r="C177" s="37" t="s">
        <v>8315</v>
      </c>
      <c r="D177" s="39" t="s">
        <v>10378</v>
      </c>
      <c r="E177" s="39" t="s">
        <v>10379</v>
      </c>
      <c r="F177" s="90" t="n">
        <v>2</v>
      </c>
      <c r="G177" s="51"/>
    </row>
    <row r="178" customFormat="false" ht="15" hidden="false" customHeight="false" outlineLevel="0" collapsed="false">
      <c r="B178" s="51" t="n">
        <v>175</v>
      </c>
      <c r="C178" s="37" t="s">
        <v>8317</v>
      </c>
      <c r="D178" s="39" t="s">
        <v>10380</v>
      </c>
      <c r="E178" s="39" t="s">
        <v>10381</v>
      </c>
      <c r="F178" s="90" t="n">
        <v>11</v>
      </c>
      <c r="G178" s="51"/>
    </row>
    <row r="179" customFormat="false" ht="15" hidden="false" customHeight="false" outlineLevel="0" collapsed="false">
      <c r="B179" s="51" t="n">
        <v>176</v>
      </c>
      <c r="C179" s="37" t="s">
        <v>8334</v>
      </c>
      <c r="D179" s="39" t="s">
        <v>10382</v>
      </c>
      <c r="E179" s="39" t="s">
        <v>10383</v>
      </c>
      <c r="F179" s="90" t="n">
        <v>2</v>
      </c>
      <c r="G179" s="51"/>
    </row>
    <row r="180" customFormat="false" ht="15" hidden="false" customHeight="false" outlineLevel="0" collapsed="false">
      <c r="B180" s="51" t="n">
        <v>177</v>
      </c>
      <c r="C180" s="37" t="s">
        <v>10384</v>
      </c>
      <c r="D180" s="39" t="s">
        <v>10385</v>
      </c>
      <c r="E180" s="39" t="s">
        <v>10386</v>
      </c>
      <c r="F180" s="90" t="n">
        <v>2</v>
      </c>
      <c r="G180" s="51"/>
    </row>
    <row r="181" customFormat="false" ht="15" hidden="false" customHeight="false" outlineLevel="0" collapsed="false">
      <c r="B181" s="51" t="n">
        <v>178</v>
      </c>
      <c r="C181" s="37" t="s">
        <v>9675</v>
      </c>
      <c r="D181" s="39" t="s">
        <v>10387</v>
      </c>
      <c r="E181" s="39" t="s">
        <v>10388</v>
      </c>
      <c r="F181" s="90" t="n">
        <v>11</v>
      </c>
      <c r="G181" s="51"/>
    </row>
    <row r="182" customFormat="false" ht="15" hidden="false" customHeight="false" outlineLevel="0" collapsed="false">
      <c r="B182" s="51" t="n">
        <v>179</v>
      </c>
      <c r="C182" s="37" t="s">
        <v>10389</v>
      </c>
      <c r="D182" s="39" t="s">
        <v>10390</v>
      </c>
      <c r="E182" s="39" t="s">
        <v>10391</v>
      </c>
      <c r="F182" s="90" t="n">
        <v>2</v>
      </c>
      <c r="G182" s="51"/>
    </row>
    <row r="183" customFormat="false" ht="15" hidden="false" customHeight="false" outlineLevel="0" collapsed="false">
      <c r="B183" s="51" t="n">
        <v>180</v>
      </c>
      <c r="C183" s="37" t="s">
        <v>10392</v>
      </c>
      <c r="D183" s="39" t="s">
        <v>10393</v>
      </c>
      <c r="E183" s="39" t="s">
        <v>10394</v>
      </c>
      <c r="F183" s="90" t="n">
        <v>2</v>
      </c>
      <c r="G183" s="51"/>
    </row>
    <row r="184" customFormat="false" ht="15" hidden="false" customHeight="false" outlineLevel="0" collapsed="false">
      <c r="B184" s="51" t="n">
        <v>181</v>
      </c>
      <c r="C184" s="37" t="s">
        <v>8435</v>
      </c>
      <c r="D184" s="39" t="s">
        <v>10395</v>
      </c>
      <c r="E184" s="39" t="s">
        <v>10350</v>
      </c>
      <c r="F184" s="90" t="n">
        <v>2</v>
      </c>
      <c r="G184" s="51"/>
    </row>
    <row r="185" customFormat="false" ht="15" hidden="false" customHeight="false" outlineLevel="0" collapsed="false">
      <c r="B185" s="51" t="n">
        <v>182</v>
      </c>
      <c r="C185" s="37" t="s">
        <v>8442</v>
      </c>
      <c r="D185" s="39" t="s">
        <v>10396</v>
      </c>
      <c r="E185" s="39" t="s">
        <v>10397</v>
      </c>
      <c r="F185" s="90" t="n">
        <v>2</v>
      </c>
      <c r="G185" s="51"/>
    </row>
    <row r="186" customFormat="false" ht="15" hidden="false" customHeight="false" outlineLevel="0" collapsed="false">
      <c r="B186" s="51" t="n">
        <v>183</v>
      </c>
      <c r="C186" s="37" t="s">
        <v>10398</v>
      </c>
      <c r="D186" s="39" t="s">
        <v>10399</v>
      </c>
      <c r="E186" s="39" t="s">
        <v>10400</v>
      </c>
      <c r="F186" s="90" t="n">
        <v>2</v>
      </c>
      <c r="G186" s="51"/>
    </row>
    <row r="187" customFormat="false" ht="15" hidden="false" customHeight="false" outlineLevel="0" collapsed="false">
      <c r="B187" s="51" t="n">
        <v>184</v>
      </c>
      <c r="C187" s="37" t="s">
        <v>10401</v>
      </c>
      <c r="D187" s="39" t="s">
        <v>10402</v>
      </c>
      <c r="E187" s="39" t="s">
        <v>10403</v>
      </c>
      <c r="F187" s="90" t="n">
        <v>2</v>
      </c>
      <c r="G187" s="51"/>
    </row>
    <row r="188" customFormat="false" ht="15" hidden="false" customHeight="false" outlineLevel="0" collapsed="false">
      <c r="B188" s="51" t="n">
        <v>185</v>
      </c>
      <c r="C188" s="37" t="s">
        <v>8466</v>
      </c>
      <c r="D188" s="39" t="s">
        <v>10404</v>
      </c>
      <c r="E188" s="39" t="s">
        <v>10405</v>
      </c>
      <c r="F188" s="90" t="n">
        <v>4</v>
      </c>
      <c r="G188" s="51"/>
    </row>
    <row r="189" customFormat="false" ht="15" hidden="false" customHeight="false" outlineLevel="0" collapsed="false">
      <c r="B189" s="51" t="n">
        <v>186</v>
      </c>
      <c r="C189" s="37" t="s">
        <v>10406</v>
      </c>
      <c r="D189" s="39" t="s">
        <v>10407</v>
      </c>
      <c r="E189" s="39" t="s">
        <v>10408</v>
      </c>
      <c r="F189" s="90" t="n">
        <v>2</v>
      </c>
      <c r="G189" s="51"/>
    </row>
    <row r="190" customFormat="false" ht="15" hidden="false" customHeight="false" outlineLevel="0" collapsed="false">
      <c r="B190" s="51" t="n">
        <v>187</v>
      </c>
      <c r="C190" s="37" t="s">
        <v>8485</v>
      </c>
      <c r="D190" s="39" t="s">
        <v>10409</v>
      </c>
      <c r="E190" s="39" t="s">
        <v>10410</v>
      </c>
      <c r="F190" s="90" t="n">
        <v>2</v>
      </c>
      <c r="G190" s="51"/>
    </row>
    <row r="191" customFormat="false" ht="15" hidden="false" customHeight="false" outlineLevel="0" collapsed="false">
      <c r="B191" s="51" t="n">
        <v>188</v>
      </c>
      <c r="C191" s="37" t="s">
        <v>8498</v>
      </c>
      <c r="D191" s="39" t="s">
        <v>10411</v>
      </c>
      <c r="E191" s="39" t="s">
        <v>10412</v>
      </c>
      <c r="F191" s="90" t="n">
        <v>2</v>
      </c>
      <c r="G191" s="51"/>
    </row>
    <row r="192" customFormat="false" ht="15" hidden="false" customHeight="false" outlineLevel="0" collapsed="false">
      <c r="B192" s="51" t="n">
        <v>189</v>
      </c>
      <c r="C192" s="37" t="s">
        <v>10413</v>
      </c>
      <c r="D192" s="39" t="s">
        <v>10414</v>
      </c>
      <c r="E192" s="39" t="s">
        <v>10415</v>
      </c>
      <c r="F192" s="90" t="n">
        <v>11</v>
      </c>
      <c r="G192" s="51"/>
    </row>
    <row r="193" customFormat="false" ht="15" hidden="false" customHeight="false" outlineLevel="0" collapsed="false">
      <c r="B193" s="51" t="n">
        <v>190</v>
      </c>
      <c r="C193" s="37" t="s">
        <v>8531</v>
      </c>
      <c r="D193" s="39" t="s">
        <v>10396</v>
      </c>
      <c r="E193" s="39" t="s">
        <v>10397</v>
      </c>
      <c r="F193" s="90" t="n">
        <v>2</v>
      </c>
      <c r="G193" s="51"/>
    </row>
    <row r="194" customFormat="false" ht="15" hidden="false" customHeight="false" outlineLevel="0" collapsed="false">
      <c r="B194" s="51" t="n">
        <v>191</v>
      </c>
      <c r="C194" s="37" t="s">
        <v>8532</v>
      </c>
      <c r="D194" s="39" t="s">
        <v>10308</v>
      </c>
      <c r="E194" s="39" t="s">
        <v>10309</v>
      </c>
      <c r="F194" s="90" t="n">
        <v>2</v>
      </c>
      <c r="G194" s="51"/>
    </row>
    <row r="195" customFormat="false" ht="15" hidden="false" customHeight="false" outlineLevel="0" collapsed="false">
      <c r="B195" s="51" t="n">
        <v>192</v>
      </c>
      <c r="C195" s="37" t="s">
        <v>8583</v>
      </c>
      <c r="D195" s="39" t="s">
        <v>10416</v>
      </c>
      <c r="E195" s="39" t="s">
        <v>10417</v>
      </c>
      <c r="F195" s="90" t="n">
        <v>2</v>
      </c>
      <c r="G195" s="51"/>
    </row>
    <row r="196" customFormat="false" ht="15" hidden="false" customHeight="false" outlineLevel="0" collapsed="false">
      <c r="B196" s="51" t="n">
        <v>193</v>
      </c>
      <c r="C196" s="37" t="s">
        <v>10418</v>
      </c>
      <c r="D196" s="39" t="s">
        <v>10419</v>
      </c>
      <c r="E196" s="39" t="s">
        <v>10420</v>
      </c>
      <c r="F196" s="90" t="n">
        <v>2</v>
      </c>
      <c r="G196" s="51"/>
    </row>
    <row r="197" customFormat="false" ht="15" hidden="false" customHeight="false" outlineLevel="0" collapsed="false">
      <c r="B197" s="51" t="n">
        <v>194</v>
      </c>
      <c r="C197" s="37" t="s">
        <v>8585</v>
      </c>
      <c r="D197" s="39" t="s">
        <v>10421</v>
      </c>
      <c r="E197" s="39" t="s">
        <v>10422</v>
      </c>
      <c r="F197" s="90" t="n">
        <v>2</v>
      </c>
      <c r="G197" s="51"/>
    </row>
    <row r="198" customFormat="false" ht="15" hidden="false" customHeight="false" outlineLevel="0" collapsed="false">
      <c r="B198" s="51" t="n">
        <v>195</v>
      </c>
      <c r="C198" s="37" t="s">
        <v>8589</v>
      </c>
      <c r="D198" s="39" t="s">
        <v>10423</v>
      </c>
      <c r="E198" s="39" t="s">
        <v>10424</v>
      </c>
      <c r="F198" s="90" t="n">
        <v>2</v>
      </c>
      <c r="G198" s="51"/>
    </row>
    <row r="199" customFormat="false" ht="15" hidden="false" customHeight="false" outlineLevel="0" collapsed="false">
      <c r="B199" s="51" t="n">
        <v>196</v>
      </c>
      <c r="C199" s="37" t="s">
        <v>8594</v>
      </c>
      <c r="D199" s="39" t="s">
        <v>10425</v>
      </c>
      <c r="E199" s="39" t="s">
        <v>10426</v>
      </c>
      <c r="F199" s="90" t="n">
        <v>2</v>
      </c>
      <c r="G199" s="51"/>
    </row>
    <row r="200" customFormat="false" ht="15" hidden="false" customHeight="false" outlineLevel="0" collapsed="false">
      <c r="B200" s="51" t="n">
        <v>197</v>
      </c>
      <c r="C200" s="37" t="s">
        <v>10427</v>
      </c>
      <c r="D200" s="39" t="s">
        <v>10428</v>
      </c>
      <c r="E200" s="39" t="s">
        <v>10429</v>
      </c>
      <c r="F200" s="90" t="n">
        <v>2</v>
      </c>
      <c r="G200" s="51"/>
    </row>
    <row r="201" customFormat="false" ht="15" hidden="false" customHeight="false" outlineLevel="0" collapsed="false">
      <c r="B201" s="51" t="n">
        <v>198</v>
      </c>
      <c r="C201" s="37" t="s">
        <v>8604</v>
      </c>
      <c r="D201" s="39" t="s">
        <v>10430</v>
      </c>
      <c r="E201" s="39" t="s">
        <v>10431</v>
      </c>
      <c r="F201" s="90" t="n">
        <v>2</v>
      </c>
      <c r="G201" s="51"/>
    </row>
    <row r="202" customFormat="false" ht="15" hidden="false" customHeight="false" outlineLevel="0" collapsed="false">
      <c r="B202" s="51" t="n">
        <v>199</v>
      </c>
      <c r="C202" s="37" t="s">
        <v>8606</v>
      </c>
      <c r="D202" s="39" t="s">
        <v>10335</v>
      </c>
      <c r="E202" s="39" t="s">
        <v>10336</v>
      </c>
      <c r="F202" s="90" t="n">
        <v>2</v>
      </c>
      <c r="G202" s="51"/>
    </row>
    <row r="203" customFormat="false" ht="15" hidden="false" customHeight="false" outlineLevel="0" collapsed="false">
      <c r="B203" s="51" t="n">
        <v>200</v>
      </c>
      <c r="C203" s="37" t="s">
        <v>8617</v>
      </c>
      <c r="D203" s="39" t="s">
        <v>10432</v>
      </c>
      <c r="E203" s="39" t="s">
        <v>10433</v>
      </c>
      <c r="F203" s="90" t="n">
        <v>11</v>
      </c>
      <c r="G203" s="51"/>
    </row>
    <row r="204" customFormat="false" ht="15" hidden="false" customHeight="false" outlineLevel="0" collapsed="false">
      <c r="B204" s="51" t="n">
        <v>201</v>
      </c>
      <c r="C204" s="37" t="s">
        <v>8622</v>
      </c>
      <c r="D204" s="39" t="s">
        <v>10434</v>
      </c>
      <c r="E204" s="39" t="s">
        <v>10435</v>
      </c>
      <c r="F204" s="90" t="n">
        <v>2</v>
      </c>
      <c r="G204" s="51"/>
    </row>
    <row r="205" customFormat="false" ht="15" hidden="false" customHeight="false" outlineLevel="0" collapsed="false">
      <c r="B205" s="51" t="n">
        <v>202</v>
      </c>
      <c r="C205" s="37" t="s">
        <v>10436</v>
      </c>
      <c r="D205" s="39" t="s">
        <v>10437</v>
      </c>
      <c r="E205" s="39" t="s">
        <v>10438</v>
      </c>
      <c r="F205" s="90" t="n">
        <v>2</v>
      </c>
      <c r="G205" s="51"/>
    </row>
    <row r="206" customFormat="false" ht="15" hidden="false" customHeight="false" outlineLevel="0" collapsed="false">
      <c r="B206" s="51" t="n">
        <v>203</v>
      </c>
      <c r="C206" s="37" t="s">
        <v>8644</v>
      </c>
      <c r="D206" s="39" t="s">
        <v>10439</v>
      </c>
      <c r="E206" s="39" t="s">
        <v>10440</v>
      </c>
      <c r="F206" s="90" t="n">
        <v>2</v>
      </c>
      <c r="G206" s="51"/>
    </row>
    <row r="207" customFormat="false" ht="15" hidden="false" customHeight="false" outlineLevel="0" collapsed="false">
      <c r="B207" s="51" t="n">
        <v>204</v>
      </c>
      <c r="C207" s="37" t="s">
        <v>8656</v>
      </c>
      <c r="D207" s="39" t="s">
        <v>10315</v>
      </c>
      <c r="E207" s="39" t="s">
        <v>10316</v>
      </c>
      <c r="F207" s="90" t="n">
        <v>2</v>
      </c>
      <c r="G207" s="51"/>
    </row>
    <row r="208" customFormat="false" ht="15" hidden="false" customHeight="false" outlineLevel="0" collapsed="false">
      <c r="B208" s="51" t="n">
        <v>205</v>
      </c>
      <c r="C208" s="37" t="s">
        <v>10441</v>
      </c>
      <c r="D208" s="39" t="s">
        <v>10442</v>
      </c>
      <c r="E208" s="39" t="s">
        <v>10443</v>
      </c>
      <c r="F208" s="90" t="n">
        <v>2</v>
      </c>
      <c r="G208" s="51"/>
    </row>
    <row r="209" customFormat="false" ht="15" hidden="false" customHeight="false" outlineLevel="0" collapsed="false">
      <c r="B209" s="51" t="n">
        <v>206</v>
      </c>
      <c r="C209" s="37" t="s">
        <v>8670</v>
      </c>
      <c r="D209" s="39" t="s">
        <v>10444</v>
      </c>
      <c r="E209" s="39" t="s">
        <v>10445</v>
      </c>
      <c r="F209" s="90" t="n">
        <v>2</v>
      </c>
      <c r="G209" s="51"/>
    </row>
    <row r="210" customFormat="false" ht="15" hidden="false" customHeight="false" outlineLevel="0" collapsed="false">
      <c r="B210" s="51" t="n">
        <v>207</v>
      </c>
      <c r="C210" s="37" t="s">
        <v>8684</v>
      </c>
      <c r="D210" s="39" t="s">
        <v>10446</v>
      </c>
      <c r="E210" s="39" t="s">
        <v>10447</v>
      </c>
      <c r="F210" s="90" t="n">
        <v>2</v>
      </c>
      <c r="G210" s="51"/>
    </row>
    <row r="211" customFormat="false" ht="15" hidden="false" customHeight="false" outlineLevel="0" collapsed="false">
      <c r="B211" s="51" t="n">
        <v>208</v>
      </c>
      <c r="C211" s="37" t="s">
        <v>10448</v>
      </c>
      <c r="D211" s="39" t="s">
        <v>10449</v>
      </c>
      <c r="E211" s="39" t="s">
        <v>10450</v>
      </c>
      <c r="F211" s="90" t="n">
        <v>2</v>
      </c>
      <c r="G211" s="51"/>
    </row>
    <row r="212" customFormat="false" ht="15" hidden="false" customHeight="false" outlineLevel="0" collapsed="false">
      <c r="B212" s="51" t="n">
        <v>209</v>
      </c>
      <c r="C212" s="37" t="s">
        <v>10451</v>
      </c>
      <c r="D212" s="39" t="s">
        <v>10452</v>
      </c>
      <c r="E212" s="39" t="s">
        <v>10453</v>
      </c>
      <c r="F212" s="90" t="n">
        <v>2</v>
      </c>
      <c r="G212" s="51"/>
    </row>
    <row r="213" customFormat="false" ht="15" hidden="false" customHeight="false" outlineLevel="0" collapsed="false">
      <c r="B213" s="51" t="n">
        <v>210</v>
      </c>
      <c r="C213" s="37" t="s">
        <v>8714</v>
      </c>
      <c r="D213" s="39" t="s">
        <v>10454</v>
      </c>
      <c r="E213" s="39" t="s">
        <v>10455</v>
      </c>
      <c r="F213" s="90" t="n">
        <v>2</v>
      </c>
      <c r="G213" s="51"/>
    </row>
    <row r="214" customFormat="false" ht="15" hidden="false" customHeight="false" outlineLevel="0" collapsed="false">
      <c r="B214" s="51" t="n">
        <v>211</v>
      </c>
      <c r="C214" s="37" t="s">
        <v>8716</v>
      </c>
      <c r="D214" s="39" t="s">
        <v>10446</v>
      </c>
      <c r="E214" s="39" t="s">
        <v>10447</v>
      </c>
      <c r="F214" s="90" t="n">
        <v>2</v>
      </c>
      <c r="G214" s="51"/>
    </row>
    <row r="215" customFormat="false" ht="15" hidden="false" customHeight="false" outlineLevel="0" collapsed="false">
      <c r="B215" s="51" t="n">
        <v>212</v>
      </c>
      <c r="C215" s="37" t="s">
        <v>8727</v>
      </c>
      <c r="D215" s="39" t="s">
        <v>10456</v>
      </c>
      <c r="E215" s="39" t="s">
        <v>10457</v>
      </c>
      <c r="F215" s="90" t="n">
        <v>2</v>
      </c>
      <c r="G215" s="51"/>
    </row>
    <row r="216" customFormat="false" ht="15" hidden="false" customHeight="false" outlineLevel="0" collapsed="false">
      <c r="B216" s="51" t="n">
        <v>213</v>
      </c>
      <c r="C216" s="37" t="s">
        <v>9809</v>
      </c>
      <c r="D216" s="39" t="s">
        <v>10326</v>
      </c>
      <c r="E216" s="39" t="s">
        <v>10327</v>
      </c>
      <c r="F216" s="90" t="n">
        <v>2</v>
      </c>
      <c r="G216" s="51"/>
    </row>
    <row r="217" customFormat="false" ht="15" hidden="false" customHeight="false" outlineLevel="0" collapsed="false">
      <c r="B217" s="51" t="n">
        <v>214</v>
      </c>
      <c r="C217" s="37" t="s">
        <v>10458</v>
      </c>
      <c r="D217" s="39" t="s">
        <v>10459</v>
      </c>
      <c r="E217" s="39" t="s">
        <v>10460</v>
      </c>
      <c r="F217" s="90" t="n">
        <v>2</v>
      </c>
      <c r="G217" s="51"/>
    </row>
    <row r="218" customFormat="false" ht="15" hidden="false" customHeight="false" outlineLevel="0" collapsed="false">
      <c r="B218" s="51" t="n">
        <v>215</v>
      </c>
      <c r="C218" s="37" t="s">
        <v>8791</v>
      </c>
      <c r="D218" s="39" t="s">
        <v>10461</v>
      </c>
      <c r="E218" s="39" t="s">
        <v>10462</v>
      </c>
      <c r="F218" s="90" t="n">
        <v>2</v>
      </c>
      <c r="G218" s="51"/>
    </row>
    <row r="219" customFormat="false" ht="15" hidden="false" customHeight="false" outlineLevel="0" collapsed="false">
      <c r="B219" s="51" t="n">
        <v>216</v>
      </c>
      <c r="C219" s="37" t="s">
        <v>8800</v>
      </c>
      <c r="D219" s="39" t="s">
        <v>10404</v>
      </c>
      <c r="E219" s="39" t="s">
        <v>10405</v>
      </c>
      <c r="F219" s="90" t="n">
        <v>4</v>
      </c>
      <c r="G219" s="51"/>
    </row>
    <row r="220" customFormat="false" ht="15" hidden="false" customHeight="false" outlineLevel="0" collapsed="false">
      <c r="B220" s="51" t="n">
        <v>217</v>
      </c>
      <c r="C220" s="37" t="s">
        <v>10463</v>
      </c>
      <c r="D220" s="39" t="s">
        <v>10464</v>
      </c>
      <c r="E220" s="39" t="s">
        <v>10465</v>
      </c>
      <c r="F220" s="90" t="n">
        <v>11</v>
      </c>
      <c r="G220" s="51"/>
    </row>
    <row r="221" customFormat="false" ht="15" hidden="false" customHeight="false" outlineLevel="0" collapsed="false">
      <c r="B221" s="51" t="n">
        <v>218</v>
      </c>
      <c r="C221" s="37" t="s">
        <v>8847</v>
      </c>
      <c r="D221" s="39" t="s">
        <v>10466</v>
      </c>
      <c r="E221" s="39" t="s">
        <v>10467</v>
      </c>
      <c r="F221" s="90" t="n">
        <v>11</v>
      </c>
      <c r="G221" s="51"/>
    </row>
    <row r="222" customFormat="false" ht="15" hidden="false" customHeight="false" outlineLevel="0" collapsed="false">
      <c r="B222" s="51" t="n">
        <v>219</v>
      </c>
      <c r="C222" s="37" t="s">
        <v>10468</v>
      </c>
      <c r="D222" s="39" t="s">
        <v>10469</v>
      </c>
      <c r="E222" s="39" t="s">
        <v>10470</v>
      </c>
      <c r="F222" s="90" t="n">
        <v>11</v>
      </c>
      <c r="G222" s="51"/>
    </row>
    <row r="223" customFormat="false" ht="15" hidden="false" customHeight="false" outlineLevel="0" collapsed="false">
      <c r="B223" s="51" t="n">
        <v>220</v>
      </c>
      <c r="C223" s="37" t="s">
        <v>8863</v>
      </c>
      <c r="D223" s="39" t="s">
        <v>10321</v>
      </c>
      <c r="E223" s="39" t="s">
        <v>10322</v>
      </c>
      <c r="F223" s="90" t="n">
        <v>2</v>
      </c>
      <c r="G223" s="51"/>
    </row>
    <row r="224" customFormat="false" ht="15" hidden="false" customHeight="false" outlineLevel="0" collapsed="false">
      <c r="B224" s="51" t="n">
        <v>221</v>
      </c>
      <c r="C224" s="37" t="s">
        <v>8880</v>
      </c>
      <c r="D224" s="39" t="s">
        <v>10409</v>
      </c>
      <c r="E224" s="39" t="s">
        <v>10410</v>
      </c>
      <c r="F224" s="90" t="n">
        <v>2</v>
      </c>
      <c r="G224" s="51"/>
    </row>
    <row r="225" customFormat="false" ht="15" hidden="false" customHeight="false" outlineLevel="0" collapsed="false">
      <c r="B225" s="51" t="n">
        <v>222</v>
      </c>
      <c r="C225" s="37" t="s">
        <v>10471</v>
      </c>
      <c r="D225" s="39" t="s">
        <v>10472</v>
      </c>
      <c r="E225" s="39" t="s">
        <v>10473</v>
      </c>
      <c r="F225" s="90" t="n">
        <v>2</v>
      </c>
      <c r="G225" s="51"/>
    </row>
    <row r="226" customFormat="false" ht="15" hidden="false" customHeight="false" outlineLevel="0" collapsed="false">
      <c r="B226" s="51" t="n">
        <v>223</v>
      </c>
      <c r="C226" s="37" t="s">
        <v>10474</v>
      </c>
      <c r="D226" s="39" t="s">
        <v>10376</v>
      </c>
      <c r="E226" s="39" t="s">
        <v>10377</v>
      </c>
      <c r="F226" s="90" t="n">
        <v>2</v>
      </c>
      <c r="G226" s="51"/>
    </row>
    <row r="227" customFormat="false" ht="15" hidden="false" customHeight="false" outlineLevel="0" collapsed="false">
      <c r="B227" s="51" t="n">
        <v>224</v>
      </c>
      <c r="C227" s="37" t="s">
        <v>8911</v>
      </c>
      <c r="D227" s="39" t="s">
        <v>10475</v>
      </c>
      <c r="E227" s="39" t="s">
        <v>10476</v>
      </c>
      <c r="F227" s="90" t="n">
        <v>2</v>
      </c>
      <c r="G227" s="51"/>
    </row>
    <row r="228" customFormat="false" ht="15" hidden="false" customHeight="false" outlineLevel="0" collapsed="false">
      <c r="B228" s="51" t="n">
        <v>225</v>
      </c>
      <c r="C228" s="37" t="s">
        <v>10477</v>
      </c>
      <c r="D228" s="39" t="s">
        <v>10478</v>
      </c>
      <c r="E228" s="39" t="s">
        <v>10479</v>
      </c>
      <c r="F228" s="90" t="n">
        <v>11</v>
      </c>
      <c r="G228" s="51"/>
    </row>
    <row r="229" customFormat="false" ht="15" hidden="false" customHeight="false" outlineLevel="0" collapsed="false">
      <c r="B229" s="51" t="n">
        <v>226</v>
      </c>
      <c r="C229" s="37" t="s">
        <v>8940</v>
      </c>
      <c r="D229" s="39" t="s">
        <v>10232</v>
      </c>
      <c r="E229" s="39" t="s">
        <v>10233</v>
      </c>
      <c r="F229" s="90" t="n">
        <v>2</v>
      </c>
      <c r="G229" s="51"/>
    </row>
    <row r="230" customFormat="false" ht="15" hidden="false" customHeight="false" outlineLevel="0" collapsed="false">
      <c r="B230" s="51" t="n">
        <v>227</v>
      </c>
      <c r="C230" s="37" t="s">
        <v>8952</v>
      </c>
      <c r="D230" s="39" t="s">
        <v>10480</v>
      </c>
      <c r="E230" s="39" t="s">
        <v>10481</v>
      </c>
      <c r="F230" s="90" t="n">
        <v>2</v>
      </c>
      <c r="G230" s="51"/>
    </row>
    <row r="231" customFormat="false" ht="15" hidden="false" customHeight="false" outlineLevel="0" collapsed="false">
      <c r="B231" s="51" t="n">
        <v>228</v>
      </c>
      <c r="C231" s="37" t="s">
        <v>8962</v>
      </c>
      <c r="D231" s="39" t="s">
        <v>10290</v>
      </c>
      <c r="E231" s="39" t="s">
        <v>10291</v>
      </c>
      <c r="F231" s="90" t="n">
        <v>4</v>
      </c>
      <c r="G231" s="51"/>
    </row>
    <row r="232" customFormat="false" ht="15" hidden="false" customHeight="false" outlineLevel="0" collapsed="false">
      <c r="B232" s="51" t="n">
        <v>229</v>
      </c>
      <c r="C232" s="37" t="s">
        <v>10482</v>
      </c>
      <c r="D232" s="39" t="s">
        <v>10483</v>
      </c>
      <c r="E232" s="39" t="s">
        <v>10484</v>
      </c>
      <c r="F232" s="90" t="n">
        <v>2</v>
      </c>
      <c r="G232" s="51"/>
    </row>
    <row r="233" customFormat="false" ht="15" hidden="false" customHeight="false" outlineLevel="0" collapsed="false">
      <c r="B233" s="51" t="n">
        <v>230</v>
      </c>
      <c r="C233" s="37" t="s">
        <v>8976</v>
      </c>
      <c r="D233" s="39" t="s">
        <v>10439</v>
      </c>
      <c r="E233" s="39" t="s">
        <v>10440</v>
      </c>
      <c r="F233" s="90" t="n">
        <v>2</v>
      </c>
      <c r="G233" s="51"/>
    </row>
    <row r="234" customFormat="false" ht="15" hidden="false" customHeight="false" outlineLevel="0" collapsed="false">
      <c r="B234" s="51" t="n">
        <v>231</v>
      </c>
      <c r="C234" s="37" t="s">
        <v>10485</v>
      </c>
      <c r="D234" s="39" t="s">
        <v>10486</v>
      </c>
      <c r="E234" s="39" t="s">
        <v>10487</v>
      </c>
      <c r="F234" s="90" t="n">
        <v>2</v>
      </c>
      <c r="G234" s="51"/>
    </row>
    <row r="235" customFormat="false" ht="15" hidden="false" customHeight="false" outlineLevel="0" collapsed="false">
      <c r="B235" s="51" t="n">
        <v>232</v>
      </c>
      <c r="C235" s="37" t="s">
        <v>10488</v>
      </c>
      <c r="D235" s="39" t="s">
        <v>10489</v>
      </c>
      <c r="E235" s="39" t="s">
        <v>10490</v>
      </c>
      <c r="F235" s="90" t="n">
        <v>2</v>
      </c>
      <c r="G235" s="51"/>
    </row>
    <row r="236" customFormat="false" ht="15" hidden="false" customHeight="false" outlineLevel="0" collapsed="false">
      <c r="B236" s="51" t="n">
        <v>233</v>
      </c>
      <c r="C236" s="37" t="s">
        <v>9016</v>
      </c>
      <c r="D236" s="39" t="s">
        <v>10491</v>
      </c>
      <c r="E236" s="39" t="s">
        <v>10492</v>
      </c>
      <c r="F236" s="90" t="n">
        <v>2</v>
      </c>
      <c r="G236" s="51"/>
    </row>
    <row r="237" customFormat="false" ht="15" hidden="false" customHeight="false" outlineLevel="0" collapsed="false">
      <c r="B237" s="51" t="n">
        <v>234</v>
      </c>
      <c r="C237" s="37" t="s">
        <v>9018</v>
      </c>
      <c r="D237" s="39" t="s">
        <v>10493</v>
      </c>
      <c r="E237" s="39" t="s">
        <v>10494</v>
      </c>
      <c r="F237" s="90" t="n">
        <v>2</v>
      </c>
      <c r="G237" s="51"/>
    </row>
    <row r="238" customFormat="false" ht="15" hidden="false" customHeight="false" outlineLevel="0" collapsed="false">
      <c r="B238" s="51" t="n">
        <v>235</v>
      </c>
      <c r="C238" s="37" t="s">
        <v>9022</v>
      </c>
      <c r="D238" s="39" t="s">
        <v>10495</v>
      </c>
      <c r="E238" s="39" t="s">
        <v>10496</v>
      </c>
      <c r="F238" s="90" t="n">
        <v>2</v>
      </c>
      <c r="G238" s="51"/>
    </row>
    <row r="239" customFormat="false" ht="15" hidden="false" customHeight="false" outlineLevel="0" collapsed="false">
      <c r="B239" s="51" t="n">
        <v>236</v>
      </c>
      <c r="C239" s="37" t="s">
        <v>9051</v>
      </c>
      <c r="D239" s="39" t="s">
        <v>10497</v>
      </c>
      <c r="E239" s="39" t="s">
        <v>10498</v>
      </c>
      <c r="F239" s="90" t="n">
        <v>2</v>
      </c>
      <c r="G239" s="51"/>
    </row>
    <row r="240" customFormat="false" ht="15" hidden="false" customHeight="false" outlineLevel="0" collapsed="false">
      <c r="B240" s="51" t="n">
        <v>237</v>
      </c>
      <c r="C240" s="37" t="s">
        <v>10499</v>
      </c>
      <c r="D240" s="39" t="s">
        <v>10500</v>
      </c>
      <c r="E240" s="39" t="s">
        <v>10501</v>
      </c>
      <c r="F240" s="90" t="n">
        <v>2</v>
      </c>
      <c r="G240" s="51"/>
    </row>
    <row r="241" customFormat="false" ht="15" hidden="false" customHeight="false" outlineLevel="0" collapsed="false">
      <c r="B241" s="51" t="n">
        <v>238</v>
      </c>
      <c r="C241" s="37" t="s">
        <v>9064</v>
      </c>
      <c r="D241" s="39" t="s">
        <v>10353</v>
      </c>
      <c r="E241" s="39" t="s">
        <v>10354</v>
      </c>
      <c r="F241" s="90" t="n">
        <v>2</v>
      </c>
      <c r="G241" s="51"/>
    </row>
    <row r="242" customFormat="false" ht="15" hidden="false" customHeight="false" outlineLevel="0" collapsed="false">
      <c r="B242" s="51" t="n">
        <v>239</v>
      </c>
      <c r="C242" s="37" t="s">
        <v>9083</v>
      </c>
      <c r="D242" s="39" t="s">
        <v>10502</v>
      </c>
      <c r="E242" s="39" t="s">
        <v>10503</v>
      </c>
      <c r="F242" s="90" t="n">
        <v>2</v>
      </c>
      <c r="G242" s="51"/>
    </row>
    <row r="243" customFormat="false" ht="15" hidden="false" customHeight="false" outlineLevel="0" collapsed="false">
      <c r="B243" s="51" t="n">
        <v>240</v>
      </c>
      <c r="C243" s="37" t="s">
        <v>9091</v>
      </c>
      <c r="D243" s="39" t="s">
        <v>10504</v>
      </c>
      <c r="E243" s="39" t="s">
        <v>10505</v>
      </c>
      <c r="F243" s="90" t="n">
        <v>2</v>
      </c>
      <c r="G243" s="51"/>
    </row>
    <row r="244" customFormat="false" ht="15" hidden="false" customHeight="false" outlineLevel="0" collapsed="false">
      <c r="B244" s="51" t="n">
        <v>241</v>
      </c>
      <c r="C244" s="37" t="s">
        <v>9097</v>
      </c>
      <c r="D244" s="39" t="s">
        <v>10506</v>
      </c>
      <c r="E244" s="39" t="s">
        <v>10507</v>
      </c>
      <c r="F244" s="90" t="n">
        <v>2</v>
      </c>
      <c r="G244" s="51"/>
    </row>
    <row r="245" customFormat="false" ht="15" hidden="false" customHeight="false" outlineLevel="0" collapsed="false">
      <c r="B245" s="51" t="n">
        <v>242</v>
      </c>
      <c r="C245" s="37" t="s">
        <v>10508</v>
      </c>
      <c r="D245" s="39" t="s">
        <v>10509</v>
      </c>
      <c r="E245" s="39" t="s">
        <v>10510</v>
      </c>
      <c r="F245" s="90" t="n">
        <v>2</v>
      </c>
      <c r="G245" s="51"/>
    </row>
    <row r="246" customFormat="false" ht="15" hidden="false" customHeight="false" outlineLevel="0" collapsed="false">
      <c r="B246" s="51" t="n">
        <v>243</v>
      </c>
      <c r="C246" s="37" t="s">
        <v>10511</v>
      </c>
      <c r="D246" s="39" t="s">
        <v>10512</v>
      </c>
      <c r="E246" s="39" t="s">
        <v>10513</v>
      </c>
      <c r="F246" s="90" t="n">
        <v>2</v>
      </c>
      <c r="G246" s="51"/>
    </row>
    <row r="247" customFormat="false" ht="15" hidden="false" customHeight="false" outlineLevel="0" collapsed="false">
      <c r="B247" s="51" t="n">
        <v>244</v>
      </c>
      <c r="C247" s="37" t="s">
        <v>10514</v>
      </c>
      <c r="D247" s="39" t="s">
        <v>10515</v>
      </c>
      <c r="E247" s="39" t="s">
        <v>10516</v>
      </c>
      <c r="F247" s="90" t="n">
        <v>2</v>
      </c>
      <c r="G247" s="51"/>
    </row>
    <row r="248" customFormat="false" ht="15" hidden="false" customHeight="false" outlineLevel="0" collapsed="false">
      <c r="B248" s="51" t="n">
        <v>245</v>
      </c>
      <c r="C248" s="37" t="s">
        <v>9174</v>
      </c>
      <c r="D248" s="39" t="s">
        <v>10378</v>
      </c>
      <c r="E248" s="39" t="s">
        <v>10379</v>
      </c>
      <c r="F248" s="90" t="n">
        <v>2</v>
      </c>
      <c r="G248" s="51"/>
    </row>
    <row r="249" customFormat="false" ht="15" hidden="false" customHeight="false" outlineLevel="0" collapsed="false">
      <c r="B249" s="51" t="n">
        <v>246</v>
      </c>
      <c r="C249" s="37" t="s">
        <v>9953</v>
      </c>
      <c r="D249" s="39" t="s">
        <v>10517</v>
      </c>
      <c r="E249" s="39" t="s">
        <v>10518</v>
      </c>
      <c r="F249" s="90" t="n">
        <v>2</v>
      </c>
      <c r="G249" s="51"/>
    </row>
    <row r="250" customFormat="false" ht="15" hidden="false" customHeight="false" outlineLevel="0" collapsed="false">
      <c r="B250" s="51" t="n">
        <v>247</v>
      </c>
      <c r="C250" s="37" t="s">
        <v>10519</v>
      </c>
      <c r="D250" s="39" t="s">
        <v>10520</v>
      </c>
      <c r="E250" s="39" t="s">
        <v>10521</v>
      </c>
      <c r="F250" s="90" t="n">
        <v>2</v>
      </c>
      <c r="G250" s="51"/>
    </row>
    <row r="251" customFormat="false" ht="15" hidden="false" customHeight="false" outlineLevel="0" collapsed="false">
      <c r="B251" s="51" t="n">
        <v>248</v>
      </c>
      <c r="C251" s="37" t="s">
        <v>10522</v>
      </c>
      <c r="D251" s="39" t="s">
        <v>10523</v>
      </c>
      <c r="E251" s="39" t="s">
        <v>10524</v>
      </c>
      <c r="F251" s="90" t="n">
        <v>2</v>
      </c>
      <c r="G251" s="51"/>
    </row>
    <row r="252" customFormat="false" ht="15" hidden="false" customHeight="false" outlineLevel="0" collapsed="false">
      <c r="B252" s="51" t="n">
        <v>249</v>
      </c>
      <c r="C252" s="37" t="s">
        <v>10525</v>
      </c>
      <c r="D252" s="39" t="s">
        <v>10526</v>
      </c>
      <c r="E252" s="39" t="s">
        <v>10527</v>
      </c>
      <c r="F252" s="90" t="n">
        <v>2</v>
      </c>
      <c r="G252" s="51"/>
    </row>
    <row r="253" customFormat="false" ht="15" hidden="false" customHeight="false" outlineLevel="0" collapsed="false">
      <c r="B253" s="51" t="n">
        <v>250</v>
      </c>
      <c r="C253" s="37" t="s">
        <v>9196</v>
      </c>
      <c r="D253" s="39" t="s">
        <v>10528</v>
      </c>
      <c r="E253" s="39" t="s">
        <v>10529</v>
      </c>
      <c r="F253" s="90" t="n">
        <v>2</v>
      </c>
      <c r="G253" s="51"/>
    </row>
    <row r="254" customFormat="false" ht="15" hidden="false" customHeight="false" outlineLevel="0" collapsed="false">
      <c r="B254" s="51" t="n">
        <v>251</v>
      </c>
      <c r="C254" s="37" t="s">
        <v>9214</v>
      </c>
      <c r="D254" s="39" t="s">
        <v>10530</v>
      </c>
      <c r="E254" s="39" t="s">
        <v>10531</v>
      </c>
      <c r="F254" s="90" t="n">
        <v>2</v>
      </c>
      <c r="G254" s="51"/>
    </row>
    <row r="255" customFormat="false" ht="15" hidden="false" customHeight="false" outlineLevel="0" collapsed="false">
      <c r="B255" s="51" t="n">
        <v>252</v>
      </c>
      <c r="C255" s="37" t="s">
        <v>9226</v>
      </c>
      <c r="D255" s="39" t="s">
        <v>10532</v>
      </c>
      <c r="E255" s="39" t="s">
        <v>10533</v>
      </c>
      <c r="F255" s="90" t="n">
        <v>2</v>
      </c>
      <c r="G255" s="51"/>
    </row>
  </sheetData>
  <mergeCells count="1">
    <mergeCell ref="B2:G2"/>
  </mergeCells>
  <hyperlinks>
    <hyperlink ref="C4" r:id="rId1" display="https://striking-viking.com/collections/beard-balm"/>
    <hyperlink ref="C5" r:id="rId2" display="https://striking-viking.com/collections/beard-care"/>
    <hyperlink ref="C6" r:id="rId3" display="https://striking-viking.com/collections/beard-oil"/>
    <hyperlink ref="C7" r:id="rId4" display="https://striking-viking.com/"/>
    <hyperlink ref="C8" r:id="rId5" display="https://striking-viking.com/collections/beard-filler-pens"/>
    <hyperlink ref="C9" r:id="rId6" display="https://striking-viking.com/collections/beard-butter"/>
    <hyperlink ref="C10" r:id="rId7" display="https://striking-viking.com/collections/beard-wash"/>
    <hyperlink ref="C11" r:id="rId8" display="https://striking-viking.com/blogs/learn/ride-the-wave-striking-viking-sea-salt-spray-for-effortless-men-s-style"/>
    <hyperlink ref="C12" r:id="rId9" display="https://striking-viking.com/products/striking-viking-beard-filler-pencil-with-dual-tip-pen-brush-for-natural-beard-styling"/>
    <hyperlink ref="C13" r:id="rId10" display="https://striking-viking.com/es/collections/beard-care"/>
    <hyperlink ref="C14" r:id="rId11" display="https://striking-viking.com/fr/collections/beard-balm"/>
    <hyperlink ref="C15" r:id="rId12" display="https://striking-viking.com/en-ca/collections/beard-balm"/>
    <hyperlink ref="C16" r:id="rId13" display="https://striking-viking.com/de/collections/beard-filler-pens"/>
    <hyperlink ref="C17" r:id="rId14" display="https://striking-viking.com/es/collections/beard-wash"/>
    <hyperlink ref="C18" r:id="rId15" display="https://striking-viking.com/de/blogs/learn/ride-the-wave-striking-viking-sea-salt-spray-for-effortless-men-s-style"/>
    <hyperlink ref="C19" r:id="rId16" display="https://striking-viking.com/de"/>
    <hyperlink ref="C20" r:id="rId17" display="https://striking-viking.com/fi/collections/partavesi"/>
    <hyperlink ref="C21" r:id="rId18" display="https://striking-viking.com/fi/collections/partavoide"/>
    <hyperlink ref="C22" r:id="rId19" display="https://striking-viking.com/es"/>
    <hyperlink ref="C23" r:id="rId20" display="https://striking-viking.com/en-ca/collections/beard-care"/>
    <hyperlink ref="C24" r:id="rId21" display="https://striking-viking.com/en-ca/collections/beard-filler-pens"/>
    <hyperlink ref="C25" r:id="rId22" display="https://striking-viking.com/it"/>
    <hyperlink ref="C26" r:id="rId23" display="https://striking-viking.com/sv/collections/beard-balm"/>
    <hyperlink ref="C27" r:id="rId24" display="https://striking-viking.com/fi/collections/parta-voide"/>
    <hyperlink ref="C28" r:id="rId25" display="https://striking-viking.com/no/collections/beard-oil"/>
    <hyperlink ref="C29" r:id="rId26" display="https://striking-viking.com/es/blogs/learn/ride-the-wave-striking-viking-sea-salt-spray-for-effortless-men-s-style"/>
    <hyperlink ref="C30" r:id="rId27" display="https://striking-viking.com/it/collections/beard-balm"/>
    <hyperlink ref="C31" r:id="rId28" display="https://striking-viking.com/fi"/>
    <hyperlink ref="C32" r:id="rId29" display="https://striking-viking.com/en-gb/collections/beard-care"/>
    <hyperlink ref="C33" r:id="rId30" display="https://striking-viking.com/de/collections/beard-wash"/>
    <hyperlink ref="C34" r:id="rId31" display="https://striking-viking.com/no/collections/beard-butter"/>
    <hyperlink ref="C35" r:id="rId32" display="https://striking-viking.com/sv/collections/beard-wash"/>
    <hyperlink ref="C36" r:id="rId33" display="https://striking-viking.com/no/collections/beard-filler-pens"/>
    <hyperlink ref="C37" r:id="rId34" display="https://striking-viking.com/fi/collections/parta-oljy"/>
    <hyperlink ref="C38" r:id="rId35" display="https://striking-viking.com/it/blogs/learn/ride-the-wave-striking-viking-sea-salt-spray-for-effortless-men-s-style"/>
    <hyperlink ref="C39" r:id="rId36" display="https://striking-viking.com/en-gb/collections/beard-butter"/>
    <hyperlink ref="C40" r:id="rId37" display="https://striking-viking.com/sv/collections/beard-oil"/>
    <hyperlink ref="C41" r:id="rId38" display="https://striking-viking.com/it/collections/beard-butter"/>
    <hyperlink ref="C42" r:id="rId39" display="https://striking-viking.com/en-gb/collections/beard-wash"/>
    <hyperlink ref="C43" r:id="rId40" display="https://striking-viking.com/fr"/>
    <hyperlink ref="C44" r:id="rId41" display="https://striking-viking.com/de/collections/beard-balm"/>
    <hyperlink ref="C45" r:id="rId42" display="https://striking-viking.com/fr/collections/beard-filler-pens"/>
    <hyperlink ref="C46" r:id="rId43" display="https://striking-viking.com/no"/>
    <hyperlink ref="C47" r:id="rId44" display="https://striking-viking.com/en-ca/collections/beard-butter"/>
    <hyperlink ref="C48" r:id="rId45" display="https://striking-viking.com/sv/collections/beard-care"/>
    <hyperlink ref="C49" r:id="rId46" display="https://striking-viking.com/fr/collections/beard-butter"/>
    <hyperlink ref="C50" r:id="rId47" display="https://striking-viking.com/fr/blogs/learn/ride-the-wave-striking-viking-sea-salt-spray-for-effortless-men-s-style"/>
    <hyperlink ref="C51" r:id="rId48" display="https://striking-viking.com/sv/collections/beard-butter"/>
    <hyperlink ref="C52" r:id="rId49" display="https://striking-viking.com/en-gb/collections/beard-balm"/>
    <hyperlink ref="C53" r:id="rId50" display="https://striking-viking.com/en-gb/collections/beard-filler-pens"/>
    <hyperlink ref="C54" r:id="rId51" display="https://striking-viking.com/de/collections/beard-butter"/>
    <hyperlink ref="C55" r:id="rId52" display="https://striking-viking.com/fr/collections/beard-care"/>
    <hyperlink ref="C56" r:id="rId53" display="https://striking-viking.com/es/collections/beard-filler-pens"/>
    <hyperlink ref="C57" r:id="rId54" display="https://striking-viking.com/sv"/>
    <hyperlink ref="C58" r:id="rId55" display="https://striking-viking.com/en-gb/collections/beard-oil"/>
    <hyperlink ref="C59" r:id="rId56" display="https://striking-viking.com/fi/blogs/learn/ride-the-wave-striking-viking-sea-salt-spray-for-effortless-men-s-style"/>
    <hyperlink ref="C60" r:id="rId57" display="https://striking-viking.com/it/collections/beard-wash"/>
    <hyperlink ref="C61" r:id="rId58" display="https://striking-viking.com/en-ca/blogs/learn/ride-the-wave-striking-viking-sea-salt-spray-for-effortless-men-s-style"/>
    <hyperlink ref="C62" r:id="rId59" display="https://striking-viking.com/en-ca"/>
    <hyperlink ref="C63" r:id="rId60" display="https://striking-viking.com/no/collections/beard-balm"/>
    <hyperlink ref="C64" r:id="rId61" display="https://striking-viking.com/es/collections/beard-balm"/>
    <hyperlink ref="C65" r:id="rId62" display="https://striking-viking.com/it/collections/beard-filler-pens"/>
    <hyperlink ref="C66" r:id="rId63" display="https://striking-viking.com/sv/collections/beard-filler-pens"/>
    <hyperlink ref="C67" r:id="rId64" display="https://striking-viking.com/fr/collections/beard-oil"/>
    <hyperlink ref="C68" r:id="rId65" display="https://striking-viking.com/fr/collections/beard-wash"/>
    <hyperlink ref="C69" r:id="rId66" display="https://striking-viking.com/en-ca/collections/beard-oil"/>
    <hyperlink ref="C70" r:id="rId67" display="https://striking-viking.com/no/collections/beard-wash"/>
    <hyperlink ref="C71" r:id="rId68" display="https://striking-viking.com/fi/collections/beard-filler-pens"/>
    <hyperlink ref="C72" r:id="rId69" display="https://striking-viking.com/es/collections/beard-oil"/>
    <hyperlink ref="C73" r:id="rId70" display="https://striking-viking.com/it/collections/beard-oil"/>
    <hyperlink ref="C74" r:id="rId71" display="https://striking-viking.com/en-ca/collections/beard-wash"/>
    <hyperlink ref="C75" r:id="rId72" display="https://striking-viking.com/no/blogs/learn/ride-the-wave-striking-viking-sea-salt-spray-for-effortless-men-s-style"/>
    <hyperlink ref="C76" r:id="rId73" display="https://striking-viking.com/fi/collections/parta-ja-hiusten-hoito"/>
    <hyperlink ref="C77" r:id="rId74" display="https://striking-viking.com/no/collections/beard-care"/>
    <hyperlink ref="C78" r:id="rId75" display="https://striking-viking.com/sv/blogs/learn/ride-the-wave-striking-viking-sea-salt-spray-for-effortless-men-s-style"/>
    <hyperlink ref="C79" r:id="rId76" display="https://striking-viking.com/de/collections/beard-oil"/>
    <hyperlink ref="C80" r:id="rId77" display="https://striking-viking.com/es/collections/beard-butter"/>
    <hyperlink ref="C81" r:id="rId78" display="https://striking-viking.com/de/collections/beard-care"/>
    <hyperlink ref="C82" r:id="rId79" display="https://striking-viking.com/it/collections/beard-care"/>
    <hyperlink ref="C83" r:id="rId80" display="https://striking-viking.com/products/striking-viking-beard-growth-mastery-bundle-with-sandalwood-vanilla-biotin-oils-and-derma-roller"/>
    <hyperlink ref="C84" r:id="rId81" display="https://striking-viking.com/blogs/learn/unlock-your-beard-s-full-potential-beard-growth-kits-oils"/>
    <hyperlink ref="C85" r:id="rId82" display="https://striking-viking.com/no/products/striking-viking-beard-growth-mastery-bundle-with-sandalwood-vanilla-biotin-oils-and-derma-roller"/>
    <hyperlink ref="C86" r:id="rId83" display="https://striking-viking.com/en-gb/products/striking-viking-beard-filler-pencil-with-dual-tip-pen-brush-for-natural-beard-styling"/>
    <hyperlink ref="C87" r:id="rId84" display="https://striking-viking.com/en-gb/products/striking-viking-sandalwood-beard-growth-bundle-with-titanium-derma-roller-beard-growth-serum"/>
    <hyperlink ref="C88" r:id="rId85" display="https://striking-viking.com/products/striking-viking-vanilla-beard-growth-bundle-with-biotin-beard-serum-titanium-derma-roller"/>
    <hyperlink ref="C89" r:id="rId86" display="https://striking-viking.com/no/products/striking-viking-sandalwood-beard-growth-kit-with-biotin-oil-0-25mm-derma-roller"/>
    <hyperlink ref="C90" r:id="rId87" display="https://striking-viking.com/no/collections/viking-beard-kits"/>
    <hyperlink ref="C91" r:id="rId88" display="https://striking-viking.com/en-gb/blogs/learn/ride-the-wave-striking-viking-sea-salt-spray-for-effortless-men-s-style"/>
    <hyperlink ref="C92" r:id="rId89" display="https://striking-viking.com/it/products/striking-viking-vanilla-beard-growth-kit-with-biotin-oil-0-25mm-derma-roller"/>
    <hyperlink ref="C93" r:id="rId90" display="https://striking-viking.com/en-ca/blogs/learn/beard-grooming-comparison"/>
    <hyperlink ref="C94" r:id="rId91" display="https://striking-viking.com/en-ca/products/striking-viking-sandalwood-beard-growth-kit-with-biotin-oil-0-25mm-derma-roller"/>
    <hyperlink ref="C95" r:id="rId92" display="https://striking-viking.com/products/striking-viking-beard-growth-kit-with-beard-roller-vanilla-unscented-biotin-oils-for-men"/>
    <hyperlink ref="C96" r:id="rId93" display="https://striking-viking.com/products/striking-viking-vanilla-beard-growth-kit-with-biotin-oil-0-25mm-derma-roller"/>
    <hyperlink ref="C97" r:id="rId94" display="https://striking-viking.com/en-ca/products/striking-viking-beard-shampoo-with-natural-peppermint-eucalyptus-for-refreshing-beard-care"/>
    <hyperlink ref="C98" r:id="rId95" display="https://striking-viking.com/fi/blogs/learn/beard-grooming-comparison"/>
    <hyperlink ref="C99" r:id="rId96" display="https://striking-viking.com/products/striking-viking-beard-shampoo-with-natural-peppermint-eucalyptus-for-refreshing-beard-care"/>
    <hyperlink ref="C100" r:id="rId97" display="https://striking-viking.com/en-ca/products/striking-viking-hybrid-beard-growth-bundle-with-sandalwood-unscented-beard-oils-and-derma-roller"/>
    <hyperlink ref="C101" r:id="rId98" display="https://striking-viking.com/sv/blogs/learn/beard-grooming-comparison"/>
    <hyperlink ref="C102" r:id="rId99" display="https://striking-viking.com/no/products/striking-viking-vanilla-beard-growth-kit-with-biotin-oil-0-25mm-derma-roller"/>
    <hyperlink ref="C103" r:id="rId100" display="https://striking-viking.com/it/products/striking-viking-sandalwood-beard-growth-kit-with-biotin-oil-0-25mm-derma-roller"/>
    <hyperlink ref="C104" r:id="rId101" display="https://striking-viking.com/en-gb/products/striking-viking-hybrid-beard-growth-bundle-with-sandalwood-unscented-beard-oils-and-derma-roller"/>
    <hyperlink ref="C105" r:id="rId102" display="https://striking-viking.com/en-ca/products/striking-viking-vanilla-beard-growth-kit-with-biotin-oil-0-25mm-derma-roller"/>
    <hyperlink ref="C106" r:id="rId103" display="https://striking-viking.com/sv/collections/viking-beard-kits"/>
    <hyperlink ref="C107" r:id="rId104" display="https://striking-viking.com/en-gb/products/striking-viking-beard-growth-kit-with-beard-roller-vanilla-unscented-biotin-oils-for-men"/>
    <hyperlink ref="C108" r:id="rId105" display="https://striking-viking.com/en-ca/products/striking-viking-sandalwood-beard-growth-bundle-with-titanium-derma-roller-beard-growth-serum"/>
    <hyperlink ref="C109" r:id="rId106" display="https://striking-viking.com/en-ca/collections/viking-beard-kits"/>
    <hyperlink ref="C110" r:id="rId107" display="https://striking-viking.com/en-gb/blogs/learn/beard-grooming-comparison"/>
    <hyperlink ref="C111" r:id="rId108" display="https://striking-viking.com/en-ca/products/striking-viking-beard-growth-kit-with-beard-roller-vanilla-unscented-biotin-oils-for-men"/>
    <hyperlink ref="C112" r:id="rId109" display="https://striking-viking.com/blogs/learn/beard-grooming-comparison"/>
    <hyperlink ref="C113" r:id="rId110" display="https://striking-viking.com/en-gb/products/striking-viking-vanilla-beard-growth-bundle-with-biotin-beard-serum-titanium-derma-roller"/>
    <hyperlink ref="C114" r:id="rId111" display="https://striking-viking.com/en-ca/products/striking-viking-beard-growth-mastery-bundle-with-sandalwood-vanilla-biotin-oils-and-derma-roller"/>
    <hyperlink ref="C115" r:id="rId112" display="https://striking-viking.com/en-gb/products/striking-viking-beard-shampoo-with-natural-peppermint-eucalyptus-for-refreshing-beard-care"/>
    <hyperlink ref="C116" r:id="rId113" display="https://striking-viking.com/products/striking-viking-sandalwood-beard-growth-kit-with-biotin-oil-0-25mm-derma-roller"/>
    <hyperlink ref="C117" r:id="rId114" display="https://striking-viking.com/no/blogs/learn/unlock-your-beard-s-full-potential-beard-growth-kits-oils"/>
    <hyperlink ref="C118" r:id="rId115" display="https://striking-viking.com/en-gb/products/striking-viking-beard-growth-mastery-bundle-with-sandalwood-vanilla-biotin-oils-and-derma-roller"/>
    <hyperlink ref="C119" r:id="rId116" display="https://striking-viking.com/collections/viking-beard-kits"/>
    <hyperlink ref="C120" r:id="rId117" display="https://striking-viking.com/fi/collections/viikinki-partasetit"/>
    <hyperlink ref="C121" r:id="rId118" display="https://striking-viking.com/sv/products/striking-viking-hybrid-beard-growth-bundle-with-sandalwood-unscented-beard-oils-and-derma-roller"/>
    <hyperlink ref="C122" r:id="rId119" display="https://striking-viking.com/it/products/striking-viking-beard-filler-pen-2-pack-dual-tip-waterproof-beard-pen-for-natural-beard-filling"/>
    <hyperlink ref="C123" r:id="rId120" display="https://striking-viking.com/products/striking-viking-sandalwood-beard-growth-bundle-with-titanium-derma-roller-beard-growth-serum"/>
    <hyperlink ref="C124" r:id="rId121" display="https://striking-viking.com/it/collections/viking-beard-kits"/>
    <hyperlink ref="C125" r:id="rId122" display="https://striking-viking.com/products/striking-viking-unscented-beard-butter-for-moisturizing-softening-daily-beard-care"/>
    <hyperlink ref="C126" r:id="rId123" display="https://striking-viking.com/en-gb/collections/viking-beard-kits"/>
    <hyperlink ref="C127" r:id="rId124" display="https://striking-viking.com/es/collections/viking-beard-kits"/>
    <hyperlink ref="C128" r:id="rId125" display="https://striking-viking.com/sv/products/striking-viking-beard-rehab-growth-kit-with-sandalwood-beard-care-derma-roller"/>
    <hyperlink ref="C129" r:id="rId126" display="https://striking-viking.com/fi/blogs/learn/unlock-your-beard-s-full-potential-beard-growth-kits-oils"/>
    <hyperlink ref="C130" r:id="rId127" display="https://striking-viking.com/fi/products/striking-viking-sandalwood-beard-growth-kit-with-biotin-oil-0-25mm-derma-roller"/>
    <hyperlink ref="C131" r:id="rId128" display="https://striking-viking.com/de/blogs/learn/unlock-your-beard-s-full-potential-beard-growth-kits-oils"/>
    <hyperlink ref="C132" r:id="rId129" display="https://striking-viking.com/de/collections/viking-beard-kits"/>
    <hyperlink ref="C133" r:id="rId130" display="https://striking-viking.com/de/products/striking-viking-beard-filler-pencil-with-dual-tip-pen-brush-for-natural-beard-styling"/>
    <hyperlink ref="C134" r:id="rId131" display="https://striking-viking.com/en-ca/products/striking-viking-unscented-beard-butter-for-moisturizing-softening-daily-beard-care"/>
    <hyperlink ref="C135" r:id="rId132" display="https://striking-viking.com/fr/products/striking-viking-vanilla-beard-growth-kit-with-biotin-oil-0-25mm-derma-roller"/>
    <hyperlink ref="C136" r:id="rId133" display="https://striking-viking.com/fi/products/striking-viking-sandalwood-beard-growth-bundle-with-titanium-derma-roller-beard-growth-serum"/>
    <hyperlink ref="C137" r:id="rId134" display="https://striking-viking.com/sv/blogs/learn/unlock-your-beard-s-full-potential-beard-growth-kits-oils"/>
    <hyperlink ref="C138" r:id="rId135" display="https://striking-viking.com/fr/products/striking-viking-beard-filler-pencil-with-dual-tip-pen-brush-for-natural-beard-styling"/>
    <hyperlink ref="C139" r:id="rId136" display="https://striking-viking.com/de/products/bartwuchs-kit"/>
    <hyperlink ref="C140" r:id="rId137" display="https://striking-viking.com/de/products/bartwuchs-set"/>
    <hyperlink ref="C141" r:id="rId138" display="https://striking-viking.com/fr/products/striking-viking-sandalwood-beard-growth-kit-with-biotin-oil-0-25mm-derma-roller"/>
    <hyperlink ref="C142" r:id="rId139" display="https://striking-viking.com/en-gb/blogs/learn/unlock-your-beard-s-full-potential-beard-growth-kits-oils"/>
    <hyperlink ref="C143" r:id="rId140" display="https://striking-viking.com/it/products/striking-viking-beard-filler-pencil-with-dual-tip-pen-brush-for-natural-beard-styling"/>
    <hyperlink ref="C144" r:id="rId141" display="https://striking-viking.com/fr/blogs/learn/unlock-your-beard-s-full-potential-beard-growth-kits-oils"/>
    <hyperlink ref="C145" r:id="rId142" display="https://striking-viking.com/es/blogs/learn/unlock-your-beard-s-full-potential-beard-growth-kits-oils"/>
    <hyperlink ref="C146" r:id="rId143" display="https://striking-viking.com/sv/products/striking-viking-vanilla-beard-growth-kit-with-biotin-oil-0-25mm-derma-roller"/>
    <hyperlink ref="C147" r:id="rId144" display="https://striking-viking.com/fi/products/striking-viking-hybrid-beard-growth-bundle-with-sandalwood-unscented-beard-oils-and-derma-roller"/>
    <hyperlink ref="C148" r:id="rId145" display="https://striking-viking.com/fr/collections/viking-beard-kits"/>
    <hyperlink ref="C149" r:id="rId146" display="https://striking-viking.com/sv/products/striking-viking-sandalwood-beard-growth-kit-with-biotin-oil-0-25mm-derma-roller"/>
    <hyperlink ref="C150" r:id="rId147" display="https://striking-viking.com/it/blogs/learn/unlock-your-beard-s-full-potential-beard-growth-kits-oils"/>
    <hyperlink ref="C151" r:id="rId148" display="https://striking-viking.com/de/products/striking-viking-beard-filler-pen-2-pack-dual-tip-waterproof-beard-pen-for-natural-beard-filling"/>
    <hyperlink ref="C152" r:id="rId149" display="https://striking-viking.com/en-ca/products/striking-viking-beard-filler-pencil-with-dual-tip-pen-brush-for-natural-beard-styling"/>
    <hyperlink ref="C153" r:id="rId150" display="https://striking-viking.com/en-ca/blogs/learn/unlock-your-beard-s-full-potential-beard-growth-kits-oils"/>
    <hyperlink ref="C154" r:id="rId151" display="https://striking-viking.com/products/striking-viking-hybrid-beard-growth-bundle-with-sandalwood-unscented-beard-oils-and-derma-roller"/>
    <hyperlink ref="C155" r:id="rId152" display="https://striking-viking.com/fr-ca/collections/beard-butter"/>
    <hyperlink ref="C156" r:id="rId153" display="https://striking-viking.com/fr-ca/collections/beard-filler-pens"/>
    <hyperlink ref="C157" r:id="rId154" display="https://striking-viking.com/fr-ca/collections/beard-wash"/>
    <hyperlink ref="C158" r:id="rId155" display="https://striking-viking.com/fr-ca"/>
    <hyperlink ref="C159" r:id="rId156" display="https://striking-viking.com/fr-ca/collections/beard-care"/>
    <hyperlink ref="C160" r:id="rId157" display="https://striking-viking.com/fr-ca/collections/beard-oil"/>
    <hyperlink ref="C161" r:id="rId158" display="https://striking-viking.com/fr-ca/collections/beard-balm"/>
    <hyperlink ref="C162" r:id="rId159" display="https://striking-viking.com/fr-ca/blogs/learn/ride-the-wave-striking-viking-sea-salt-spray-for-effortless-men-s-style"/>
    <hyperlink ref="C163" r:id="rId160" display="https://striking-viking.com/de/products/ontaki-japanese-steel-rounded-tip-beard-mustache-scissors-4-2-inch-grooming-kit"/>
    <hyperlink ref="C164" r:id="rId161" display="https://striking-viking.com/it/products/striking-viking-beard-growth-kit-with-beard-roller-vanilla-unscented-biotin-oils-for-men"/>
    <hyperlink ref="C165" r:id="rId162" display="https://striking-viking.com/no/products/striking-viking-sandalwood-beard-oil"/>
    <hyperlink ref="C166" r:id="rId163" display="https://striking-viking.com/es/products/ontaki-duckbill-applique-scissors-4-5-inch-carbon-steel-fabric-thread-cutting-scissors"/>
    <hyperlink ref="C167" r:id="rId164" display="https://striking-viking.com/fr/products/striking-viking-beard-growth-mastery-bundle-with-sandalwood-vanilla-biotin-oils-and-derma-roller"/>
    <hyperlink ref="C168" r:id="rId165" display="https://striking-viking.com/it/products/striking-viking-hybrid-beard-growth-bundle-with-sandalwood-unscented-beard-oils-and-derma-roller"/>
    <hyperlink ref="C169" r:id="rId166" display="https://striking-viking.com/it/products/ontaki-hair-thinning-shears-kit-7-inch-professional-hair-cutting-texturizing-set"/>
    <hyperlink ref="C170" r:id="rId167" display="https://striking-viking.com/es/products/striking-viking-beard-growth-kit-with-beard-roller-vanilla-unscented-biotin-oils-for-men"/>
    <hyperlink ref="C171" r:id="rId168" display="https://striking-viking.com/no/blogs/learn/beard-grooming-comparison"/>
    <hyperlink ref="C172" r:id="rId169" display="https://striking-viking.com/de/products/bartol-sandelholz"/>
    <hyperlink ref="C173" r:id="rId170" display="https://striking-viking.com/de/blogs/learn/beard-grooming-comparison"/>
    <hyperlink ref="C174" r:id="rId171" display="https://striking-viking.com/fi/products/ontaki-hair-thinning-shears-kit-7-inch-professional-hair-cutting-texturizing-set"/>
    <hyperlink ref="C175" r:id="rId172" display="https://striking-viking.com/it/products/striking-viking-sandalwood-beard-growth-bundle-with-titanium-derma-roller-beard-growth-serum"/>
    <hyperlink ref="C176" r:id="rId173" display="https://striking-viking.com/fr/blogs/learn/beard-grooming-comparison"/>
    <hyperlink ref="C177" r:id="rId174" display="https://striking-viking.com/fr/products/striking-viking-hybrid-beard-growth-bundle-with-sandalwood-unscented-beard-oils-and-derma-roller"/>
    <hyperlink ref="C178" r:id="rId175" display="https://striking-viking.com/es/products/striking-viking-beard-filler-pencil-with-dual-tip-pen-brush-for-natural-beard-styling"/>
    <hyperlink ref="C179" r:id="rId176" display="https://striking-viking.com/de/products/striking-viking-beard-rehab-growth-kit-with-sandalwood-beard-care-derma-roller"/>
    <hyperlink ref="C180" r:id="rId177" display="https://striking-viking.com/no/products/striking-viking-sandalwood-beard-growth-bundle-with-titanium-derma-roller-beard-growth-serum"/>
    <hyperlink ref="C181" r:id="rId178" display="https://striking-viking.com/no/products/striking-viking-beard-filler-pen-2-pack-dual-tip-waterproof-beard-pen-for-natural-beard-filling"/>
    <hyperlink ref="C182" r:id="rId179" display="https://striking-viking.com/no/products/ontaki-hair-thinning-shears-kit-7-inch-professional-hair-cutting-texturizing-set"/>
    <hyperlink ref="C183" r:id="rId180" display="https://striking-viking.com/sv/products/striking-viking-sandalwood-beard-growth-bundle-with-titanium-derma-roller-beard-growth-serum"/>
    <hyperlink ref="C184" r:id="rId181" display="https://striking-viking.com/fi/products/striking-viking-sandalwood-beard-oil"/>
    <hyperlink ref="C185" r:id="rId182" display="https://striking-viking.com/fr-ca/products/striking-viking-vanilla-beard-growth-bundle-with-biotin-beard-serum-titanium-derma-roller"/>
    <hyperlink ref="C186" r:id="rId183" display="https://striking-viking.com/sv/products/striking-viking-vanilla-beard-growth-bundle-with-biotin-beard-serum-titanium-derma-roller"/>
    <hyperlink ref="C187" r:id="rId184" display="https://striking-viking.com/de/products/striking-viking-sandalwood-beard-growth-bundle-with-titanium-derma-roller-beard-growth-serum"/>
    <hyperlink ref="C188" r:id="rId185" display="https://striking-viking.com/fr-ca/products/striking-viking-unscented-beard-butter-for-moisturizing-softening-daily-beard-care"/>
    <hyperlink ref="C189" r:id="rId186" display="https://striking-viking.com/it/blogs/learn/beard-grooming-comparison"/>
    <hyperlink ref="C190" r:id="rId187" display="https://striking-viking.com/fr/products/striking-viking-beard-growth-kit-with-beard-roller-vanilla-unscented-biotin-oils-for-men"/>
    <hyperlink ref="C191" r:id="rId188" display="https://striking-viking.com/fi/products/ontaki-japanese-steel-rounded-tip-beard-mustache-scissors-4-2-inch-grooming-kit"/>
    <hyperlink ref="C192" r:id="rId189" display="https://striking-viking.com/sv/products/striking-viking-beard-filler-pencil-with-dual-tip-pen-brush-for-natural-beard-styling"/>
    <hyperlink ref="C193" r:id="rId190" display="https://striking-viking.com/fr/products/striking-viking-vanilla-beard-growth-bundle-with-biotin-beard-serum-titanium-derma-roller"/>
    <hyperlink ref="C194" r:id="rId191" display="https://striking-viking.com/fr-ca/products/striking-viking-vanilla-beard-growth-kit-with-biotin-oil-0-25mm-derma-roller"/>
    <hyperlink ref="C195" r:id="rId192" display="https://striking-viking.com/it/products/striking-viking-beard-rehab-growth-kit-with-sandalwood-beard-care-derma-roller"/>
    <hyperlink ref="C196" r:id="rId193" display="https://striking-viking.com/sv/products/ontaki-hair-thinning-shears-kit-7-inch-professional-hair-cutting-texturizing-set"/>
    <hyperlink ref="C197" r:id="rId194" display="https://striking-viking.com/es/products/striking-viking-beard-growth-mastery-bundle-with-sandalwood-vanilla-biotin-oils-and-derma-roller"/>
    <hyperlink ref="C198" r:id="rId195" display="https://striking-viking.com/it/products/striking-viking-sandalwood-beard-oil"/>
    <hyperlink ref="C199" r:id="rId196" display="https://striking-viking.com/fi/products/striking-viking-beard-growth-mastery-bundle-with-sandalwood-vanilla-biotin-oils-and-derma-roller"/>
    <hyperlink ref="C200" r:id="rId197" display="https://striking-viking.com/es/blogs/learn/beard-grooming-comparison"/>
    <hyperlink ref="C201" r:id="rId198" display="https://striking-viking.com/it/products/ontaki-japanese-steel-rounded-tip-beard-mustache-scissors-4-2-inch-grooming-kit"/>
    <hyperlink ref="C202" r:id="rId199" display="https://striking-viking.com/fr-ca/collections/viking-beard-kits"/>
    <hyperlink ref="C203" r:id="rId200" display="https://striking-viking.com/es/products/striking-viking-beard-filler-pen-2-pack-dual-tip-waterproof-beard-pen-for-natural-beard-filling"/>
    <hyperlink ref="C204" r:id="rId201" display="https://striking-viking.com/de/products/striking-viking-hybrid-beard-growth-bundle-with-sandalwood-unscented-beard-oils-and-derma-roller"/>
    <hyperlink ref="C205" r:id="rId202" display="https://striking-viking.com/sv/products/ontaki-duckbill-applique-scissors-4-5-inch-carbon-steel-fabric-thread-cutting-scissors"/>
    <hyperlink ref="C206" r:id="rId203" display="https://striking-viking.com/fr-ca/products/striking-viking-beard-shampoo-with-natural-peppermint-eucalyptus-for-refreshing-beard-care"/>
    <hyperlink ref="C207" r:id="rId204" display="https://striking-viking.com/fr-ca/products/striking-viking-beard-filler-pencil-with-dual-tip-pen-brush-for-natural-beard-styling"/>
    <hyperlink ref="C208" r:id="rId205" display="https://striking-viking.com/sv/products/striking-viking-beard-growth-kit-with-beard-roller-vanilla-unscented-biotin-oils-for-men"/>
    <hyperlink ref="C209" r:id="rId206" display="https://striking-viking.com/it/products/striking-viking-vanilla-beard-growth-bundle-with-biotin-beard-serum-titanium-derma-roller"/>
    <hyperlink ref="C210" r:id="rId207" display="https://striking-viking.com/fr/products/striking-viking-sandalwood-beard-growth-bundle-with-titanium-derma-roller-beard-growth-serum"/>
    <hyperlink ref="C211" r:id="rId208" display="https://striking-viking.com/no/products/striking-viking-hybrid-beard-growth-bundle-with-sandalwood-unscented-beard-oils-and-derma-roller"/>
    <hyperlink ref="C212" r:id="rId209" display="https://striking-viking.com/no/products/striking-viking-beard-growth-kit-with-beard-roller-vanilla-unscented-biotin-oils-for-men"/>
    <hyperlink ref="C213" r:id="rId210" display="https://striking-viking.com/es/products/striking-viking-sandalwood-beard-oil"/>
    <hyperlink ref="C214" r:id="rId211" display="https://striking-viking.com/fr-ca/products/striking-viking-sandalwood-beard-growth-bundle-with-titanium-derma-roller-beard-growth-serum"/>
    <hyperlink ref="C215" r:id="rId212" display="https://striking-viking.com/fi/products/striking-viking-beard-rehab-growth-kit-with-sandalwood-beard-care-derma-roller"/>
    <hyperlink ref="C216" r:id="rId213" display="https://striking-viking.com/fr-ca/blogs/learn/unlock-your-beard-s-full-potential-beard-growth-kits-oils"/>
    <hyperlink ref="C217" r:id="rId214" display="https://striking-viking.com/sv/products/striking-viking-beard-growth-mastery-bundle-with-sandalwood-vanilla-biotin-oils-and-derma-roller"/>
    <hyperlink ref="C218" r:id="rId215" display="https://striking-viking.com/de/products/ontaki-duckbill-applique-scissors-4-5-inch-carbon-steel-fabric-thread-cutting-scissors"/>
    <hyperlink ref="C219" r:id="rId216" display="https://striking-viking.com/fr/products/striking-viking-unscented-beard-butter-for-moisturizing-softening-daily-beard-care"/>
    <hyperlink ref="C220" r:id="rId217" display="https://striking-viking.com/no/products/striking-viking-beard-filler-pencil-with-dual-tip-pen-brush-for-natural-beard-styling"/>
    <hyperlink ref="C221" r:id="rId218" display="https://striking-viking.com/fi/products/striking-viking-beard-filler-pen-2-pack-dual-tip-waterproof-beard-pen-for-natural-beard-filling"/>
    <hyperlink ref="C222" r:id="rId219" display="https://striking-viking.com/fi/products/striking-viking-beard-filler-pencil-with-dual-tip-pen-brush-for-natural-beard-styling"/>
    <hyperlink ref="C223" r:id="rId220" display="https://striking-viking.com/fr-ca/products/striking-viking-sandalwood-beard-growth-kit-with-biotin-oil-0-25mm-derma-roller"/>
    <hyperlink ref="C224" r:id="rId221" display="https://striking-viking.com/fr-ca/products/striking-viking-beard-growth-kit-with-beard-roller-vanilla-unscented-biotin-oils-for-men"/>
    <hyperlink ref="C225" r:id="rId222" display="https://striking-viking.com/es/products/ontaki-hair-thinning-shears-kit-7-inch-professional-hair-cutting-texturizing-set"/>
    <hyperlink ref="C226" r:id="rId223" display="https://striking-viking.com/fr-ca/blogs/learn/beard-grooming-comparison"/>
    <hyperlink ref="C227" r:id="rId224" display="https://striking-viking.com/es/products/striking-viking-vanilla-beard-growth-bundle-with-biotin-beard-serum-titanium-derma-roller"/>
    <hyperlink ref="C228" r:id="rId225" display="https://striking-viking.com/sv/products/striking-viking-beard-filler-pen-2-pack-dual-tip-waterproof-beard-pen-for-natural-beard-filling"/>
    <hyperlink ref="C229" r:id="rId226" display="https://striking-viking.com/en-ca/products/striking-viking-vanilla-beard-growth-bundle-with-biotin-beard-serum-titanium-derma-roller"/>
    <hyperlink ref="C230" r:id="rId227" display="https://striking-viking.com/it/products/ontaki-duckbill-applique-scissors-4-5-inch-carbon-steel-fabric-thread-cutting-scissors"/>
    <hyperlink ref="C231" r:id="rId228" display="https://striking-viking.com/en-gb/products/striking-viking-unscented-beard-butter-for-moisturizing-softening-daily-beard-care"/>
    <hyperlink ref="C232" r:id="rId229" display="https://striking-viking.com/de/products/ontaki-hair-thinning-shears-kit-7-inch-professional-hair-cutting-texturizing-set"/>
    <hyperlink ref="C233" r:id="rId230" display="https://striking-viking.com/fr/products/striking-viking-beard-shampoo-with-natural-peppermint-eucalyptus-for-refreshing-beard-care"/>
    <hyperlink ref="C234" r:id="rId231" display="https://striking-viking.com/es/products/ontaki-japanese-steel-rounded-tip-beard-mustache-scissors-4-2-inch-grooming-kit"/>
    <hyperlink ref="C235" r:id="rId232" display="https://striking-viking.com/fi/products/striking-viking-vanilla-beard-growth-bundle-with-biotin-beard-serum-titanium-derma-roller"/>
    <hyperlink ref="C236" r:id="rId233" display="https://striking-viking.com/es/products/striking-viking-sandalwood-beard-growth-bundle-with-titanium-derma-roller-beard-growth-serum"/>
    <hyperlink ref="C237" r:id="rId234" display="https://striking-viking.com/fi/products/striking-viking-vanilla-beard-growth-kit-with-biotin-oil-0-25mm-derma-roller"/>
    <hyperlink ref="C238" r:id="rId235" display="https://striking-viking.com/no/products/ontaki-duckbill-applique-scissors-4-5-inch-carbon-steel-fabric-thread-cutting-scissors"/>
    <hyperlink ref="C239" r:id="rId236" display="https://striking-viking.com/sv/products/striking-viking-sandalwood-beard-oil"/>
    <hyperlink ref="C240" r:id="rId237" display="https://striking-viking.com/no/products/ontaki-japanese-steel-rounded-tip-beard-mustache-scissors-4-2-inch-grooming-kit"/>
    <hyperlink ref="C241" r:id="rId238" display="https://striking-viking.com/fr-ca/products/striking-viking-beard-growth-mastery-bundle-with-sandalwood-vanilla-biotin-oils-and-derma-roller"/>
    <hyperlink ref="C242" r:id="rId239" display="https://striking-viking.com/no/products/striking-viking-beard-rehab-growth-kit-with-sandalwood-beard-care-derma-roller"/>
    <hyperlink ref="C243" r:id="rId240" display="https://striking-viking.com/es/products/striking-viking-beard-rehab-growth-kit-with-sandalwood-beard-care-derma-roller"/>
    <hyperlink ref="C244" r:id="rId241" display="https://striking-viking.com/es/products/striking-viking-hybrid-beard-growth-bundle-with-sandalwood-unscented-beard-oils-and-derma-roller"/>
    <hyperlink ref="C245" r:id="rId242" display="https://striking-viking.com/fi/products/ontaki-duckbill-applique-scissors-4-5-inch-carbon-steel-fabric-thread-cutting-scissors"/>
    <hyperlink ref="C246" r:id="rId243" display="https://striking-viking.com/sv/products/ontaki-japanese-steel-rounded-tip-beard-mustache-scissors-4-2-inch-grooming-kit"/>
    <hyperlink ref="C247" r:id="rId244" display="https://striking-viking.com/de/products/striking-viking-beard-growth-mastery-bundle-with-sandalwood-vanilla-biotin-oils-and-derma-roller"/>
    <hyperlink ref="C248" r:id="rId245" display="https://striking-viking.com/fr-ca/products/striking-viking-hybrid-beard-growth-bundle-with-sandalwood-unscented-beard-oils-and-derma-roller"/>
    <hyperlink ref="C249" r:id="rId246" display="https://striking-viking.com/fi/products/striking-viking-beard-growth-kit-with-beard-roller-vanilla-unscented-biotin-oils-for-men"/>
    <hyperlink ref="C250" r:id="rId247" display="https://striking-viking.com/no/products/striking-viking-vanilla-beard-growth-bundle-with-biotin-beard-serum-titanium-derma-roller"/>
    <hyperlink ref="C251" r:id="rId248" display="https://striking-viking.com/de/products/striking-viking-beard-growth-kit-with-beard-roller-vanilla-unscented-biotin-oils-for-men"/>
    <hyperlink ref="C252" r:id="rId249" display="https://striking-viking.com/de/products/striking-viking-vanilla-beard-growth-bundle-with-biotin-beard-serum-titanium-derma-roller"/>
    <hyperlink ref="C253" r:id="rId250" display="https://striking-viking.com/it/products/striking-viking-beard-growth-mastery-bundle-with-sandalwood-vanilla-biotin-oils-and-derma-roller"/>
    <hyperlink ref="C254" r:id="rId251" display="https://striking-viking.com/es/products/striking-viking-vanilla-beard-growth-kit-with-biotin-oil-0-25mm-derma-roller"/>
    <hyperlink ref="C255" r:id="rId252" display="https://striking-viking.com/es/products/striking-viking-sandalwood-beard-growth-kit-with-biotin-oil-0-25mm-derma-rol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42.38"/>
    <col collapsed="false" customWidth="true" hidden="false" outlineLevel="0" max="5" min="5" style="0" width="17.5"/>
    <col collapsed="false" customWidth="true" hidden="false" outlineLevel="0" max="6" min="6" style="0" width="18.25"/>
    <col collapsed="false" customWidth="true" hidden="false" outlineLevel="0" max="7" min="7" style="0" width="21.63"/>
    <col collapsed="false" customWidth="true" hidden="false" outlineLevel="0" max="11" min="11" style="0" width="22"/>
  </cols>
  <sheetData>
    <row r="1" customFormat="false" ht="15" hidden="false" customHeight="false" outlineLevel="0" collapsed="false">
      <c r="K1" s="26" t="str">
        <f aca="false">HYPERLINK("#'Master Overview'!A1","&lt;&lt; Master Overview")</f>
        <v>&lt;&lt; Master Overview</v>
      </c>
    </row>
    <row r="2" customFormat="false" ht="15" hidden="false" customHeight="false" outlineLevel="0" collapsed="false">
      <c r="K2" s="2" t="s">
        <v>10534</v>
      </c>
    </row>
    <row r="3" customFormat="false" ht="16.15" hidden="false" customHeight="false" outlineLevel="0" collapsed="false">
      <c r="B3" s="91" t="s">
        <v>140</v>
      </c>
      <c r="C3" s="91"/>
      <c r="D3" s="91"/>
      <c r="E3" s="91"/>
      <c r="F3" s="91"/>
      <c r="G3" s="91"/>
      <c r="H3" s="91"/>
      <c r="I3" s="91"/>
    </row>
    <row r="4" customFormat="false" ht="15" hidden="false" customHeight="false" outlineLevel="0" collapsed="false">
      <c r="B4" s="79" t="s">
        <v>10535</v>
      </c>
      <c r="C4" s="78" t="s">
        <v>274</v>
      </c>
      <c r="D4" s="78" t="s">
        <v>10536</v>
      </c>
      <c r="E4" s="78" t="s">
        <v>10537</v>
      </c>
      <c r="F4" s="78" t="s">
        <v>10538</v>
      </c>
      <c r="G4" s="78" t="s">
        <v>3971</v>
      </c>
      <c r="H4" s="78" t="s">
        <v>9970</v>
      </c>
      <c r="I4" s="78" t="s">
        <v>81</v>
      </c>
    </row>
    <row r="5" customFormat="false" ht="15" hidden="false" customHeight="false" outlineLevel="0" collapsed="false">
      <c r="B5" s="28" t="n">
        <v>1</v>
      </c>
      <c r="C5" s="37" t="s">
        <v>6974</v>
      </c>
      <c r="D5" s="37" t="s">
        <v>108</v>
      </c>
      <c r="E5" s="37" t="s">
        <v>10539</v>
      </c>
      <c r="F5" s="90" t="n">
        <v>4388</v>
      </c>
      <c r="G5" s="37" t="s">
        <v>10540</v>
      </c>
      <c r="H5" s="37" t="s">
        <v>10541</v>
      </c>
      <c r="I5" s="92" t="s">
        <v>10542</v>
      </c>
    </row>
  </sheetData>
  <mergeCells count="1">
    <mergeCell ref="B3:I3"/>
  </mergeCells>
  <hyperlinks>
    <hyperlink ref="C5" r:id="rId1" display="https://striking-viking.com/products/sandalwood-wooden-beard-comb-black-striking-vik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C1:G3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66.88"/>
    <col collapsed="false" customWidth="true" hidden="false" outlineLevel="0" max="4" min="4" style="0" width="125.38"/>
    <col collapsed="false" customWidth="true" hidden="false" outlineLevel="0" max="5" min="5" style="0" width="18.38"/>
    <col collapsed="false" customWidth="true" hidden="false" outlineLevel="0" max="7" min="7" style="0" width="22"/>
  </cols>
  <sheetData>
    <row r="1" customFormat="false" ht="15" hidden="false" customHeight="false" outlineLevel="0" collapsed="false">
      <c r="C1" s="52"/>
      <c r="D1" s="93"/>
      <c r="G1" s="26" t="str">
        <f aca="false">HYPERLINK("#'Master Overview'!A1","&lt;&lt; Master Overview")</f>
        <v>&lt;&lt; Master Overview</v>
      </c>
    </row>
    <row r="2" customFormat="false" ht="18.55" hidden="false" customHeight="false" outlineLevel="0" collapsed="false">
      <c r="C2" s="94" t="s">
        <v>141</v>
      </c>
      <c r="D2" s="94"/>
      <c r="E2" s="94"/>
      <c r="G2" s="2" t="s">
        <v>10543</v>
      </c>
    </row>
    <row r="3" customFormat="false" ht="15" hidden="false" customHeight="false" outlineLevel="0" collapsed="false">
      <c r="C3" s="78" t="s">
        <v>274</v>
      </c>
      <c r="D3" s="95" t="s">
        <v>4379</v>
      </c>
      <c r="E3" s="79" t="s">
        <v>141</v>
      </c>
    </row>
    <row r="4" customFormat="false" ht="82.05" hidden="false" customHeight="false" outlineLevel="0" collapsed="false">
      <c r="C4" s="37" t="s">
        <v>7008</v>
      </c>
      <c r="D4" s="39" t="s">
        <v>10544</v>
      </c>
      <c r="E4" s="51"/>
    </row>
    <row r="5" customFormat="false" ht="15" hidden="false" customHeight="false" outlineLevel="0" collapsed="false">
      <c r="C5" s="37" t="s">
        <v>6934</v>
      </c>
      <c r="D5" s="39" t="s">
        <v>10545</v>
      </c>
      <c r="E5" s="51"/>
    </row>
    <row r="6" customFormat="false" ht="15" hidden="false" customHeight="false" outlineLevel="0" collapsed="false">
      <c r="C6" s="37" t="s">
        <v>7288</v>
      </c>
      <c r="D6" s="39" t="s">
        <v>10546</v>
      </c>
      <c r="E6" s="51"/>
    </row>
    <row r="7" customFormat="false" ht="15" hidden="false" customHeight="false" outlineLevel="0" collapsed="false">
      <c r="C7" s="37" t="s">
        <v>10547</v>
      </c>
      <c r="D7" s="39" t="s">
        <v>10545</v>
      </c>
      <c r="E7" s="51"/>
    </row>
    <row r="8" customFormat="false" ht="15" hidden="false" customHeight="false" outlineLevel="0" collapsed="false">
      <c r="C8" s="37" t="s">
        <v>7306</v>
      </c>
      <c r="D8" s="39" t="s">
        <v>10546</v>
      </c>
      <c r="E8" s="51"/>
    </row>
    <row r="9" customFormat="false" ht="82.05" hidden="false" customHeight="false" outlineLevel="0" collapsed="false">
      <c r="C9" s="37" t="s">
        <v>7321</v>
      </c>
      <c r="D9" s="39" t="s">
        <v>10544</v>
      </c>
      <c r="E9" s="51"/>
    </row>
    <row r="10" customFormat="false" ht="15" hidden="false" customHeight="false" outlineLevel="0" collapsed="false">
      <c r="C10" s="37" t="s">
        <v>7327</v>
      </c>
      <c r="D10" s="39" t="s">
        <v>10546</v>
      </c>
      <c r="E10" s="51"/>
    </row>
    <row r="11" customFormat="false" ht="82.05" hidden="false" customHeight="false" outlineLevel="0" collapsed="false">
      <c r="C11" s="37" t="s">
        <v>7333</v>
      </c>
      <c r="D11" s="39" t="s">
        <v>10544</v>
      </c>
      <c r="E11" s="51"/>
    </row>
    <row r="12" customFormat="false" ht="15" hidden="false" customHeight="false" outlineLevel="0" collapsed="false">
      <c r="C12" s="37" t="s">
        <v>10548</v>
      </c>
      <c r="D12" s="39" t="s">
        <v>10545</v>
      </c>
      <c r="E12" s="51"/>
    </row>
    <row r="13" customFormat="false" ht="82.05" hidden="false" customHeight="false" outlineLevel="0" collapsed="false">
      <c r="C13" s="37" t="s">
        <v>7343</v>
      </c>
      <c r="D13" s="39" t="s">
        <v>10544</v>
      </c>
      <c r="E13" s="51"/>
    </row>
    <row r="14" customFormat="false" ht="15" hidden="false" customHeight="false" outlineLevel="0" collapsed="false">
      <c r="C14" s="37" t="s">
        <v>7350</v>
      </c>
      <c r="D14" s="39" t="s">
        <v>10549</v>
      </c>
      <c r="E14" s="51"/>
    </row>
    <row r="15" customFormat="false" ht="15" hidden="false" customHeight="false" outlineLevel="0" collapsed="false">
      <c r="C15" s="37" t="s">
        <v>10550</v>
      </c>
      <c r="D15" s="39" t="s">
        <v>10549</v>
      </c>
      <c r="E15" s="51"/>
    </row>
    <row r="16" customFormat="false" ht="15" hidden="false" customHeight="false" outlineLevel="0" collapsed="false">
      <c r="C16" s="37" t="s">
        <v>10551</v>
      </c>
      <c r="D16" s="39" t="s">
        <v>10545</v>
      </c>
      <c r="E16" s="51"/>
    </row>
    <row r="17" customFormat="false" ht="15" hidden="false" customHeight="false" outlineLevel="0" collapsed="false">
      <c r="C17" s="37" t="s">
        <v>7366</v>
      </c>
      <c r="D17" s="39" t="s">
        <v>10549</v>
      </c>
      <c r="E17" s="51"/>
    </row>
    <row r="18" customFormat="false" ht="82.05" hidden="false" customHeight="false" outlineLevel="0" collapsed="false">
      <c r="C18" s="37" t="s">
        <v>7374</v>
      </c>
      <c r="D18" s="39" t="s">
        <v>10544</v>
      </c>
      <c r="E18" s="51"/>
    </row>
    <row r="19" customFormat="false" ht="15" hidden="false" customHeight="false" outlineLevel="0" collapsed="false">
      <c r="C19" s="37" t="s">
        <v>7392</v>
      </c>
      <c r="D19" s="39" t="s">
        <v>10545</v>
      </c>
      <c r="E19" s="51"/>
    </row>
    <row r="20" customFormat="false" ht="15" hidden="false" customHeight="false" outlineLevel="0" collapsed="false">
      <c r="C20" s="37" t="s">
        <v>7398</v>
      </c>
      <c r="D20" s="39" t="s">
        <v>10546</v>
      </c>
      <c r="E20" s="51"/>
    </row>
    <row r="21" customFormat="false" ht="15" hidden="false" customHeight="false" outlineLevel="0" collapsed="false">
      <c r="C21" s="37" t="s">
        <v>7419</v>
      </c>
      <c r="D21" s="39" t="s">
        <v>10546</v>
      </c>
      <c r="E21" s="51"/>
    </row>
    <row r="22" customFormat="false" ht="15" hidden="false" customHeight="false" outlineLevel="0" collapsed="false">
      <c r="C22" s="37" t="s">
        <v>7440</v>
      </c>
      <c r="D22" s="39" t="s">
        <v>10545</v>
      </c>
      <c r="E22" s="51"/>
    </row>
    <row r="23" customFormat="false" ht="82.05" hidden="false" customHeight="false" outlineLevel="0" collapsed="false">
      <c r="C23" s="37" t="s">
        <v>7444</v>
      </c>
      <c r="D23" s="39" t="s">
        <v>10544</v>
      </c>
      <c r="E23" s="51"/>
    </row>
    <row r="24" customFormat="false" ht="15" hidden="false" customHeight="false" outlineLevel="0" collapsed="false">
      <c r="C24" s="37" t="s">
        <v>7452</v>
      </c>
      <c r="D24" s="39" t="s">
        <v>10546</v>
      </c>
      <c r="E24" s="51"/>
    </row>
    <row r="25" customFormat="false" ht="82.05" hidden="false" customHeight="false" outlineLevel="0" collapsed="false">
      <c r="C25" s="37" t="s">
        <v>10160</v>
      </c>
      <c r="D25" s="39" t="s">
        <v>10544</v>
      </c>
      <c r="E25" s="51"/>
    </row>
    <row r="26" customFormat="false" ht="15" hidden="false" customHeight="false" outlineLevel="0" collapsed="false">
      <c r="C26" s="37" t="s">
        <v>10552</v>
      </c>
      <c r="D26" s="39" t="s">
        <v>10549</v>
      </c>
      <c r="E26" s="51"/>
    </row>
    <row r="27" customFormat="false" ht="82.05" hidden="false" customHeight="false" outlineLevel="0" collapsed="false">
      <c r="C27" s="37" t="s">
        <v>7519</v>
      </c>
      <c r="D27" s="39" t="s">
        <v>10544</v>
      </c>
      <c r="E27" s="51"/>
    </row>
    <row r="28" customFormat="false" ht="15" hidden="false" customHeight="false" outlineLevel="0" collapsed="false">
      <c r="C28" s="37" t="s">
        <v>7520</v>
      </c>
      <c r="D28" s="39" t="s">
        <v>10545</v>
      </c>
      <c r="E28" s="51"/>
    </row>
    <row r="29" customFormat="false" ht="15" hidden="false" customHeight="false" outlineLevel="0" collapsed="false">
      <c r="C29" s="37" t="s">
        <v>10553</v>
      </c>
      <c r="D29" s="39" t="s">
        <v>10549</v>
      </c>
      <c r="E29" s="51"/>
    </row>
    <row r="30" customFormat="false" ht="82.05" hidden="false" customHeight="false" outlineLevel="0" collapsed="false">
      <c r="C30" s="37" t="s">
        <v>10186</v>
      </c>
      <c r="D30" s="39" t="s">
        <v>10544</v>
      </c>
      <c r="E30" s="51"/>
    </row>
    <row r="31" customFormat="false" ht="15" hidden="false" customHeight="false" outlineLevel="0" collapsed="false">
      <c r="C31" s="37" t="s">
        <v>6908</v>
      </c>
      <c r="D31" s="39" t="s">
        <v>10549</v>
      </c>
      <c r="E31" s="51"/>
    </row>
    <row r="32" customFormat="false" ht="15" hidden="false" customHeight="false" outlineLevel="0" collapsed="false">
      <c r="C32" s="37" t="s">
        <v>7574</v>
      </c>
      <c r="D32" s="39" t="s">
        <v>10549</v>
      </c>
      <c r="E32" s="51"/>
    </row>
    <row r="33" customFormat="false" ht="15" hidden="false" customHeight="false" outlineLevel="0" collapsed="false">
      <c r="C33" s="37" t="s">
        <v>7611</v>
      </c>
      <c r="D33" s="39" t="s">
        <v>10549</v>
      </c>
      <c r="E33" s="51"/>
    </row>
    <row r="34" customFormat="false" ht="15" hidden="false" customHeight="false" outlineLevel="0" collapsed="false">
      <c r="C34" s="37" t="s">
        <v>10554</v>
      </c>
      <c r="D34" s="39" t="s">
        <v>10546</v>
      </c>
      <c r="E34" s="51"/>
    </row>
    <row r="35" customFormat="false" ht="15" hidden="false" customHeight="false" outlineLevel="0" collapsed="false">
      <c r="C35" s="37" t="s">
        <v>7637</v>
      </c>
      <c r="D35" s="39" t="s">
        <v>10545</v>
      </c>
      <c r="E35" s="51"/>
    </row>
    <row r="36" customFormat="false" ht="15" hidden="false" customHeight="false" outlineLevel="0" collapsed="false">
      <c r="C36" s="37" t="s">
        <v>10555</v>
      </c>
      <c r="D36" s="39" t="s">
        <v>10545</v>
      </c>
      <c r="E36" s="51"/>
    </row>
    <row r="37" customFormat="false" ht="15" hidden="false" customHeight="false" outlineLevel="0" collapsed="false">
      <c r="C37" s="37" t="s">
        <v>6982</v>
      </c>
      <c r="D37" s="39" t="s">
        <v>10556</v>
      </c>
      <c r="E37" s="51"/>
    </row>
    <row r="38" customFormat="false" ht="15" hidden="false" customHeight="false" outlineLevel="0" collapsed="false">
      <c r="C38" s="37" t="s">
        <v>6910</v>
      </c>
      <c r="D38" s="39" t="s">
        <v>10546</v>
      </c>
      <c r="E38" s="51"/>
    </row>
    <row r="39" customFormat="false" ht="15" hidden="false" customHeight="false" outlineLevel="0" collapsed="false">
      <c r="C39" s="37" t="s">
        <v>7693</v>
      </c>
      <c r="D39" s="39" t="s">
        <v>10545</v>
      </c>
      <c r="E39" s="51"/>
    </row>
    <row r="40" customFormat="false" ht="15" hidden="false" customHeight="false" outlineLevel="0" collapsed="false">
      <c r="C40" s="37" t="s">
        <v>7717</v>
      </c>
      <c r="D40" s="39" t="s">
        <v>10557</v>
      </c>
      <c r="E40" s="51"/>
    </row>
    <row r="41" customFormat="false" ht="15" hidden="false" customHeight="false" outlineLevel="0" collapsed="false">
      <c r="C41" s="37" t="s">
        <v>10558</v>
      </c>
      <c r="D41" s="39" t="s">
        <v>10559</v>
      </c>
      <c r="E41" s="51"/>
    </row>
    <row r="42" customFormat="false" ht="15" hidden="false" customHeight="false" outlineLevel="0" collapsed="false">
      <c r="C42" s="37" t="s">
        <v>10560</v>
      </c>
      <c r="D42" s="39" t="s">
        <v>10556</v>
      </c>
      <c r="E42" s="51"/>
    </row>
    <row r="43" customFormat="false" ht="15" hidden="false" customHeight="false" outlineLevel="0" collapsed="false">
      <c r="C43" s="37" t="s">
        <v>10561</v>
      </c>
      <c r="D43" s="39" t="s">
        <v>10562</v>
      </c>
      <c r="E43" s="51"/>
    </row>
    <row r="44" customFormat="false" ht="15" hidden="false" customHeight="false" outlineLevel="0" collapsed="false">
      <c r="C44" s="37" t="s">
        <v>6976</v>
      </c>
      <c r="D44" s="39" t="s">
        <v>10563</v>
      </c>
      <c r="E44" s="51"/>
    </row>
    <row r="45" customFormat="false" ht="15" hidden="false" customHeight="false" outlineLevel="0" collapsed="false">
      <c r="C45" s="37" t="s">
        <v>10564</v>
      </c>
      <c r="D45" s="39" t="s">
        <v>10565</v>
      </c>
      <c r="E45" s="51"/>
    </row>
    <row r="46" customFormat="false" ht="15" hidden="false" customHeight="false" outlineLevel="0" collapsed="false">
      <c r="C46" s="37" t="s">
        <v>10566</v>
      </c>
      <c r="D46" s="39" t="s">
        <v>10557</v>
      </c>
      <c r="E46" s="51"/>
    </row>
    <row r="47" customFormat="false" ht="15" hidden="false" customHeight="false" outlineLevel="0" collapsed="false">
      <c r="C47" s="37" t="s">
        <v>10567</v>
      </c>
      <c r="D47" s="39" t="s">
        <v>10556</v>
      </c>
      <c r="E47" s="51"/>
    </row>
    <row r="48" customFormat="false" ht="15" hidden="false" customHeight="false" outlineLevel="0" collapsed="false">
      <c r="C48" s="37" t="s">
        <v>6922</v>
      </c>
      <c r="D48" s="39" t="s">
        <v>10568</v>
      </c>
      <c r="E48" s="51"/>
    </row>
    <row r="49" customFormat="false" ht="15" hidden="false" customHeight="false" outlineLevel="0" collapsed="false">
      <c r="C49" s="37" t="s">
        <v>10569</v>
      </c>
      <c r="D49" s="39" t="s">
        <v>10570</v>
      </c>
      <c r="E49" s="51"/>
    </row>
    <row r="50" customFormat="false" ht="15" hidden="false" customHeight="false" outlineLevel="0" collapsed="false">
      <c r="C50" s="37" t="s">
        <v>7751</v>
      </c>
      <c r="D50" s="39" t="s">
        <v>10556</v>
      </c>
      <c r="E50" s="51"/>
    </row>
    <row r="51" customFormat="false" ht="15" hidden="false" customHeight="false" outlineLevel="0" collapsed="false">
      <c r="C51" s="37" t="s">
        <v>7754</v>
      </c>
      <c r="D51" s="39" t="s">
        <v>10556</v>
      </c>
      <c r="E51" s="51"/>
    </row>
    <row r="52" customFormat="false" ht="15" hidden="false" customHeight="false" outlineLevel="0" collapsed="false">
      <c r="C52" s="37" t="s">
        <v>7762</v>
      </c>
      <c r="D52" s="39" t="s">
        <v>10571</v>
      </c>
      <c r="E52" s="51"/>
    </row>
    <row r="53" customFormat="false" ht="15" hidden="false" customHeight="false" outlineLevel="0" collapsed="false">
      <c r="C53" s="37" t="s">
        <v>10572</v>
      </c>
      <c r="D53" s="39" t="s">
        <v>10573</v>
      </c>
      <c r="E53" s="51"/>
    </row>
    <row r="54" customFormat="false" ht="15" hidden="false" customHeight="false" outlineLevel="0" collapsed="false">
      <c r="C54" s="37" t="s">
        <v>10574</v>
      </c>
      <c r="D54" s="39" t="s">
        <v>10556</v>
      </c>
      <c r="E54" s="51"/>
    </row>
    <row r="55" customFormat="false" ht="15" hidden="false" customHeight="false" outlineLevel="0" collapsed="false">
      <c r="C55" s="37" t="s">
        <v>7772</v>
      </c>
      <c r="D55" s="39" t="s">
        <v>10575</v>
      </c>
      <c r="E55" s="51"/>
    </row>
    <row r="56" customFormat="false" ht="15" hidden="false" customHeight="false" outlineLevel="0" collapsed="false">
      <c r="C56" s="37" t="s">
        <v>10576</v>
      </c>
      <c r="D56" s="39" t="s">
        <v>10565</v>
      </c>
      <c r="E56" s="51"/>
    </row>
    <row r="57" customFormat="false" ht="15" hidden="false" customHeight="false" outlineLevel="0" collapsed="false">
      <c r="C57" s="37" t="s">
        <v>6956</v>
      </c>
      <c r="D57" s="39" t="s">
        <v>10571</v>
      </c>
      <c r="E57" s="51"/>
    </row>
    <row r="58" customFormat="false" ht="15" hidden="false" customHeight="false" outlineLevel="0" collapsed="false">
      <c r="C58" s="37" t="s">
        <v>7781</v>
      </c>
      <c r="D58" s="39" t="s">
        <v>10565</v>
      </c>
      <c r="E58" s="51"/>
    </row>
    <row r="59" customFormat="false" ht="15" hidden="false" customHeight="false" outlineLevel="0" collapsed="false">
      <c r="C59" s="37" t="s">
        <v>7786</v>
      </c>
      <c r="D59" s="39" t="s">
        <v>10575</v>
      </c>
      <c r="E59" s="51"/>
    </row>
    <row r="60" customFormat="false" ht="15" hidden="false" customHeight="false" outlineLevel="0" collapsed="false">
      <c r="C60" s="37" t="s">
        <v>7792</v>
      </c>
      <c r="D60" s="39" t="s">
        <v>10577</v>
      </c>
      <c r="E60" s="51"/>
    </row>
    <row r="61" customFormat="false" ht="15" hidden="false" customHeight="false" outlineLevel="0" collapsed="false">
      <c r="C61" s="37" t="s">
        <v>10578</v>
      </c>
      <c r="D61" s="39" t="s">
        <v>10579</v>
      </c>
      <c r="E61" s="51"/>
    </row>
    <row r="62" customFormat="false" ht="15" hidden="false" customHeight="false" outlineLevel="0" collapsed="false">
      <c r="C62" s="37" t="s">
        <v>7799</v>
      </c>
      <c r="D62" s="39" t="s">
        <v>10559</v>
      </c>
      <c r="E62" s="51"/>
    </row>
    <row r="63" customFormat="false" ht="15" hidden="false" customHeight="false" outlineLevel="0" collapsed="false">
      <c r="C63" s="37" t="s">
        <v>6974</v>
      </c>
      <c r="D63" s="39" t="s">
        <v>10573</v>
      </c>
      <c r="E63" s="51"/>
    </row>
    <row r="64" customFormat="false" ht="15" hidden="false" customHeight="false" outlineLevel="0" collapsed="false">
      <c r="C64" s="37" t="s">
        <v>10580</v>
      </c>
      <c r="D64" s="39" t="s">
        <v>10579</v>
      </c>
      <c r="E64" s="51"/>
    </row>
    <row r="65" customFormat="false" ht="15" hidden="false" customHeight="false" outlineLevel="0" collapsed="false">
      <c r="C65" s="37" t="s">
        <v>7014</v>
      </c>
      <c r="D65" s="39" t="s">
        <v>10562</v>
      </c>
      <c r="E65" s="51"/>
    </row>
    <row r="66" customFormat="false" ht="15" hidden="false" customHeight="false" outlineLevel="0" collapsed="false">
      <c r="C66" s="37" t="s">
        <v>10581</v>
      </c>
      <c r="D66" s="39" t="s">
        <v>10582</v>
      </c>
      <c r="E66" s="51"/>
    </row>
    <row r="67" customFormat="false" ht="15" hidden="false" customHeight="false" outlineLevel="0" collapsed="false">
      <c r="C67" s="37" t="s">
        <v>10583</v>
      </c>
      <c r="D67" s="39" t="s">
        <v>10556</v>
      </c>
      <c r="E67" s="51"/>
    </row>
    <row r="68" customFormat="false" ht="15" hidden="false" customHeight="false" outlineLevel="0" collapsed="false">
      <c r="C68" s="37" t="s">
        <v>10584</v>
      </c>
      <c r="D68" s="39" t="s">
        <v>10585</v>
      </c>
      <c r="E68" s="51"/>
    </row>
    <row r="69" customFormat="false" ht="15" hidden="false" customHeight="false" outlineLevel="0" collapsed="false">
      <c r="C69" s="37" t="s">
        <v>7815</v>
      </c>
      <c r="D69" s="39" t="s">
        <v>10556</v>
      </c>
      <c r="E69" s="51"/>
    </row>
    <row r="70" customFormat="false" ht="15" hidden="false" customHeight="false" outlineLevel="0" collapsed="false">
      <c r="C70" s="37" t="s">
        <v>7820</v>
      </c>
      <c r="D70" s="39" t="s">
        <v>10571</v>
      </c>
      <c r="E70" s="51"/>
    </row>
    <row r="71" customFormat="false" ht="15" hidden="false" customHeight="false" outlineLevel="0" collapsed="false">
      <c r="C71" s="37" t="s">
        <v>10586</v>
      </c>
      <c r="D71" s="39" t="s">
        <v>10568</v>
      </c>
      <c r="E71" s="51"/>
    </row>
    <row r="72" customFormat="false" ht="15" hidden="false" customHeight="false" outlineLevel="0" collapsed="false">
      <c r="C72" s="37" t="s">
        <v>7018</v>
      </c>
      <c r="D72" s="39" t="s">
        <v>10582</v>
      </c>
      <c r="E72" s="51"/>
    </row>
    <row r="73" customFormat="false" ht="15" hidden="false" customHeight="false" outlineLevel="0" collapsed="false">
      <c r="C73" s="37" t="s">
        <v>7834</v>
      </c>
      <c r="D73" s="39" t="s">
        <v>10568</v>
      </c>
      <c r="E73" s="51"/>
    </row>
    <row r="74" customFormat="false" ht="15" hidden="false" customHeight="false" outlineLevel="0" collapsed="false">
      <c r="C74" s="37" t="s">
        <v>6882</v>
      </c>
      <c r="D74" s="39" t="s">
        <v>10565</v>
      </c>
      <c r="E74" s="51"/>
    </row>
    <row r="75" customFormat="false" ht="15" hidden="false" customHeight="false" outlineLevel="0" collapsed="false">
      <c r="C75" s="37" t="s">
        <v>6924</v>
      </c>
      <c r="D75" s="39" t="s">
        <v>10559</v>
      </c>
      <c r="E75" s="51"/>
    </row>
    <row r="76" customFormat="false" ht="15" hidden="false" customHeight="false" outlineLevel="0" collapsed="false">
      <c r="C76" s="37" t="s">
        <v>7847</v>
      </c>
      <c r="D76" s="39" t="s">
        <v>10563</v>
      </c>
      <c r="E76" s="51"/>
    </row>
    <row r="77" customFormat="false" ht="15" hidden="false" customHeight="false" outlineLevel="0" collapsed="false">
      <c r="C77" s="37" t="s">
        <v>10587</v>
      </c>
      <c r="D77" s="39" t="s">
        <v>10559</v>
      </c>
      <c r="E77" s="51"/>
    </row>
    <row r="78" customFormat="false" ht="15" hidden="false" customHeight="false" outlineLevel="0" collapsed="false">
      <c r="C78" s="37" t="s">
        <v>7859</v>
      </c>
      <c r="D78" s="39" t="s">
        <v>10556</v>
      </c>
      <c r="E78" s="51"/>
    </row>
    <row r="79" customFormat="false" ht="15" hidden="false" customHeight="false" outlineLevel="0" collapsed="false">
      <c r="C79" s="37" t="s">
        <v>10588</v>
      </c>
      <c r="D79" s="39" t="s">
        <v>10589</v>
      </c>
      <c r="E79" s="51"/>
    </row>
    <row r="80" customFormat="false" ht="15" hidden="false" customHeight="false" outlineLevel="0" collapsed="false">
      <c r="C80" s="37" t="s">
        <v>10590</v>
      </c>
      <c r="D80" s="39" t="s">
        <v>10582</v>
      </c>
      <c r="E80" s="51"/>
    </row>
    <row r="81" customFormat="false" ht="15" hidden="false" customHeight="false" outlineLevel="0" collapsed="false">
      <c r="C81" s="37" t="s">
        <v>7886</v>
      </c>
      <c r="D81" s="39" t="s">
        <v>10579</v>
      </c>
      <c r="E81" s="51"/>
    </row>
    <row r="82" customFormat="false" ht="15" hidden="false" customHeight="false" outlineLevel="0" collapsed="false">
      <c r="C82" s="37" t="s">
        <v>7892</v>
      </c>
      <c r="D82" s="39" t="s">
        <v>10557</v>
      </c>
      <c r="E82" s="51"/>
    </row>
    <row r="83" customFormat="false" ht="15" hidden="false" customHeight="false" outlineLevel="0" collapsed="false">
      <c r="C83" s="37" t="s">
        <v>6970</v>
      </c>
      <c r="D83" s="39" t="s">
        <v>10570</v>
      </c>
      <c r="E83" s="51"/>
    </row>
    <row r="84" customFormat="false" ht="15" hidden="false" customHeight="false" outlineLevel="0" collapsed="false">
      <c r="C84" s="37" t="s">
        <v>10591</v>
      </c>
      <c r="D84" s="39" t="s">
        <v>10592</v>
      </c>
      <c r="E84" s="51"/>
    </row>
    <row r="85" customFormat="false" ht="15" hidden="false" customHeight="false" outlineLevel="0" collapsed="false">
      <c r="C85" s="37" t="s">
        <v>10593</v>
      </c>
      <c r="D85" s="39" t="s">
        <v>10594</v>
      </c>
      <c r="E85" s="51"/>
    </row>
    <row r="86" customFormat="false" ht="15" hidden="false" customHeight="false" outlineLevel="0" collapsed="false">
      <c r="C86" s="37" t="s">
        <v>7899</v>
      </c>
      <c r="D86" s="39" t="s">
        <v>10570</v>
      </c>
      <c r="E86" s="51"/>
    </row>
    <row r="87" customFormat="false" ht="15" hidden="false" customHeight="false" outlineLevel="0" collapsed="false">
      <c r="C87" s="37" t="s">
        <v>7024</v>
      </c>
      <c r="D87" s="39" t="s">
        <v>10577</v>
      </c>
      <c r="E87" s="51"/>
    </row>
    <row r="88" customFormat="false" ht="15" hidden="false" customHeight="false" outlineLevel="0" collapsed="false">
      <c r="C88" s="37" t="s">
        <v>7904</v>
      </c>
      <c r="D88" s="39" t="s">
        <v>10573</v>
      </c>
      <c r="E88" s="51"/>
    </row>
    <row r="89" customFormat="false" ht="15" hidden="false" customHeight="false" outlineLevel="0" collapsed="false">
      <c r="C89" s="37" t="s">
        <v>6950</v>
      </c>
      <c r="D89" s="39" t="s">
        <v>10589</v>
      </c>
      <c r="E89" s="51"/>
    </row>
    <row r="90" customFormat="false" ht="15" hidden="false" customHeight="false" outlineLevel="0" collapsed="false">
      <c r="C90" s="37" t="s">
        <v>6912</v>
      </c>
      <c r="D90" s="39" t="s">
        <v>10557</v>
      </c>
      <c r="E90" s="51"/>
    </row>
    <row r="91" customFormat="false" ht="15" hidden="false" customHeight="false" outlineLevel="0" collapsed="false">
      <c r="C91" s="37" t="s">
        <v>7910</v>
      </c>
      <c r="D91" s="39" t="s">
        <v>10563</v>
      </c>
      <c r="E91" s="51"/>
    </row>
    <row r="92" customFormat="false" ht="15" hidden="false" customHeight="false" outlineLevel="0" collapsed="false">
      <c r="C92" s="37" t="s">
        <v>10595</v>
      </c>
      <c r="D92" s="39" t="s">
        <v>10582</v>
      </c>
      <c r="E92" s="51"/>
    </row>
    <row r="93" customFormat="false" ht="15" hidden="false" customHeight="false" outlineLevel="0" collapsed="false">
      <c r="C93" s="37" t="s">
        <v>10596</v>
      </c>
      <c r="D93" s="39" t="s">
        <v>10568</v>
      </c>
      <c r="E93" s="51"/>
    </row>
    <row r="94" customFormat="false" ht="15" hidden="false" customHeight="false" outlineLevel="0" collapsed="false">
      <c r="C94" s="37" t="s">
        <v>7923</v>
      </c>
      <c r="D94" s="39" t="s">
        <v>10563</v>
      </c>
      <c r="E94" s="51"/>
    </row>
    <row r="95" customFormat="false" ht="15" hidden="false" customHeight="false" outlineLevel="0" collapsed="false">
      <c r="C95" s="37" t="s">
        <v>7925</v>
      </c>
      <c r="D95" s="39" t="s">
        <v>10570</v>
      </c>
      <c r="E95" s="51"/>
    </row>
    <row r="96" customFormat="false" ht="15" hidden="false" customHeight="false" outlineLevel="0" collapsed="false">
      <c r="C96" s="37" t="s">
        <v>10597</v>
      </c>
      <c r="D96" s="39" t="s">
        <v>10573</v>
      </c>
      <c r="E96" s="51"/>
    </row>
    <row r="97" customFormat="false" ht="15" hidden="false" customHeight="false" outlineLevel="0" collapsed="false">
      <c r="C97" s="37" t="s">
        <v>7938</v>
      </c>
      <c r="D97" s="39" t="s">
        <v>10577</v>
      </c>
      <c r="E97" s="51"/>
    </row>
    <row r="98" customFormat="false" ht="15" hidden="false" customHeight="false" outlineLevel="0" collapsed="false">
      <c r="C98" s="37" t="s">
        <v>7950</v>
      </c>
      <c r="D98" s="39" t="s">
        <v>10559</v>
      </c>
      <c r="E98" s="51"/>
    </row>
    <row r="99" customFormat="false" ht="15" hidden="false" customHeight="false" outlineLevel="0" collapsed="false">
      <c r="C99" s="37" t="s">
        <v>7962</v>
      </c>
      <c r="D99" s="39" t="s">
        <v>10565</v>
      </c>
      <c r="E99" s="51"/>
    </row>
    <row r="100" customFormat="false" ht="15" hidden="false" customHeight="false" outlineLevel="0" collapsed="false">
      <c r="C100" s="37" t="s">
        <v>7964</v>
      </c>
      <c r="D100" s="39" t="s">
        <v>10582</v>
      </c>
      <c r="E100" s="51"/>
    </row>
    <row r="101" customFormat="false" ht="15" hidden="false" customHeight="false" outlineLevel="0" collapsed="false">
      <c r="C101" s="37" t="s">
        <v>10598</v>
      </c>
      <c r="D101" s="39" t="s">
        <v>10570</v>
      </c>
      <c r="E101" s="51"/>
    </row>
    <row r="102" customFormat="false" ht="15" hidden="false" customHeight="false" outlineLevel="0" collapsed="false">
      <c r="C102" s="37" t="s">
        <v>10599</v>
      </c>
      <c r="D102" s="39" t="s">
        <v>10563</v>
      </c>
      <c r="E102" s="51"/>
    </row>
    <row r="103" customFormat="false" ht="15" hidden="false" customHeight="false" outlineLevel="0" collapsed="false">
      <c r="C103" s="37" t="s">
        <v>9552</v>
      </c>
      <c r="D103" s="39" t="s">
        <v>10570</v>
      </c>
      <c r="E103" s="51"/>
    </row>
    <row r="104" customFormat="false" ht="15" hidden="false" customHeight="false" outlineLevel="0" collapsed="false">
      <c r="C104" s="37" t="s">
        <v>8002</v>
      </c>
      <c r="D104" s="39" t="s">
        <v>10568</v>
      </c>
      <c r="E104" s="51"/>
    </row>
    <row r="105" customFormat="false" ht="15" hidden="false" customHeight="false" outlineLevel="0" collapsed="false">
      <c r="C105" s="37" t="s">
        <v>10600</v>
      </c>
      <c r="D105" s="39" t="s">
        <v>10557</v>
      </c>
      <c r="E105" s="51"/>
    </row>
    <row r="106" customFormat="false" ht="15" hidden="false" customHeight="false" outlineLevel="0" collapsed="false">
      <c r="C106" s="37" t="s">
        <v>7002</v>
      </c>
      <c r="D106" s="39" t="s">
        <v>10575</v>
      </c>
      <c r="E106" s="51"/>
    </row>
    <row r="107" customFormat="false" ht="15" hidden="false" customHeight="false" outlineLevel="0" collapsed="false">
      <c r="C107" s="37" t="s">
        <v>8023</v>
      </c>
      <c r="D107" s="39" t="s">
        <v>10575</v>
      </c>
      <c r="E107" s="51"/>
    </row>
    <row r="108" customFormat="false" ht="15" hidden="false" customHeight="false" outlineLevel="0" collapsed="false">
      <c r="C108" s="37" t="s">
        <v>10601</v>
      </c>
      <c r="D108" s="39" t="s">
        <v>10565</v>
      </c>
      <c r="E108" s="51"/>
    </row>
    <row r="109" customFormat="false" ht="15" hidden="false" customHeight="false" outlineLevel="0" collapsed="false">
      <c r="C109" s="37" t="s">
        <v>8038</v>
      </c>
      <c r="D109" s="39" t="s">
        <v>10565</v>
      </c>
      <c r="E109" s="51"/>
    </row>
    <row r="110" customFormat="false" ht="15" hidden="false" customHeight="false" outlineLevel="0" collapsed="false">
      <c r="C110" s="37" t="s">
        <v>10602</v>
      </c>
      <c r="D110" s="39" t="s">
        <v>10573</v>
      </c>
      <c r="E110" s="51"/>
    </row>
    <row r="111" customFormat="false" ht="15" hidden="false" customHeight="false" outlineLevel="0" collapsed="false">
      <c r="C111" s="37" t="s">
        <v>10603</v>
      </c>
      <c r="D111" s="39" t="s">
        <v>10568</v>
      </c>
      <c r="E111" s="51"/>
    </row>
    <row r="112" customFormat="false" ht="15" hidden="false" customHeight="false" outlineLevel="0" collapsed="false">
      <c r="C112" s="37" t="s">
        <v>8059</v>
      </c>
      <c r="D112" s="39" t="s">
        <v>10559</v>
      </c>
      <c r="E112" s="51"/>
    </row>
    <row r="113" customFormat="false" ht="15" hidden="false" customHeight="false" outlineLevel="0" collapsed="false">
      <c r="C113" s="37" t="s">
        <v>8065</v>
      </c>
      <c r="D113" s="39" t="s">
        <v>10557</v>
      </c>
      <c r="E113" s="51"/>
    </row>
    <row r="114" customFormat="false" ht="15" hidden="false" customHeight="false" outlineLevel="0" collapsed="false">
      <c r="C114" s="37" t="s">
        <v>8071</v>
      </c>
      <c r="D114" s="39" t="s">
        <v>10573</v>
      </c>
      <c r="E114" s="51"/>
    </row>
    <row r="115" customFormat="false" ht="15" hidden="false" customHeight="false" outlineLevel="0" collapsed="false">
      <c r="C115" s="37" t="s">
        <v>8080</v>
      </c>
      <c r="D115" s="39" t="s">
        <v>10545</v>
      </c>
      <c r="E115" s="51"/>
    </row>
    <row r="116" customFormat="false" ht="15" hidden="false" customHeight="false" outlineLevel="0" collapsed="false">
      <c r="C116" s="37" t="s">
        <v>7116</v>
      </c>
      <c r="D116" s="39" t="s">
        <v>10546</v>
      </c>
      <c r="E116" s="51"/>
    </row>
    <row r="117" customFormat="false" ht="15" hidden="false" customHeight="false" outlineLevel="0" collapsed="false">
      <c r="C117" s="37" t="s">
        <v>7082</v>
      </c>
      <c r="D117" s="39" t="s">
        <v>10546</v>
      </c>
      <c r="E117" s="51"/>
    </row>
    <row r="118" customFormat="false" ht="15" hidden="false" customHeight="false" outlineLevel="0" collapsed="false">
      <c r="C118" s="37" t="s">
        <v>7096</v>
      </c>
      <c r="D118" s="39" t="s">
        <v>10546</v>
      </c>
      <c r="E118" s="51"/>
    </row>
    <row r="119" customFormat="false" ht="15" hidden="false" customHeight="false" outlineLevel="0" collapsed="false">
      <c r="C119" s="37" t="s">
        <v>7064</v>
      </c>
      <c r="D119" s="39" t="s">
        <v>10546</v>
      </c>
      <c r="E119" s="51"/>
    </row>
    <row r="120" customFormat="false" ht="15" hidden="false" customHeight="false" outlineLevel="0" collapsed="false">
      <c r="C120" s="37" t="s">
        <v>7114</v>
      </c>
      <c r="D120" s="39" t="s">
        <v>10546</v>
      </c>
      <c r="E120" s="51"/>
    </row>
    <row r="121" customFormat="false" ht="82.05" hidden="false" customHeight="false" outlineLevel="0" collapsed="false">
      <c r="C121" s="37" t="s">
        <v>8100</v>
      </c>
      <c r="D121" s="39" t="s">
        <v>10544</v>
      </c>
      <c r="E121" s="51"/>
    </row>
    <row r="122" customFormat="false" ht="15" hidden="false" customHeight="false" outlineLevel="0" collapsed="false">
      <c r="C122" s="37" t="s">
        <v>7080</v>
      </c>
      <c r="D122" s="39" t="s">
        <v>10546</v>
      </c>
      <c r="E122" s="51"/>
    </row>
    <row r="123" customFormat="false" ht="15" hidden="false" customHeight="false" outlineLevel="0" collapsed="false">
      <c r="C123" s="37" t="s">
        <v>8105</v>
      </c>
      <c r="D123" s="39" t="s">
        <v>10556</v>
      </c>
      <c r="E123" s="51"/>
    </row>
    <row r="124" customFormat="false" ht="15" hidden="false" customHeight="false" outlineLevel="0" collapsed="false">
      <c r="C124" s="37" t="s">
        <v>10604</v>
      </c>
      <c r="D124" s="39" t="s">
        <v>10549</v>
      </c>
      <c r="E124" s="51"/>
    </row>
    <row r="125" customFormat="false" ht="15" hidden="false" customHeight="false" outlineLevel="0" collapsed="false">
      <c r="C125" s="37" t="s">
        <v>8111</v>
      </c>
      <c r="D125" s="39" t="s">
        <v>10546</v>
      </c>
      <c r="E125" s="51"/>
    </row>
    <row r="126" customFormat="false" ht="15" hidden="false" customHeight="false" outlineLevel="0" collapsed="false">
      <c r="C126" s="37" t="s">
        <v>8112</v>
      </c>
      <c r="D126" s="39" t="s">
        <v>10549</v>
      </c>
      <c r="E126" s="51"/>
    </row>
    <row r="127" customFormat="false" ht="15" hidden="false" customHeight="false" outlineLevel="0" collapsed="false">
      <c r="C127" s="37" t="s">
        <v>10605</v>
      </c>
      <c r="D127" s="39" t="s">
        <v>10556</v>
      </c>
      <c r="E127" s="51"/>
    </row>
    <row r="128" customFormat="false" ht="15" hidden="false" customHeight="false" outlineLevel="0" collapsed="false">
      <c r="C128" s="37" t="s">
        <v>10606</v>
      </c>
      <c r="D128" s="39" t="s">
        <v>10546</v>
      </c>
      <c r="E128" s="51"/>
    </row>
    <row r="129" customFormat="false" ht="15" hidden="false" customHeight="false" outlineLevel="0" collapsed="false">
      <c r="C129" s="37" t="s">
        <v>8120</v>
      </c>
      <c r="D129" s="39" t="s">
        <v>10589</v>
      </c>
      <c r="E129" s="51"/>
    </row>
    <row r="130" customFormat="false" ht="15" hidden="false" customHeight="false" outlineLevel="0" collapsed="false">
      <c r="C130" s="37" t="s">
        <v>10607</v>
      </c>
      <c r="D130" s="39" t="s">
        <v>10585</v>
      </c>
      <c r="E130" s="51"/>
    </row>
    <row r="131" customFormat="false" ht="15" hidden="false" customHeight="false" outlineLevel="0" collapsed="false">
      <c r="C131" s="37" t="s">
        <v>8134</v>
      </c>
      <c r="D131" s="39" t="s">
        <v>10592</v>
      </c>
      <c r="E131" s="51"/>
    </row>
    <row r="132" customFormat="false" ht="15" hidden="false" customHeight="false" outlineLevel="0" collapsed="false">
      <c r="C132" s="37" t="s">
        <v>8136</v>
      </c>
      <c r="D132" s="39" t="s">
        <v>10562</v>
      </c>
      <c r="E132" s="51"/>
    </row>
    <row r="133" customFormat="false" ht="55.2" hidden="false" customHeight="false" outlineLevel="0" collapsed="false">
      <c r="C133" s="37" t="s">
        <v>8143</v>
      </c>
      <c r="D133" s="39" t="s">
        <v>10608</v>
      </c>
      <c r="E133" s="51"/>
    </row>
    <row r="134" customFormat="false" ht="15" hidden="false" customHeight="false" outlineLevel="0" collapsed="false">
      <c r="C134" s="37" t="s">
        <v>8145</v>
      </c>
      <c r="D134" s="39" t="s">
        <v>10570</v>
      </c>
      <c r="E134" s="51"/>
    </row>
    <row r="135" customFormat="false" ht="15" hidden="false" customHeight="false" outlineLevel="0" collapsed="false">
      <c r="C135" s="37" t="s">
        <v>8148</v>
      </c>
      <c r="D135" s="39" t="s">
        <v>10575</v>
      </c>
      <c r="E135" s="51"/>
    </row>
    <row r="136" customFormat="false" ht="41.75" hidden="false" customHeight="false" outlineLevel="0" collapsed="false">
      <c r="C136" s="37" t="s">
        <v>8150</v>
      </c>
      <c r="D136" s="39" t="s">
        <v>10609</v>
      </c>
      <c r="E136" s="51"/>
    </row>
    <row r="137" customFormat="false" ht="15" hidden="false" customHeight="false" outlineLevel="0" collapsed="false">
      <c r="C137" s="37" t="s">
        <v>8167</v>
      </c>
      <c r="D137" s="39" t="s">
        <v>10575</v>
      </c>
      <c r="E137" s="51"/>
    </row>
    <row r="138" customFormat="false" ht="15" hidden="false" customHeight="false" outlineLevel="0" collapsed="false">
      <c r="C138" s="37" t="s">
        <v>8174</v>
      </c>
      <c r="D138" s="39" t="s">
        <v>10575</v>
      </c>
      <c r="E138" s="51"/>
    </row>
    <row r="139" customFormat="false" ht="15" hidden="false" customHeight="false" outlineLevel="0" collapsed="false">
      <c r="C139" s="37" t="s">
        <v>8177</v>
      </c>
      <c r="D139" s="39" t="s">
        <v>10575</v>
      </c>
      <c r="E139" s="51"/>
    </row>
    <row r="140" customFormat="false" ht="15" hidden="false" customHeight="false" outlineLevel="0" collapsed="false">
      <c r="C140" s="37" t="s">
        <v>8189</v>
      </c>
      <c r="D140" s="39" t="s">
        <v>10575</v>
      </c>
      <c r="E140" s="51"/>
    </row>
    <row r="141" customFormat="false" ht="15" hidden="false" customHeight="false" outlineLevel="0" collapsed="false">
      <c r="C141" s="37" t="s">
        <v>8195</v>
      </c>
      <c r="D141" s="39" t="s">
        <v>10559</v>
      </c>
      <c r="E141" s="51"/>
    </row>
    <row r="142" customFormat="false" ht="15" hidden="false" customHeight="false" outlineLevel="0" collapsed="false">
      <c r="C142" s="37" t="s">
        <v>8206</v>
      </c>
      <c r="D142" s="39" t="s">
        <v>10575</v>
      </c>
      <c r="E142" s="51"/>
    </row>
    <row r="143" customFormat="false" ht="15" hidden="false" customHeight="false" outlineLevel="0" collapsed="false">
      <c r="C143" s="37" t="s">
        <v>10610</v>
      </c>
      <c r="D143" s="39" t="s">
        <v>10611</v>
      </c>
      <c r="E143" s="51"/>
    </row>
    <row r="144" customFormat="false" ht="15" hidden="false" customHeight="false" outlineLevel="0" collapsed="false">
      <c r="C144" s="37" t="s">
        <v>8235</v>
      </c>
      <c r="D144" s="39" t="s">
        <v>10577</v>
      </c>
      <c r="E144" s="51"/>
    </row>
    <row r="145" customFormat="false" ht="15" hidden="false" customHeight="false" outlineLevel="0" collapsed="false">
      <c r="C145" s="37" t="s">
        <v>6900</v>
      </c>
      <c r="D145" s="39" t="s">
        <v>10575</v>
      </c>
      <c r="E145" s="51"/>
    </row>
    <row r="146" customFormat="false" ht="15" hidden="false" customHeight="false" outlineLevel="0" collapsed="false">
      <c r="C146" s="37" t="s">
        <v>8240</v>
      </c>
      <c r="D146" s="39" t="s">
        <v>10575</v>
      </c>
      <c r="E146" s="51"/>
    </row>
    <row r="147" customFormat="false" ht="15" hidden="false" customHeight="false" outlineLevel="0" collapsed="false">
      <c r="C147" s="37" t="s">
        <v>8249</v>
      </c>
      <c r="D147" s="39" t="s">
        <v>10592</v>
      </c>
      <c r="E147" s="51"/>
    </row>
    <row r="148" customFormat="false" ht="41.75" hidden="false" customHeight="false" outlineLevel="0" collapsed="false">
      <c r="C148" s="37" t="s">
        <v>8251</v>
      </c>
      <c r="D148" s="39" t="s">
        <v>10609</v>
      </c>
      <c r="E148" s="51"/>
    </row>
    <row r="149" customFormat="false" ht="15" hidden="false" customHeight="false" outlineLevel="0" collapsed="false">
      <c r="C149" s="37" t="s">
        <v>10612</v>
      </c>
      <c r="D149" s="39" t="s">
        <v>10568</v>
      </c>
      <c r="E149" s="51"/>
    </row>
    <row r="150" customFormat="false" ht="15" hidden="false" customHeight="false" outlineLevel="0" collapsed="false">
      <c r="C150" s="37" t="s">
        <v>8259</v>
      </c>
      <c r="D150" s="39" t="s">
        <v>10575</v>
      </c>
      <c r="E150" s="51"/>
    </row>
    <row r="151" customFormat="false" ht="15" hidden="false" customHeight="false" outlineLevel="0" collapsed="false">
      <c r="C151" s="37" t="s">
        <v>9639</v>
      </c>
      <c r="D151" s="39" t="s">
        <v>10585</v>
      </c>
      <c r="E151" s="51"/>
    </row>
    <row r="152" customFormat="false" ht="15" hidden="false" customHeight="false" outlineLevel="0" collapsed="false">
      <c r="C152" s="37" t="s">
        <v>8265</v>
      </c>
      <c r="D152" s="39" t="s">
        <v>10562</v>
      </c>
      <c r="E152" s="51"/>
    </row>
    <row r="153" customFormat="false" ht="15" hidden="false" customHeight="false" outlineLevel="0" collapsed="false">
      <c r="C153" s="37" t="s">
        <v>8269</v>
      </c>
      <c r="D153" s="39" t="s">
        <v>10579</v>
      </c>
      <c r="E153" s="51"/>
    </row>
    <row r="154" customFormat="false" ht="15" hidden="false" customHeight="false" outlineLevel="0" collapsed="false">
      <c r="C154" s="37" t="s">
        <v>8279</v>
      </c>
      <c r="D154" s="39" t="s">
        <v>10571</v>
      </c>
      <c r="E154" s="51"/>
    </row>
    <row r="155" customFormat="false" ht="15" hidden="false" customHeight="false" outlineLevel="0" collapsed="false">
      <c r="C155" s="37" t="s">
        <v>6972</v>
      </c>
      <c r="D155" s="39" t="s">
        <v>10611</v>
      </c>
      <c r="E155" s="51"/>
    </row>
    <row r="156" customFormat="false" ht="15" hidden="false" customHeight="false" outlineLevel="0" collapsed="false">
      <c r="C156" s="37" t="s">
        <v>6946</v>
      </c>
      <c r="D156" s="39" t="s">
        <v>10592</v>
      </c>
      <c r="E156" s="51"/>
    </row>
    <row r="157" customFormat="false" ht="15" hidden="false" customHeight="false" outlineLevel="0" collapsed="false">
      <c r="C157" s="37" t="s">
        <v>8286</v>
      </c>
      <c r="D157" s="39" t="s">
        <v>10579</v>
      </c>
      <c r="E157" s="51"/>
    </row>
    <row r="158" customFormat="false" ht="15" hidden="false" customHeight="false" outlineLevel="0" collapsed="false">
      <c r="C158" s="37" t="s">
        <v>8295</v>
      </c>
      <c r="D158" s="39" t="s">
        <v>10575</v>
      </c>
      <c r="E158" s="51"/>
    </row>
    <row r="159" customFormat="false" ht="15" hidden="false" customHeight="false" outlineLevel="0" collapsed="false">
      <c r="C159" s="37" t="s">
        <v>8296</v>
      </c>
      <c r="D159" s="39" t="s">
        <v>10575</v>
      </c>
      <c r="E159" s="51"/>
    </row>
    <row r="160" customFormat="false" ht="15" hidden="false" customHeight="false" outlineLevel="0" collapsed="false">
      <c r="C160" s="37" t="s">
        <v>8306</v>
      </c>
      <c r="D160" s="39" t="s">
        <v>10613</v>
      </c>
      <c r="E160" s="51"/>
    </row>
    <row r="161" customFormat="false" ht="15" hidden="false" customHeight="false" outlineLevel="0" collapsed="false">
      <c r="C161" s="37" t="s">
        <v>8311</v>
      </c>
      <c r="D161" s="39" t="s">
        <v>10589</v>
      </c>
      <c r="E161" s="51"/>
    </row>
    <row r="162" customFormat="false" ht="15" hidden="false" customHeight="false" outlineLevel="0" collapsed="false">
      <c r="C162" s="37" t="s">
        <v>8313</v>
      </c>
      <c r="D162" s="39" t="s">
        <v>10589</v>
      </c>
      <c r="E162" s="51"/>
    </row>
    <row r="163" customFormat="false" ht="15" hidden="false" customHeight="false" outlineLevel="0" collapsed="false">
      <c r="C163" s="37" t="s">
        <v>8320</v>
      </c>
      <c r="D163" s="39" t="s">
        <v>10611</v>
      </c>
      <c r="E163" s="51"/>
    </row>
    <row r="164" customFormat="false" ht="15" hidden="false" customHeight="false" outlineLevel="0" collapsed="false">
      <c r="C164" s="37" t="s">
        <v>8322</v>
      </c>
      <c r="D164" s="39" t="s">
        <v>10585</v>
      </c>
      <c r="E164" s="51"/>
    </row>
    <row r="165" customFormat="false" ht="15" hidden="false" customHeight="false" outlineLevel="0" collapsed="false">
      <c r="C165" s="37" t="s">
        <v>6984</v>
      </c>
      <c r="D165" s="39" t="s">
        <v>10585</v>
      </c>
      <c r="E165" s="51"/>
    </row>
    <row r="166" customFormat="false" ht="15" hidden="false" customHeight="false" outlineLevel="0" collapsed="false">
      <c r="C166" s="37" t="s">
        <v>10614</v>
      </c>
      <c r="D166" s="39" t="s">
        <v>10585</v>
      </c>
      <c r="E166" s="51"/>
    </row>
    <row r="167" customFormat="false" ht="15" hidden="false" customHeight="false" outlineLevel="0" collapsed="false">
      <c r="C167" s="37" t="s">
        <v>8336</v>
      </c>
      <c r="D167" s="39" t="s">
        <v>10565</v>
      </c>
      <c r="E167" s="51"/>
    </row>
    <row r="168" customFormat="false" ht="15" hidden="false" customHeight="false" outlineLevel="0" collapsed="false">
      <c r="C168" s="37" t="s">
        <v>8338</v>
      </c>
      <c r="D168" s="39" t="s">
        <v>10575</v>
      </c>
      <c r="E168" s="51"/>
    </row>
    <row r="169" customFormat="false" ht="15" hidden="false" customHeight="false" outlineLevel="0" collapsed="false">
      <c r="C169" s="37" t="s">
        <v>8349</v>
      </c>
      <c r="D169" s="39" t="s">
        <v>10575</v>
      </c>
      <c r="E169" s="51"/>
    </row>
    <row r="170" customFormat="false" ht="15" hidden="false" customHeight="false" outlineLevel="0" collapsed="false">
      <c r="C170" s="37" t="s">
        <v>8351</v>
      </c>
      <c r="D170" s="39" t="s">
        <v>10573</v>
      </c>
      <c r="E170" s="51"/>
    </row>
    <row r="171" customFormat="false" ht="15" hidden="false" customHeight="false" outlineLevel="0" collapsed="false">
      <c r="C171" s="37" t="s">
        <v>8353</v>
      </c>
      <c r="D171" s="39" t="s">
        <v>10571</v>
      </c>
      <c r="E171" s="51"/>
    </row>
    <row r="172" customFormat="false" ht="15" hidden="false" customHeight="false" outlineLevel="0" collapsed="false">
      <c r="C172" s="37" t="s">
        <v>8366</v>
      </c>
      <c r="D172" s="39" t="s">
        <v>10565</v>
      </c>
      <c r="E172" s="51"/>
    </row>
    <row r="173" customFormat="false" ht="15" hidden="false" customHeight="false" outlineLevel="0" collapsed="false">
      <c r="C173" s="37" t="s">
        <v>8383</v>
      </c>
      <c r="D173" s="39" t="s">
        <v>10575</v>
      </c>
      <c r="E173" s="51"/>
    </row>
    <row r="174" customFormat="false" ht="15" hidden="false" customHeight="false" outlineLevel="0" collapsed="false">
      <c r="C174" s="37" t="s">
        <v>10615</v>
      </c>
      <c r="D174" s="39" t="s">
        <v>10613</v>
      </c>
      <c r="E174" s="51"/>
    </row>
    <row r="175" customFormat="false" ht="55.2" hidden="false" customHeight="false" outlineLevel="0" collapsed="false">
      <c r="C175" s="37" t="s">
        <v>7105</v>
      </c>
      <c r="D175" s="39" t="s">
        <v>10608</v>
      </c>
      <c r="E175" s="51"/>
    </row>
    <row r="176" customFormat="false" ht="15" hidden="false" customHeight="false" outlineLevel="0" collapsed="false">
      <c r="C176" s="37" t="s">
        <v>10616</v>
      </c>
      <c r="D176" s="39" t="s">
        <v>10563</v>
      </c>
      <c r="E176" s="51"/>
    </row>
    <row r="177" customFormat="false" ht="41.75" hidden="false" customHeight="false" outlineLevel="0" collapsed="false">
      <c r="C177" s="37" t="s">
        <v>8401</v>
      </c>
      <c r="D177" s="39" t="s">
        <v>10609</v>
      </c>
      <c r="E177" s="51"/>
    </row>
    <row r="178" customFormat="false" ht="41.75" hidden="false" customHeight="false" outlineLevel="0" collapsed="false">
      <c r="C178" s="37" t="s">
        <v>8405</v>
      </c>
      <c r="D178" s="39" t="s">
        <v>10609</v>
      </c>
      <c r="E178" s="51"/>
    </row>
    <row r="179" customFormat="false" ht="15" hidden="false" customHeight="false" outlineLevel="0" collapsed="false">
      <c r="C179" s="37" t="s">
        <v>8407</v>
      </c>
      <c r="D179" s="39" t="s">
        <v>10611</v>
      </c>
      <c r="E179" s="51"/>
    </row>
    <row r="180" customFormat="false" ht="15" hidden="false" customHeight="false" outlineLevel="0" collapsed="false">
      <c r="C180" s="37" t="s">
        <v>8410</v>
      </c>
      <c r="D180" s="39" t="s">
        <v>10563</v>
      </c>
      <c r="E180" s="51"/>
    </row>
    <row r="181" customFormat="false" ht="15" hidden="false" customHeight="false" outlineLevel="0" collapsed="false">
      <c r="C181" s="37" t="s">
        <v>8416</v>
      </c>
      <c r="D181" s="39" t="s">
        <v>10589</v>
      </c>
      <c r="E181" s="51"/>
    </row>
    <row r="182" customFormat="false" ht="15" hidden="false" customHeight="false" outlineLevel="0" collapsed="false">
      <c r="C182" s="37" t="s">
        <v>10617</v>
      </c>
      <c r="D182" s="39" t="s">
        <v>10585</v>
      </c>
      <c r="E182" s="51"/>
    </row>
    <row r="183" customFormat="false" ht="15" hidden="false" customHeight="false" outlineLevel="0" collapsed="false">
      <c r="C183" s="37" t="s">
        <v>8435</v>
      </c>
      <c r="D183" s="39" t="s">
        <v>10562</v>
      </c>
      <c r="E183" s="51"/>
    </row>
    <row r="184" customFormat="false" ht="15" hidden="false" customHeight="false" outlineLevel="0" collapsed="false">
      <c r="C184" s="37" t="s">
        <v>8444</v>
      </c>
      <c r="D184" s="39" t="s">
        <v>10575</v>
      </c>
      <c r="E184" s="51"/>
    </row>
    <row r="185" customFormat="false" ht="15" hidden="false" customHeight="false" outlineLevel="0" collapsed="false">
      <c r="C185" s="37" t="s">
        <v>10618</v>
      </c>
      <c r="D185" s="39" t="s">
        <v>10592</v>
      </c>
      <c r="E185" s="51"/>
    </row>
    <row r="186" customFormat="false" ht="41.75" hidden="false" customHeight="false" outlineLevel="0" collapsed="false">
      <c r="C186" s="37" t="s">
        <v>7130</v>
      </c>
      <c r="D186" s="39" t="s">
        <v>10609</v>
      </c>
      <c r="E186" s="51"/>
    </row>
    <row r="187" customFormat="false" ht="15" hidden="false" customHeight="false" outlineLevel="0" collapsed="false">
      <c r="C187" s="37" t="s">
        <v>8461</v>
      </c>
      <c r="D187" s="39" t="s">
        <v>10562</v>
      </c>
      <c r="E187" s="51"/>
    </row>
    <row r="188" customFormat="false" ht="41.75" hidden="false" customHeight="false" outlineLevel="0" collapsed="false">
      <c r="C188" s="37" t="s">
        <v>8464</v>
      </c>
      <c r="D188" s="39" t="s">
        <v>10609</v>
      </c>
      <c r="E188" s="51"/>
    </row>
    <row r="189" customFormat="false" ht="15" hidden="false" customHeight="false" outlineLevel="0" collapsed="false">
      <c r="C189" s="37" t="s">
        <v>8466</v>
      </c>
      <c r="D189" s="39" t="s">
        <v>10577</v>
      </c>
      <c r="E189" s="51"/>
    </row>
    <row r="190" customFormat="false" ht="15" hidden="false" customHeight="false" outlineLevel="0" collapsed="false">
      <c r="C190" s="37" t="s">
        <v>8470</v>
      </c>
      <c r="D190" s="39" t="s">
        <v>10573</v>
      </c>
      <c r="E190" s="51"/>
    </row>
    <row r="191" customFormat="false" ht="55.2" hidden="false" customHeight="false" outlineLevel="0" collapsed="false">
      <c r="C191" s="37" t="s">
        <v>8477</v>
      </c>
      <c r="D191" s="39" t="s">
        <v>10608</v>
      </c>
      <c r="E191" s="51"/>
    </row>
    <row r="192" customFormat="false" ht="15" hidden="false" customHeight="false" outlineLevel="0" collapsed="false">
      <c r="C192" s="37" t="s">
        <v>8487</v>
      </c>
      <c r="D192" s="39" t="s">
        <v>10575</v>
      </c>
      <c r="E192" s="51"/>
    </row>
    <row r="193" customFormat="false" ht="15" hidden="false" customHeight="false" outlineLevel="0" collapsed="false">
      <c r="C193" s="37" t="s">
        <v>10619</v>
      </c>
      <c r="D193" s="39" t="s">
        <v>10582</v>
      </c>
      <c r="E193" s="51"/>
    </row>
    <row r="194" customFormat="false" ht="15" hidden="false" customHeight="false" outlineLevel="0" collapsed="false">
      <c r="C194" s="37" t="s">
        <v>8493</v>
      </c>
      <c r="D194" s="39" t="s">
        <v>10575</v>
      </c>
      <c r="E194" s="51"/>
    </row>
    <row r="195" customFormat="false" ht="15" hidden="false" customHeight="false" outlineLevel="0" collapsed="false">
      <c r="C195" s="37" t="s">
        <v>10620</v>
      </c>
      <c r="D195" s="39" t="s">
        <v>10579</v>
      </c>
      <c r="E195" s="51"/>
    </row>
    <row r="196" customFormat="false" ht="55.2" hidden="false" customHeight="false" outlineLevel="0" collapsed="false">
      <c r="C196" s="37" t="s">
        <v>9738</v>
      </c>
      <c r="D196" s="39" t="s">
        <v>10608</v>
      </c>
      <c r="E196" s="51"/>
    </row>
    <row r="197" customFormat="false" ht="15" hidden="false" customHeight="false" outlineLevel="0" collapsed="false">
      <c r="C197" s="37" t="s">
        <v>10621</v>
      </c>
      <c r="D197" s="39" t="s">
        <v>10573</v>
      </c>
      <c r="E197" s="51"/>
    </row>
    <row r="198" customFormat="false" ht="15" hidden="false" customHeight="false" outlineLevel="0" collapsed="false">
      <c r="C198" s="37" t="s">
        <v>10622</v>
      </c>
      <c r="D198" s="39" t="s">
        <v>10582</v>
      </c>
      <c r="E198" s="51"/>
    </row>
    <row r="199" customFormat="false" ht="15" hidden="false" customHeight="false" outlineLevel="0" collapsed="false">
      <c r="C199" s="37" t="s">
        <v>8558</v>
      </c>
      <c r="D199" s="39" t="s">
        <v>10575</v>
      </c>
      <c r="E199" s="51"/>
    </row>
    <row r="200" customFormat="false" ht="15" hidden="false" customHeight="false" outlineLevel="0" collapsed="false">
      <c r="C200" s="37" t="s">
        <v>8565</v>
      </c>
      <c r="D200" s="39" t="s">
        <v>10575</v>
      </c>
      <c r="E200" s="51"/>
    </row>
    <row r="201" customFormat="false" ht="41.75" hidden="false" customHeight="false" outlineLevel="0" collapsed="false">
      <c r="C201" s="37" t="s">
        <v>8576</v>
      </c>
      <c r="D201" s="39" t="s">
        <v>10609</v>
      </c>
      <c r="E201" s="51"/>
    </row>
    <row r="202" customFormat="false" ht="15" hidden="false" customHeight="false" outlineLevel="0" collapsed="false">
      <c r="C202" s="37" t="s">
        <v>8579</v>
      </c>
      <c r="D202" s="39" t="s">
        <v>10557</v>
      </c>
      <c r="E202" s="51"/>
    </row>
    <row r="203" customFormat="false" ht="15" hidden="false" customHeight="false" outlineLevel="0" collapsed="false">
      <c r="C203" s="37" t="s">
        <v>10623</v>
      </c>
      <c r="D203" s="39" t="s">
        <v>10594</v>
      </c>
      <c r="E203" s="51"/>
    </row>
    <row r="204" customFormat="false" ht="15" hidden="false" customHeight="false" outlineLevel="0" collapsed="false">
      <c r="C204" s="37" t="s">
        <v>8589</v>
      </c>
      <c r="D204" s="39" t="s">
        <v>10562</v>
      </c>
      <c r="E204" s="51"/>
    </row>
    <row r="205" customFormat="false" ht="15" hidden="false" customHeight="false" outlineLevel="0" collapsed="false">
      <c r="C205" s="37" t="s">
        <v>9755</v>
      </c>
      <c r="D205" s="39" t="s">
        <v>10589</v>
      </c>
      <c r="E205" s="51"/>
    </row>
    <row r="206" customFormat="false" ht="15" hidden="false" customHeight="false" outlineLevel="0" collapsed="false">
      <c r="C206" s="37" t="s">
        <v>10624</v>
      </c>
      <c r="D206" s="39" t="s">
        <v>10568</v>
      </c>
      <c r="E206" s="51"/>
    </row>
    <row r="207" customFormat="false" ht="15" hidden="false" customHeight="false" outlineLevel="0" collapsed="false">
      <c r="C207" s="37" t="s">
        <v>8627</v>
      </c>
      <c r="D207" s="39" t="s">
        <v>10570</v>
      </c>
      <c r="E207" s="51"/>
    </row>
    <row r="208" customFormat="false" ht="41.75" hidden="false" customHeight="false" outlineLevel="0" collapsed="false">
      <c r="C208" s="37" t="s">
        <v>8629</v>
      </c>
      <c r="D208" s="39" t="s">
        <v>10609</v>
      </c>
      <c r="E208" s="51"/>
    </row>
    <row r="209" customFormat="false" ht="15" hidden="false" customHeight="false" outlineLevel="0" collapsed="false">
      <c r="C209" s="37" t="s">
        <v>8631</v>
      </c>
      <c r="D209" s="39" t="s">
        <v>10592</v>
      </c>
      <c r="E209" s="51"/>
    </row>
    <row r="210" customFormat="false" ht="15" hidden="false" customHeight="false" outlineLevel="0" collapsed="false">
      <c r="C210" s="37" t="s">
        <v>6948</v>
      </c>
      <c r="D210" s="39" t="s">
        <v>10575</v>
      </c>
      <c r="E210" s="51"/>
    </row>
    <row r="211" customFormat="false" ht="15" hidden="false" customHeight="false" outlineLevel="0" collapsed="false">
      <c r="C211" s="37" t="s">
        <v>8644</v>
      </c>
      <c r="D211" s="39" t="s">
        <v>10571</v>
      </c>
      <c r="E211" s="51"/>
    </row>
    <row r="212" customFormat="false" ht="15" hidden="false" customHeight="false" outlineLevel="0" collapsed="false">
      <c r="C212" s="37" t="s">
        <v>10625</v>
      </c>
      <c r="D212" s="39" t="s">
        <v>10568</v>
      </c>
      <c r="E212" s="51"/>
    </row>
    <row r="213" customFormat="false" ht="15" hidden="false" customHeight="false" outlineLevel="0" collapsed="false">
      <c r="C213" s="37" t="s">
        <v>8657</v>
      </c>
      <c r="D213" s="39" t="s">
        <v>10592</v>
      </c>
      <c r="E213" s="51"/>
    </row>
    <row r="214" customFormat="false" ht="15" hidden="false" customHeight="false" outlineLevel="0" collapsed="false">
      <c r="C214" s="37" t="s">
        <v>9777</v>
      </c>
      <c r="D214" s="39" t="s">
        <v>10613</v>
      </c>
      <c r="E214" s="51"/>
    </row>
    <row r="215" customFormat="false" ht="15" hidden="false" customHeight="false" outlineLevel="0" collapsed="false">
      <c r="C215" s="37" t="s">
        <v>8674</v>
      </c>
      <c r="D215" s="39" t="s">
        <v>10585</v>
      </c>
      <c r="E215" s="51"/>
    </row>
    <row r="216" customFormat="false" ht="15" hidden="false" customHeight="false" outlineLevel="0" collapsed="false">
      <c r="C216" s="37" t="s">
        <v>8680</v>
      </c>
      <c r="D216" s="39" t="s">
        <v>10571</v>
      </c>
      <c r="E216" s="51"/>
    </row>
    <row r="217" customFormat="false" ht="15" hidden="false" customHeight="false" outlineLevel="0" collapsed="false">
      <c r="C217" s="37" t="s">
        <v>8686</v>
      </c>
      <c r="D217" s="39" t="s">
        <v>10557</v>
      </c>
      <c r="E217" s="51"/>
    </row>
    <row r="218" customFormat="false" ht="15" hidden="false" customHeight="false" outlineLevel="0" collapsed="false">
      <c r="C218" s="37" t="s">
        <v>8688</v>
      </c>
      <c r="D218" s="39" t="s">
        <v>10571</v>
      </c>
      <c r="E218" s="51"/>
    </row>
    <row r="219" customFormat="false" ht="15" hidden="false" customHeight="false" outlineLevel="0" collapsed="false">
      <c r="C219" s="37" t="s">
        <v>8690</v>
      </c>
      <c r="D219" s="39" t="s">
        <v>10589</v>
      </c>
      <c r="E219" s="51"/>
    </row>
    <row r="220" customFormat="false" ht="15" hidden="false" customHeight="false" outlineLevel="0" collapsed="false">
      <c r="C220" s="37" t="s">
        <v>8692</v>
      </c>
      <c r="D220" s="39" t="s">
        <v>10575</v>
      </c>
      <c r="E220" s="51"/>
    </row>
    <row r="221" customFormat="false" ht="15" hidden="false" customHeight="false" outlineLevel="0" collapsed="false">
      <c r="C221" s="37" t="s">
        <v>6872</v>
      </c>
      <c r="D221" s="39" t="s">
        <v>10575</v>
      </c>
      <c r="E221" s="51"/>
    </row>
    <row r="222" customFormat="false" ht="15" hidden="false" customHeight="false" outlineLevel="0" collapsed="false">
      <c r="C222" s="37" t="s">
        <v>7012</v>
      </c>
      <c r="D222" s="39" t="s">
        <v>10579</v>
      </c>
      <c r="E222" s="51"/>
    </row>
    <row r="223" customFormat="false" ht="15" hidden="false" customHeight="false" outlineLevel="0" collapsed="false">
      <c r="C223" s="37" t="s">
        <v>8714</v>
      </c>
      <c r="D223" s="39" t="s">
        <v>10562</v>
      </c>
      <c r="E223" s="51"/>
    </row>
    <row r="224" customFormat="false" ht="15" hidden="false" customHeight="false" outlineLevel="0" collapsed="false">
      <c r="C224" s="37" t="s">
        <v>8723</v>
      </c>
      <c r="D224" s="39" t="s">
        <v>10594</v>
      </c>
      <c r="E224" s="51"/>
    </row>
    <row r="225" customFormat="false" ht="15" hidden="false" customHeight="false" outlineLevel="0" collapsed="false">
      <c r="C225" s="37" t="s">
        <v>6918</v>
      </c>
      <c r="D225" s="39" t="s">
        <v>10594</v>
      </c>
      <c r="E225" s="51"/>
    </row>
    <row r="226" customFormat="false" ht="15" hidden="false" customHeight="false" outlineLevel="0" collapsed="false">
      <c r="C226" s="37" t="s">
        <v>10626</v>
      </c>
      <c r="D226" s="39" t="s">
        <v>10613</v>
      </c>
      <c r="E226" s="51"/>
    </row>
    <row r="227" customFormat="false" ht="15" hidden="false" customHeight="false" outlineLevel="0" collapsed="false">
      <c r="C227" s="37" t="s">
        <v>8731</v>
      </c>
      <c r="D227" s="39" t="s">
        <v>10575</v>
      </c>
      <c r="E227" s="51"/>
    </row>
    <row r="228" customFormat="false" ht="15" hidden="false" customHeight="false" outlineLevel="0" collapsed="false">
      <c r="C228" s="37" t="s">
        <v>8737</v>
      </c>
      <c r="D228" s="39" t="s">
        <v>10575</v>
      </c>
      <c r="E228" s="51"/>
    </row>
    <row r="229" customFormat="false" ht="15" hidden="false" customHeight="false" outlineLevel="0" collapsed="false">
      <c r="C229" s="37" t="s">
        <v>8741</v>
      </c>
      <c r="D229" s="39" t="s">
        <v>10568</v>
      </c>
      <c r="E229" s="51"/>
    </row>
    <row r="230" customFormat="false" ht="15" hidden="false" customHeight="false" outlineLevel="0" collapsed="false">
      <c r="C230" s="37" t="s">
        <v>10627</v>
      </c>
      <c r="D230" s="39" t="s">
        <v>10582</v>
      </c>
      <c r="E230" s="51"/>
    </row>
    <row r="231" customFormat="false" ht="15" hidden="false" customHeight="false" outlineLevel="0" collapsed="false">
      <c r="C231" s="37" t="s">
        <v>8746</v>
      </c>
      <c r="D231" s="39" t="s">
        <v>10585</v>
      </c>
      <c r="E231" s="51"/>
    </row>
    <row r="232" customFormat="false" ht="15" hidden="false" customHeight="false" outlineLevel="0" collapsed="false">
      <c r="C232" s="37" t="s">
        <v>8754</v>
      </c>
      <c r="D232" s="39" t="s">
        <v>10563</v>
      </c>
      <c r="E232" s="51"/>
    </row>
    <row r="233" customFormat="false" ht="15" hidden="false" customHeight="false" outlineLevel="0" collapsed="false">
      <c r="C233" s="37" t="s">
        <v>10628</v>
      </c>
      <c r="D233" s="39" t="s">
        <v>10611</v>
      </c>
      <c r="E233" s="51"/>
    </row>
    <row r="234" customFormat="false" ht="15" hidden="false" customHeight="false" outlineLevel="0" collapsed="false">
      <c r="C234" s="37" t="s">
        <v>8757</v>
      </c>
      <c r="D234" s="39" t="s">
        <v>10611</v>
      </c>
      <c r="E234" s="51"/>
    </row>
    <row r="235" customFormat="false" ht="15" hidden="false" customHeight="false" outlineLevel="0" collapsed="false">
      <c r="C235" s="37" t="s">
        <v>8765</v>
      </c>
      <c r="D235" s="39" t="s">
        <v>10563</v>
      </c>
      <c r="E235" s="51"/>
    </row>
    <row r="236" customFormat="false" ht="15" hidden="false" customHeight="false" outlineLevel="0" collapsed="false">
      <c r="C236" s="37" t="s">
        <v>8778</v>
      </c>
      <c r="D236" s="39" t="s">
        <v>10570</v>
      </c>
      <c r="E236" s="51"/>
    </row>
    <row r="237" customFormat="false" ht="15" hidden="false" customHeight="false" outlineLevel="0" collapsed="false">
      <c r="C237" s="37" t="s">
        <v>10629</v>
      </c>
      <c r="D237" s="39" t="s">
        <v>10573</v>
      </c>
      <c r="E237" s="51"/>
    </row>
    <row r="238" customFormat="false" ht="15" hidden="false" customHeight="false" outlineLevel="0" collapsed="false">
      <c r="C238" s="37" t="s">
        <v>8788</v>
      </c>
      <c r="D238" s="39" t="s">
        <v>10575</v>
      </c>
      <c r="E238" s="51"/>
    </row>
    <row r="239" customFormat="false" ht="15" hidden="false" customHeight="false" outlineLevel="0" collapsed="false">
      <c r="C239" s="37" t="s">
        <v>8800</v>
      </c>
      <c r="D239" s="39" t="s">
        <v>10577</v>
      </c>
      <c r="E239" s="51"/>
    </row>
    <row r="240" customFormat="false" ht="15" hidden="false" customHeight="false" outlineLevel="0" collapsed="false">
      <c r="C240" s="37" t="s">
        <v>10630</v>
      </c>
      <c r="D240" s="39" t="s">
        <v>10611</v>
      </c>
      <c r="E240" s="51"/>
    </row>
    <row r="241" customFormat="false" ht="41.75" hidden="false" customHeight="false" outlineLevel="0" collapsed="false">
      <c r="C241" s="37" t="s">
        <v>8803</v>
      </c>
      <c r="D241" s="39" t="s">
        <v>10608</v>
      </c>
      <c r="E241" s="51"/>
    </row>
    <row r="242" customFormat="false" ht="15" hidden="false" customHeight="false" outlineLevel="0" collapsed="false">
      <c r="C242" s="37" t="s">
        <v>10631</v>
      </c>
      <c r="D242" s="39" t="s">
        <v>10557</v>
      </c>
      <c r="E242" s="51"/>
    </row>
    <row r="243" customFormat="false" ht="15" hidden="false" customHeight="false" outlineLevel="0" collapsed="false">
      <c r="C243" s="37" t="s">
        <v>8825</v>
      </c>
      <c r="D243" s="39" t="s">
        <v>10562</v>
      </c>
      <c r="E243" s="51"/>
    </row>
    <row r="244" customFormat="false" ht="15" hidden="false" customHeight="false" outlineLevel="0" collapsed="false">
      <c r="C244" s="37" t="s">
        <v>8830</v>
      </c>
      <c r="D244" s="39" t="s">
        <v>10557</v>
      </c>
      <c r="E244" s="51"/>
    </row>
    <row r="245" customFormat="false" ht="15" hidden="false" customHeight="false" outlineLevel="0" collapsed="false">
      <c r="C245" s="37" t="s">
        <v>8835</v>
      </c>
      <c r="D245" s="39" t="s">
        <v>10565</v>
      </c>
      <c r="E245" s="51"/>
    </row>
    <row r="246" customFormat="false" ht="15" hidden="false" customHeight="false" outlineLevel="0" collapsed="false">
      <c r="C246" s="37" t="s">
        <v>8837</v>
      </c>
      <c r="D246" s="39" t="s">
        <v>10575</v>
      </c>
      <c r="E246" s="51"/>
    </row>
    <row r="247" customFormat="false" ht="15" hidden="false" customHeight="false" outlineLevel="0" collapsed="false">
      <c r="C247" s="37" t="s">
        <v>8839</v>
      </c>
      <c r="D247" s="39" t="s">
        <v>10575</v>
      </c>
      <c r="E247" s="51"/>
    </row>
    <row r="248" customFormat="false" ht="15" hidden="false" customHeight="false" outlineLevel="0" collapsed="false">
      <c r="C248" s="37" t="s">
        <v>9846</v>
      </c>
      <c r="D248" s="39" t="s">
        <v>10594</v>
      </c>
      <c r="E248" s="51"/>
    </row>
    <row r="249" customFormat="false" ht="15" hidden="false" customHeight="false" outlineLevel="0" collapsed="false">
      <c r="C249" s="37" t="s">
        <v>8861</v>
      </c>
      <c r="D249" s="39" t="s">
        <v>10585</v>
      </c>
      <c r="E249" s="51"/>
    </row>
    <row r="250" customFormat="false" ht="15" hidden="false" customHeight="false" outlineLevel="0" collapsed="false">
      <c r="C250" s="37" t="s">
        <v>8867</v>
      </c>
      <c r="D250" s="39" t="s">
        <v>10592</v>
      </c>
      <c r="E250" s="51"/>
    </row>
    <row r="251" customFormat="false" ht="55.2" hidden="false" customHeight="false" outlineLevel="0" collapsed="false">
      <c r="C251" s="37" t="s">
        <v>8874</v>
      </c>
      <c r="D251" s="39" t="s">
        <v>10608</v>
      </c>
      <c r="E251" s="51"/>
    </row>
    <row r="252" customFormat="false" ht="15" hidden="false" customHeight="false" outlineLevel="0" collapsed="false">
      <c r="C252" s="37" t="s">
        <v>8876</v>
      </c>
      <c r="D252" s="39" t="s">
        <v>10570</v>
      </c>
      <c r="E252" s="51"/>
    </row>
    <row r="253" customFormat="false" ht="15" hidden="false" customHeight="false" outlineLevel="0" collapsed="false">
      <c r="C253" s="37" t="s">
        <v>9859</v>
      </c>
      <c r="D253" s="39" t="s">
        <v>10589</v>
      </c>
      <c r="E253" s="51"/>
    </row>
    <row r="254" customFormat="false" ht="15" hidden="false" customHeight="false" outlineLevel="0" collapsed="false">
      <c r="C254" s="37" t="s">
        <v>8899</v>
      </c>
      <c r="D254" s="39" t="s">
        <v>10570</v>
      </c>
      <c r="E254" s="51"/>
    </row>
    <row r="255" customFormat="false" ht="15" hidden="false" customHeight="false" outlineLevel="0" collapsed="false">
      <c r="C255" s="37" t="s">
        <v>8900</v>
      </c>
      <c r="D255" s="39" t="s">
        <v>10575</v>
      </c>
      <c r="E255" s="51"/>
    </row>
    <row r="256" customFormat="false" ht="15" hidden="false" customHeight="false" outlineLevel="0" collapsed="false">
      <c r="C256" s="37" t="s">
        <v>8908</v>
      </c>
      <c r="D256" s="39" t="s">
        <v>10575</v>
      </c>
      <c r="E256" s="51"/>
    </row>
    <row r="257" customFormat="false" ht="15" hidden="false" customHeight="false" outlineLevel="0" collapsed="false">
      <c r="C257" s="37" t="s">
        <v>8909</v>
      </c>
      <c r="D257" s="39" t="s">
        <v>10592</v>
      </c>
      <c r="E257" s="51"/>
    </row>
    <row r="258" customFormat="false" ht="15" hidden="false" customHeight="false" outlineLevel="0" collapsed="false">
      <c r="C258" s="37" t="s">
        <v>8919</v>
      </c>
      <c r="D258" s="39" t="s">
        <v>10594</v>
      </c>
      <c r="E258" s="51"/>
    </row>
    <row r="259" customFormat="false" ht="15" hidden="false" customHeight="false" outlineLevel="0" collapsed="false">
      <c r="C259" s="37" t="s">
        <v>8921</v>
      </c>
      <c r="D259" s="39" t="s">
        <v>10563</v>
      </c>
      <c r="E259" s="51"/>
    </row>
    <row r="260" customFormat="false" ht="15" hidden="false" customHeight="false" outlineLevel="0" collapsed="false">
      <c r="C260" s="37" t="s">
        <v>10632</v>
      </c>
      <c r="D260" s="39" t="s">
        <v>10613</v>
      </c>
      <c r="E260" s="51"/>
    </row>
    <row r="261" customFormat="false" ht="15" hidden="false" customHeight="false" outlineLevel="0" collapsed="false">
      <c r="C261" s="37" t="s">
        <v>8938</v>
      </c>
      <c r="D261" s="39" t="s">
        <v>10613</v>
      </c>
      <c r="E261" s="51"/>
    </row>
    <row r="262" customFormat="false" ht="15" hidden="false" customHeight="false" outlineLevel="0" collapsed="false">
      <c r="C262" s="37" t="s">
        <v>8943</v>
      </c>
      <c r="D262" s="39" t="s">
        <v>10589</v>
      </c>
      <c r="E262" s="51"/>
    </row>
    <row r="263" customFormat="false" ht="41.75" hidden="false" customHeight="false" outlineLevel="0" collapsed="false">
      <c r="C263" s="37" t="s">
        <v>8945</v>
      </c>
      <c r="D263" s="39" t="s">
        <v>10609</v>
      </c>
      <c r="E263" s="51"/>
    </row>
    <row r="264" customFormat="false" ht="15" hidden="false" customHeight="false" outlineLevel="0" collapsed="false">
      <c r="C264" s="37" t="s">
        <v>8948</v>
      </c>
      <c r="D264" s="39" t="s">
        <v>10563</v>
      </c>
      <c r="E264" s="51"/>
    </row>
    <row r="265" customFormat="false" ht="15" hidden="false" customHeight="false" outlineLevel="0" collapsed="false">
      <c r="C265" s="37" t="s">
        <v>8949</v>
      </c>
      <c r="D265" s="39" t="s">
        <v>10594</v>
      </c>
      <c r="E265" s="51"/>
    </row>
    <row r="266" customFormat="false" ht="15" hidden="false" customHeight="false" outlineLevel="0" collapsed="false">
      <c r="C266" s="37" t="s">
        <v>8956</v>
      </c>
      <c r="D266" s="39" t="s">
        <v>10575</v>
      </c>
      <c r="E266" s="51"/>
    </row>
    <row r="267" customFormat="false" ht="15" hidden="false" customHeight="false" outlineLevel="0" collapsed="false">
      <c r="C267" s="37" t="s">
        <v>8962</v>
      </c>
      <c r="D267" s="39" t="s">
        <v>10577</v>
      </c>
      <c r="E267" s="51"/>
    </row>
    <row r="268" customFormat="false" ht="15" hidden="false" customHeight="false" outlineLevel="0" collapsed="false">
      <c r="C268" s="37" t="s">
        <v>8963</v>
      </c>
      <c r="D268" s="39" t="s">
        <v>10577</v>
      </c>
      <c r="E268" s="51"/>
    </row>
    <row r="269" customFormat="false" ht="55.2" hidden="false" customHeight="false" outlineLevel="0" collapsed="false">
      <c r="C269" s="37" t="s">
        <v>8965</v>
      </c>
      <c r="D269" s="39" t="s">
        <v>10608</v>
      </c>
      <c r="E269" s="51"/>
    </row>
    <row r="270" customFormat="false" ht="15" hidden="false" customHeight="false" outlineLevel="0" collapsed="false">
      <c r="C270" s="37" t="s">
        <v>8970</v>
      </c>
      <c r="D270" s="39" t="s">
        <v>10611</v>
      </c>
      <c r="E270" s="51"/>
    </row>
    <row r="271" customFormat="false" ht="15" hidden="false" customHeight="false" outlineLevel="0" collapsed="false">
      <c r="C271" s="37" t="s">
        <v>8976</v>
      </c>
      <c r="D271" s="39" t="s">
        <v>10571</v>
      </c>
      <c r="E271" s="51"/>
    </row>
    <row r="272" customFormat="false" ht="15" hidden="false" customHeight="false" outlineLevel="0" collapsed="false">
      <c r="C272" s="37" t="s">
        <v>8980</v>
      </c>
      <c r="D272" s="39" t="s">
        <v>10611</v>
      </c>
      <c r="E272" s="51"/>
    </row>
    <row r="273" customFormat="false" ht="15" hidden="false" customHeight="false" outlineLevel="0" collapsed="false">
      <c r="C273" s="37" t="s">
        <v>10633</v>
      </c>
      <c r="D273" s="39" t="s">
        <v>10575</v>
      </c>
      <c r="E273" s="51"/>
    </row>
    <row r="274" customFormat="false" ht="41.75" hidden="false" customHeight="false" outlineLevel="0" collapsed="false">
      <c r="C274" s="37" t="s">
        <v>8985</v>
      </c>
      <c r="D274" s="39" t="s">
        <v>10609</v>
      </c>
      <c r="E274" s="51"/>
    </row>
    <row r="275" customFormat="false" ht="15" hidden="false" customHeight="false" outlineLevel="0" collapsed="false">
      <c r="C275" s="37" t="s">
        <v>10634</v>
      </c>
      <c r="D275" s="39" t="s">
        <v>10575</v>
      </c>
      <c r="E275" s="51"/>
    </row>
    <row r="276" customFormat="false" ht="55.2" hidden="false" customHeight="false" outlineLevel="0" collapsed="false">
      <c r="C276" s="37" t="s">
        <v>9897</v>
      </c>
      <c r="D276" s="39" t="s">
        <v>10608</v>
      </c>
      <c r="E276" s="51"/>
    </row>
    <row r="277" customFormat="false" ht="15" hidden="false" customHeight="false" outlineLevel="0" collapsed="false">
      <c r="C277" s="37" t="s">
        <v>8989</v>
      </c>
      <c r="D277" s="39" t="s">
        <v>10575</v>
      </c>
      <c r="E277" s="51"/>
    </row>
    <row r="278" customFormat="false" ht="15" hidden="false" customHeight="false" outlineLevel="0" collapsed="false">
      <c r="C278" s="37" t="s">
        <v>10635</v>
      </c>
      <c r="D278" s="39" t="s">
        <v>10577</v>
      </c>
      <c r="E278" s="51"/>
    </row>
    <row r="279" customFormat="false" ht="15" hidden="false" customHeight="false" outlineLevel="0" collapsed="false">
      <c r="C279" s="37" t="s">
        <v>8992</v>
      </c>
      <c r="D279" s="39" t="s">
        <v>10579</v>
      </c>
      <c r="E279" s="51"/>
    </row>
    <row r="280" customFormat="false" ht="15" hidden="false" customHeight="false" outlineLevel="0" collapsed="false">
      <c r="C280" s="37" t="s">
        <v>8993</v>
      </c>
      <c r="D280" s="39" t="s">
        <v>10611</v>
      </c>
      <c r="E280" s="51"/>
    </row>
    <row r="281" customFormat="false" ht="15" hidden="false" customHeight="false" outlineLevel="0" collapsed="false">
      <c r="C281" s="37" t="s">
        <v>8995</v>
      </c>
      <c r="D281" s="39" t="s">
        <v>10575</v>
      </c>
      <c r="E281" s="51"/>
    </row>
    <row r="282" customFormat="false" ht="15" hidden="false" customHeight="false" outlineLevel="0" collapsed="false">
      <c r="C282" s="37" t="s">
        <v>9008</v>
      </c>
      <c r="D282" s="39" t="s">
        <v>10592</v>
      </c>
      <c r="E282" s="51"/>
    </row>
    <row r="283" customFormat="false" ht="15" hidden="false" customHeight="false" outlineLevel="0" collapsed="false">
      <c r="C283" s="37" t="s">
        <v>9010</v>
      </c>
      <c r="D283" s="39" t="s">
        <v>10559</v>
      </c>
      <c r="E283" s="51"/>
    </row>
    <row r="284" customFormat="false" ht="15" hidden="false" customHeight="false" outlineLevel="0" collapsed="false">
      <c r="C284" s="37" t="s">
        <v>9011</v>
      </c>
      <c r="D284" s="39" t="s">
        <v>10594</v>
      </c>
      <c r="E284" s="51"/>
    </row>
    <row r="285" customFormat="false" ht="15" hidden="false" customHeight="false" outlineLevel="0" collapsed="false">
      <c r="C285" s="37" t="s">
        <v>10636</v>
      </c>
      <c r="D285" s="39" t="s">
        <v>10579</v>
      </c>
      <c r="E285" s="51"/>
    </row>
    <row r="286" customFormat="false" ht="15" hidden="false" customHeight="false" outlineLevel="0" collapsed="false">
      <c r="C286" s="37" t="s">
        <v>9026</v>
      </c>
      <c r="D286" s="39" t="s">
        <v>10613</v>
      </c>
      <c r="E286" s="51"/>
    </row>
    <row r="287" customFormat="false" ht="15" hidden="false" customHeight="false" outlineLevel="0" collapsed="false">
      <c r="C287" s="37" t="s">
        <v>9905</v>
      </c>
      <c r="D287" s="39" t="s">
        <v>10594</v>
      </c>
      <c r="E287" s="51"/>
    </row>
    <row r="288" customFormat="false" ht="15" hidden="false" customHeight="false" outlineLevel="0" collapsed="false">
      <c r="C288" s="37" t="s">
        <v>9035</v>
      </c>
      <c r="D288" s="39" t="s">
        <v>10594</v>
      </c>
      <c r="E288" s="51"/>
    </row>
    <row r="289" customFormat="false" ht="15" hidden="false" customHeight="false" outlineLevel="0" collapsed="false">
      <c r="C289" s="37" t="s">
        <v>7022</v>
      </c>
      <c r="D289" s="39" t="s">
        <v>10613</v>
      </c>
      <c r="E289" s="51"/>
    </row>
    <row r="290" customFormat="false" ht="15" hidden="false" customHeight="false" outlineLevel="0" collapsed="false">
      <c r="C290" s="37" t="s">
        <v>9042</v>
      </c>
      <c r="D290" s="39" t="s">
        <v>10575</v>
      </c>
      <c r="E290" s="51"/>
    </row>
    <row r="291" customFormat="false" ht="15" hidden="false" customHeight="false" outlineLevel="0" collapsed="false">
      <c r="C291" s="37" t="s">
        <v>9046</v>
      </c>
      <c r="D291" s="39" t="s">
        <v>10592</v>
      </c>
      <c r="E291" s="51"/>
    </row>
    <row r="292" customFormat="false" ht="15" hidden="false" customHeight="false" outlineLevel="0" collapsed="false">
      <c r="C292" s="37" t="s">
        <v>9051</v>
      </c>
      <c r="D292" s="39" t="s">
        <v>10562</v>
      </c>
      <c r="E292" s="51"/>
    </row>
    <row r="293" customFormat="false" ht="15" hidden="false" customHeight="false" outlineLevel="0" collapsed="false">
      <c r="C293" s="37" t="s">
        <v>10637</v>
      </c>
      <c r="D293" s="39" t="s">
        <v>10565</v>
      </c>
      <c r="E293" s="51"/>
    </row>
    <row r="294" customFormat="false" ht="15" hidden="false" customHeight="false" outlineLevel="0" collapsed="false">
      <c r="C294" s="37" t="s">
        <v>10638</v>
      </c>
      <c r="D294" s="39" t="s">
        <v>10562</v>
      </c>
      <c r="E294" s="51"/>
    </row>
    <row r="295" customFormat="false" ht="15" hidden="false" customHeight="false" outlineLevel="0" collapsed="false">
      <c r="C295" s="37" t="s">
        <v>9065</v>
      </c>
      <c r="D295" s="39" t="s">
        <v>10613</v>
      </c>
      <c r="E295" s="51"/>
    </row>
    <row r="296" customFormat="false" ht="15" hidden="false" customHeight="false" outlineLevel="0" collapsed="false">
      <c r="C296" s="37" t="s">
        <v>9066</v>
      </c>
      <c r="D296" s="39" t="s">
        <v>10557</v>
      </c>
      <c r="E296" s="51"/>
    </row>
    <row r="297" customFormat="false" ht="15" hidden="false" customHeight="false" outlineLevel="0" collapsed="false">
      <c r="C297" s="37" t="s">
        <v>9072</v>
      </c>
      <c r="D297" s="39" t="s">
        <v>10568</v>
      </c>
      <c r="E297" s="51"/>
    </row>
    <row r="298" customFormat="false" ht="15" hidden="false" customHeight="false" outlineLevel="0" collapsed="false">
      <c r="C298" s="37" t="s">
        <v>9089</v>
      </c>
      <c r="D298" s="39" t="s">
        <v>10575</v>
      </c>
      <c r="E298" s="51"/>
    </row>
    <row r="299" customFormat="false" ht="15" hidden="false" customHeight="false" outlineLevel="0" collapsed="false">
      <c r="C299" s="37" t="s">
        <v>9101</v>
      </c>
      <c r="D299" s="39" t="s">
        <v>10573</v>
      </c>
      <c r="E299" s="51"/>
    </row>
    <row r="300" customFormat="false" ht="15" hidden="false" customHeight="false" outlineLevel="0" collapsed="false">
      <c r="C300" s="37" t="s">
        <v>9103</v>
      </c>
      <c r="D300" s="39" t="s">
        <v>10577</v>
      </c>
      <c r="E300" s="51"/>
    </row>
    <row r="301" customFormat="false" ht="15" hidden="false" customHeight="false" outlineLevel="0" collapsed="false">
      <c r="C301" s="37" t="s">
        <v>10639</v>
      </c>
      <c r="D301" s="39" t="s">
        <v>10575</v>
      </c>
      <c r="E301" s="51"/>
    </row>
    <row r="302" customFormat="false" ht="15" hidden="false" customHeight="false" outlineLevel="0" collapsed="false">
      <c r="C302" s="37" t="s">
        <v>9929</v>
      </c>
      <c r="D302" s="39" t="s">
        <v>10594</v>
      </c>
      <c r="E302" s="51"/>
    </row>
    <row r="303" customFormat="false" ht="28.35" hidden="false" customHeight="false" outlineLevel="0" collapsed="false">
      <c r="C303" s="37" t="s">
        <v>9148</v>
      </c>
      <c r="D303" s="39" t="s">
        <v>10640</v>
      </c>
      <c r="E303" s="51"/>
    </row>
    <row r="304" customFormat="false" ht="55.2" hidden="false" customHeight="false" outlineLevel="0" collapsed="false">
      <c r="C304" s="37" t="s">
        <v>9940</v>
      </c>
      <c r="D304" s="39" t="s">
        <v>10608</v>
      </c>
      <c r="E304" s="51"/>
    </row>
    <row r="305" customFormat="false" ht="15" hidden="false" customHeight="false" outlineLevel="0" collapsed="false">
      <c r="C305" s="37" t="s">
        <v>9164</v>
      </c>
      <c r="D305" s="39" t="s">
        <v>10611</v>
      </c>
      <c r="E305" s="51"/>
    </row>
    <row r="306" customFormat="false" ht="55.2" hidden="false" customHeight="false" outlineLevel="0" collapsed="false">
      <c r="C306" s="37" t="s">
        <v>9948</v>
      </c>
      <c r="D306" s="39" t="s">
        <v>10608</v>
      </c>
      <c r="E306" s="51"/>
    </row>
    <row r="307" customFormat="false" ht="15" hidden="false" customHeight="false" outlineLevel="0" collapsed="false">
      <c r="C307" s="37" t="s">
        <v>9175</v>
      </c>
      <c r="D307" s="39" t="s">
        <v>10559</v>
      </c>
      <c r="E307" s="51"/>
    </row>
    <row r="308" customFormat="false" ht="15" hidden="false" customHeight="false" outlineLevel="0" collapsed="false">
      <c r="C308" s="37" t="s">
        <v>10641</v>
      </c>
      <c r="D308" s="39" t="s">
        <v>10579</v>
      </c>
      <c r="E308" s="51"/>
    </row>
    <row r="309" customFormat="false" ht="15" hidden="false" customHeight="false" outlineLevel="0" collapsed="false">
      <c r="C309" s="37" t="s">
        <v>9180</v>
      </c>
      <c r="D309" s="39" t="s">
        <v>10559</v>
      </c>
      <c r="E309" s="51"/>
    </row>
    <row r="310" customFormat="false" ht="15" hidden="false" customHeight="false" outlineLevel="0" collapsed="false">
      <c r="C310" s="37" t="s">
        <v>10642</v>
      </c>
      <c r="D310" s="39" t="s">
        <v>10577</v>
      </c>
      <c r="E310" s="51"/>
    </row>
    <row r="311" customFormat="false" ht="55.2" hidden="false" customHeight="false" outlineLevel="0" collapsed="false">
      <c r="C311" s="37" t="s">
        <v>9185</v>
      </c>
      <c r="D311" s="39" t="s">
        <v>10608</v>
      </c>
      <c r="E311" s="51"/>
    </row>
    <row r="312" customFormat="false" ht="15" hidden="false" customHeight="false" outlineLevel="0" collapsed="false">
      <c r="C312" s="37" t="s">
        <v>10643</v>
      </c>
      <c r="D312" s="39" t="s">
        <v>10575</v>
      </c>
      <c r="E312" s="51"/>
    </row>
    <row r="313" customFormat="false" ht="15" hidden="false" customHeight="false" outlineLevel="0" collapsed="false">
      <c r="C313" s="37" t="s">
        <v>10644</v>
      </c>
      <c r="D313" s="39" t="s">
        <v>10582</v>
      </c>
      <c r="E313" s="51"/>
    </row>
    <row r="314" customFormat="false" ht="15" hidden="false" customHeight="false" outlineLevel="0" collapsed="false">
      <c r="C314" s="37" t="s">
        <v>9193</v>
      </c>
      <c r="D314" s="39" t="s">
        <v>10575</v>
      </c>
      <c r="E314" s="51"/>
    </row>
    <row r="315" customFormat="false" ht="15" hidden="false" customHeight="false" outlineLevel="0" collapsed="false">
      <c r="C315" s="37" t="s">
        <v>9203</v>
      </c>
      <c r="D315" s="39" t="s">
        <v>10613</v>
      </c>
      <c r="E315" s="51"/>
    </row>
    <row r="316" customFormat="false" ht="15" hidden="false" customHeight="false" outlineLevel="0" collapsed="false">
      <c r="C316" s="37" t="s">
        <v>10645</v>
      </c>
      <c r="D316" s="39" t="s">
        <v>10575</v>
      </c>
      <c r="E316" s="51"/>
    </row>
    <row r="317" customFormat="false" ht="15" hidden="false" customHeight="false" outlineLevel="0" collapsed="false">
      <c r="C317" s="37" t="s">
        <v>9205</v>
      </c>
      <c r="D317" s="39" t="s">
        <v>10559</v>
      </c>
      <c r="E317" s="51"/>
    </row>
    <row r="318" customFormat="false" ht="15" hidden="false" customHeight="false" outlineLevel="0" collapsed="false">
      <c r="C318" s="37" t="s">
        <v>10646</v>
      </c>
      <c r="D318" s="39" t="s">
        <v>10571</v>
      </c>
      <c r="E318" s="51"/>
    </row>
    <row r="319" customFormat="false" ht="15" hidden="false" customHeight="false" outlineLevel="0" collapsed="false">
      <c r="C319" s="37" t="s">
        <v>10647</v>
      </c>
      <c r="D319" s="39" t="s">
        <v>10589</v>
      </c>
      <c r="E319" s="51"/>
    </row>
    <row r="320" customFormat="false" ht="15" hidden="false" customHeight="false" outlineLevel="0" collapsed="false">
      <c r="C320" s="37" t="s">
        <v>9216</v>
      </c>
      <c r="D320" s="39" t="s">
        <v>10579</v>
      </c>
      <c r="E320" s="51"/>
    </row>
    <row r="321" customFormat="false" ht="15" hidden="false" customHeight="false" outlineLevel="0" collapsed="false">
      <c r="C321" s="37" t="s">
        <v>9219</v>
      </c>
      <c r="D321" s="39" t="s">
        <v>10571</v>
      </c>
      <c r="E321" s="51"/>
    </row>
    <row r="322" customFormat="false" ht="15" hidden="false" customHeight="false" outlineLevel="0" collapsed="false">
      <c r="C322" s="37" t="s">
        <v>9965</v>
      </c>
      <c r="D322" s="39" t="s">
        <v>10585</v>
      </c>
      <c r="E322" s="51"/>
    </row>
    <row r="323" customFormat="false" ht="15" hidden="false" customHeight="false" outlineLevel="0" collapsed="false">
      <c r="C323" s="37" t="s">
        <v>9222</v>
      </c>
      <c r="D323" s="39" t="s">
        <v>10582</v>
      </c>
      <c r="E323" s="51"/>
    </row>
    <row r="324" customFormat="false" ht="15" hidden="false" customHeight="false" outlineLevel="0" collapsed="false">
      <c r="C324" s="37" t="s">
        <v>10648</v>
      </c>
      <c r="D324" s="39" t="s">
        <v>10613</v>
      </c>
      <c r="E324" s="51"/>
    </row>
  </sheetData>
  <mergeCells count="1">
    <mergeCell ref="C2:E2"/>
  </mergeCells>
  <hyperlinks>
    <hyperlink ref="C4" r:id="rId1" display="https://striking-viking.com/"/>
    <hyperlink ref="C5" r:id="rId2" display="https://striking-viking.com/products/striking-viking-mustache-wax-and-comb-kit"/>
    <hyperlink ref="D5" r:id="rId3" display="https://striking-viking.com/cdn/shop/files/preview_images/bbf7ac2d6bcb4e9781033073d3e04183.thumbnail.0000000000_1024x1024.jpg?v=1786599449"/>
    <hyperlink ref="C6" r:id="rId4" display="https://striking-viking.com/es/products/striking-viking-beard-filler-pen-2-pack-waterproof-beard-pen-for-filling-gaps-covering-patches"/>
    <hyperlink ref="D6" r:id="rId5" display="https://striking-viking.com/cdn/shop/files/preview_images/49129432d5d543f2b09f1e3faab28f4a.thumbnail.0000000000_1024x1024.jpg?v=1786599719"/>
    <hyperlink ref="C7" r:id="rId6" display="https://striking-viking.com/no/products/striking-viking-mustache-wax-and-comb-kit"/>
    <hyperlink ref="D7" r:id="rId7" display="https://striking-viking.com/cdn/shop/files/preview_images/bbf7ac2d6bcb4e9781033073d3e04183.thumbnail.0000000000_1024x1024.jpg?v=1786599449"/>
    <hyperlink ref="C8" r:id="rId8" display="https://striking-viking.com/fi/products/striking-viking-beard-filler-pen-2-pack-waterproof-beard-pen-for-filling-gaps-covering-patches"/>
    <hyperlink ref="D8" r:id="rId9" display="https://striking-viking.com/cdn/shop/files/preview_images/49129432d5d543f2b09f1e3faab28f4a.thumbnail.0000000000_1024x1024.jpg?v=1786599719"/>
    <hyperlink ref="C9" r:id="rId10" display="https://striking-viking.com/de"/>
    <hyperlink ref="C10" r:id="rId11" display="https://striking-viking.com/it/products/striking-viking-beard-filler-pen-2-pack-waterproof-beard-pen-for-filling-gaps-covering-patches"/>
    <hyperlink ref="D10" r:id="rId12" display="https://striking-viking.com/cdn/shop/files/preview_images/49129432d5d543f2b09f1e3faab28f4a.thumbnail.0000000000_1024x1024.jpg?v=1786599719"/>
    <hyperlink ref="C11" r:id="rId13" display="https://striking-viking.com/es"/>
    <hyperlink ref="C12" r:id="rId14" display="https://striking-viking.com/en-gb/products/striking-viking-mustache-wax-and-comb-kit"/>
    <hyperlink ref="D12" r:id="rId15" display="https://striking-viking.com/cdn/shop/files/preview_images/bbf7ac2d6bcb4e9781033073d3e04183.thumbnail.0000000000_1024x1024.jpg?v=1786599449"/>
    <hyperlink ref="C13" r:id="rId16" display="https://striking-viking.com/it"/>
    <hyperlink ref="C14" r:id="rId17" display="https://striking-viking.com/it/products/striking-viking-beard-kit-caddy-complete-beard-grooming-kit"/>
    <hyperlink ref="D14" r:id="rId18" display="https://striking-viking.com/cdn/shop/files/preview_images/ba5feb9f783d4fa1adb23a394602c871.thumbnail.0000000000_1024x1024.jpg?v=1786599826"/>
    <hyperlink ref="C15" r:id="rId19" display="https://striking-viking.com/en-ca/products/striking-viking-beard-kit-caddy-complete-beard-grooming-kit"/>
    <hyperlink ref="D15" r:id="rId20" display="https://striking-viking.com/cdn/shop/files/preview_images/ba5feb9f783d4fa1adb23a394602c871.thumbnail.0000000000_1024x1024.jpg?v=1786599826"/>
    <hyperlink ref="C16" r:id="rId21" display="https://striking-viking.com/sv/products/striking-viking-mustache-wax-and-comb-kit"/>
    <hyperlink ref="D16" r:id="rId22" display="https://striking-viking.com/cdn/shop/files/preview_images/bbf7ac2d6bcb4e9781033073d3e04183.thumbnail.0000000000_1024x1024.jpg?v=1786599449"/>
    <hyperlink ref="C17" r:id="rId23" display="https://striking-viking.com/fr/products/striking-viking-beard-kit-caddy-complete-beard-grooming-kit"/>
    <hyperlink ref="D17" r:id="rId24" display="https://striking-viking.com/cdn/shop/files/preview_images/ba5feb9f783d4fa1adb23a394602c871.thumbnail.0000000000_1024x1024.jpg?v=1786599826"/>
    <hyperlink ref="C18" r:id="rId25" display="https://striking-viking.com/fi"/>
    <hyperlink ref="C19" r:id="rId26" display="https://striking-viking.com/fi/products/striking-viking-mustache-wax-and-comb-kit"/>
    <hyperlink ref="D19" r:id="rId27" display="https://striking-viking.com/cdn/shop/files/preview_images/bbf7ac2d6bcb4e9781033073d3e04183.thumbnail.0000000000_1024x1024.jpg?v=1786599449"/>
    <hyperlink ref="C20" r:id="rId28" display="https://striking-viking.com/fr/products/striking-viking-beard-filler-pen-2-pack-waterproof-beard-pen-for-filling-gaps-covering-patches"/>
    <hyperlink ref="D20" r:id="rId29" display="https://striking-viking.com/cdn/shop/files/preview_images/49129432d5d543f2b09f1e3faab28f4a.thumbnail.0000000000_1024x1024.jpg?v=1786599719"/>
    <hyperlink ref="C21" r:id="rId30" display="https://striking-viking.com/no/products/striking-viking-beard-filler-pen-2-pack-waterproof-beard-pen-for-filling-gaps-covering-patches"/>
    <hyperlink ref="D21" r:id="rId31" display="https://striking-viking.com/cdn/shop/files/preview_images/49129432d5d543f2b09f1e3faab28f4a.thumbnail.0000000000_1024x1024.jpg?v=1786599719"/>
    <hyperlink ref="C22" r:id="rId32" display="https://striking-viking.com/de/products/schnurrbartwachs-und-kamm"/>
    <hyperlink ref="D22" r:id="rId33" display="https://striking-viking.com/cdn/shop/files/preview_images/bbf7ac2d6bcb4e9781033073d3e04183.thumbnail.0000000000_1024x1024.jpg?v=1786599449"/>
    <hyperlink ref="C23" r:id="rId34" display="https://striking-viking.com/fr"/>
    <hyperlink ref="C24" r:id="rId35" display="https://striking-viking.com/de/products/bartfullstift"/>
    <hyperlink ref="D24" r:id="rId36" display="https://striking-viking.com/cdn/shop/files/preview_images/49129432d5d543f2b09f1e3faab28f4a.thumbnail.0000000000_1024x1024.jpg?v=1786599719"/>
    <hyperlink ref="C25" r:id="rId37" display="https://striking-viking.com/no"/>
    <hyperlink ref="C26" r:id="rId38" display="https://striking-viking.com/no/products/striking-viking-beard-kit-caddy-complete-beard-grooming-kit"/>
    <hyperlink ref="D26" r:id="rId39" display="https://striking-viking.com/cdn/shop/files/preview_images/ba5feb9f783d4fa1adb23a394602c871.thumbnail.0000000000_1024x1024.jpg?v=1786599826"/>
    <hyperlink ref="C27" r:id="rId40" display="https://striking-viking.com/sv"/>
    <hyperlink ref="C28" r:id="rId41" display="https://striking-viking.com/it/products/striking-viking-mustache-wax-and-comb-kit"/>
    <hyperlink ref="D28" r:id="rId42" display="https://striking-viking.com/cdn/shop/files/preview_images/bbf7ac2d6bcb4e9781033073d3e04183.thumbnail.0000000000_1024x1024.jpg?v=1786599449"/>
    <hyperlink ref="C29" r:id="rId43" display="https://striking-viking.com/de/products/bartset-mit-caddy"/>
    <hyperlink ref="D29" r:id="rId44" display="https://striking-viking.com/cdn/shop/files/preview_images/ba5feb9f783d4fa1adb23a394602c871.thumbnail.0000000000_1024x1024.jpg?v=1786599826"/>
    <hyperlink ref="C30" r:id="rId45" display="https://striking-viking.com/en-ca"/>
    <hyperlink ref="C31" r:id="rId46" display="https://striking-viking.com/products/striking-viking-beard-kit-caddy-complete-beard-grooming-kit"/>
    <hyperlink ref="D31" r:id="rId47" display="https://striking-viking.com/cdn/shop/files/preview_images/ba5feb9f783d4fa1adb23a394602c871.thumbnail.0000000000_1024x1024.jpg?v=1786599826"/>
    <hyperlink ref="C32" r:id="rId48" display="https://striking-viking.com/fi/products/striking-viking-beard-kit-caddy-complete-beard-grooming-kit"/>
    <hyperlink ref="D32" r:id="rId49" display="https://striking-viking.com/cdn/shop/files/preview_images/ba5feb9f783d4fa1adb23a394602c871.thumbnail.0000000000_1024x1024.jpg?v=1786599826"/>
    <hyperlink ref="C33" r:id="rId50" display="https://striking-viking.com/es/products/striking-viking-beard-kit-caddy-complete-beard-grooming-kit"/>
    <hyperlink ref="D33" r:id="rId51" display="https://striking-viking.com/cdn/shop/files/preview_images/ba5feb9f783d4fa1adb23a394602c871.thumbnail.0000000000_1024x1024.jpg?v=1786599826"/>
    <hyperlink ref="C34" r:id="rId52" display="https://striking-viking.com/en-ca/products/striking-viking-beard-filler-pen-2-pack-waterproof-beard-pen-for-filling-gaps-covering-patches"/>
    <hyperlink ref="D34" r:id="rId53" display="https://striking-viking.com/cdn/shop/files/preview_images/49129432d5d543f2b09f1e3faab28f4a.thumbnail.0000000000_1024x1024.jpg?v=1786599719"/>
    <hyperlink ref="C35" r:id="rId54" display="https://striking-viking.com/es/products/striking-viking-mustache-wax-and-comb-kit"/>
    <hyperlink ref="D35" r:id="rId55" display="https://striking-viking.com/cdn/shop/files/preview_images/bbf7ac2d6bcb4e9781033073d3e04183.thumbnail.0000000000_1024x1024.jpg?v=1786599449"/>
    <hyperlink ref="C36" r:id="rId56" display="https://striking-viking.com/en-ca/products/striking-viking-mustache-wax-and-comb-kit"/>
    <hyperlink ref="D36" r:id="rId57" display="https://striking-viking.com/cdn/shop/files/preview_images/bbf7ac2d6bcb4e9781033073d3e04183.thumbnail.0000000000_1024x1024.jpg?v=1786599449"/>
    <hyperlink ref="C37" r:id="rId58" display="https://striking-viking.com/products/striking-viking-wooden-beard-care-caddy-board-only"/>
    <hyperlink ref="D37" r:id="rId59" display="https://striking-viking.com/cdn/shop/files/preview_images/5ccb603517a94a8fbc089e8b0a2c2fb4.thumbnail.0000000000_1024x1024.jpg?v=1786600783"/>
    <hyperlink ref="C38" r:id="rId60" display="https://striking-viking.com/products/striking-viking-beard-filler-pen-2-pack-waterproof-beard-pen-for-filling-gaps-covering-patches"/>
    <hyperlink ref="D38" r:id="rId61" display="https://striking-viking.com/cdn/shop/files/preview_images/49129432d5d543f2b09f1e3faab28f4a.thumbnail.0000000000_1024x1024.jpg?v=1786599719"/>
    <hyperlink ref="C39" r:id="rId62" display="https://striking-viking.com/fr/products/striking-viking-mustache-wax-and-comb-kit"/>
    <hyperlink ref="D39" r:id="rId63" display="https://striking-viking.com/cdn/shop/files/preview_images/bbf7ac2d6bcb4e9781033073d3e04183.thumbnail.0000000000_1024x1024.jpg?v=1786599449"/>
    <hyperlink ref="C40" r:id="rId64" display="https://striking-viking.com/it/products/striking-viking-vanilla-beard-balm"/>
    <hyperlink ref="D40" r:id="rId65" display="https://striking-viking.com/cdn/shop/files/preview_images/654292f4a09e42b6b95c9ef48340e293.thumbnail.0000000000_1024x1024.jpg?v=1786600236"/>
    <hyperlink ref="C41" r:id="rId66" display="https://striking-viking.com/en-ca/products/striking-viking-beard-balm-variety-4-pack-citrus-vanilla-cedarwood-sandalwood"/>
    <hyperlink ref="D41" r:id="rId67" display="https://striking-viking.com/cdn/shop/files/preview_images/48bcbed35d964c5e8dffe8424e4076a8.thumbnail.0000000000_1024x1024.jpg?v=1786601016"/>
    <hyperlink ref="C42" r:id="rId68" display="https://striking-viking.com/en-ca/products/striking-viking-wooden-beard-care-caddy-board-only"/>
    <hyperlink ref="D42" r:id="rId69" display="https://striking-viking.com/cdn/shop/files/preview_images/5ccb603517a94a8fbc089e8b0a2c2fb4.thumbnail.0000000000_1024x1024.jpg?v=1786600783"/>
    <hyperlink ref="C43" r:id="rId70" display="https://striking-viking.com/en-gb/products/striking-viking-sandalwood-beard-oil"/>
    <hyperlink ref="D43" r:id="rId71" display="https://striking-viking.com/cdn/shop/files/preview_images/694214d8b7b34d50be83f74012b962d8.thumbnail.0000000000_1024x1024.jpg?v=1786601440"/>
    <hyperlink ref="C44" r:id="rId72" display="https://striking-viking.com/products/striking-viking-cedarwood-beard-oil"/>
    <hyperlink ref="D44" r:id="rId73" display="https://striking-viking.com/cdn/shop/files/preview_images/06fa7414903d4ace94cbe4e096befa28.thumbnail.0000000000_1024x1024.jpg?v=1786601229"/>
    <hyperlink ref="C45" r:id="rId74" display="https://striking-viking.com/en-ca/products/striking-viking-beard-oil-variety-4-pack-citrus-vanilla-cedarwood-sandalwood"/>
    <hyperlink ref="D45" r:id="rId75" display="https://striking-viking.com/cdn/shop/files/preview_images/2aac013d604940b58d3cb008c2f75bb9.thumbnail.0000000000_1024x1024.jpg?v=1786600897"/>
    <hyperlink ref="C46" r:id="rId76" display="https://striking-viking.com/en-gb/products/striking-viking-vanilla-beard-balm"/>
    <hyperlink ref="D46" r:id="rId77" display="https://striking-viking.com/cdn/shop/files/preview_images/654292f4a09e42b6b95c9ef48340e293.thumbnail.0000000000_1024x1024.jpg?v=1786600236"/>
    <hyperlink ref="C47" r:id="rId78" display="https://striking-viking.com/en-gb/products/striking-viking-wooden-beard-care-caddy-board-only"/>
    <hyperlink ref="D47" r:id="rId79" display="https://striking-viking.com/cdn/shop/files/preview_images/5ccb603517a94a8fbc089e8b0a2c2fb4.thumbnail.0000000000_1024x1024.jpg?v=1786600783"/>
    <hyperlink ref="C48" r:id="rId80" display="https://striking-viking.com/products/striking-viking-folding-wooden-comb-sandalwood-beard-hair-comb"/>
    <hyperlink ref="D48" r:id="rId81" display="https://striking-viking.com/cdn/shop/files/preview_images/3b2d1290045c417e8b589a319a2e2fbf.thumbnail.0000000000_1024x1024.jpg?v=1786616279"/>
    <hyperlink ref="C49" r:id="rId82" display="https://striking-viking.com/en-ca/products/striking-viking-beard-shampoo-conditioner-cologne-argan-jojoba-oil"/>
    <hyperlink ref="D49" r:id="rId83" display="https://striking-viking.com/cdn/shop/files/preview_images/223d982d630541b8bca51e5de6c59550.thumbnail.0000000000_1024x1024.jpg?v=1786603784"/>
    <hyperlink ref="C50" r:id="rId84" display="https://striking-viking.com/fi/products/striking-viking-wooden-beard-care-caddy-board-only"/>
    <hyperlink ref="D50" r:id="rId85" display="https://striking-viking.com/cdn/shop/files/preview_images/5ccb603517a94a8fbc089e8b0a2c2fb4.thumbnail.0000000000_1024x1024.jpg?v=1786600783"/>
    <hyperlink ref="C51" r:id="rId86" display="https://striking-viking.com/fr/products/striking-viking-wooden-beard-care-caddy-board-only"/>
    <hyperlink ref="D51" r:id="rId87" display="https://striking-viking.com/cdn/shop/files/preview_images/5ccb603517a94a8fbc089e8b0a2c2fb4.thumbnail.0000000000_1024x1024.jpg?v=1786600783"/>
    <hyperlink ref="C52" r:id="rId88" display="https://striking-viking.com/en-ca/products/striking-viking-beard-shampoo-with-natural-peppermint-eucalyptus-for-refreshing-beard-care"/>
    <hyperlink ref="D52" r:id="rId89" display="https://striking-viking.com/cdn/shop/files/preview_images/133175d72f9a4cf5aaecad8194713d87.thumbnail.0000000000_1024x1024.jpg?v=1783943838"/>
    <hyperlink ref="C53" r:id="rId90" display="https://striking-viking.com/en-gb/products/sandalwood-wooden-beard-comb-black-striking-viking"/>
    <hyperlink ref="D53" r:id="rId91" display="https://striking-viking.com/cdn/shop/files/preview_images/630e16646ea940d38a7dbfb0a14c8ee6.thumbnail.0000000000_1024x1024.jpg?v=1786617599"/>
    <hyperlink ref="C54" r:id="rId92" display="https://striking-viking.com/no/products/striking-viking-wooden-beard-care-caddy-board-only"/>
    <hyperlink ref="D54" r:id="rId93" display="https://striking-viking.com/cdn/shop/files/preview_images/5ccb603517a94a8fbc089e8b0a2c2fb4.thumbnail.0000000000_1024x1024.jpg?v=1786600783"/>
    <hyperlink ref="C55" r:id="rId94" display="https://striking-viking.com/en-gb/products/charlemagne-original-hair-pomade-for-men-strong-hold-water-based-styling-pomade-100ml"/>
    <hyperlink ref="D55" r:id="rId95" display="https://striking-viking.com/cdn/shop/files/preview_images/ea71e2ed828246ed942cb9b167fb5a7e.thumbnail.0000000000_1024x1024.jpg?v=1783948364"/>
    <hyperlink ref="C56" r:id="rId96" display="https://striking-viking.com/en-gb/products/striking-viking-beard-oil-variety-4-pack-citrus-vanilla-cedarwood-sandalwood"/>
    <hyperlink ref="D56" r:id="rId97" display="https://striking-viking.com/cdn/shop/files/preview_images/2aac013d604940b58d3cb008c2f75bb9.thumbnail.0000000000_1024x1024.jpg?v=1786600897"/>
    <hyperlink ref="C57" r:id="rId98" display="https://striking-viking.com/products/striking-viking-beard-shampoo-with-natural-peppermint-eucalyptus-for-refreshing-beard-care"/>
    <hyperlink ref="D57" r:id="rId99" display="https://striking-viking.com/cdn/shop/files/preview_images/133175d72f9a4cf5aaecad8194713d87.thumbnail.0000000000_1024x1024.jpg?v=1783943838"/>
    <hyperlink ref="C58" r:id="rId100" display="https://striking-viking.com/it/products/striking-viking-beard-oil-variety-4-pack-citrus-vanilla-cedarwood-sandalwood"/>
    <hyperlink ref="D58" r:id="rId101" display="https://striking-viking.com/cdn/shop/files/preview_images/2aac013d604940b58d3cb008c2f75bb9.thumbnail.0000000000_1024x1024.jpg?v=1786600897"/>
    <hyperlink ref="C59" r:id="rId102" display="https://striking-viking.com/en-gb/products/charlemagne-carbon-wide-tooth-comb-for-men-heat-resistant-carbon-fiber-hair-comb"/>
    <hyperlink ref="D59" r:id="rId103" display="https://striking-viking.com/cdn/shop/files/preview_images/ea71e2ed828246ed942cb9b167fb5a7e.thumbnail.0000000000_1024x1024.jpg?v=1783948364"/>
    <hyperlink ref="C60" r:id="rId104" display="https://striking-viking.com/de/products/bartbutter-vanille-1"/>
    <hyperlink ref="D60" r:id="rId105" display="https://striking-viking.com/cdn/shop/files/preview_images/e5633e001a744211bc5b12bd22e9862c.thumbnail.0000000000_1024x1024.jpg?v=1783945120"/>
    <hyperlink ref="C61" r:id="rId106" display="https://striking-viking.com/no/products/striking-viking-beard-growth-oil-with-biotin-sandalwood"/>
    <hyperlink ref="D61" r:id="rId107" display="https://striking-viking.com/cdn/shop/files/preview_images/032fdd356ead42c19de3ca802ac3a37b.thumbnail.0000000000_1024x1024.jpg?v=1786599587"/>
    <hyperlink ref="C62" r:id="rId108" display="https://striking-viking.com/it/products/striking-viking-beard-balm-variety-4-pack-citrus-vanilla-cedarwood-sandalwood"/>
    <hyperlink ref="D62" r:id="rId109" display="https://striking-viking.com/cdn/shop/files/preview_images/48bcbed35d964c5e8dffe8424e4076a8.thumbnail.0000000000_1024x1024.jpg?v=1786601016"/>
    <hyperlink ref="C63" r:id="rId110" display="https://striking-viking.com/products/sandalwood-wooden-beard-comb-black-striking-viking"/>
    <hyperlink ref="D63" r:id="rId111" display="https://striking-viking.com/cdn/shop/files/preview_images/630e16646ea940d38a7dbfb0a14c8ee6.thumbnail.0000000000_1024x1024.jpg?v=1786617599"/>
    <hyperlink ref="C64" r:id="rId112" display="https://striking-viking.com/en-ca/products/striking-viking-beard-growth-oil-with-biotin-sandalwood"/>
    <hyperlink ref="D64" r:id="rId113" display="https://striking-viking.com/cdn/shop/files/preview_images/032fdd356ead42c19de3ca802ac3a37b.thumbnail.0000000000_1024x1024.jpg?v=1786599587"/>
    <hyperlink ref="C65" r:id="rId114" display="https://striking-viking.com/products/striking-viking-sandalwood-beard-oil"/>
    <hyperlink ref="D65" r:id="rId115" display="https://striking-viking.com/cdn/shop/files/preview_images/694214d8b7b34d50be83f74012b962d8.thumbnail.0000000000_1024x1024.jpg?v=1786601440"/>
    <hyperlink ref="C66" r:id="rId116" display="https://striking-viking.com/en-ca/products/striking-viking-sandalwood-wooden-beard-comb-brown"/>
    <hyperlink ref="D66" r:id="rId117" display="https://striking-viking.com/cdn/shop/files/preview_images/32f6dad1813c4e97ac84d74390b8e3ba.thumbnail.0000000000_1024x1024.jpg?v=1786604633"/>
    <hyperlink ref="C67" r:id="rId118" display="https://striking-viking.com/de/products/bartpflege"/>
    <hyperlink ref="D67" r:id="rId119" display="https://striking-viking.com/cdn/shop/files/preview_images/5ccb603517a94a8fbc089e8b0a2c2fb4.thumbnail.0000000000_1024x1024.jpg?v=1786600783"/>
    <hyperlink ref="C68" r:id="rId120" display="https://striking-viking.com/en-ca/products/striking-viking-unscented-beard-oil-natural-organic-beard-care"/>
    <hyperlink ref="D68" r:id="rId121" display="https://striking-viking.com/cdn/shop/files/preview_images/8a045c5fae8942ea962f142b6e25d24a.thumbnail.0000000000_1024x1024.jpg?v=1786610842"/>
    <hyperlink ref="C69" r:id="rId122" display="https://striking-viking.com/es/products/striking-viking-wooden-beard-care-caddy-board-only"/>
    <hyperlink ref="D69" r:id="rId123" display="https://striking-viking.com/cdn/shop/files/preview_images/5ccb603517a94a8fbc089e8b0a2c2fb4.thumbnail.0000000000_1024x1024.jpg?v=1786600783"/>
    <hyperlink ref="C70" r:id="rId124" display="https://striking-viking.com/en-gb/products/striking-viking-beard-shampoo-with-natural-peppermint-eucalyptus-for-refreshing-beard-care"/>
    <hyperlink ref="D70" r:id="rId125" display="https://striking-viking.com/cdn/shop/files/preview_images/133175d72f9a4cf5aaecad8194713d87.thumbnail.0000000000_1024x1024.jpg?v=1783943838"/>
    <hyperlink ref="C71" r:id="rId126" display="https://striking-viking.com/en-ca/products/striking-viking-folding-wooden-comb-sandalwood-beard-hair-comb"/>
    <hyperlink ref="D71" r:id="rId127" display="https://striking-viking.com/cdn/shop/files/preview_images/3b2d1290045c417e8b589a319a2e2fbf.thumbnail.0000000000_1024x1024.jpg?v=1786616279"/>
    <hyperlink ref="C72" r:id="rId128" display="https://striking-viking.com/products/striking-viking-sandalwood-wooden-beard-comb-brown"/>
    <hyperlink ref="D72" r:id="rId129" display="https://striking-viking.com/cdn/shop/files/preview_images/32f6dad1813c4e97ac84d74390b8e3ba.thumbnail.0000000000_1024x1024.jpg?v=1786604633"/>
    <hyperlink ref="C73" r:id="rId130" display="https://striking-viking.com/it/products/striking-viking-folding-wooden-comb-sandalwood-beard-hair-comb"/>
    <hyperlink ref="D73" r:id="rId131" display="https://striking-viking.com/cdn/shop/files/preview_images/3b2d1290045c417e8b589a319a2e2fbf.thumbnail.0000000000_1024x1024.jpg?v=1786616279"/>
    <hyperlink ref="C74" r:id="rId132" display="https://striking-viking.com/products/striking-viking-beard-oil-variety-4-pack-citrus-vanilla-cedarwood-sandalwood"/>
    <hyperlink ref="D74" r:id="rId133" display="https://striking-viking.com/cdn/shop/files/preview_images/2aac013d604940b58d3cb008c2f75bb9.thumbnail.0000000000_1024x1024.jpg?v=1786600897"/>
    <hyperlink ref="C75" r:id="rId134" display="https://striking-viking.com/products/striking-viking-beard-balm-variety-4-pack-citrus-vanilla-cedarwood-sandalwood"/>
    <hyperlink ref="D75" r:id="rId135" display="https://striking-viking.com/cdn/shop/files/preview_images/48bcbed35d964c5e8dffe8424e4076a8.thumbnail.0000000000_1024x1024.jpg?v=1786601016"/>
    <hyperlink ref="C76" r:id="rId136" display="https://striking-viking.com/it/products/striking-viking-cedarwood-beard-oil"/>
    <hyperlink ref="D76" r:id="rId137" display="https://striking-viking.com/cdn/shop/files/preview_images/06fa7414903d4ace94cbe4e096befa28.thumbnail.0000000000_1024x1024.jpg?v=1786601229"/>
    <hyperlink ref="C77" r:id="rId138" display="https://striking-viking.com/en-gb/products/striking-viking-beard-balm-variety-4-pack-citrus-vanilla-cedarwood-sandalwood"/>
    <hyperlink ref="D77" r:id="rId139" display="https://striking-viking.com/cdn/shop/files/preview_images/48bcbed35d964c5e8dffe8424e4076a8.thumbnail.0000000000_1024x1024.jpg?v=1786601016"/>
    <hyperlink ref="C78" r:id="rId140" display="https://striking-viking.com/it/products/striking-viking-wooden-beard-care-caddy-board-only"/>
    <hyperlink ref="D78" r:id="rId141" display="https://striking-viking.com/cdn/shop/files/preview_images/5ccb603517a94a8fbc089e8b0a2c2fb4.thumbnail.0000000000_1024x1024.jpg?v=1786600783"/>
    <hyperlink ref="C79" r:id="rId142" display="https://striking-viking.com/en-ca/products/striking-viking-cedarwood-beard-balm"/>
    <hyperlink ref="D79" r:id="rId143" display="https://striking-viking.com/cdn/shop/files/preview_images/c89d3523362c428dade03256b113e919.thumbnail.0000000000_1024x1024.jpg?v=1786600350"/>
    <hyperlink ref="C80" r:id="rId144" display="https://striking-viking.com/de/products/striking-viking-sandalwood-wooden-beard-comb-brown"/>
    <hyperlink ref="D80" r:id="rId145" display="https://striking-viking.com/cdn/shop/files/preview_images/32f6dad1813c4e97ac84d74390b8e3ba.thumbnail.0000000000_1024x1024.jpg?v=1786604633"/>
    <hyperlink ref="C81" r:id="rId146" display="https://striking-viking.com/it/products/striking-viking-beard-growth-oil-with-biotin-sandalwood"/>
    <hyperlink ref="D81" r:id="rId147" display="https://striking-viking.com/cdn/shop/files/preview_images/032fdd356ead42c19de3ca802ac3a37b.thumbnail.0000000000_1024x1024.jpg?v=1786599587"/>
    <hyperlink ref="C82" r:id="rId148" display="https://striking-viking.com/fr/products/striking-viking-vanilla-beard-balm"/>
    <hyperlink ref="D82" r:id="rId149" display="https://striking-viking.com/cdn/shop/files/preview_images/654292f4a09e42b6b95c9ef48340e293.thumbnail.0000000000_1024x1024.jpg?v=1786600236"/>
    <hyperlink ref="C83" r:id="rId150" display="https://striking-viking.com/products/striking-viking-beard-shampoo-conditioner-cologne-argan-jojoba-oil"/>
    <hyperlink ref="D83" r:id="rId151" display="https://striking-viking.com/cdn/shop/files/preview_images/223d982d630541b8bca51e5de6c59550.thumbnail.0000000000_1024x1024.jpg?v=1786603784"/>
    <hyperlink ref="C84" r:id="rId152" display="https://striking-viking.com/en-gb/products/striking-viking-sandalwood-beard-balm"/>
    <hyperlink ref="D84" r:id="rId153" display="https://striking-viking.com/cdn/shop/files/preview_images/61498a206a02426392439b9e42809c58.thumbnail.0000000000_1024x1024.jpg?v=1786600477"/>
    <hyperlink ref="C85" r:id="rId154" display="https://striking-viking.com/en-ca/products/striking-viking-unscented-beard-balm-natural-beard-styling-conditioning"/>
    <hyperlink ref="D85" r:id="rId155" display="https://striking-viking.com/cdn/shop/files/preview_images/0ebc618aebb84e839189ab492bd964c1.thumbnail.0000000000_1024x1024.jpg?v=1786615713"/>
    <hyperlink ref="C86" r:id="rId156" display="https://striking-viking.com/fr/products/striking-viking-beard-shampoo-conditioner-cologne-argan-jojoba-oil"/>
    <hyperlink ref="D86" r:id="rId157" display="https://striking-viking.com/cdn/shop/files/preview_images/223d982d630541b8bca51e5de6c59550.thumbnail.0000000000_1024x1024.jpg?v=1786603784"/>
    <hyperlink ref="C87" r:id="rId158" display="https://striking-viking.com/products/striking-viking-unscented-beard-butter-for-moisturizing-softening-daily-beard-care"/>
    <hyperlink ref="D87" r:id="rId159" display="https://striking-viking.com/cdn/shop/files/preview_images/e5633e001a744211bc5b12bd22e9862c.thumbnail.0000000000_1024x1024.jpg?v=1783945120"/>
    <hyperlink ref="C88" r:id="rId160" display="https://striking-viking.com/de/products/bartkamm"/>
    <hyperlink ref="D88" r:id="rId161" display="https://striking-viking.com/cdn/shop/files/preview_images/630e16646ea940d38a7dbfb0a14c8ee6.thumbnail.0000000000_1024x1024.jpg?v=1786617599"/>
    <hyperlink ref="C89" r:id="rId162" display="https://striking-viking.com/products/striking-viking-cedarwood-beard-balm"/>
    <hyperlink ref="D89" r:id="rId163" display="https://striking-viking.com/cdn/shop/files/preview_images/c89d3523362c428dade03256b113e919.thumbnail.0000000000_1024x1024.jpg?v=1786600350"/>
    <hyperlink ref="C90" r:id="rId164" display="https://striking-viking.com/products/striking-viking-vanilla-beard-balm"/>
    <hyperlink ref="D90" r:id="rId165" display="https://striking-viking.com/cdn/shop/files/preview_images/654292f4a09e42b6b95c9ef48340e293.thumbnail.0000000000_1024x1024.jpg?v=1786600236"/>
    <hyperlink ref="C91" r:id="rId166" display="https://striking-viking.com/de/products/bartol-zedernholz"/>
    <hyperlink ref="D91" r:id="rId167" display="https://striking-viking.com/cdn/shop/files/preview_images/06fa7414903d4ace94cbe4e096befa28.thumbnail.0000000000_1024x1024.jpg?v=1786601229"/>
    <hyperlink ref="C92" r:id="rId168" display="https://striking-viking.com/fr/products/striking-viking-sandalwood-wooden-beard-comb-brown"/>
    <hyperlink ref="D92" r:id="rId169" display="https://striking-viking.com/cdn/shop/files/preview_images/32f6dad1813c4e97ac84d74390b8e3ba.thumbnail.0000000000_1024x1024.jpg?v=1786604633"/>
    <hyperlink ref="C93" r:id="rId170" display="https://striking-viking.com/fr/products/striking-viking-folding-wooden-comb-sandalwood-beard-hair-comb"/>
    <hyperlink ref="D93" r:id="rId171" display="https://striking-viking.com/cdn/shop/files/preview_images/3b2d1290045c417e8b589a319a2e2fbf.thumbnail.0000000000_1024x1024.jpg?v=1786616279"/>
    <hyperlink ref="C94" r:id="rId172" display="https://striking-viking.com/fr/products/striking-viking-cedarwood-beard-oil"/>
    <hyperlink ref="D94" r:id="rId173" display="https://striking-viking.com/cdn/shop/files/preview_images/06fa7414903d4ace94cbe4e096befa28.thumbnail.0000000000_1024x1024.jpg?v=1786601229"/>
    <hyperlink ref="C95" r:id="rId174" display="https://striking-viking.com/de/products/bartshampoo-und-spulung"/>
    <hyperlink ref="D95" r:id="rId175" display="https://striking-viking.com/cdn/shop/files/preview_images/223d982d630541b8bca51e5de6c59550.thumbnail.0000000000_1024x1024.jpg?v=1786603784"/>
    <hyperlink ref="C96" r:id="rId176" display="https://striking-viking.com/en-ca/products/sandalwood-wooden-beard-comb-black-striking-viking"/>
    <hyperlink ref="D96" r:id="rId177" display="https://striking-viking.com/cdn/shop/files/preview_images/630e16646ea940d38a7dbfb0a14c8ee6.thumbnail.0000000000_1024x1024.jpg?v=1786617599"/>
    <hyperlink ref="C97" r:id="rId178" display="https://striking-viking.com/en-ca/products/striking-viking-unscented-beard-butter-for-moisturizing-softening-daily-beard-care"/>
    <hyperlink ref="D97" r:id="rId179" display="https://striking-viking.com/cdn/shop/files/preview_images/e5633e001a744211bc5b12bd22e9862c.thumbnail.0000000000_1024x1024.jpg?v=1783945120"/>
    <hyperlink ref="C98" r:id="rId180" display="https://striking-viking.com/de/products/bartbalsam-vielfalt-set"/>
    <hyperlink ref="D98" r:id="rId181" display="https://striking-viking.com/cdn/shop/files/preview_images/48bcbed35d964c5e8dffe8424e4076a8.thumbnail.0000000000_1024x1024.jpg?v=1786601016"/>
    <hyperlink ref="C99" r:id="rId182" display="https://striking-viking.com/de/products/bartol-vielfalt-set"/>
    <hyperlink ref="D99" r:id="rId183" display="https://striking-viking.com/cdn/shop/files/preview_images/2aac013d604940b58d3cb008c2f75bb9.thumbnail.0000000000_1024x1024.jpg?v=1786600897"/>
    <hyperlink ref="C100" r:id="rId184" display="https://striking-viking.com/it/products/striking-viking-sandalwood-wooden-beard-comb-brown"/>
    <hyperlink ref="D100" r:id="rId185" display="https://striking-viking.com/cdn/shop/files/preview_images/32f6dad1813c4e97ac84d74390b8e3ba.thumbnail.0000000000_1024x1024.jpg?v=1786604633"/>
    <hyperlink ref="C101" r:id="rId186" display="https://striking-viking.com/en-gb/products/striking-viking-beard-shampoo-conditioner-cologne-argan-jojoba-oil"/>
    <hyperlink ref="D101" r:id="rId187" display="https://striking-viking.com/cdn/shop/files/preview_images/223d982d630541b8bca51e5de6c59550.thumbnail.0000000000_1024x1024.jpg?v=1786603784"/>
    <hyperlink ref="C102" r:id="rId188" display="https://striking-viking.com/en-ca/products/striking-viking-cedarwood-beard-oil"/>
    <hyperlink ref="D102" r:id="rId189" display="https://striking-viking.com/cdn/shop/files/preview_images/06fa7414903d4ace94cbe4e096befa28.thumbnail.0000000000_1024x1024.jpg?v=1786601229"/>
    <hyperlink ref="C103" r:id="rId190" display="https://striking-viking.com/it/products/striking-viking-beard-shampoo-conditioner-cologne-argan-jojoba-oil"/>
    <hyperlink ref="D103" r:id="rId191" display="https://striking-viking.com/cdn/shop/files/preview_images/223d982d630541b8bca51e5de6c59550.thumbnail.0000000000_1024x1024.jpg?v=1786603784"/>
    <hyperlink ref="C104" r:id="rId192" display="https://striking-viking.com/de/products/klappbarer-holzkamm"/>
    <hyperlink ref="D104" r:id="rId193" display="https://striking-viking.com/cdn/shop/files/preview_images/3b2d1290045c417e8b589a319a2e2fbf.thumbnail.0000000000_1024x1024.jpg?v=1786616279"/>
    <hyperlink ref="C105" r:id="rId194" display="https://striking-viking.com/en-ca/products/striking-viking-vanilla-beard-balm"/>
    <hyperlink ref="D105" r:id="rId195" display="https://striking-viking.com/cdn/shop/files/preview_images/654292f4a09e42b6b95c9ef48340e293.thumbnail.0000000000_1024x1024.jpg?v=1786600236"/>
    <hyperlink ref="C106" r:id="rId196" display="https://striking-viking.com/products/charlemagne-original-hair-pomade-for-men-strong-hold-water-based-styling-pomade-100ml"/>
    <hyperlink ref="D106" r:id="rId197" display="https://striking-viking.com/cdn/shop/files/preview_images/ea71e2ed828246ed942cb9b167fb5a7e.thumbnail.0000000000_1024x1024.jpg?v=1783948364"/>
    <hyperlink ref="C107" r:id="rId198" display="https://striking-viking.com/en-ca/products/charlemagne-carbon-wide-tooth-comb-for-men-heat-resistant-carbon-fiber-hair-comb"/>
    <hyperlink ref="D107" r:id="rId199" display="https://striking-viking.com/cdn/shop/files/preview_images/ea71e2ed828246ed942cb9b167fb5a7e.thumbnail.0000000000_1024x1024.jpg?v=1783948364"/>
    <hyperlink ref="C108" r:id="rId200" display="https://striking-viking.com/sv/products/striking-viking-beard-oil-variety-4-pack-citrus-vanilla-cedarwood-sandalwood"/>
    <hyperlink ref="D108" r:id="rId201" display="https://striking-viking.com/cdn/shop/files/preview_images/2aac013d604940b58d3cb008c2f75bb9.thumbnail.0000000000_1024x1024.jpg?v=1786600897"/>
    <hyperlink ref="C109" r:id="rId202" display="https://striking-viking.com/fr/products/striking-viking-beard-oil-variety-4-pack-citrus-vanilla-cedarwood-sandalwood"/>
    <hyperlink ref="D109" r:id="rId203" display="https://striking-viking.com/cdn/shop/files/preview_images/2aac013d604940b58d3cb008c2f75bb9.thumbnail.0000000000_1024x1024.jpg?v=1786600897"/>
    <hyperlink ref="C110" r:id="rId204" display="https://striking-viking.com/fr/products/sandalwood-wooden-beard-comb-black-striking-viking"/>
    <hyperlink ref="D110" r:id="rId205" display="https://striking-viking.com/cdn/shop/files/preview_images/630e16646ea940d38a7dbfb0a14c8ee6.thumbnail.0000000000_1024x1024.jpg?v=1786617599"/>
    <hyperlink ref="C111" r:id="rId206" display="https://striking-viking.com/en-gb/products/striking-viking-folding-wooden-comb-sandalwood-beard-hair-comb"/>
    <hyperlink ref="D111" r:id="rId207" display="https://striking-viking.com/cdn/shop/files/preview_images/3b2d1290045c417e8b589a319a2e2fbf.thumbnail.0000000000_1024x1024.jpg?v=1786616279"/>
    <hyperlink ref="C112" r:id="rId208" display="https://striking-viking.com/fr/products/striking-viking-beard-balm-variety-4-pack-citrus-vanilla-cedarwood-sandalwood"/>
    <hyperlink ref="D112" r:id="rId209" display="https://striking-viking.com/cdn/shop/files/preview_images/48bcbed35d964c5e8dffe8424e4076a8.thumbnail.0000000000_1024x1024.jpg?v=1786601016"/>
    <hyperlink ref="C113" r:id="rId210" display="https://striking-viking.com/de/products/bartbalsam-manner"/>
    <hyperlink ref="D113" r:id="rId211" display="https://striking-viking.com/cdn/shop/files/preview_images/654292f4a09e42b6b95c9ef48340e293.thumbnail.0000000000_1024x1024.jpg?v=1786600236"/>
    <hyperlink ref="C114" r:id="rId212" display="https://striking-viking.com/it/products/sandalwood-wooden-beard-comb-black-striking-viking"/>
    <hyperlink ref="D114" r:id="rId213" display="https://striking-viking.com/cdn/shop/files/preview_images/630e16646ea940d38a7dbfb0a14c8ee6.thumbnail.0000000000_1024x1024.jpg?v=1786617599"/>
    <hyperlink ref="C115" r:id="rId214" display="https://striking-viking.com/fr-ca/products/striking-viking-mustache-wax-and-comb-kit"/>
    <hyperlink ref="D115" r:id="rId215" display="https://striking-viking.com/cdn/shop/files/preview_images/bbf7ac2d6bcb4e9781033073d3e04183.thumbnail.0000000000_1024x1024.jpg?v=1786599449"/>
    <hyperlink ref="C116" r:id="rId216" display="https://striking-viking.com/products/striking-viking-beard-filler-pen-2-pack-waterproof-beard-pen-for-filling-gaps-covering-patches?variant=40283191017526"/>
    <hyperlink ref="D116" r:id="rId217" display="https://striking-viking.com/cdn/shop/files/preview_images/49129432d5d543f2b09f1e3faab28f4a.thumbnail.0000000000_1024x1024.jpg?v=1786599719"/>
    <hyperlink ref="C117" r:id="rId218" display="https://striking-viking.com/products/striking-viking-beard-filler-pen-2-pack-waterproof-beard-pen-for-filling-gaps-covering-patches?variant=51787893113174"/>
    <hyperlink ref="D117" r:id="rId219" display="https://striking-viking.com/cdn/shop/files/preview_images/49129432d5d543f2b09f1e3faab28f4a.thumbnail.0000000000_1024x1024.jpg?v=1786599719"/>
    <hyperlink ref="C118" r:id="rId220" display="https://striking-viking.com/products/striking-viking-beard-filler-pen-2-pack-waterproof-beard-pen-for-filling-gaps-covering-patches?variant=50685199712598"/>
    <hyperlink ref="D118" r:id="rId221" display="https://striking-viking.com/cdn/shop/files/preview_images/49129432d5d543f2b09f1e3faab28f4a.thumbnail.0000000000_1024x1024.jpg?v=1786599719"/>
    <hyperlink ref="C119" r:id="rId222" display="https://striking-viking.com/products/striking-viking-beard-filler-pen-2-pack-waterproof-beard-pen-for-filling-gaps-covering-patches?variant=50685239787862"/>
    <hyperlink ref="D119" r:id="rId223" display="https://striking-viking.com/cdn/shop/files/preview_images/49129432d5d543f2b09f1e3faab28f4a.thumbnail.0000000000_1024x1024.jpg?v=1786599719"/>
    <hyperlink ref="C120" r:id="rId224" display="https://striking-viking.com/products/striking-viking-beard-filler-pen-2-pack-waterproof-beard-pen-for-filling-gaps-covering-patches?variant=40283199242294"/>
    <hyperlink ref="D120" r:id="rId225" display="https://striking-viking.com/cdn/shop/files/preview_images/49129432d5d543f2b09f1e3faab28f4a.thumbnail.0000000000_1024x1024.jpg?v=1786599719"/>
    <hyperlink ref="C121" r:id="rId226" display="https://striking-viking.com/fr-ca"/>
    <hyperlink ref="C122" r:id="rId227" display="https://striking-viking.com/products/striking-viking-beard-filler-pen-2-pack-waterproof-beard-pen-for-filling-gaps-covering-patches?variant=50685239755094"/>
    <hyperlink ref="D122" r:id="rId228" display="https://striking-viking.com/cdn/shop/files/preview_images/49129432d5d543f2b09f1e3faab28f4a.thumbnail.0000000000_1024x1024.jpg?v=1786599719"/>
    <hyperlink ref="C123" r:id="rId229" display="https://striking-viking.com/fr-ca/products/striking-viking-wooden-beard-care-caddy-board-only"/>
    <hyperlink ref="D123" r:id="rId230" display="https://striking-viking.com/cdn/shop/files/preview_images/5ccb603517a94a8fbc089e8b0a2c2fb4.thumbnail.0000000000_1024x1024.jpg?v=1786600783"/>
    <hyperlink ref="C124" r:id="rId231" display="https://striking-viking.com/sv/products/striking-viking-beard-kit-caddy-complete-beard-grooming-kit"/>
    <hyperlink ref="D124" r:id="rId232" display="https://striking-viking.com/cdn/shop/files/preview_images/ba5feb9f783d4fa1adb23a394602c871.thumbnail.0000000000_1024x1024.jpg?v=1786599826"/>
    <hyperlink ref="C125" r:id="rId233" display="https://striking-viking.com/fr-ca/products/striking-viking-beard-filler-pen-2-pack-waterproof-beard-pen-for-filling-gaps-covering-patches"/>
    <hyperlink ref="D125" r:id="rId234" display="https://striking-viking.com/cdn/shop/files/preview_images/49129432d5d543f2b09f1e3faab28f4a.thumbnail.0000000000_1024x1024.jpg?v=1786599719"/>
    <hyperlink ref="C126" r:id="rId235" display="https://striking-viking.com/fr-ca/products/striking-viking-beard-kit-caddy-complete-beard-grooming-kit"/>
    <hyperlink ref="D126" r:id="rId236" display="https://striking-viking.com/cdn/shop/files/preview_images/ba5feb9f783d4fa1adb23a394602c871.thumbnail.0000000000_1024x1024.jpg?v=1786599826"/>
    <hyperlink ref="C127" r:id="rId237" display="https://striking-viking.com/sv/products/striking-viking-wooden-beard-care-caddy-board-only"/>
    <hyperlink ref="D127" r:id="rId238" display="https://striking-viking.com/cdn/shop/files/preview_images/5ccb603517a94a8fbc089e8b0a2c2fb4.thumbnail.0000000000_1024x1024.jpg?v=1786600783"/>
    <hyperlink ref="C128" r:id="rId239" display="https://striking-viking.com/sv/products/striking-viking-beard-filler-pen-2-pack-waterproof-beard-pen-for-filling-gaps-covering-patches"/>
    <hyperlink ref="D128" r:id="rId240" display="https://striking-viking.com/cdn/shop/files/preview_images/49129432d5d543f2b09f1e3faab28f4a.thumbnail.0000000000_1024x1024.jpg?v=1786599719"/>
    <hyperlink ref="C129" r:id="rId241" display="https://striking-viking.com/fi/products/striking-viking-cedarwood-beard-balm"/>
    <hyperlink ref="D129" r:id="rId242" display="https://striking-viking.com/cdn/shop/files/preview_images/c89d3523362c428dade03256b113e919.thumbnail.0000000000_1024x1024.jpg?v=1786600350"/>
    <hyperlink ref="C130" r:id="rId243" display="https://striking-viking.com/sv/products/striking-viking-unscented-beard-oil-natural-organic-beard-care"/>
    <hyperlink ref="D130" r:id="rId244" display="https://striking-viking.com/cdn/shop/files/preview_images/8a045c5fae8942ea962f142b6e25d24a.thumbnail.0000000000_1024x1024.jpg?v=1786610842"/>
    <hyperlink ref="C131" r:id="rId245" display="https://striking-viking.com/no/products/striking-viking-sandalwood-beard-balm"/>
    <hyperlink ref="D131" r:id="rId246" display="https://striking-viking.com/cdn/shop/files/preview_images/61498a206a02426392439b9e42809c58.thumbnail.0000000000_1024x1024.jpg?v=1786600477"/>
    <hyperlink ref="C132" r:id="rId247" display="https://striking-viking.com/no/products/striking-viking-sandalwood-beard-oil"/>
    <hyperlink ref="D132" r:id="rId248" display="https://striking-viking.com/cdn/shop/files/preview_images/694214d8b7b34d50be83f74012b962d8.thumbnail.0000000000_1024x1024.jpg?v=1786601440"/>
    <hyperlink ref="C133" r:id="rId249" display="https://striking-viking.com/de/blogs/learn/41241281-the-dude"/>
    <hyperlink ref="C134" r:id="rId250" display="https://striking-viking.com/fi/products/striking-viking-beard-shampoo-conditioner-cologne-argan-jojoba-oil"/>
    <hyperlink ref="D134" r:id="rId251" display="https://striking-viking.com/cdn/shop/files/preview_images/223d982d630541b8bca51e5de6c59550.thumbnail.0000000000_1024x1024.jpg?v=1786603784"/>
    <hyperlink ref="C135" r:id="rId252" display="https://striking-viking.com/fi/products/charlemagne-carbon-hair-comb-for-men-professional-heat-resistant-styling-detangling-comb"/>
    <hyperlink ref="D135" r:id="rId253" display="https://striking-viking.com/cdn/shop/files/preview_images/ea71e2ed828246ed942cb9b167fb5a7e.thumbnail.0000000000_1024x1024.jpg?v=1783948364"/>
    <hyperlink ref="C136" r:id="rId254" display="https://striking-viking.com/en-gb/blogs/learn/41234689-brian-wilson"/>
    <hyperlink ref="C137" r:id="rId255" display="https://striking-viking.com/es/products/charlemagne-carbon-hair-comb-for-men-professional-heat-resistant-styling-detangling-comb"/>
    <hyperlink ref="D137" r:id="rId256" display="https://striking-viking.com/cdn/shop/files/preview_images/ea71e2ed828246ed942cb9b167fb5a7e.thumbnail.0000000000_1024x1024.jpg?v=1783948364"/>
    <hyperlink ref="C138" r:id="rId257" display="https://striking-viking.com/es/products/charlemagne-round-hair-brush-for-men-professional-styling-brush-for-volume-blow-drying"/>
    <hyperlink ref="D138" r:id="rId258" display="https://striking-viking.com/cdn/shop/files/preview_images/ea71e2ed828246ed942cb9b167fb5a7e.thumbnail.0000000000_1024x1024.jpg?v=1783948364"/>
    <hyperlink ref="C139" r:id="rId259" display="https://striking-viking.com/sv/products/charlemagne-original-hair-pomade-for-men-strong-hold-water-based-styling-pomade-100ml"/>
    <hyperlink ref="D139" r:id="rId260" display="https://striking-viking.com/cdn/shop/files/preview_images/ea71e2ed828246ed942cb9b167fb5a7e.thumbnail.0000000000_1024x1024.jpg?v=1783948364"/>
    <hyperlink ref="C140" r:id="rId261" display="https://striking-viking.com/fi/products/charlemagne-round-hair-brush-for-men-professional-styling-brush-for-volume-blow-drying"/>
    <hyperlink ref="D140" r:id="rId262" display="https://striking-viking.com/cdn/shop/files/preview_images/ea71e2ed828246ed942cb9b167fb5a7e.thumbnail.0000000000_1024x1024.jpg?v=1783948364"/>
    <hyperlink ref="C141" r:id="rId263" display="https://striking-viking.com/fi/products/striking-viking-beard-balm-variety-4-pack-citrus-vanilla-cedarwood-sandalwood"/>
    <hyperlink ref="D141" r:id="rId264" display="https://striking-viking.com/cdn/shop/files/preview_images/48bcbed35d964c5e8dffe8424e4076a8.thumbnail.0000000000_1024x1024.jpg?v=1786601016"/>
    <hyperlink ref="C142" r:id="rId265" display="https://striking-viking.com/fi/products/charlemagne-original-hair-pomade-for-men-strong-hold-water-based-styling-pomade-100ml"/>
    <hyperlink ref="D142" r:id="rId266" display="https://striking-viking.com/cdn/shop/files/preview_images/ea71e2ed828246ed942cb9b167fb5a7e.thumbnail.0000000000_1024x1024.jpg?v=1783948364"/>
    <hyperlink ref="C143" r:id="rId267" display="https://striking-viking.com/no/products/striking-viking-citrus-beard-balm"/>
    <hyperlink ref="D143" r:id="rId268" display="https://striking-viking.com/cdn/shop/files/preview_images/54420569ea0440298c3f837092838622.thumbnail.0000000000_1024x1024.jpg?v=1786600582"/>
    <hyperlink ref="C144" r:id="rId269" display="https://striking-viking.com/it/products/striking-viking-unscented-beard-butter-for-moisturizing-softening-daily-beard-care"/>
    <hyperlink ref="D144" r:id="rId270" display="https://striking-viking.com/cdn/shop/files/preview_images/e5633e001a744211bc5b12bd22e9862c.thumbnail.0000000000_1024x1024.jpg?v=1783945120"/>
    <hyperlink ref="C145" r:id="rId271" display="https://striking-viking.com/products/charlemagne-carbon-hair-comb-for-men-professional-heat-resistant-styling-detangling-comb"/>
    <hyperlink ref="D145" r:id="rId272" display="https://striking-viking.com/cdn/shop/files/preview_images/ea71e2ed828246ed942cb9b167fb5a7e.thumbnail.0000000000_1024x1024.jpg?v=1783948364"/>
    <hyperlink ref="C146" r:id="rId273" display="https://striking-viking.com/sv/products/charlemagne-carbon-wide-tooth-comb-for-men-heat-resistant-carbon-fiber-hair-comb"/>
    <hyperlink ref="D146" r:id="rId274" display="https://striking-viking.com/cdn/shop/files/preview_images/ea71e2ed828246ed942cb9b167fb5a7e.thumbnail.0000000000_1024x1024.jpg?v=1783948364"/>
    <hyperlink ref="C147" r:id="rId275" display="https://striking-viking.com/de/products/bartbalsam"/>
    <hyperlink ref="D147" r:id="rId276" display="https://striking-viking.com/cdn/shop/files/preview_images/61498a206a02426392439b9e42809c58.thumbnail.0000000000_1024x1024.jpg?v=1786600477"/>
    <hyperlink ref="C148" r:id="rId277" display="https://striking-viking.com/en-ca/blogs/learn/41234689-brian-wilson"/>
    <hyperlink ref="C149" r:id="rId278" display="https://striking-viking.com/no/products/striking-viking-folding-wooden-comb-sandalwood-beard-hair-comb"/>
    <hyperlink ref="D149" r:id="rId279" display="https://striking-viking.com/cdn/shop/files/preview_images/3b2d1290045c417e8b589a319a2e2fbf.thumbnail.0000000000_1024x1024.jpg?v=1786616279"/>
    <hyperlink ref="C150" r:id="rId280" display="https://striking-viking.com/en-ca/products/charlemagne-round-hair-brush-for-men-professional-styling-brush-for-volume-blow-drying"/>
    <hyperlink ref="D150" r:id="rId281" display="https://striking-viking.com/cdn/shop/files/preview_images/ea71e2ed828246ed942cb9b167fb5a7e.thumbnail.0000000000_1024x1024.jpg?v=1783948364"/>
    <hyperlink ref="C151" r:id="rId282" display="https://striking-viking.com/fr/products/striking-viking-unscented-beard-oil-natural-organic-beard-care"/>
    <hyperlink ref="D151" r:id="rId283" display="https://striking-viking.com/cdn/shop/files/preview_images/8a045c5fae8942ea962f142b6e25d24a.thumbnail.0000000000_1024x1024.jpg?v=1786610842"/>
    <hyperlink ref="C152" r:id="rId284" display="https://striking-viking.com/de/products/bartol-sandelholz"/>
    <hyperlink ref="D152" r:id="rId285" display="https://striking-viking.com/cdn/shop/files/preview_images/694214d8b7b34d50be83f74012b962d8.thumbnail.0000000000_1024x1024.jpg?v=1786601440"/>
    <hyperlink ref="C153" r:id="rId286" display="https://striking-viking.com/fr-ca/products/striking-viking-beard-growth-oil-with-biotin-sandalwood"/>
    <hyperlink ref="D153" r:id="rId287" display="https://striking-viking.com/cdn/shop/files/preview_images/032fdd356ead42c19de3ca802ac3a37b.thumbnail.0000000000_1024x1024.jpg?v=1786599587"/>
    <hyperlink ref="C154" r:id="rId288" display="https://striking-viking.com/de/products/bartwasche-pfefferminze"/>
    <hyperlink ref="D154" r:id="rId289" display="https://striking-viking.com/cdn/shop/files/preview_images/133175d72f9a4cf5aaecad8194713d87.thumbnail.0000000000_1024x1024.jpg?v=1783943838"/>
    <hyperlink ref="C155" r:id="rId290" display="https://striking-viking.com/products/striking-viking-citrus-beard-balm"/>
    <hyperlink ref="D155" r:id="rId291" display="https://striking-viking.com/cdn/shop/files/preview_images/54420569ea0440298c3f837092838622.thumbnail.0000000000_1024x1024.jpg?v=1786600582"/>
    <hyperlink ref="C156" r:id="rId292" display="https://striking-viking.com/products/striking-viking-sandalwood-beard-balm"/>
    <hyperlink ref="D156" r:id="rId293" display="https://striking-viking.com/cdn/shop/files/preview_images/61498a206a02426392439b9e42809c58.thumbnail.0000000000_1024x1024.jpg?v=1786600477"/>
    <hyperlink ref="C157" r:id="rId294" display="https://striking-viking.com/es/products/striking-viking-beard-growth-oil-with-biotin-sandalwood"/>
    <hyperlink ref="D157" r:id="rId295" display="https://striking-viking.com/cdn/shop/files/preview_images/032fdd356ead42c19de3ca802ac3a37b.thumbnail.0000000000_1024x1024.jpg?v=1786599587"/>
    <hyperlink ref="C158" r:id="rId296" display="https://striking-viking.com/en-ca/products/charlemagne-original-hair-pomade-for-men-strong-hold-water-based-styling-pomade-100ml"/>
    <hyperlink ref="D158" r:id="rId297" display="https://striking-viking.com/cdn/shop/files/preview_images/ea71e2ed828246ed942cb9b167fb5a7e.thumbnail.0000000000_1024x1024.jpg?v=1783948364"/>
    <hyperlink ref="C159" r:id="rId298" display="https://striking-viking.com/it/products/charlemagne-carbon-hair-comb-for-men-professional-heat-resistant-styling-detangling-comb"/>
    <hyperlink ref="D159" r:id="rId299" display="https://striking-viking.com/cdn/shop/files/preview_images/ea71e2ed828246ed942cb9b167fb5a7e.thumbnail.0000000000_1024x1024.jpg?v=1783948364"/>
    <hyperlink ref="C160" r:id="rId300" display="https://striking-viking.com/it/products/striking-viking-citrus-beard-oil"/>
    <hyperlink ref="D160" r:id="rId301" display="https://striking-viking.com/cdn/shop/files/preview_images/59360cd09ea240a0b2661030d5829c72.thumbnail.0000000000_1024x1024.jpg?v=1786601332"/>
    <hyperlink ref="C161" r:id="rId302" display="https://striking-viking.com/es/products/striking-viking-cedarwood-beard-balm"/>
    <hyperlink ref="D161" r:id="rId303" display="https://striking-viking.com/cdn/shop/files/preview_images/c89d3523362c428dade03256b113e919.thumbnail.0000000000_1024x1024.jpg?v=1786600350"/>
    <hyperlink ref="C162" r:id="rId304" display="https://striking-viking.com/it/products/striking-viking-cedarwood-beard-balm"/>
    <hyperlink ref="D162" r:id="rId305" display="https://striking-viking.com/cdn/shop/files/preview_images/c89d3523362c428dade03256b113e919.thumbnail.0000000000_1024x1024.jpg?v=1786600350"/>
    <hyperlink ref="C163" r:id="rId306" display="https://striking-viking.com/fi/products/striking-viking-citrus-beard-balm"/>
    <hyperlink ref="D163" r:id="rId307" display="https://striking-viking.com/cdn/shop/files/preview_images/54420569ea0440298c3f837092838622.thumbnail.0000000000_1024x1024.jpg?v=1786600582"/>
    <hyperlink ref="C164" r:id="rId308" display="https://striking-viking.com/fi/products/striking-viking-unscented-beard-oil-natural-organic-beard-care"/>
    <hyperlink ref="D164" r:id="rId309" display="https://striking-viking.com/cdn/shop/files/preview_images/8a045c5fae8942ea962f142b6e25d24a.thumbnail.0000000000_1024x1024.jpg?v=1786610842"/>
    <hyperlink ref="C165" r:id="rId310" display="https://striking-viking.com/products/striking-viking-unscented-beard-oil-natural-organic-beard-care"/>
    <hyperlink ref="D165" r:id="rId311" display="https://striking-viking.com/cdn/shop/files/preview_images/8a045c5fae8942ea962f142b6e25d24a.thumbnail.0000000000_1024x1024.jpg?v=1786610842"/>
    <hyperlink ref="C166" r:id="rId312" display="https://striking-viking.com/en-gb/products/striking-viking-unscented-beard-oil-natural-organic-beard-care"/>
    <hyperlink ref="D166" r:id="rId313" display="https://striking-viking.com/cdn/shop/files/preview_images/8a045c5fae8942ea962f142b6e25d24a.thumbnail.0000000000_1024x1024.jpg?v=1786610842"/>
    <hyperlink ref="C167" r:id="rId314" display="https://striking-viking.com/fi/products/striking-viking-beard-oil-variety-4-pack-citrus-vanilla-cedarwood-sandalwood"/>
    <hyperlink ref="D167" r:id="rId315" display="https://striking-viking.com/cdn/shop/files/preview_images/2aac013d604940b58d3cb008c2f75bb9.thumbnail.0000000000_1024x1024.jpg?v=1786600897"/>
    <hyperlink ref="C168" r:id="rId316" display="https://striking-viking.com/fi/products/charlemagne-carbon-wide-tooth-comb-for-men-heat-resistant-carbon-fiber-hair-comb"/>
    <hyperlink ref="D168" r:id="rId317" display="https://striking-viking.com/cdn/shop/files/preview_images/ea71e2ed828246ed942cb9b167fb5a7e.thumbnail.0000000000_1024x1024.jpg?v=1783948364"/>
    <hyperlink ref="C169" r:id="rId318" display="https://striking-viking.com/it/products/charlemagne-round-hair-brush-for-men-professional-styling-brush-for-volume-blow-drying"/>
    <hyperlink ref="D169" r:id="rId319" display="https://striking-viking.com/cdn/shop/files/preview_images/ea71e2ed828246ed942cb9b167fb5a7e.thumbnail.0000000000_1024x1024.jpg?v=1783948364"/>
    <hyperlink ref="C170" r:id="rId320" display="https://striking-viking.com/es/products/sandalwood-wooden-beard-comb-black-striking-viking"/>
    <hyperlink ref="D170" r:id="rId321" display="https://striking-viking.com/cdn/shop/files/preview_images/630e16646ea940d38a7dbfb0a14c8ee6.thumbnail.0000000000_1024x1024.jpg?v=1786617599"/>
    <hyperlink ref="C171" r:id="rId322" display="https://striking-viking.com/sv/products/striking-viking-beard-shampoo-with-natural-peppermint-eucalyptus-for-refreshing-beard-care"/>
    <hyperlink ref="D171" r:id="rId323" display="https://striking-viking.com/cdn/shop/files/preview_images/133175d72f9a4cf5aaecad8194713d87.thumbnail.0000000000_1024x1024.jpg?v=1783943838"/>
    <hyperlink ref="C172" r:id="rId324" display="https://striking-viking.com/es/products/striking-viking-beard-oil-variety-4-pack-citrus-vanilla-cedarwood-sandalwood"/>
    <hyperlink ref="D172" r:id="rId325" display="https://striking-viking.com/cdn/shop/files/preview_images/2aac013d604940b58d3cb008c2f75bb9.thumbnail.0000000000_1024x1024.jpg?v=1786600897"/>
    <hyperlink ref="C173" r:id="rId326" display="https://striking-viking.com/it/products/charlemagne-original-hair-pomade-for-men-strong-hold-water-based-styling-pomade-100ml"/>
    <hyperlink ref="D173" r:id="rId327" display="https://striking-viking.com/cdn/shop/files/preview_images/ea71e2ed828246ed942cb9b167fb5a7e.thumbnail.0000000000_1024x1024.jpg?v=1783948364"/>
    <hyperlink ref="C174" r:id="rId328" display="https://striking-viking.com/en-gb/products/striking-viking-citrus-beard-oil"/>
    <hyperlink ref="D174" r:id="rId329" display="https://striking-viking.com/cdn/shop/files/preview_images/59360cd09ea240a0b2661030d5829c72.thumbnail.0000000000_1024x1024.jpg?v=1786601332"/>
    <hyperlink ref="C175" r:id="rId330" display="https://striking-viking.com/blogs/learn/41241281-the-dude"/>
    <hyperlink ref="C176" r:id="rId331" display="https://striking-viking.com/en-gb/products/striking-viking-cedarwood-beard-oil"/>
    <hyperlink ref="D176" r:id="rId332" display="https://striking-viking.com/cdn/shop/files/preview_images/06fa7414903d4ace94cbe4e096befa28.thumbnail.0000000000_1024x1024.jpg?v=1786601229"/>
    <hyperlink ref="C177" r:id="rId333" display="https://striking-viking.com/es/blogs/learn/41234689-brian-wilson"/>
    <hyperlink ref="C178" r:id="rId334" display="https://striking-viking.com/no/blogs/learn/41234689-brian-wilson"/>
    <hyperlink ref="C179" r:id="rId335" display="https://striking-viking.com/fr/products/striking-viking-citrus-beard-balm"/>
    <hyperlink ref="D179" r:id="rId336" display="https://striking-viking.com/cdn/shop/files/preview_images/54420569ea0440298c3f837092838622.thumbnail.0000000000_1024x1024.jpg?v=1786600582"/>
    <hyperlink ref="C180" r:id="rId337" display="https://striking-viking.com/es/products/striking-viking-cedarwood-beard-oil"/>
    <hyperlink ref="D180" r:id="rId338" display="https://striking-viking.com/cdn/shop/files/preview_images/06fa7414903d4ace94cbe4e096befa28.thumbnail.0000000000_1024x1024.jpg?v=1786601229"/>
    <hyperlink ref="C181" r:id="rId339" display="https://striking-viking.com/de/products/bartbalsam-zedernholz"/>
    <hyperlink ref="D181" r:id="rId340" display="https://striking-viking.com/cdn/shop/files/preview_images/c89d3523362c428dade03256b113e919.thumbnail.0000000000_1024x1024.jpg?v=1786600350"/>
    <hyperlink ref="C182" r:id="rId341" display="https://striking-viking.com/no/products/striking-viking-unscented-beard-oil-natural-organic-beard-care"/>
    <hyperlink ref="D182" r:id="rId342" display="https://striking-viking.com/cdn/shop/files/preview_images/8a045c5fae8942ea962f142b6e25d24a.thumbnail.0000000000_1024x1024.jpg?v=1786610842"/>
    <hyperlink ref="C183" r:id="rId343" display="https://striking-viking.com/fi/products/striking-viking-sandalwood-beard-oil"/>
    <hyperlink ref="D183" r:id="rId344" display="https://striking-viking.com/cdn/shop/files/preview_images/694214d8b7b34d50be83f74012b962d8.thumbnail.0000000000_1024x1024.jpg?v=1786601440"/>
    <hyperlink ref="C184" r:id="rId345" display="https://striking-viking.com/de/products/charlemagne-round-hair-brush-for-men-professional-styling-brush-for-volume-blow-drying"/>
    <hyperlink ref="D184" r:id="rId346" display="https://striking-viking.com/cdn/shop/files/preview_images/ea71e2ed828246ed942cb9b167fb5a7e.thumbnail.0000000000_1024x1024.jpg?v=1783948364"/>
    <hyperlink ref="C185" r:id="rId347" display="https://striking-viking.com/en-ca/products/striking-viking-sandalwood-beard-balm"/>
    <hyperlink ref="D185" r:id="rId348" display="https://striking-viking.com/cdn/shop/files/preview_images/61498a206a02426392439b9e42809c58.thumbnail.0000000000_1024x1024.jpg?v=1786600477"/>
    <hyperlink ref="C186" r:id="rId349" display="https://striking-viking.com/blogs/learn/41234689-brian-wilson"/>
    <hyperlink ref="C187" r:id="rId350" display="https://striking-viking.com/fr-ca/products/striking-viking-sandalwood-beard-oil"/>
    <hyperlink ref="D187" r:id="rId351" display="https://striking-viking.com/cdn/shop/files/preview_images/694214d8b7b34d50be83f74012b962d8.thumbnail.0000000000_1024x1024.jpg?v=1786601440"/>
    <hyperlink ref="C188" r:id="rId352" display="https://striking-viking.com/fr-ca/blogs/learn/41234689-brian-wilson"/>
    <hyperlink ref="C189" r:id="rId353" display="https://striking-viking.com/fr-ca/products/striking-viking-unscented-beard-butter-for-moisturizing-softening-daily-beard-care"/>
    <hyperlink ref="D189" r:id="rId354" display="https://striking-viking.com/cdn/shop/files/preview_images/e5633e001a744211bc5b12bd22e9862c.thumbnail.0000000000_1024x1024.jpg?v=1783945120"/>
    <hyperlink ref="C190" r:id="rId355" display="https://striking-viking.com/fi/products/sandalwood-wooden-beard-comb-black-striking-viking"/>
    <hyperlink ref="D190" r:id="rId356" display="https://striking-viking.com/cdn/shop/files/preview_images/630e16646ea940d38a7dbfb0a14c8ee6.thumbnail.0000000000_1024x1024.jpg?v=1786617599"/>
    <hyperlink ref="C191" r:id="rId357" display="https://striking-viking.com/fr/blogs/learn/41241281-the-dude"/>
    <hyperlink ref="C192" r:id="rId358" display="https://striking-viking.com/es/products/charlemagne-original-hair-pomade-for-men-strong-hold-water-based-styling-pomade-100ml"/>
    <hyperlink ref="D192" r:id="rId359" display="https://striking-viking.com/cdn/shop/files/preview_images/ea71e2ed828246ed942cb9b167fb5a7e.thumbnail.0000000000_1024x1024.jpg?v=1783948364"/>
    <hyperlink ref="C193" r:id="rId360" display="https://striking-viking.com/fi/products/striking-viking-sandalwood-wooden-beard-comb-brown"/>
    <hyperlink ref="D193" r:id="rId361" display="https://striking-viking.com/cdn/shop/files/preview_images/32f6dad1813c4e97ac84d74390b8e3ba.thumbnail.0000000000_1024x1024.jpg?v=1786604633"/>
    <hyperlink ref="C194" r:id="rId362" display="https://striking-viking.com/de/products/charlemagne-carbon-hair-comb-for-men-professional-heat-resistant-styling-detangling-comb"/>
    <hyperlink ref="D194" r:id="rId363" display="https://striking-viking.com/cdn/shop/files/preview_images/ea71e2ed828246ed942cb9b167fb5a7e.thumbnail.0000000000_1024x1024.jpg?v=1783948364"/>
    <hyperlink ref="C195" r:id="rId364" display="https://striking-viking.com/sv/products/striking-viking-beard-growth-oil-with-biotin-sandalwood"/>
    <hyperlink ref="D195" r:id="rId365" display="https://striking-viking.com/cdn/shop/files/preview_images/032fdd356ead42c19de3ca802ac3a37b.thumbnail.0000000000_1024x1024.jpg?v=1786599587"/>
    <hyperlink ref="C196" r:id="rId366" display="https://striking-viking.com/en-gb/blogs/learn/41241281-the-dude"/>
    <hyperlink ref="C197" r:id="rId367" display="https://striking-viking.com/no/products/sandalwood-wooden-beard-comb-black-striking-viking"/>
    <hyperlink ref="D197" r:id="rId368" display="https://striking-viking.com/cdn/shop/files/preview_images/630e16646ea940d38a7dbfb0a14c8ee6.thumbnail.0000000000_1024x1024.jpg?v=1786617599"/>
    <hyperlink ref="C198" r:id="rId369" display="https://striking-viking.com/fr-ca/products/striking-viking-sandalwood-wooden-beard-comb-brown"/>
    <hyperlink ref="D198" r:id="rId370" display="https://striking-viking.com/cdn/shop/files/preview_images/32f6dad1813c4e97ac84d74390b8e3ba.thumbnail.0000000000_1024x1024.jpg?v=1786604633"/>
    <hyperlink ref="C199" r:id="rId371" display="https://striking-viking.com/es/products/charlemagne-carbon-wide-tooth-comb-for-men-heat-resistant-carbon-fiber-hair-comb"/>
    <hyperlink ref="D199" r:id="rId372" display="https://striking-viking.com/cdn/shop/files/preview_images/ea71e2ed828246ed942cb9b167fb5a7e.thumbnail.0000000000_1024x1024.jpg?v=1783948364"/>
    <hyperlink ref="C200" r:id="rId373" display="https://striking-viking.com/en-gb/products/charlemagne-round-hair-brush-for-men-professional-styling-brush-for-volume-blow-drying"/>
    <hyperlink ref="D200" r:id="rId374" display="https://striking-viking.com/cdn/shop/files/preview_images/ea71e2ed828246ed942cb9b167fb5a7e.thumbnail.0000000000_1024x1024.jpg?v=1783948364"/>
    <hyperlink ref="C201" r:id="rId375" display="https://striking-viking.com/de/blogs/learn/41234689-brian-wilson"/>
    <hyperlink ref="C202" r:id="rId376" display="https://striking-viking.com/es/products/striking-viking-vanilla-beard-balm"/>
    <hyperlink ref="D202" r:id="rId377" display="https://striking-viking.com/cdn/shop/files/preview_images/654292f4a09e42b6b95c9ef48340e293.thumbnail.0000000000_1024x1024.jpg?v=1786600236"/>
    <hyperlink ref="C203" r:id="rId378" display="https://striking-viking.com/en-gb/products/striking-viking-unscented-beard-balm-natural-beard-styling-conditioning"/>
    <hyperlink ref="D203" r:id="rId379" display="https://striking-viking.com/cdn/shop/files/preview_images/0ebc618aebb84e839189ab492bd964c1.thumbnail.0000000000_1024x1024.jpg?v=1786615713"/>
    <hyperlink ref="C204" r:id="rId380" display="https://striking-viking.com/it/products/striking-viking-sandalwood-beard-oil"/>
    <hyperlink ref="D204" r:id="rId381" display="https://striking-viking.com/cdn/shop/files/preview_images/694214d8b7b34d50be83f74012b962d8.thumbnail.0000000000_1024x1024.jpg?v=1786601440"/>
    <hyperlink ref="C205" r:id="rId382" display="https://striking-viking.com/fr/products/striking-viking-cedarwood-beard-balm"/>
    <hyperlink ref="D205" r:id="rId383" display="https://striking-viking.com/cdn/shop/files/preview_images/c89d3523362c428dade03256b113e919.thumbnail.0000000000_1024x1024.jpg?v=1786600350"/>
    <hyperlink ref="C206" r:id="rId384" display="https://striking-viking.com/sv/products/striking-viking-folding-wooden-comb-sandalwood-beard-hair-comb"/>
    <hyperlink ref="D206" r:id="rId385" display="https://striking-viking.com/cdn/shop/files/preview_images/3b2d1290045c417e8b589a319a2e2fbf.thumbnail.0000000000_1024x1024.jpg?v=1786616279"/>
    <hyperlink ref="C207" r:id="rId386" display="https://striking-viking.com/no/products/striking-viking-beard-shampoo-conditioner-cologne-argan-jojoba-oil"/>
    <hyperlink ref="D207" r:id="rId387" display="https://striking-viking.com/cdn/shop/files/preview_images/223d982d630541b8bca51e5de6c59550.thumbnail.0000000000_1024x1024.jpg?v=1786603784"/>
    <hyperlink ref="C208" r:id="rId388" display="https://striking-viking.com/it/blogs/learn/41234689-brian-wilson"/>
    <hyperlink ref="C209" r:id="rId389" display="https://striking-viking.com/es/products/striking-viking-sandalwood-beard-balm"/>
    <hyperlink ref="D209" r:id="rId390" display="https://striking-viking.com/cdn/shop/files/preview_images/61498a206a02426392439b9e42809c58.thumbnail.0000000000_1024x1024.jpg?v=1786600477"/>
    <hyperlink ref="C210" r:id="rId391" display="https://striking-viking.com/products/charlemagne-round-hair-brush-for-men-professional-styling-brush-for-volume-blow-drying"/>
    <hyperlink ref="D210" r:id="rId392" display="https://striking-viking.com/cdn/shop/files/preview_images/ea71e2ed828246ed942cb9b167fb5a7e.thumbnail.0000000000_1024x1024.jpg?v=1783948364"/>
    <hyperlink ref="C211" r:id="rId393" display="https://striking-viking.com/fr-ca/products/striking-viking-beard-shampoo-with-natural-peppermint-eucalyptus-for-refreshing-beard-care"/>
    <hyperlink ref="D211" r:id="rId394" display="https://striking-viking.com/cdn/shop/files/preview_images/133175d72f9a4cf5aaecad8194713d87.thumbnail.0000000000_1024x1024.jpg?v=1783943838"/>
    <hyperlink ref="C212" r:id="rId395" display="https://striking-viking.com/fr-ca/products/striking-viking-folding-wooden-comb-sandalwood-beard-hair-comb"/>
    <hyperlink ref="D212" r:id="rId396" display="https://striking-viking.com/cdn/shop/files/preview_images/3b2d1290045c417e8b589a319a2e2fbf.thumbnail.0000000000_1024x1024.jpg?v=1786616279"/>
    <hyperlink ref="C213" r:id="rId397" display="https://striking-viking.com/fi/products/striking-viking-sandalwood-beard-balm"/>
    <hyperlink ref="D213" r:id="rId398" display="https://striking-viking.com/cdn/shop/files/preview_images/61498a206a02426392439b9e42809c58.thumbnail.0000000000_1024x1024.jpg?v=1786600477"/>
    <hyperlink ref="C214" r:id="rId399" display="https://striking-viking.com/sv/products/striking-viking-citrus-beard-oil"/>
    <hyperlink ref="D214" r:id="rId400" display="https://striking-viking.com/cdn/shop/files/preview_images/59360cd09ea240a0b2661030d5829c72.thumbnail.0000000000_1024x1024.jpg?v=1786601332"/>
    <hyperlink ref="C215" r:id="rId401" display="https://striking-viking.com/es/products/striking-viking-unscented-beard-oil-natural-organic-beard-care"/>
    <hyperlink ref="D215" r:id="rId402" display="https://striking-viking.com/cdn/shop/files/preview_images/8a045c5fae8942ea962f142b6e25d24a.thumbnail.0000000000_1024x1024.jpg?v=1786610842"/>
    <hyperlink ref="C216" r:id="rId403" display="https://striking-viking.com/fi/products/striking-viking-beard-shampoo-with-natural-peppermint-eucalyptus-for-refreshing-beard-care"/>
    <hyperlink ref="D216" r:id="rId404" display="https://striking-viking.com/cdn/shop/files/preview_images/133175d72f9a4cf5aaecad8194713d87.thumbnail.0000000000_1024x1024.jpg?v=1783943838"/>
    <hyperlink ref="C217" r:id="rId405" display="https://striking-viking.com/fr-ca/products/striking-viking-vanilla-beard-balm"/>
    <hyperlink ref="D217" r:id="rId406" display="https://striking-viking.com/cdn/shop/files/preview_images/654292f4a09e42b6b95c9ef48340e293.thumbnail.0000000000_1024x1024.jpg?v=1786600236"/>
    <hyperlink ref="C218" r:id="rId407" display="https://striking-viking.com/es/products/striking-viking-beard-shampoo-with-natural-peppermint-eucalyptus-for-refreshing-beard-care"/>
    <hyperlink ref="D218" r:id="rId408" display="https://striking-viking.com/cdn/shop/files/preview_images/133175d72f9a4cf5aaecad8194713d87.thumbnail.0000000000_1024x1024.jpg?v=1783943838"/>
    <hyperlink ref="C219" r:id="rId409" display="https://striking-viking.com/sv/products/striking-viking-cedarwood-beard-balm"/>
    <hyperlink ref="D219" r:id="rId410" display="https://striking-viking.com/cdn/shop/files/preview_images/c89d3523362c428dade03256b113e919.thumbnail.0000000000_1024x1024.jpg?v=1786600350"/>
    <hyperlink ref="C220" r:id="rId411" display="https://striking-viking.com/fr/products/charlemagne-carbon-wide-tooth-comb-for-men-heat-resistant-carbon-fiber-hair-comb"/>
    <hyperlink ref="D220" r:id="rId412" display="https://striking-viking.com/cdn/shop/files/preview_images/ea71e2ed828246ed942cb9b167fb5a7e.thumbnail.0000000000_1024x1024.jpg?v=1783948364"/>
    <hyperlink ref="C221" r:id="rId413" display="https://striking-viking.com/products/charlemagne-carbon-wide-tooth-comb-for-men-heat-resistant-carbon-fiber-hair-comb"/>
    <hyperlink ref="D221" r:id="rId414" display="https://striking-viking.com/cdn/shop/files/preview_images/ea71e2ed828246ed942cb9b167fb5a7e.thumbnail.0000000000_1024x1024.jpg?v=1783948364"/>
    <hyperlink ref="C222" r:id="rId415" display="https://striking-viking.com/products/striking-viking-beard-growth-oil-with-biotin-sandalwood"/>
    <hyperlink ref="D222" r:id="rId416" display="https://striking-viking.com/cdn/shop/files/preview_images/032fdd356ead42c19de3ca802ac3a37b.thumbnail.0000000000_1024x1024.jpg?v=1786599587"/>
    <hyperlink ref="C223" r:id="rId417" display="https://striking-viking.com/es/products/striking-viking-sandalwood-beard-oil"/>
    <hyperlink ref="D223" r:id="rId418" display="https://striking-viking.com/cdn/shop/files/preview_images/694214d8b7b34d50be83f74012b962d8.thumbnail.0000000000_1024x1024.jpg?v=1786601440"/>
    <hyperlink ref="C224" r:id="rId419" display="https://striking-viking.com/es/products/striking-viking-unscented-beard-balm-natural-beard-styling-conditioning"/>
    <hyperlink ref="D224" r:id="rId420" display="https://striking-viking.com/cdn/shop/files/preview_images/0ebc618aebb84e839189ab492bd964c1.thumbnail.0000000000_1024x1024.jpg?v=1786615713"/>
    <hyperlink ref="C225" r:id="rId421" display="https://striking-viking.com/products/striking-viking-unscented-beard-balm-natural-beard-styling-conditioning"/>
    <hyperlink ref="D225" r:id="rId422" display="https://striking-viking.com/cdn/shop/files/preview_images/0ebc618aebb84e839189ab492bd964c1.thumbnail.0000000000_1024x1024.jpg?v=1786615713"/>
    <hyperlink ref="C226" r:id="rId423" display="https://striking-viking.com/fi/products/striking-viking-citrus-beard-oil"/>
    <hyperlink ref="D226" r:id="rId424" display="https://striking-viking.com/cdn/shop/files/preview_images/59360cd09ea240a0b2661030d5829c72.thumbnail.0000000000_1024x1024.jpg?v=1786601332"/>
    <hyperlink ref="C227" r:id="rId425" display="https://striking-viking.com/fr/products/charlemagne-carbon-hair-comb-for-men-professional-heat-resistant-styling-detangling-comb"/>
    <hyperlink ref="D227" r:id="rId426" display="https://striking-viking.com/cdn/shop/files/preview_images/ea71e2ed828246ed942cb9b167fb5a7e.thumbnail.0000000000_1024x1024.jpg?v=1783948364"/>
    <hyperlink ref="C228" r:id="rId427" display="https://striking-viking.com/no/products/charlemagne-original-hair-pomade-for-men-strong-hold-water-based-styling-pomade-100ml"/>
    <hyperlink ref="D228" r:id="rId428" display="https://striking-viking.com/cdn/shop/files/preview_images/ea71e2ed828246ed942cb9b167fb5a7e.thumbnail.0000000000_1024x1024.jpg?v=1783948364"/>
    <hyperlink ref="C229" r:id="rId429" display="https://striking-viking.com/fi/products/striking-viking-folding-wooden-comb-sandalwood-beard-hair-comb"/>
    <hyperlink ref="D229" r:id="rId430" display="https://striking-viking.com/cdn/shop/files/preview_images/3b2d1290045c417e8b589a319a2e2fbf.thumbnail.0000000000_1024x1024.jpg?v=1786616279"/>
    <hyperlink ref="C230" r:id="rId431" display="https://striking-viking.com/no/products/striking-viking-sandalwood-wooden-beard-comb-brown"/>
    <hyperlink ref="D230" r:id="rId432" display="https://striking-viking.com/cdn/shop/files/preview_images/32f6dad1813c4e97ac84d74390b8e3ba.thumbnail.0000000000_1024x1024.jpg?v=1786604633"/>
    <hyperlink ref="C231" r:id="rId433" display="https://striking-viking.com/it/products/striking-viking-unscented-beard-oil-natural-organic-beard-care"/>
    <hyperlink ref="D231" r:id="rId434" display="https://striking-viking.com/cdn/shop/files/preview_images/8a045c5fae8942ea962f142b6e25d24a.thumbnail.0000000000_1024x1024.jpg?v=1786610842"/>
    <hyperlink ref="C232" r:id="rId435" display="https://striking-viking.com/fi/products/striking-viking-cedarwood-beard-oil"/>
    <hyperlink ref="D232" r:id="rId436" display="https://striking-viking.com/cdn/shop/files/preview_images/06fa7414903d4ace94cbe4e096befa28.thumbnail.0000000000_1024x1024.jpg?v=1786601229"/>
    <hyperlink ref="C233" r:id="rId437" display="https://striking-viking.com/en-ca/products/striking-viking-citrus-beard-balm"/>
    <hyperlink ref="D233" r:id="rId438" display="https://striking-viking.com/cdn/shop/files/preview_images/54420569ea0440298c3f837092838622.thumbnail.0000000000_1024x1024.jpg?v=1786600582"/>
    <hyperlink ref="C234" r:id="rId439" display="https://striking-viking.com/fr-ca/products/striking-viking-citrus-beard-balm"/>
    <hyperlink ref="D234" r:id="rId440" display="https://striking-viking.com/cdn/shop/files/preview_images/54420569ea0440298c3f837092838622.thumbnail.0000000000_1024x1024.jpg?v=1786600582"/>
    <hyperlink ref="C235" r:id="rId441" display="https://striking-viking.com/sv/products/striking-viking-cedarwood-beard-oil"/>
    <hyperlink ref="D235" r:id="rId442" display="https://striking-viking.com/cdn/shop/files/preview_images/06fa7414903d4ace94cbe4e096befa28.thumbnail.0000000000_1024x1024.jpg?v=1786601229"/>
    <hyperlink ref="C236" r:id="rId443" display="https://striking-viking.com/es/products/striking-viking-beard-shampoo-conditioner-cologne-argan-jojoba-oil"/>
    <hyperlink ref="D236" r:id="rId444" display="https://striking-viking.com/cdn/shop/files/preview_images/223d982d630541b8bca51e5de6c59550.thumbnail.0000000000_1024x1024.jpg?v=1786603784"/>
    <hyperlink ref="C237" r:id="rId445" display="https://striking-viking.com/fr-ca/products/sandalwood-wooden-beard-comb-black-striking-viking"/>
    <hyperlink ref="D237" r:id="rId446" display="https://striking-viking.com/cdn/shop/files/preview_images/630e16646ea940d38a7dbfb0a14c8ee6.thumbnail.0000000000_1024x1024.jpg?v=1786617599"/>
    <hyperlink ref="C238" r:id="rId447" display="https://striking-viking.com/fr-ca/products/charlemagne-carbon-wide-tooth-comb-for-men-heat-resistant-carbon-fiber-hair-comb"/>
    <hyperlink ref="D238" r:id="rId448" display="https://striking-viking.com/cdn/shop/files/preview_images/ea71e2ed828246ed942cb9b167fb5a7e.thumbnail.0000000000_1024x1024.jpg?v=1783948364"/>
    <hyperlink ref="C239" r:id="rId449" display="https://striking-viking.com/fr/products/striking-viking-unscented-beard-butter-for-moisturizing-softening-daily-beard-care"/>
    <hyperlink ref="D239" r:id="rId450" display="https://striking-viking.com/cdn/shop/files/preview_images/e5633e001a744211bc5b12bd22e9862c.thumbnail.0000000000_1024x1024.jpg?v=1783945120"/>
    <hyperlink ref="C240" r:id="rId451" display="https://striking-viking.com/en-gb/products/striking-viking-citrus-beard-balm"/>
    <hyperlink ref="D240" r:id="rId452" display="https://striking-viking.com/cdn/shop/files/preview_images/54420569ea0440298c3f837092838622.thumbnail.0000000000_1024x1024.jpg?v=1786600582"/>
    <hyperlink ref="C241" r:id="rId453" display="https://striking-viking.com/fi/blogs/learn/41241281-the-dude"/>
    <hyperlink ref="C242" r:id="rId454" display="https://striking-viking.com/no/products/striking-viking-vanilla-beard-balm"/>
    <hyperlink ref="D242" r:id="rId455" display="https://striking-viking.com/cdn/shop/files/preview_images/654292f4a09e42b6b95c9ef48340e293.thumbnail.0000000000_1024x1024.jpg?v=1786600236"/>
    <hyperlink ref="C243" r:id="rId456" display="https://striking-viking.com/fr/products/striking-viking-sandalwood-beard-oil"/>
    <hyperlink ref="D243" r:id="rId457" display="https://striking-viking.com/cdn/shop/files/preview_images/694214d8b7b34d50be83f74012b962d8.thumbnail.0000000000_1024x1024.jpg?v=1786601440"/>
    <hyperlink ref="C244" r:id="rId458" display="https://striking-viking.com/sv/products/striking-viking-vanilla-beard-balm"/>
    <hyperlink ref="D244" r:id="rId459" display="https://striking-viking.com/cdn/shop/files/preview_images/654292f4a09e42b6b95c9ef48340e293.thumbnail.0000000000_1024x1024.jpg?v=1786600236"/>
    <hyperlink ref="C245" r:id="rId460" display="https://striking-viking.com/fr-ca/products/striking-viking-beard-oil-variety-4-pack-citrus-vanilla-cedarwood-sandalwood"/>
    <hyperlink ref="D245" r:id="rId461" display="https://striking-viking.com/cdn/shop/files/preview_images/2aac013d604940b58d3cb008c2f75bb9.thumbnail.0000000000_1024x1024.jpg?v=1786600897"/>
    <hyperlink ref="C246" r:id="rId462" display="https://striking-viking.com/fr-ca/products/charlemagne-round-hair-brush-for-men-professional-styling-brush-for-volume-blow-drying"/>
    <hyperlink ref="D246" r:id="rId463" display="https://striking-viking.com/cdn/shop/files/preview_images/ea71e2ed828246ed942cb9b167fb5a7e.thumbnail.0000000000_1024x1024.jpg?v=1783948364"/>
    <hyperlink ref="C247" r:id="rId464" display="https://striking-viking.com/fr-ca/products/charlemagne-carbon-hair-comb-for-men-professional-heat-resistant-styling-detangling-comb"/>
    <hyperlink ref="D247" r:id="rId465" display="https://striking-viking.com/cdn/shop/files/preview_images/ea71e2ed828246ed942cb9b167fb5a7e.thumbnail.0000000000_1024x1024.jpg?v=1783948364"/>
    <hyperlink ref="C248" r:id="rId466" display="https://striking-viking.com/fi/products/striking-viking-unscented-beard-balm-natural-beard-styling-conditioning"/>
    <hyperlink ref="D248" r:id="rId467" display="https://striking-viking.com/cdn/shop/files/preview_images/0ebc618aebb84e839189ab492bd964c1.thumbnail.0000000000_1024x1024.jpg?v=1786615713"/>
    <hyperlink ref="C249" r:id="rId468" display="https://striking-viking.com/de/products/bartol-unparfumiert"/>
    <hyperlink ref="D249" r:id="rId469" display="https://striking-viking.com/cdn/shop/files/preview_images/8a045c5fae8942ea962f142b6e25d24a.thumbnail.0000000000_1024x1024.jpg?v=1786610842"/>
    <hyperlink ref="C250" r:id="rId470" display="https://striking-viking.com/sv/products/striking-viking-sandalwood-beard-balm"/>
    <hyperlink ref="D250" r:id="rId471" display="https://striking-viking.com/cdn/shop/files/preview_images/61498a206a02426392439b9e42809c58.thumbnail.0000000000_1024x1024.jpg?v=1786600477"/>
    <hyperlink ref="C251" r:id="rId472" display="https://striking-viking.com/es/blogs/learn/41241281-the-dude"/>
    <hyperlink ref="C252" r:id="rId473" display="https://striking-viking.com/sv/products/striking-viking-beard-shampoo-conditioner-cologne-argan-jojoba-oil"/>
    <hyperlink ref="D252" r:id="rId474" display="https://striking-viking.com/cdn/shop/files/preview_images/223d982d630541b8bca51e5de6c59550.thumbnail.0000000000_1024x1024.jpg?v=1786603784"/>
    <hyperlink ref="C253" r:id="rId475" display="https://striking-viking.com/fr-ca/products/striking-viking-cedarwood-beard-balm"/>
    <hyperlink ref="D253" r:id="rId476" display="https://striking-viking.com/cdn/shop/files/preview_images/c89d3523362c428dade03256b113e919.thumbnail.0000000000_1024x1024.jpg?v=1786600350"/>
    <hyperlink ref="C254" r:id="rId477" display="https://striking-viking.com/fr-ca/products/striking-viking-beard-shampoo-conditioner-cologne-argan-jojoba-oil"/>
    <hyperlink ref="D254" r:id="rId478" display="https://striking-viking.com/cdn/shop/files/preview_images/223d982d630541b8bca51e5de6c59550.thumbnail.0000000000_1024x1024.jpg?v=1786603784"/>
    <hyperlink ref="C255" r:id="rId479" display="https://striking-viking.com/en-gb/products/charlemagne-carbon-hair-comb-for-men-professional-heat-resistant-styling-detangling-comb"/>
    <hyperlink ref="D255" r:id="rId480" display="https://striking-viking.com/cdn/shop/files/preview_images/ea71e2ed828246ed942cb9b167fb5a7e.thumbnail.0000000000_1024x1024.jpg?v=1783948364"/>
    <hyperlink ref="C256" r:id="rId481" display="https://striking-viking.com/fr/products/charlemagne-round-hair-brush-for-men-professional-styling-brush-for-volume-blow-drying"/>
    <hyperlink ref="D256" r:id="rId482" display="https://striking-viking.com/cdn/shop/files/preview_images/ea71e2ed828246ed942cb9b167fb5a7e.thumbnail.0000000000_1024x1024.jpg?v=1783948364"/>
    <hyperlink ref="C257" r:id="rId483" display="https://striking-viking.com/it/products/striking-viking-sandalwood-beard-balm"/>
    <hyperlink ref="D257" r:id="rId484" display="https://striking-viking.com/cdn/shop/files/preview_images/61498a206a02426392439b9e42809c58.thumbnail.0000000000_1024x1024.jpg?v=1786600477"/>
    <hyperlink ref="C258" r:id="rId485" display="https://striking-viking.com/sv/products/striking-viking-unscented-beard-balm-natural-beard-styling-conditioning"/>
    <hyperlink ref="D258" r:id="rId486" display="https://striking-viking.com/cdn/shop/files/preview_images/0ebc618aebb84e839189ab492bd964c1.thumbnail.0000000000_1024x1024.jpg?v=1786615713"/>
    <hyperlink ref="C259" r:id="rId487" display="https://striking-viking.com/no/products/striking-viking-cedarwood-beard-oil"/>
    <hyperlink ref="D259" r:id="rId488" display="https://striking-viking.com/cdn/shop/files/preview_images/06fa7414903d4ace94cbe4e096befa28.thumbnail.0000000000_1024x1024.jpg?v=1786601229"/>
    <hyperlink ref="C260" r:id="rId489" display="https://striking-viking.com/de/products/bartol-zitrus"/>
    <hyperlink ref="D260" r:id="rId490" display="https://striking-viking.com/cdn/shop/files/preview_images/59360cd09ea240a0b2661030d5829c72.thumbnail.0000000000_1024x1024.jpg?v=1786601332"/>
    <hyperlink ref="C261" r:id="rId491" display="https://striking-viking.com/fr/products/striking-viking-citrus-beard-oil"/>
    <hyperlink ref="D261" r:id="rId492" display="https://striking-viking.com/cdn/shop/files/preview_images/59360cd09ea240a0b2661030d5829c72.thumbnail.0000000000_1024x1024.jpg?v=1786601332"/>
    <hyperlink ref="C262" r:id="rId493" display="https://striking-viking.com/no/products/striking-viking-cedarwood-beard-balm"/>
    <hyperlink ref="D262" r:id="rId494" display="https://striking-viking.com/cdn/shop/files/preview_images/c89d3523362c428dade03256b113e919.thumbnail.0000000000_1024x1024.jpg?v=1786600350"/>
    <hyperlink ref="C263" r:id="rId495" display="https://striking-viking.com/fr/blogs/learn/41234689-brian-wilson"/>
    <hyperlink ref="C264" r:id="rId496" display="https://striking-viking.com/fr-ca/products/striking-viking-cedarwood-beard-oil"/>
    <hyperlink ref="D264" r:id="rId497" display="https://striking-viking.com/cdn/shop/files/preview_images/06fa7414903d4ace94cbe4e096befa28.thumbnail.0000000000_1024x1024.jpg?v=1786601229"/>
    <hyperlink ref="C265" r:id="rId498" display="https://striking-viking.com/it/products/striking-viking-unscented-beard-balm-natural-beard-styling-conditioning"/>
    <hyperlink ref="D265" r:id="rId499" display="https://striking-viking.com/cdn/shop/files/preview_images/0ebc618aebb84e839189ab492bd964c1.thumbnail.0000000000_1024x1024.jpg?v=1786615713"/>
    <hyperlink ref="C266" r:id="rId500" display="https://striking-viking.com/de/products/charlemagne-carbon-wide-tooth-comb-for-men-heat-resistant-carbon-fiber-hair-comb"/>
    <hyperlink ref="D266" r:id="rId501" display="https://striking-viking.com/cdn/shop/files/preview_images/ea71e2ed828246ed942cb9b167fb5a7e.thumbnail.0000000000_1024x1024.jpg?v=1783948364"/>
    <hyperlink ref="C267" r:id="rId502" display="https://striking-viking.com/en-gb/products/striking-viking-unscented-beard-butter-for-moisturizing-softening-daily-beard-care"/>
    <hyperlink ref="D267" r:id="rId503" display="https://striking-viking.com/cdn/shop/files/preview_images/e5633e001a744211bc5b12bd22e9862c.thumbnail.0000000000_1024x1024.jpg?v=1783945120"/>
    <hyperlink ref="C268" r:id="rId504" display="https://striking-viking.com/fi/products/striking-viking-unscented-beard-butter-for-moisturizing-softening-daily-beard-care"/>
    <hyperlink ref="D268" r:id="rId505" display="https://striking-viking.com/cdn/shop/files/preview_images/e5633e001a744211bc5b12bd22e9862c.thumbnail.0000000000_1024x1024.jpg?v=1783945120"/>
    <hyperlink ref="C269" r:id="rId506" display="https://striking-viking.com/sv/blogs/learn/41241281-the-dude"/>
    <hyperlink ref="C270" r:id="rId507" display="https://striking-viking.com/de/products/bartbalsam-zitrus"/>
    <hyperlink ref="D270" r:id="rId508" display="https://striking-viking.com/cdn/shop/files/preview_images/54420569ea0440298c3f837092838622.thumbnail.0000000000_1024x1024.jpg?v=1786600582"/>
    <hyperlink ref="C271" r:id="rId509" display="https://striking-viking.com/fr/products/striking-viking-beard-shampoo-with-natural-peppermint-eucalyptus-for-refreshing-beard-care"/>
    <hyperlink ref="D271" r:id="rId510" display="https://striking-viking.com/cdn/shop/files/preview_images/133175d72f9a4cf5aaecad8194713d87.thumbnail.0000000000_1024x1024.jpg?v=1783943838"/>
    <hyperlink ref="C272" r:id="rId511" display="https://striking-viking.com/it/products/striking-viking-citrus-beard-balm"/>
    <hyperlink ref="D272" r:id="rId512" display="https://striking-viking.com/cdn/shop/files/preview_images/54420569ea0440298c3f837092838622.thumbnail.0000000000_1024x1024.jpg?v=1786600582"/>
    <hyperlink ref="C273" r:id="rId513" display="https://striking-viking.com/sv/products/charlemagne-round-hair-brush-for-men-professional-styling-brush-for-volume-blow-drying"/>
    <hyperlink ref="D273" r:id="rId514" display="https://striking-viking.com/cdn/shop/files/preview_images/ea71e2ed828246ed942cb9b167fb5a7e.thumbnail.0000000000_1024x1024.jpg?v=1783948364"/>
    <hyperlink ref="C274" r:id="rId515" display="https://striking-viking.com/sv/blogs/learn/41234689-brian-wilson"/>
    <hyperlink ref="C275" r:id="rId516" display="https://striking-viking.com/sv/products/charlemagne-carbon-hair-comb-for-men-professional-heat-resistant-styling-detangling-comb"/>
    <hyperlink ref="D275" r:id="rId517" display="https://striking-viking.com/cdn/shop/files/preview_images/ea71e2ed828246ed942cb9b167fb5a7e.thumbnail.0000000000_1024x1024.jpg?v=1783948364"/>
    <hyperlink ref="C276" r:id="rId518" display="https://striking-viking.com/no/blogs/learn/41241281-the-dude"/>
    <hyperlink ref="C277" r:id="rId519" display="https://striking-viking.com/de/products/charlemagne-original-hair-pomade-for-men-strong-hold-water-based-styling-pomade-100ml"/>
    <hyperlink ref="D277" r:id="rId520" display="https://striking-viking.com/cdn/shop/files/preview_images/ea71e2ed828246ed942cb9b167fb5a7e.thumbnail.0000000000_1024x1024.jpg?v=1783948364"/>
    <hyperlink ref="C278" r:id="rId521" display="https://striking-viking.com/no/products/striking-viking-unscented-beard-butter-for-moisturizing-softening-daily-beard-care"/>
    <hyperlink ref="D278" r:id="rId522" display="https://striking-viking.com/cdn/shop/files/preview_images/e5633e001a744211bc5b12bd22e9862c.thumbnail.0000000000_1024x1024.jpg?v=1783945120"/>
    <hyperlink ref="C279" r:id="rId523" display="https://striking-viking.com/fr/products/striking-viking-beard-growth-oil-with-biotin-sandalwood"/>
    <hyperlink ref="D279" r:id="rId524" display="https://striking-viking.com/cdn/shop/files/preview_images/032fdd356ead42c19de3ca802ac3a37b.thumbnail.0000000000_1024x1024.jpg?v=1786599587"/>
    <hyperlink ref="C280" r:id="rId525" display="https://striking-viking.com/es/products/striking-viking-citrus-beard-balm"/>
    <hyperlink ref="D280" r:id="rId526" display="https://striking-viking.com/cdn/shop/files/preview_images/54420569ea0440298c3f837092838622.thumbnail.0000000000_1024x1024.jpg?v=1786600582"/>
    <hyperlink ref="C281" r:id="rId527" display="https://striking-viking.com/en-ca/products/charlemagne-carbon-hair-comb-for-men-professional-heat-resistant-styling-detangling-comb"/>
    <hyperlink ref="D281" r:id="rId528" display="https://striking-viking.com/cdn/shop/files/preview_images/ea71e2ed828246ed942cb9b167fb5a7e.thumbnail.0000000000_1024x1024.jpg?v=1783948364"/>
    <hyperlink ref="C282" r:id="rId529" display="https://striking-viking.com/fr/products/striking-viking-sandalwood-beard-balm"/>
    <hyperlink ref="D282" r:id="rId530" display="https://striking-viking.com/cdn/shop/files/preview_images/61498a206a02426392439b9e42809c58.thumbnail.0000000000_1024x1024.jpg?v=1786600477"/>
    <hyperlink ref="C283" r:id="rId531" display="https://striking-viking.com/fr-ca/products/striking-viking-beard-balm-variety-4-pack-citrus-vanilla-cedarwood-sandalwood"/>
    <hyperlink ref="D283" r:id="rId532" display="https://striking-viking.com/cdn/shop/files/preview_images/48bcbed35d964c5e8dffe8424e4076a8.thumbnail.0000000000_1024x1024.jpg?v=1786601016"/>
    <hyperlink ref="C284" r:id="rId533" display="https://striking-viking.com/de/products/bartbalsam-geruchsneutral"/>
    <hyperlink ref="D284" r:id="rId534" display="https://striking-viking.com/cdn/shop/files/preview_images/0ebc618aebb84e839189ab492bd964c1.thumbnail.0000000000_1024x1024.jpg?v=1786615713"/>
    <hyperlink ref="C285" r:id="rId535" display="https://striking-viking.com/en-gb/products/striking-viking-beard-growth-oil-with-biotin-sandalwood"/>
    <hyperlink ref="D285" r:id="rId536" display="https://striking-viking.com/cdn/shop/files/preview_images/032fdd356ead42c19de3ca802ac3a37b.thumbnail.0000000000_1024x1024.jpg?v=1786599587"/>
    <hyperlink ref="C286" r:id="rId537" display="https://striking-viking.com/es/products/striking-viking-citrus-beard-oil"/>
    <hyperlink ref="D286" r:id="rId538" display="https://striking-viking.com/cdn/shop/files/preview_images/59360cd09ea240a0b2661030d5829c72.thumbnail.0000000000_1024x1024.jpg?v=1786601332"/>
    <hyperlink ref="C287" r:id="rId539" display="https://striking-viking.com/fr-ca/products/striking-viking-unscented-beard-balm-natural-beard-styling-conditioning"/>
    <hyperlink ref="D287" r:id="rId540" display="https://striking-viking.com/cdn/shop/files/preview_images/0ebc618aebb84e839189ab492bd964c1.thumbnail.0000000000_1024x1024.jpg?v=1786615713"/>
    <hyperlink ref="C288" r:id="rId541" display="https://striking-viking.com/no/products/striking-viking-unscented-beard-balm-natural-beard-styling-conditioning"/>
    <hyperlink ref="D288" r:id="rId542" display="https://striking-viking.com/cdn/shop/files/preview_images/0ebc618aebb84e839189ab492bd964c1.thumbnail.0000000000_1024x1024.jpg?v=1786615713"/>
    <hyperlink ref="C289" r:id="rId543" display="https://striking-viking.com/products/striking-viking-citrus-beard-oil"/>
    <hyperlink ref="D289" r:id="rId544" display="https://striking-viking.com/cdn/shop/files/preview_images/59360cd09ea240a0b2661030d5829c72.thumbnail.0000000000_1024x1024.jpg?v=1786601332"/>
    <hyperlink ref="C290" r:id="rId545" display="https://striking-viking.com/it/products/charlemagne-carbon-wide-tooth-comb-for-men-heat-resistant-carbon-fiber-hair-comb"/>
    <hyperlink ref="D290" r:id="rId546" display="https://striking-viking.com/cdn/shop/files/preview_images/ea71e2ed828246ed942cb9b167fb5a7e.thumbnail.0000000000_1024x1024.jpg?v=1783948364"/>
    <hyperlink ref="C291" r:id="rId547" display="https://striking-viking.com/fr-ca/products/striking-viking-sandalwood-beard-balm"/>
    <hyperlink ref="D291" r:id="rId548" display="https://striking-viking.com/cdn/shop/files/preview_images/61498a206a02426392439b9e42809c58.thumbnail.0000000000_1024x1024.jpg?v=1786600477"/>
    <hyperlink ref="C292" r:id="rId549" display="https://striking-viking.com/sv/products/striking-viking-sandalwood-beard-oil"/>
    <hyperlink ref="D292" r:id="rId550" display="https://striking-viking.com/cdn/shop/files/preview_images/694214d8b7b34d50be83f74012b962d8.thumbnail.0000000000_1024x1024.jpg?v=1786601440"/>
    <hyperlink ref="C293" r:id="rId551" display="https://striking-viking.com/no/products/striking-viking-beard-oil-variety-4-pack-citrus-vanilla-cedarwood-sandalwood"/>
    <hyperlink ref="D293" r:id="rId552" display="https://striking-viking.com/cdn/shop/files/preview_images/2aac013d604940b58d3cb008c2f75bb9.thumbnail.0000000000_1024x1024.jpg?v=1786600897"/>
    <hyperlink ref="C294" r:id="rId553" display="https://striking-viking.com/en-ca/products/striking-viking-sandalwood-beard-oil"/>
    <hyperlink ref="D294" r:id="rId554" display="https://striking-viking.com/cdn/shop/files/preview_images/694214d8b7b34d50be83f74012b962d8.thumbnail.0000000000_1024x1024.jpg?v=1786601440"/>
    <hyperlink ref="C295" r:id="rId555" display="https://striking-viking.com/fr-ca/products/striking-viking-citrus-beard-oil"/>
    <hyperlink ref="D295" r:id="rId556" display="https://striking-viking.com/cdn/shop/files/preview_images/59360cd09ea240a0b2661030d5829c72.thumbnail.0000000000_1024x1024.jpg?v=1786601332"/>
    <hyperlink ref="C296" r:id="rId557" display="https://striking-viking.com/fi/products/striking-viking-vanilla-beard-balm"/>
    <hyperlink ref="D296" r:id="rId558" display="https://striking-viking.com/cdn/shop/files/preview_images/654292f4a09e42b6b95c9ef48340e293.thumbnail.0000000000_1024x1024.jpg?v=1786600236"/>
    <hyperlink ref="C297" r:id="rId559" display="https://striking-viking.com/es/products/striking-viking-folding-wooden-comb-sandalwood-beard-hair-comb"/>
    <hyperlink ref="D297" r:id="rId560" display="https://striking-viking.com/cdn/shop/files/preview_images/3b2d1290045c417e8b589a319a2e2fbf.thumbnail.0000000000_1024x1024.jpg?v=1786616279"/>
    <hyperlink ref="C298" r:id="rId561" display="https://striking-viking.com/fr/products/charlemagne-original-hair-pomade-for-men-strong-hold-water-based-styling-pomade-100ml"/>
    <hyperlink ref="D298" r:id="rId562" display="https://striking-viking.com/cdn/shop/files/preview_images/ea71e2ed828246ed942cb9b167fb5a7e.thumbnail.0000000000_1024x1024.jpg?v=1783948364"/>
    <hyperlink ref="C299" r:id="rId563" display="https://striking-viking.com/sv/products/sandalwood-wooden-beard-comb-black-striking-viking"/>
    <hyperlink ref="D299" r:id="rId564" display="https://striking-viking.com/cdn/shop/files/preview_images/630e16646ea940d38a7dbfb0a14c8ee6.thumbnail.0000000000_1024x1024.jpg?v=1786617599"/>
    <hyperlink ref="C300" r:id="rId565" display="https://striking-viking.com/es/products/striking-viking-unscented-beard-butter-for-moisturizing-softening-daily-beard-care"/>
    <hyperlink ref="D300" r:id="rId566" display="https://striking-viking.com/cdn/shop/files/preview_images/e5633e001a744211bc5b12bd22e9862c.thumbnail.0000000000_1024x1024.jpg?v=1783945120"/>
    <hyperlink ref="C301" r:id="rId567" display="https://striking-viking.com/no/products/charlemagne-round-hair-brush-for-men-professional-styling-brush-for-volume-blow-drying"/>
    <hyperlink ref="D301" r:id="rId568" display="https://striking-viking.com/cdn/shop/files/preview_images/ea71e2ed828246ed942cb9b167fb5a7e.thumbnail.0000000000_1024x1024.jpg?v=1783948364"/>
    <hyperlink ref="C302" r:id="rId569" display="https://striking-viking.com/fr/products/striking-viking-unscented-beard-balm-natural-beard-styling-conditioning"/>
    <hyperlink ref="D302" r:id="rId570" display="https://striking-viking.com/cdn/shop/files/preview_images/0ebc618aebb84e839189ab492bd964c1.thumbnail.0000000000_1024x1024.jpg?v=1786615713"/>
    <hyperlink ref="C303" r:id="rId571" display="https://striking-viking.com/fi/blogs/learn/41234689-brian-wilson"/>
    <hyperlink ref="C304" r:id="rId572" display="https://striking-viking.com/it/blogs/learn/41241281-the-dude"/>
    <hyperlink ref="C305" r:id="rId573" display="https://striking-viking.com/sv/products/striking-viking-citrus-beard-balm"/>
    <hyperlink ref="D305" r:id="rId574" display="https://striking-viking.com/cdn/shop/files/preview_images/54420569ea0440298c3f837092838622.thumbnail.0000000000_1024x1024.jpg?v=1786600582"/>
    <hyperlink ref="C306" r:id="rId575" display="https://striking-viking.com/en-ca/blogs/learn/41241281-the-dude"/>
    <hyperlink ref="C307" r:id="rId576" display="https://striking-viking.com/no/products/striking-viking-beard-balm-variety-4-pack-citrus-vanilla-cedarwood-sandalwood"/>
    <hyperlink ref="D307" r:id="rId577" display="https://striking-viking.com/cdn/shop/files/preview_images/48bcbed35d964c5e8dffe8424e4076a8.thumbnail.0000000000_1024x1024.jpg?v=1786601016"/>
    <hyperlink ref="C308" r:id="rId578" display="https://striking-viking.com/de/products/bartwuchsol-biotin"/>
    <hyperlink ref="D308" r:id="rId579" display="https://striking-viking.com/cdn/shop/files/preview_images/032fdd356ead42c19de3ca802ac3a37b.thumbnail.0000000000_1024x1024.jpg?v=1786599587"/>
    <hyperlink ref="C309" r:id="rId580" display="https://striking-viking.com/sv/products/striking-viking-beard-balm-variety-4-pack-citrus-vanilla-cedarwood-sandalwood"/>
    <hyperlink ref="D309" r:id="rId581" display="https://striking-viking.com/cdn/shop/files/preview_images/48bcbed35d964c5e8dffe8424e4076a8.thumbnail.0000000000_1024x1024.jpg?v=1786601016"/>
    <hyperlink ref="C310" r:id="rId582" display="https://striking-viking.com/sv/products/striking-viking-unscented-beard-butter-for-moisturizing-softening-daily-beard-care"/>
    <hyperlink ref="D310" r:id="rId583" display="https://striking-viking.com/cdn/shop/files/preview_images/e5633e001a744211bc5b12bd22e9862c.thumbnail.0000000000_1024x1024.jpg?v=1783945120"/>
    <hyperlink ref="C311" r:id="rId584" display="https://striking-viking.com/fr-ca/blogs/learn/41241281-the-dude"/>
    <hyperlink ref="C312" r:id="rId585" display="https://striking-viking.com/no/products/charlemagne-carbon-wide-tooth-comb-for-men-heat-resistant-carbon-fiber-hair-comb"/>
    <hyperlink ref="D312" r:id="rId586" display="https://striking-viking.com/cdn/shop/files/preview_images/ea71e2ed828246ed942cb9b167fb5a7e.thumbnail.0000000000_1024x1024.jpg?v=1783948364"/>
    <hyperlink ref="C313" r:id="rId587" display="https://striking-viking.com/sv/products/striking-viking-sandalwood-wooden-beard-comb-brown"/>
    <hyperlink ref="D313" r:id="rId588" display="https://striking-viking.com/cdn/shop/files/preview_images/32f6dad1813c4e97ac84d74390b8e3ba.thumbnail.0000000000_1024x1024.jpg?v=1786604633"/>
    <hyperlink ref="C314" r:id="rId589" display="https://striking-viking.com/fr-ca/products/charlemagne-original-hair-pomade-for-men-strong-hold-water-based-styling-pomade-100ml"/>
    <hyperlink ref="D314" r:id="rId590" display="https://striking-viking.com/cdn/shop/files/preview_images/ea71e2ed828246ed942cb9b167fb5a7e.thumbnail.0000000000_1024x1024.jpg?v=1783948364"/>
    <hyperlink ref="C315" r:id="rId591" display="https://striking-viking.com/no/products/striking-viking-citrus-beard-oil"/>
    <hyperlink ref="D315" r:id="rId592" display="https://striking-viking.com/cdn/shop/files/preview_images/59360cd09ea240a0b2661030d5829c72.thumbnail.0000000000_1024x1024.jpg?v=1786601332"/>
    <hyperlink ref="C316" r:id="rId593" display="https://striking-viking.com/no/products/charlemagne-carbon-hair-comb-for-men-professional-heat-resistant-styling-detangling-comb"/>
    <hyperlink ref="D316" r:id="rId594" display="https://striking-viking.com/cdn/shop/files/preview_images/ea71e2ed828246ed942cb9b167fb5a7e.thumbnail.0000000000_1024x1024.jpg?v=1783948364"/>
    <hyperlink ref="C317" r:id="rId595" display="https://striking-viking.com/es/products/striking-viking-beard-balm-variety-4-pack-citrus-vanilla-cedarwood-sandalwood"/>
    <hyperlink ref="D317" r:id="rId596" display="https://striking-viking.com/cdn/shop/files/preview_images/48bcbed35d964c5e8dffe8424e4076a8.thumbnail.0000000000_1024x1024.jpg?v=1786601016"/>
    <hyperlink ref="C318" r:id="rId597" display="https://striking-viking.com/no/products/striking-viking-beard-shampoo-with-natural-peppermint-eucalyptus-for-refreshing-beard-care"/>
    <hyperlink ref="D318" r:id="rId598" display="https://striking-viking.com/cdn/shop/files/preview_images/133175d72f9a4cf5aaecad8194713d87.thumbnail.0000000000_1024x1024.jpg?v=1783943838"/>
    <hyperlink ref="C319" r:id="rId599" display="https://striking-viking.com/en-gb/products/striking-viking-cedarwood-beard-balm"/>
    <hyperlink ref="D319" r:id="rId600" display="https://striking-viking.com/cdn/shop/files/preview_images/c89d3523362c428dade03256b113e919.thumbnail.0000000000_1024x1024.jpg?v=1786600350"/>
    <hyperlink ref="C320" r:id="rId601" display="https://striking-viking.com/fi/products/striking-viking-beard-growth-oil-with-biotin-sandalwood"/>
    <hyperlink ref="D320" r:id="rId602" display="https://striking-viking.com/cdn/shop/files/preview_images/032fdd356ead42c19de3ca802ac3a37b.thumbnail.0000000000_1024x1024.jpg?v=1786599587"/>
    <hyperlink ref="C321" r:id="rId603" display="https://striking-viking.com/it/products/striking-viking-beard-shampoo-with-natural-peppermint-eucalyptus-for-refreshing-beard-care"/>
    <hyperlink ref="D321" r:id="rId604" display="https://striking-viking.com/cdn/shop/files/preview_images/133175d72f9a4cf5aaecad8194713d87.thumbnail.0000000000_1024x1024.jpg?v=1783943838"/>
    <hyperlink ref="C322" r:id="rId605" display="https://striking-viking.com/fr-ca/products/striking-viking-unscented-beard-oil-natural-organic-beard-care"/>
    <hyperlink ref="D322" r:id="rId606" display="https://striking-viking.com/cdn/shop/files/preview_images/8a045c5fae8942ea962f142b6e25d24a.thumbnail.0000000000_1024x1024.jpg?v=1786610842"/>
    <hyperlink ref="C323" r:id="rId607" display="https://striking-viking.com/es/products/striking-viking-sandalwood-wooden-beard-comb-brown"/>
    <hyperlink ref="D323" r:id="rId608" display="https://striking-viking.com/cdn/shop/files/preview_images/32f6dad1813c4e97ac84d74390b8e3ba.thumbnail.0000000000_1024x1024.jpg?v=1786604633"/>
    <hyperlink ref="C324" r:id="rId609" display="https://striking-viking.com/en-ca/products/striking-viking-citrus-beard-oil"/>
    <hyperlink ref="D324" r:id="rId610" display="https://striking-viking.com/cdn/shop/files/preview_images/59360cd09ea240a0b2661030d5829c72.thumbnail.0000000000_1024x1024.jpg?v=178660133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B59"/>
    <pageSetUpPr fitToPage="false"/>
  </sheetPr>
  <dimension ref="B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5.88"/>
    <col collapsed="false" customWidth="true" hidden="false" outlineLevel="0" max="3" min="3" style="0" width="20.63"/>
    <col collapsed="false" customWidth="true" hidden="false" outlineLevel="0" max="4" min="4" style="0" width="58.51"/>
    <col collapsed="false" customWidth="true" hidden="false" outlineLevel="0" max="6" min="6" style="0" width="21.75"/>
    <col collapsed="false" customWidth="true" hidden="false" outlineLevel="0" max="9" min="9" style="0" width="22"/>
  </cols>
  <sheetData>
    <row r="1" customFormat="false" ht="15" hidden="false" customHeight="false" outlineLevel="0" collapsed="false">
      <c r="C1" s="72"/>
      <c r="D1" s="93"/>
      <c r="E1" s="72"/>
      <c r="F1" s="72"/>
      <c r="I1" s="26" t="str">
        <f aca="false">HYPERLINK("#'Master Overview'!A1","&lt;&lt; Master Overview")</f>
        <v>&lt;&lt; Master Overview</v>
      </c>
    </row>
    <row r="2" customFormat="false" ht="15" hidden="false" customHeight="false" outlineLevel="0" collapsed="false">
      <c r="C2" s="72"/>
      <c r="D2" s="93"/>
      <c r="E2" s="72"/>
      <c r="F2" s="72"/>
      <c r="I2" s="2" t="s">
        <v>10649</v>
      </c>
    </row>
    <row r="3" customFormat="false" ht="15" hidden="false" customHeight="false" outlineLevel="0" collapsed="false">
      <c r="C3" s="72"/>
      <c r="D3" s="93"/>
      <c r="E3" s="72"/>
      <c r="F3" s="72"/>
    </row>
    <row r="4" customFormat="false" ht="18.55" hidden="false" customHeight="false" outlineLevel="0" collapsed="false">
      <c r="B4" s="96" t="s">
        <v>142</v>
      </c>
      <c r="C4" s="96"/>
      <c r="D4" s="96"/>
      <c r="E4" s="96"/>
      <c r="F4" s="96"/>
      <c r="G4" s="96"/>
    </row>
    <row r="5" customFormat="false" ht="15" hidden="false" customHeight="false" outlineLevel="0" collapsed="false">
      <c r="B5" s="78" t="s">
        <v>7033</v>
      </c>
      <c r="C5" s="77" t="s">
        <v>6865</v>
      </c>
      <c r="D5" s="95" t="s">
        <v>6866</v>
      </c>
      <c r="E5" s="77" t="s">
        <v>6867</v>
      </c>
      <c r="F5" s="77" t="s">
        <v>6868</v>
      </c>
      <c r="G5" s="88" t="s">
        <v>81</v>
      </c>
    </row>
    <row r="6" customFormat="false" ht="15" hidden="false" customHeight="false" outlineLevel="0" collapsed="false">
      <c r="B6" s="97" t="s">
        <v>7169</v>
      </c>
      <c r="C6" s="38" t="n">
        <v>200</v>
      </c>
      <c r="D6" s="39" t="s">
        <v>7170</v>
      </c>
      <c r="E6" s="38" t="n">
        <v>404</v>
      </c>
      <c r="F6" s="38" t="s">
        <v>7171</v>
      </c>
      <c r="G6" s="51" t="s">
        <v>10650</v>
      </c>
    </row>
    <row r="7" customFormat="false" ht="15" hidden="false" customHeight="false" outlineLevel="0" collapsed="false">
      <c r="B7" s="97" t="s">
        <v>7172</v>
      </c>
      <c r="C7" s="38" t="n">
        <v>200</v>
      </c>
      <c r="D7" s="39" t="s">
        <v>7173</v>
      </c>
      <c r="E7" s="38" t="n">
        <v>301</v>
      </c>
      <c r="F7" s="38" t="s">
        <v>7174</v>
      </c>
      <c r="G7" s="51" t="s">
        <v>10650</v>
      </c>
    </row>
    <row r="8" customFormat="false" ht="15" hidden="false" customHeight="false" outlineLevel="0" collapsed="false">
      <c r="B8" s="97" t="s">
        <v>7176</v>
      </c>
      <c r="C8" s="38" t="n">
        <v>200</v>
      </c>
      <c r="D8" s="39" t="s">
        <v>7177</v>
      </c>
      <c r="E8" s="38" t="n">
        <v>404</v>
      </c>
      <c r="F8" s="38" t="s">
        <v>7178</v>
      </c>
      <c r="G8" s="51" t="s">
        <v>10650</v>
      </c>
    </row>
    <row r="9" customFormat="false" ht="15" hidden="false" customHeight="false" outlineLevel="0" collapsed="false">
      <c r="B9" s="97" t="s">
        <v>7179</v>
      </c>
      <c r="C9" s="38" t="n">
        <v>200</v>
      </c>
      <c r="D9" s="39" t="s">
        <v>7173</v>
      </c>
      <c r="E9" s="38" t="n">
        <v>301</v>
      </c>
      <c r="F9" s="38" t="s">
        <v>7180</v>
      </c>
      <c r="G9" s="51"/>
    </row>
    <row r="10" customFormat="false" ht="15" hidden="false" customHeight="false" outlineLevel="0" collapsed="false">
      <c r="B10" s="97" t="s">
        <v>7181</v>
      </c>
      <c r="C10" s="38" t="n">
        <v>200</v>
      </c>
      <c r="D10" s="39" t="s">
        <v>7170</v>
      </c>
      <c r="E10" s="38" t="n">
        <v>404</v>
      </c>
      <c r="F10" s="38" t="s">
        <v>7182</v>
      </c>
      <c r="G10" s="51" t="s">
        <v>10650</v>
      </c>
    </row>
    <row r="11" customFormat="false" ht="15" hidden="false" customHeight="false" outlineLevel="0" collapsed="false">
      <c r="B11" s="97" t="s">
        <v>7183</v>
      </c>
      <c r="C11" s="38" t="n">
        <v>200</v>
      </c>
      <c r="D11" s="39" t="s">
        <v>7177</v>
      </c>
      <c r="E11" s="38" t="n">
        <v>404</v>
      </c>
      <c r="F11" s="38" t="s">
        <v>7184</v>
      </c>
      <c r="G11" s="51" t="s">
        <v>10650</v>
      </c>
    </row>
    <row r="12" customFormat="false" ht="15" hidden="false" customHeight="false" outlineLevel="0" collapsed="false">
      <c r="B12" s="97" t="s">
        <v>7185</v>
      </c>
      <c r="C12" s="38" t="n">
        <v>200</v>
      </c>
      <c r="D12" s="39" t="s">
        <v>7177</v>
      </c>
      <c r="E12" s="38" t="n">
        <v>404</v>
      </c>
      <c r="F12" s="38" t="s">
        <v>7186</v>
      </c>
      <c r="G12" s="51"/>
    </row>
    <row r="13" customFormat="false" ht="15" hidden="false" customHeight="false" outlineLevel="0" collapsed="false">
      <c r="B13" s="97" t="s">
        <v>7187</v>
      </c>
      <c r="C13" s="38" t="n">
        <v>200</v>
      </c>
      <c r="D13" s="39" t="s">
        <v>7170</v>
      </c>
      <c r="E13" s="38" t="n">
        <v>404</v>
      </c>
      <c r="F13" s="38" t="s">
        <v>7188</v>
      </c>
      <c r="G13" s="51"/>
    </row>
    <row r="14" customFormat="false" ht="15" hidden="false" customHeight="false" outlineLevel="0" collapsed="false">
      <c r="B14" s="97" t="s">
        <v>7189</v>
      </c>
      <c r="C14" s="38" t="n">
        <v>200</v>
      </c>
      <c r="D14" s="39" t="s">
        <v>7170</v>
      </c>
      <c r="E14" s="38" t="n">
        <v>404</v>
      </c>
      <c r="F14" s="38" t="s">
        <v>7190</v>
      </c>
      <c r="G14" s="51"/>
    </row>
    <row r="15" customFormat="false" ht="15" hidden="false" customHeight="false" outlineLevel="0" collapsed="false">
      <c r="B15" s="97" t="s">
        <v>7191</v>
      </c>
      <c r="C15" s="38" t="n">
        <v>200</v>
      </c>
      <c r="D15" s="39" t="s">
        <v>7175</v>
      </c>
      <c r="E15" s="38" t="n">
        <v>404</v>
      </c>
      <c r="F15" s="38" t="s">
        <v>7192</v>
      </c>
      <c r="G15" s="51"/>
    </row>
    <row r="16" customFormat="false" ht="15" hidden="false" customHeight="false" outlineLevel="0" collapsed="false">
      <c r="B16" s="97" t="s">
        <v>7193</v>
      </c>
      <c r="C16" s="38" t="n">
        <v>200</v>
      </c>
      <c r="D16" s="39" t="s">
        <v>7175</v>
      </c>
      <c r="E16" s="38" t="n">
        <v>404</v>
      </c>
      <c r="F16" s="38" t="s">
        <v>7194</v>
      </c>
      <c r="G16" s="51"/>
    </row>
    <row r="17" customFormat="false" ht="15" hidden="false" customHeight="false" outlineLevel="0" collapsed="false">
      <c r="B17" s="97" t="s">
        <v>7195</v>
      </c>
      <c r="C17" s="38" t="n">
        <v>200</v>
      </c>
      <c r="D17" s="39" t="s">
        <v>7175</v>
      </c>
      <c r="E17" s="38" t="n">
        <v>404</v>
      </c>
      <c r="F17" s="38" t="s">
        <v>7196</v>
      </c>
      <c r="G17" s="51"/>
    </row>
    <row r="18" customFormat="false" ht="15" hidden="false" customHeight="false" outlineLevel="0" collapsed="false">
      <c r="B18" s="97" t="s">
        <v>7092</v>
      </c>
      <c r="C18" s="38" t="n">
        <v>200</v>
      </c>
      <c r="D18" s="39" t="s">
        <v>7173</v>
      </c>
      <c r="E18" s="38" t="n">
        <v>301</v>
      </c>
      <c r="F18" s="38" t="s">
        <v>7197</v>
      </c>
      <c r="G18" s="51"/>
    </row>
    <row r="19" customFormat="false" ht="15" hidden="false" customHeight="false" outlineLevel="0" collapsed="false">
      <c r="B19" s="97" t="s">
        <v>7198</v>
      </c>
      <c r="C19" s="38" t="n">
        <v>200</v>
      </c>
      <c r="D19" s="39" t="s">
        <v>7173</v>
      </c>
      <c r="E19" s="38" t="n">
        <v>301</v>
      </c>
      <c r="F19" s="38" t="s">
        <v>7174</v>
      </c>
      <c r="G19" s="51"/>
    </row>
    <row r="20" customFormat="false" ht="15" hidden="false" customHeight="false" outlineLevel="0" collapsed="false">
      <c r="B20" s="97" t="s">
        <v>7199</v>
      </c>
      <c r="C20" s="38" t="n">
        <v>200</v>
      </c>
      <c r="D20" s="39" t="s">
        <v>7175</v>
      </c>
      <c r="E20" s="38" t="n">
        <v>404</v>
      </c>
      <c r="F20" s="38" t="s">
        <v>7196</v>
      </c>
      <c r="G20" s="51"/>
    </row>
    <row r="21" customFormat="false" ht="15" hidden="false" customHeight="false" outlineLevel="0" collapsed="false">
      <c r="B21" s="97" t="s">
        <v>7200</v>
      </c>
      <c r="C21" s="38" t="n">
        <v>200</v>
      </c>
      <c r="D21" s="39" t="s">
        <v>7170</v>
      </c>
      <c r="E21" s="38" t="n">
        <v>404</v>
      </c>
      <c r="F21" s="38" t="s">
        <v>7201</v>
      </c>
      <c r="G21" s="51"/>
    </row>
    <row r="22" customFormat="false" ht="15" hidden="false" customHeight="false" outlineLevel="0" collapsed="false">
      <c r="B22" s="97" t="s">
        <v>7112</v>
      </c>
      <c r="C22" s="38" t="n">
        <v>200</v>
      </c>
      <c r="D22" s="39" t="s">
        <v>7177</v>
      </c>
      <c r="E22" s="38" t="n">
        <v>404</v>
      </c>
      <c r="F22" s="38" t="s">
        <v>7202</v>
      </c>
      <c r="G22" s="51"/>
    </row>
    <row r="23" customFormat="false" ht="15" hidden="false" customHeight="false" outlineLevel="0" collapsed="false">
      <c r="B23" s="97" t="s">
        <v>7203</v>
      </c>
      <c r="C23" s="38" t="n">
        <v>200</v>
      </c>
      <c r="D23" s="39" t="s">
        <v>7177</v>
      </c>
      <c r="E23" s="38" t="n">
        <v>404</v>
      </c>
      <c r="F23" s="38" t="s">
        <v>7204</v>
      </c>
      <c r="G23" s="51"/>
    </row>
    <row r="24" customFormat="false" ht="15" hidden="false" customHeight="false" outlineLevel="0" collapsed="false">
      <c r="B24" s="97" t="s">
        <v>7205</v>
      </c>
      <c r="C24" s="38" t="n">
        <v>200</v>
      </c>
      <c r="D24" s="39" t="s">
        <v>7206</v>
      </c>
      <c r="E24" s="38" t="n">
        <v>404</v>
      </c>
      <c r="F24" s="38" t="s">
        <v>7207</v>
      </c>
      <c r="G24" s="51"/>
    </row>
    <row r="25" customFormat="false" ht="15" hidden="false" customHeight="false" outlineLevel="0" collapsed="false">
      <c r="B25" s="97" t="s">
        <v>7208</v>
      </c>
      <c r="C25" s="38" t="n">
        <v>200</v>
      </c>
      <c r="D25" s="39" t="s">
        <v>7173</v>
      </c>
      <c r="E25" s="38" t="n">
        <v>301</v>
      </c>
      <c r="F25" s="38" t="s">
        <v>7197</v>
      </c>
      <c r="G25" s="51"/>
    </row>
    <row r="26" customFormat="false" ht="15" hidden="false" customHeight="false" outlineLevel="0" collapsed="false">
      <c r="B26" s="97" t="s">
        <v>7209</v>
      </c>
      <c r="C26" s="38" t="n">
        <v>200</v>
      </c>
      <c r="D26" s="39" t="s">
        <v>7175</v>
      </c>
      <c r="E26" s="38" t="n">
        <v>404</v>
      </c>
      <c r="F26" s="38" t="s">
        <v>7210</v>
      </c>
      <c r="G26" s="51"/>
    </row>
    <row r="27" customFormat="false" ht="15" hidden="false" customHeight="false" outlineLevel="0" collapsed="false">
      <c r="B27" s="97" t="s">
        <v>7211</v>
      </c>
      <c r="C27" s="38" t="n">
        <v>200</v>
      </c>
      <c r="D27" s="39" t="s">
        <v>7170</v>
      </c>
      <c r="E27" s="38" t="n">
        <v>404</v>
      </c>
      <c r="F27" s="38" t="s">
        <v>7212</v>
      </c>
      <c r="G27" s="51"/>
    </row>
    <row r="28" customFormat="false" ht="15" hidden="false" customHeight="false" outlineLevel="0" collapsed="false">
      <c r="B28" s="97" t="s">
        <v>7213</v>
      </c>
      <c r="C28" s="38" t="n">
        <v>200</v>
      </c>
      <c r="D28" s="39" t="s">
        <v>7177</v>
      </c>
      <c r="E28" s="38" t="n">
        <v>404</v>
      </c>
      <c r="F28" s="38" t="s">
        <v>7202</v>
      </c>
      <c r="G28" s="51"/>
    </row>
    <row r="29" customFormat="false" ht="15" hidden="false" customHeight="false" outlineLevel="0" collapsed="false">
      <c r="B29" s="97" t="s">
        <v>7076</v>
      </c>
      <c r="C29" s="38" t="n">
        <v>200</v>
      </c>
      <c r="D29" s="39" t="s">
        <v>7177</v>
      </c>
      <c r="E29" s="38" t="n">
        <v>404</v>
      </c>
      <c r="F29" s="38" t="s">
        <v>7214</v>
      </c>
      <c r="G29" s="51"/>
    </row>
    <row r="30" customFormat="false" ht="15" hidden="false" customHeight="false" outlineLevel="0" collapsed="false">
      <c r="B30" s="97" t="s">
        <v>7198</v>
      </c>
      <c r="C30" s="38" t="n">
        <v>200</v>
      </c>
      <c r="D30" s="39" t="s">
        <v>7206</v>
      </c>
      <c r="E30" s="38" t="n">
        <v>404</v>
      </c>
      <c r="F30" s="38" t="s">
        <v>7215</v>
      </c>
      <c r="G30" s="51"/>
    </row>
    <row r="31" customFormat="false" ht="15" hidden="false" customHeight="false" outlineLevel="0" collapsed="false">
      <c r="B31" s="97" t="s">
        <v>7216</v>
      </c>
      <c r="C31" s="38" t="n">
        <v>200</v>
      </c>
      <c r="D31" s="39" t="s">
        <v>7175</v>
      </c>
      <c r="E31" s="38" t="n">
        <v>404</v>
      </c>
      <c r="F31" s="38" t="s">
        <v>7192</v>
      </c>
      <c r="G31" s="51"/>
    </row>
    <row r="32" customFormat="false" ht="15" hidden="false" customHeight="false" outlineLevel="0" collapsed="false">
      <c r="B32" s="97" t="s">
        <v>7217</v>
      </c>
      <c r="C32" s="38" t="n">
        <v>200</v>
      </c>
      <c r="D32" s="39" t="s">
        <v>7206</v>
      </c>
      <c r="E32" s="38" t="n">
        <v>404</v>
      </c>
      <c r="F32" s="38" t="s">
        <v>7218</v>
      </c>
      <c r="G32" s="51"/>
    </row>
    <row r="33" customFormat="false" ht="15" hidden="false" customHeight="false" outlineLevel="0" collapsed="false">
      <c r="B33" s="97" t="s">
        <v>7219</v>
      </c>
      <c r="C33" s="38" t="n">
        <v>200</v>
      </c>
      <c r="D33" s="39" t="s">
        <v>7170</v>
      </c>
      <c r="E33" s="38" t="n">
        <v>404</v>
      </c>
      <c r="F33" s="38" t="s">
        <v>7220</v>
      </c>
      <c r="G33" s="51"/>
    </row>
    <row r="34" customFormat="false" ht="15" hidden="false" customHeight="false" outlineLevel="0" collapsed="false">
      <c r="B34" s="97" t="s">
        <v>7221</v>
      </c>
      <c r="C34" s="38" t="n">
        <v>200</v>
      </c>
      <c r="D34" s="39" t="s">
        <v>7177</v>
      </c>
      <c r="E34" s="38" t="n">
        <v>404</v>
      </c>
      <c r="F34" s="38" t="s">
        <v>7202</v>
      </c>
      <c r="G34" s="51"/>
    </row>
    <row r="35" customFormat="false" ht="15" hidden="false" customHeight="false" outlineLevel="0" collapsed="false">
      <c r="B35" s="97" t="s">
        <v>7208</v>
      </c>
      <c r="C35" s="38" t="n">
        <v>200</v>
      </c>
      <c r="D35" s="39" t="s">
        <v>7206</v>
      </c>
      <c r="E35" s="38" t="n">
        <v>404</v>
      </c>
      <c r="F35" s="38" t="s">
        <v>7222</v>
      </c>
      <c r="G35" s="51"/>
    </row>
    <row r="36" customFormat="false" ht="15" hidden="false" customHeight="false" outlineLevel="0" collapsed="false">
      <c r="B36" s="97" t="s">
        <v>7223</v>
      </c>
      <c r="C36" s="38" t="n">
        <v>200</v>
      </c>
      <c r="D36" s="39" t="s">
        <v>7175</v>
      </c>
      <c r="E36" s="38" t="n">
        <v>404</v>
      </c>
      <c r="F36" s="38" t="s">
        <v>7224</v>
      </c>
      <c r="G36" s="51"/>
    </row>
    <row r="37" customFormat="false" ht="15" hidden="false" customHeight="false" outlineLevel="0" collapsed="false">
      <c r="B37" s="97" t="s">
        <v>7225</v>
      </c>
      <c r="C37" s="38" t="n">
        <v>200</v>
      </c>
      <c r="D37" s="39" t="s">
        <v>7175</v>
      </c>
      <c r="E37" s="38" t="n">
        <v>404</v>
      </c>
      <c r="F37" s="38" t="s">
        <v>7226</v>
      </c>
      <c r="G37" s="51"/>
    </row>
    <row r="38" customFormat="false" ht="15" hidden="false" customHeight="false" outlineLevel="0" collapsed="false">
      <c r="B38" s="97" t="s">
        <v>7092</v>
      </c>
      <c r="C38" s="38" t="n">
        <v>200</v>
      </c>
      <c r="D38" s="39" t="s">
        <v>7206</v>
      </c>
      <c r="E38" s="38" t="n">
        <v>404</v>
      </c>
      <c r="F38" s="38" t="s">
        <v>7222</v>
      </c>
      <c r="G38" s="51"/>
    </row>
    <row r="39" customFormat="false" ht="15" hidden="false" customHeight="false" outlineLevel="0" collapsed="false">
      <c r="B39" s="97" t="s">
        <v>7125</v>
      </c>
      <c r="C39" s="38" t="n">
        <v>200</v>
      </c>
      <c r="D39" s="39" t="s">
        <v>7170</v>
      </c>
      <c r="E39" s="38" t="n">
        <v>404</v>
      </c>
      <c r="F39" s="38" t="s">
        <v>7182</v>
      </c>
      <c r="G39" s="51"/>
    </row>
    <row r="40" customFormat="false" ht="15" hidden="false" customHeight="false" outlineLevel="0" collapsed="false">
      <c r="B40" s="97" t="s">
        <v>7227</v>
      </c>
      <c r="C40" s="38" t="n">
        <v>200</v>
      </c>
      <c r="D40" s="39" t="s">
        <v>7206</v>
      </c>
      <c r="E40" s="38" t="n">
        <v>404</v>
      </c>
      <c r="F40" s="38" t="s">
        <v>7228</v>
      </c>
      <c r="G40" s="51"/>
    </row>
    <row r="41" customFormat="false" ht="15" hidden="false" customHeight="false" outlineLevel="0" collapsed="false">
      <c r="B41" s="97" t="s">
        <v>7229</v>
      </c>
      <c r="C41" s="38" t="n">
        <v>200</v>
      </c>
      <c r="D41" s="39" t="s">
        <v>7173</v>
      </c>
      <c r="E41" s="38" t="n">
        <v>301</v>
      </c>
      <c r="F41" s="38" t="s">
        <v>7230</v>
      </c>
      <c r="G41" s="51"/>
    </row>
    <row r="42" customFormat="false" ht="15" hidden="false" customHeight="false" outlineLevel="0" collapsed="false">
      <c r="B42" s="97" t="s">
        <v>7217</v>
      </c>
      <c r="C42" s="38" t="n">
        <v>200</v>
      </c>
      <c r="D42" s="39" t="s">
        <v>7173</v>
      </c>
      <c r="E42" s="38" t="n">
        <v>301</v>
      </c>
      <c r="F42" s="38" t="s">
        <v>7231</v>
      </c>
      <c r="G42" s="51"/>
    </row>
    <row r="43" customFormat="false" ht="15" hidden="false" customHeight="false" outlineLevel="0" collapsed="false">
      <c r="B43" s="97" t="s">
        <v>7232</v>
      </c>
      <c r="C43" s="38" t="n">
        <v>200</v>
      </c>
      <c r="D43" s="39" t="s">
        <v>7177</v>
      </c>
      <c r="E43" s="38" t="n">
        <v>404</v>
      </c>
      <c r="F43" s="38" t="s">
        <v>7233</v>
      </c>
      <c r="G43" s="51"/>
    </row>
    <row r="44" customFormat="false" ht="15" hidden="false" customHeight="false" outlineLevel="0" collapsed="false">
      <c r="B44" s="97" t="s">
        <v>7234</v>
      </c>
      <c r="C44" s="38" t="n">
        <v>200</v>
      </c>
      <c r="D44" s="39" t="s">
        <v>7206</v>
      </c>
      <c r="E44" s="38" t="n">
        <v>404</v>
      </c>
      <c r="F44" s="38" t="s">
        <v>7222</v>
      </c>
      <c r="G44" s="51"/>
    </row>
    <row r="45" customFormat="false" ht="15" hidden="false" customHeight="false" outlineLevel="0" collapsed="false">
      <c r="B45" s="97" t="s">
        <v>7235</v>
      </c>
      <c r="C45" s="38" t="n">
        <v>200</v>
      </c>
      <c r="D45" s="39" t="s">
        <v>7177</v>
      </c>
      <c r="E45" s="38" t="n">
        <v>404</v>
      </c>
      <c r="F45" s="38" t="s">
        <v>7236</v>
      </c>
      <c r="G45" s="51"/>
    </row>
    <row r="46" customFormat="false" ht="15" hidden="false" customHeight="false" outlineLevel="0" collapsed="false">
      <c r="B46" s="97" t="s">
        <v>7237</v>
      </c>
      <c r="C46" s="38" t="n">
        <v>200</v>
      </c>
      <c r="D46" s="39" t="s">
        <v>7175</v>
      </c>
      <c r="E46" s="38" t="n">
        <v>404</v>
      </c>
      <c r="F46" s="38" t="s">
        <v>7238</v>
      </c>
      <c r="G46" s="51"/>
    </row>
    <row r="47" customFormat="false" ht="15" hidden="false" customHeight="false" outlineLevel="0" collapsed="false">
      <c r="B47" s="97" t="s">
        <v>7239</v>
      </c>
      <c r="C47" s="38" t="n">
        <v>200</v>
      </c>
      <c r="D47" s="39" t="s">
        <v>7177</v>
      </c>
      <c r="E47" s="38" t="n">
        <v>404</v>
      </c>
      <c r="F47" s="38" t="s">
        <v>7240</v>
      </c>
      <c r="G47" s="51"/>
    </row>
    <row r="48" customFormat="false" ht="15" hidden="false" customHeight="false" outlineLevel="0" collapsed="false">
      <c r="B48" s="97" t="s">
        <v>7227</v>
      </c>
      <c r="C48" s="38" t="n">
        <v>200</v>
      </c>
      <c r="D48" s="39" t="s">
        <v>7173</v>
      </c>
      <c r="E48" s="38" t="n">
        <v>301</v>
      </c>
      <c r="F48" s="38" t="s">
        <v>7241</v>
      </c>
      <c r="G48" s="51"/>
    </row>
    <row r="49" customFormat="false" ht="15" hidden="false" customHeight="false" outlineLevel="0" collapsed="false">
      <c r="B49" s="97" t="s">
        <v>7242</v>
      </c>
      <c r="C49" s="38" t="n">
        <v>200</v>
      </c>
      <c r="D49" s="39" t="s">
        <v>7177</v>
      </c>
      <c r="E49" s="38" t="n">
        <v>404</v>
      </c>
      <c r="F49" s="38" t="s">
        <v>7214</v>
      </c>
      <c r="G49" s="51"/>
    </row>
    <row r="50" customFormat="false" ht="15" hidden="false" customHeight="false" outlineLevel="0" collapsed="false">
      <c r="B50" s="97" t="s">
        <v>7229</v>
      </c>
      <c r="C50" s="38" t="n">
        <v>200</v>
      </c>
      <c r="D50" s="39" t="s">
        <v>7206</v>
      </c>
      <c r="E50" s="38" t="n">
        <v>404</v>
      </c>
      <c r="F50" s="38" t="s">
        <v>7243</v>
      </c>
      <c r="G50" s="51"/>
    </row>
    <row r="51" customFormat="false" ht="15" hidden="false" customHeight="false" outlineLevel="0" collapsed="false">
      <c r="B51" s="97" t="s">
        <v>7244</v>
      </c>
      <c r="C51" s="38" t="n">
        <v>200</v>
      </c>
      <c r="D51" s="39" t="s">
        <v>7170</v>
      </c>
      <c r="E51" s="38" t="n">
        <v>404</v>
      </c>
      <c r="F51" s="38" t="s">
        <v>7245</v>
      </c>
      <c r="G51" s="51"/>
    </row>
    <row r="52" customFormat="false" ht="15" hidden="false" customHeight="false" outlineLevel="0" collapsed="false">
      <c r="B52" s="97" t="s">
        <v>7246</v>
      </c>
      <c r="C52" s="38" t="n">
        <v>200</v>
      </c>
      <c r="D52" s="39" t="s">
        <v>7177</v>
      </c>
      <c r="E52" s="38" t="n">
        <v>404</v>
      </c>
      <c r="F52" s="38" t="s">
        <v>7247</v>
      </c>
      <c r="G52" s="51"/>
    </row>
    <row r="53" customFormat="false" ht="15" hidden="false" customHeight="false" outlineLevel="0" collapsed="false">
      <c r="B53" s="97" t="s">
        <v>7234</v>
      </c>
      <c r="C53" s="38" t="n">
        <v>200</v>
      </c>
      <c r="D53" s="39" t="s">
        <v>7173</v>
      </c>
      <c r="E53" s="38" t="n">
        <v>301</v>
      </c>
      <c r="F53" s="38" t="s">
        <v>7197</v>
      </c>
      <c r="G53" s="51"/>
    </row>
    <row r="54" customFormat="false" ht="15" hidden="false" customHeight="false" outlineLevel="0" collapsed="false">
      <c r="B54" s="97" t="s">
        <v>7205</v>
      </c>
      <c r="C54" s="38" t="n">
        <v>200</v>
      </c>
      <c r="D54" s="39" t="s">
        <v>7173</v>
      </c>
      <c r="E54" s="38" t="n">
        <v>301</v>
      </c>
      <c r="F54" s="38" t="s">
        <v>7248</v>
      </c>
      <c r="G54" s="51"/>
    </row>
    <row r="55" customFormat="false" ht="15" hidden="false" customHeight="false" outlineLevel="0" collapsed="false">
      <c r="B55" s="97" t="s">
        <v>7249</v>
      </c>
      <c r="C55" s="38" t="n">
        <v>200</v>
      </c>
      <c r="D55" s="39" t="s">
        <v>7170</v>
      </c>
      <c r="E55" s="38" t="n">
        <v>404</v>
      </c>
      <c r="F55" s="38" t="s">
        <v>7212</v>
      </c>
      <c r="G55" s="51"/>
    </row>
    <row r="56" customFormat="false" ht="15" hidden="false" customHeight="false" outlineLevel="0" collapsed="false">
      <c r="B56" s="97" t="s">
        <v>7250</v>
      </c>
      <c r="C56" s="38" t="n">
        <v>200</v>
      </c>
      <c r="D56" s="39" t="s">
        <v>7177</v>
      </c>
      <c r="E56" s="38" t="n">
        <v>404</v>
      </c>
      <c r="F56" s="38" t="s">
        <v>7251</v>
      </c>
      <c r="G56" s="51"/>
    </row>
    <row r="57" customFormat="false" ht="15" hidden="false" customHeight="false" outlineLevel="0" collapsed="false">
      <c r="B57" s="97" t="s">
        <v>7172</v>
      </c>
      <c r="C57" s="38" t="n">
        <v>200</v>
      </c>
      <c r="D57" s="39" t="s">
        <v>7206</v>
      </c>
      <c r="E57" s="38" t="n">
        <v>404</v>
      </c>
      <c r="F57" s="38" t="s">
        <v>7215</v>
      </c>
      <c r="G57" s="51"/>
    </row>
    <row r="58" customFormat="false" ht="15" hidden="false" customHeight="false" outlineLevel="0" collapsed="false">
      <c r="B58" s="97" t="s">
        <v>7150</v>
      </c>
      <c r="C58" s="38" t="n">
        <v>200</v>
      </c>
      <c r="D58" s="39" t="s">
        <v>7175</v>
      </c>
      <c r="E58" s="38" t="n">
        <v>404</v>
      </c>
      <c r="F58" s="38" t="s">
        <v>7192</v>
      </c>
      <c r="G58" s="51"/>
    </row>
    <row r="59" customFormat="false" ht="15" hidden="false" customHeight="false" outlineLevel="0" collapsed="false">
      <c r="B59" s="97" t="s">
        <v>7252</v>
      </c>
      <c r="C59" s="38" t="n">
        <v>200</v>
      </c>
      <c r="D59" s="39" t="s">
        <v>7177</v>
      </c>
      <c r="E59" s="38" t="n">
        <v>404</v>
      </c>
      <c r="F59" s="38" t="s">
        <v>7253</v>
      </c>
      <c r="G59" s="51"/>
    </row>
    <row r="60" customFormat="false" ht="15" hidden="false" customHeight="false" outlineLevel="0" collapsed="false">
      <c r="B60" s="97" t="s">
        <v>7254</v>
      </c>
      <c r="C60" s="38" t="n">
        <v>200</v>
      </c>
      <c r="D60" s="39" t="s">
        <v>7177</v>
      </c>
      <c r="E60" s="38" t="n">
        <v>404</v>
      </c>
      <c r="F60" s="38" t="s">
        <v>7255</v>
      </c>
      <c r="G60" s="51"/>
    </row>
    <row r="61" customFormat="false" ht="15" hidden="false" customHeight="false" outlineLevel="0" collapsed="false">
      <c r="B61" s="97" t="s">
        <v>7179</v>
      </c>
      <c r="C61" s="38" t="n">
        <v>200</v>
      </c>
      <c r="D61" s="39" t="s">
        <v>7206</v>
      </c>
      <c r="E61" s="38" t="n">
        <v>404</v>
      </c>
      <c r="F61" s="38" t="s">
        <v>7256</v>
      </c>
      <c r="G61" s="51"/>
    </row>
    <row r="62" customFormat="false" ht="15" hidden="false" customHeight="false" outlineLevel="0" collapsed="false">
      <c r="B62" s="97" t="s">
        <v>7257</v>
      </c>
      <c r="C62" s="38" t="n">
        <v>200</v>
      </c>
      <c r="D62" s="39" t="s">
        <v>7177</v>
      </c>
      <c r="E62" s="38" t="n">
        <v>404</v>
      </c>
      <c r="F62" s="38" t="s">
        <v>7233</v>
      </c>
      <c r="G62" s="51"/>
    </row>
    <row r="63" customFormat="false" ht="15" hidden="false" customHeight="false" outlineLevel="0" collapsed="false">
      <c r="B63" s="97" t="s">
        <v>7258</v>
      </c>
      <c r="C63" s="38" t="n">
        <v>200</v>
      </c>
      <c r="D63" s="39" t="s">
        <v>7177</v>
      </c>
      <c r="E63" s="38" t="n">
        <v>404</v>
      </c>
      <c r="F63" s="38" t="s">
        <v>7214</v>
      </c>
      <c r="G63" s="51"/>
    </row>
    <row r="64" customFormat="false" ht="15" hidden="false" customHeight="false" outlineLevel="0" collapsed="false">
      <c r="B64" s="97" t="s">
        <v>7259</v>
      </c>
      <c r="C64" s="38" t="n">
        <v>200</v>
      </c>
      <c r="D64" s="39" t="s">
        <v>7175</v>
      </c>
      <c r="E64" s="38" t="n">
        <v>404</v>
      </c>
      <c r="F64" s="38" t="s">
        <v>7260</v>
      </c>
      <c r="G64" s="51"/>
    </row>
    <row r="65" customFormat="false" ht="15" hidden="false" customHeight="false" outlineLevel="0" collapsed="false">
      <c r="B65" s="97" t="s">
        <v>7261</v>
      </c>
      <c r="C65" s="38" t="n">
        <v>200</v>
      </c>
      <c r="D65" s="39" t="s">
        <v>7177</v>
      </c>
      <c r="E65" s="38" t="n">
        <v>404</v>
      </c>
      <c r="F65" s="38" t="s">
        <v>7262</v>
      </c>
      <c r="G65" s="51"/>
    </row>
    <row r="66" customFormat="false" ht="15" hidden="false" customHeight="false" outlineLevel="0" collapsed="false">
      <c r="B66" s="97" t="s">
        <v>7263</v>
      </c>
      <c r="C66" s="38" t="n">
        <v>200</v>
      </c>
      <c r="D66" s="39" t="s">
        <v>7177</v>
      </c>
      <c r="E66" s="38" t="n">
        <v>404</v>
      </c>
      <c r="F66" s="38" t="s">
        <v>7264</v>
      </c>
      <c r="G66" s="51"/>
    </row>
    <row r="67" customFormat="false" ht="15" hidden="false" customHeight="false" outlineLevel="0" collapsed="false">
      <c r="B67" s="97" t="s">
        <v>7265</v>
      </c>
      <c r="C67" s="38" t="n">
        <v>200</v>
      </c>
      <c r="D67" s="39" t="s">
        <v>7206</v>
      </c>
      <c r="E67" s="38" t="n">
        <v>404</v>
      </c>
      <c r="F67" s="38" t="s">
        <v>7266</v>
      </c>
      <c r="G67" s="51"/>
    </row>
    <row r="68" customFormat="false" ht="15" hidden="false" customHeight="false" outlineLevel="0" collapsed="false">
      <c r="B68" s="97" t="s">
        <v>7265</v>
      </c>
      <c r="C68" s="38" t="n">
        <v>200</v>
      </c>
      <c r="D68" s="39" t="s">
        <v>7173</v>
      </c>
      <c r="E68" s="38" t="n">
        <v>301</v>
      </c>
      <c r="F68" s="38" t="s">
        <v>7267</v>
      </c>
      <c r="G68" s="51"/>
    </row>
    <row r="69" customFormat="false" ht="15" hidden="false" customHeight="false" outlineLevel="0" collapsed="false">
      <c r="B69" s="97" t="s">
        <v>7268</v>
      </c>
      <c r="C69" s="38" t="n">
        <v>200</v>
      </c>
      <c r="D69" s="39" t="s">
        <v>7177</v>
      </c>
      <c r="E69" s="38" t="n">
        <v>404</v>
      </c>
      <c r="F69" s="38" t="s">
        <v>7255</v>
      </c>
      <c r="G69" s="51"/>
    </row>
    <row r="70" customFormat="false" ht="15" hidden="false" customHeight="false" outlineLevel="0" collapsed="false">
      <c r="B70" s="97" t="s">
        <v>7269</v>
      </c>
      <c r="C70" s="38" t="n">
        <v>200</v>
      </c>
      <c r="D70" s="39" t="s">
        <v>7170</v>
      </c>
      <c r="E70" s="38" t="n">
        <v>404</v>
      </c>
      <c r="F70" s="38" t="s">
        <v>7182</v>
      </c>
      <c r="G70" s="51"/>
    </row>
    <row r="71" customFormat="false" ht="15" hidden="false" customHeight="false" outlineLevel="0" collapsed="false">
      <c r="B71" s="97" t="s">
        <v>7270</v>
      </c>
      <c r="C71" s="38" t="n">
        <v>200</v>
      </c>
      <c r="D71" s="39" t="s">
        <v>7177</v>
      </c>
      <c r="E71" s="38" t="n">
        <v>404</v>
      </c>
      <c r="F71" s="38" t="s">
        <v>7271</v>
      </c>
      <c r="G71" s="51"/>
    </row>
  </sheetData>
  <mergeCells count="1">
    <mergeCell ref="B4:G4"/>
  </mergeCells>
  <hyperlinks>
    <hyperlink ref="B6" r:id="rId1" display="https://striking-viking.com/de/blogs/learn/beard-grooming-quintessential-regime-for-the-modern-man"/>
    <hyperlink ref="D6" r:id="rId2" display="https://vikingbeardgear.com/collections/all/products/striking-viking-wooden-beard-comb"/>
    <hyperlink ref="B7" r:id="rId3" display="https://striking-viking.com/fr/blogs/learn/heads-shoulders-knees-and-toes-but-why-forget-the-beard"/>
    <hyperlink ref="D7" r:id="rId4" display="https://vikingbeardgear.com/collections/all/products/striking-viking-beard-grooming-kit-for-men"/>
    <hyperlink ref="B8" r:id="rId5" display="https://striking-viking.com/de/blogs/learn/why-your-beard-needs-more-than-just-a-comb"/>
    <hyperlink ref="D8" r:id="rId6" display="https://vikingbeardgear.com/collections/beard-and-hair-care/products/beard-wash-shampoo-beard-conditioner-set?variant=31075723673654"/>
    <hyperlink ref="B9" r:id="rId7" display="https://striking-viking.com/de/blogs/learn/heads-shoulders-knees-and-toes-but-why-forget-the-beard"/>
    <hyperlink ref="D9" r:id="rId8" display="https://vikingbeardgear.com/collections/all/products/striking-viking-beard-grooming-kit-for-men"/>
    <hyperlink ref="B10" r:id="rId9" display="https://striking-viking.com/en-gb/blogs/learn/beard-grooming-quintessential-regime-for-the-modern-man"/>
    <hyperlink ref="D10" r:id="rId10" display="https://vikingbeardgear.com/collections/all/products/striking-viking-wooden-beard-comb"/>
    <hyperlink ref="B11" r:id="rId11" display="https://striking-viking.com/sv/blogs/learn/why-your-beard-needs-more-than-just-a-comb"/>
    <hyperlink ref="D11" r:id="rId12" display="https://vikingbeardgear.com/collections/beard-and-hair-care/products/beard-wash-shampoo-beard-conditioner-set?variant=31075723673654"/>
    <hyperlink ref="B12" r:id="rId13" display="https://striking-viking.com/fi/blogs/learn/grooming-products-to-pamper-your-beard-flyaway"/>
    <hyperlink ref="D12" r:id="rId14" display="https://vikingbeardgear.com/collections/beard-and-hair-care/products/beard-wash-shampoo-beard-conditioner-set?variant=31075723673654"/>
    <hyperlink ref="B13" r:id="rId15" display="https://striking-viking.com/sv/blogs/learn/beard-grooming-quintessential-regime-for-the-modern-man"/>
    <hyperlink ref="D13" r:id="rId16" display="https://vikingbeardgear.com/collections/all/products/striking-viking-wooden-beard-comb"/>
    <hyperlink ref="B14" r:id="rId17" display="https://striking-viking.com/it/blogs/learn/beard-grooming-quintessential-regime-for-the-modern-man"/>
    <hyperlink ref="D14" r:id="rId18" display="https://vikingbeardgear.com/collections/all/products/striking-viking-wooden-beard-comb"/>
    <hyperlink ref="B15" r:id="rId19" display="https://striking-viking.com/en-ca/blogs/learn/grooming-kit-a-perfect-gift-for-the-modern-man"/>
    <hyperlink ref="D15" r:id="rId20" display="https://vikingbeardgear.com/collections/viking-beard-kits/products/striking-viking-ultimate-beard-grooming-kit"/>
    <hyperlink ref="B16" r:id="rId21" display="https://striking-viking.com/fi/blogs/learn/grooming-kit-a-perfect-gift-for-the-modern-man"/>
    <hyperlink ref="D16" r:id="rId22" display="https://vikingbeardgear.com/collections/viking-beard-kits/products/striking-viking-ultimate-beard-grooming-kit"/>
    <hyperlink ref="B17" r:id="rId23" display="https://striking-viking.com/fr-ca/blogs/learn/grooming-kit-a-perfect-gift-for-the-modern-man"/>
    <hyperlink ref="D17" r:id="rId24" display="https://vikingbeardgear.com/collections/viking-beard-kits/products/striking-viking-ultimate-beard-grooming-kit"/>
    <hyperlink ref="B18" r:id="rId25" display="https://striking-viking.com/blogs/learn/heads-shoulders-knees-and-toes-but-why-forget-the-beard"/>
    <hyperlink ref="D18" r:id="rId26" display="https://vikingbeardgear.com/collections/all/products/striking-viking-beard-grooming-kit-for-men"/>
    <hyperlink ref="B19" r:id="rId27" display="https://striking-viking.com/fr-ca/blogs/learn/heads-shoulders-knees-and-toes-but-why-forget-the-beard"/>
    <hyperlink ref="D19" r:id="rId28" display="https://vikingbeardgear.com/collections/all/products/striking-viking-beard-grooming-kit-for-men"/>
    <hyperlink ref="B20" r:id="rId29" display="https://striking-viking.com/fr/blogs/learn/grooming-kit-a-perfect-gift-for-the-modern-man"/>
    <hyperlink ref="D20" r:id="rId30" display="https://vikingbeardgear.com/collections/viking-beard-kits/products/striking-viking-ultimate-beard-grooming-kit"/>
    <hyperlink ref="B21" r:id="rId31" display="https://striking-viking.com/no/blogs/learn/beard-grooming-quintessential-regime-for-the-modern-man"/>
    <hyperlink ref="D21" r:id="rId32" display="https://vikingbeardgear.com/collections/all/products/striking-viking-wooden-beard-comb"/>
    <hyperlink ref="B22" r:id="rId33" display="https://striking-viking.com/blogs/learn/grooming-products-to-pamper-your-beard-flyaway"/>
    <hyperlink ref="D22" r:id="rId34" display="https://vikingbeardgear.com/collections/beard-and-hair-care/products/beard-wash-shampoo-beard-conditioner-set?variant=31075723673654"/>
    <hyperlink ref="B23" r:id="rId35" display="https://striking-viking.com/es/blogs/learn/why-your-beard-needs-more-than-just-a-comb"/>
    <hyperlink ref="D23" r:id="rId36" display="https://vikingbeardgear.com/collections/beard-and-hair-care/products/beard-wash-shampoo-beard-conditioner-set?variant=31075723673654"/>
    <hyperlink ref="B24" r:id="rId37" display="https://striking-viking.com/sv/blogs/learn/heads-shoulders-knees-and-toes-but-why-forget-the-beard"/>
    <hyperlink ref="D24" r:id="rId38" display="https://vikingbeardgear.com/collections/all/products/striking-viking-ultimate-beard-grooming-kit"/>
    <hyperlink ref="B25" r:id="rId39" display="https://striking-viking.com/en-ca/blogs/learn/heads-shoulders-knees-and-toes-but-why-forget-the-beard"/>
    <hyperlink ref="D25" r:id="rId40" display="https://vikingbeardgear.com/collections/all/products/striking-viking-beard-grooming-kit-for-men"/>
    <hyperlink ref="B26" r:id="rId41" display="https://striking-viking.com/es/blogs/learn/grooming-kit-a-perfect-gift-for-the-modern-man"/>
    <hyperlink ref="D26" r:id="rId42" display="https://vikingbeardgear.com/collections/viking-beard-kits/products/striking-viking-ultimate-beard-grooming-kit"/>
    <hyperlink ref="B27" r:id="rId43" display="https://striking-viking.com/fr/blogs/learn/beard-grooming-quintessential-regime-for-the-modern-man"/>
    <hyperlink ref="D27" r:id="rId44" display="https://vikingbeardgear.com/collections/all/products/striking-viking-wooden-beard-comb"/>
    <hyperlink ref="B28" r:id="rId45" display="https://striking-viking.com/en-gb/blogs/learn/grooming-products-to-pamper-your-beard-flyaway"/>
    <hyperlink ref="D28" r:id="rId46" display="https://vikingbeardgear.com/collections/beard-and-hair-care/products/beard-wash-shampoo-beard-conditioner-set?variant=31075723673654"/>
    <hyperlink ref="B29" r:id="rId47" display="https://striking-viking.com/blogs/learn/why-your-beard-needs-more-than-just-a-comb"/>
    <hyperlink ref="D29" r:id="rId48" display="https://vikingbeardgear.com/collections/beard-and-hair-care/products/beard-wash-shampoo-beard-conditioner-set?variant=31075723673654"/>
    <hyperlink ref="B30" r:id="rId49" display="https://striking-viking.com/fr-ca/blogs/learn/heads-shoulders-knees-and-toes-but-why-forget-the-beard"/>
    <hyperlink ref="D30" r:id="rId50" display="https://vikingbeardgear.com/collections/all/products/striking-viking-ultimate-beard-grooming-kit"/>
    <hyperlink ref="B31" r:id="rId51" display="https://striking-viking.com/en-gb/blogs/learn/grooming-kit-a-perfect-gift-for-the-modern-man"/>
    <hyperlink ref="D31" r:id="rId52" display="https://vikingbeardgear.com/collections/viking-beard-kits/products/striking-viking-ultimate-beard-grooming-kit"/>
    <hyperlink ref="B32" r:id="rId53" display="https://striking-viking.com/fi/blogs/learn/heads-shoulders-knees-and-toes-but-why-forget-the-beard"/>
    <hyperlink ref="D32" r:id="rId54" display="https://vikingbeardgear.com/collections/all/products/striking-viking-ultimate-beard-grooming-kit"/>
    <hyperlink ref="B33" r:id="rId55" display="https://striking-viking.com/es/blogs/learn/beard-grooming-quintessential-regime-for-the-modern-man"/>
    <hyperlink ref="D33" r:id="rId56" display="https://vikingbeardgear.com/collections/all/products/striking-viking-wooden-beard-comb"/>
    <hyperlink ref="B34" r:id="rId57" display="https://striking-viking.com/en-ca/blogs/learn/grooming-products-to-pamper-your-beard-flyaway"/>
    <hyperlink ref="D34" r:id="rId58" display="https://vikingbeardgear.com/collections/beard-and-hair-care/products/beard-wash-shampoo-beard-conditioner-set?variant=31075723673654"/>
    <hyperlink ref="B35" r:id="rId59" display="https://striking-viking.com/en-ca/blogs/learn/heads-shoulders-knees-and-toes-but-why-forget-the-beard"/>
    <hyperlink ref="D35" r:id="rId60" display="https://vikingbeardgear.com/collections/all/products/striking-viking-ultimate-beard-grooming-kit"/>
    <hyperlink ref="B36" r:id="rId61" display="https://striking-viking.com/it/blogs/learn/grooming-kit-a-perfect-gift-for-the-modern-man"/>
    <hyperlink ref="D36" r:id="rId62" display="https://vikingbeardgear.com/collections/viking-beard-kits/products/striking-viking-ultimate-beard-grooming-kit"/>
    <hyperlink ref="B37" r:id="rId63" display="https://striking-viking.com/de/blogs/learn/grooming-kit-a-perfect-gift-for-the-modern-man"/>
    <hyperlink ref="D37" r:id="rId64" display="https://vikingbeardgear.com/collections/viking-beard-kits/products/striking-viking-ultimate-beard-grooming-kit"/>
    <hyperlink ref="B38" r:id="rId65" display="https://striking-viking.com/blogs/learn/heads-shoulders-knees-and-toes-but-why-forget-the-beard"/>
    <hyperlink ref="D38" r:id="rId66" display="https://vikingbeardgear.com/collections/all/products/striking-viking-ultimate-beard-grooming-kit"/>
    <hyperlink ref="B39" r:id="rId67" display="https://striking-viking.com/blogs/learn/beard-grooming-quintessential-regime-for-the-modern-man"/>
    <hyperlink ref="D39" r:id="rId68" display="https://vikingbeardgear.com/collections/all/products/striking-viking-wooden-beard-comb"/>
    <hyperlink ref="B40" r:id="rId69" display="https://striking-viking.com/es/blogs/learn/heads-shoulders-knees-and-toes-but-why-forget-the-beard"/>
    <hyperlink ref="D40" r:id="rId70" display="https://vikingbeardgear.com/collections/all/products/striking-viking-ultimate-beard-grooming-kit"/>
    <hyperlink ref="B41" r:id="rId71" display="https://striking-viking.com/it/blogs/learn/heads-shoulders-knees-and-toes-but-why-forget-the-beard"/>
    <hyperlink ref="D41" r:id="rId72" display="https://vikingbeardgear.com/collections/all/products/striking-viking-beard-grooming-kit-for-men"/>
    <hyperlink ref="B42" r:id="rId73" display="https://striking-viking.com/fi/blogs/learn/heads-shoulders-knees-and-toes-but-why-forget-the-beard"/>
    <hyperlink ref="D42" r:id="rId74" display="https://vikingbeardgear.com/collections/all/products/striking-viking-beard-grooming-kit-for-men"/>
    <hyperlink ref="B43" r:id="rId75" display="https://striking-viking.com/fr/blogs/learn/why-your-beard-needs-more-than-just-a-comb"/>
    <hyperlink ref="D43" r:id="rId76" display="https://vikingbeardgear.com/collections/beard-and-hair-care/products/beard-wash-shampoo-beard-conditioner-set?variant=31075723673654"/>
    <hyperlink ref="B44" r:id="rId77" display="https://striking-viking.com/en-gb/blogs/learn/heads-shoulders-knees-and-toes-but-why-forget-the-beard"/>
    <hyperlink ref="D44" r:id="rId78" display="https://vikingbeardgear.com/collections/all/products/striking-viking-ultimate-beard-grooming-kit"/>
    <hyperlink ref="B45" r:id="rId79" display="https://striking-viking.com/no/blogs/learn/why-your-beard-needs-more-than-just-a-comb"/>
    <hyperlink ref="D45" r:id="rId80" display="https://vikingbeardgear.com/collections/beard-and-hair-care/products/beard-wash-shampoo-beard-conditioner-set?variant=31075723673654"/>
    <hyperlink ref="B46" r:id="rId81" display="https://striking-viking.com/no/blogs/learn/grooming-kit-a-perfect-gift-for-the-modern-man"/>
    <hyperlink ref="D46" r:id="rId82" display="https://vikingbeardgear.com/collections/viking-beard-kits/products/striking-viking-ultimate-beard-grooming-kit"/>
    <hyperlink ref="B47" r:id="rId83" display="https://striking-viking.com/no/blogs/learn/grooming-products-to-pamper-your-beard-flyaway"/>
    <hyperlink ref="D47" r:id="rId84" display="https://vikingbeardgear.com/collections/beard-and-hair-care/products/beard-wash-shampoo-beard-conditioner-set?variant=31075723673654"/>
    <hyperlink ref="B48" r:id="rId85" display="https://striking-viking.com/es/blogs/learn/heads-shoulders-knees-and-toes-but-why-forget-the-beard"/>
    <hyperlink ref="D48" r:id="rId86" display="https://vikingbeardgear.com/collections/all/products/striking-viking-beard-grooming-kit-for-men"/>
    <hyperlink ref="B49" r:id="rId87" display="https://striking-viking.com/en-ca/blogs/learn/why-your-beard-needs-more-than-just-a-comb"/>
    <hyperlink ref="D49" r:id="rId88" display="https://vikingbeardgear.com/collections/beard-and-hair-care/products/beard-wash-shampoo-beard-conditioner-set?variant=31075723673654"/>
    <hyperlink ref="B50" r:id="rId89" display="https://striking-viking.com/it/blogs/learn/heads-shoulders-knees-and-toes-but-why-forget-the-beard"/>
    <hyperlink ref="D50" r:id="rId90" display="https://vikingbeardgear.com/collections/all/products/striking-viking-ultimate-beard-grooming-kit"/>
    <hyperlink ref="B51" r:id="rId91" display="https://striking-viking.com/fi/blogs/learn/beard-grooming-quintessential-regime-for-the-modern-man"/>
    <hyperlink ref="D51" r:id="rId92" display="https://vikingbeardgear.com/collections/all/products/striking-viking-wooden-beard-comb"/>
    <hyperlink ref="B52" r:id="rId93" display="https://striking-viking.com/it/blogs/learn/why-your-beard-needs-more-than-just-a-comb"/>
    <hyperlink ref="D52" r:id="rId94" display="https://vikingbeardgear.com/collections/beard-and-hair-care/products/beard-wash-shampoo-beard-conditioner-set?variant=31075723673654"/>
    <hyperlink ref="B53" r:id="rId95" display="https://striking-viking.com/en-gb/blogs/learn/heads-shoulders-knees-and-toes-but-why-forget-the-beard"/>
    <hyperlink ref="D53" r:id="rId96" display="https://vikingbeardgear.com/collections/all/products/striking-viking-beard-grooming-kit-for-men"/>
    <hyperlink ref="B54" r:id="rId97" display="https://striking-viking.com/sv/blogs/learn/heads-shoulders-knees-and-toes-but-why-forget-the-beard"/>
    <hyperlink ref="D54" r:id="rId98" display="https://vikingbeardgear.com/collections/all/products/striking-viking-beard-grooming-kit-for-men"/>
    <hyperlink ref="B55" r:id="rId99" display="https://striking-viking.com/fr-ca/blogs/learn/beard-grooming-quintessential-regime-for-the-modern-man"/>
    <hyperlink ref="D55" r:id="rId100" display="https://vikingbeardgear.com/collections/all/products/striking-viking-wooden-beard-comb"/>
    <hyperlink ref="B56" r:id="rId101" display="https://striking-viking.com/de/blogs/learn/grooming-products-to-pamper-your-beard-flyaway"/>
    <hyperlink ref="D56" r:id="rId102" display="https://vikingbeardgear.com/collections/beard-and-hair-care/products/beard-wash-shampoo-beard-conditioner-set?variant=31075723673654"/>
    <hyperlink ref="B57" r:id="rId103" display="https://striking-viking.com/fr/blogs/learn/heads-shoulders-knees-and-toes-but-why-forget-the-beard"/>
    <hyperlink ref="D57" r:id="rId104" display="https://vikingbeardgear.com/collections/all/products/striking-viking-ultimate-beard-grooming-kit"/>
    <hyperlink ref="B58" r:id="rId105" display="https://striking-viking.com/blogs/learn/grooming-kit-a-perfect-gift-for-the-modern-man"/>
    <hyperlink ref="D58" r:id="rId106" display="https://vikingbeardgear.com/collections/viking-beard-kits/products/striking-viking-ultimate-beard-grooming-kit"/>
    <hyperlink ref="B59" r:id="rId107" display="https://striking-viking.com/it/blogs/learn/grooming-products-to-pamper-your-beard-flyaway"/>
    <hyperlink ref="D59" r:id="rId108" display="https://vikingbeardgear.com/collections/beard-and-hair-care/products/beard-wash-shampoo-beard-conditioner-set?variant=31075723673654"/>
    <hyperlink ref="B60" r:id="rId109" display="https://striking-viking.com/fr/blogs/learn/grooming-products-to-pamper-your-beard-flyaway"/>
    <hyperlink ref="D60" r:id="rId110" display="https://vikingbeardgear.com/collections/beard-and-hair-care/products/beard-wash-shampoo-beard-conditioner-set?variant=31075723673654"/>
    <hyperlink ref="B61" r:id="rId111" display="https://striking-viking.com/de/blogs/learn/heads-shoulders-knees-and-toes-but-why-forget-the-beard"/>
    <hyperlink ref="D61" r:id="rId112" display="https://vikingbeardgear.com/collections/all/products/striking-viking-ultimate-beard-grooming-kit"/>
    <hyperlink ref="B62" r:id="rId113" display="https://striking-viking.com/fr-ca/blogs/learn/why-your-beard-needs-more-than-just-a-comb"/>
    <hyperlink ref="D62" r:id="rId114" display="https://vikingbeardgear.com/collections/beard-and-hair-care/products/beard-wash-shampoo-beard-conditioner-set?variant=31075723673654"/>
    <hyperlink ref="B63" r:id="rId115" display="https://striking-viking.com/en-gb/blogs/learn/why-your-beard-needs-more-than-just-a-comb"/>
    <hyperlink ref="D63" r:id="rId116" display="https://vikingbeardgear.com/collections/beard-and-hair-care/products/beard-wash-shampoo-beard-conditioner-set?variant=31075723673654"/>
    <hyperlink ref="B64" r:id="rId117" display="https://striking-viking.com/sv/blogs/learn/grooming-kit-a-perfect-gift-for-the-modern-man"/>
    <hyperlink ref="D64" r:id="rId118" display="https://vikingbeardgear.com/collections/viking-beard-kits/products/striking-viking-ultimate-beard-grooming-kit"/>
    <hyperlink ref="B65" r:id="rId119" display="https://striking-viking.com/fi/blogs/learn/why-your-beard-needs-more-than-just-a-comb"/>
    <hyperlink ref="D65" r:id="rId120" display="https://vikingbeardgear.com/collections/beard-and-hair-care/products/beard-wash-shampoo-beard-conditioner-set?variant=31075723673654"/>
    <hyperlink ref="B66" r:id="rId121" display="https://striking-viking.com/sv/blogs/learn/grooming-products-to-pamper-your-beard-flyaway"/>
    <hyperlink ref="D66" r:id="rId122" display="https://vikingbeardgear.com/collections/beard-and-hair-care/products/beard-wash-shampoo-beard-conditioner-set?variant=31075723673654"/>
    <hyperlink ref="B67" r:id="rId123" display="https://striking-viking.com/no/blogs/learn/heads-shoulders-knees-and-toes-but-why-forget-the-beard"/>
    <hyperlink ref="D67" r:id="rId124" display="https://vikingbeardgear.com/collections/all/products/striking-viking-ultimate-beard-grooming-kit"/>
    <hyperlink ref="B68" r:id="rId125" display="https://striking-viking.com/no/blogs/learn/heads-shoulders-knees-and-toes-but-why-forget-the-beard"/>
    <hyperlink ref="D68" r:id="rId126" display="https://vikingbeardgear.com/collections/all/products/striking-viking-beard-grooming-kit-for-men"/>
    <hyperlink ref="B69" r:id="rId127" display="https://striking-viking.com/fr-ca/blogs/learn/grooming-products-to-pamper-your-beard-flyaway"/>
    <hyperlink ref="D69" r:id="rId128" display="https://vikingbeardgear.com/collections/beard-and-hair-care/products/beard-wash-shampoo-beard-conditioner-set?variant=31075723673654"/>
    <hyperlink ref="B70" r:id="rId129" display="https://striking-viking.com/en-ca/blogs/learn/beard-grooming-quintessential-regime-for-the-modern-man"/>
    <hyperlink ref="D70" r:id="rId130" display="https://vikingbeardgear.com/collections/all/products/striking-viking-wooden-beard-comb"/>
    <hyperlink ref="B71" r:id="rId131" display="https://striking-viking.com/es/blogs/learn/grooming-products-to-pamper-your-beard-flyaway"/>
    <hyperlink ref="D71" r:id="rId132" display="https://vikingbeardgear.com/collections/beard-and-hair-care/products/beard-wash-shampoo-beard-conditioner-set?variant=3107572367365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2026-10-12T05:31:54Z</dcterms:created>
  <dc:creator>openpyxl</dc:creator>
  <dc:description/>
  <dc:language>en-US</dc:language>
  <cp:lastModifiedBy/>
  <dcterms:modified xsi:type="dcterms:W3CDTF">2026-10-12T05:32:24Z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